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199338" documentId="8_{64497066-4E7F-4DF4-BE94-ADA95F1A0CF7}" xr6:coauthVersionLast="47" xr6:coauthVersionMax="47" xr10:uidLastSave="{DE1B9898-ACC6-4307-8EB3-AB049E9F2377}"/>
  <bookViews>
    <workbookView xWindow="-120" yWindow="-120" windowWidth="29040" windowHeight="15840" activeTab="3" xr2:uid="{00000000-000D-0000-FFFF-FFFF00000000}"/>
  </bookViews>
  <sheets>
    <sheet name="Worksheet" sheetId="3" r:id="rId1"/>
    <sheet name="Mult Dummy Readings" sheetId="13" r:id="rId2"/>
    <sheet name="Validation" sheetId="16" r:id="rId3"/>
    <sheet name="Items" sheetId="14" r:id="rId4"/>
    <sheet name="Unc. Lookup" sheetId="11" r:id="rId5"/>
  </sheets>
  <functionGroups builtInGroupCount="19"/>
  <definedNames>
    <definedName name="ExternalData_1" localSheetId="2" hidden="1">Validation!$A$1:$Q$2653</definedName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" i="16" l="1"/>
  <c r="X3" i="16"/>
  <c r="X4" i="16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X73" i="16"/>
  <c r="X74" i="16"/>
  <c r="X75" i="16"/>
  <c r="X76" i="16"/>
  <c r="X77" i="16"/>
  <c r="X78" i="16"/>
  <c r="X79" i="16"/>
  <c r="X80" i="16"/>
  <c r="X81" i="16"/>
  <c r="X82" i="16"/>
  <c r="X83" i="16"/>
  <c r="X84" i="16"/>
  <c r="X85" i="16"/>
  <c r="X86" i="16"/>
  <c r="X87" i="16"/>
  <c r="X88" i="16"/>
  <c r="X89" i="16"/>
  <c r="X90" i="16"/>
  <c r="X91" i="16"/>
  <c r="X92" i="16"/>
  <c r="X93" i="16"/>
  <c r="X94" i="16"/>
  <c r="X95" i="16"/>
  <c r="X96" i="16"/>
  <c r="X97" i="16"/>
  <c r="X98" i="16"/>
  <c r="X99" i="16"/>
  <c r="X100" i="16"/>
  <c r="X101" i="16"/>
  <c r="X102" i="16"/>
  <c r="X103" i="16"/>
  <c r="X104" i="16"/>
  <c r="X105" i="16"/>
  <c r="X106" i="16"/>
  <c r="X107" i="16"/>
  <c r="X108" i="16"/>
  <c r="X109" i="16"/>
  <c r="X110" i="16"/>
  <c r="X111" i="16"/>
  <c r="X112" i="16"/>
  <c r="X113" i="16"/>
  <c r="X114" i="16"/>
  <c r="X115" i="16"/>
  <c r="X116" i="16"/>
  <c r="X117" i="16"/>
  <c r="X118" i="16"/>
  <c r="X119" i="16"/>
  <c r="X120" i="16"/>
  <c r="X121" i="16"/>
  <c r="X122" i="16"/>
  <c r="X123" i="16"/>
  <c r="X124" i="16"/>
  <c r="X125" i="16"/>
  <c r="X126" i="16"/>
  <c r="X127" i="16"/>
  <c r="X128" i="16"/>
  <c r="X129" i="16"/>
  <c r="X130" i="16"/>
  <c r="X131" i="16"/>
  <c r="X132" i="16"/>
  <c r="X133" i="16"/>
  <c r="X134" i="16"/>
  <c r="X135" i="16"/>
  <c r="X136" i="16"/>
  <c r="X137" i="16"/>
  <c r="X138" i="16"/>
  <c r="X139" i="16"/>
  <c r="X140" i="16"/>
  <c r="X141" i="16"/>
  <c r="X142" i="16"/>
  <c r="X143" i="16"/>
  <c r="X144" i="16"/>
  <c r="X145" i="16"/>
  <c r="X146" i="16"/>
  <c r="X147" i="16"/>
  <c r="X148" i="16"/>
  <c r="X149" i="16"/>
  <c r="X150" i="16"/>
  <c r="X151" i="16"/>
  <c r="X152" i="16"/>
  <c r="X153" i="16"/>
  <c r="X154" i="16"/>
  <c r="X155" i="16"/>
  <c r="X156" i="16"/>
  <c r="X157" i="16"/>
  <c r="X158" i="16"/>
  <c r="X159" i="16"/>
  <c r="X160" i="16"/>
  <c r="X161" i="16"/>
  <c r="X162" i="16"/>
  <c r="X163" i="16"/>
  <c r="X164" i="16"/>
  <c r="X165" i="16"/>
  <c r="X166" i="16"/>
  <c r="X167" i="16"/>
  <c r="X168" i="16"/>
  <c r="X169" i="16"/>
  <c r="X170" i="16"/>
  <c r="X171" i="16"/>
  <c r="X172" i="16"/>
  <c r="X173" i="16"/>
  <c r="X174" i="16"/>
  <c r="X175" i="16"/>
  <c r="X176" i="16"/>
  <c r="X177" i="16"/>
  <c r="X178" i="16"/>
  <c r="X179" i="16"/>
  <c r="X180" i="16"/>
  <c r="X181" i="16"/>
  <c r="X182" i="16"/>
  <c r="X183" i="16"/>
  <c r="X184" i="16"/>
  <c r="X185" i="16"/>
  <c r="X186" i="16"/>
  <c r="X187" i="16"/>
  <c r="X188" i="16"/>
  <c r="X189" i="16"/>
  <c r="X190" i="16"/>
  <c r="X191" i="16"/>
  <c r="X192" i="16"/>
  <c r="X193" i="16"/>
  <c r="X194" i="16"/>
  <c r="X195" i="16"/>
  <c r="X196" i="16"/>
  <c r="X197" i="16"/>
  <c r="X198" i="16"/>
  <c r="X199" i="16"/>
  <c r="X200" i="16"/>
  <c r="X201" i="16"/>
  <c r="X202" i="16"/>
  <c r="X203" i="16"/>
  <c r="X204" i="16"/>
  <c r="X205" i="16"/>
  <c r="X206" i="16"/>
  <c r="X207" i="16"/>
  <c r="X208" i="16"/>
  <c r="X209" i="16"/>
  <c r="X210" i="16"/>
  <c r="X211" i="16"/>
  <c r="X212" i="16"/>
  <c r="X213" i="16"/>
  <c r="X214" i="16"/>
  <c r="X215" i="16"/>
  <c r="X216" i="16"/>
  <c r="X217" i="16"/>
  <c r="X218" i="16"/>
  <c r="X219" i="16"/>
  <c r="X220" i="16"/>
  <c r="X221" i="16"/>
  <c r="X222" i="16"/>
  <c r="X223" i="16"/>
  <c r="X224" i="16"/>
  <c r="X225" i="16"/>
  <c r="X226" i="16"/>
  <c r="X227" i="16"/>
  <c r="X228" i="16"/>
  <c r="X229" i="16"/>
  <c r="X230" i="16"/>
  <c r="X231" i="16"/>
  <c r="X232" i="16"/>
  <c r="X233" i="16"/>
  <c r="X234" i="16"/>
  <c r="X235" i="16"/>
  <c r="X236" i="16"/>
  <c r="X237" i="16"/>
  <c r="X238" i="16"/>
  <c r="X239" i="16"/>
  <c r="X240" i="16"/>
  <c r="X241" i="16"/>
  <c r="X242" i="16"/>
  <c r="X243" i="16"/>
  <c r="X244" i="16"/>
  <c r="X245" i="16"/>
  <c r="X246" i="16"/>
  <c r="X247" i="16"/>
  <c r="X248" i="16"/>
  <c r="X249" i="16"/>
  <c r="X250" i="16"/>
  <c r="X251" i="16"/>
  <c r="X252" i="16"/>
  <c r="X253" i="16"/>
  <c r="X254" i="16"/>
  <c r="X255" i="16"/>
  <c r="X256" i="16"/>
  <c r="X257" i="16"/>
  <c r="X258" i="16"/>
  <c r="X259" i="16"/>
  <c r="X260" i="16"/>
  <c r="X261" i="16"/>
  <c r="X262" i="16"/>
  <c r="X263" i="16"/>
  <c r="X264" i="16"/>
  <c r="X265" i="16"/>
  <c r="X266" i="16"/>
  <c r="X267" i="16"/>
  <c r="X268" i="16"/>
  <c r="X269" i="16"/>
  <c r="X270" i="16"/>
  <c r="X271" i="16"/>
  <c r="X272" i="16"/>
  <c r="X273" i="16"/>
  <c r="X274" i="16"/>
  <c r="X275" i="16"/>
  <c r="X276" i="16"/>
  <c r="X277" i="16"/>
  <c r="X278" i="16"/>
  <c r="X279" i="16"/>
  <c r="X280" i="16"/>
  <c r="X281" i="16"/>
  <c r="X282" i="16"/>
  <c r="X283" i="16"/>
  <c r="X284" i="16"/>
  <c r="X285" i="16"/>
  <c r="X286" i="16"/>
  <c r="X287" i="16"/>
  <c r="X288" i="16"/>
  <c r="X289" i="16"/>
  <c r="X290" i="16"/>
  <c r="X291" i="16"/>
  <c r="X292" i="16"/>
  <c r="X293" i="16"/>
  <c r="X294" i="16"/>
  <c r="X295" i="16"/>
  <c r="X296" i="16"/>
  <c r="X297" i="16"/>
  <c r="X298" i="16"/>
  <c r="X299" i="16"/>
  <c r="X300" i="16"/>
  <c r="X301" i="16"/>
  <c r="X302" i="16"/>
  <c r="X303" i="16"/>
  <c r="X304" i="16"/>
  <c r="X305" i="16"/>
  <c r="X306" i="16"/>
  <c r="X307" i="16"/>
  <c r="X308" i="16"/>
  <c r="X309" i="16"/>
  <c r="X310" i="16"/>
  <c r="X311" i="16"/>
  <c r="X312" i="16"/>
  <c r="X313" i="16"/>
  <c r="X314" i="16"/>
  <c r="X315" i="16"/>
  <c r="X316" i="16"/>
  <c r="X317" i="16"/>
  <c r="X318" i="16"/>
  <c r="X319" i="16"/>
  <c r="X320" i="16"/>
  <c r="X321" i="16"/>
  <c r="X322" i="16"/>
  <c r="X323" i="16"/>
  <c r="X324" i="16"/>
  <c r="X325" i="16"/>
  <c r="X326" i="16"/>
  <c r="X327" i="16"/>
  <c r="X328" i="16"/>
  <c r="X329" i="16"/>
  <c r="X330" i="16"/>
  <c r="X331" i="16"/>
  <c r="X332" i="16"/>
  <c r="X333" i="16"/>
  <c r="X334" i="16"/>
  <c r="X335" i="16"/>
  <c r="X336" i="16"/>
  <c r="X337" i="16"/>
  <c r="X338" i="16"/>
  <c r="X339" i="16"/>
  <c r="X340" i="16"/>
  <c r="X341" i="16"/>
  <c r="X342" i="16"/>
  <c r="X343" i="16"/>
  <c r="X344" i="16"/>
  <c r="X345" i="16"/>
  <c r="X346" i="16"/>
  <c r="X347" i="16"/>
  <c r="X348" i="16"/>
  <c r="X349" i="16"/>
  <c r="X350" i="16"/>
  <c r="X351" i="16"/>
  <c r="X352" i="16"/>
  <c r="X353" i="16"/>
  <c r="X354" i="16"/>
  <c r="X355" i="16"/>
  <c r="X356" i="16"/>
  <c r="X357" i="16"/>
  <c r="X358" i="16"/>
  <c r="X359" i="16"/>
  <c r="X360" i="16"/>
  <c r="X361" i="16"/>
  <c r="X362" i="16"/>
  <c r="X363" i="16"/>
  <c r="X364" i="16"/>
  <c r="X365" i="16"/>
  <c r="X366" i="16"/>
  <c r="X367" i="16"/>
  <c r="X368" i="16"/>
  <c r="X369" i="16"/>
  <c r="X370" i="16"/>
  <c r="X371" i="16"/>
  <c r="X372" i="16"/>
  <c r="X373" i="16"/>
  <c r="X374" i="16"/>
  <c r="X375" i="16"/>
  <c r="X376" i="16"/>
  <c r="X377" i="16"/>
  <c r="X378" i="16"/>
  <c r="X379" i="16"/>
  <c r="X380" i="16"/>
  <c r="X381" i="16"/>
  <c r="X382" i="16"/>
  <c r="X383" i="16"/>
  <c r="X384" i="16"/>
  <c r="X385" i="16"/>
  <c r="X386" i="16"/>
  <c r="X387" i="16"/>
  <c r="X388" i="16"/>
  <c r="X389" i="16"/>
  <c r="X390" i="16"/>
  <c r="X391" i="16"/>
  <c r="X392" i="16"/>
  <c r="X393" i="16"/>
  <c r="X394" i="16"/>
  <c r="X395" i="16"/>
  <c r="X396" i="16"/>
  <c r="X397" i="16"/>
  <c r="X398" i="16"/>
  <c r="X399" i="16"/>
  <c r="X400" i="16"/>
  <c r="X401" i="16"/>
  <c r="X402" i="16"/>
  <c r="X403" i="16"/>
  <c r="X404" i="16"/>
  <c r="X405" i="16"/>
  <c r="X406" i="16"/>
  <c r="X407" i="16"/>
  <c r="X408" i="16"/>
  <c r="X409" i="16"/>
  <c r="X410" i="16"/>
  <c r="X411" i="16"/>
  <c r="X412" i="16"/>
  <c r="X413" i="16"/>
  <c r="X414" i="16"/>
  <c r="X415" i="16"/>
  <c r="X416" i="16"/>
  <c r="X417" i="16"/>
  <c r="X418" i="16"/>
  <c r="X419" i="16"/>
  <c r="X420" i="16"/>
  <c r="X421" i="16"/>
  <c r="X422" i="16"/>
  <c r="X423" i="16"/>
  <c r="X424" i="16"/>
  <c r="X425" i="16"/>
  <c r="X426" i="16"/>
  <c r="X427" i="16"/>
  <c r="X428" i="16"/>
  <c r="X429" i="16"/>
  <c r="X430" i="16"/>
  <c r="X431" i="16"/>
  <c r="X432" i="16"/>
  <c r="X433" i="16"/>
  <c r="X434" i="16"/>
  <c r="X435" i="16"/>
  <c r="X436" i="16"/>
  <c r="X437" i="16"/>
  <c r="X438" i="16"/>
  <c r="X439" i="16"/>
  <c r="X440" i="16"/>
  <c r="X441" i="16"/>
  <c r="X442" i="16"/>
  <c r="X443" i="16"/>
  <c r="X444" i="16"/>
  <c r="X445" i="16"/>
  <c r="X446" i="16"/>
  <c r="X447" i="16"/>
  <c r="X448" i="16"/>
  <c r="X449" i="16"/>
  <c r="X450" i="16"/>
  <c r="X451" i="16"/>
  <c r="X452" i="16"/>
  <c r="X453" i="16"/>
  <c r="X454" i="16"/>
  <c r="X455" i="16"/>
  <c r="X456" i="16"/>
  <c r="X457" i="16"/>
  <c r="X458" i="16"/>
  <c r="X459" i="16"/>
  <c r="X460" i="16"/>
  <c r="X461" i="16"/>
  <c r="X462" i="16"/>
  <c r="X463" i="16"/>
  <c r="X464" i="16"/>
  <c r="X465" i="16"/>
  <c r="X466" i="16"/>
  <c r="X467" i="16"/>
  <c r="X468" i="16"/>
  <c r="X469" i="16"/>
  <c r="X470" i="16"/>
  <c r="X471" i="16"/>
  <c r="X472" i="16"/>
  <c r="X473" i="16"/>
  <c r="X474" i="16"/>
  <c r="X475" i="16"/>
  <c r="X476" i="16"/>
  <c r="X477" i="16"/>
  <c r="X478" i="16"/>
  <c r="X479" i="16"/>
  <c r="X480" i="16"/>
  <c r="X481" i="16"/>
  <c r="X482" i="16"/>
  <c r="X483" i="16"/>
  <c r="X484" i="16"/>
  <c r="X485" i="16"/>
  <c r="X486" i="16"/>
  <c r="X487" i="16"/>
  <c r="X488" i="16"/>
  <c r="X489" i="16"/>
  <c r="X490" i="16"/>
  <c r="X491" i="16"/>
  <c r="X492" i="16"/>
  <c r="X493" i="16"/>
  <c r="X494" i="16"/>
  <c r="X495" i="16"/>
  <c r="X496" i="16"/>
  <c r="X497" i="16"/>
  <c r="X498" i="16"/>
  <c r="X499" i="16"/>
  <c r="X500" i="16"/>
  <c r="X501" i="16"/>
  <c r="X502" i="16"/>
  <c r="X503" i="16"/>
  <c r="X504" i="16"/>
  <c r="X505" i="16"/>
  <c r="X506" i="16"/>
  <c r="X507" i="16"/>
  <c r="X508" i="16"/>
  <c r="X509" i="16"/>
  <c r="X510" i="16"/>
  <c r="X511" i="16"/>
  <c r="X512" i="16"/>
  <c r="X513" i="16"/>
  <c r="X514" i="16"/>
  <c r="X515" i="16"/>
  <c r="X516" i="16"/>
  <c r="X517" i="16"/>
  <c r="X518" i="16"/>
  <c r="X519" i="16"/>
  <c r="X520" i="16"/>
  <c r="X521" i="16"/>
  <c r="X522" i="16"/>
  <c r="X523" i="16"/>
  <c r="X524" i="16"/>
  <c r="X525" i="16"/>
  <c r="X526" i="16"/>
  <c r="X527" i="16"/>
  <c r="X528" i="16"/>
  <c r="X529" i="16"/>
  <c r="X530" i="16"/>
  <c r="X531" i="16"/>
  <c r="X532" i="16"/>
  <c r="X533" i="16"/>
  <c r="X534" i="16"/>
  <c r="X535" i="16"/>
  <c r="X536" i="16"/>
  <c r="X537" i="16"/>
  <c r="X538" i="16"/>
  <c r="X539" i="16"/>
  <c r="X540" i="16"/>
  <c r="X541" i="16"/>
  <c r="X542" i="16"/>
  <c r="X543" i="16"/>
  <c r="X544" i="16"/>
  <c r="X545" i="16"/>
  <c r="X546" i="16"/>
  <c r="X547" i="16"/>
  <c r="X548" i="16"/>
  <c r="X549" i="16"/>
  <c r="X550" i="16"/>
  <c r="X551" i="16"/>
  <c r="X552" i="16"/>
  <c r="X553" i="16"/>
  <c r="X554" i="16"/>
  <c r="X555" i="16"/>
  <c r="X556" i="16"/>
  <c r="X557" i="16"/>
  <c r="X558" i="16"/>
  <c r="X559" i="16"/>
  <c r="X560" i="16"/>
  <c r="X561" i="16"/>
  <c r="X562" i="16"/>
  <c r="X563" i="16"/>
  <c r="X564" i="16"/>
  <c r="X565" i="16"/>
  <c r="X566" i="16"/>
  <c r="X567" i="16"/>
  <c r="X568" i="16"/>
  <c r="X569" i="16"/>
  <c r="X570" i="16"/>
  <c r="X571" i="16"/>
  <c r="X572" i="16"/>
  <c r="X573" i="16"/>
  <c r="X574" i="16"/>
  <c r="X575" i="16"/>
  <c r="X576" i="16"/>
  <c r="X577" i="16"/>
  <c r="X578" i="16"/>
  <c r="X579" i="16"/>
  <c r="X580" i="16"/>
  <c r="X581" i="16"/>
  <c r="X582" i="16"/>
  <c r="X583" i="16"/>
  <c r="X584" i="16"/>
  <c r="X585" i="16"/>
  <c r="X586" i="16"/>
  <c r="X587" i="16"/>
  <c r="X588" i="16"/>
  <c r="X589" i="16"/>
  <c r="X590" i="16"/>
  <c r="X591" i="16"/>
  <c r="X592" i="16"/>
  <c r="X593" i="16"/>
  <c r="X594" i="16"/>
  <c r="X595" i="16"/>
  <c r="X596" i="16"/>
  <c r="X597" i="16"/>
  <c r="X598" i="16"/>
  <c r="X599" i="16"/>
  <c r="X600" i="16"/>
  <c r="X601" i="16"/>
  <c r="X602" i="16"/>
  <c r="X603" i="16"/>
  <c r="X604" i="16"/>
  <c r="X605" i="16"/>
  <c r="X606" i="16"/>
  <c r="X607" i="16"/>
  <c r="X608" i="16"/>
  <c r="X609" i="16"/>
  <c r="X610" i="16"/>
  <c r="X611" i="16"/>
  <c r="X612" i="16"/>
  <c r="X613" i="16"/>
  <c r="X614" i="16"/>
  <c r="X615" i="16"/>
  <c r="X616" i="16"/>
  <c r="X617" i="16"/>
  <c r="X618" i="16"/>
  <c r="X619" i="16"/>
  <c r="X620" i="16"/>
  <c r="X621" i="16"/>
  <c r="X622" i="16"/>
  <c r="X623" i="16"/>
  <c r="X624" i="16"/>
  <c r="X625" i="16"/>
  <c r="X626" i="16"/>
  <c r="X627" i="16"/>
  <c r="X628" i="16"/>
  <c r="X629" i="16"/>
  <c r="X630" i="16"/>
  <c r="X631" i="16"/>
  <c r="X632" i="16"/>
  <c r="X633" i="16"/>
  <c r="X634" i="16"/>
  <c r="X635" i="16"/>
  <c r="X636" i="16"/>
  <c r="X637" i="16"/>
  <c r="X638" i="16"/>
  <c r="X639" i="16"/>
  <c r="X640" i="16"/>
  <c r="X641" i="16"/>
  <c r="X642" i="16"/>
  <c r="X643" i="16"/>
  <c r="X644" i="16"/>
  <c r="X645" i="16"/>
  <c r="X646" i="16"/>
  <c r="X647" i="16"/>
  <c r="X648" i="16"/>
  <c r="X649" i="16"/>
  <c r="X650" i="16"/>
  <c r="X651" i="16"/>
  <c r="X652" i="16"/>
  <c r="X653" i="16"/>
  <c r="X654" i="16"/>
  <c r="X655" i="16"/>
  <c r="X656" i="16"/>
  <c r="X657" i="16"/>
  <c r="X658" i="16"/>
  <c r="X659" i="16"/>
  <c r="X660" i="16"/>
  <c r="X661" i="16"/>
  <c r="X662" i="16"/>
  <c r="X663" i="16"/>
  <c r="X664" i="16"/>
  <c r="X665" i="16"/>
  <c r="X666" i="16"/>
  <c r="X667" i="16"/>
  <c r="X668" i="16"/>
  <c r="X669" i="16"/>
  <c r="X670" i="16"/>
  <c r="X671" i="16"/>
  <c r="X672" i="16"/>
  <c r="X673" i="16"/>
  <c r="X674" i="16"/>
  <c r="X675" i="16"/>
  <c r="X676" i="16"/>
  <c r="X677" i="16"/>
  <c r="X678" i="16"/>
  <c r="X679" i="16"/>
  <c r="X680" i="16"/>
  <c r="X681" i="16"/>
  <c r="X682" i="16"/>
  <c r="X683" i="16"/>
  <c r="X684" i="16"/>
  <c r="X685" i="16"/>
  <c r="X686" i="16"/>
  <c r="X687" i="16"/>
  <c r="X688" i="16"/>
  <c r="X689" i="16"/>
  <c r="X690" i="16"/>
  <c r="X691" i="16"/>
  <c r="X692" i="16"/>
  <c r="X693" i="16"/>
  <c r="X694" i="16"/>
  <c r="X695" i="16"/>
  <c r="X696" i="16"/>
  <c r="X697" i="16"/>
  <c r="X698" i="16"/>
  <c r="X699" i="16"/>
  <c r="X700" i="16"/>
  <c r="X701" i="16"/>
  <c r="X702" i="16"/>
  <c r="X703" i="16"/>
  <c r="X704" i="16"/>
  <c r="X705" i="16"/>
  <c r="X706" i="16"/>
  <c r="X707" i="16"/>
  <c r="X708" i="16"/>
  <c r="X709" i="16"/>
  <c r="X710" i="16"/>
  <c r="X711" i="16"/>
  <c r="X712" i="16"/>
  <c r="X713" i="16"/>
  <c r="X714" i="16"/>
  <c r="X715" i="16"/>
  <c r="X716" i="16"/>
  <c r="X717" i="16"/>
  <c r="X718" i="16"/>
  <c r="X719" i="16"/>
  <c r="X720" i="16"/>
  <c r="X721" i="16"/>
  <c r="X722" i="16"/>
  <c r="X723" i="16"/>
  <c r="X724" i="16"/>
  <c r="X725" i="16"/>
  <c r="X726" i="16"/>
  <c r="X727" i="16"/>
  <c r="X728" i="16"/>
  <c r="X729" i="16"/>
  <c r="X730" i="16"/>
  <c r="X731" i="16"/>
  <c r="X732" i="16"/>
  <c r="X733" i="16"/>
  <c r="X734" i="16"/>
  <c r="X735" i="16"/>
  <c r="X736" i="16"/>
  <c r="X737" i="16"/>
  <c r="X738" i="16"/>
  <c r="X739" i="16"/>
  <c r="X740" i="16"/>
  <c r="X741" i="16"/>
  <c r="X742" i="16"/>
  <c r="X743" i="16"/>
  <c r="X744" i="16"/>
  <c r="X745" i="16"/>
  <c r="X746" i="16"/>
  <c r="X747" i="16"/>
  <c r="X748" i="16"/>
  <c r="X749" i="16"/>
  <c r="X750" i="16"/>
  <c r="X751" i="16"/>
  <c r="X752" i="16"/>
  <c r="X753" i="16"/>
  <c r="X754" i="16"/>
  <c r="X755" i="16"/>
  <c r="X756" i="16"/>
  <c r="X757" i="16"/>
  <c r="X758" i="16"/>
  <c r="X759" i="16"/>
  <c r="X760" i="16"/>
  <c r="X761" i="16"/>
  <c r="X762" i="16"/>
  <c r="X763" i="16"/>
  <c r="X764" i="16"/>
  <c r="X765" i="16"/>
  <c r="X766" i="16"/>
  <c r="X767" i="16"/>
  <c r="X768" i="16"/>
  <c r="X769" i="16"/>
  <c r="X770" i="16"/>
  <c r="X771" i="16"/>
  <c r="X772" i="16"/>
  <c r="X773" i="16"/>
  <c r="X774" i="16"/>
  <c r="X775" i="16"/>
  <c r="X776" i="16"/>
  <c r="X777" i="16"/>
  <c r="X778" i="16"/>
  <c r="X779" i="16"/>
  <c r="X780" i="16"/>
  <c r="X781" i="16"/>
  <c r="X782" i="16"/>
  <c r="X783" i="16"/>
  <c r="X784" i="16"/>
  <c r="X785" i="16"/>
  <c r="X786" i="16"/>
  <c r="X787" i="16"/>
  <c r="X788" i="16"/>
  <c r="X789" i="16"/>
  <c r="X790" i="16"/>
  <c r="X791" i="16"/>
  <c r="X792" i="16"/>
  <c r="X793" i="16"/>
  <c r="X794" i="16"/>
  <c r="X795" i="16"/>
  <c r="X796" i="16"/>
  <c r="X797" i="16"/>
  <c r="X798" i="16"/>
  <c r="X799" i="16"/>
  <c r="X800" i="16"/>
  <c r="X801" i="16"/>
  <c r="X802" i="16"/>
  <c r="X803" i="16"/>
  <c r="X804" i="16"/>
  <c r="X805" i="16"/>
  <c r="X806" i="16"/>
  <c r="X807" i="16"/>
  <c r="X808" i="16"/>
  <c r="X809" i="16"/>
  <c r="X810" i="16"/>
  <c r="X811" i="16"/>
  <c r="X812" i="16"/>
  <c r="X813" i="16"/>
  <c r="X814" i="16"/>
  <c r="X815" i="16"/>
  <c r="X816" i="16"/>
  <c r="X817" i="16"/>
  <c r="X818" i="16"/>
  <c r="X819" i="16"/>
  <c r="X820" i="16"/>
  <c r="X821" i="16"/>
  <c r="X822" i="16"/>
  <c r="X823" i="16"/>
  <c r="X824" i="16"/>
  <c r="X825" i="16"/>
  <c r="X826" i="16"/>
  <c r="X827" i="16"/>
  <c r="X828" i="16"/>
  <c r="X829" i="16"/>
  <c r="X830" i="16"/>
  <c r="X831" i="16"/>
  <c r="X832" i="16"/>
  <c r="X833" i="16"/>
  <c r="X834" i="16"/>
  <c r="X835" i="16"/>
  <c r="X836" i="16"/>
  <c r="X837" i="16"/>
  <c r="X838" i="16"/>
  <c r="X839" i="16"/>
  <c r="X840" i="16"/>
  <c r="X841" i="16"/>
  <c r="X842" i="16"/>
  <c r="X843" i="16"/>
  <c r="X844" i="16"/>
  <c r="X845" i="16"/>
  <c r="X846" i="16"/>
  <c r="X847" i="16"/>
  <c r="X848" i="16"/>
  <c r="X849" i="16"/>
  <c r="X850" i="16"/>
  <c r="X851" i="16"/>
  <c r="X852" i="16"/>
  <c r="X853" i="16"/>
  <c r="X854" i="16"/>
  <c r="X855" i="16"/>
  <c r="X856" i="16"/>
  <c r="X857" i="16"/>
  <c r="X858" i="16"/>
  <c r="X859" i="16"/>
  <c r="X860" i="16"/>
  <c r="X861" i="16"/>
  <c r="X862" i="16"/>
  <c r="X863" i="16"/>
  <c r="X864" i="16"/>
  <c r="X865" i="16"/>
  <c r="X866" i="16"/>
  <c r="X867" i="16"/>
  <c r="X868" i="16"/>
  <c r="X869" i="16"/>
  <c r="X870" i="16"/>
  <c r="X871" i="16"/>
  <c r="X872" i="16"/>
  <c r="X873" i="16"/>
  <c r="X874" i="16"/>
  <c r="X875" i="16"/>
  <c r="X876" i="16"/>
  <c r="X877" i="16"/>
  <c r="X878" i="16"/>
  <c r="X879" i="16"/>
  <c r="X880" i="16"/>
  <c r="X881" i="16"/>
  <c r="X882" i="16"/>
  <c r="X883" i="16"/>
  <c r="X884" i="16"/>
  <c r="X885" i="16"/>
  <c r="X886" i="16"/>
  <c r="X887" i="16"/>
  <c r="X888" i="16"/>
  <c r="X889" i="16"/>
  <c r="X890" i="16"/>
  <c r="X891" i="16"/>
  <c r="X892" i="16"/>
  <c r="X893" i="16"/>
  <c r="X894" i="16"/>
  <c r="X895" i="16"/>
  <c r="X896" i="16"/>
  <c r="X897" i="16"/>
  <c r="X898" i="16"/>
  <c r="X899" i="16"/>
  <c r="X900" i="16"/>
  <c r="X901" i="16"/>
  <c r="X902" i="16"/>
  <c r="X903" i="16"/>
  <c r="X904" i="16"/>
  <c r="X905" i="16"/>
  <c r="X906" i="16"/>
  <c r="X907" i="16"/>
  <c r="X908" i="16"/>
  <c r="X909" i="16"/>
  <c r="X910" i="16"/>
  <c r="X911" i="16"/>
  <c r="X912" i="16"/>
  <c r="X913" i="16"/>
  <c r="X914" i="16"/>
  <c r="X915" i="16"/>
  <c r="X916" i="16"/>
  <c r="X917" i="16"/>
  <c r="X918" i="16"/>
  <c r="X919" i="16"/>
  <c r="X920" i="16"/>
  <c r="X921" i="16"/>
  <c r="X922" i="16"/>
  <c r="X923" i="16"/>
  <c r="X924" i="16"/>
  <c r="X925" i="16"/>
  <c r="X926" i="16"/>
  <c r="X927" i="16"/>
  <c r="X928" i="16"/>
  <c r="X929" i="16"/>
  <c r="X930" i="16"/>
  <c r="X931" i="16"/>
  <c r="X932" i="16"/>
  <c r="X933" i="16"/>
  <c r="X934" i="16"/>
  <c r="X935" i="16"/>
  <c r="X936" i="16"/>
  <c r="X937" i="16"/>
  <c r="X938" i="16"/>
  <c r="X939" i="16"/>
  <c r="X940" i="16"/>
  <c r="X941" i="16"/>
  <c r="X942" i="16"/>
  <c r="X943" i="16"/>
  <c r="X944" i="16"/>
  <c r="X945" i="16"/>
  <c r="X946" i="16"/>
  <c r="X947" i="16"/>
  <c r="X948" i="16"/>
  <c r="X949" i="16"/>
  <c r="X950" i="16"/>
  <c r="X951" i="16"/>
  <c r="X952" i="16"/>
  <c r="X953" i="16"/>
  <c r="X954" i="16"/>
  <c r="X955" i="16"/>
  <c r="X956" i="16"/>
  <c r="X957" i="16"/>
  <c r="X958" i="16"/>
  <c r="X959" i="16"/>
  <c r="X960" i="16"/>
  <c r="X961" i="16"/>
  <c r="X962" i="16"/>
  <c r="X963" i="16"/>
  <c r="X964" i="16"/>
  <c r="X965" i="16"/>
  <c r="X966" i="16"/>
  <c r="X967" i="16"/>
  <c r="X968" i="16"/>
  <c r="X969" i="16"/>
  <c r="X970" i="16"/>
  <c r="X971" i="16"/>
  <c r="X972" i="16"/>
  <c r="X973" i="16"/>
  <c r="X974" i="16"/>
  <c r="X975" i="16"/>
  <c r="X976" i="16"/>
  <c r="X977" i="16"/>
  <c r="X978" i="16"/>
  <c r="X979" i="16"/>
  <c r="X980" i="16"/>
  <c r="X981" i="16"/>
  <c r="X982" i="16"/>
  <c r="X983" i="16"/>
  <c r="X984" i="16"/>
  <c r="X985" i="16"/>
  <c r="X986" i="16"/>
  <c r="X987" i="16"/>
  <c r="X988" i="16"/>
  <c r="X989" i="16"/>
  <c r="X990" i="16"/>
  <c r="X991" i="16"/>
  <c r="X992" i="16"/>
  <c r="X993" i="16"/>
  <c r="X994" i="16"/>
  <c r="X995" i="16"/>
  <c r="X996" i="16"/>
  <c r="X997" i="16"/>
  <c r="X998" i="16"/>
  <c r="X999" i="16"/>
  <c r="X1000" i="16"/>
  <c r="X1001" i="16"/>
  <c r="X1002" i="16"/>
  <c r="X1003" i="16"/>
  <c r="X1004" i="16"/>
  <c r="X1005" i="16"/>
  <c r="X1006" i="16"/>
  <c r="X1007" i="16"/>
  <c r="X1008" i="16"/>
  <c r="X1009" i="16"/>
  <c r="X1010" i="16"/>
  <c r="X1011" i="16"/>
  <c r="X1012" i="16"/>
  <c r="X1013" i="16"/>
  <c r="X1014" i="16"/>
  <c r="X1015" i="16"/>
  <c r="X1016" i="16"/>
  <c r="X1017" i="16"/>
  <c r="X1018" i="16"/>
  <c r="X1019" i="16"/>
  <c r="X1020" i="16"/>
  <c r="X1021" i="16"/>
  <c r="X1022" i="16"/>
  <c r="X1023" i="16"/>
  <c r="X1024" i="16"/>
  <c r="X1025" i="16"/>
  <c r="X1026" i="16"/>
  <c r="X1027" i="16"/>
  <c r="X1028" i="16"/>
  <c r="X1029" i="16"/>
  <c r="X1030" i="16"/>
  <c r="X1031" i="16"/>
  <c r="X1032" i="16"/>
  <c r="X1033" i="16"/>
  <c r="X1034" i="16"/>
  <c r="X1035" i="16"/>
  <c r="X1036" i="16"/>
  <c r="X1037" i="16"/>
  <c r="X1038" i="16"/>
  <c r="X1039" i="16"/>
  <c r="X1040" i="16"/>
  <c r="X1041" i="16"/>
  <c r="X1042" i="16"/>
  <c r="X1043" i="16"/>
  <c r="X1044" i="16"/>
  <c r="X1045" i="16"/>
  <c r="X1046" i="16"/>
  <c r="X1047" i="16"/>
  <c r="X1048" i="16"/>
  <c r="X1049" i="16"/>
  <c r="X1050" i="16"/>
  <c r="X1051" i="16"/>
  <c r="X1052" i="16"/>
  <c r="X1053" i="16"/>
  <c r="X1054" i="16"/>
  <c r="X1055" i="16"/>
  <c r="X1056" i="16"/>
  <c r="X1057" i="16"/>
  <c r="X1058" i="16"/>
  <c r="X1059" i="16"/>
  <c r="X1060" i="16"/>
  <c r="X1061" i="16"/>
  <c r="X1062" i="16"/>
  <c r="X1063" i="16"/>
  <c r="X1064" i="16"/>
  <c r="X1065" i="16"/>
  <c r="X1066" i="16"/>
  <c r="X1067" i="16"/>
  <c r="X1068" i="16"/>
  <c r="X1069" i="16"/>
  <c r="X1070" i="16"/>
  <c r="X1071" i="16"/>
  <c r="X1072" i="16"/>
  <c r="X1073" i="16"/>
  <c r="X1074" i="16"/>
  <c r="X1075" i="16"/>
  <c r="X1076" i="16"/>
  <c r="X1077" i="16"/>
  <c r="X1078" i="16"/>
  <c r="X1079" i="16"/>
  <c r="X1080" i="16"/>
  <c r="X1081" i="16"/>
  <c r="X1082" i="16"/>
  <c r="X1083" i="16"/>
  <c r="X1084" i="16"/>
  <c r="X1085" i="16"/>
  <c r="X1086" i="16"/>
  <c r="X1087" i="16"/>
  <c r="X1088" i="16"/>
  <c r="X1089" i="16"/>
  <c r="X1090" i="16"/>
  <c r="X1091" i="16"/>
  <c r="X1092" i="16"/>
  <c r="X1093" i="16"/>
  <c r="X1094" i="16"/>
  <c r="X1095" i="16"/>
  <c r="X1096" i="16"/>
  <c r="X1097" i="16"/>
  <c r="X1098" i="16"/>
  <c r="X1099" i="16"/>
  <c r="X1100" i="16"/>
  <c r="X1101" i="16"/>
  <c r="X1102" i="16"/>
  <c r="X1103" i="16"/>
  <c r="X1104" i="16"/>
  <c r="X1105" i="16"/>
  <c r="X1106" i="16"/>
  <c r="X1107" i="16"/>
  <c r="X1108" i="16"/>
  <c r="X1109" i="16"/>
  <c r="X1110" i="16"/>
  <c r="X1111" i="16"/>
  <c r="X1112" i="16"/>
  <c r="X1113" i="16"/>
  <c r="X1114" i="16"/>
  <c r="X1115" i="16"/>
  <c r="X1116" i="16"/>
  <c r="X1117" i="16"/>
  <c r="X1118" i="16"/>
  <c r="X1119" i="16"/>
  <c r="X1120" i="16"/>
  <c r="X1121" i="16"/>
  <c r="X1122" i="16"/>
  <c r="X1123" i="16"/>
  <c r="X1124" i="16"/>
  <c r="X1125" i="16"/>
  <c r="X1126" i="16"/>
  <c r="X1127" i="16"/>
  <c r="X1128" i="16"/>
  <c r="X1129" i="16"/>
  <c r="X1130" i="16"/>
  <c r="X1131" i="16"/>
  <c r="X1132" i="16"/>
  <c r="X1133" i="16"/>
  <c r="X1134" i="16"/>
  <c r="X1135" i="16"/>
  <c r="X1136" i="16"/>
  <c r="X1137" i="16"/>
  <c r="X1138" i="16"/>
  <c r="X1139" i="16"/>
  <c r="X1140" i="16"/>
  <c r="X1141" i="16"/>
  <c r="X1142" i="16"/>
  <c r="X1143" i="16"/>
  <c r="X1144" i="16"/>
  <c r="X1145" i="16"/>
  <c r="X1146" i="16"/>
  <c r="X1147" i="16"/>
  <c r="X1148" i="16"/>
  <c r="X1149" i="16"/>
  <c r="X1150" i="16"/>
  <c r="X1151" i="16"/>
  <c r="X1152" i="16"/>
  <c r="X1153" i="16"/>
  <c r="X1154" i="16"/>
  <c r="X1155" i="16"/>
  <c r="X1156" i="16"/>
  <c r="X1157" i="16"/>
  <c r="X1158" i="16"/>
  <c r="X1159" i="16"/>
  <c r="X1160" i="16"/>
  <c r="X1161" i="16"/>
  <c r="X1162" i="16"/>
  <c r="X1163" i="16"/>
  <c r="X1164" i="16"/>
  <c r="X1165" i="16"/>
  <c r="X1166" i="16"/>
  <c r="X1167" i="16"/>
  <c r="X1168" i="16"/>
  <c r="X1169" i="16"/>
  <c r="X1170" i="16"/>
  <c r="X1171" i="16"/>
  <c r="X1172" i="16"/>
  <c r="X1173" i="16"/>
  <c r="X1174" i="16"/>
  <c r="X1175" i="16"/>
  <c r="X1176" i="16"/>
  <c r="X1177" i="16"/>
  <c r="X1178" i="16"/>
  <c r="X1179" i="16"/>
  <c r="X1180" i="16"/>
  <c r="X1181" i="16"/>
  <c r="X1182" i="16"/>
  <c r="X1183" i="16"/>
  <c r="X1184" i="16"/>
  <c r="X1185" i="16"/>
  <c r="X1186" i="16"/>
  <c r="X1187" i="16"/>
  <c r="X1188" i="16"/>
  <c r="X1189" i="16"/>
  <c r="X1190" i="16"/>
  <c r="X1191" i="16"/>
  <c r="X1192" i="16"/>
  <c r="X1193" i="16"/>
  <c r="X1194" i="16"/>
  <c r="X1195" i="16"/>
  <c r="X1196" i="16"/>
  <c r="X1197" i="16"/>
  <c r="X1198" i="16"/>
  <c r="X1199" i="16"/>
  <c r="X1200" i="16"/>
  <c r="X1201" i="16"/>
  <c r="X1202" i="16"/>
  <c r="X1203" i="16"/>
  <c r="X1204" i="16"/>
  <c r="X1205" i="16"/>
  <c r="X1206" i="16"/>
  <c r="X1207" i="16"/>
  <c r="X1208" i="16"/>
  <c r="X1209" i="16"/>
  <c r="X1210" i="16"/>
  <c r="X1211" i="16"/>
  <c r="X1212" i="16"/>
  <c r="X1213" i="16"/>
  <c r="X1214" i="16"/>
  <c r="X1215" i="16"/>
  <c r="X1216" i="16"/>
  <c r="X1217" i="16"/>
  <c r="X1218" i="16"/>
  <c r="X1219" i="16"/>
  <c r="X1220" i="16"/>
  <c r="X1221" i="16"/>
  <c r="X1222" i="16"/>
  <c r="X1223" i="16"/>
  <c r="X1224" i="16"/>
  <c r="X1225" i="16"/>
  <c r="X1226" i="16"/>
  <c r="X1227" i="16"/>
  <c r="X1228" i="16"/>
  <c r="X1229" i="16"/>
  <c r="X1230" i="16"/>
  <c r="X1231" i="16"/>
  <c r="X1232" i="16"/>
  <c r="X1233" i="16"/>
  <c r="X1234" i="16"/>
  <c r="X1235" i="16"/>
  <c r="X1236" i="16"/>
  <c r="X1237" i="16"/>
  <c r="X1238" i="16"/>
  <c r="X1239" i="16"/>
  <c r="X1240" i="16"/>
  <c r="X1241" i="16"/>
  <c r="X1242" i="16"/>
  <c r="X1243" i="16"/>
  <c r="X1244" i="16"/>
  <c r="X1245" i="16"/>
  <c r="X1246" i="16"/>
  <c r="X1247" i="16"/>
  <c r="X1248" i="16"/>
  <c r="X1249" i="16"/>
  <c r="X1250" i="16"/>
  <c r="X1251" i="16"/>
  <c r="X1252" i="16"/>
  <c r="X1253" i="16"/>
  <c r="X1254" i="16"/>
  <c r="X1255" i="16"/>
  <c r="X1256" i="16"/>
  <c r="X1257" i="16"/>
  <c r="X1258" i="16"/>
  <c r="X1259" i="16"/>
  <c r="X1260" i="16"/>
  <c r="X1261" i="16"/>
  <c r="X1262" i="16"/>
  <c r="X1263" i="16"/>
  <c r="X1264" i="16"/>
  <c r="X1265" i="16"/>
  <c r="X1266" i="16"/>
  <c r="X1267" i="16"/>
  <c r="X1268" i="16"/>
  <c r="X1269" i="16"/>
  <c r="X1270" i="16"/>
  <c r="X1271" i="16"/>
  <c r="X1272" i="16"/>
  <c r="X1273" i="16"/>
  <c r="X1274" i="16"/>
  <c r="X1275" i="16"/>
  <c r="X1276" i="16"/>
  <c r="X1277" i="16"/>
  <c r="X1278" i="16"/>
  <c r="X1279" i="16"/>
  <c r="X1280" i="16"/>
  <c r="X1281" i="16"/>
  <c r="X1282" i="16"/>
  <c r="X1283" i="16"/>
  <c r="X1284" i="16"/>
  <c r="X1285" i="16"/>
  <c r="X1286" i="16"/>
  <c r="X1287" i="16"/>
  <c r="X1288" i="16"/>
  <c r="X1289" i="16"/>
  <c r="X1290" i="16"/>
  <c r="X1291" i="16"/>
  <c r="X1292" i="16"/>
  <c r="X1293" i="16"/>
  <c r="X1294" i="16"/>
  <c r="X1295" i="16"/>
  <c r="X1296" i="16"/>
  <c r="X1297" i="16"/>
  <c r="X1298" i="16"/>
  <c r="X1299" i="16"/>
  <c r="X1300" i="16"/>
  <c r="X1301" i="16"/>
  <c r="X1302" i="16"/>
  <c r="X1303" i="16"/>
  <c r="X1304" i="16"/>
  <c r="X1305" i="16"/>
  <c r="X1306" i="16"/>
  <c r="X1307" i="16"/>
  <c r="X1308" i="16"/>
  <c r="X1309" i="16"/>
  <c r="X1310" i="16"/>
  <c r="X1311" i="16"/>
  <c r="X1312" i="16"/>
  <c r="X1313" i="16"/>
  <c r="X1314" i="16"/>
  <c r="X1315" i="16"/>
  <c r="X1316" i="16"/>
  <c r="X1317" i="16"/>
  <c r="X1318" i="16"/>
  <c r="X1319" i="16"/>
  <c r="X1320" i="16"/>
  <c r="X1321" i="16"/>
  <c r="X1322" i="16"/>
  <c r="X1323" i="16"/>
  <c r="X1324" i="16"/>
  <c r="X1325" i="16"/>
  <c r="X1326" i="16"/>
  <c r="X1327" i="16"/>
  <c r="X1328" i="16"/>
  <c r="X1329" i="16"/>
  <c r="X1330" i="16"/>
  <c r="X1331" i="16"/>
  <c r="X1332" i="16"/>
  <c r="X1333" i="16"/>
  <c r="X1334" i="16"/>
  <c r="X1335" i="16"/>
  <c r="X1336" i="16"/>
  <c r="X1337" i="16"/>
  <c r="X1338" i="16"/>
  <c r="X1339" i="16"/>
  <c r="X1340" i="16"/>
  <c r="X1341" i="16"/>
  <c r="X1342" i="16"/>
  <c r="X1343" i="16"/>
  <c r="X1344" i="16"/>
  <c r="X1345" i="16"/>
  <c r="X1346" i="16"/>
  <c r="X1347" i="16"/>
  <c r="X1348" i="16"/>
  <c r="X1349" i="16"/>
  <c r="X1350" i="16"/>
  <c r="X1351" i="16"/>
  <c r="X1352" i="16"/>
  <c r="X1353" i="16"/>
  <c r="X1354" i="16"/>
  <c r="X1355" i="16"/>
  <c r="X1356" i="16"/>
  <c r="X1357" i="16"/>
  <c r="X1358" i="16"/>
  <c r="X1359" i="16"/>
  <c r="X1360" i="16"/>
  <c r="X1361" i="16"/>
  <c r="X1362" i="16"/>
  <c r="X1363" i="16"/>
  <c r="X1364" i="16"/>
  <c r="X1365" i="16"/>
  <c r="X1366" i="16"/>
  <c r="X1367" i="16"/>
  <c r="X1368" i="16"/>
  <c r="X1369" i="16"/>
  <c r="X1370" i="16"/>
  <c r="X1371" i="16"/>
  <c r="X1372" i="16"/>
  <c r="X1373" i="16"/>
  <c r="X1374" i="16"/>
  <c r="X1375" i="16"/>
  <c r="X1376" i="16"/>
  <c r="X1377" i="16"/>
  <c r="X1378" i="16"/>
  <c r="X1379" i="16"/>
  <c r="X1380" i="16"/>
  <c r="X1381" i="16"/>
  <c r="X1382" i="16"/>
  <c r="X1383" i="16"/>
  <c r="X1384" i="16"/>
  <c r="X1385" i="16"/>
  <c r="X1386" i="16"/>
  <c r="X1387" i="16"/>
  <c r="X1388" i="16"/>
  <c r="X1389" i="16"/>
  <c r="X1390" i="16"/>
  <c r="X1391" i="16"/>
  <c r="X1392" i="16"/>
  <c r="X1393" i="16"/>
  <c r="X1394" i="16"/>
  <c r="X1395" i="16"/>
  <c r="X1396" i="16"/>
  <c r="X1397" i="16"/>
  <c r="X1398" i="16"/>
  <c r="X1399" i="16"/>
  <c r="X1400" i="16"/>
  <c r="X1401" i="16"/>
  <c r="X1402" i="16"/>
  <c r="X1403" i="16"/>
  <c r="X1404" i="16"/>
  <c r="X1405" i="16"/>
  <c r="X1406" i="16"/>
  <c r="X1407" i="16"/>
  <c r="X1408" i="16"/>
  <c r="X1409" i="16"/>
  <c r="X1410" i="16"/>
  <c r="X1411" i="16"/>
  <c r="X1412" i="16"/>
  <c r="X1413" i="16"/>
  <c r="X1414" i="16"/>
  <c r="X1415" i="16"/>
  <c r="X1416" i="16"/>
  <c r="X1417" i="16"/>
  <c r="X1418" i="16"/>
  <c r="X1419" i="16"/>
  <c r="X1420" i="16"/>
  <c r="X1421" i="16"/>
  <c r="X1422" i="16"/>
  <c r="X1423" i="16"/>
  <c r="X1424" i="16"/>
  <c r="X1425" i="16"/>
  <c r="X1426" i="16"/>
  <c r="X1427" i="16"/>
  <c r="X1428" i="16"/>
  <c r="X1429" i="16"/>
  <c r="X1430" i="16"/>
  <c r="X1431" i="16"/>
  <c r="X1432" i="16"/>
  <c r="X1433" i="16"/>
  <c r="X1434" i="16"/>
  <c r="X1435" i="16"/>
  <c r="X1436" i="16"/>
  <c r="X1437" i="16"/>
  <c r="X1438" i="16"/>
  <c r="X1439" i="16"/>
  <c r="X1440" i="16"/>
  <c r="X1441" i="16"/>
  <c r="X1442" i="16"/>
  <c r="X1443" i="16"/>
  <c r="X1444" i="16"/>
  <c r="X1445" i="16"/>
  <c r="X1446" i="16"/>
  <c r="X1447" i="16"/>
  <c r="X1448" i="16"/>
  <c r="X1449" i="16"/>
  <c r="X1450" i="16"/>
  <c r="X1451" i="16"/>
  <c r="X1452" i="16"/>
  <c r="X1453" i="16"/>
  <c r="X1454" i="16"/>
  <c r="X1455" i="16"/>
  <c r="X1456" i="16"/>
  <c r="X1457" i="16"/>
  <c r="X1458" i="16"/>
  <c r="X1459" i="16"/>
  <c r="X1460" i="16"/>
  <c r="X1461" i="16"/>
  <c r="X1462" i="16"/>
  <c r="X1463" i="16"/>
  <c r="X1464" i="16"/>
  <c r="X1465" i="16"/>
  <c r="X1466" i="16"/>
  <c r="X1467" i="16"/>
  <c r="X1468" i="16"/>
  <c r="X1469" i="16"/>
  <c r="X1470" i="16"/>
  <c r="X1471" i="16"/>
  <c r="X1472" i="16"/>
  <c r="X1473" i="16"/>
  <c r="X1474" i="16"/>
  <c r="X1475" i="16"/>
  <c r="X1476" i="16"/>
  <c r="X1477" i="16"/>
  <c r="X1478" i="16"/>
  <c r="X1479" i="16"/>
  <c r="X1480" i="16"/>
  <c r="X1481" i="16"/>
  <c r="X1482" i="16"/>
  <c r="X1483" i="16"/>
  <c r="X1484" i="16"/>
  <c r="X1485" i="16"/>
  <c r="X1486" i="16"/>
  <c r="X1487" i="16"/>
  <c r="X1488" i="16"/>
  <c r="X1489" i="16"/>
  <c r="X1490" i="16"/>
  <c r="X1491" i="16"/>
  <c r="X1492" i="16"/>
  <c r="X1493" i="16"/>
  <c r="X1494" i="16"/>
  <c r="X1495" i="16"/>
  <c r="X1496" i="16"/>
  <c r="X1497" i="16"/>
  <c r="X1498" i="16"/>
  <c r="X1499" i="16"/>
  <c r="X1500" i="16"/>
  <c r="X1501" i="16"/>
  <c r="X1502" i="16"/>
  <c r="X1503" i="16"/>
  <c r="X1504" i="16"/>
  <c r="X1505" i="16"/>
  <c r="X1506" i="16"/>
  <c r="X1507" i="16"/>
  <c r="X1508" i="16"/>
  <c r="X1509" i="16"/>
  <c r="X1510" i="16"/>
  <c r="X1511" i="16"/>
  <c r="X1512" i="16"/>
  <c r="X1513" i="16"/>
  <c r="X1514" i="16"/>
  <c r="X1515" i="16"/>
  <c r="X1516" i="16"/>
  <c r="X1517" i="16"/>
  <c r="X1518" i="16"/>
  <c r="X1519" i="16"/>
  <c r="X1520" i="16"/>
  <c r="X1521" i="16"/>
  <c r="X1522" i="16"/>
  <c r="X1523" i="16"/>
  <c r="X1524" i="16"/>
  <c r="X1525" i="16"/>
  <c r="X1526" i="16"/>
  <c r="X1527" i="16"/>
  <c r="X1528" i="16"/>
  <c r="X1529" i="16"/>
  <c r="X1530" i="16"/>
  <c r="X1531" i="16"/>
  <c r="X1532" i="16"/>
  <c r="X1533" i="16"/>
  <c r="X1534" i="16"/>
  <c r="X1535" i="16"/>
  <c r="X1536" i="16"/>
  <c r="X1537" i="16"/>
  <c r="X1538" i="16"/>
  <c r="X1539" i="16"/>
  <c r="X1540" i="16"/>
  <c r="X1541" i="16"/>
  <c r="X1542" i="16"/>
  <c r="X1543" i="16"/>
  <c r="X1544" i="16"/>
  <c r="X1545" i="16"/>
  <c r="X1546" i="16"/>
  <c r="X1547" i="16"/>
  <c r="X1548" i="16"/>
  <c r="X1549" i="16"/>
  <c r="X1550" i="16"/>
  <c r="X1551" i="16"/>
  <c r="X1552" i="16"/>
  <c r="X1553" i="16"/>
  <c r="X1554" i="16"/>
  <c r="X1555" i="16"/>
  <c r="X1556" i="16"/>
  <c r="X1557" i="16"/>
  <c r="X1558" i="16"/>
  <c r="X1559" i="16"/>
  <c r="X1560" i="16"/>
  <c r="X1561" i="16"/>
  <c r="X1562" i="16"/>
  <c r="X1563" i="16"/>
  <c r="X1564" i="16"/>
  <c r="X1565" i="16"/>
  <c r="X1566" i="16"/>
  <c r="X1567" i="16"/>
  <c r="X1568" i="16"/>
  <c r="X1569" i="16"/>
  <c r="X1570" i="16"/>
  <c r="X1571" i="16"/>
  <c r="X1572" i="16"/>
  <c r="X1573" i="16"/>
  <c r="X1574" i="16"/>
  <c r="X1575" i="16"/>
  <c r="X1576" i="16"/>
  <c r="X1577" i="16"/>
  <c r="X1578" i="16"/>
  <c r="X1579" i="16"/>
  <c r="X1580" i="16"/>
  <c r="X1581" i="16"/>
  <c r="X1582" i="16"/>
  <c r="X1583" i="16"/>
  <c r="X1584" i="16"/>
  <c r="X1585" i="16"/>
  <c r="X1586" i="16"/>
  <c r="X1587" i="16"/>
  <c r="X1588" i="16"/>
  <c r="X1589" i="16"/>
  <c r="X1590" i="16"/>
  <c r="X1591" i="16"/>
  <c r="X1592" i="16"/>
  <c r="X1593" i="16"/>
  <c r="X1594" i="16"/>
  <c r="X1595" i="16"/>
  <c r="X1596" i="16"/>
  <c r="X1597" i="16"/>
  <c r="X1598" i="16"/>
  <c r="X1599" i="16"/>
  <c r="X1600" i="16"/>
  <c r="X1601" i="16"/>
  <c r="X1602" i="16"/>
  <c r="X1603" i="16"/>
  <c r="X1604" i="16"/>
  <c r="X1605" i="16"/>
  <c r="X1606" i="16"/>
  <c r="X1607" i="16"/>
  <c r="X1608" i="16"/>
  <c r="X1609" i="16"/>
  <c r="X1610" i="16"/>
  <c r="X1611" i="16"/>
  <c r="X1612" i="16"/>
  <c r="X1613" i="16"/>
  <c r="X1614" i="16"/>
  <c r="X1615" i="16"/>
  <c r="X1616" i="16"/>
  <c r="X1617" i="16"/>
  <c r="X1618" i="16"/>
  <c r="X1619" i="16"/>
  <c r="X1620" i="16"/>
  <c r="X1621" i="16"/>
  <c r="X1622" i="16"/>
  <c r="X1623" i="16"/>
  <c r="X1624" i="16"/>
  <c r="X1625" i="16"/>
  <c r="X1626" i="16"/>
  <c r="X1627" i="16"/>
  <c r="X1628" i="16"/>
  <c r="X1629" i="16"/>
  <c r="X1630" i="16"/>
  <c r="X1631" i="16"/>
  <c r="X1632" i="16"/>
  <c r="X1633" i="16"/>
  <c r="X1634" i="16"/>
  <c r="X1635" i="16"/>
  <c r="X1636" i="16"/>
  <c r="X1637" i="16"/>
  <c r="X1638" i="16"/>
  <c r="X1639" i="16"/>
  <c r="X1640" i="16"/>
  <c r="X1641" i="16"/>
  <c r="X1642" i="16"/>
  <c r="X1643" i="16"/>
  <c r="X1644" i="16"/>
  <c r="X1645" i="16"/>
  <c r="X1646" i="16"/>
  <c r="X1647" i="16"/>
  <c r="X1648" i="16"/>
  <c r="X1649" i="16"/>
  <c r="X1650" i="16"/>
  <c r="X1651" i="16"/>
  <c r="X1652" i="16"/>
  <c r="X1653" i="16"/>
  <c r="X1654" i="16"/>
  <c r="X1655" i="16"/>
  <c r="X1656" i="16"/>
  <c r="X1657" i="16"/>
  <c r="X1658" i="16"/>
  <c r="X1659" i="16"/>
  <c r="X1660" i="16"/>
  <c r="X1661" i="16"/>
  <c r="X1662" i="16"/>
  <c r="X1663" i="16"/>
  <c r="X1664" i="16"/>
  <c r="X1665" i="16"/>
  <c r="X1666" i="16"/>
  <c r="X1667" i="16"/>
  <c r="X1668" i="16"/>
  <c r="X1669" i="16"/>
  <c r="X1670" i="16"/>
  <c r="X1671" i="16"/>
  <c r="X1672" i="16"/>
  <c r="X1673" i="16"/>
  <c r="X1674" i="16"/>
  <c r="X1675" i="16"/>
  <c r="X1676" i="16"/>
  <c r="X1677" i="16"/>
  <c r="X1678" i="16"/>
  <c r="X1679" i="16"/>
  <c r="X1680" i="16"/>
  <c r="X1681" i="16"/>
  <c r="X1682" i="16"/>
  <c r="X1683" i="16"/>
  <c r="X1684" i="16"/>
  <c r="X1685" i="16"/>
  <c r="X1686" i="16"/>
  <c r="X1687" i="16"/>
  <c r="X1688" i="16"/>
  <c r="X1689" i="16"/>
  <c r="X1690" i="16"/>
  <c r="X1691" i="16"/>
  <c r="X1692" i="16"/>
  <c r="X1693" i="16"/>
  <c r="X1694" i="16"/>
  <c r="X1695" i="16"/>
  <c r="X1696" i="16"/>
  <c r="X1697" i="16"/>
  <c r="X1698" i="16"/>
  <c r="X1699" i="16"/>
  <c r="X1700" i="16"/>
  <c r="X1701" i="16"/>
  <c r="X1702" i="16"/>
  <c r="X1703" i="16"/>
  <c r="X1704" i="16"/>
  <c r="X1705" i="16"/>
  <c r="X1706" i="16"/>
  <c r="X1707" i="16"/>
  <c r="X1708" i="16"/>
  <c r="X1709" i="16"/>
  <c r="X1710" i="16"/>
  <c r="X1711" i="16"/>
  <c r="X1712" i="16"/>
  <c r="X1713" i="16"/>
  <c r="X1714" i="16"/>
  <c r="X1715" i="16"/>
  <c r="X1716" i="16"/>
  <c r="X1717" i="16"/>
  <c r="X1718" i="16"/>
  <c r="X1719" i="16"/>
  <c r="X1720" i="16"/>
  <c r="X1721" i="16"/>
  <c r="X1722" i="16"/>
  <c r="X1723" i="16"/>
  <c r="X1724" i="16"/>
  <c r="X1725" i="16"/>
  <c r="X1726" i="16"/>
  <c r="X1727" i="16"/>
  <c r="X1728" i="16"/>
  <c r="X1729" i="16"/>
  <c r="X1730" i="16"/>
  <c r="X1731" i="16"/>
  <c r="X1732" i="16"/>
  <c r="X1733" i="16"/>
  <c r="X1734" i="16"/>
  <c r="X1735" i="16"/>
  <c r="X1736" i="16"/>
  <c r="X1737" i="16"/>
  <c r="X1738" i="16"/>
  <c r="X1739" i="16"/>
  <c r="X1740" i="16"/>
  <c r="X1741" i="16"/>
  <c r="X1742" i="16"/>
  <c r="X1743" i="16"/>
  <c r="X1744" i="16"/>
  <c r="X1745" i="16"/>
  <c r="X1746" i="16"/>
  <c r="X1747" i="16"/>
  <c r="X1748" i="16"/>
  <c r="X1749" i="16"/>
  <c r="X1750" i="16"/>
  <c r="X1751" i="16"/>
  <c r="X1752" i="16"/>
  <c r="X1753" i="16"/>
  <c r="X1754" i="16"/>
  <c r="X1755" i="16"/>
  <c r="X1756" i="16"/>
  <c r="X1757" i="16"/>
  <c r="X1758" i="16"/>
  <c r="X1759" i="16"/>
  <c r="X1760" i="16"/>
  <c r="X1761" i="16"/>
  <c r="X1762" i="16"/>
  <c r="X1763" i="16"/>
  <c r="X1764" i="16"/>
  <c r="X1765" i="16"/>
  <c r="X1766" i="16"/>
  <c r="X1767" i="16"/>
  <c r="X1768" i="16"/>
  <c r="X1769" i="16"/>
  <c r="X1770" i="16"/>
  <c r="X1771" i="16"/>
  <c r="X1772" i="16"/>
  <c r="X1773" i="16"/>
  <c r="X1774" i="16"/>
  <c r="X1775" i="16"/>
  <c r="X1776" i="16"/>
  <c r="X1777" i="16"/>
  <c r="X1778" i="16"/>
  <c r="X1779" i="16"/>
  <c r="X1780" i="16"/>
  <c r="X1781" i="16"/>
  <c r="X1782" i="16"/>
  <c r="X1783" i="16"/>
  <c r="X1784" i="16"/>
  <c r="X1785" i="16"/>
  <c r="X1786" i="16"/>
  <c r="X1787" i="16"/>
  <c r="X1788" i="16"/>
  <c r="X1789" i="16"/>
  <c r="X1790" i="16"/>
  <c r="X1791" i="16"/>
  <c r="X1792" i="16"/>
  <c r="X1793" i="16"/>
  <c r="X1794" i="16"/>
  <c r="X1795" i="16"/>
  <c r="X1796" i="16"/>
  <c r="X1797" i="16"/>
  <c r="X1798" i="16"/>
  <c r="X1799" i="16"/>
  <c r="X1800" i="16"/>
  <c r="X1801" i="16"/>
  <c r="X1802" i="16"/>
  <c r="X1803" i="16"/>
  <c r="X1804" i="16"/>
  <c r="X1805" i="16"/>
  <c r="X1806" i="16"/>
  <c r="X1807" i="16"/>
  <c r="X1808" i="16"/>
  <c r="X1809" i="16"/>
  <c r="X1810" i="16"/>
  <c r="X1811" i="16"/>
  <c r="X1812" i="16"/>
  <c r="X1813" i="16"/>
  <c r="X1814" i="16"/>
  <c r="X1815" i="16"/>
  <c r="X1816" i="16"/>
  <c r="X1817" i="16"/>
  <c r="X1818" i="16"/>
  <c r="X1819" i="16"/>
  <c r="X1820" i="16"/>
  <c r="X1821" i="16"/>
  <c r="X1822" i="16"/>
  <c r="X1823" i="16"/>
  <c r="X1824" i="16"/>
  <c r="X1825" i="16"/>
  <c r="X1826" i="16"/>
  <c r="X1827" i="16"/>
  <c r="X1828" i="16"/>
  <c r="X1829" i="16"/>
  <c r="X1830" i="16"/>
  <c r="X1831" i="16"/>
  <c r="X1832" i="16"/>
  <c r="X1833" i="16"/>
  <c r="X1834" i="16"/>
  <c r="X1835" i="16"/>
  <c r="X1836" i="16"/>
  <c r="X1837" i="16"/>
  <c r="X1838" i="16"/>
  <c r="X1839" i="16"/>
  <c r="X1840" i="16"/>
  <c r="X1841" i="16"/>
  <c r="X1842" i="16"/>
  <c r="X1843" i="16"/>
  <c r="X1844" i="16"/>
  <c r="X1845" i="16"/>
  <c r="X1846" i="16"/>
  <c r="X1847" i="16"/>
  <c r="X1848" i="16"/>
  <c r="X1849" i="16"/>
  <c r="X1850" i="16"/>
  <c r="X1851" i="16"/>
  <c r="X1852" i="16"/>
  <c r="X1853" i="16"/>
  <c r="X1854" i="16"/>
  <c r="X1855" i="16"/>
  <c r="X1856" i="16"/>
  <c r="X1857" i="16"/>
  <c r="X1858" i="16"/>
  <c r="X1859" i="16"/>
  <c r="X1860" i="16"/>
  <c r="X1861" i="16"/>
  <c r="X1862" i="16"/>
  <c r="X1863" i="16"/>
  <c r="X1864" i="16"/>
  <c r="X1865" i="16"/>
  <c r="X1866" i="16"/>
  <c r="X1867" i="16"/>
  <c r="X1868" i="16"/>
  <c r="X1869" i="16"/>
  <c r="X1870" i="16"/>
  <c r="X1871" i="16"/>
  <c r="X1872" i="16"/>
  <c r="X1873" i="16"/>
  <c r="X1874" i="16"/>
  <c r="X1875" i="16"/>
  <c r="X1876" i="16"/>
  <c r="X1877" i="16"/>
  <c r="X1878" i="16"/>
  <c r="X1879" i="16"/>
  <c r="X1880" i="16"/>
  <c r="X1881" i="16"/>
  <c r="X1882" i="16"/>
  <c r="X1883" i="16"/>
  <c r="X1884" i="16"/>
  <c r="X1885" i="16"/>
  <c r="X1886" i="16"/>
  <c r="X1887" i="16"/>
  <c r="X1888" i="16"/>
  <c r="X1889" i="16"/>
  <c r="X1890" i="16"/>
  <c r="X1891" i="16"/>
  <c r="X1892" i="16"/>
  <c r="X1893" i="16"/>
  <c r="X1894" i="16"/>
  <c r="X1895" i="16"/>
  <c r="X1896" i="16"/>
  <c r="X1897" i="16"/>
  <c r="X1898" i="16"/>
  <c r="X1899" i="16"/>
  <c r="X1900" i="16"/>
  <c r="X1901" i="16"/>
  <c r="X1902" i="16"/>
  <c r="X1903" i="16"/>
  <c r="X1904" i="16"/>
  <c r="X1905" i="16"/>
  <c r="X1906" i="16"/>
  <c r="X1907" i="16"/>
  <c r="X1908" i="16"/>
  <c r="X1909" i="16"/>
  <c r="X1910" i="16"/>
  <c r="X1911" i="16"/>
  <c r="X1912" i="16"/>
  <c r="X1913" i="16"/>
  <c r="X1914" i="16"/>
  <c r="X1915" i="16"/>
  <c r="X1916" i="16"/>
  <c r="X1917" i="16"/>
  <c r="X1918" i="16"/>
  <c r="X1919" i="16"/>
  <c r="X1920" i="16"/>
  <c r="X1921" i="16"/>
  <c r="X1922" i="16"/>
  <c r="X1923" i="16"/>
  <c r="X1924" i="16"/>
  <c r="X1925" i="16"/>
  <c r="X1926" i="16"/>
  <c r="X1927" i="16"/>
  <c r="X1928" i="16"/>
  <c r="X1929" i="16"/>
  <c r="X1930" i="16"/>
  <c r="X1931" i="16"/>
  <c r="X1932" i="16"/>
  <c r="X1933" i="16"/>
  <c r="X1934" i="16"/>
  <c r="X1935" i="16"/>
  <c r="X1936" i="16"/>
  <c r="X1937" i="16"/>
  <c r="X1938" i="16"/>
  <c r="X1939" i="16"/>
  <c r="X1940" i="16"/>
  <c r="X1941" i="16"/>
  <c r="X1942" i="16"/>
  <c r="X1943" i="16"/>
  <c r="X1944" i="16"/>
  <c r="X1945" i="16"/>
  <c r="X1946" i="16"/>
  <c r="X1947" i="16"/>
  <c r="X1948" i="16"/>
  <c r="X1949" i="16"/>
  <c r="X1950" i="16"/>
  <c r="X1951" i="16"/>
  <c r="X1952" i="16"/>
  <c r="X1953" i="16"/>
  <c r="X1954" i="16"/>
  <c r="X1955" i="16"/>
  <c r="X1956" i="16"/>
  <c r="X1957" i="16"/>
  <c r="X1958" i="16"/>
  <c r="X1959" i="16"/>
  <c r="X1960" i="16"/>
  <c r="X1961" i="16"/>
  <c r="X1962" i="16"/>
  <c r="X1963" i="16"/>
  <c r="X1964" i="16"/>
  <c r="X1965" i="16"/>
  <c r="X1966" i="16"/>
  <c r="X1967" i="16"/>
  <c r="X1968" i="16"/>
  <c r="X1969" i="16"/>
  <c r="X1970" i="16"/>
  <c r="X1971" i="16"/>
  <c r="X1972" i="16"/>
  <c r="X1973" i="16"/>
  <c r="X1974" i="16"/>
  <c r="X1975" i="16"/>
  <c r="X1976" i="16"/>
  <c r="X1977" i="16"/>
  <c r="X1978" i="16"/>
  <c r="X1979" i="16"/>
  <c r="X1980" i="16"/>
  <c r="X1981" i="16"/>
  <c r="X1982" i="16"/>
  <c r="X1983" i="16"/>
  <c r="X1984" i="16"/>
  <c r="X1985" i="16"/>
  <c r="X1986" i="16"/>
  <c r="X1987" i="16"/>
  <c r="X1988" i="16"/>
  <c r="X1989" i="16"/>
  <c r="X1990" i="16"/>
  <c r="X1991" i="16"/>
  <c r="X1992" i="16"/>
  <c r="X1993" i="16"/>
  <c r="X1994" i="16"/>
  <c r="X1995" i="16"/>
  <c r="X1996" i="16"/>
  <c r="X1997" i="16"/>
  <c r="X1998" i="16"/>
  <c r="X1999" i="16"/>
  <c r="X2000" i="16"/>
  <c r="X2001" i="16"/>
  <c r="X2002" i="16"/>
  <c r="X2003" i="16"/>
  <c r="X2004" i="16"/>
  <c r="X2005" i="16"/>
  <c r="X2006" i="16"/>
  <c r="X2007" i="16"/>
  <c r="X2008" i="16"/>
  <c r="X2009" i="16"/>
  <c r="X2010" i="16"/>
  <c r="X2011" i="16"/>
  <c r="X2012" i="16"/>
  <c r="X2013" i="16"/>
  <c r="X2014" i="16"/>
  <c r="X2015" i="16"/>
  <c r="X2016" i="16"/>
  <c r="X2017" i="16"/>
  <c r="X2018" i="16"/>
  <c r="X2019" i="16"/>
  <c r="X2020" i="16"/>
  <c r="X2021" i="16"/>
  <c r="X2022" i="16"/>
  <c r="X2023" i="16"/>
  <c r="X2024" i="16"/>
  <c r="X2025" i="16"/>
  <c r="X2026" i="16"/>
  <c r="X2027" i="16"/>
  <c r="X2028" i="16"/>
  <c r="X2029" i="16"/>
  <c r="X2030" i="16"/>
  <c r="X2031" i="16"/>
  <c r="X2032" i="16"/>
  <c r="X2033" i="16"/>
  <c r="X2034" i="16"/>
  <c r="X2035" i="16"/>
  <c r="X2036" i="16"/>
  <c r="X2037" i="16"/>
  <c r="X2038" i="16"/>
  <c r="X2039" i="16"/>
  <c r="X2040" i="16"/>
  <c r="X2041" i="16"/>
  <c r="X2042" i="16"/>
  <c r="X2043" i="16"/>
  <c r="X2044" i="16"/>
  <c r="X2045" i="16"/>
  <c r="X2046" i="16"/>
  <c r="X2047" i="16"/>
  <c r="X2048" i="16"/>
  <c r="X2049" i="16"/>
  <c r="X2050" i="16"/>
  <c r="X2051" i="16"/>
  <c r="X2052" i="16"/>
  <c r="X2053" i="16"/>
  <c r="X2054" i="16"/>
  <c r="X2055" i="16"/>
  <c r="X2056" i="16"/>
  <c r="X2057" i="16"/>
  <c r="X2058" i="16"/>
  <c r="X2059" i="16"/>
  <c r="X2060" i="16"/>
  <c r="X2061" i="16"/>
  <c r="X2062" i="16"/>
  <c r="X2063" i="16"/>
  <c r="X2064" i="16"/>
  <c r="X2065" i="16"/>
  <c r="X2066" i="16"/>
  <c r="X2067" i="16"/>
  <c r="X2068" i="16"/>
  <c r="X2069" i="16"/>
  <c r="X2070" i="16"/>
  <c r="X2071" i="16"/>
  <c r="X2072" i="16"/>
  <c r="X2073" i="16"/>
  <c r="X2074" i="16"/>
  <c r="X2075" i="16"/>
  <c r="X2076" i="16"/>
  <c r="X2077" i="16"/>
  <c r="X2078" i="16"/>
  <c r="X2079" i="16"/>
  <c r="X2080" i="16"/>
  <c r="X2081" i="16"/>
  <c r="X2082" i="16"/>
  <c r="X2083" i="16"/>
  <c r="X2084" i="16"/>
  <c r="X2085" i="16"/>
  <c r="X2086" i="16"/>
  <c r="X2087" i="16"/>
  <c r="X2088" i="16"/>
  <c r="X2089" i="16"/>
  <c r="X2090" i="16"/>
  <c r="X2091" i="16"/>
  <c r="X2092" i="16"/>
  <c r="X2093" i="16"/>
  <c r="X2094" i="16"/>
  <c r="X2095" i="16"/>
  <c r="X2096" i="16"/>
  <c r="X2097" i="16"/>
  <c r="X2098" i="16"/>
  <c r="X2099" i="16"/>
  <c r="X2100" i="16"/>
  <c r="X2101" i="16"/>
  <c r="X2102" i="16"/>
  <c r="X2103" i="16"/>
  <c r="X2104" i="16"/>
  <c r="X2105" i="16"/>
  <c r="X2106" i="16"/>
  <c r="X2107" i="16"/>
  <c r="X2108" i="16"/>
  <c r="X2109" i="16"/>
  <c r="X2110" i="16"/>
  <c r="X2111" i="16"/>
  <c r="X2112" i="16"/>
  <c r="X2113" i="16"/>
  <c r="X2114" i="16"/>
  <c r="X2115" i="16"/>
  <c r="X2116" i="16"/>
  <c r="X2117" i="16"/>
  <c r="X2118" i="16"/>
  <c r="X2119" i="16"/>
  <c r="X2120" i="16"/>
  <c r="X2121" i="16"/>
  <c r="X2122" i="16"/>
  <c r="X2123" i="16"/>
  <c r="X2124" i="16"/>
  <c r="X2125" i="16"/>
  <c r="X2126" i="16"/>
  <c r="X2127" i="16"/>
  <c r="X2128" i="16"/>
  <c r="X2129" i="16"/>
  <c r="X2130" i="16"/>
  <c r="X2131" i="16"/>
  <c r="X2132" i="16"/>
  <c r="X2133" i="16"/>
  <c r="X2134" i="16"/>
  <c r="X2135" i="16"/>
  <c r="X2136" i="16"/>
  <c r="X2137" i="16"/>
  <c r="X2138" i="16"/>
  <c r="X2139" i="16"/>
  <c r="X2140" i="16"/>
  <c r="X2141" i="16"/>
  <c r="X2142" i="16"/>
  <c r="X2143" i="16"/>
  <c r="X2144" i="16"/>
  <c r="X2145" i="16"/>
  <c r="X2146" i="16"/>
  <c r="X2147" i="16"/>
  <c r="X2148" i="16"/>
  <c r="X2149" i="16"/>
  <c r="X2150" i="16"/>
  <c r="X2151" i="16"/>
  <c r="X2152" i="16"/>
  <c r="X2153" i="16"/>
  <c r="X2154" i="16"/>
  <c r="X2155" i="16"/>
  <c r="X2156" i="16"/>
  <c r="X2157" i="16"/>
  <c r="X2158" i="16"/>
  <c r="X2159" i="16"/>
  <c r="X2160" i="16"/>
  <c r="X2161" i="16"/>
  <c r="X2162" i="16"/>
  <c r="X2163" i="16"/>
  <c r="X2164" i="16"/>
  <c r="X2165" i="16"/>
  <c r="X2166" i="16"/>
  <c r="X2167" i="16"/>
  <c r="X2168" i="16"/>
  <c r="X2169" i="16"/>
  <c r="X2170" i="16"/>
  <c r="X2171" i="16"/>
  <c r="X2172" i="16"/>
  <c r="X2173" i="16"/>
  <c r="X2174" i="16"/>
  <c r="X2175" i="16"/>
  <c r="X2176" i="16"/>
  <c r="X2177" i="16"/>
  <c r="X2178" i="16"/>
  <c r="X2179" i="16"/>
  <c r="X2180" i="16"/>
  <c r="X2181" i="16"/>
  <c r="X2182" i="16"/>
  <c r="X2183" i="16"/>
  <c r="X2184" i="16"/>
  <c r="X2185" i="16"/>
  <c r="X2186" i="16"/>
  <c r="X2187" i="16"/>
  <c r="X2188" i="16"/>
  <c r="X2189" i="16"/>
  <c r="X2190" i="16"/>
  <c r="X2191" i="16"/>
  <c r="X2192" i="16"/>
  <c r="X2193" i="16"/>
  <c r="X2194" i="16"/>
  <c r="X2195" i="16"/>
  <c r="X2196" i="16"/>
  <c r="X2197" i="16"/>
  <c r="X2198" i="16"/>
  <c r="X2199" i="16"/>
  <c r="X2200" i="16"/>
  <c r="X2201" i="16"/>
  <c r="X2202" i="16"/>
  <c r="X2203" i="16"/>
  <c r="X2204" i="16"/>
  <c r="X2205" i="16"/>
  <c r="X2206" i="16"/>
  <c r="X2207" i="16"/>
  <c r="X2208" i="16"/>
  <c r="X2209" i="16"/>
  <c r="X2210" i="16"/>
  <c r="X2211" i="16"/>
  <c r="X2212" i="16"/>
  <c r="X2213" i="16"/>
  <c r="X2214" i="16"/>
  <c r="X2215" i="16"/>
  <c r="X2216" i="16"/>
  <c r="X2217" i="16"/>
  <c r="X2218" i="16"/>
  <c r="X2219" i="16"/>
  <c r="X2220" i="16"/>
  <c r="X2221" i="16"/>
  <c r="X2222" i="16"/>
  <c r="X2223" i="16"/>
  <c r="X2224" i="16"/>
  <c r="X2225" i="16"/>
  <c r="X2226" i="16"/>
  <c r="X2227" i="16"/>
  <c r="X2228" i="16"/>
  <c r="X2229" i="16"/>
  <c r="X2230" i="16"/>
  <c r="X2231" i="16"/>
  <c r="X2232" i="16"/>
  <c r="X2233" i="16"/>
  <c r="X2234" i="16"/>
  <c r="X2235" i="16"/>
  <c r="X2236" i="16"/>
  <c r="X2237" i="16"/>
  <c r="X2238" i="16"/>
  <c r="X2239" i="16"/>
  <c r="X2240" i="16"/>
  <c r="X2241" i="16"/>
  <c r="X2242" i="16"/>
  <c r="X2243" i="16"/>
  <c r="X2244" i="16"/>
  <c r="X2245" i="16"/>
  <c r="X2246" i="16"/>
  <c r="X2247" i="16"/>
  <c r="X2248" i="16"/>
  <c r="X2249" i="16"/>
  <c r="X2250" i="16"/>
  <c r="X2251" i="16"/>
  <c r="X2252" i="16"/>
  <c r="X2253" i="16"/>
  <c r="X2254" i="16"/>
  <c r="X2255" i="16"/>
  <c r="X2256" i="16"/>
  <c r="X2257" i="16"/>
  <c r="X2258" i="16"/>
  <c r="X2259" i="16"/>
  <c r="X2260" i="16"/>
  <c r="X2261" i="16"/>
  <c r="X2262" i="16"/>
  <c r="X2263" i="16"/>
  <c r="X2264" i="16"/>
  <c r="X2265" i="16"/>
  <c r="X2266" i="16"/>
  <c r="X2267" i="16"/>
  <c r="X2268" i="16"/>
  <c r="X2269" i="16"/>
  <c r="X2270" i="16"/>
  <c r="X2271" i="16"/>
  <c r="X2272" i="16"/>
  <c r="X2273" i="16"/>
  <c r="X2274" i="16"/>
  <c r="X2275" i="16"/>
  <c r="X2276" i="16"/>
  <c r="X2277" i="16"/>
  <c r="X2278" i="16"/>
  <c r="X2279" i="16"/>
  <c r="X2280" i="16"/>
  <c r="X2281" i="16"/>
  <c r="X2282" i="16"/>
  <c r="X2283" i="16"/>
  <c r="X2284" i="16"/>
  <c r="X2285" i="16"/>
  <c r="X2286" i="16"/>
  <c r="X2287" i="16"/>
  <c r="X2288" i="16"/>
  <c r="X2289" i="16"/>
  <c r="X2290" i="16"/>
  <c r="X2291" i="16"/>
  <c r="X2292" i="16"/>
  <c r="X2293" i="16"/>
  <c r="X2294" i="16"/>
  <c r="X2295" i="16"/>
  <c r="X2296" i="16"/>
  <c r="X2297" i="16"/>
  <c r="X2298" i="16"/>
  <c r="X2299" i="16"/>
  <c r="X2300" i="16"/>
  <c r="X2301" i="16"/>
  <c r="X2302" i="16"/>
  <c r="X2303" i="16"/>
  <c r="X2304" i="16"/>
  <c r="X2305" i="16"/>
  <c r="X2306" i="16"/>
  <c r="X2307" i="16"/>
  <c r="X2308" i="16"/>
  <c r="X2309" i="16"/>
  <c r="X2310" i="16"/>
  <c r="X2311" i="16"/>
  <c r="X2312" i="16"/>
  <c r="X2313" i="16"/>
  <c r="X2314" i="16"/>
  <c r="X2315" i="16"/>
  <c r="X2316" i="16"/>
  <c r="X2317" i="16"/>
  <c r="X2318" i="16"/>
  <c r="X2319" i="16"/>
  <c r="X2320" i="16"/>
  <c r="X2321" i="16"/>
  <c r="X2322" i="16"/>
  <c r="X2323" i="16"/>
  <c r="X2324" i="16"/>
  <c r="X2325" i="16"/>
  <c r="X2326" i="16"/>
  <c r="X2327" i="16"/>
  <c r="X2328" i="16"/>
  <c r="X2329" i="16"/>
  <c r="X2330" i="16"/>
  <c r="X2331" i="16"/>
  <c r="X2332" i="16"/>
  <c r="X2333" i="16"/>
  <c r="X2334" i="16"/>
  <c r="X2335" i="16"/>
  <c r="X2336" i="16"/>
  <c r="X2337" i="16"/>
  <c r="X2338" i="16"/>
  <c r="X2339" i="16"/>
  <c r="X2340" i="16"/>
  <c r="X2341" i="16"/>
  <c r="X2342" i="16"/>
  <c r="X2343" i="16"/>
  <c r="X2344" i="16"/>
  <c r="X2345" i="16"/>
  <c r="X2346" i="16"/>
  <c r="X2347" i="16"/>
  <c r="X2348" i="16"/>
  <c r="X2349" i="16"/>
  <c r="X2350" i="16"/>
  <c r="X2351" i="16"/>
  <c r="X2352" i="16"/>
  <c r="X2353" i="16"/>
  <c r="X2354" i="16"/>
  <c r="X2355" i="16"/>
  <c r="X2356" i="16"/>
  <c r="X2357" i="16"/>
  <c r="X2358" i="16"/>
  <c r="X2359" i="16"/>
  <c r="X2360" i="16"/>
  <c r="X2361" i="16"/>
  <c r="X2362" i="16"/>
  <c r="X2363" i="16"/>
  <c r="X2364" i="16"/>
  <c r="X2365" i="16"/>
  <c r="X2366" i="16"/>
  <c r="X2367" i="16"/>
  <c r="X2368" i="16"/>
  <c r="X2369" i="16"/>
  <c r="X2370" i="16"/>
  <c r="X2371" i="16"/>
  <c r="X2372" i="16"/>
  <c r="X2373" i="16"/>
  <c r="X2374" i="16"/>
  <c r="X2375" i="16"/>
  <c r="X2376" i="16"/>
  <c r="X2377" i="16"/>
  <c r="X2378" i="16"/>
  <c r="X2379" i="16"/>
  <c r="X2380" i="16"/>
  <c r="X2381" i="16"/>
  <c r="X2382" i="16"/>
  <c r="X2383" i="16"/>
  <c r="X2384" i="16"/>
  <c r="X2385" i="16"/>
  <c r="X2386" i="16"/>
  <c r="X2387" i="16"/>
  <c r="X2388" i="16"/>
  <c r="X2389" i="16"/>
  <c r="X2390" i="16"/>
  <c r="X2391" i="16"/>
  <c r="X2392" i="16"/>
  <c r="X2393" i="16"/>
  <c r="X2394" i="16"/>
  <c r="X2395" i="16"/>
  <c r="X2396" i="16"/>
  <c r="X2397" i="16"/>
  <c r="X2398" i="16"/>
  <c r="X2399" i="16"/>
  <c r="X2400" i="16"/>
  <c r="X2401" i="16"/>
  <c r="X2402" i="16"/>
  <c r="X2403" i="16"/>
  <c r="X2404" i="16"/>
  <c r="X2405" i="16"/>
  <c r="X2406" i="16"/>
  <c r="X2407" i="16"/>
  <c r="X2408" i="16"/>
  <c r="X2409" i="16"/>
  <c r="X2410" i="16"/>
  <c r="X2411" i="16"/>
  <c r="X2412" i="16"/>
  <c r="X2413" i="16"/>
  <c r="X2414" i="16"/>
  <c r="X2415" i="16"/>
  <c r="X2416" i="16"/>
  <c r="X2417" i="16"/>
  <c r="X2418" i="16"/>
  <c r="X2419" i="16"/>
  <c r="X2420" i="16"/>
  <c r="X2421" i="16"/>
  <c r="X2422" i="16"/>
  <c r="X2423" i="16"/>
  <c r="X2424" i="16"/>
  <c r="X2425" i="16"/>
  <c r="X2426" i="16"/>
  <c r="X2427" i="16"/>
  <c r="X2428" i="16"/>
  <c r="X2429" i="16"/>
  <c r="X2430" i="16"/>
  <c r="X2431" i="16"/>
  <c r="X2432" i="16"/>
  <c r="X2433" i="16"/>
  <c r="X2434" i="16"/>
  <c r="X2435" i="16"/>
  <c r="X2436" i="16"/>
  <c r="X2437" i="16"/>
  <c r="X2438" i="16"/>
  <c r="X2439" i="16"/>
  <c r="X2440" i="16"/>
  <c r="X2441" i="16"/>
  <c r="X2442" i="16"/>
  <c r="X2443" i="16"/>
  <c r="X2444" i="16"/>
  <c r="X2445" i="16"/>
  <c r="X2446" i="16"/>
  <c r="X2447" i="16"/>
  <c r="X2448" i="16"/>
  <c r="X2449" i="16"/>
  <c r="X2450" i="16"/>
  <c r="X2451" i="16"/>
  <c r="X2452" i="16"/>
  <c r="X2453" i="16"/>
  <c r="X2454" i="16"/>
  <c r="X2455" i="16"/>
  <c r="X2456" i="16"/>
  <c r="X2457" i="16"/>
  <c r="X2458" i="16"/>
  <c r="X2459" i="16"/>
  <c r="X2460" i="16"/>
  <c r="X2461" i="16"/>
  <c r="X2462" i="16"/>
  <c r="X2463" i="16"/>
  <c r="X2464" i="16"/>
  <c r="X2465" i="16"/>
  <c r="X2466" i="16"/>
  <c r="X2467" i="16"/>
  <c r="X2468" i="16"/>
  <c r="X2469" i="16"/>
  <c r="X2470" i="16"/>
  <c r="X2471" i="16"/>
  <c r="X2472" i="16"/>
  <c r="X2473" i="16"/>
  <c r="X2474" i="16"/>
  <c r="X2475" i="16"/>
  <c r="X2476" i="16"/>
  <c r="X2477" i="16"/>
  <c r="X2478" i="16"/>
  <c r="X2479" i="16"/>
  <c r="X2480" i="16"/>
  <c r="X2481" i="16"/>
  <c r="X2482" i="16"/>
  <c r="X2483" i="16"/>
  <c r="X2484" i="16"/>
  <c r="X2485" i="16"/>
  <c r="X2486" i="16"/>
  <c r="X2487" i="16"/>
  <c r="X2488" i="16"/>
  <c r="X2489" i="16"/>
  <c r="X2490" i="16"/>
  <c r="X2491" i="16"/>
  <c r="X2492" i="16"/>
  <c r="X2493" i="16"/>
  <c r="X2494" i="16"/>
  <c r="X2495" i="16"/>
  <c r="X2496" i="16"/>
  <c r="X2497" i="16"/>
  <c r="X2498" i="16"/>
  <c r="X2499" i="16"/>
  <c r="X2500" i="16"/>
  <c r="X2501" i="16"/>
  <c r="X2502" i="16"/>
  <c r="X2503" i="16"/>
  <c r="X2504" i="16"/>
  <c r="X2505" i="16"/>
  <c r="X2506" i="16"/>
  <c r="X2507" i="16"/>
  <c r="X2508" i="16"/>
  <c r="X2509" i="16"/>
  <c r="X2510" i="16"/>
  <c r="X2511" i="16"/>
  <c r="X2512" i="16"/>
  <c r="X2513" i="16"/>
  <c r="X2514" i="16"/>
  <c r="X2515" i="16"/>
  <c r="X2516" i="16"/>
  <c r="X2517" i="16"/>
  <c r="X2518" i="16"/>
  <c r="X2519" i="16"/>
  <c r="X2520" i="16"/>
  <c r="X2521" i="16"/>
  <c r="X2522" i="16"/>
  <c r="X2523" i="16"/>
  <c r="X2524" i="16"/>
  <c r="X2525" i="16"/>
  <c r="X2526" i="16"/>
  <c r="X2527" i="16"/>
  <c r="X2528" i="16"/>
  <c r="X2529" i="16"/>
  <c r="X2530" i="16"/>
  <c r="X2531" i="16"/>
  <c r="X2532" i="16"/>
  <c r="X2533" i="16"/>
  <c r="X2534" i="16"/>
  <c r="X2535" i="16"/>
  <c r="X2536" i="16"/>
  <c r="X2537" i="16"/>
  <c r="X2538" i="16"/>
  <c r="X2539" i="16"/>
  <c r="X2540" i="16"/>
  <c r="X2541" i="16"/>
  <c r="X2542" i="16"/>
  <c r="X2543" i="16"/>
  <c r="X2544" i="16"/>
  <c r="X2545" i="16"/>
  <c r="X2546" i="16"/>
  <c r="X2547" i="16"/>
  <c r="X2548" i="16"/>
  <c r="X2549" i="16"/>
  <c r="X2550" i="16"/>
  <c r="X2551" i="16"/>
  <c r="X2552" i="16"/>
  <c r="X2553" i="16"/>
  <c r="X2554" i="16"/>
  <c r="X2555" i="16"/>
  <c r="X2556" i="16"/>
  <c r="X2557" i="16"/>
  <c r="X2558" i="16"/>
  <c r="X2559" i="16"/>
  <c r="X2560" i="16"/>
  <c r="X2561" i="16"/>
  <c r="X2562" i="16"/>
  <c r="X2563" i="16"/>
  <c r="X2564" i="16"/>
  <c r="X2565" i="16"/>
  <c r="X2566" i="16"/>
  <c r="X2567" i="16"/>
  <c r="X2568" i="16"/>
  <c r="X2569" i="16"/>
  <c r="X2570" i="16"/>
  <c r="X2571" i="16"/>
  <c r="X2572" i="16"/>
  <c r="X2573" i="16"/>
  <c r="X2574" i="16"/>
  <c r="X2575" i="16"/>
  <c r="X2576" i="16"/>
  <c r="X2577" i="16"/>
  <c r="X2578" i="16"/>
  <c r="X2579" i="16"/>
  <c r="X2580" i="16"/>
  <c r="X2581" i="16"/>
  <c r="X2582" i="16"/>
  <c r="X2583" i="16"/>
  <c r="X2584" i="16"/>
  <c r="X2585" i="16"/>
  <c r="X2586" i="16"/>
  <c r="X2587" i="16"/>
  <c r="X2588" i="16"/>
  <c r="X2589" i="16"/>
  <c r="X2590" i="16"/>
  <c r="X2591" i="16"/>
  <c r="X2592" i="16"/>
  <c r="X2593" i="16"/>
  <c r="X2594" i="16"/>
  <c r="X2595" i="16"/>
  <c r="X2596" i="16"/>
  <c r="X2597" i="16"/>
  <c r="X2598" i="16"/>
  <c r="X2599" i="16"/>
  <c r="X2600" i="16"/>
  <c r="X2601" i="16"/>
  <c r="X2602" i="16"/>
  <c r="X2603" i="16"/>
  <c r="X2604" i="16"/>
  <c r="X2605" i="16"/>
  <c r="X2606" i="16"/>
  <c r="X2607" i="16"/>
  <c r="X2608" i="16"/>
  <c r="X2609" i="16"/>
  <c r="X2610" i="16"/>
  <c r="X2611" i="16"/>
  <c r="X2612" i="16"/>
  <c r="X2613" i="16"/>
  <c r="X2614" i="16"/>
  <c r="X2615" i="16"/>
  <c r="X2616" i="16"/>
  <c r="X2617" i="16"/>
  <c r="X2618" i="16"/>
  <c r="X2619" i="16"/>
  <c r="X2620" i="16"/>
  <c r="X2621" i="16"/>
  <c r="X2622" i="16"/>
  <c r="X2623" i="16"/>
  <c r="X2624" i="16"/>
  <c r="X2625" i="16"/>
  <c r="X2626" i="16"/>
  <c r="X2627" i="16"/>
  <c r="X2628" i="16"/>
  <c r="X2629" i="16"/>
  <c r="X2630" i="16"/>
  <c r="X2631" i="16"/>
  <c r="X2632" i="16"/>
  <c r="X2633" i="16"/>
  <c r="X2634" i="16"/>
  <c r="X2635" i="16"/>
  <c r="X2636" i="16"/>
  <c r="X2637" i="16"/>
  <c r="X2638" i="16"/>
  <c r="X2639" i="16"/>
  <c r="X2640" i="16"/>
  <c r="X2641" i="16"/>
  <c r="X2642" i="16"/>
  <c r="X2643" i="16"/>
  <c r="X2644" i="16"/>
  <c r="X2645" i="16"/>
  <c r="X2646" i="16"/>
  <c r="X2647" i="16"/>
  <c r="X2648" i="16"/>
  <c r="X2649" i="16"/>
  <c r="X2650" i="16"/>
  <c r="X2651" i="16"/>
  <c r="X2652" i="16"/>
  <c r="X2653" i="16"/>
  <c r="R2" i="16"/>
  <c r="S2" i="16"/>
  <c r="R3" i="16"/>
  <c r="S3" i="16"/>
  <c r="R4" i="16"/>
  <c r="S4" i="16"/>
  <c r="R5" i="16"/>
  <c r="S5" i="16"/>
  <c r="R6" i="16"/>
  <c r="S6" i="16"/>
  <c r="R7" i="16"/>
  <c r="S7" i="16"/>
  <c r="R8" i="16"/>
  <c r="S8" i="16"/>
  <c r="R9" i="16"/>
  <c r="S9" i="16"/>
  <c r="R10" i="16"/>
  <c r="S10" i="16"/>
  <c r="R11" i="16"/>
  <c r="S11" i="16"/>
  <c r="R12" i="16"/>
  <c r="S12" i="16"/>
  <c r="R13" i="16"/>
  <c r="S13" i="16"/>
  <c r="R14" i="16"/>
  <c r="S14" i="16"/>
  <c r="R15" i="16"/>
  <c r="S15" i="16"/>
  <c r="R16" i="16"/>
  <c r="S16" i="16"/>
  <c r="R17" i="16"/>
  <c r="S17" i="16"/>
  <c r="R18" i="16"/>
  <c r="S18" i="16"/>
  <c r="R19" i="16"/>
  <c r="S19" i="16"/>
  <c r="R20" i="16"/>
  <c r="S20" i="16"/>
  <c r="R21" i="16"/>
  <c r="S21" i="16"/>
  <c r="R22" i="16"/>
  <c r="S22" i="16"/>
  <c r="R23" i="16"/>
  <c r="S23" i="16"/>
  <c r="R24" i="16"/>
  <c r="S24" i="16"/>
  <c r="R25" i="16"/>
  <c r="S25" i="16"/>
  <c r="R26" i="16"/>
  <c r="S26" i="16"/>
  <c r="R27" i="16"/>
  <c r="S27" i="16"/>
  <c r="R28" i="16"/>
  <c r="S28" i="16"/>
  <c r="R29" i="16"/>
  <c r="S29" i="16"/>
  <c r="R30" i="16"/>
  <c r="S30" i="16"/>
  <c r="R31" i="16"/>
  <c r="S31" i="16"/>
  <c r="R32" i="16"/>
  <c r="S32" i="16"/>
  <c r="R33" i="16"/>
  <c r="S33" i="16"/>
  <c r="R34" i="16"/>
  <c r="S34" i="16"/>
  <c r="R35" i="16"/>
  <c r="S35" i="16"/>
  <c r="R36" i="16"/>
  <c r="S36" i="16"/>
  <c r="R37" i="16"/>
  <c r="S37" i="16"/>
  <c r="R38" i="16"/>
  <c r="S38" i="16"/>
  <c r="R39" i="16"/>
  <c r="S39" i="16"/>
  <c r="R40" i="16"/>
  <c r="S40" i="16"/>
  <c r="R41" i="16"/>
  <c r="S41" i="16"/>
  <c r="R42" i="16"/>
  <c r="S42" i="16"/>
  <c r="R43" i="16"/>
  <c r="S43" i="16"/>
  <c r="R44" i="16"/>
  <c r="S44" i="16"/>
  <c r="R45" i="16"/>
  <c r="S45" i="16"/>
  <c r="R46" i="16"/>
  <c r="S46" i="16"/>
  <c r="R47" i="16"/>
  <c r="S47" i="16"/>
  <c r="R48" i="16"/>
  <c r="S48" i="16"/>
  <c r="R49" i="16"/>
  <c r="S49" i="16"/>
  <c r="R50" i="16"/>
  <c r="S50" i="16"/>
  <c r="R51" i="16"/>
  <c r="S51" i="16"/>
  <c r="R52" i="16"/>
  <c r="S52" i="16"/>
  <c r="R53" i="16"/>
  <c r="S53" i="16"/>
  <c r="R54" i="16"/>
  <c r="S54" i="16"/>
  <c r="R55" i="16"/>
  <c r="S55" i="16"/>
  <c r="R56" i="16"/>
  <c r="S56" i="16"/>
  <c r="R57" i="16"/>
  <c r="S57" i="16"/>
  <c r="R58" i="16"/>
  <c r="S58" i="16"/>
  <c r="R59" i="16"/>
  <c r="S59" i="16"/>
  <c r="R60" i="16"/>
  <c r="S60" i="16"/>
  <c r="R61" i="16"/>
  <c r="S61" i="16"/>
  <c r="R62" i="16"/>
  <c r="S62" i="16"/>
  <c r="R63" i="16"/>
  <c r="S63" i="16"/>
  <c r="R64" i="16"/>
  <c r="S64" i="16"/>
  <c r="R65" i="16"/>
  <c r="S65" i="16"/>
  <c r="R66" i="16"/>
  <c r="S66" i="16"/>
  <c r="R67" i="16"/>
  <c r="S67" i="16"/>
  <c r="R68" i="16"/>
  <c r="S68" i="16"/>
  <c r="R69" i="16"/>
  <c r="S69" i="16"/>
  <c r="R70" i="16"/>
  <c r="S70" i="16"/>
  <c r="R71" i="16"/>
  <c r="S71" i="16"/>
  <c r="R72" i="16"/>
  <c r="S72" i="16"/>
  <c r="R73" i="16"/>
  <c r="S73" i="16"/>
  <c r="R74" i="16"/>
  <c r="S74" i="16"/>
  <c r="R75" i="16"/>
  <c r="S75" i="16"/>
  <c r="R76" i="16"/>
  <c r="S76" i="16"/>
  <c r="R77" i="16"/>
  <c r="S77" i="16"/>
  <c r="R78" i="16"/>
  <c r="S78" i="16"/>
  <c r="R79" i="16"/>
  <c r="S79" i="16"/>
  <c r="R80" i="16"/>
  <c r="S80" i="16"/>
  <c r="R81" i="16"/>
  <c r="S81" i="16"/>
  <c r="R82" i="16"/>
  <c r="S82" i="16"/>
  <c r="R83" i="16"/>
  <c r="S83" i="16"/>
  <c r="R84" i="16"/>
  <c r="S84" i="16"/>
  <c r="R85" i="16"/>
  <c r="S85" i="16"/>
  <c r="R86" i="16"/>
  <c r="S86" i="16"/>
  <c r="R87" i="16"/>
  <c r="S87" i="16"/>
  <c r="R88" i="16"/>
  <c r="S88" i="16"/>
  <c r="R89" i="16"/>
  <c r="S89" i="16"/>
  <c r="R90" i="16"/>
  <c r="S90" i="16"/>
  <c r="R91" i="16"/>
  <c r="S91" i="16"/>
  <c r="R92" i="16"/>
  <c r="S92" i="16"/>
  <c r="R93" i="16"/>
  <c r="S93" i="16"/>
  <c r="R94" i="16"/>
  <c r="S94" i="16"/>
  <c r="R95" i="16"/>
  <c r="S95" i="16"/>
  <c r="R96" i="16"/>
  <c r="S96" i="16"/>
  <c r="R97" i="16"/>
  <c r="S97" i="16"/>
  <c r="R98" i="16"/>
  <c r="S98" i="16"/>
  <c r="R99" i="16"/>
  <c r="S99" i="16"/>
  <c r="R100" i="16"/>
  <c r="S100" i="16"/>
  <c r="R101" i="16"/>
  <c r="S101" i="16"/>
  <c r="R102" i="16"/>
  <c r="S102" i="16"/>
  <c r="R103" i="16"/>
  <c r="S103" i="16"/>
  <c r="R104" i="16"/>
  <c r="S104" i="16"/>
  <c r="R105" i="16"/>
  <c r="S105" i="16"/>
  <c r="R106" i="16"/>
  <c r="S106" i="16"/>
  <c r="R107" i="16"/>
  <c r="S107" i="16"/>
  <c r="R108" i="16"/>
  <c r="S108" i="16"/>
  <c r="R109" i="16"/>
  <c r="S109" i="16"/>
  <c r="R110" i="16"/>
  <c r="S110" i="16"/>
  <c r="R111" i="16"/>
  <c r="S111" i="16"/>
  <c r="R112" i="16"/>
  <c r="S112" i="16"/>
  <c r="R113" i="16"/>
  <c r="S113" i="16"/>
  <c r="R114" i="16"/>
  <c r="S114" i="16"/>
  <c r="R115" i="16"/>
  <c r="S115" i="16"/>
  <c r="R116" i="16"/>
  <c r="S116" i="16"/>
  <c r="R117" i="16"/>
  <c r="S117" i="16"/>
  <c r="R118" i="16"/>
  <c r="S118" i="16"/>
  <c r="R119" i="16"/>
  <c r="S119" i="16"/>
  <c r="R120" i="16"/>
  <c r="S120" i="16"/>
  <c r="R121" i="16"/>
  <c r="S121" i="16"/>
  <c r="R122" i="16"/>
  <c r="S122" i="16"/>
  <c r="R123" i="16"/>
  <c r="S123" i="16"/>
  <c r="R124" i="16"/>
  <c r="S124" i="16"/>
  <c r="R125" i="16"/>
  <c r="S125" i="16"/>
  <c r="R126" i="16"/>
  <c r="S126" i="16"/>
  <c r="R127" i="16"/>
  <c r="S127" i="16"/>
  <c r="R128" i="16"/>
  <c r="S128" i="16"/>
  <c r="R129" i="16"/>
  <c r="S129" i="16"/>
  <c r="R130" i="16"/>
  <c r="S130" i="16"/>
  <c r="R131" i="16"/>
  <c r="S131" i="16"/>
  <c r="R132" i="16"/>
  <c r="S132" i="16"/>
  <c r="R133" i="16"/>
  <c r="S133" i="16"/>
  <c r="R134" i="16"/>
  <c r="S134" i="16"/>
  <c r="R135" i="16"/>
  <c r="S135" i="16"/>
  <c r="R136" i="16"/>
  <c r="S136" i="16"/>
  <c r="R137" i="16"/>
  <c r="S137" i="16"/>
  <c r="R138" i="16"/>
  <c r="S138" i="16"/>
  <c r="R139" i="16"/>
  <c r="S139" i="16"/>
  <c r="R140" i="16"/>
  <c r="S140" i="16"/>
  <c r="R141" i="16"/>
  <c r="S141" i="16"/>
  <c r="R142" i="16"/>
  <c r="S142" i="16"/>
  <c r="R143" i="16"/>
  <c r="S143" i="16"/>
  <c r="R144" i="16"/>
  <c r="S144" i="16"/>
  <c r="R145" i="16"/>
  <c r="S145" i="16"/>
  <c r="R146" i="16"/>
  <c r="S146" i="16"/>
  <c r="R147" i="16"/>
  <c r="S147" i="16"/>
  <c r="R148" i="16"/>
  <c r="S148" i="16"/>
  <c r="R149" i="16"/>
  <c r="S149" i="16"/>
  <c r="R150" i="16"/>
  <c r="S150" i="16"/>
  <c r="R151" i="16"/>
  <c r="S151" i="16"/>
  <c r="R152" i="16"/>
  <c r="S152" i="16"/>
  <c r="R153" i="16"/>
  <c r="S153" i="16"/>
  <c r="R154" i="16"/>
  <c r="S154" i="16"/>
  <c r="R155" i="16"/>
  <c r="S155" i="16"/>
  <c r="R156" i="16"/>
  <c r="S156" i="16"/>
  <c r="R157" i="16"/>
  <c r="S157" i="16"/>
  <c r="R158" i="16"/>
  <c r="S158" i="16"/>
  <c r="R159" i="16"/>
  <c r="S159" i="16"/>
  <c r="R160" i="16"/>
  <c r="S160" i="16"/>
  <c r="R161" i="16"/>
  <c r="S161" i="16"/>
  <c r="R162" i="16"/>
  <c r="S162" i="16"/>
  <c r="R163" i="16"/>
  <c r="S163" i="16"/>
  <c r="R164" i="16"/>
  <c r="S164" i="16"/>
  <c r="R165" i="16"/>
  <c r="S165" i="16"/>
  <c r="R166" i="16"/>
  <c r="S166" i="16"/>
  <c r="R167" i="16"/>
  <c r="S167" i="16"/>
  <c r="R168" i="16"/>
  <c r="S168" i="16"/>
  <c r="R169" i="16"/>
  <c r="S169" i="16"/>
  <c r="R170" i="16"/>
  <c r="S170" i="16"/>
  <c r="R171" i="16"/>
  <c r="S171" i="16"/>
  <c r="R172" i="16"/>
  <c r="S172" i="16"/>
  <c r="R173" i="16"/>
  <c r="S173" i="16"/>
  <c r="R174" i="16"/>
  <c r="S174" i="16"/>
  <c r="R175" i="16"/>
  <c r="S175" i="16"/>
  <c r="R176" i="16"/>
  <c r="S176" i="16"/>
  <c r="R177" i="16"/>
  <c r="S177" i="16"/>
  <c r="R178" i="16"/>
  <c r="S178" i="16"/>
  <c r="R179" i="16"/>
  <c r="S179" i="16"/>
  <c r="R180" i="16"/>
  <c r="S180" i="16"/>
  <c r="R181" i="16"/>
  <c r="S181" i="16"/>
  <c r="R182" i="16"/>
  <c r="S182" i="16"/>
  <c r="R183" i="16"/>
  <c r="S183" i="16"/>
  <c r="R184" i="16"/>
  <c r="S184" i="16"/>
  <c r="R185" i="16"/>
  <c r="S185" i="16"/>
  <c r="R186" i="16"/>
  <c r="S186" i="16"/>
  <c r="R187" i="16"/>
  <c r="S187" i="16"/>
  <c r="R188" i="16"/>
  <c r="S188" i="16"/>
  <c r="R189" i="16"/>
  <c r="S189" i="16"/>
  <c r="R190" i="16"/>
  <c r="S190" i="16"/>
  <c r="R191" i="16"/>
  <c r="S191" i="16"/>
  <c r="R192" i="16"/>
  <c r="S192" i="16"/>
  <c r="R193" i="16"/>
  <c r="S193" i="16"/>
  <c r="R194" i="16"/>
  <c r="S194" i="16"/>
  <c r="R195" i="16"/>
  <c r="S195" i="16"/>
  <c r="R196" i="16"/>
  <c r="S196" i="16"/>
  <c r="R197" i="16"/>
  <c r="S197" i="16"/>
  <c r="R198" i="16"/>
  <c r="S198" i="16"/>
  <c r="R199" i="16"/>
  <c r="S199" i="16"/>
  <c r="R200" i="16"/>
  <c r="S200" i="16"/>
  <c r="R201" i="16"/>
  <c r="S201" i="16"/>
  <c r="R202" i="16"/>
  <c r="S202" i="16"/>
  <c r="R203" i="16"/>
  <c r="S203" i="16"/>
  <c r="R204" i="16"/>
  <c r="S204" i="16"/>
  <c r="R205" i="16"/>
  <c r="S205" i="16"/>
  <c r="R206" i="16"/>
  <c r="S206" i="16"/>
  <c r="R207" i="16"/>
  <c r="S207" i="16"/>
  <c r="R208" i="16"/>
  <c r="S208" i="16"/>
  <c r="R209" i="16"/>
  <c r="S209" i="16"/>
  <c r="R210" i="16"/>
  <c r="S210" i="16"/>
  <c r="R211" i="16"/>
  <c r="S211" i="16"/>
  <c r="R212" i="16"/>
  <c r="S212" i="16"/>
  <c r="R213" i="16"/>
  <c r="S213" i="16"/>
  <c r="R214" i="16"/>
  <c r="S214" i="16"/>
  <c r="R215" i="16"/>
  <c r="S215" i="16"/>
  <c r="R216" i="16"/>
  <c r="S216" i="16"/>
  <c r="R217" i="16"/>
  <c r="S217" i="16"/>
  <c r="R218" i="16"/>
  <c r="S218" i="16"/>
  <c r="R219" i="16"/>
  <c r="S219" i="16"/>
  <c r="R220" i="16"/>
  <c r="S220" i="16"/>
  <c r="R221" i="16"/>
  <c r="S221" i="16"/>
  <c r="R222" i="16"/>
  <c r="S222" i="16"/>
  <c r="R223" i="16"/>
  <c r="S223" i="16"/>
  <c r="R224" i="16"/>
  <c r="S224" i="16"/>
  <c r="R225" i="16"/>
  <c r="S225" i="16"/>
  <c r="R226" i="16"/>
  <c r="S226" i="16"/>
  <c r="R227" i="16"/>
  <c r="S227" i="16"/>
  <c r="R228" i="16"/>
  <c r="S228" i="16"/>
  <c r="R229" i="16"/>
  <c r="S229" i="16"/>
  <c r="R230" i="16"/>
  <c r="S230" i="16"/>
  <c r="R231" i="16"/>
  <c r="S231" i="16"/>
  <c r="R232" i="16"/>
  <c r="S232" i="16"/>
  <c r="R233" i="16"/>
  <c r="S233" i="16"/>
  <c r="R234" i="16"/>
  <c r="S234" i="16"/>
  <c r="R235" i="16"/>
  <c r="S235" i="16"/>
  <c r="R236" i="16"/>
  <c r="S236" i="16"/>
  <c r="R237" i="16"/>
  <c r="S237" i="16"/>
  <c r="R238" i="16"/>
  <c r="S238" i="16"/>
  <c r="R239" i="16"/>
  <c r="S239" i="16"/>
  <c r="R240" i="16"/>
  <c r="S240" i="16"/>
  <c r="R241" i="16"/>
  <c r="S241" i="16"/>
  <c r="R242" i="16"/>
  <c r="S242" i="16"/>
  <c r="R243" i="16"/>
  <c r="S243" i="16"/>
  <c r="R244" i="16"/>
  <c r="S244" i="16"/>
  <c r="R245" i="16"/>
  <c r="S245" i="16"/>
  <c r="R246" i="16"/>
  <c r="S246" i="16"/>
  <c r="R247" i="16"/>
  <c r="S247" i="16"/>
  <c r="R248" i="16"/>
  <c r="S248" i="16"/>
  <c r="R249" i="16"/>
  <c r="S249" i="16"/>
  <c r="R250" i="16"/>
  <c r="S250" i="16"/>
  <c r="R251" i="16"/>
  <c r="S251" i="16"/>
  <c r="R252" i="16"/>
  <c r="S252" i="16"/>
  <c r="R253" i="16"/>
  <c r="S253" i="16"/>
  <c r="R254" i="16"/>
  <c r="S254" i="16"/>
  <c r="R255" i="16"/>
  <c r="S255" i="16"/>
  <c r="R256" i="16"/>
  <c r="S256" i="16"/>
  <c r="R257" i="16"/>
  <c r="S257" i="16"/>
  <c r="R258" i="16"/>
  <c r="S258" i="16"/>
  <c r="R259" i="16"/>
  <c r="S259" i="16"/>
  <c r="R260" i="16"/>
  <c r="S260" i="16"/>
  <c r="R261" i="16"/>
  <c r="S261" i="16"/>
  <c r="R262" i="16"/>
  <c r="S262" i="16"/>
  <c r="R263" i="16"/>
  <c r="S263" i="16"/>
  <c r="R264" i="16"/>
  <c r="S264" i="16"/>
  <c r="R265" i="16"/>
  <c r="S265" i="16"/>
  <c r="R266" i="16"/>
  <c r="S266" i="16"/>
  <c r="R267" i="16"/>
  <c r="S267" i="16"/>
  <c r="R268" i="16"/>
  <c r="S268" i="16"/>
  <c r="R269" i="16"/>
  <c r="S269" i="16"/>
  <c r="R270" i="16"/>
  <c r="S270" i="16"/>
  <c r="R271" i="16"/>
  <c r="S271" i="16"/>
  <c r="R272" i="16"/>
  <c r="S272" i="16"/>
  <c r="R273" i="16"/>
  <c r="S273" i="16"/>
  <c r="R274" i="16"/>
  <c r="S274" i="16"/>
  <c r="R275" i="16"/>
  <c r="S275" i="16"/>
  <c r="R276" i="16"/>
  <c r="S276" i="16"/>
  <c r="R277" i="16"/>
  <c r="S277" i="16"/>
  <c r="R278" i="16"/>
  <c r="S278" i="16"/>
  <c r="R279" i="16"/>
  <c r="S279" i="16"/>
  <c r="R280" i="16"/>
  <c r="S280" i="16"/>
  <c r="R281" i="16"/>
  <c r="S281" i="16"/>
  <c r="R282" i="16"/>
  <c r="S282" i="16"/>
  <c r="R283" i="16"/>
  <c r="S283" i="16"/>
  <c r="R284" i="16"/>
  <c r="S284" i="16"/>
  <c r="R285" i="16"/>
  <c r="S285" i="16"/>
  <c r="R286" i="16"/>
  <c r="S286" i="16"/>
  <c r="R287" i="16"/>
  <c r="S287" i="16"/>
  <c r="R288" i="16"/>
  <c r="S288" i="16"/>
  <c r="R289" i="16"/>
  <c r="S289" i="16"/>
  <c r="R290" i="16"/>
  <c r="S290" i="16"/>
  <c r="R291" i="16"/>
  <c r="S291" i="16"/>
  <c r="R292" i="16"/>
  <c r="S292" i="16"/>
  <c r="R293" i="16"/>
  <c r="S293" i="16"/>
  <c r="R294" i="16"/>
  <c r="S294" i="16"/>
  <c r="R295" i="16"/>
  <c r="S295" i="16"/>
  <c r="R296" i="16"/>
  <c r="S296" i="16"/>
  <c r="R297" i="16"/>
  <c r="S297" i="16"/>
  <c r="R298" i="16"/>
  <c r="S298" i="16"/>
  <c r="R299" i="16"/>
  <c r="S299" i="16"/>
  <c r="R300" i="16"/>
  <c r="S300" i="16"/>
  <c r="R301" i="16"/>
  <c r="S301" i="16"/>
  <c r="R302" i="16"/>
  <c r="S302" i="16"/>
  <c r="R303" i="16"/>
  <c r="S303" i="16"/>
  <c r="R304" i="16"/>
  <c r="S304" i="16"/>
  <c r="R305" i="16"/>
  <c r="S305" i="16"/>
  <c r="R306" i="16"/>
  <c r="S306" i="16"/>
  <c r="R307" i="16"/>
  <c r="S307" i="16"/>
  <c r="R308" i="16"/>
  <c r="S308" i="16"/>
  <c r="R309" i="16"/>
  <c r="S309" i="16"/>
  <c r="R310" i="16"/>
  <c r="S310" i="16"/>
  <c r="R311" i="16"/>
  <c r="S311" i="16"/>
  <c r="R312" i="16"/>
  <c r="S312" i="16"/>
  <c r="R313" i="16"/>
  <c r="S313" i="16"/>
  <c r="R314" i="16"/>
  <c r="S314" i="16"/>
  <c r="R315" i="16"/>
  <c r="S315" i="16"/>
  <c r="R316" i="16"/>
  <c r="S316" i="16"/>
  <c r="R317" i="16"/>
  <c r="S317" i="16"/>
  <c r="R318" i="16"/>
  <c r="S318" i="16"/>
  <c r="R319" i="16"/>
  <c r="S319" i="16"/>
  <c r="R320" i="16"/>
  <c r="S320" i="16"/>
  <c r="R321" i="16"/>
  <c r="S321" i="16"/>
  <c r="R322" i="16"/>
  <c r="S322" i="16"/>
  <c r="R323" i="16"/>
  <c r="S323" i="16"/>
  <c r="R324" i="16"/>
  <c r="S324" i="16"/>
  <c r="R325" i="16"/>
  <c r="S325" i="16"/>
  <c r="R326" i="16"/>
  <c r="S326" i="16"/>
  <c r="R327" i="16"/>
  <c r="S327" i="16"/>
  <c r="R328" i="16"/>
  <c r="S328" i="16"/>
  <c r="R329" i="16"/>
  <c r="S329" i="16"/>
  <c r="R330" i="16"/>
  <c r="S330" i="16"/>
  <c r="R331" i="16"/>
  <c r="S331" i="16"/>
  <c r="R332" i="16"/>
  <c r="S332" i="16"/>
  <c r="R333" i="16"/>
  <c r="S333" i="16"/>
  <c r="R334" i="16"/>
  <c r="S334" i="16"/>
  <c r="R335" i="16"/>
  <c r="S335" i="16"/>
  <c r="R336" i="16"/>
  <c r="S336" i="16"/>
  <c r="R337" i="16"/>
  <c r="S337" i="16"/>
  <c r="R338" i="16"/>
  <c r="S338" i="16"/>
  <c r="R339" i="16"/>
  <c r="S339" i="16"/>
  <c r="R340" i="16"/>
  <c r="S340" i="16"/>
  <c r="R341" i="16"/>
  <c r="S341" i="16"/>
  <c r="R342" i="16"/>
  <c r="S342" i="16"/>
  <c r="R343" i="16"/>
  <c r="S343" i="16"/>
  <c r="R344" i="16"/>
  <c r="S344" i="16"/>
  <c r="R345" i="16"/>
  <c r="S345" i="16"/>
  <c r="R346" i="16"/>
  <c r="S346" i="16"/>
  <c r="R347" i="16"/>
  <c r="S347" i="16"/>
  <c r="R348" i="16"/>
  <c r="S348" i="16"/>
  <c r="R349" i="16"/>
  <c r="S349" i="16"/>
  <c r="R350" i="16"/>
  <c r="S350" i="16"/>
  <c r="R351" i="16"/>
  <c r="S351" i="16"/>
  <c r="R352" i="16"/>
  <c r="S352" i="16"/>
  <c r="R353" i="16"/>
  <c r="S353" i="16"/>
  <c r="R354" i="16"/>
  <c r="S354" i="16"/>
  <c r="R355" i="16"/>
  <c r="S355" i="16"/>
  <c r="R356" i="16"/>
  <c r="S356" i="16"/>
  <c r="R357" i="16"/>
  <c r="S357" i="16"/>
  <c r="R358" i="16"/>
  <c r="S358" i="16"/>
  <c r="R359" i="16"/>
  <c r="S359" i="16"/>
  <c r="R360" i="16"/>
  <c r="S360" i="16"/>
  <c r="R361" i="16"/>
  <c r="S361" i="16"/>
  <c r="R362" i="16"/>
  <c r="S362" i="16"/>
  <c r="R363" i="16"/>
  <c r="S363" i="16"/>
  <c r="R364" i="16"/>
  <c r="S364" i="16"/>
  <c r="R365" i="16"/>
  <c r="S365" i="16"/>
  <c r="R366" i="16"/>
  <c r="S366" i="16"/>
  <c r="R367" i="16"/>
  <c r="S367" i="16"/>
  <c r="R368" i="16"/>
  <c r="S368" i="16"/>
  <c r="R369" i="16"/>
  <c r="S369" i="16"/>
  <c r="R370" i="16"/>
  <c r="S370" i="16"/>
  <c r="R371" i="16"/>
  <c r="S371" i="16"/>
  <c r="R372" i="16"/>
  <c r="S372" i="16"/>
  <c r="R373" i="16"/>
  <c r="S373" i="16"/>
  <c r="R374" i="16"/>
  <c r="S374" i="16"/>
  <c r="R375" i="16"/>
  <c r="S375" i="16"/>
  <c r="R376" i="16"/>
  <c r="S376" i="16"/>
  <c r="R377" i="16"/>
  <c r="S377" i="16"/>
  <c r="R378" i="16"/>
  <c r="S378" i="16"/>
  <c r="R379" i="16"/>
  <c r="S379" i="16"/>
  <c r="R380" i="16"/>
  <c r="S380" i="16"/>
  <c r="R381" i="16"/>
  <c r="S381" i="16"/>
  <c r="R382" i="16"/>
  <c r="S382" i="16"/>
  <c r="R383" i="16"/>
  <c r="S383" i="16"/>
  <c r="R384" i="16"/>
  <c r="S384" i="16"/>
  <c r="R385" i="16"/>
  <c r="S385" i="16"/>
  <c r="R386" i="16"/>
  <c r="S386" i="16"/>
  <c r="R387" i="16"/>
  <c r="S387" i="16"/>
  <c r="R388" i="16"/>
  <c r="S388" i="16"/>
  <c r="R389" i="16"/>
  <c r="S389" i="16"/>
  <c r="R390" i="16"/>
  <c r="S390" i="16"/>
  <c r="R391" i="16"/>
  <c r="S391" i="16"/>
  <c r="R392" i="16"/>
  <c r="S392" i="16"/>
  <c r="R393" i="16"/>
  <c r="S393" i="16"/>
  <c r="R394" i="16"/>
  <c r="S394" i="16"/>
  <c r="R395" i="16"/>
  <c r="S395" i="16"/>
  <c r="R396" i="16"/>
  <c r="S396" i="16"/>
  <c r="R397" i="16"/>
  <c r="S397" i="16"/>
  <c r="R398" i="16"/>
  <c r="S398" i="16"/>
  <c r="R399" i="16"/>
  <c r="S399" i="16"/>
  <c r="R400" i="16"/>
  <c r="S400" i="16"/>
  <c r="R401" i="16"/>
  <c r="S401" i="16"/>
  <c r="R402" i="16"/>
  <c r="S402" i="16"/>
  <c r="R403" i="16"/>
  <c r="S403" i="16"/>
  <c r="R404" i="16"/>
  <c r="S404" i="16"/>
  <c r="R405" i="16"/>
  <c r="S405" i="16"/>
  <c r="R406" i="16"/>
  <c r="S406" i="16"/>
  <c r="R407" i="16"/>
  <c r="S407" i="16"/>
  <c r="R408" i="16"/>
  <c r="S408" i="16"/>
  <c r="R409" i="16"/>
  <c r="S409" i="16"/>
  <c r="R410" i="16"/>
  <c r="S410" i="16"/>
  <c r="R411" i="16"/>
  <c r="S411" i="16"/>
  <c r="R412" i="16"/>
  <c r="S412" i="16"/>
  <c r="R413" i="16"/>
  <c r="S413" i="16"/>
  <c r="R414" i="16"/>
  <c r="S414" i="16"/>
  <c r="R415" i="16"/>
  <c r="S415" i="16"/>
  <c r="R416" i="16"/>
  <c r="S416" i="16"/>
  <c r="R417" i="16"/>
  <c r="S417" i="16"/>
  <c r="R418" i="16"/>
  <c r="S418" i="16"/>
  <c r="R419" i="16"/>
  <c r="S419" i="16"/>
  <c r="R420" i="16"/>
  <c r="S420" i="16"/>
  <c r="R421" i="16"/>
  <c r="S421" i="16"/>
  <c r="R422" i="16"/>
  <c r="S422" i="16"/>
  <c r="R423" i="16"/>
  <c r="S423" i="16"/>
  <c r="R424" i="16"/>
  <c r="S424" i="16"/>
  <c r="R425" i="16"/>
  <c r="S425" i="16"/>
  <c r="R426" i="16"/>
  <c r="S426" i="16"/>
  <c r="R427" i="16"/>
  <c r="S427" i="16"/>
  <c r="R428" i="16"/>
  <c r="S428" i="16"/>
  <c r="R429" i="16"/>
  <c r="S429" i="16"/>
  <c r="R430" i="16"/>
  <c r="S430" i="16"/>
  <c r="R431" i="16"/>
  <c r="S431" i="16"/>
  <c r="R432" i="16"/>
  <c r="S432" i="16"/>
  <c r="R433" i="16"/>
  <c r="S433" i="16"/>
  <c r="R434" i="16"/>
  <c r="S434" i="16"/>
  <c r="R435" i="16"/>
  <c r="S435" i="16"/>
  <c r="R436" i="16"/>
  <c r="S436" i="16"/>
  <c r="R437" i="16"/>
  <c r="S437" i="16"/>
  <c r="R438" i="16"/>
  <c r="S438" i="16"/>
  <c r="R439" i="16"/>
  <c r="S439" i="16"/>
  <c r="R440" i="16"/>
  <c r="S440" i="16"/>
  <c r="R441" i="16"/>
  <c r="S441" i="16"/>
  <c r="R442" i="16"/>
  <c r="S442" i="16"/>
  <c r="R443" i="16"/>
  <c r="S443" i="16"/>
  <c r="R444" i="16"/>
  <c r="S444" i="16"/>
  <c r="R445" i="16"/>
  <c r="S445" i="16"/>
  <c r="R446" i="16"/>
  <c r="S446" i="16"/>
  <c r="R447" i="16"/>
  <c r="S447" i="16"/>
  <c r="R448" i="16"/>
  <c r="S448" i="16"/>
  <c r="R449" i="16"/>
  <c r="S449" i="16"/>
  <c r="R450" i="16"/>
  <c r="S450" i="16"/>
  <c r="R451" i="16"/>
  <c r="S451" i="16"/>
  <c r="R452" i="16"/>
  <c r="S452" i="16"/>
  <c r="R453" i="16"/>
  <c r="S453" i="16"/>
  <c r="R454" i="16"/>
  <c r="S454" i="16"/>
  <c r="R455" i="16"/>
  <c r="S455" i="16"/>
  <c r="R456" i="16"/>
  <c r="S456" i="16"/>
  <c r="R457" i="16"/>
  <c r="S457" i="16"/>
  <c r="R458" i="16"/>
  <c r="S458" i="16"/>
  <c r="R459" i="16"/>
  <c r="S459" i="16"/>
  <c r="R460" i="16"/>
  <c r="S460" i="16"/>
  <c r="R461" i="16"/>
  <c r="S461" i="16"/>
  <c r="R462" i="16"/>
  <c r="S462" i="16"/>
  <c r="R463" i="16"/>
  <c r="S463" i="16"/>
  <c r="R464" i="16"/>
  <c r="S464" i="16"/>
  <c r="R465" i="16"/>
  <c r="S465" i="16"/>
  <c r="R466" i="16"/>
  <c r="S466" i="16"/>
  <c r="R467" i="16"/>
  <c r="S467" i="16"/>
  <c r="R468" i="16"/>
  <c r="S468" i="16"/>
  <c r="R469" i="16"/>
  <c r="S469" i="16"/>
  <c r="R470" i="16"/>
  <c r="S470" i="16"/>
  <c r="R471" i="16"/>
  <c r="S471" i="16"/>
  <c r="R472" i="16"/>
  <c r="S472" i="16"/>
  <c r="R473" i="16"/>
  <c r="S473" i="16"/>
  <c r="R474" i="16"/>
  <c r="S474" i="16"/>
  <c r="R475" i="16"/>
  <c r="S475" i="16"/>
  <c r="R476" i="16"/>
  <c r="S476" i="16"/>
  <c r="R477" i="16"/>
  <c r="S477" i="16"/>
  <c r="R478" i="16"/>
  <c r="S478" i="16"/>
  <c r="R479" i="16"/>
  <c r="S479" i="16"/>
  <c r="R480" i="16"/>
  <c r="S480" i="16"/>
  <c r="R481" i="16"/>
  <c r="S481" i="16"/>
  <c r="R482" i="16"/>
  <c r="S482" i="16"/>
  <c r="R483" i="16"/>
  <c r="S483" i="16"/>
  <c r="R484" i="16"/>
  <c r="S484" i="16"/>
  <c r="R485" i="16"/>
  <c r="S485" i="16"/>
  <c r="R486" i="16"/>
  <c r="S486" i="16"/>
  <c r="R487" i="16"/>
  <c r="S487" i="16"/>
  <c r="R488" i="16"/>
  <c r="S488" i="16"/>
  <c r="R489" i="16"/>
  <c r="S489" i="16"/>
  <c r="R490" i="16"/>
  <c r="S490" i="16"/>
  <c r="R491" i="16"/>
  <c r="S491" i="16"/>
  <c r="R492" i="16"/>
  <c r="S492" i="16"/>
  <c r="R493" i="16"/>
  <c r="S493" i="16"/>
  <c r="R494" i="16"/>
  <c r="S494" i="16"/>
  <c r="R495" i="16"/>
  <c r="S495" i="16"/>
  <c r="R496" i="16"/>
  <c r="S496" i="16"/>
  <c r="R497" i="16"/>
  <c r="S497" i="16"/>
  <c r="R498" i="16"/>
  <c r="S498" i="16"/>
  <c r="R499" i="16"/>
  <c r="S499" i="16"/>
  <c r="R500" i="16"/>
  <c r="S500" i="16"/>
  <c r="R501" i="16"/>
  <c r="S501" i="16"/>
  <c r="R502" i="16"/>
  <c r="S502" i="16"/>
  <c r="R503" i="16"/>
  <c r="S503" i="16"/>
  <c r="R504" i="16"/>
  <c r="S504" i="16"/>
  <c r="R505" i="16"/>
  <c r="S505" i="16"/>
  <c r="R506" i="16"/>
  <c r="S506" i="16"/>
  <c r="R507" i="16"/>
  <c r="S507" i="16"/>
  <c r="R508" i="16"/>
  <c r="S508" i="16"/>
  <c r="R509" i="16"/>
  <c r="S509" i="16"/>
  <c r="R510" i="16"/>
  <c r="S510" i="16"/>
  <c r="R511" i="16"/>
  <c r="S511" i="16"/>
  <c r="R512" i="16"/>
  <c r="S512" i="16"/>
  <c r="R513" i="16"/>
  <c r="S513" i="16"/>
  <c r="R514" i="16"/>
  <c r="S514" i="16"/>
  <c r="R515" i="16"/>
  <c r="S515" i="16"/>
  <c r="R516" i="16"/>
  <c r="S516" i="16"/>
  <c r="R517" i="16"/>
  <c r="S517" i="16"/>
  <c r="R518" i="16"/>
  <c r="S518" i="16"/>
  <c r="R519" i="16"/>
  <c r="S519" i="16"/>
  <c r="R520" i="16"/>
  <c r="S520" i="16"/>
  <c r="R521" i="16"/>
  <c r="S521" i="16"/>
  <c r="R522" i="16"/>
  <c r="S522" i="16"/>
  <c r="R523" i="16"/>
  <c r="S523" i="16"/>
  <c r="R524" i="16"/>
  <c r="S524" i="16"/>
  <c r="R525" i="16"/>
  <c r="S525" i="16"/>
  <c r="R526" i="16"/>
  <c r="S526" i="16"/>
  <c r="R527" i="16"/>
  <c r="S527" i="16"/>
  <c r="R528" i="16"/>
  <c r="S528" i="16"/>
  <c r="R529" i="16"/>
  <c r="S529" i="16"/>
  <c r="R530" i="16"/>
  <c r="S530" i="16"/>
  <c r="R531" i="16"/>
  <c r="S531" i="16"/>
  <c r="R532" i="16"/>
  <c r="S532" i="16"/>
  <c r="R533" i="16"/>
  <c r="S533" i="16"/>
  <c r="R534" i="16"/>
  <c r="S534" i="16"/>
  <c r="R535" i="16"/>
  <c r="S535" i="16"/>
  <c r="R536" i="16"/>
  <c r="S536" i="16"/>
  <c r="R537" i="16"/>
  <c r="S537" i="16"/>
  <c r="R538" i="16"/>
  <c r="S538" i="16"/>
  <c r="R539" i="16"/>
  <c r="S539" i="16"/>
  <c r="R540" i="16"/>
  <c r="S540" i="16"/>
  <c r="R541" i="16"/>
  <c r="S541" i="16"/>
  <c r="R542" i="16"/>
  <c r="S542" i="16"/>
  <c r="R543" i="16"/>
  <c r="S543" i="16"/>
  <c r="R544" i="16"/>
  <c r="S544" i="16"/>
  <c r="R545" i="16"/>
  <c r="S545" i="16"/>
  <c r="R546" i="16"/>
  <c r="S546" i="16"/>
  <c r="R547" i="16"/>
  <c r="S547" i="16"/>
  <c r="R548" i="16"/>
  <c r="S548" i="16"/>
  <c r="R549" i="16"/>
  <c r="S549" i="16"/>
  <c r="R550" i="16"/>
  <c r="S550" i="16"/>
  <c r="R551" i="16"/>
  <c r="S551" i="16"/>
  <c r="R552" i="16"/>
  <c r="S552" i="16"/>
  <c r="R553" i="16"/>
  <c r="S553" i="16"/>
  <c r="R554" i="16"/>
  <c r="S554" i="16"/>
  <c r="R555" i="16"/>
  <c r="S555" i="16"/>
  <c r="R556" i="16"/>
  <c r="S556" i="16"/>
  <c r="R557" i="16"/>
  <c r="S557" i="16"/>
  <c r="R558" i="16"/>
  <c r="S558" i="16"/>
  <c r="R559" i="16"/>
  <c r="S559" i="16"/>
  <c r="R560" i="16"/>
  <c r="S560" i="16"/>
  <c r="R561" i="16"/>
  <c r="S561" i="16"/>
  <c r="R562" i="16"/>
  <c r="S562" i="16"/>
  <c r="R563" i="16"/>
  <c r="S563" i="16"/>
  <c r="R564" i="16"/>
  <c r="S564" i="16"/>
  <c r="R565" i="16"/>
  <c r="S565" i="16"/>
  <c r="R566" i="16"/>
  <c r="S566" i="16"/>
  <c r="R567" i="16"/>
  <c r="S567" i="16"/>
  <c r="R568" i="16"/>
  <c r="S568" i="16"/>
  <c r="R569" i="16"/>
  <c r="S569" i="16"/>
  <c r="R570" i="16"/>
  <c r="S570" i="16"/>
  <c r="R571" i="16"/>
  <c r="S571" i="16"/>
  <c r="R572" i="16"/>
  <c r="S572" i="16"/>
  <c r="R573" i="16"/>
  <c r="S573" i="16"/>
  <c r="R574" i="16"/>
  <c r="S574" i="16"/>
  <c r="R575" i="16"/>
  <c r="S575" i="16"/>
  <c r="R576" i="16"/>
  <c r="S576" i="16"/>
  <c r="R577" i="16"/>
  <c r="S577" i="16"/>
  <c r="R578" i="16"/>
  <c r="S578" i="16"/>
  <c r="R579" i="16"/>
  <c r="S579" i="16"/>
  <c r="R580" i="16"/>
  <c r="S580" i="16"/>
  <c r="R581" i="16"/>
  <c r="S581" i="16"/>
  <c r="R582" i="16"/>
  <c r="S582" i="16"/>
  <c r="R583" i="16"/>
  <c r="S583" i="16"/>
  <c r="R584" i="16"/>
  <c r="S584" i="16"/>
  <c r="R585" i="16"/>
  <c r="S585" i="16"/>
  <c r="R586" i="16"/>
  <c r="S586" i="16"/>
  <c r="R587" i="16"/>
  <c r="S587" i="16"/>
  <c r="R588" i="16"/>
  <c r="S588" i="16"/>
  <c r="R589" i="16"/>
  <c r="S589" i="16"/>
  <c r="R590" i="16"/>
  <c r="S590" i="16"/>
  <c r="R591" i="16"/>
  <c r="S591" i="16"/>
  <c r="R592" i="16"/>
  <c r="S592" i="16"/>
  <c r="R593" i="16"/>
  <c r="S593" i="16"/>
  <c r="R594" i="16"/>
  <c r="S594" i="16"/>
  <c r="R595" i="16"/>
  <c r="S595" i="16"/>
  <c r="R596" i="16"/>
  <c r="S596" i="16"/>
  <c r="R597" i="16"/>
  <c r="S597" i="16"/>
  <c r="R598" i="16"/>
  <c r="S598" i="16"/>
  <c r="R599" i="16"/>
  <c r="S599" i="16"/>
  <c r="R600" i="16"/>
  <c r="S600" i="16"/>
  <c r="R601" i="16"/>
  <c r="S601" i="16"/>
  <c r="R602" i="16"/>
  <c r="S602" i="16"/>
  <c r="R603" i="16"/>
  <c r="S603" i="16"/>
  <c r="R604" i="16"/>
  <c r="S604" i="16"/>
  <c r="R605" i="16"/>
  <c r="S605" i="16"/>
  <c r="R606" i="16"/>
  <c r="S606" i="16"/>
  <c r="R607" i="16"/>
  <c r="S607" i="16"/>
  <c r="R608" i="16"/>
  <c r="S608" i="16"/>
  <c r="R609" i="16"/>
  <c r="S609" i="16"/>
  <c r="R610" i="16"/>
  <c r="S610" i="16"/>
  <c r="R611" i="16"/>
  <c r="S611" i="16"/>
  <c r="R612" i="16"/>
  <c r="S612" i="16"/>
  <c r="R613" i="16"/>
  <c r="S613" i="16"/>
  <c r="R614" i="16"/>
  <c r="S614" i="16"/>
  <c r="R615" i="16"/>
  <c r="S615" i="16"/>
  <c r="R616" i="16"/>
  <c r="S616" i="16"/>
  <c r="R617" i="16"/>
  <c r="S617" i="16"/>
  <c r="R618" i="16"/>
  <c r="S618" i="16"/>
  <c r="R619" i="16"/>
  <c r="S619" i="16"/>
  <c r="R620" i="16"/>
  <c r="S620" i="16"/>
  <c r="R621" i="16"/>
  <c r="S621" i="16"/>
  <c r="R622" i="16"/>
  <c r="S622" i="16"/>
  <c r="R623" i="16"/>
  <c r="S623" i="16"/>
  <c r="R624" i="16"/>
  <c r="S624" i="16"/>
  <c r="R625" i="16"/>
  <c r="S625" i="16"/>
  <c r="R626" i="16"/>
  <c r="S626" i="16"/>
  <c r="R627" i="16"/>
  <c r="S627" i="16"/>
  <c r="R628" i="16"/>
  <c r="S628" i="16"/>
  <c r="R629" i="16"/>
  <c r="S629" i="16"/>
  <c r="R630" i="16"/>
  <c r="S630" i="16"/>
  <c r="R631" i="16"/>
  <c r="S631" i="16"/>
  <c r="R632" i="16"/>
  <c r="S632" i="16"/>
  <c r="R633" i="16"/>
  <c r="S633" i="16"/>
  <c r="R634" i="16"/>
  <c r="S634" i="16"/>
  <c r="R635" i="16"/>
  <c r="S635" i="16"/>
  <c r="R636" i="16"/>
  <c r="S636" i="16"/>
  <c r="R637" i="16"/>
  <c r="S637" i="16"/>
  <c r="R638" i="16"/>
  <c r="S638" i="16"/>
  <c r="R639" i="16"/>
  <c r="S639" i="16"/>
  <c r="R640" i="16"/>
  <c r="S640" i="16"/>
  <c r="R641" i="16"/>
  <c r="S641" i="16"/>
  <c r="R642" i="16"/>
  <c r="S642" i="16"/>
  <c r="R643" i="16"/>
  <c r="S643" i="16"/>
  <c r="R644" i="16"/>
  <c r="S644" i="16"/>
  <c r="R645" i="16"/>
  <c r="S645" i="16"/>
  <c r="R646" i="16"/>
  <c r="S646" i="16"/>
  <c r="R647" i="16"/>
  <c r="S647" i="16"/>
  <c r="R648" i="16"/>
  <c r="S648" i="16"/>
  <c r="R649" i="16"/>
  <c r="S649" i="16"/>
  <c r="R650" i="16"/>
  <c r="S650" i="16"/>
  <c r="R651" i="16"/>
  <c r="S651" i="16"/>
  <c r="R652" i="16"/>
  <c r="S652" i="16"/>
  <c r="R653" i="16"/>
  <c r="S653" i="16"/>
  <c r="R654" i="16"/>
  <c r="S654" i="16"/>
  <c r="R655" i="16"/>
  <c r="S655" i="16"/>
  <c r="R656" i="16"/>
  <c r="S656" i="16"/>
  <c r="R657" i="16"/>
  <c r="S657" i="16"/>
  <c r="R658" i="16"/>
  <c r="S658" i="16"/>
  <c r="R659" i="16"/>
  <c r="S659" i="16"/>
  <c r="R660" i="16"/>
  <c r="S660" i="16"/>
  <c r="R661" i="16"/>
  <c r="S661" i="16"/>
  <c r="R662" i="16"/>
  <c r="S662" i="16"/>
  <c r="R663" i="16"/>
  <c r="S663" i="16"/>
  <c r="R664" i="16"/>
  <c r="S664" i="16"/>
  <c r="R665" i="16"/>
  <c r="S665" i="16"/>
  <c r="R666" i="16"/>
  <c r="S666" i="16"/>
  <c r="R667" i="16"/>
  <c r="S667" i="16"/>
  <c r="R668" i="16"/>
  <c r="S668" i="16"/>
  <c r="R669" i="16"/>
  <c r="S669" i="16"/>
  <c r="R670" i="16"/>
  <c r="S670" i="16"/>
  <c r="R671" i="16"/>
  <c r="S671" i="16"/>
  <c r="R672" i="16"/>
  <c r="S672" i="16"/>
  <c r="R673" i="16"/>
  <c r="S673" i="16"/>
  <c r="R674" i="16"/>
  <c r="S674" i="16"/>
  <c r="R675" i="16"/>
  <c r="S675" i="16"/>
  <c r="R676" i="16"/>
  <c r="S676" i="16"/>
  <c r="R677" i="16"/>
  <c r="S677" i="16"/>
  <c r="R678" i="16"/>
  <c r="S678" i="16"/>
  <c r="R679" i="16"/>
  <c r="S679" i="16"/>
  <c r="R680" i="16"/>
  <c r="S680" i="16"/>
  <c r="R681" i="16"/>
  <c r="S681" i="16"/>
  <c r="R682" i="16"/>
  <c r="S682" i="16"/>
  <c r="R683" i="16"/>
  <c r="S683" i="16"/>
  <c r="R684" i="16"/>
  <c r="S684" i="16"/>
  <c r="R685" i="16"/>
  <c r="S685" i="16"/>
  <c r="R686" i="16"/>
  <c r="S686" i="16"/>
  <c r="R687" i="16"/>
  <c r="S687" i="16"/>
  <c r="R688" i="16"/>
  <c r="S688" i="16"/>
  <c r="R689" i="16"/>
  <c r="S689" i="16"/>
  <c r="R690" i="16"/>
  <c r="S690" i="16"/>
  <c r="R691" i="16"/>
  <c r="S691" i="16"/>
  <c r="R692" i="16"/>
  <c r="S692" i="16"/>
  <c r="R693" i="16"/>
  <c r="S693" i="16"/>
  <c r="R694" i="16"/>
  <c r="S694" i="16"/>
  <c r="R695" i="16"/>
  <c r="S695" i="16"/>
  <c r="R696" i="16"/>
  <c r="S696" i="16"/>
  <c r="R697" i="16"/>
  <c r="S697" i="16"/>
  <c r="R698" i="16"/>
  <c r="S698" i="16"/>
  <c r="R699" i="16"/>
  <c r="S699" i="16"/>
  <c r="R700" i="16"/>
  <c r="S700" i="16"/>
  <c r="R701" i="16"/>
  <c r="S701" i="16"/>
  <c r="R702" i="16"/>
  <c r="S702" i="16"/>
  <c r="R703" i="16"/>
  <c r="S703" i="16"/>
  <c r="R704" i="16"/>
  <c r="S704" i="16"/>
  <c r="R705" i="16"/>
  <c r="S705" i="16"/>
  <c r="R706" i="16"/>
  <c r="S706" i="16"/>
  <c r="R707" i="16"/>
  <c r="S707" i="16"/>
  <c r="R708" i="16"/>
  <c r="S708" i="16"/>
  <c r="R709" i="16"/>
  <c r="S709" i="16"/>
  <c r="R710" i="16"/>
  <c r="S710" i="16"/>
  <c r="R711" i="16"/>
  <c r="S711" i="16"/>
  <c r="R712" i="16"/>
  <c r="S712" i="16"/>
  <c r="R713" i="16"/>
  <c r="S713" i="16"/>
  <c r="R714" i="16"/>
  <c r="S714" i="16"/>
  <c r="R715" i="16"/>
  <c r="S715" i="16"/>
  <c r="R716" i="16"/>
  <c r="S716" i="16"/>
  <c r="R717" i="16"/>
  <c r="S717" i="16"/>
  <c r="R718" i="16"/>
  <c r="S718" i="16"/>
  <c r="R719" i="16"/>
  <c r="S719" i="16"/>
  <c r="R720" i="16"/>
  <c r="S720" i="16"/>
  <c r="R721" i="16"/>
  <c r="S721" i="16"/>
  <c r="R722" i="16"/>
  <c r="S722" i="16"/>
  <c r="R723" i="16"/>
  <c r="S723" i="16"/>
  <c r="R724" i="16"/>
  <c r="S724" i="16"/>
  <c r="R725" i="16"/>
  <c r="S725" i="16"/>
  <c r="R726" i="16"/>
  <c r="S726" i="16"/>
  <c r="R727" i="16"/>
  <c r="S727" i="16"/>
  <c r="R728" i="16"/>
  <c r="S728" i="16"/>
  <c r="R729" i="16"/>
  <c r="S729" i="16"/>
  <c r="R730" i="16"/>
  <c r="S730" i="16"/>
  <c r="R731" i="16"/>
  <c r="S731" i="16"/>
  <c r="R732" i="16"/>
  <c r="S732" i="16"/>
  <c r="R733" i="16"/>
  <c r="S733" i="16"/>
  <c r="R734" i="16"/>
  <c r="S734" i="16"/>
  <c r="R735" i="16"/>
  <c r="S735" i="16"/>
  <c r="R736" i="16"/>
  <c r="S736" i="16"/>
  <c r="R737" i="16"/>
  <c r="S737" i="16"/>
  <c r="R738" i="16"/>
  <c r="S738" i="16"/>
  <c r="R739" i="16"/>
  <c r="S739" i="16"/>
  <c r="R740" i="16"/>
  <c r="S740" i="16"/>
  <c r="R741" i="16"/>
  <c r="S741" i="16"/>
  <c r="R742" i="16"/>
  <c r="S742" i="16"/>
  <c r="R743" i="16"/>
  <c r="S743" i="16"/>
  <c r="R744" i="16"/>
  <c r="S744" i="16"/>
  <c r="R745" i="16"/>
  <c r="S745" i="16"/>
  <c r="R746" i="16"/>
  <c r="S746" i="16"/>
  <c r="R747" i="16"/>
  <c r="S747" i="16"/>
  <c r="R748" i="16"/>
  <c r="S748" i="16"/>
  <c r="R749" i="16"/>
  <c r="S749" i="16"/>
  <c r="R750" i="16"/>
  <c r="S750" i="16"/>
  <c r="R751" i="16"/>
  <c r="S751" i="16"/>
  <c r="R752" i="16"/>
  <c r="S752" i="16"/>
  <c r="R753" i="16"/>
  <c r="S753" i="16"/>
  <c r="R754" i="16"/>
  <c r="S754" i="16"/>
  <c r="R755" i="16"/>
  <c r="S755" i="16"/>
  <c r="R756" i="16"/>
  <c r="S756" i="16"/>
  <c r="R757" i="16"/>
  <c r="S757" i="16"/>
  <c r="R758" i="16"/>
  <c r="S758" i="16"/>
  <c r="R759" i="16"/>
  <c r="S759" i="16"/>
  <c r="R760" i="16"/>
  <c r="S760" i="16"/>
  <c r="R761" i="16"/>
  <c r="S761" i="16"/>
  <c r="R762" i="16"/>
  <c r="S762" i="16"/>
  <c r="R763" i="16"/>
  <c r="S763" i="16"/>
  <c r="R764" i="16"/>
  <c r="S764" i="16"/>
  <c r="R765" i="16"/>
  <c r="S765" i="16"/>
  <c r="R766" i="16"/>
  <c r="S766" i="16"/>
  <c r="R767" i="16"/>
  <c r="S767" i="16"/>
  <c r="R768" i="16"/>
  <c r="S768" i="16"/>
  <c r="R769" i="16"/>
  <c r="S769" i="16"/>
  <c r="R770" i="16"/>
  <c r="S770" i="16"/>
  <c r="R771" i="16"/>
  <c r="S771" i="16"/>
  <c r="R772" i="16"/>
  <c r="S772" i="16"/>
  <c r="R773" i="16"/>
  <c r="S773" i="16"/>
  <c r="R774" i="16"/>
  <c r="S774" i="16"/>
  <c r="R775" i="16"/>
  <c r="S775" i="16"/>
  <c r="R776" i="16"/>
  <c r="S776" i="16"/>
  <c r="R777" i="16"/>
  <c r="S777" i="16"/>
  <c r="R778" i="16"/>
  <c r="S778" i="16"/>
  <c r="R779" i="16"/>
  <c r="S779" i="16"/>
  <c r="R780" i="16"/>
  <c r="S780" i="16"/>
  <c r="R781" i="16"/>
  <c r="S781" i="16"/>
  <c r="R782" i="16"/>
  <c r="S782" i="16"/>
  <c r="R783" i="16"/>
  <c r="S783" i="16"/>
  <c r="R784" i="16"/>
  <c r="S784" i="16"/>
  <c r="R785" i="16"/>
  <c r="S785" i="16"/>
  <c r="R786" i="16"/>
  <c r="S786" i="16"/>
  <c r="R787" i="16"/>
  <c r="S787" i="16"/>
  <c r="R788" i="16"/>
  <c r="S788" i="16"/>
  <c r="R789" i="16"/>
  <c r="S789" i="16"/>
  <c r="R790" i="16"/>
  <c r="S790" i="16"/>
  <c r="R791" i="16"/>
  <c r="S791" i="16"/>
  <c r="R792" i="16"/>
  <c r="S792" i="16"/>
  <c r="R793" i="16"/>
  <c r="S793" i="16"/>
  <c r="R794" i="16"/>
  <c r="S794" i="16"/>
  <c r="R795" i="16"/>
  <c r="S795" i="16"/>
  <c r="R796" i="16"/>
  <c r="S796" i="16"/>
  <c r="R797" i="16"/>
  <c r="S797" i="16"/>
  <c r="R798" i="16"/>
  <c r="S798" i="16"/>
  <c r="R799" i="16"/>
  <c r="S799" i="16"/>
  <c r="R800" i="16"/>
  <c r="S800" i="16"/>
  <c r="R801" i="16"/>
  <c r="S801" i="16"/>
  <c r="R802" i="16"/>
  <c r="S802" i="16"/>
  <c r="R803" i="16"/>
  <c r="S803" i="16"/>
  <c r="R804" i="16"/>
  <c r="S804" i="16"/>
  <c r="R805" i="16"/>
  <c r="S805" i="16"/>
  <c r="R806" i="16"/>
  <c r="S806" i="16"/>
  <c r="R807" i="16"/>
  <c r="S807" i="16"/>
  <c r="R808" i="16"/>
  <c r="S808" i="16"/>
  <c r="R809" i="16"/>
  <c r="S809" i="16"/>
  <c r="R810" i="16"/>
  <c r="S810" i="16"/>
  <c r="R811" i="16"/>
  <c r="S811" i="16"/>
  <c r="R812" i="16"/>
  <c r="S812" i="16"/>
  <c r="R813" i="16"/>
  <c r="S813" i="16"/>
  <c r="R814" i="16"/>
  <c r="S814" i="16"/>
  <c r="R815" i="16"/>
  <c r="S815" i="16"/>
  <c r="R816" i="16"/>
  <c r="S816" i="16"/>
  <c r="R817" i="16"/>
  <c r="S817" i="16"/>
  <c r="R818" i="16"/>
  <c r="S818" i="16"/>
  <c r="R819" i="16"/>
  <c r="S819" i="16"/>
  <c r="R820" i="16"/>
  <c r="S820" i="16"/>
  <c r="R821" i="16"/>
  <c r="S821" i="16"/>
  <c r="R822" i="16"/>
  <c r="S822" i="16"/>
  <c r="R823" i="16"/>
  <c r="S823" i="16"/>
  <c r="R824" i="16"/>
  <c r="S824" i="16"/>
  <c r="R825" i="16"/>
  <c r="S825" i="16"/>
  <c r="R826" i="16"/>
  <c r="S826" i="16"/>
  <c r="R827" i="16"/>
  <c r="S827" i="16"/>
  <c r="R828" i="16"/>
  <c r="S828" i="16"/>
  <c r="R829" i="16"/>
  <c r="S829" i="16"/>
  <c r="R830" i="16"/>
  <c r="S830" i="16"/>
  <c r="R831" i="16"/>
  <c r="S831" i="16"/>
  <c r="R832" i="16"/>
  <c r="S832" i="16"/>
  <c r="R833" i="16"/>
  <c r="S833" i="16"/>
  <c r="R834" i="16"/>
  <c r="S834" i="16"/>
  <c r="R835" i="16"/>
  <c r="S835" i="16"/>
  <c r="R836" i="16"/>
  <c r="S836" i="16"/>
  <c r="R837" i="16"/>
  <c r="S837" i="16"/>
  <c r="R838" i="16"/>
  <c r="S838" i="16"/>
  <c r="R839" i="16"/>
  <c r="S839" i="16"/>
  <c r="R840" i="16"/>
  <c r="S840" i="16"/>
  <c r="R841" i="16"/>
  <c r="S841" i="16"/>
  <c r="R842" i="16"/>
  <c r="S842" i="16"/>
  <c r="R843" i="16"/>
  <c r="S843" i="16"/>
  <c r="R844" i="16"/>
  <c r="S844" i="16"/>
  <c r="R845" i="16"/>
  <c r="S845" i="16"/>
  <c r="R846" i="16"/>
  <c r="S846" i="16"/>
  <c r="R847" i="16"/>
  <c r="S847" i="16"/>
  <c r="R848" i="16"/>
  <c r="S848" i="16"/>
  <c r="R849" i="16"/>
  <c r="S849" i="16"/>
  <c r="R850" i="16"/>
  <c r="S850" i="16"/>
  <c r="R851" i="16"/>
  <c r="S851" i="16"/>
  <c r="R852" i="16"/>
  <c r="S852" i="16"/>
  <c r="R853" i="16"/>
  <c r="S853" i="16"/>
  <c r="R854" i="16"/>
  <c r="S854" i="16"/>
  <c r="R855" i="16"/>
  <c r="S855" i="16"/>
  <c r="R856" i="16"/>
  <c r="S856" i="16"/>
  <c r="R857" i="16"/>
  <c r="S857" i="16"/>
  <c r="R858" i="16"/>
  <c r="S858" i="16"/>
  <c r="R859" i="16"/>
  <c r="S859" i="16"/>
  <c r="R860" i="16"/>
  <c r="S860" i="16"/>
  <c r="R861" i="16"/>
  <c r="S861" i="16"/>
  <c r="R862" i="16"/>
  <c r="S862" i="16"/>
  <c r="R863" i="16"/>
  <c r="S863" i="16"/>
  <c r="R864" i="16"/>
  <c r="S864" i="16"/>
  <c r="R865" i="16"/>
  <c r="S865" i="16"/>
  <c r="R866" i="16"/>
  <c r="S866" i="16"/>
  <c r="R867" i="16"/>
  <c r="S867" i="16"/>
  <c r="R868" i="16"/>
  <c r="S868" i="16"/>
  <c r="R869" i="16"/>
  <c r="S869" i="16"/>
  <c r="R870" i="16"/>
  <c r="S870" i="16"/>
  <c r="R871" i="16"/>
  <c r="S871" i="16"/>
  <c r="R872" i="16"/>
  <c r="S872" i="16"/>
  <c r="R873" i="16"/>
  <c r="S873" i="16"/>
  <c r="R874" i="16"/>
  <c r="S874" i="16"/>
  <c r="R875" i="16"/>
  <c r="S875" i="16"/>
  <c r="R876" i="16"/>
  <c r="S876" i="16"/>
  <c r="R877" i="16"/>
  <c r="S877" i="16"/>
  <c r="R878" i="16"/>
  <c r="S878" i="16"/>
  <c r="R879" i="16"/>
  <c r="S879" i="16"/>
  <c r="R880" i="16"/>
  <c r="S880" i="16"/>
  <c r="R881" i="16"/>
  <c r="S881" i="16"/>
  <c r="R882" i="16"/>
  <c r="S882" i="16"/>
  <c r="R883" i="16"/>
  <c r="S883" i="16"/>
  <c r="R884" i="16"/>
  <c r="S884" i="16"/>
  <c r="R885" i="16"/>
  <c r="S885" i="16"/>
  <c r="R886" i="16"/>
  <c r="S886" i="16"/>
  <c r="R887" i="16"/>
  <c r="S887" i="16"/>
  <c r="R888" i="16"/>
  <c r="S888" i="16"/>
  <c r="R889" i="16"/>
  <c r="S889" i="16"/>
  <c r="R890" i="16"/>
  <c r="S890" i="16"/>
  <c r="R891" i="16"/>
  <c r="S891" i="16"/>
  <c r="R892" i="16"/>
  <c r="S892" i="16"/>
  <c r="R893" i="16"/>
  <c r="S893" i="16"/>
  <c r="R894" i="16"/>
  <c r="S894" i="16"/>
  <c r="R895" i="16"/>
  <c r="S895" i="16"/>
  <c r="R896" i="16"/>
  <c r="S896" i="16"/>
  <c r="R897" i="16"/>
  <c r="S897" i="16"/>
  <c r="R898" i="16"/>
  <c r="S898" i="16"/>
  <c r="R899" i="16"/>
  <c r="S899" i="16"/>
  <c r="R900" i="16"/>
  <c r="S900" i="16"/>
  <c r="R901" i="16"/>
  <c r="S901" i="16"/>
  <c r="R902" i="16"/>
  <c r="S902" i="16"/>
  <c r="R903" i="16"/>
  <c r="S903" i="16"/>
  <c r="R904" i="16"/>
  <c r="S904" i="16"/>
  <c r="R905" i="16"/>
  <c r="S905" i="16"/>
  <c r="R906" i="16"/>
  <c r="S906" i="16"/>
  <c r="R907" i="16"/>
  <c r="S907" i="16"/>
  <c r="R908" i="16"/>
  <c r="S908" i="16"/>
  <c r="R909" i="16"/>
  <c r="S909" i="16"/>
  <c r="R910" i="16"/>
  <c r="S910" i="16"/>
  <c r="R911" i="16"/>
  <c r="S911" i="16"/>
  <c r="R912" i="16"/>
  <c r="S912" i="16"/>
  <c r="R913" i="16"/>
  <c r="S913" i="16"/>
  <c r="R914" i="16"/>
  <c r="S914" i="16"/>
  <c r="R915" i="16"/>
  <c r="S915" i="16"/>
  <c r="R916" i="16"/>
  <c r="S916" i="16"/>
  <c r="R917" i="16"/>
  <c r="S917" i="16"/>
  <c r="R918" i="16"/>
  <c r="S918" i="16"/>
  <c r="R919" i="16"/>
  <c r="S919" i="16"/>
  <c r="R920" i="16"/>
  <c r="S920" i="16"/>
  <c r="R921" i="16"/>
  <c r="S921" i="16"/>
  <c r="R922" i="16"/>
  <c r="S922" i="16"/>
  <c r="R923" i="16"/>
  <c r="S923" i="16"/>
  <c r="R924" i="16"/>
  <c r="S924" i="16"/>
  <c r="R925" i="16"/>
  <c r="S925" i="16"/>
  <c r="R926" i="16"/>
  <c r="S926" i="16"/>
  <c r="R927" i="16"/>
  <c r="S927" i="16"/>
  <c r="R928" i="16"/>
  <c r="S928" i="16"/>
  <c r="R929" i="16"/>
  <c r="S929" i="16"/>
  <c r="R930" i="16"/>
  <c r="S930" i="16"/>
  <c r="R931" i="16"/>
  <c r="S931" i="16"/>
  <c r="R932" i="16"/>
  <c r="S932" i="16"/>
  <c r="R933" i="16"/>
  <c r="S933" i="16"/>
  <c r="R934" i="16"/>
  <c r="S934" i="16"/>
  <c r="R935" i="16"/>
  <c r="S935" i="16"/>
  <c r="R936" i="16"/>
  <c r="S936" i="16"/>
  <c r="R937" i="16"/>
  <c r="S937" i="16"/>
  <c r="R938" i="16"/>
  <c r="S938" i="16"/>
  <c r="R939" i="16"/>
  <c r="S939" i="16"/>
  <c r="R940" i="16"/>
  <c r="S940" i="16"/>
  <c r="R941" i="16"/>
  <c r="S941" i="16"/>
  <c r="R942" i="16"/>
  <c r="S942" i="16"/>
  <c r="R943" i="16"/>
  <c r="S943" i="16"/>
  <c r="R944" i="16"/>
  <c r="S944" i="16"/>
  <c r="R945" i="16"/>
  <c r="S945" i="16"/>
  <c r="R946" i="16"/>
  <c r="S946" i="16"/>
  <c r="R947" i="16"/>
  <c r="S947" i="16"/>
  <c r="R948" i="16"/>
  <c r="S948" i="16"/>
  <c r="R949" i="16"/>
  <c r="S949" i="16"/>
  <c r="R950" i="16"/>
  <c r="S950" i="16"/>
  <c r="R951" i="16"/>
  <c r="S951" i="16"/>
  <c r="R952" i="16"/>
  <c r="S952" i="16"/>
  <c r="R953" i="16"/>
  <c r="S953" i="16"/>
  <c r="R954" i="16"/>
  <c r="S954" i="16"/>
  <c r="R955" i="16"/>
  <c r="S955" i="16"/>
  <c r="R956" i="16"/>
  <c r="S956" i="16"/>
  <c r="R957" i="16"/>
  <c r="S957" i="16"/>
  <c r="R958" i="16"/>
  <c r="S958" i="16"/>
  <c r="R959" i="16"/>
  <c r="S959" i="16"/>
  <c r="R960" i="16"/>
  <c r="S960" i="16"/>
  <c r="R961" i="16"/>
  <c r="S961" i="16"/>
  <c r="R962" i="16"/>
  <c r="S962" i="16"/>
  <c r="R963" i="16"/>
  <c r="S963" i="16"/>
  <c r="R964" i="16"/>
  <c r="S964" i="16"/>
  <c r="R965" i="16"/>
  <c r="S965" i="16"/>
  <c r="R966" i="16"/>
  <c r="S966" i="16"/>
  <c r="R967" i="16"/>
  <c r="S967" i="16"/>
  <c r="R968" i="16"/>
  <c r="S968" i="16"/>
  <c r="R969" i="16"/>
  <c r="S969" i="16"/>
  <c r="R970" i="16"/>
  <c r="S970" i="16"/>
  <c r="R971" i="16"/>
  <c r="S971" i="16"/>
  <c r="R972" i="16"/>
  <c r="S972" i="16"/>
  <c r="R973" i="16"/>
  <c r="S973" i="16"/>
  <c r="R974" i="16"/>
  <c r="S974" i="16"/>
  <c r="R975" i="16"/>
  <c r="S975" i="16"/>
  <c r="R976" i="16"/>
  <c r="S976" i="16"/>
  <c r="R977" i="16"/>
  <c r="S977" i="16"/>
  <c r="R978" i="16"/>
  <c r="S978" i="16"/>
  <c r="R979" i="16"/>
  <c r="S979" i="16"/>
  <c r="R980" i="16"/>
  <c r="S980" i="16"/>
  <c r="R981" i="16"/>
  <c r="S981" i="16"/>
  <c r="R982" i="16"/>
  <c r="S982" i="16"/>
  <c r="R983" i="16"/>
  <c r="S983" i="16"/>
  <c r="R984" i="16"/>
  <c r="S984" i="16"/>
  <c r="R985" i="16"/>
  <c r="S985" i="16"/>
  <c r="R986" i="16"/>
  <c r="S986" i="16"/>
  <c r="R987" i="16"/>
  <c r="S987" i="16"/>
  <c r="R988" i="16"/>
  <c r="S988" i="16"/>
  <c r="R989" i="16"/>
  <c r="S989" i="16"/>
  <c r="R990" i="16"/>
  <c r="S990" i="16"/>
  <c r="R991" i="16"/>
  <c r="S991" i="16"/>
  <c r="R992" i="16"/>
  <c r="S992" i="16"/>
  <c r="R993" i="16"/>
  <c r="S993" i="16"/>
  <c r="R994" i="16"/>
  <c r="S994" i="16"/>
  <c r="R995" i="16"/>
  <c r="S995" i="16"/>
  <c r="R996" i="16"/>
  <c r="S996" i="16"/>
  <c r="R997" i="16"/>
  <c r="S997" i="16"/>
  <c r="R998" i="16"/>
  <c r="S998" i="16"/>
  <c r="R999" i="16"/>
  <c r="S999" i="16"/>
  <c r="R1000" i="16"/>
  <c r="S1000" i="16"/>
  <c r="R1001" i="16"/>
  <c r="S1001" i="16"/>
  <c r="R1002" i="16"/>
  <c r="S1002" i="16"/>
  <c r="R1003" i="16"/>
  <c r="S1003" i="16"/>
  <c r="R1004" i="16"/>
  <c r="S1004" i="16"/>
  <c r="R1005" i="16"/>
  <c r="S1005" i="16"/>
  <c r="R1006" i="16"/>
  <c r="S1006" i="16"/>
  <c r="R1007" i="16"/>
  <c r="S1007" i="16"/>
  <c r="R1008" i="16"/>
  <c r="S1008" i="16"/>
  <c r="R1009" i="16"/>
  <c r="S1009" i="16"/>
  <c r="R1010" i="16"/>
  <c r="S1010" i="16"/>
  <c r="R1011" i="16"/>
  <c r="S1011" i="16"/>
  <c r="R1012" i="16"/>
  <c r="S1012" i="16"/>
  <c r="R1013" i="16"/>
  <c r="S1013" i="16"/>
  <c r="R1014" i="16"/>
  <c r="S1014" i="16"/>
  <c r="R1015" i="16"/>
  <c r="S1015" i="16"/>
  <c r="R1016" i="16"/>
  <c r="S1016" i="16"/>
  <c r="R1017" i="16"/>
  <c r="S1017" i="16"/>
  <c r="R1018" i="16"/>
  <c r="S1018" i="16"/>
  <c r="R1019" i="16"/>
  <c r="S1019" i="16"/>
  <c r="R1020" i="16"/>
  <c r="S1020" i="16"/>
  <c r="R1021" i="16"/>
  <c r="S1021" i="16"/>
  <c r="R1022" i="16"/>
  <c r="S1022" i="16"/>
  <c r="R1023" i="16"/>
  <c r="S1023" i="16"/>
  <c r="R1024" i="16"/>
  <c r="S1024" i="16"/>
  <c r="R1025" i="16"/>
  <c r="S1025" i="16"/>
  <c r="R1026" i="16"/>
  <c r="S1026" i="16"/>
  <c r="R1027" i="16"/>
  <c r="S1027" i="16"/>
  <c r="R1028" i="16"/>
  <c r="S1028" i="16"/>
  <c r="R1029" i="16"/>
  <c r="S1029" i="16"/>
  <c r="R1030" i="16"/>
  <c r="S1030" i="16"/>
  <c r="R1031" i="16"/>
  <c r="S1031" i="16"/>
  <c r="R1032" i="16"/>
  <c r="S1032" i="16"/>
  <c r="R1033" i="16"/>
  <c r="S1033" i="16"/>
  <c r="R1034" i="16"/>
  <c r="S1034" i="16"/>
  <c r="R1035" i="16"/>
  <c r="S1035" i="16"/>
  <c r="R1036" i="16"/>
  <c r="S1036" i="16"/>
  <c r="R1037" i="16"/>
  <c r="S1037" i="16"/>
  <c r="R1038" i="16"/>
  <c r="S1038" i="16"/>
  <c r="R1039" i="16"/>
  <c r="S1039" i="16"/>
  <c r="R1040" i="16"/>
  <c r="S1040" i="16"/>
  <c r="R1041" i="16"/>
  <c r="S1041" i="16"/>
  <c r="R1042" i="16"/>
  <c r="S1042" i="16"/>
  <c r="R1043" i="16"/>
  <c r="S1043" i="16"/>
  <c r="R1044" i="16"/>
  <c r="S1044" i="16"/>
  <c r="R1045" i="16"/>
  <c r="S1045" i="16"/>
  <c r="R1046" i="16"/>
  <c r="S1046" i="16"/>
  <c r="R1047" i="16"/>
  <c r="S1047" i="16"/>
  <c r="R1048" i="16"/>
  <c r="S1048" i="16"/>
  <c r="R1049" i="16"/>
  <c r="S1049" i="16"/>
  <c r="R1050" i="16"/>
  <c r="S1050" i="16"/>
  <c r="R1051" i="16"/>
  <c r="S1051" i="16"/>
  <c r="R1052" i="16"/>
  <c r="S1052" i="16"/>
  <c r="R1053" i="16"/>
  <c r="S1053" i="16"/>
  <c r="R1054" i="16"/>
  <c r="S1054" i="16"/>
  <c r="R1055" i="16"/>
  <c r="S1055" i="16"/>
  <c r="R1056" i="16"/>
  <c r="S1056" i="16"/>
  <c r="R1057" i="16"/>
  <c r="S1057" i="16"/>
  <c r="R1058" i="16"/>
  <c r="S1058" i="16"/>
  <c r="R1059" i="16"/>
  <c r="S1059" i="16"/>
  <c r="R1060" i="16"/>
  <c r="S1060" i="16"/>
  <c r="R1061" i="16"/>
  <c r="S1061" i="16"/>
  <c r="R1062" i="16"/>
  <c r="S1062" i="16"/>
  <c r="R1063" i="16"/>
  <c r="S1063" i="16"/>
  <c r="R1064" i="16"/>
  <c r="S1064" i="16"/>
  <c r="R1065" i="16"/>
  <c r="S1065" i="16"/>
  <c r="R1066" i="16"/>
  <c r="S1066" i="16"/>
  <c r="R1067" i="16"/>
  <c r="S1067" i="16"/>
  <c r="R1068" i="16"/>
  <c r="S1068" i="16"/>
  <c r="R1069" i="16"/>
  <c r="S1069" i="16"/>
  <c r="R1070" i="16"/>
  <c r="S1070" i="16"/>
  <c r="R1071" i="16"/>
  <c r="S1071" i="16"/>
  <c r="R1072" i="16"/>
  <c r="S1072" i="16"/>
  <c r="R1073" i="16"/>
  <c r="S1073" i="16"/>
  <c r="R1074" i="16"/>
  <c r="S1074" i="16"/>
  <c r="R1075" i="16"/>
  <c r="S1075" i="16"/>
  <c r="R1076" i="16"/>
  <c r="S1076" i="16"/>
  <c r="R1077" i="16"/>
  <c r="S1077" i="16"/>
  <c r="R1078" i="16"/>
  <c r="S1078" i="16"/>
  <c r="R1079" i="16"/>
  <c r="S1079" i="16"/>
  <c r="R1080" i="16"/>
  <c r="S1080" i="16"/>
  <c r="R1081" i="16"/>
  <c r="S1081" i="16"/>
  <c r="R1082" i="16"/>
  <c r="S1082" i="16"/>
  <c r="R1083" i="16"/>
  <c r="S1083" i="16"/>
  <c r="R1084" i="16"/>
  <c r="S1084" i="16"/>
  <c r="R1085" i="16"/>
  <c r="S1085" i="16"/>
  <c r="R1086" i="16"/>
  <c r="S1086" i="16"/>
  <c r="R1087" i="16"/>
  <c r="S1087" i="16"/>
  <c r="R1088" i="16"/>
  <c r="S1088" i="16"/>
  <c r="R1089" i="16"/>
  <c r="S1089" i="16"/>
  <c r="R1090" i="16"/>
  <c r="S1090" i="16"/>
  <c r="R1091" i="16"/>
  <c r="S1091" i="16"/>
  <c r="R1092" i="16"/>
  <c r="S1092" i="16"/>
  <c r="R1093" i="16"/>
  <c r="S1093" i="16"/>
  <c r="R1094" i="16"/>
  <c r="S1094" i="16"/>
  <c r="R1095" i="16"/>
  <c r="S1095" i="16"/>
  <c r="R1096" i="16"/>
  <c r="S1096" i="16"/>
  <c r="R1097" i="16"/>
  <c r="S1097" i="16"/>
  <c r="R1098" i="16"/>
  <c r="S1098" i="16"/>
  <c r="R1099" i="16"/>
  <c r="S1099" i="16"/>
  <c r="R1100" i="16"/>
  <c r="S1100" i="16"/>
  <c r="R1101" i="16"/>
  <c r="S1101" i="16"/>
  <c r="R1102" i="16"/>
  <c r="S1102" i="16"/>
  <c r="R1103" i="16"/>
  <c r="S1103" i="16"/>
  <c r="R1104" i="16"/>
  <c r="S1104" i="16"/>
  <c r="R1105" i="16"/>
  <c r="S1105" i="16"/>
  <c r="R1106" i="16"/>
  <c r="S1106" i="16"/>
  <c r="R1107" i="16"/>
  <c r="S1107" i="16"/>
  <c r="R1108" i="16"/>
  <c r="S1108" i="16"/>
  <c r="R1109" i="16"/>
  <c r="S1109" i="16"/>
  <c r="R1110" i="16"/>
  <c r="S1110" i="16"/>
  <c r="R1111" i="16"/>
  <c r="S1111" i="16"/>
  <c r="R1112" i="16"/>
  <c r="S1112" i="16"/>
  <c r="R1113" i="16"/>
  <c r="S1113" i="16"/>
  <c r="R1114" i="16"/>
  <c r="S1114" i="16"/>
  <c r="R1115" i="16"/>
  <c r="S1115" i="16"/>
  <c r="R1116" i="16"/>
  <c r="S1116" i="16"/>
  <c r="R1117" i="16"/>
  <c r="S1117" i="16"/>
  <c r="R1118" i="16"/>
  <c r="S1118" i="16"/>
  <c r="R1119" i="16"/>
  <c r="S1119" i="16"/>
  <c r="R1120" i="16"/>
  <c r="S1120" i="16"/>
  <c r="R1121" i="16"/>
  <c r="S1121" i="16"/>
  <c r="R1122" i="16"/>
  <c r="S1122" i="16"/>
  <c r="R1123" i="16"/>
  <c r="S1123" i="16"/>
  <c r="R1124" i="16"/>
  <c r="S1124" i="16"/>
  <c r="R1125" i="16"/>
  <c r="S1125" i="16"/>
  <c r="R1126" i="16"/>
  <c r="S1126" i="16"/>
  <c r="R1127" i="16"/>
  <c r="S1127" i="16"/>
  <c r="R1128" i="16"/>
  <c r="S1128" i="16"/>
  <c r="R1129" i="16"/>
  <c r="S1129" i="16"/>
  <c r="R1130" i="16"/>
  <c r="S1130" i="16"/>
  <c r="R1131" i="16"/>
  <c r="S1131" i="16"/>
  <c r="R1132" i="16"/>
  <c r="S1132" i="16"/>
  <c r="R1133" i="16"/>
  <c r="S1133" i="16"/>
  <c r="R1134" i="16"/>
  <c r="S1134" i="16"/>
  <c r="R1135" i="16"/>
  <c r="S1135" i="16"/>
  <c r="R1136" i="16"/>
  <c r="S1136" i="16"/>
  <c r="R1137" i="16"/>
  <c r="S1137" i="16"/>
  <c r="R1138" i="16"/>
  <c r="S1138" i="16"/>
  <c r="R1139" i="16"/>
  <c r="S1139" i="16"/>
  <c r="R1140" i="16"/>
  <c r="S1140" i="16"/>
  <c r="R1141" i="16"/>
  <c r="S1141" i="16"/>
  <c r="R1142" i="16"/>
  <c r="S1142" i="16"/>
  <c r="R1143" i="16"/>
  <c r="S1143" i="16"/>
  <c r="R1144" i="16"/>
  <c r="S1144" i="16"/>
  <c r="R1145" i="16"/>
  <c r="S1145" i="16"/>
  <c r="R1146" i="16"/>
  <c r="S1146" i="16"/>
  <c r="R1147" i="16"/>
  <c r="S1147" i="16"/>
  <c r="R1148" i="16"/>
  <c r="S1148" i="16"/>
  <c r="R1149" i="16"/>
  <c r="S1149" i="16"/>
  <c r="R1150" i="16"/>
  <c r="S1150" i="16"/>
  <c r="R1151" i="16"/>
  <c r="S1151" i="16"/>
  <c r="R1152" i="16"/>
  <c r="S1152" i="16"/>
  <c r="R1153" i="16"/>
  <c r="S1153" i="16"/>
  <c r="R1154" i="16"/>
  <c r="S1154" i="16"/>
  <c r="R1155" i="16"/>
  <c r="S1155" i="16"/>
  <c r="R1156" i="16"/>
  <c r="S1156" i="16"/>
  <c r="R1157" i="16"/>
  <c r="S1157" i="16"/>
  <c r="R1158" i="16"/>
  <c r="S1158" i="16"/>
  <c r="R1159" i="16"/>
  <c r="S1159" i="16"/>
  <c r="R1160" i="16"/>
  <c r="S1160" i="16"/>
  <c r="R1161" i="16"/>
  <c r="S1161" i="16"/>
  <c r="R1162" i="16"/>
  <c r="S1162" i="16"/>
  <c r="R1163" i="16"/>
  <c r="S1163" i="16"/>
  <c r="R1164" i="16"/>
  <c r="S1164" i="16"/>
  <c r="R1165" i="16"/>
  <c r="S1165" i="16"/>
  <c r="R1166" i="16"/>
  <c r="S1166" i="16"/>
  <c r="R1167" i="16"/>
  <c r="S1167" i="16"/>
  <c r="R1168" i="16"/>
  <c r="S1168" i="16"/>
  <c r="R1169" i="16"/>
  <c r="S1169" i="16"/>
  <c r="R1170" i="16"/>
  <c r="S1170" i="16"/>
  <c r="R1171" i="16"/>
  <c r="S1171" i="16"/>
  <c r="R1172" i="16"/>
  <c r="S1172" i="16"/>
  <c r="R1173" i="16"/>
  <c r="S1173" i="16"/>
  <c r="R1174" i="16"/>
  <c r="S1174" i="16"/>
  <c r="R1175" i="16"/>
  <c r="S1175" i="16"/>
  <c r="R1176" i="16"/>
  <c r="S1176" i="16"/>
  <c r="R1177" i="16"/>
  <c r="S1177" i="16"/>
  <c r="R1178" i="16"/>
  <c r="S1178" i="16"/>
  <c r="R1179" i="16"/>
  <c r="S1179" i="16"/>
  <c r="R1180" i="16"/>
  <c r="S1180" i="16"/>
  <c r="R1181" i="16"/>
  <c r="S1181" i="16"/>
  <c r="R1182" i="16"/>
  <c r="S1182" i="16"/>
  <c r="R1183" i="16"/>
  <c r="S1183" i="16"/>
  <c r="R1184" i="16"/>
  <c r="S1184" i="16"/>
  <c r="R1185" i="16"/>
  <c r="S1185" i="16"/>
  <c r="R1186" i="16"/>
  <c r="S1186" i="16"/>
  <c r="R1187" i="16"/>
  <c r="S1187" i="16"/>
  <c r="R1188" i="16"/>
  <c r="S1188" i="16"/>
  <c r="R1189" i="16"/>
  <c r="S1189" i="16"/>
  <c r="R1190" i="16"/>
  <c r="S1190" i="16"/>
  <c r="R1191" i="16"/>
  <c r="S1191" i="16"/>
  <c r="R1192" i="16"/>
  <c r="S1192" i="16"/>
  <c r="R1193" i="16"/>
  <c r="S1193" i="16"/>
  <c r="R1194" i="16"/>
  <c r="S1194" i="16"/>
  <c r="R1195" i="16"/>
  <c r="S1195" i="16"/>
  <c r="R1196" i="16"/>
  <c r="S1196" i="16"/>
  <c r="R1197" i="16"/>
  <c r="S1197" i="16"/>
  <c r="R1198" i="16"/>
  <c r="S1198" i="16"/>
  <c r="R1199" i="16"/>
  <c r="S1199" i="16"/>
  <c r="R1200" i="16"/>
  <c r="S1200" i="16"/>
  <c r="R1201" i="16"/>
  <c r="S1201" i="16"/>
  <c r="R1202" i="16"/>
  <c r="S1202" i="16"/>
  <c r="R1203" i="16"/>
  <c r="S1203" i="16"/>
  <c r="R1204" i="16"/>
  <c r="S1204" i="16"/>
  <c r="R1205" i="16"/>
  <c r="S1205" i="16"/>
  <c r="R1206" i="16"/>
  <c r="S1206" i="16"/>
  <c r="R1207" i="16"/>
  <c r="S1207" i="16"/>
  <c r="R1208" i="16"/>
  <c r="S1208" i="16"/>
  <c r="R1209" i="16"/>
  <c r="S1209" i="16"/>
  <c r="R1210" i="16"/>
  <c r="S1210" i="16"/>
  <c r="R1211" i="16"/>
  <c r="S1211" i="16"/>
  <c r="R1212" i="16"/>
  <c r="S1212" i="16"/>
  <c r="R1213" i="16"/>
  <c r="S1213" i="16"/>
  <c r="R1214" i="16"/>
  <c r="S1214" i="16"/>
  <c r="R1215" i="16"/>
  <c r="S1215" i="16"/>
  <c r="R1216" i="16"/>
  <c r="S1216" i="16"/>
  <c r="R1217" i="16"/>
  <c r="S1217" i="16"/>
  <c r="R1218" i="16"/>
  <c r="S1218" i="16"/>
  <c r="R1219" i="16"/>
  <c r="S1219" i="16"/>
  <c r="R1220" i="16"/>
  <c r="S1220" i="16"/>
  <c r="R1221" i="16"/>
  <c r="S1221" i="16"/>
  <c r="R1222" i="16"/>
  <c r="S1222" i="16"/>
  <c r="R1223" i="16"/>
  <c r="S1223" i="16"/>
  <c r="R1224" i="16"/>
  <c r="S1224" i="16"/>
  <c r="R1225" i="16"/>
  <c r="S1225" i="16"/>
  <c r="R1226" i="16"/>
  <c r="S1226" i="16"/>
  <c r="R1227" i="16"/>
  <c r="S1227" i="16"/>
  <c r="R1228" i="16"/>
  <c r="S1228" i="16"/>
  <c r="R1229" i="16"/>
  <c r="S1229" i="16"/>
  <c r="R1230" i="16"/>
  <c r="S1230" i="16"/>
  <c r="R1231" i="16"/>
  <c r="S1231" i="16"/>
  <c r="R1232" i="16"/>
  <c r="S1232" i="16"/>
  <c r="R1233" i="16"/>
  <c r="S1233" i="16"/>
  <c r="R1234" i="16"/>
  <c r="S1234" i="16"/>
  <c r="R1235" i="16"/>
  <c r="S1235" i="16"/>
  <c r="R1236" i="16"/>
  <c r="S1236" i="16"/>
  <c r="R1237" i="16"/>
  <c r="S1237" i="16"/>
  <c r="R1238" i="16"/>
  <c r="S1238" i="16"/>
  <c r="R1239" i="16"/>
  <c r="S1239" i="16"/>
  <c r="R1240" i="16"/>
  <c r="S1240" i="16"/>
  <c r="R1241" i="16"/>
  <c r="S1241" i="16"/>
  <c r="R1242" i="16"/>
  <c r="S1242" i="16"/>
  <c r="R1243" i="16"/>
  <c r="S1243" i="16"/>
  <c r="R1244" i="16"/>
  <c r="S1244" i="16"/>
  <c r="R1245" i="16"/>
  <c r="S1245" i="16"/>
  <c r="R1246" i="16"/>
  <c r="S1246" i="16"/>
  <c r="R1247" i="16"/>
  <c r="S1247" i="16"/>
  <c r="R1248" i="16"/>
  <c r="S1248" i="16"/>
  <c r="R1249" i="16"/>
  <c r="S1249" i="16"/>
  <c r="R1250" i="16"/>
  <c r="S1250" i="16"/>
  <c r="R1251" i="16"/>
  <c r="S1251" i="16"/>
  <c r="R1252" i="16"/>
  <c r="S1252" i="16"/>
  <c r="R1253" i="16"/>
  <c r="S1253" i="16"/>
  <c r="R1254" i="16"/>
  <c r="S1254" i="16"/>
  <c r="R1255" i="16"/>
  <c r="S1255" i="16"/>
  <c r="R1256" i="16"/>
  <c r="S1256" i="16"/>
  <c r="R1257" i="16"/>
  <c r="S1257" i="16"/>
  <c r="R1258" i="16"/>
  <c r="S1258" i="16"/>
  <c r="R1259" i="16"/>
  <c r="S1259" i="16"/>
  <c r="R1260" i="16"/>
  <c r="S1260" i="16"/>
  <c r="R1261" i="16"/>
  <c r="S1261" i="16"/>
  <c r="R1262" i="16"/>
  <c r="S1262" i="16"/>
  <c r="R1263" i="16"/>
  <c r="S1263" i="16"/>
  <c r="R1264" i="16"/>
  <c r="S1264" i="16"/>
  <c r="R1265" i="16"/>
  <c r="S1265" i="16"/>
  <c r="R1266" i="16"/>
  <c r="S1266" i="16"/>
  <c r="R1267" i="16"/>
  <c r="S1267" i="16"/>
  <c r="R1268" i="16"/>
  <c r="S1268" i="16"/>
  <c r="R1269" i="16"/>
  <c r="S1269" i="16"/>
  <c r="R1270" i="16"/>
  <c r="S1270" i="16"/>
  <c r="R1271" i="16"/>
  <c r="S1271" i="16"/>
  <c r="R1272" i="16"/>
  <c r="S1272" i="16"/>
  <c r="R1273" i="16"/>
  <c r="S1273" i="16"/>
  <c r="R1274" i="16"/>
  <c r="S1274" i="16"/>
  <c r="R1275" i="16"/>
  <c r="S1275" i="16"/>
  <c r="R1276" i="16"/>
  <c r="S1276" i="16"/>
  <c r="R1277" i="16"/>
  <c r="S1277" i="16"/>
  <c r="R1278" i="16"/>
  <c r="S1278" i="16"/>
  <c r="R1279" i="16"/>
  <c r="S1279" i="16"/>
  <c r="R1280" i="16"/>
  <c r="S1280" i="16"/>
  <c r="R1281" i="16"/>
  <c r="S1281" i="16"/>
  <c r="R1282" i="16"/>
  <c r="S1282" i="16"/>
  <c r="R1283" i="16"/>
  <c r="S1283" i="16"/>
  <c r="R1284" i="16"/>
  <c r="S1284" i="16"/>
  <c r="R1285" i="16"/>
  <c r="S1285" i="16"/>
  <c r="R1286" i="16"/>
  <c r="S1286" i="16"/>
  <c r="R1287" i="16"/>
  <c r="S1287" i="16"/>
  <c r="R1288" i="16"/>
  <c r="S1288" i="16"/>
  <c r="R1289" i="16"/>
  <c r="S1289" i="16"/>
  <c r="R1290" i="16"/>
  <c r="S1290" i="16"/>
  <c r="R1291" i="16"/>
  <c r="S1291" i="16"/>
  <c r="R1292" i="16"/>
  <c r="S1292" i="16"/>
  <c r="R1293" i="16"/>
  <c r="S1293" i="16"/>
  <c r="R1294" i="16"/>
  <c r="S1294" i="16"/>
  <c r="R1295" i="16"/>
  <c r="S1295" i="16"/>
  <c r="R1296" i="16"/>
  <c r="S1296" i="16"/>
  <c r="R1297" i="16"/>
  <c r="S1297" i="16"/>
  <c r="R1298" i="16"/>
  <c r="S1298" i="16"/>
  <c r="R1299" i="16"/>
  <c r="S1299" i="16"/>
  <c r="R1300" i="16"/>
  <c r="S1300" i="16"/>
  <c r="R1301" i="16"/>
  <c r="S1301" i="16"/>
  <c r="R1302" i="16"/>
  <c r="S1302" i="16"/>
  <c r="R1303" i="16"/>
  <c r="S1303" i="16"/>
  <c r="R1304" i="16"/>
  <c r="S1304" i="16"/>
  <c r="R1305" i="16"/>
  <c r="S1305" i="16"/>
  <c r="R1306" i="16"/>
  <c r="S1306" i="16"/>
  <c r="R1307" i="16"/>
  <c r="S1307" i="16"/>
  <c r="R1308" i="16"/>
  <c r="S1308" i="16"/>
  <c r="R1309" i="16"/>
  <c r="S1309" i="16"/>
  <c r="R1310" i="16"/>
  <c r="S1310" i="16"/>
  <c r="R1311" i="16"/>
  <c r="S1311" i="16"/>
  <c r="R1312" i="16"/>
  <c r="S1312" i="16"/>
  <c r="R1313" i="16"/>
  <c r="S1313" i="16"/>
  <c r="R1314" i="16"/>
  <c r="S1314" i="16"/>
  <c r="R1315" i="16"/>
  <c r="S1315" i="16"/>
  <c r="R1316" i="16"/>
  <c r="S1316" i="16"/>
  <c r="R1317" i="16"/>
  <c r="S1317" i="16"/>
  <c r="R1318" i="16"/>
  <c r="S1318" i="16"/>
  <c r="R1319" i="16"/>
  <c r="S1319" i="16"/>
  <c r="R1320" i="16"/>
  <c r="S1320" i="16"/>
  <c r="R1321" i="16"/>
  <c r="S1321" i="16"/>
  <c r="R1322" i="16"/>
  <c r="S1322" i="16"/>
  <c r="R1323" i="16"/>
  <c r="S1323" i="16"/>
  <c r="R1324" i="16"/>
  <c r="S1324" i="16"/>
  <c r="R1325" i="16"/>
  <c r="S1325" i="16"/>
  <c r="R1326" i="16"/>
  <c r="S1326" i="16"/>
  <c r="R1327" i="16"/>
  <c r="S1327" i="16"/>
  <c r="R1328" i="16"/>
  <c r="S1328" i="16"/>
  <c r="R1329" i="16"/>
  <c r="S1329" i="16"/>
  <c r="R1330" i="16"/>
  <c r="S1330" i="16"/>
  <c r="R1331" i="16"/>
  <c r="S1331" i="16"/>
  <c r="R1332" i="16"/>
  <c r="S1332" i="16"/>
  <c r="R1333" i="16"/>
  <c r="S1333" i="16"/>
  <c r="R1334" i="16"/>
  <c r="S1334" i="16"/>
  <c r="R1335" i="16"/>
  <c r="S1335" i="16"/>
  <c r="R1336" i="16"/>
  <c r="S1336" i="16"/>
  <c r="R1337" i="16"/>
  <c r="S1337" i="16"/>
  <c r="R1338" i="16"/>
  <c r="S1338" i="16"/>
  <c r="R1339" i="16"/>
  <c r="S1339" i="16"/>
  <c r="R1340" i="16"/>
  <c r="S1340" i="16"/>
  <c r="R1341" i="16"/>
  <c r="S1341" i="16"/>
  <c r="R1342" i="16"/>
  <c r="S1342" i="16"/>
  <c r="R1343" i="16"/>
  <c r="S1343" i="16"/>
  <c r="R1344" i="16"/>
  <c r="S1344" i="16"/>
  <c r="R1345" i="16"/>
  <c r="S1345" i="16"/>
  <c r="R1346" i="16"/>
  <c r="S1346" i="16"/>
  <c r="R1347" i="16"/>
  <c r="S1347" i="16"/>
  <c r="R1348" i="16"/>
  <c r="S1348" i="16"/>
  <c r="R1349" i="16"/>
  <c r="S1349" i="16"/>
  <c r="R1350" i="16"/>
  <c r="S1350" i="16"/>
  <c r="R1351" i="16"/>
  <c r="S1351" i="16"/>
  <c r="R1352" i="16"/>
  <c r="S1352" i="16"/>
  <c r="R1353" i="16"/>
  <c r="S1353" i="16"/>
  <c r="R1354" i="16"/>
  <c r="S1354" i="16"/>
  <c r="R1355" i="16"/>
  <c r="S1355" i="16"/>
  <c r="R1356" i="16"/>
  <c r="S1356" i="16"/>
  <c r="R1357" i="16"/>
  <c r="S1357" i="16"/>
  <c r="R1358" i="16"/>
  <c r="S1358" i="16"/>
  <c r="R1359" i="16"/>
  <c r="S1359" i="16"/>
  <c r="R1360" i="16"/>
  <c r="S1360" i="16"/>
  <c r="R1361" i="16"/>
  <c r="S1361" i="16"/>
  <c r="R1362" i="16"/>
  <c r="S1362" i="16"/>
  <c r="R1363" i="16"/>
  <c r="S1363" i="16"/>
  <c r="R1364" i="16"/>
  <c r="S1364" i="16"/>
  <c r="R1365" i="16"/>
  <c r="S1365" i="16"/>
  <c r="R1366" i="16"/>
  <c r="S1366" i="16"/>
  <c r="R1367" i="16"/>
  <c r="S1367" i="16"/>
  <c r="R1368" i="16"/>
  <c r="S1368" i="16"/>
  <c r="R1369" i="16"/>
  <c r="S1369" i="16"/>
  <c r="R1370" i="16"/>
  <c r="S1370" i="16"/>
  <c r="R1371" i="16"/>
  <c r="S1371" i="16"/>
  <c r="R1372" i="16"/>
  <c r="S1372" i="16"/>
  <c r="R1373" i="16"/>
  <c r="S1373" i="16"/>
  <c r="R1374" i="16"/>
  <c r="S1374" i="16"/>
  <c r="R1375" i="16"/>
  <c r="S1375" i="16"/>
  <c r="R1376" i="16"/>
  <c r="S1376" i="16"/>
  <c r="R1377" i="16"/>
  <c r="S1377" i="16"/>
  <c r="R1378" i="16"/>
  <c r="S1378" i="16"/>
  <c r="R1379" i="16"/>
  <c r="S1379" i="16"/>
  <c r="R1380" i="16"/>
  <c r="S1380" i="16"/>
  <c r="R1381" i="16"/>
  <c r="S1381" i="16"/>
  <c r="R1382" i="16"/>
  <c r="S1382" i="16"/>
  <c r="R1383" i="16"/>
  <c r="S1383" i="16"/>
  <c r="R1384" i="16"/>
  <c r="S1384" i="16"/>
  <c r="R1385" i="16"/>
  <c r="S1385" i="16"/>
  <c r="R1386" i="16"/>
  <c r="S1386" i="16"/>
  <c r="R1387" i="16"/>
  <c r="S1387" i="16"/>
  <c r="R1388" i="16"/>
  <c r="S1388" i="16"/>
  <c r="R1389" i="16"/>
  <c r="S1389" i="16"/>
  <c r="R1390" i="16"/>
  <c r="S1390" i="16"/>
  <c r="R1391" i="16"/>
  <c r="S1391" i="16"/>
  <c r="R1392" i="16"/>
  <c r="S1392" i="16"/>
  <c r="R1393" i="16"/>
  <c r="S1393" i="16"/>
  <c r="R1394" i="16"/>
  <c r="S1394" i="16"/>
  <c r="R1395" i="16"/>
  <c r="S1395" i="16"/>
  <c r="R1396" i="16"/>
  <c r="S1396" i="16"/>
  <c r="R1397" i="16"/>
  <c r="S1397" i="16"/>
  <c r="R1398" i="16"/>
  <c r="S1398" i="16"/>
  <c r="R1399" i="16"/>
  <c r="S1399" i="16"/>
  <c r="R1400" i="16"/>
  <c r="S1400" i="16"/>
  <c r="R1401" i="16"/>
  <c r="S1401" i="16"/>
  <c r="R1402" i="16"/>
  <c r="S1402" i="16"/>
  <c r="R1403" i="16"/>
  <c r="S1403" i="16"/>
  <c r="R1404" i="16"/>
  <c r="S1404" i="16"/>
  <c r="R1405" i="16"/>
  <c r="S1405" i="16"/>
  <c r="R1406" i="16"/>
  <c r="S1406" i="16"/>
  <c r="R1407" i="16"/>
  <c r="S1407" i="16"/>
  <c r="R1408" i="16"/>
  <c r="S1408" i="16"/>
  <c r="R1409" i="16"/>
  <c r="S1409" i="16"/>
  <c r="R1410" i="16"/>
  <c r="S1410" i="16"/>
  <c r="R1411" i="16"/>
  <c r="S1411" i="16"/>
  <c r="R1412" i="16"/>
  <c r="S1412" i="16"/>
  <c r="R1413" i="16"/>
  <c r="S1413" i="16"/>
  <c r="R1414" i="16"/>
  <c r="S1414" i="16"/>
  <c r="R1415" i="16"/>
  <c r="S1415" i="16"/>
  <c r="R1416" i="16"/>
  <c r="S1416" i="16"/>
  <c r="R1417" i="16"/>
  <c r="S1417" i="16"/>
  <c r="R1418" i="16"/>
  <c r="S1418" i="16"/>
  <c r="R1419" i="16"/>
  <c r="S1419" i="16"/>
  <c r="R1420" i="16"/>
  <c r="S1420" i="16"/>
  <c r="R1421" i="16"/>
  <c r="S1421" i="16"/>
  <c r="R1422" i="16"/>
  <c r="S1422" i="16"/>
  <c r="R1423" i="16"/>
  <c r="S1423" i="16"/>
  <c r="R1424" i="16"/>
  <c r="S1424" i="16"/>
  <c r="R1425" i="16"/>
  <c r="S1425" i="16"/>
  <c r="R1426" i="16"/>
  <c r="S1426" i="16"/>
  <c r="R1427" i="16"/>
  <c r="S1427" i="16"/>
  <c r="R1428" i="16"/>
  <c r="S1428" i="16"/>
  <c r="R1429" i="16"/>
  <c r="S1429" i="16"/>
  <c r="R1430" i="16"/>
  <c r="S1430" i="16"/>
  <c r="R1431" i="16"/>
  <c r="S1431" i="16"/>
  <c r="R1432" i="16"/>
  <c r="S1432" i="16"/>
  <c r="R1433" i="16"/>
  <c r="S1433" i="16"/>
  <c r="R1434" i="16"/>
  <c r="S1434" i="16"/>
  <c r="R1435" i="16"/>
  <c r="S1435" i="16"/>
  <c r="R1436" i="16"/>
  <c r="S1436" i="16"/>
  <c r="R1437" i="16"/>
  <c r="S1437" i="16"/>
  <c r="R1438" i="16"/>
  <c r="S1438" i="16"/>
  <c r="R1439" i="16"/>
  <c r="S1439" i="16"/>
  <c r="R1440" i="16"/>
  <c r="S1440" i="16"/>
  <c r="R1441" i="16"/>
  <c r="S1441" i="16"/>
  <c r="R1442" i="16"/>
  <c r="S1442" i="16"/>
  <c r="R1443" i="16"/>
  <c r="S1443" i="16"/>
  <c r="R1444" i="16"/>
  <c r="S1444" i="16"/>
  <c r="R1445" i="16"/>
  <c r="S1445" i="16"/>
  <c r="R1446" i="16"/>
  <c r="S1446" i="16"/>
  <c r="R1447" i="16"/>
  <c r="S1447" i="16"/>
  <c r="R1448" i="16"/>
  <c r="S1448" i="16"/>
  <c r="R1449" i="16"/>
  <c r="S1449" i="16"/>
  <c r="R1450" i="16"/>
  <c r="S1450" i="16"/>
  <c r="R1451" i="16"/>
  <c r="S1451" i="16"/>
  <c r="R1452" i="16"/>
  <c r="S1452" i="16"/>
  <c r="R1453" i="16"/>
  <c r="S1453" i="16"/>
  <c r="R1454" i="16"/>
  <c r="S1454" i="16"/>
  <c r="R1455" i="16"/>
  <c r="S1455" i="16"/>
  <c r="R1456" i="16"/>
  <c r="S1456" i="16"/>
  <c r="R1457" i="16"/>
  <c r="S1457" i="16"/>
  <c r="R1458" i="16"/>
  <c r="S1458" i="16"/>
  <c r="R1459" i="16"/>
  <c r="S1459" i="16"/>
  <c r="R1460" i="16"/>
  <c r="S1460" i="16"/>
  <c r="R1461" i="16"/>
  <c r="S1461" i="16"/>
  <c r="R1462" i="16"/>
  <c r="S1462" i="16"/>
  <c r="R1463" i="16"/>
  <c r="S1463" i="16"/>
  <c r="R1464" i="16"/>
  <c r="S1464" i="16"/>
  <c r="R1465" i="16"/>
  <c r="S1465" i="16"/>
  <c r="R1466" i="16"/>
  <c r="S1466" i="16"/>
  <c r="R1467" i="16"/>
  <c r="S1467" i="16"/>
  <c r="R1468" i="16"/>
  <c r="S1468" i="16"/>
  <c r="R1469" i="16"/>
  <c r="S1469" i="16"/>
  <c r="R1470" i="16"/>
  <c r="S1470" i="16"/>
  <c r="R1471" i="16"/>
  <c r="S1471" i="16"/>
  <c r="R1472" i="16"/>
  <c r="S1472" i="16"/>
  <c r="R1473" i="16"/>
  <c r="S1473" i="16"/>
  <c r="R1474" i="16"/>
  <c r="S1474" i="16"/>
  <c r="R1475" i="16"/>
  <c r="S1475" i="16"/>
  <c r="R1476" i="16"/>
  <c r="S1476" i="16"/>
  <c r="R1477" i="16"/>
  <c r="S1477" i="16"/>
  <c r="R1478" i="16"/>
  <c r="S1478" i="16"/>
  <c r="R1479" i="16"/>
  <c r="S1479" i="16"/>
  <c r="R1480" i="16"/>
  <c r="S1480" i="16"/>
  <c r="R1481" i="16"/>
  <c r="S1481" i="16"/>
  <c r="R1482" i="16"/>
  <c r="S1482" i="16"/>
  <c r="R1483" i="16"/>
  <c r="S1483" i="16"/>
  <c r="R1484" i="16"/>
  <c r="S1484" i="16"/>
  <c r="R1485" i="16"/>
  <c r="S1485" i="16"/>
  <c r="R1486" i="16"/>
  <c r="S1486" i="16"/>
  <c r="R1487" i="16"/>
  <c r="S1487" i="16"/>
  <c r="R1488" i="16"/>
  <c r="S1488" i="16"/>
  <c r="R1489" i="16"/>
  <c r="S1489" i="16"/>
  <c r="R1490" i="16"/>
  <c r="S1490" i="16"/>
  <c r="R1491" i="16"/>
  <c r="S1491" i="16"/>
  <c r="R1492" i="16"/>
  <c r="S1492" i="16"/>
  <c r="R1493" i="16"/>
  <c r="S1493" i="16"/>
  <c r="R1494" i="16"/>
  <c r="S1494" i="16"/>
  <c r="R1495" i="16"/>
  <c r="S1495" i="16"/>
  <c r="R1496" i="16"/>
  <c r="S1496" i="16"/>
  <c r="R1497" i="16"/>
  <c r="S1497" i="16"/>
  <c r="R1498" i="16"/>
  <c r="S1498" i="16"/>
  <c r="R1499" i="16"/>
  <c r="S1499" i="16"/>
  <c r="R1500" i="16"/>
  <c r="S1500" i="16"/>
  <c r="R1501" i="16"/>
  <c r="S1501" i="16"/>
  <c r="R1502" i="16"/>
  <c r="S1502" i="16"/>
  <c r="R1503" i="16"/>
  <c r="S1503" i="16"/>
  <c r="R1504" i="16"/>
  <c r="S1504" i="16"/>
  <c r="R1505" i="16"/>
  <c r="S1505" i="16"/>
  <c r="R1506" i="16"/>
  <c r="S1506" i="16"/>
  <c r="R1507" i="16"/>
  <c r="S1507" i="16"/>
  <c r="R1508" i="16"/>
  <c r="S1508" i="16"/>
  <c r="R1509" i="16"/>
  <c r="S1509" i="16"/>
  <c r="R1510" i="16"/>
  <c r="S1510" i="16"/>
  <c r="R1511" i="16"/>
  <c r="S1511" i="16"/>
  <c r="R1512" i="16"/>
  <c r="S1512" i="16"/>
  <c r="R1513" i="16"/>
  <c r="S1513" i="16"/>
  <c r="R1514" i="16"/>
  <c r="S1514" i="16"/>
  <c r="R1515" i="16"/>
  <c r="S1515" i="16"/>
  <c r="R1516" i="16"/>
  <c r="S1516" i="16"/>
  <c r="R1517" i="16"/>
  <c r="S1517" i="16"/>
  <c r="R1518" i="16"/>
  <c r="S1518" i="16"/>
  <c r="R1519" i="16"/>
  <c r="S1519" i="16"/>
  <c r="R1520" i="16"/>
  <c r="S1520" i="16"/>
  <c r="R1521" i="16"/>
  <c r="S1521" i="16"/>
  <c r="R1522" i="16"/>
  <c r="S1522" i="16"/>
  <c r="R1523" i="16"/>
  <c r="S1523" i="16"/>
  <c r="R1524" i="16"/>
  <c r="S1524" i="16"/>
  <c r="R1525" i="16"/>
  <c r="S1525" i="16"/>
  <c r="R1526" i="16"/>
  <c r="S1526" i="16"/>
  <c r="R1527" i="16"/>
  <c r="S1527" i="16"/>
  <c r="R1528" i="16"/>
  <c r="S1528" i="16"/>
  <c r="R1529" i="16"/>
  <c r="S1529" i="16"/>
  <c r="R1530" i="16"/>
  <c r="S1530" i="16"/>
  <c r="R1531" i="16"/>
  <c r="S1531" i="16"/>
  <c r="R1532" i="16"/>
  <c r="S1532" i="16"/>
  <c r="R1533" i="16"/>
  <c r="S1533" i="16"/>
  <c r="R1534" i="16"/>
  <c r="S1534" i="16"/>
  <c r="R1535" i="16"/>
  <c r="S1535" i="16"/>
  <c r="R1536" i="16"/>
  <c r="S1536" i="16"/>
  <c r="R1537" i="16"/>
  <c r="S1537" i="16"/>
  <c r="R1538" i="16"/>
  <c r="S1538" i="16"/>
  <c r="R1539" i="16"/>
  <c r="S1539" i="16"/>
  <c r="R1540" i="16"/>
  <c r="S1540" i="16"/>
  <c r="R1541" i="16"/>
  <c r="S1541" i="16"/>
  <c r="R1542" i="16"/>
  <c r="S1542" i="16"/>
  <c r="R1543" i="16"/>
  <c r="S1543" i="16"/>
  <c r="R1544" i="16"/>
  <c r="S1544" i="16"/>
  <c r="R1545" i="16"/>
  <c r="S1545" i="16"/>
  <c r="R1546" i="16"/>
  <c r="S1546" i="16"/>
  <c r="R1547" i="16"/>
  <c r="S1547" i="16"/>
  <c r="R1548" i="16"/>
  <c r="S1548" i="16"/>
  <c r="R1549" i="16"/>
  <c r="S1549" i="16"/>
  <c r="R1550" i="16"/>
  <c r="S1550" i="16"/>
  <c r="R1551" i="16"/>
  <c r="S1551" i="16"/>
  <c r="R1552" i="16"/>
  <c r="S1552" i="16"/>
  <c r="R1553" i="16"/>
  <c r="S1553" i="16"/>
  <c r="R1554" i="16"/>
  <c r="S1554" i="16"/>
  <c r="R1555" i="16"/>
  <c r="S1555" i="16"/>
  <c r="R1556" i="16"/>
  <c r="S1556" i="16"/>
  <c r="R1557" i="16"/>
  <c r="S1557" i="16"/>
  <c r="R1558" i="16"/>
  <c r="S1558" i="16"/>
  <c r="R1559" i="16"/>
  <c r="S1559" i="16"/>
  <c r="R1560" i="16"/>
  <c r="S1560" i="16"/>
  <c r="R1561" i="16"/>
  <c r="S1561" i="16"/>
  <c r="R1562" i="16"/>
  <c r="S1562" i="16"/>
  <c r="R1563" i="16"/>
  <c r="S1563" i="16"/>
  <c r="R1564" i="16"/>
  <c r="S1564" i="16"/>
  <c r="R1565" i="16"/>
  <c r="S1565" i="16"/>
  <c r="R1566" i="16"/>
  <c r="S1566" i="16"/>
  <c r="R1567" i="16"/>
  <c r="S1567" i="16"/>
  <c r="R1568" i="16"/>
  <c r="S1568" i="16"/>
  <c r="R1569" i="16"/>
  <c r="S1569" i="16"/>
  <c r="R1570" i="16"/>
  <c r="S1570" i="16"/>
  <c r="R1571" i="16"/>
  <c r="S1571" i="16"/>
  <c r="R1572" i="16"/>
  <c r="S1572" i="16"/>
  <c r="R1573" i="16"/>
  <c r="S1573" i="16"/>
  <c r="R1574" i="16"/>
  <c r="S1574" i="16"/>
  <c r="R1575" i="16"/>
  <c r="S1575" i="16"/>
  <c r="R1576" i="16"/>
  <c r="S1576" i="16"/>
  <c r="R1577" i="16"/>
  <c r="S1577" i="16"/>
  <c r="R1578" i="16"/>
  <c r="S1578" i="16"/>
  <c r="R1579" i="16"/>
  <c r="S1579" i="16"/>
  <c r="R1580" i="16"/>
  <c r="S1580" i="16"/>
  <c r="R1581" i="16"/>
  <c r="S1581" i="16"/>
  <c r="R1582" i="16"/>
  <c r="S1582" i="16"/>
  <c r="R1583" i="16"/>
  <c r="S1583" i="16"/>
  <c r="R1584" i="16"/>
  <c r="S1584" i="16"/>
  <c r="R1585" i="16"/>
  <c r="S1585" i="16"/>
  <c r="R1586" i="16"/>
  <c r="S1586" i="16"/>
  <c r="R1587" i="16"/>
  <c r="S1587" i="16"/>
  <c r="R1588" i="16"/>
  <c r="S1588" i="16"/>
  <c r="R1589" i="16"/>
  <c r="S1589" i="16"/>
  <c r="R1590" i="16"/>
  <c r="S1590" i="16"/>
  <c r="R1591" i="16"/>
  <c r="S1591" i="16"/>
  <c r="R1592" i="16"/>
  <c r="S1592" i="16"/>
  <c r="R1593" i="16"/>
  <c r="S1593" i="16"/>
  <c r="R1594" i="16"/>
  <c r="S1594" i="16"/>
  <c r="R1595" i="16"/>
  <c r="S1595" i="16"/>
  <c r="R1596" i="16"/>
  <c r="S1596" i="16"/>
  <c r="R1597" i="16"/>
  <c r="S1597" i="16"/>
  <c r="R1598" i="16"/>
  <c r="S1598" i="16"/>
  <c r="R1599" i="16"/>
  <c r="S1599" i="16"/>
  <c r="R1600" i="16"/>
  <c r="S1600" i="16"/>
  <c r="R1601" i="16"/>
  <c r="S1601" i="16"/>
  <c r="R1602" i="16"/>
  <c r="S1602" i="16"/>
  <c r="R1603" i="16"/>
  <c r="S1603" i="16"/>
  <c r="R1604" i="16"/>
  <c r="S1604" i="16"/>
  <c r="R1605" i="16"/>
  <c r="S1605" i="16"/>
  <c r="R1606" i="16"/>
  <c r="S1606" i="16"/>
  <c r="R1607" i="16"/>
  <c r="S1607" i="16"/>
  <c r="R1608" i="16"/>
  <c r="S1608" i="16"/>
  <c r="R1609" i="16"/>
  <c r="S1609" i="16"/>
  <c r="R1610" i="16"/>
  <c r="S1610" i="16"/>
  <c r="R1611" i="16"/>
  <c r="S1611" i="16"/>
  <c r="R1612" i="16"/>
  <c r="S1612" i="16"/>
  <c r="R1613" i="16"/>
  <c r="S1613" i="16"/>
  <c r="R1614" i="16"/>
  <c r="S1614" i="16"/>
  <c r="R1615" i="16"/>
  <c r="S1615" i="16"/>
  <c r="R1616" i="16"/>
  <c r="S1616" i="16"/>
  <c r="R1617" i="16"/>
  <c r="S1617" i="16"/>
  <c r="R1618" i="16"/>
  <c r="S1618" i="16"/>
  <c r="R1619" i="16"/>
  <c r="S1619" i="16"/>
  <c r="R1620" i="16"/>
  <c r="S1620" i="16"/>
  <c r="R1621" i="16"/>
  <c r="S1621" i="16"/>
  <c r="R1622" i="16"/>
  <c r="S1622" i="16"/>
  <c r="R1623" i="16"/>
  <c r="S1623" i="16"/>
  <c r="R1624" i="16"/>
  <c r="S1624" i="16"/>
  <c r="R1625" i="16"/>
  <c r="S1625" i="16"/>
  <c r="R1626" i="16"/>
  <c r="S1626" i="16"/>
  <c r="R1627" i="16"/>
  <c r="S1627" i="16"/>
  <c r="R1628" i="16"/>
  <c r="S1628" i="16"/>
  <c r="R1629" i="16"/>
  <c r="S1629" i="16"/>
  <c r="R1630" i="16"/>
  <c r="S1630" i="16"/>
  <c r="R1631" i="16"/>
  <c r="S1631" i="16"/>
  <c r="R1632" i="16"/>
  <c r="S1632" i="16"/>
  <c r="R1633" i="16"/>
  <c r="S1633" i="16"/>
  <c r="R1634" i="16"/>
  <c r="S1634" i="16"/>
  <c r="R1635" i="16"/>
  <c r="S1635" i="16"/>
  <c r="R1636" i="16"/>
  <c r="S1636" i="16"/>
  <c r="R1637" i="16"/>
  <c r="S1637" i="16"/>
  <c r="R1638" i="16"/>
  <c r="S1638" i="16"/>
  <c r="R1639" i="16"/>
  <c r="S1639" i="16"/>
  <c r="R1640" i="16"/>
  <c r="S1640" i="16"/>
  <c r="R1641" i="16"/>
  <c r="S1641" i="16"/>
  <c r="R1642" i="16"/>
  <c r="S1642" i="16"/>
  <c r="R1643" i="16"/>
  <c r="S1643" i="16"/>
  <c r="R1644" i="16"/>
  <c r="S1644" i="16"/>
  <c r="R1645" i="16"/>
  <c r="S1645" i="16"/>
  <c r="R1646" i="16"/>
  <c r="S1646" i="16"/>
  <c r="R1647" i="16"/>
  <c r="S1647" i="16"/>
  <c r="R1648" i="16"/>
  <c r="S1648" i="16"/>
  <c r="R1649" i="16"/>
  <c r="S1649" i="16"/>
  <c r="R1650" i="16"/>
  <c r="S1650" i="16"/>
  <c r="R1651" i="16"/>
  <c r="S1651" i="16"/>
  <c r="R1652" i="16"/>
  <c r="S1652" i="16"/>
  <c r="R1653" i="16"/>
  <c r="S1653" i="16"/>
  <c r="R1654" i="16"/>
  <c r="S1654" i="16"/>
  <c r="R1655" i="16"/>
  <c r="S1655" i="16"/>
  <c r="R1656" i="16"/>
  <c r="S1656" i="16"/>
  <c r="R1657" i="16"/>
  <c r="S1657" i="16"/>
  <c r="R1658" i="16"/>
  <c r="S1658" i="16"/>
  <c r="R1659" i="16"/>
  <c r="S1659" i="16"/>
  <c r="R1660" i="16"/>
  <c r="S1660" i="16"/>
  <c r="R1661" i="16"/>
  <c r="S1661" i="16"/>
  <c r="R1662" i="16"/>
  <c r="S1662" i="16"/>
  <c r="R1663" i="16"/>
  <c r="S1663" i="16"/>
  <c r="R1664" i="16"/>
  <c r="S1664" i="16"/>
  <c r="R1665" i="16"/>
  <c r="S1665" i="16"/>
  <c r="R1666" i="16"/>
  <c r="S1666" i="16"/>
  <c r="R1667" i="16"/>
  <c r="S1667" i="16"/>
  <c r="R1668" i="16"/>
  <c r="S1668" i="16"/>
  <c r="R1669" i="16"/>
  <c r="S1669" i="16"/>
  <c r="R1670" i="16"/>
  <c r="S1670" i="16"/>
  <c r="R1671" i="16"/>
  <c r="S1671" i="16"/>
  <c r="R1672" i="16"/>
  <c r="S1672" i="16"/>
  <c r="R1673" i="16"/>
  <c r="S1673" i="16"/>
  <c r="R1674" i="16"/>
  <c r="S1674" i="16"/>
  <c r="R1675" i="16"/>
  <c r="S1675" i="16"/>
  <c r="R1676" i="16"/>
  <c r="S1676" i="16"/>
  <c r="R1677" i="16"/>
  <c r="S1677" i="16"/>
  <c r="R1678" i="16"/>
  <c r="S1678" i="16"/>
  <c r="R1679" i="16"/>
  <c r="S1679" i="16"/>
  <c r="R1680" i="16"/>
  <c r="S1680" i="16"/>
  <c r="R1681" i="16"/>
  <c r="S1681" i="16"/>
  <c r="R1682" i="16"/>
  <c r="S1682" i="16"/>
  <c r="R1683" i="16"/>
  <c r="S1683" i="16"/>
  <c r="R1684" i="16"/>
  <c r="S1684" i="16"/>
  <c r="R1685" i="16"/>
  <c r="S1685" i="16"/>
  <c r="R1686" i="16"/>
  <c r="S1686" i="16"/>
  <c r="R1687" i="16"/>
  <c r="S1687" i="16"/>
  <c r="R1688" i="16"/>
  <c r="S1688" i="16"/>
  <c r="R1689" i="16"/>
  <c r="S1689" i="16"/>
  <c r="R1690" i="16"/>
  <c r="S1690" i="16"/>
  <c r="R1691" i="16"/>
  <c r="S1691" i="16"/>
  <c r="R1692" i="16"/>
  <c r="S1692" i="16"/>
  <c r="R1693" i="16"/>
  <c r="S1693" i="16"/>
  <c r="R1694" i="16"/>
  <c r="S1694" i="16"/>
  <c r="R1695" i="16"/>
  <c r="S1695" i="16"/>
  <c r="R1696" i="16"/>
  <c r="S1696" i="16"/>
  <c r="R1697" i="16"/>
  <c r="S1697" i="16"/>
  <c r="R1698" i="16"/>
  <c r="S1698" i="16"/>
  <c r="R1699" i="16"/>
  <c r="S1699" i="16"/>
  <c r="R1700" i="16"/>
  <c r="S1700" i="16"/>
  <c r="R1701" i="16"/>
  <c r="S1701" i="16"/>
  <c r="R1702" i="16"/>
  <c r="S1702" i="16"/>
  <c r="R1703" i="16"/>
  <c r="S1703" i="16"/>
  <c r="R1704" i="16"/>
  <c r="S1704" i="16"/>
  <c r="R1705" i="16"/>
  <c r="S1705" i="16"/>
  <c r="R1706" i="16"/>
  <c r="S1706" i="16"/>
  <c r="R1707" i="16"/>
  <c r="S1707" i="16"/>
  <c r="R1708" i="16"/>
  <c r="S1708" i="16"/>
  <c r="R1709" i="16"/>
  <c r="S1709" i="16"/>
  <c r="R1710" i="16"/>
  <c r="S1710" i="16"/>
  <c r="R1711" i="16"/>
  <c r="S1711" i="16"/>
  <c r="R1712" i="16"/>
  <c r="S1712" i="16"/>
  <c r="R1713" i="16"/>
  <c r="S1713" i="16"/>
  <c r="R1714" i="16"/>
  <c r="S1714" i="16"/>
  <c r="R1715" i="16"/>
  <c r="S1715" i="16"/>
  <c r="R1716" i="16"/>
  <c r="S1716" i="16"/>
  <c r="R1717" i="16"/>
  <c r="S1717" i="16"/>
  <c r="R1718" i="16"/>
  <c r="S1718" i="16"/>
  <c r="R1719" i="16"/>
  <c r="S1719" i="16"/>
  <c r="R1720" i="16"/>
  <c r="S1720" i="16"/>
  <c r="R1721" i="16"/>
  <c r="S1721" i="16"/>
  <c r="R1722" i="16"/>
  <c r="S1722" i="16"/>
  <c r="R1723" i="16"/>
  <c r="S1723" i="16"/>
  <c r="R1724" i="16"/>
  <c r="S1724" i="16"/>
  <c r="R1725" i="16"/>
  <c r="S1725" i="16"/>
  <c r="R1726" i="16"/>
  <c r="S1726" i="16"/>
  <c r="R1727" i="16"/>
  <c r="S1727" i="16"/>
  <c r="R1728" i="16"/>
  <c r="S1728" i="16"/>
  <c r="R1729" i="16"/>
  <c r="S1729" i="16"/>
  <c r="R1730" i="16"/>
  <c r="S1730" i="16"/>
  <c r="R1731" i="16"/>
  <c r="S1731" i="16"/>
  <c r="R1732" i="16"/>
  <c r="S1732" i="16"/>
  <c r="R1733" i="16"/>
  <c r="S1733" i="16"/>
  <c r="R1734" i="16"/>
  <c r="S1734" i="16"/>
  <c r="R1735" i="16"/>
  <c r="S1735" i="16"/>
  <c r="R1736" i="16"/>
  <c r="S1736" i="16"/>
  <c r="R1737" i="16"/>
  <c r="S1737" i="16"/>
  <c r="R1738" i="16"/>
  <c r="S1738" i="16"/>
  <c r="R1739" i="16"/>
  <c r="S1739" i="16"/>
  <c r="R1740" i="16"/>
  <c r="S1740" i="16"/>
  <c r="R1741" i="16"/>
  <c r="S1741" i="16"/>
  <c r="R1742" i="16"/>
  <c r="S1742" i="16"/>
  <c r="R1743" i="16"/>
  <c r="S1743" i="16"/>
  <c r="R1744" i="16"/>
  <c r="S1744" i="16"/>
  <c r="R1745" i="16"/>
  <c r="S1745" i="16"/>
  <c r="R1746" i="16"/>
  <c r="S1746" i="16"/>
  <c r="R1747" i="16"/>
  <c r="S1747" i="16"/>
  <c r="R1748" i="16"/>
  <c r="S1748" i="16"/>
  <c r="R1749" i="16"/>
  <c r="S1749" i="16"/>
  <c r="R1750" i="16"/>
  <c r="S1750" i="16"/>
  <c r="R1751" i="16"/>
  <c r="S1751" i="16"/>
  <c r="R1752" i="16"/>
  <c r="S1752" i="16"/>
  <c r="R1753" i="16"/>
  <c r="S1753" i="16"/>
  <c r="R1754" i="16"/>
  <c r="S1754" i="16"/>
  <c r="R1755" i="16"/>
  <c r="S1755" i="16"/>
  <c r="R1756" i="16"/>
  <c r="S1756" i="16"/>
  <c r="R1757" i="16"/>
  <c r="S1757" i="16"/>
  <c r="R1758" i="16"/>
  <c r="S1758" i="16"/>
  <c r="R1759" i="16"/>
  <c r="S1759" i="16"/>
  <c r="R1760" i="16"/>
  <c r="S1760" i="16"/>
  <c r="R1761" i="16"/>
  <c r="S1761" i="16"/>
  <c r="R1762" i="16"/>
  <c r="S1762" i="16"/>
  <c r="R1763" i="16"/>
  <c r="S1763" i="16"/>
  <c r="R1764" i="16"/>
  <c r="S1764" i="16"/>
  <c r="R1765" i="16"/>
  <c r="S1765" i="16"/>
  <c r="R1766" i="16"/>
  <c r="S1766" i="16"/>
  <c r="R1767" i="16"/>
  <c r="S1767" i="16"/>
  <c r="R1768" i="16"/>
  <c r="S1768" i="16"/>
  <c r="R1769" i="16"/>
  <c r="S1769" i="16"/>
  <c r="R1770" i="16"/>
  <c r="S1770" i="16"/>
  <c r="R1771" i="16"/>
  <c r="S1771" i="16"/>
  <c r="R1772" i="16"/>
  <c r="S1772" i="16"/>
  <c r="R1773" i="16"/>
  <c r="S1773" i="16"/>
  <c r="R1774" i="16"/>
  <c r="S1774" i="16"/>
  <c r="R1775" i="16"/>
  <c r="S1775" i="16"/>
  <c r="R1776" i="16"/>
  <c r="S1776" i="16"/>
  <c r="R1777" i="16"/>
  <c r="S1777" i="16"/>
  <c r="R1778" i="16"/>
  <c r="S1778" i="16"/>
  <c r="R1779" i="16"/>
  <c r="S1779" i="16"/>
  <c r="R1780" i="16"/>
  <c r="S1780" i="16"/>
  <c r="R1781" i="16"/>
  <c r="S1781" i="16"/>
  <c r="R1782" i="16"/>
  <c r="S1782" i="16"/>
  <c r="R1783" i="16"/>
  <c r="S1783" i="16"/>
  <c r="R1784" i="16"/>
  <c r="S1784" i="16"/>
  <c r="R1785" i="16"/>
  <c r="S1785" i="16"/>
  <c r="R1786" i="16"/>
  <c r="S1786" i="16"/>
  <c r="R1787" i="16"/>
  <c r="S1787" i="16"/>
  <c r="R1788" i="16"/>
  <c r="S1788" i="16"/>
  <c r="R1789" i="16"/>
  <c r="S1789" i="16"/>
  <c r="R1790" i="16"/>
  <c r="S1790" i="16"/>
  <c r="R1791" i="16"/>
  <c r="S1791" i="16"/>
  <c r="R1792" i="16"/>
  <c r="S1792" i="16"/>
  <c r="R1793" i="16"/>
  <c r="S1793" i="16"/>
  <c r="R1794" i="16"/>
  <c r="S1794" i="16"/>
  <c r="R1795" i="16"/>
  <c r="S1795" i="16"/>
  <c r="R1796" i="16"/>
  <c r="S1796" i="16"/>
  <c r="R1797" i="16"/>
  <c r="S1797" i="16"/>
  <c r="R1798" i="16"/>
  <c r="S1798" i="16"/>
  <c r="R1799" i="16"/>
  <c r="S1799" i="16"/>
  <c r="R1800" i="16"/>
  <c r="S1800" i="16"/>
  <c r="R1801" i="16"/>
  <c r="S1801" i="16"/>
  <c r="R1802" i="16"/>
  <c r="S1802" i="16"/>
  <c r="R1803" i="16"/>
  <c r="S1803" i="16"/>
  <c r="R1804" i="16"/>
  <c r="S1804" i="16"/>
  <c r="R1805" i="16"/>
  <c r="S1805" i="16"/>
  <c r="R1806" i="16"/>
  <c r="S1806" i="16"/>
  <c r="R1807" i="16"/>
  <c r="S1807" i="16"/>
  <c r="R1808" i="16"/>
  <c r="S1808" i="16"/>
  <c r="R1809" i="16"/>
  <c r="S1809" i="16"/>
  <c r="R1810" i="16"/>
  <c r="S1810" i="16"/>
  <c r="R1811" i="16"/>
  <c r="S1811" i="16"/>
  <c r="R1812" i="16"/>
  <c r="S1812" i="16"/>
  <c r="R1813" i="16"/>
  <c r="S1813" i="16"/>
  <c r="R1814" i="16"/>
  <c r="S1814" i="16"/>
  <c r="R1815" i="16"/>
  <c r="S1815" i="16"/>
  <c r="R1816" i="16"/>
  <c r="S1816" i="16"/>
  <c r="R1817" i="16"/>
  <c r="S1817" i="16"/>
  <c r="R1818" i="16"/>
  <c r="S1818" i="16"/>
  <c r="R1819" i="16"/>
  <c r="S1819" i="16"/>
  <c r="R1820" i="16"/>
  <c r="S1820" i="16"/>
  <c r="R1821" i="16"/>
  <c r="S1821" i="16"/>
  <c r="R1822" i="16"/>
  <c r="S1822" i="16"/>
  <c r="R1823" i="16"/>
  <c r="S1823" i="16"/>
  <c r="R1824" i="16"/>
  <c r="S1824" i="16"/>
  <c r="R1825" i="16"/>
  <c r="S1825" i="16"/>
  <c r="R1826" i="16"/>
  <c r="S1826" i="16"/>
  <c r="R1827" i="16"/>
  <c r="S1827" i="16"/>
  <c r="R1828" i="16"/>
  <c r="S1828" i="16"/>
  <c r="R1829" i="16"/>
  <c r="S1829" i="16"/>
  <c r="R1830" i="16"/>
  <c r="S1830" i="16"/>
  <c r="R1831" i="16"/>
  <c r="S1831" i="16"/>
  <c r="R1832" i="16"/>
  <c r="S1832" i="16"/>
  <c r="R1833" i="16"/>
  <c r="S1833" i="16"/>
  <c r="R1834" i="16"/>
  <c r="S1834" i="16"/>
  <c r="R1835" i="16"/>
  <c r="S1835" i="16"/>
  <c r="R1836" i="16"/>
  <c r="S1836" i="16"/>
  <c r="R1837" i="16"/>
  <c r="S1837" i="16"/>
  <c r="R1838" i="16"/>
  <c r="S1838" i="16"/>
  <c r="R1839" i="16"/>
  <c r="S1839" i="16"/>
  <c r="R1840" i="16"/>
  <c r="S1840" i="16"/>
  <c r="R1841" i="16"/>
  <c r="S1841" i="16"/>
  <c r="R1842" i="16"/>
  <c r="S1842" i="16"/>
  <c r="R1843" i="16"/>
  <c r="S1843" i="16"/>
  <c r="R1844" i="16"/>
  <c r="S1844" i="16"/>
  <c r="R1845" i="16"/>
  <c r="S1845" i="16"/>
  <c r="R1846" i="16"/>
  <c r="S1846" i="16"/>
  <c r="R1847" i="16"/>
  <c r="S1847" i="16"/>
  <c r="R1848" i="16"/>
  <c r="S1848" i="16"/>
  <c r="R1849" i="16"/>
  <c r="S1849" i="16"/>
  <c r="R1850" i="16"/>
  <c r="S1850" i="16"/>
  <c r="R1851" i="16"/>
  <c r="S1851" i="16"/>
  <c r="R1852" i="16"/>
  <c r="S1852" i="16"/>
  <c r="R1853" i="16"/>
  <c r="S1853" i="16"/>
  <c r="R1854" i="16"/>
  <c r="S1854" i="16"/>
  <c r="R1855" i="16"/>
  <c r="S1855" i="16"/>
  <c r="R1856" i="16"/>
  <c r="S1856" i="16"/>
  <c r="R1857" i="16"/>
  <c r="S1857" i="16"/>
  <c r="R1858" i="16"/>
  <c r="S1858" i="16"/>
  <c r="R1859" i="16"/>
  <c r="S1859" i="16"/>
  <c r="R1860" i="16"/>
  <c r="S1860" i="16"/>
  <c r="R1861" i="16"/>
  <c r="S1861" i="16"/>
  <c r="R1862" i="16"/>
  <c r="S1862" i="16"/>
  <c r="R1863" i="16"/>
  <c r="S1863" i="16"/>
  <c r="R1864" i="16"/>
  <c r="S1864" i="16"/>
  <c r="R1865" i="16"/>
  <c r="S1865" i="16"/>
  <c r="R1866" i="16"/>
  <c r="S1866" i="16"/>
  <c r="R1867" i="16"/>
  <c r="S1867" i="16"/>
  <c r="R1868" i="16"/>
  <c r="S1868" i="16"/>
  <c r="R1869" i="16"/>
  <c r="S1869" i="16"/>
  <c r="R1870" i="16"/>
  <c r="S1870" i="16"/>
  <c r="R1871" i="16"/>
  <c r="S1871" i="16"/>
  <c r="R1872" i="16"/>
  <c r="S1872" i="16"/>
  <c r="R1873" i="16"/>
  <c r="S1873" i="16"/>
  <c r="R1874" i="16"/>
  <c r="S1874" i="16"/>
  <c r="R1875" i="16"/>
  <c r="S1875" i="16"/>
  <c r="R1876" i="16"/>
  <c r="S1876" i="16"/>
  <c r="R1877" i="16"/>
  <c r="S1877" i="16"/>
  <c r="R1878" i="16"/>
  <c r="S1878" i="16"/>
  <c r="R1879" i="16"/>
  <c r="S1879" i="16"/>
  <c r="R1880" i="16"/>
  <c r="S1880" i="16"/>
  <c r="R1881" i="16"/>
  <c r="S1881" i="16"/>
  <c r="R1882" i="16"/>
  <c r="S1882" i="16"/>
  <c r="R1883" i="16"/>
  <c r="S1883" i="16"/>
  <c r="R1884" i="16"/>
  <c r="S1884" i="16"/>
  <c r="R1885" i="16"/>
  <c r="S1885" i="16"/>
  <c r="R1886" i="16"/>
  <c r="S1886" i="16"/>
  <c r="R1887" i="16"/>
  <c r="S1887" i="16"/>
  <c r="R1888" i="16"/>
  <c r="S1888" i="16"/>
  <c r="R1889" i="16"/>
  <c r="S1889" i="16"/>
  <c r="R1890" i="16"/>
  <c r="S1890" i="16"/>
  <c r="R1891" i="16"/>
  <c r="S1891" i="16"/>
  <c r="R1892" i="16"/>
  <c r="S1892" i="16"/>
  <c r="R1893" i="16"/>
  <c r="S1893" i="16"/>
  <c r="R1894" i="16"/>
  <c r="S1894" i="16"/>
  <c r="R1895" i="16"/>
  <c r="S1895" i="16"/>
  <c r="R1896" i="16"/>
  <c r="S1896" i="16"/>
  <c r="R1897" i="16"/>
  <c r="S1897" i="16"/>
  <c r="R1898" i="16"/>
  <c r="S1898" i="16"/>
  <c r="R1899" i="16"/>
  <c r="S1899" i="16"/>
  <c r="R1900" i="16"/>
  <c r="S1900" i="16"/>
  <c r="R1901" i="16"/>
  <c r="S1901" i="16"/>
  <c r="R1902" i="16"/>
  <c r="S1902" i="16"/>
  <c r="R1903" i="16"/>
  <c r="S1903" i="16"/>
  <c r="R1904" i="16"/>
  <c r="S1904" i="16"/>
  <c r="R1905" i="16"/>
  <c r="S1905" i="16"/>
  <c r="R1906" i="16"/>
  <c r="S1906" i="16"/>
  <c r="R1907" i="16"/>
  <c r="S1907" i="16"/>
  <c r="R1908" i="16"/>
  <c r="S1908" i="16"/>
  <c r="R1909" i="16"/>
  <c r="S1909" i="16"/>
  <c r="R1910" i="16"/>
  <c r="S1910" i="16"/>
  <c r="R1911" i="16"/>
  <c r="S1911" i="16"/>
  <c r="R1912" i="16"/>
  <c r="S1912" i="16"/>
  <c r="R1913" i="16"/>
  <c r="S1913" i="16"/>
  <c r="R1914" i="16"/>
  <c r="S1914" i="16"/>
  <c r="R1915" i="16"/>
  <c r="S1915" i="16"/>
  <c r="R1916" i="16"/>
  <c r="S1916" i="16"/>
  <c r="R1917" i="16"/>
  <c r="S1917" i="16"/>
  <c r="R1918" i="16"/>
  <c r="S1918" i="16"/>
  <c r="R1919" i="16"/>
  <c r="S1919" i="16"/>
  <c r="R1920" i="16"/>
  <c r="S1920" i="16"/>
  <c r="R1921" i="16"/>
  <c r="S1921" i="16"/>
  <c r="R1922" i="16"/>
  <c r="S1922" i="16"/>
  <c r="R1923" i="16"/>
  <c r="S1923" i="16"/>
  <c r="R1924" i="16"/>
  <c r="S1924" i="16"/>
  <c r="R1925" i="16"/>
  <c r="S1925" i="16"/>
  <c r="R1926" i="16"/>
  <c r="S1926" i="16"/>
  <c r="R1927" i="16"/>
  <c r="S1927" i="16"/>
  <c r="R1928" i="16"/>
  <c r="S1928" i="16"/>
  <c r="R1929" i="16"/>
  <c r="S1929" i="16"/>
  <c r="R1930" i="16"/>
  <c r="S1930" i="16"/>
  <c r="R1931" i="16"/>
  <c r="S1931" i="16"/>
  <c r="R1932" i="16"/>
  <c r="S1932" i="16"/>
  <c r="R1933" i="16"/>
  <c r="S1933" i="16"/>
  <c r="R1934" i="16"/>
  <c r="S1934" i="16"/>
  <c r="R1935" i="16"/>
  <c r="S1935" i="16"/>
  <c r="R1936" i="16"/>
  <c r="S1936" i="16"/>
  <c r="R1937" i="16"/>
  <c r="S1937" i="16"/>
  <c r="R1938" i="16"/>
  <c r="S1938" i="16"/>
  <c r="R1939" i="16"/>
  <c r="S1939" i="16"/>
  <c r="R1940" i="16"/>
  <c r="S1940" i="16"/>
  <c r="R1941" i="16"/>
  <c r="S1941" i="16"/>
  <c r="R1942" i="16"/>
  <c r="S1942" i="16"/>
  <c r="R1943" i="16"/>
  <c r="S1943" i="16"/>
  <c r="R1944" i="16"/>
  <c r="S1944" i="16"/>
  <c r="R1945" i="16"/>
  <c r="S1945" i="16"/>
  <c r="R1946" i="16"/>
  <c r="S1946" i="16"/>
  <c r="R1947" i="16"/>
  <c r="S1947" i="16"/>
  <c r="R1948" i="16"/>
  <c r="S1948" i="16"/>
  <c r="R1949" i="16"/>
  <c r="S1949" i="16"/>
  <c r="R1950" i="16"/>
  <c r="S1950" i="16"/>
  <c r="R1951" i="16"/>
  <c r="S1951" i="16"/>
  <c r="R1952" i="16"/>
  <c r="S1952" i="16"/>
  <c r="R1953" i="16"/>
  <c r="S1953" i="16"/>
  <c r="R1954" i="16"/>
  <c r="S1954" i="16"/>
  <c r="R1955" i="16"/>
  <c r="S1955" i="16"/>
  <c r="R1956" i="16"/>
  <c r="S1956" i="16"/>
  <c r="R1957" i="16"/>
  <c r="S1957" i="16"/>
  <c r="R1958" i="16"/>
  <c r="S1958" i="16"/>
  <c r="R1959" i="16"/>
  <c r="S1959" i="16"/>
  <c r="R1960" i="16"/>
  <c r="S1960" i="16"/>
  <c r="R1961" i="16"/>
  <c r="S1961" i="16"/>
  <c r="R1962" i="16"/>
  <c r="S1962" i="16"/>
  <c r="R1963" i="16"/>
  <c r="S1963" i="16"/>
  <c r="R1964" i="16"/>
  <c r="S1964" i="16"/>
  <c r="R1965" i="16"/>
  <c r="S1965" i="16"/>
  <c r="R1966" i="16"/>
  <c r="S1966" i="16"/>
  <c r="R1967" i="16"/>
  <c r="S1967" i="16"/>
  <c r="R1968" i="16"/>
  <c r="S1968" i="16"/>
  <c r="R1969" i="16"/>
  <c r="S1969" i="16"/>
  <c r="R1970" i="16"/>
  <c r="S1970" i="16"/>
  <c r="R1971" i="16"/>
  <c r="S1971" i="16"/>
  <c r="R1972" i="16"/>
  <c r="S1972" i="16"/>
  <c r="R1973" i="16"/>
  <c r="S1973" i="16"/>
  <c r="R1974" i="16"/>
  <c r="S1974" i="16"/>
  <c r="R1975" i="16"/>
  <c r="S1975" i="16"/>
  <c r="R1976" i="16"/>
  <c r="S1976" i="16"/>
  <c r="R1977" i="16"/>
  <c r="S1977" i="16"/>
  <c r="R1978" i="16"/>
  <c r="S1978" i="16"/>
  <c r="R1979" i="16"/>
  <c r="S1979" i="16"/>
  <c r="R1980" i="16"/>
  <c r="S1980" i="16"/>
  <c r="R1981" i="16"/>
  <c r="S1981" i="16"/>
  <c r="R1982" i="16"/>
  <c r="S1982" i="16"/>
  <c r="R1983" i="16"/>
  <c r="S1983" i="16"/>
  <c r="R1984" i="16"/>
  <c r="S1984" i="16"/>
  <c r="R1985" i="16"/>
  <c r="S1985" i="16"/>
  <c r="R1986" i="16"/>
  <c r="S1986" i="16"/>
  <c r="R1987" i="16"/>
  <c r="S1987" i="16"/>
  <c r="R1988" i="16"/>
  <c r="S1988" i="16"/>
  <c r="R1989" i="16"/>
  <c r="S1989" i="16"/>
  <c r="R1990" i="16"/>
  <c r="S1990" i="16"/>
  <c r="R1991" i="16"/>
  <c r="S1991" i="16"/>
  <c r="R1992" i="16"/>
  <c r="S1992" i="16"/>
  <c r="R1993" i="16"/>
  <c r="S1993" i="16"/>
  <c r="R1994" i="16"/>
  <c r="S1994" i="16"/>
  <c r="R1995" i="16"/>
  <c r="S1995" i="16"/>
  <c r="R1996" i="16"/>
  <c r="S1996" i="16"/>
  <c r="R1997" i="16"/>
  <c r="S1997" i="16"/>
  <c r="R1998" i="16"/>
  <c r="S1998" i="16"/>
  <c r="R1999" i="16"/>
  <c r="S1999" i="16"/>
  <c r="R2000" i="16"/>
  <c r="S2000" i="16"/>
  <c r="R2001" i="16"/>
  <c r="S2001" i="16"/>
  <c r="R2002" i="16"/>
  <c r="S2002" i="16"/>
  <c r="R2003" i="16"/>
  <c r="S2003" i="16"/>
  <c r="R2004" i="16"/>
  <c r="S2004" i="16"/>
  <c r="R2005" i="16"/>
  <c r="S2005" i="16"/>
  <c r="R2006" i="16"/>
  <c r="S2006" i="16"/>
  <c r="R2007" i="16"/>
  <c r="S2007" i="16"/>
  <c r="R2008" i="16"/>
  <c r="S2008" i="16"/>
  <c r="R2009" i="16"/>
  <c r="S2009" i="16"/>
  <c r="R2010" i="16"/>
  <c r="S2010" i="16"/>
  <c r="R2011" i="16"/>
  <c r="S2011" i="16"/>
  <c r="R2012" i="16"/>
  <c r="S2012" i="16"/>
  <c r="R2013" i="16"/>
  <c r="S2013" i="16"/>
  <c r="R2014" i="16"/>
  <c r="S2014" i="16"/>
  <c r="R2015" i="16"/>
  <c r="S2015" i="16"/>
  <c r="R2016" i="16"/>
  <c r="S2016" i="16"/>
  <c r="R2017" i="16"/>
  <c r="S2017" i="16"/>
  <c r="R2018" i="16"/>
  <c r="S2018" i="16"/>
  <c r="R2019" i="16"/>
  <c r="S2019" i="16"/>
  <c r="R2020" i="16"/>
  <c r="S2020" i="16"/>
  <c r="R2021" i="16"/>
  <c r="S2021" i="16"/>
  <c r="R2022" i="16"/>
  <c r="S2022" i="16"/>
  <c r="R2023" i="16"/>
  <c r="S2023" i="16"/>
  <c r="R2024" i="16"/>
  <c r="S2024" i="16"/>
  <c r="R2025" i="16"/>
  <c r="S2025" i="16"/>
  <c r="R2026" i="16"/>
  <c r="S2026" i="16"/>
  <c r="R2027" i="16"/>
  <c r="S2027" i="16"/>
  <c r="R2028" i="16"/>
  <c r="S2028" i="16"/>
  <c r="R2029" i="16"/>
  <c r="S2029" i="16"/>
  <c r="R2030" i="16"/>
  <c r="S2030" i="16"/>
  <c r="R2031" i="16"/>
  <c r="S2031" i="16"/>
  <c r="R2032" i="16"/>
  <c r="S2032" i="16"/>
  <c r="R2033" i="16"/>
  <c r="S2033" i="16"/>
  <c r="R2034" i="16"/>
  <c r="S2034" i="16"/>
  <c r="R2035" i="16"/>
  <c r="S2035" i="16"/>
  <c r="R2036" i="16"/>
  <c r="S2036" i="16"/>
  <c r="R2037" i="16"/>
  <c r="S2037" i="16"/>
  <c r="R2038" i="16"/>
  <c r="S2038" i="16"/>
  <c r="R2039" i="16"/>
  <c r="S2039" i="16"/>
  <c r="R2040" i="16"/>
  <c r="S2040" i="16"/>
  <c r="R2041" i="16"/>
  <c r="S2041" i="16"/>
  <c r="R2042" i="16"/>
  <c r="S2042" i="16"/>
  <c r="R2043" i="16"/>
  <c r="S2043" i="16"/>
  <c r="R2044" i="16"/>
  <c r="S2044" i="16"/>
  <c r="R2045" i="16"/>
  <c r="S2045" i="16"/>
  <c r="R2046" i="16"/>
  <c r="S2046" i="16"/>
  <c r="R2047" i="16"/>
  <c r="S2047" i="16"/>
  <c r="R2048" i="16"/>
  <c r="S2048" i="16"/>
  <c r="R2049" i="16"/>
  <c r="S2049" i="16"/>
  <c r="R2050" i="16"/>
  <c r="S2050" i="16"/>
  <c r="R2051" i="16"/>
  <c r="S2051" i="16"/>
  <c r="R2052" i="16"/>
  <c r="S2052" i="16"/>
  <c r="R2053" i="16"/>
  <c r="S2053" i="16"/>
  <c r="R2054" i="16"/>
  <c r="S2054" i="16"/>
  <c r="R2055" i="16"/>
  <c r="S2055" i="16"/>
  <c r="R2056" i="16"/>
  <c r="S2056" i="16"/>
  <c r="R2057" i="16"/>
  <c r="S2057" i="16"/>
  <c r="R2058" i="16"/>
  <c r="S2058" i="16"/>
  <c r="R2059" i="16"/>
  <c r="S2059" i="16"/>
  <c r="R2060" i="16"/>
  <c r="S2060" i="16"/>
  <c r="R2061" i="16"/>
  <c r="S2061" i="16"/>
  <c r="R2062" i="16"/>
  <c r="S2062" i="16"/>
  <c r="R2063" i="16"/>
  <c r="S2063" i="16"/>
  <c r="R2064" i="16"/>
  <c r="S2064" i="16"/>
  <c r="R2065" i="16"/>
  <c r="S2065" i="16"/>
  <c r="R2066" i="16"/>
  <c r="S2066" i="16"/>
  <c r="R2067" i="16"/>
  <c r="S2067" i="16"/>
  <c r="R2068" i="16"/>
  <c r="S2068" i="16"/>
  <c r="R2069" i="16"/>
  <c r="S2069" i="16"/>
  <c r="R2070" i="16"/>
  <c r="S2070" i="16"/>
  <c r="R2071" i="16"/>
  <c r="S2071" i="16"/>
  <c r="R2072" i="16"/>
  <c r="S2072" i="16"/>
  <c r="R2073" i="16"/>
  <c r="S2073" i="16"/>
  <c r="R2074" i="16"/>
  <c r="S2074" i="16"/>
  <c r="R2075" i="16"/>
  <c r="S2075" i="16"/>
  <c r="R2076" i="16"/>
  <c r="S2076" i="16"/>
  <c r="R2077" i="16"/>
  <c r="S2077" i="16"/>
  <c r="R2078" i="16"/>
  <c r="S2078" i="16"/>
  <c r="R2079" i="16"/>
  <c r="S2079" i="16"/>
  <c r="R2080" i="16"/>
  <c r="S2080" i="16"/>
  <c r="R2081" i="16"/>
  <c r="S2081" i="16"/>
  <c r="R2082" i="16"/>
  <c r="S2082" i="16"/>
  <c r="R2083" i="16"/>
  <c r="S2083" i="16"/>
  <c r="R2084" i="16"/>
  <c r="S2084" i="16"/>
  <c r="R2085" i="16"/>
  <c r="S2085" i="16"/>
  <c r="R2086" i="16"/>
  <c r="S2086" i="16"/>
  <c r="R2087" i="16"/>
  <c r="S2087" i="16"/>
  <c r="R2088" i="16"/>
  <c r="S2088" i="16"/>
  <c r="R2089" i="16"/>
  <c r="S2089" i="16"/>
  <c r="R2090" i="16"/>
  <c r="S2090" i="16"/>
  <c r="R2091" i="16"/>
  <c r="S2091" i="16"/>
  <c r="R2092" i="16"/>
  <c r="S2092" i="16"/>
  <c r="R2093" i="16"/>
  <c r="S2093" i="16"/>
  <c r="R2094" i="16"/>
  <c r="S2094" i="16"/>
  <c r="R2095" i="16"/>
  <c r="S2095" i="16"/>
  <c r="R2096" i="16"/>
  <c r="S2096" i="16"/>
  <c r="R2097" i="16"/>
  <c r="S2097" i="16"/>
  <c r="R2098" i="16"/>
  <c r="S2098" i="16"/>
  <c r="R2099" i="16"/>
  <c r="S2099" i="16"/>
  <c r="R2100" i="16"/>
  <c r="S2100" i="16"/>
  <c r="R2101" i="16"/>
  <c r="S2101" i="16"/>
  <c r="R2102" i="16"/>
  <c r="S2102" i="16"/>
  <c r="R2103" i="16"/>
  <c r="S2103" i="16"/>
  <c r="R2104" i="16"/>
  <c r="S2104" i="16"/>
  <c r="R2105" i="16"/>
  <c r="S2105" i="16"/>
  <c r="R2106" i="16"/>
  <c r="S2106" i="16"/>
  <c r="R2107" i="16"/>
  <c r="S2107" i="16"/>
  <c r="R2108" i="16"/>
  <c r="S2108" i="16"/>
  <c r="R2109" i="16"/>
  <c r="S2109" i="16"/>
  <c r="R2110" i="16"/>
  <c r="S2110" i="16"/>
  <c r="R2111" i="16"/>
  <c r="S2111" i="16"/>
  <c r="R2112" i="16"/>
  <c r="S2112" i="16"/>
  <c r="R2113" i="16"/>
  <c r="S2113" i="16"/>
  <c r="R2114" i="16"/>
  <c r="S2114" i="16"/>
  <c r="R2115" i="16"/>
  <c r="S2115" i="16"/>
  <c r="R2116" i="16"/>
  <c r="S2116" i="16"/>
  <c r="R2117" i="16"/>
  <c r="S2117" i="16"/>
  <c r="R2118" i="16"/>
  <c r="S2118" i="16"/>
  <c r="R2119" i="16"/>
  <c r="S2119" i="16"/>
  <c r="R2120" i="16"/>
  <c r="S2120" i="16"/>
  <c r="R2121" i="16"/>
  <c r="S2121" i="16"/>
  <c r="R2122" i="16"/>
  <c r="S2122" i="16"/>
  <c r="R2123" i="16"/>
  <c r="S2123" i="16"/>
  <c r="R2124" i="16"/>
  <c r="S2124" i="16"/>
  <c r="R2125" i="16"/>
  <c r="S2125" i="16"/>
  <c r="R2126" i="16"/>
  <c r="S2126" i="16"/>
  <c r="R2127" i="16"/>
  <c r="S2127" i="16"/>
  <c r="R2128" i="16"/>
  <c r="S2128" i="16"/>
  <c r="R2129" i="16"/>
  <c r="S2129" i="16"/>
  <c r="R2130" i="16"/>
  <c r="S2130" i="16"/>
  <c r="R2131" i="16"/>
  <c r="S2131" i="16"/>
  <c r="R2132" i="16"/>
  <c r="S2132" i="16"/>
  <c r="R2133" i="16"/>
  <c r="S2133" i="16"/>
  <c r="R2134" i="16"/>
  <c r="S2134" i="16"/>
  <c r="R2135" i="16"/>
  <c r="S2135" i="16"/>
  <c r="R2136" i="16"/>
  <c r="S2136" i="16"/>
  <c r="R2137" i="16"/>
  <c r="S2137" i="16"/>
  <c r="R2138" i="16"/>
  <c r="S2138" i="16"/>
  <c r="R2139" i="16"/>
  <c r="S2139" i="16"/>
  <c r="R2140" i="16"/>
  <c r="S2140" i="16"/>
  <c r="R2141" i="16"/>
  <c r="S2141" i="16"/>
  <c r="R2142" i="16"/>
  <c r="S2142" i="16"/>
  <c r="R2143" i="16"/>
  <c r="S2143" i="16"/>
  <c r="R2144" i="16"/>
  <c r="S2144" i="16"/>
  <c r="R2145" i="16"/>
  <c r="S2145" i="16"/>
  <c r="R2146" i="16"/>
  <c r="S2146" i="16"/>
  <c r="R2147" i="16"/>
  <c r="S2147" i="16"/>
  <c r="R2148" i="16"/>
  <c r="S2148" i="16"/>
  <c r="R2149" i="16"/>
  <c r="S2149" i="16"/>
  <c r="R2150" i="16"/>
  <c r="S2150" i="16"/>
  <c r="R2151" i="16"/>
  <c r="S2151" i="16"/>
  <c r="R2152" i="16"/>
  <c r="S2152" i="16"/>
  <c r="R2153" i="16"/>
  <c r="S2153" i="16"/>
  <c r="R2154" i="16"/>
  <c r="S2154" i="16"/>
  <c r="R2155" i="16"/>
  <c r="S2155" i="16"/>
  <c r="R2156" i="16"/>
  <c r="S2156" i="16"/>
  <c r="R2157" i="16"/>
  <c r="S2157" i="16"/>
  <c r="R2158" i="16"/>
  <c r="S2158" i="16"/>
  <c r="R2159" i="16"/>
  <c r="S2159" i="16"/>
  <c r="R2160" i="16"/>
  <c r="S2160" i="16"/>
  <c r="R2161" i="16"/>
  <c r="S2161" i="16"/>
  <c r="R2162" i="16"/>
  <c r="S2162" i="16"/>
  <c r="R2163" i="16"/>
  <c r="S2163" i="16"/>
  <c r="R2164" i="16"/>
  <c r="S2164" i="16"/>
  <c r="R2165" i="16"/>
  <c r="S2165" i="16"/>
  <c r="R2166" i="16"/>
  <c r="S2166" i="16"/>
  <c r="R2167" i="16"/>
  <c r="S2167" i="16"/>
  <c r="R2168" i="16"/>
  <c r="S2168" i="16"/>
  <c r="R2169" i="16"/>
  <c r="S2169" i="16"/>
  <c r="R2170" i="16"/>
  <c r="S2170" i="16"/>
  <c r="R2171" i="16"/>
  <c r="S2171" i="16"/>
  <c r="R2172" i="16"/>
  <c r="S2172" i="16"/>
  <c r="R2173" i="16"/>
  <c r="S2173" i="16"/>
  <c r="R2174" i="16"/>
  <c r="S2174" i="16"/>
  <c r="R2175" i="16"/>
  <c r="S2175" i="16"/>
  <c r="R2176" i="16"/>
  <c r="S2176" i="16"/>
  <c r="R2177" i="16"/>
  <c r="S2177" i="16"/>
  <c r="R2178" i="16"/>
  <c r="S2178" i="16"/>
  <c r="R2179" i="16"/>
  <c r="S2179" i="16"/>
  <c r="R2180" i="16"/>
  <c r="S2180" i="16"/>
  <c r="R2181" i="16"/>
  <c r="S2181" i="16"/>
  <c r="R2182" i="16"/>
  <c r="S2182" i="16"/>
  <c r="R2183" i="16"/>
  <c r="S2183" i="16"/>
  <c r="R2184" i="16"/>
  <c r="S2184" i="16"/>
  <c r="R2185" i="16"/>
  <c r="S2185" i="16"/>
  <c r="R2186" i="16"/>
  <c r="S2186" i="16"/>
  <c r="R2187" i="16"/>
  <c r="S2187" i="16"/>
  <c r="R2188" i="16"/>
  <c r="S2188" i="16"/>
  <c r="R2189" i="16"/>
  <c r="S2189" i="16"/>
  <c r="R2190" i="16"/>
  <c r="S2190" i="16"/>
  <c r="R2191" i="16"/>
  <c r="S2191" i="16"/>
  <c r="R2192" i="16"/>
  <c r="S2192" i="16"/>
  <c r="R2193" i="16"/>
  <c r="S2193" i="16"/>
  <c r="R2194" i="16"/>
  <c r="S2194" i="16"/>
  <c r="R2195" i="16"/>
  <c r="S2195" i="16"/>
  <c r="R2196" i="16"/>
  <c r="S2196" i="16"/>
  <c r="R2197" i="16"/>
  <c r="S2197" i="16"/>
  <c r="R2198" i="16"/>
  <c r="S2198" i="16"/>
  <c r="R2199" i="16"/>
  <c r="S2199" i="16"/>
  <c r="R2200" i="16"/>
  <c r="S2200" i="16"/>
  <c r="R2201" i="16"/>
  <c r="S2201" i="16"/>
  <c r="R2202" i="16"/>
  <c r="S2202" i="16"/>
  <c r="R2203" i="16"/>
  <c r="S2203" i="16"/>
  <c r="R2204" i="16"/>
  <c r="S2204" i="16"/>
  <c r="R2205" i="16"/>
  <c r="S2205" i="16"/>
  <c r="R2206" i="16"/>
  <c r="S2206" i="16"/>
  <c r="R2207" i="16"/>
  <c r="S2207" i="16"/>
  <c r="R2208" i="16"/>
  <c r="S2208" i="16"/>
  <c r="R2209" i="16"/>
  <c r="S2209" i="16"/>
  <c r="R2210" i="16"/>
  <c r="S2210" i="16"/>
  <c r="R2211" i="16"/>
  <c r="S2211" i="16"/>
  <c r="R2212" i="16"/>
  <c r="S2212" i="16"/>
  <c r="R2213" i="16"/>
  <c r="S2213" i="16"/>
  <c r="R2214" i="16"/>
  <c r="S2214" i="16"/>
  <c r="R2215" i="16"/>
  <c r="S2215" i="16"/>
  <c r="R2216" i="16"/>
  <c r="S2216" i="16"/>
  <c r="R2217" i="16"/>
  <c r="S2217" i="16"/>
  <c r="R2218" i="16"/>
  <c r="S2218" i="16"/>
  <c r="R2219" i="16"/>
  <c r="S2219" i="16"/>
  <c r="R2220" i="16"/>
  <c r="S2220" i="16"/>
  <c r="R2221" i="16"/>
  <c r="S2221" i="16"/>
  <c r="R2222" i="16"/>
  <c r="S2222" i="16"/>
  <c r="R2223" i="16"/>
  <c r="S2223" i="16"/>
  <c r="R2224" i="16"/>
  <c r="S2224" i="16"/>
  <c r="R2225" i="16"/>
  <c r="S2225" i="16"/>
  <c r="R2226" i="16"/>
  <c r="S2226" i="16"/>
  <c r="R2227" i="16"/>
  <c r="S2227" i="16"/>
  <c r="R2228" i="16"/>
  <c r="S2228" i="16"/>
  <c r="R2229" i="16"/>
  <c r="S2229" i="16"/>
  <c r="R2230" i="16"/>
  <c r="S2230" i="16"/>
  <c r="R2231" i="16"/>
  <c r="S2231" i="16"/>
  <c r="R2232" i="16"/>
  <c r="S2232" i="16"/>
  <c r="R2233" i="16"/>
  <c r="S2233" i="16"/>
  <c r="R2234" i="16"/>
  <c r="S2234" i="16"/>
  <c r="R2235" i="16"/>
  <c r="S2235" i="16"/>
  <c r="R2236" i="16"/>
  <c r="S2236" i="16"/>
  <c r="R2237" i="16"/>
  <c r="S2237" i="16"/>
  <c r="R2238" i="16"/>
  <c r="S2238" i="16"/>
  <c r="R2239" i="16"/>
  <c r="S2239" i="16"/>
  <c r="R2240" i="16"/>
  <c r="S2240" i="16"/>
  <c r="R2241" i="16"/>
  <c r="S2241" i="16"/>
  <c r="R2242" i="16"/>
  <c r="S2242" i="16"/>
  <c r="R2243" i="16"/>
  <c r="S2243" i="16"/>
  <c r="R2244" i="16"/>
  <c r="S2244" i="16"/>
  <c r="R2245" i="16"/>
  <c r="S2245" i="16"/>
  <c r="R2246" i="16"/>
  <c r="S2246" i="16"/>
  <c r="R2247" i="16"/>
  <c r="S2247" i="16"/>
  <c r="R2248" i="16"/>
  <c r="S2248" i="16"/>
  <c r="R2249" i="16"/>
  <c r="S2249" i="16"/>
  <c r="R2250" i="16"/>
  <c r="S2250" i="16"/>
  <c r="R2251" i="16"/>
  <c r="S2251" i="16"/>
  <c r="R2252" i="16"/>
  <c r="S2252" i="16"/>
  <c r="R2253" i="16"/>
  <c r="S2253" i="16"/>
  <c r="R2254" i="16"/>
  <c r="S2254" i="16"/>
  <c r="R2255" i="16"/>
  <c r="S2255" i="16"/>
  <c r="R2256" i="16"/>
  <c r="S2256" i="16"/>
  <c r="R2257" i="16"/>
  <c r="S2257" i="16"/>
  <c r="R2258" i="16"/>
  <c r="S2258" i="16"/>
  <c r="R2259" i="16"/>
  <c r="S2259" i="16"/>
  <c r="R2260" i="16"/>
  <c r="S2260" i="16"/>
  <c r="R2261" i="16"/>
  <c r="S2261" i="16"/>
  <c r="R2262" i="16"/>
  <c r="S2262" i="16"/>
  <c r="R2263" i="16"/>
  <c r="S2263" i="16"/>
  <c r="R2264" i="16"/>
  <c r="S2264" i="16"/>
  <c r="R2265" i="16"/>
  <c r="S2265" i="16"/>
  <c r="R2266" i="16"/>
  <c r="S2266" i="16"/>
  <c r="R2267" i="16"/>
  <c r="S2267" i="16"/>
  <c r="R2268" i="16"/>
  <c r="S2268" i="16"/>
  <c r="R2269" i="16"/>
  <c r="S2269" i="16"/>
  <c r="R2270" i="16"/>
  <c r="S2270" i="16"/>
  <c r="R2271" i="16"/>
  <c r="S2271" i="16"/>
  <c r="R2272" i="16"/>
  <c r="S2272" i="16"/>
  <c r="R2273" i="16"/>
  <c r="S2273" i="16"/>
  <c r="R2274" i="16"/>
  <c r="S2274" i="16"/>
  <c r="R2275" i="16"/>
  <c r="S2275" i="16"/>
  <c r="R2276" i="16"/>
  <c r="S2276" i="16"/>
  <c r="R2277" i="16"/>
  <c r="S2277" i="16"/>
  <c r="R2278" i="16"/>
  <c r="S2278" i="16"/>
  <c r="R2279" i="16"/>
  <c r="S2279" i="16"/>
  <c r="R2280" i="16"/>
  <c r="S2280" i="16"/>
  <c r="R2281" i="16"/>
  <c r="S2281" i="16"/>
  <c r="R2282" i="16"/>
  <c r="S2282" i="16"/>
  <c r="R2283" i="16"/>
  <c r="S2283" i="16"/>
  <c r="R2284" i="16"/>
  <c r="S2284" i="16"/>
  <c r="R2285" i="16"/>
  <c r="S2285" i="16"/>
  <c r="R2286" i="16"/>
  <c r="S2286" i="16"/>
  <c r="R2287" i="16"/>
  <c r="S2287" i="16"/>
  <c r="R2288" i="16"/>
  <c r="S2288" i="16"/>
  <c r="R2289" i="16"/>
  <c r="S2289" i="16"/>
  <c r="R2290" i="16"/>
  <c r="S2290" i="16"/>
  <c r="R2291" i="16"/>
  <c r="S2291" i="16"/>
  <c r="R2292" i="16"/>
  <c r="S2292" i="16"/>
  <c r="R2293" i="16"/>
  <c r="S2293" i="16"/>
  <c r="R2294" i="16"/>
  <c r="S2294" i="16"/>
  <c r="R2295" i="16"/>
  <c r="S2295" i="16"/>
  <c r="R2296" i="16"/>
  <c r="S2296" i="16"/>
  <c r="R2297" i="16"/>
  <c r="S2297" i="16"/>
  <c r="R2298" i="16"/>
  <c r="S2298" i="16"/>
  <c r="R2299" i="16"/>
  <c r="S2299" i="16"/>
  <c r="R2300" i="16"/>
  <c r="S2300" i="16"/>
  <c r="R2301" i="16"/>
  <c r="S2301" i="16"/>
  <c r="R2302" i="16"/>
  <c r="S2302" i="16"/>
  <c r="R2303" i="16"/>
  <c r="S2303" i="16"/>
  <c r="R2304" i="16"/>
  <c r="S2304" i="16"/>
  <c r="R2305" i="16"/>
  <c r="S2305" i="16"/>
  <c r="R2306" i="16"/>
  <c r="S2306" i="16"/>
  <c r="R2307" i="16"/>
  <c r="S2307" i="16"/>
  <c r="R2308" i="16"/>
  <c r="S2308" i="16"/>
  <c r="R2309" i="16"/>
  <c r="S2309" i="16"/>
  <c r="R2310" i="16"/>
  <c r="S2310" i="16"/>
  <c r="R2311" i="16"/>
  <c r="S2311" i="16"/>
  <c r="R2312" i="16"/>
  <c r="S2312" i="16"/>
  <c r="R2313" i="16"/>
  <c r="S2313" i="16"/>
  <c r="R2314" i="16"/>
  <c r="S2314" i="16"/>
  <c r="R2315" i="16"/>
  <c r="S2315" i="16"/>
  <c r="R2316" i="16"/>
  <c r="S2316" i="16"/>
  <c r="R2317" i="16"/>
  <c r="S2317" i="16"/>
  <c r="R2318" i="16"/>
  <c r="S2318" i="16"/>
  <c r="R2319" i="16"/>
  <c r="S2319" i="16"/>
  <c r="R2320" i="16"/>
  <c r="S2320" i="16"/>
  <c r="R2321" i="16"/>
  <c r="S2321" i="16"/>
  <c r="R2322" i="16"/>
  <c r="S2322" i="16"/>
  <c r="R2323" i="16"/>
  <c r="S2323" i="16"/>
  <c r="R2324" i="16"/>
  <c r="S2324" i="16"/>
  <c r="R2325" i="16"/>
  <c r="S2325" i="16"/>
  <c r="R2326" i="16"/>
  <c r="S2326" i="16"/>
  <c r="R2327" i="16"/>
  <c r="S2327" i="16"/>
  <c r="R2328" i="16"/>
  <c r="S2328" i="16"/>
  <c r="R2329" i="16"/>
  <c r="S2329" i="16"/>
  <c r="R2330" i="16"/>
  <c r="S2330" i="16"/>
  <c r="R2331" i="16"/>
  <c r="S2331" i="16"/>
  <c r="R2332" i="16"/>
  <c r="S2332" i="16"/>
  <c r="R2333" i="16"/>
  <c r="S2333" i="16"/>
  <c r="R2334" i="16"/>
  <c r="S2334" i="16"/>
  <c r="R2335" i="16"/>
  <c r="S2335" i="16"/>
  <c r="R2336" i="16"/>
  <c r="S2336" i="16"/>
  <c r="R2337" i="16"/>
  <c r="S2337" i="16"/>
  <c r="R2338" i="16"/>
  <c r="S2338" i="16"/>
  <c r="R2339" i="16"/>
  <c r="S2339" i="16"/>
  <c r="R2340" i="16"/>
  <c r="S2340" i="16"/>
  <c r="R2341" i="16"/>
  <c r="S2341" i="16"/>
  <c r="R2342" i="16"/>
  <c r="S2342" i="16"/>
  <c r="R2343" i="16"/>
  <c r="S2343" i="16"/>
  <c r="R2344" i="16"/>
  <c r="S2344" i="16"/>
  <c r="R2345" i="16"/>
  <c r="S2345" i="16"/>
  <c r="R2346" i="16"/>
  <c r="S2346" i="16"/>
  <c r="R2347" i="16"/>
  <c r="S2347" i="16"/>
  <c r="R2348" i="16"/>
  <c r="S2348" i="16"/>
  <c r="R2349" i="16"/>
  <c r="S2349" i="16"/>
  <c r="R2350" i="16"/>
  <c r="S2350" i="16"/>
  <c r="R2351" i="16"/>
  <c r="S2351" i="16"/>
  <c r="R2352" i="16"/>
  <c r="S2352" i="16"/>
  <c r="R2353" i="16"/>
  <c r="S2353" i="16"/>
  <c r="R2354" i="16"/>
  <c r="S2354" i="16"/>
  <c r="R2355" i="16"/>
  <c r="S2355" i="16"/>
  <c r="R2356" i="16"/>
  <c r="S2356" i="16"/>
  <c r="R2357" i="16"/>
  <c r="S2357" i="16"/>
  <c r="R2358" i="16"/>
  <c r="S2358" i="16"/>
  <c r="R2359" i="16"/>
  <c r="S2359" i="16"/>
  <c r="R2360" i="16"/>
  <c r="S2360" i="16"/>
  <c r="R2361" i="16"/>
  <c r="S2361" i="16"/>
  <c r="R2362" i="16"/>
  <c r="S2362" i="16"/>
  <c r="R2363" i="16"/>
  <c r="S2363" i="16"/>
  <c r="R2364" i="16"/>
  <c r="S2364" i="16"/>
  <c r="R2365" i="16"/>
  <c r="S2365" i="16"/>
  <c r="R2366" i="16"/>
  <c r="S2366" i="16"/>
  <c r="R2367" i="16"/>
  <c r="S2367" i="16"/>
  <c r="R2368" i="16"/>
  <c r="S2368" i="16"/>
  <c r="R2369" i="16"/>
  <c r="S2369" i="16"/>
  <c r="R2370" i="16"/>
  <c r="S2370" i="16"/>
  <c r="R2371" i="16"/>
  <c r="S2371" i="16"/>
  <c r="R2372" i="16"/>
  <c r="S2372" i="16"/>
  <c r="R2373" i="16"/>
  <c r="S2373" i="16"/>
  <c r="R2374" i="16"/>
  <c r="S2374" i="16"/>
  <c r="R2375" i="16"/>
  <c r="S2375" i="16"/>
  <c r="R2376" i="16"/>
  <c r="S2376" i="16"/>
  <c r="R2377" i="16"/>
  <c r="S2377" i="16"/>
  <c r="R2378" i="16"/>
  <c r="S2378" i="16"/>
  <c r="R2379" i="16"/>
  <c r="S2379" i="16"/>
  <c r="R2380" i="16"/>
  <c r="S2380" i="16"/>
  <c r="R2381" i="16"/>
  <c r="S2381" i="16"/>
  <c r="R2382" i="16"/>
  <c r="S2382" i="16"/>
  <c r="R2383" i="16"/>
  <c r="S2383" i="16"/>
  <c r="R2384" i="16"/>
  <c r="S2384" i="16"/>
  <c r="R2385" i="16"/>
  <c r="S2385" i="16"/>
  <c r="R2386" i="16"/>
  <c r="S2386" i="16"/>
  <c r="R2387" i="16"/>
  <c r="S2387" i="16"/>
  <c r="R2388" i="16"/>
  <c r="S2388" i="16"/>
  <c r="R2389" i="16"/>
  <c r="S2389" i="16"/>
  <c r="R2390" i="16"/>
  <c r="S2390" i="16"/>
  <c r="R2391" i="16"/>
  <c r="S2391" i="16"/>
  <c r="R2392" i="16"/>
  <c r="S2392" i="16"/>
  <c r="R2393" i="16"/>
  <c r="S2393" i="16"/>
  <c r="R2394" i="16"/>
  <c r="S2394" i="16"/>
  <c r="R2395" i="16"/>
  <c r="S2395" i="16"/>
  <c r="R2396" i="16"/>
  <c r="S2396" i="16"/>
  <c r="R2397" i="16"/>
  <c r="S2397" i="16"/>
  <c r="R2398" i="16"/>
  <c r="S2398" i="16"/>
  <c r="R2399" i="16"/>
  <c r="S2399" i="16"/>
  <c r="R2400" i="16"/>
  <c r="S2400" i="16"/>
  <c r="R2401" i="16"/>
  <c r="S2401" i="16"/>
  <c r="R2402" i="16"/>
  <c r="S2402" i="16"/>
  <c r="R2403" i="16"/>
  <c r="S2403" i="16"/>
  <c r="R2404" i="16"/>
  <c r="S2404" i="16"/>
  <c r="R2405" i="16"/>
  <c r="S2405" i="16"/>
  <c r="R2406" i="16"/>
  <c r="S2406" i="16"/>
  <c r="R2407" i="16"/>
  <c r="S2407" i="16"/>
  <c r="R2408" i="16"/>
  <c r="S2408" i="16"/>
  <c r="R2409" i="16"/>
  <c r="S2409" i="16"/>
  <c r="R2410" i="16"/>
  <c r="S2410" i="16"/>
  <c r="R2411" i="16"/>
  <c r="S2411" i="16"/>
  <c r="R2412" i="16"/>
  <c r="S2412" i="16"/>
  <c r="R2413" i="16"/>
  <c r="S2413" i="16"/>
  <c r="R2414" i="16"/>
  <c r="S2414" i="16"/>
  <c r="R2415" i="16"/>
  <c r="S2415" i="16"/>
  <c r="R2416" i="16"/>
  <c r="S2416" i="16"/>
  <c r="R2417" i="16"/>
  <c r="S2417" i="16"/>
  <c r="R2418" i="16"/>
  <c r="S2418" i="16"/>
  <c r="R2419" i="16"/>
  <c r="S2419" i="16"/>
  <c r="R2420" i="16"/>
  <c r="S2420" i="16"/>
  <c r="R2421" i="16"/>
  <c r="S2421" i="16"/>
  <c r="R2422" i="16"/>
  <c r="S2422" i="16"/>
  <c r="R2423" i="16"/>
  <c r="S2423" i="16"/>
  <c r="R2424" i="16"/>
  <c r="S2424" i="16"/>
  <c r="R2425" i="16"/>
  <c r="S2425" i="16"/>
  <c r="R2426" i="16"/>
  <c r="S2426" i="16"/>
  <c r="R2427" i="16"/>
  <c r="S2427" i="16"/>
  <c r="R2428" i="16"/>
  <c r="S2428" i="16"/>
  <c r="R2429" i="16"/>
  <c r="S2429" i="16"/>
  <c r="R2430" i="16"/>
  <c r="S2430" i="16"/>
  <c r="R2431" i="16"/>
  <c r="S2431" i="16"/>
  <c r="R2432" i="16"/>
  <c r="S2432" i="16"/>
  <c r="R2433" i="16"/>
  <c r="S2433" i="16"/>
  <c r="R2434" i="16"/>
  <c r="S2434" i="16"/>
  <c r="R2435" i="16"/>
  <c r="S2435" i="16"/>
  <c r="R2436" i="16"/>
  <c r="S2436" i="16"/>
  <c r="R2437" i="16"/>
  <c r="S2437" i="16"/>
  <c r="R2438" i="16"/>
  <c r="S2438" i="16"/>
  <c r="R2439" i="16"/>
  <c r="S2439" i="16"/>
  <c r="R2440" i="16"/>
  <c r="S2440" i="16"/>
  <c r="R2441" i="16"/>
  <c r="S2441" i="16"/>
  <c r="R2442" i="16"/>
  <c r="S2442" i="16"/>
  <c r="R2443" i="16"/>
  <c r="S2443" i="16"/>
  <c r="R2444" i="16"/>
  <c r="S2444" i="16"/>
  <c r="R2445" i="16"/>
  <c r="S2445" i="16"/>
  <c r="R2446" i="16"/>
  <c r="S2446" i="16"/>
  <c r="R2447" i="16"/>
  <c r="S2447" i="16"/>
  <c r="R2448" i="16"/>
  <c r="S2448" i="16"/>
  <c r="R2449" i="16"/>
  <c r="S2449" i="16"/>
  <c r="R2450" i="16"/>
  <c r="S2450" i="16"/>
  <c r="R2451" i="16"/>
  <c r="S2451" i="16"/>
  <c r="R2452" i="16"/>
  <c r="S2452" i="16"/>
  <c r="R2453" i="16"/>
  <c r="S2453" i="16"/>
  <c r="R2454" i="16"/>
  <c r="S2454" i="16"/>
  <c r="R2455" i="16"/>
  <c r="S2455" i="16"/>
  <c r="R2456" i="16"/>
  <c r="S2456" i="16"/>
  <c r="R2457" i="16"/>
  <c r="S2457" i="16"/>
  <c r="R2458" i="16"/>
  <c r="S2458" i="16"/>
  <c r="R2459" i="16"/>
  <c r="S2459" i="16"/>
  <c r="R2460" i="16"/>
  <c r="S2460" i="16"/>
  <c r="R2461" i="16"/>
  <c r="S2461" i="16"/>
  <c r="R2462" i="16"/>
  <c r="S2462" i="16"/>
  <c r="R2463" i="16"/>
  <c r="S2463" i="16"/>
  <c r="R2464" i="16"/>
  <c r="S2464" i="16"/>
  <c r="R2465" i="16"/>
  <c r="S2465" i="16"/>
  <c r="R2466" i="16"/>
  <c r="S2466" i="16"/>
  <c r="R2467" i="16"/>
  <c r="S2467" i="16"/>
  <c r="R2468" i="16"/>
  <c r="S2468" i="16"/>
  <c r="R2469" i="16"/>
  <c r="S2469" i="16"/>
  <c r="R2470" i="16"/>
  <c r="S2470" i="16"/>
  <c r="R2471" i="16"/>
  <c r="S2471" i="16"/>
  <c r="R2472" i="16"/>
  <c r="S2472" i="16"/>
  <c r="R2473" i="16"/>
  <c r="S2473" i="16"/>
  <c r="R2474" i="16"/>
  <c r="S2474" i="16"/>
  <c r="R2475" i="16"/>
  <c r="S2475" i="16"/>
  <c r="R2476" i="16"/>
  <c r="S2476" i="16"/>
  <c r="R2477" i="16"/>
  <c r="S2477" i="16"/>
  <c r="R2478" i="16"/>
  <c r="S2478" i="16"/>
  <c r="R2479" i="16"/>
  <c r="S2479" i="16"/>
  <c r="R2480" i="16"/>
  <c r="S2480" i="16"/>
  <c r="R2481" i="16"/>
  <c r="S2481" i="16"/>
  <c r="R2482" i="16"/>
  <c r="S2482" i="16"/>
  <c r="R2483" i="16"/>
  <c r="S2483" i="16"/>
  <c r="R2484" i="16"/>
  <c r="S2484" i="16"/>
  <c r="R2485" i="16"/>
  <c r="S2485" i="16"/>
  <c r="R2486" i="16"/>
  <c r="S2486" i="16"/>
  <c r="R2487" i="16"/>
  <c r="S2487" i="16"/>
  <c r="R2488" i="16"/>
  <c r="S2488" i="16"/>
  <c r="R2489" i="16"/>
  <c r="S2489" i="16"/>
  <c r="R2490" i="16"/>
  <c r="S2490" i="16"/>
  <c r="R2491" i="16"/>
  <c r="S2491" i="16"/>
  <c r="R2492" i="16"/>
  <c r="S2492" i="16"/>
  <c r="R2493" i="16"/>
  <c r="S2493" i="16"/>
  <c r="R2494" i="16"/>
  <c r="S2494" i="16"/>
  <c r="R2495" i="16"/>
  <c r="S2495" i="16"/>
  <c r="R2496" i="16"/>
  <c r="S2496" i="16"/>
  <c r="R2497" i="16"/>
  <c r="S2497" i="16"/>
  <c r="R2498" i="16"/>
  <c r="S2498" i="16"/>
  <c r="R2499" i="16"/>
  <c r="S2499" i="16"/>
  <c r="R2500" i="16"/>
  <c r="S2500" i="16"/>
  <c r="R2501" i="16"/>
  <c r="S2501" i="16"/>
  <c r="R2502" i="16"/>
  <c r="S2502" i="16"/>
  <c r="R2503" i="16"/>
  <c r="S2503" i="16"/>
  <c r="R2504" i="16"/>
  <c r="S2504" i="16"/>
  <c r="R2505" i="16"/>
  <c r="S2505" i="16"/>
  <c r="R2506" i="16"/>
  <c r="S2506" i="16"/>
  <c r="R2507" i="16"/>
  <c r="S2507" i="16"/>
  <c r="R2508" i="16"/>
  <c r="S2508" i="16"/>
  <c r="R2509" i="16"/>
  <c r="S2509" i="16"/>
  <c r="R2510" i="16"/>
  <c r="S2510" i="16"/>
  <c r="R2511" i="16"/>
  <c r="S2511" i="16"/>
  <c r="R2512" i="16"/>
  <c r="S2512" i="16"/>
  <c r="R2513" i="16"/>
  <c r="S2513" i="16"/>
  <c r="R2514" i="16"/>
  <c r="S2514" i="16"/>
  <c r="R2515" i="16"/>
  <c r="S2515" i="16"/>
  <c r="R2516" i="16"/>
  <c r="S2516" i="16"/>
  <c r="R2517" i="16"/>
  <c r="S2517" i="16"/>
  <c r="R2518" i="16"/>
  <c r="S2518" i="16"/>
  <c r="R2519" i="16"/>
  <c r="S2519" i="16"/>
  <c r="R2520" i="16"/>
  <c r="S2520" i="16"/>
  <c r="R2521" i="16"/>
  <c r="S2521" i="16"/>
  <c r="R2522" i="16"/>
  <c r="S2522" i="16"/>
  <c r="R2523" i="16"/>
  <c r="S2523" i="16"/>
  <c r="R2524" i="16"/>
  <c r="S2524" i="16"/>
  <c r="R2525" i="16"/>
  <c r="S2525" i="16"/>
  <c r="R2526" i="16"/>
  <c r="S2526" i="16"/>
  <c r="R2527" i="16"/>
  <c r="S2527" i="16"/>
  <c r="R2528" i="16"/>
  <c r="S2528" i="16"/>
  <c r="R2529" i="16"/>
  <c r="S2529" i="16"/>
  <c r="R2530" i="16"/>
  <c r="S2530" i="16"/>
  <c r="R2531" i="16"/>
  <c r="S2531" i="16"/>
  <c r="R2532" i="16"/>
  <c r="S2532" i="16"/>
  <c r="R2533" i="16"/>
  <c r="S2533" i="16"/>
  <c r="R2534" i="16"/>
  <c r="S2534" i="16"/>
  <c r="R2535" i="16"/>
  <c r="S2535" i="16"/>
  <c r="R2536" i="16"/>
  <c r="S2536" i="16"/>
  <c r="R2537" i="16"/>
  <c r="S2537" i="16"/>
  <c r="R2538" i="16"/>
  <c r="S2538" i="16"/>
  <c r="R2539" i="16"/>
  <c r="S2539" i="16"/>
  <c r="R2540" i="16"/>
  <c r="S2540" i="16"/>
  <c r="R2541" i="16"/>
  <c r="S2541" i="16"/>
  <c r="R2542" i="16"/>
  <c r="S2542" i="16"/>
  <c r="R2543" i="16"/>
  <c r="S2543" i="16"/>
  <c r="R2544" i="16"/>
  <c r="S2544" i="16"/>
  <c r="R2545" i="16"/>
  <c r="S2545" i="16"/>
  <c r="R2546" i="16"/>
  <c r="S2546" i="16"/>
  <c r="R2547" i="16"/>
  <c r="S2547" i="16"/>
  <c r="R2548" i="16"/>
  <c r="S2548" i="16"/>
  <c r="R2549" i="16"/>
  <c r="S2549" i="16"/>
  <c r="R2550" i="16"/>
  <c r="S2550" i="16"/>
  <c r="R2551" i="16"/>
  <c r="S2551" i="16"/>
  <c r="R2552" i="16"/>
  <c r="S2552" i="16"/>
  <c r="R2553" i="16"/>
  <c r="S2553" i="16"/>
  <c r="R2554" i="16"/>
  <c r="S2554" i="16"/>
  <c r="R2555" i="16"/>
  <c r="S2555" i="16"/>
  <c r="R2556" i="16"/>
  <c r="S2556" i="16"/>
  <c r="R2557" i="16"/>
  <c r="S2557" i="16"/>
  <c r="R2558" i="16"/>
  <c r="S2558" i="16"/>
  <c r="R2559" i="16"/>
  <c r="S2559" i="16"/>
  <c r="R2560" i="16"/>
  <c r="S2560" i="16"/>
  <c r="R2561" i="16"/>
  <c r="S2561" i="16"/>
  <c r="R2562" i="16"/>
  <c r="S2562" i="16"/>
  <c r="R2563" i="16"/>
  <c r="S2563" i="16"/>
  <c r="R2564" i="16"/>
  <c r="S2564" i="16"/>
  <c r="R2565" i="16"/>
  <c r="S2565" i="16"/>
  <c r="R2566" i="16"/>
  <c r="S2566" i="16"/>
  <c r="R2567" i="16"/>
  <c r="S2567" i="16"/>
  <c r="R2568" i="16"/>
  <c r="S2568" i="16"/>
  <c r="R2569" i="16"/>
  <c r="S2569" i="16"/>
  <c r="R2570" i="16"/>
  <c r="S2570" i="16"/>
  <c r="R2571" i="16"/>
  <c r="S2571" i="16"/>
  <c r="R2572" i="16"/>
  <c r="S2572" i="16"/>
  <c r="R2573" i="16"/>
  <c r="S2573" i="16"/>
  <c r="R2574" i="16"/>
  <c r="S2574" i="16"/>
  <c r="R2575" i="16"/>
  <c r="S2575" i="16"/>
  <c r="R2576" i="16"/>
  <c r="S2576" i="16"/>
  <c r="R2577" i="16"/>
  <c r="S2577" i="16"/>
  <c r="R2578" i="16"/>
  <c r="S2578" i="16"/>
  <c r="R2579" i="16"/>
  <c r="S2579" i="16"/>
  <c r="R2580" i="16"/>
  <c r="S2580" i="16"/>
  <c r="R2581" i="16"/>
  <c r="S2581" i="16"/>
  <c r="R2582" i="16"/>
  <c r="S2582" i="16"/>
  <c r="R2583" i="16"/>
  <c r="S2583" i="16"/>
  <c r="R2584" i="16"/>
  <c r="S2584" i="16"/>
  <c r="R2585" i="16"/>
  <c r="S2585" i="16"/>
  <c r="R2586" i="16"/>
  <c r="S2586" i="16"/>
  <c r="R2587" i="16"/>
  <c r="S2587" i="16"/>
  <c r="R2588" i="16"/>
  <c r="S2588" i="16"/>
  <c r="R2589" i="16"/>
  <c r="S2589" i="16"/>
  <c r="R2590" i="16"/>
  <c r="S2590" i="16"/>
  <c r="R2591" i="16"/>
  <c r="S2591" i="16"/>
  <c r="R2592" i="16"/>
  <c r="S2592" i="16"/>
  <c r="R2593" i="16"/>
  <c r="S2593" i="16"/>
  <c r="R2594" i="16"/>
  <c r="S2594" i="16"/>
  <c r="R2595" i="16"/>
  <c r="S2595" i="16"/>
  <c r="R2596" i="16"/>
  <c r="S2596" i="16"/>
  <c r="R2597" i="16"/>
  <c r="S2597" i="16"/>
  <c r="R2598" i="16"/>
  <c r="S2598" i="16"/>
  <c r="R2599" i="16"/>
  <c r="S2599" i="16"/>
  <c r="R2600" i="16"/>
  <c r="S2600" i="16"/>
  <c r="R2601" i="16"/>
  <c r="S2601" i="16"/>
  <c r="R2602" i="16"/>
  <c r="S2602" i="16"/>
  <c r="R2603" i="16"/>
  <c r="S2603" i="16"/>
  <c r="R2604" i="16"/>
  <c r="S2604" i="16"/>
  <c r="R2605" i="16"/>
  <c r="S2605" i="16"/>
  <c r="R2606" i="16"/>
  <c r="S2606" i="16"/>
  <c r="R2607" i="16"/>
  <c r="S2607" i="16"/>
  <c r="R2608" i="16"/>
  <c r="S2608" i="16"/>
  <c r="R2609" i="16"/>
  <c r="S2609" i="16"/>
  <c r="R2610" i="16"/>
  <c r="S2610" i="16"/>
  <c r="R2611" i="16"/>
  <c r="S2611" i="16"/>
  <c r="R2612" i="16"/>
  <c r="S2612" i="16"/>
  <c r="R2613" i="16"/>
  <c r="S2613" i="16"/>
  <c r="R2614" i="16"/>
  <c r="S2614" i="16"/>
  <c r="R2615" i="16"/>
  <c r="S2615" i="16"/>
  <c r="R2616" i="16"/>
  <c r="S2616" i="16"/>
  <c r="R2617" i="16"/>
  <c r="S2617" i="16"/>
  <c r="R2618" i="16"/>
  <c r="S2618" i="16"/>
  <c r="R2619" i="16"/>
  <c r="S2619" i="16"/>
  <c r="R2620" i="16"/>
  <c r="S2620" i="16"/>
  <c r="R2621" i="16"/>
  <c r="S2621" i="16"/>
  <c r="R2622" i="16"/>
  <c r="S2622" i="16"/>
  <c r="R2623" i="16"/>
  <c r="S2623" i="16"/>
  <c r="R2624" i="16"/>
  <c r="S2624" i="16"/>
  <c r="R2625" i="16"/>
  <c r="S2625" i="16"/>
  <c r="R2626" i="16"/>
  <c r="S2626" i="16"/>
  <c r="R2627" i="16"/>
  <c r="S2627" i="16"/>
  <c r="R2628" i="16"/>
  <c r="S2628" i="16"/>
  <c r="R2629" i="16"/>
  <c r="S2629" i="16"/>
  <c r="R2630" i="16"/>
  <c r="S2630" i="16"/>
  <c r="R2631" i="16"/>
  <c r="S2631" i="16"/>
  <c r="R2632" i="16"/>
  <c r="S2632" i="16"/>
  <c r="R2633" i="16"/>
  <c r="S2633" i="16"/>
  <c r="R2634" i="16"/>
  <c r="S2634" i="16"/>
  <c r="R2635" i="16"/>
  <c r="S2635" i="16"/>
  <c r="R2636" i="16"/>
  <c r="S2636" i="16"/>
  <c r="R2637" i="16"/>
  <c r="S2637" i="16"/>
  <c r="R2638" i="16"/>
  <c r="S2638" i="16"/>
  <c r="R2639" i="16"/>
  <c r="S2639" i="16"/>
  <c r="R2640" i="16"/>
  <c r="S2640" i="16"/>
  <c r="R2641" i="16"/>
  <c r="S2641" i="16"/>
  <c r="R2642" i="16"/>
  <c r="S2642" i="16"/>
  <c r="R2643" i="16"/>
  <c r="S2643" i="16"/>
  <c r="R2644" i="16"/>
  <c r="S2644" i="16"/>
  <c r="R2645" i="16"/>
  <c r="S2645" i="16"/>
  <c r="R2646" i="16"/>
  <c r="S2646" i="16"/>
  <c r="R2647" i="16"/>
  <c r="S2647" i="16"/>
  <c r="R2648" i="16"/>
  <c r="S2648" i="16"/>
  <c r="R2649" i="16"/>
  <c r="S2649" i="16"/>
  <c r="R2650" i="16"/>
  <c r="S2650" i="16"/>
  <c r="R2651" i="16"/>
  <c r="S2651" i="16"/>
  <c r="R2652" i="16"/>
  <c r="S2652" i="16"/>
  <c r="R2653" i="16"/>
  <c r="S2653" i="16"/>
  <c r="AD2" i="16"/>
  <c r="U758" i="16"/>
  <c r="T758" i="16" a="1"/>
  <c r="U760" i="16"/>
  <c r="T760" i="16" a="1"/>
  <c r="U762" i="16"/>
  <c r="T762" i="16" a="1"/>
  <c r="U764" i="16"/>
  <c r="T764" i="16" a="1"/>
  <c r="U766" i="16"/>
  <c r="T766" i="16" a="1"/>
  <c r="U768" i="16"/>
  <c r="T768" i="16" a="1"/>
  <c r="U770" i="16"/>
  <c r="T770" i="16" a="1"/>
  <c r="U772" i="16"/>
  <c r="T772" i="16" a="1"/>
  <c r="U774" i="16"/>
  <c r="T774" i="16" a="1"/>
  <c r="U776" i="16"/>
  <c r="T776" i="16" a="1"/>
  <c r="U778" i="16"/>
  <c r="T778" i="16" a="1"/>
  <c r="U780" i="16"/>
  <c r="T780" i="16" a="1"/>
  <c r="U782" i="16"/>
  <c r="T782" i="16" a="1"/>
  <c r="U784" i="16"/>
  <c r="T784" i="16" a="1"/>
  <c r="U786" i="16"/>
  <c r="T786" i="16" a="1"/>
  <c r="U788" i="16"/>
  <c r="T788" i="16" a="1"/>
  <c r="U790" i="16"/>
  <c r="T790" i="16" a="1"/>
  <c r="U792" i="16"/>
  <c r="T792" i="16" a="1"/>
  <c r="U794" i="16"/>
  <c r="T794" i="16" a="1"/>
  <c r="U796" i="16"/>
  <c r="T796" i="16" a="1"/>
  <c r="U798" i="16"/>
  <c r="T798" i="16" a="1"/>
  <c r="U800" i="16"/>
  <c r="T800" i="16" a="1"/>
  <c r="U802" i="16"/>
  <c r="T802" i="16" a="1"/>
  <c r="U804" i="16"/>
  <c r="T804" i="16" a="1"/>
  <c r="U806" i="16"/>
  <c r="T806" i="16" a="1"/>
  <c r="U808" i="16"/>
  <c r="T808" i="16" a="1"/>
  <c r="U810" i="16"/>
  <c r="T810" i="16" a="1"/>
  <c r="U812" i="16"/>
  <c r="T812" i="16" a="1"/>
  <c r="U814" i="16"/>
  <c r="T814" i="16" a="1"/>
  <c r="U816" i="16"/>
  <c r="T816" i="16" a="1"/>
  <c r="U818" i="16"/>
  <c r="T818" i="16" a="1"/>
  <c r="U820" i="16"/>
  <c r="T820" i="16" a="1"/>
  <c r="U822" i="16"/>
  <c r="T822" i="16" a="1"/>
  <c r="U824" i="16"/>
  <c r="T824" i="16" a="1"/>
  <c r="U826" i="16"/>
  <c r="T826" i="16" a="1"/>
  <c r="U828" i="16"/>
  <c r="T828" i="16" a="1"/>
  <c r="U830" i="16"/>
  <c r="T830" i="16" a="1"/>
  <c r="U832" i="16"/>
  <c r="T832" i="16" a="1"/>
  <c r="U834" i="16"/>
  <c r="T834" i="16" a="1"/>
  <c r="U836" i="16"/>
  <c r="T836" i="16" a="1"/>
  <c r="U838" i="16"/>
  <c r="T838" i="16" a="1"/>
  <c r="U840" i="16"/>
  <c r="T840" i="16" a="1"/>
  <c r="U842" i="16"/>
  <c r="T842" i="16" a="1"/>
  <c r="U844" i="16"/>
  <c r="T844" i="16" a="1"/>
  <c r="U846" i="16"/>
  <c r="T846" i="16" a="1"/>
  <c r="U848" i="16"/>
  <c r="T848" i="16" a="1"/>
  <c r="U850" i="16"/>
  <c r="T850" i="16" a="1"/>
  <c r="U852" i="16"/>
  <c r="T852" i="16" a="1"/>
  <c r="U854" i="16"/>
  <c r="T854" i="16" a="1"/>
  <c r="U856" i="16"/>
  <c r="T856" i="16" a="1"/>
  <c r="U858" i="16"/>
  <c r="T858" i="16" a="1"/>
  <c r="U860" i="16"/>
  <c r="T860" i="16" a="1"/>
  <c r="U862" i="16"/>
  <c r="T862" i="16" a="1"/>
  <c r="U864" i="16"/>
  <c r="T864" i="16" a="1"/>
  <c r="U866" i="16"/>
  <c r="T866" i="16" a="1"/>
  <c r="U868" i="16"/>
  <c r="T868" i="16" a="1"/>
  <c r="U870" i="16"/>
  <c r="T870" i="16" a="1"/>
  <c r="U872" i="16"/>
  <c r="T872" i="16" a="1"/>
  <c r="U874" i="16"/>
  <c r="T874" i="16" a="1"/>
  <c r="U876" i="16"/>
  <c r="T876" i="16" a="1"/>
  <c r="U878" i="16"/>
  <c r="T878" i="16" a="1"/>
  <c r="U880" i="16"/>
  <c r="T880" i="16" a="1"/>
  <c r="U882" i="16"/>
  <c r="T882" i="16" a="1"/>
  <c r="U884" i="16"/>
  <c r="T884" i="16" a="1"/>
  <c r="U886" i="16"/>
  <c r="T886" i="16" a="1"/>
  <c r="U888" i="16"/>
  <c r="T888" i="16" a="1"/>
  <c r="U890" i="16"/>
  <c r="T890" i="16" a="1"/>
  <c r="U892" i="16"/>
  <c r="T892" i="16" a="1"/>
  <c r="U894" i="16"/>
  <c r="T894" i="16" a="1"/>
  <c r="U896" i="16"/>
  <c r="T896" i="16" a="1"/>
  <c r="U898" i="16"/>
  <c r="T898" i="16" a="1"/>
  <c r="U900" i="16"/>
  <c r="T900" i="16" a="1"/>
  <c r="U902" i="16"/>
  <c r="T902" i="16" a="1"/>
  <c r="U904" i="16"/>
  <c r="T904" i="16" a="1"/>
  <c r="U906" i="16"/>
  <c r="T906" i="16" a="1"/>
  <c r="U908" i="16"/>
  <c r="T908" i="16" a="1"/>
  <c r="U910" i="16"/>
  <c r="T910" i="16" a="1"/>
  <c r="U912" i="16"/>
  <c r="T912" i="16" a="1"/>
  <c r="U914" i="16"/>
  <c r="T914" i="16" a="1"/>
  <c r="U916" i="16"/>
  <c r="T916" i="16" a="1"/>
  <c r="U918" i="16"/>
  <c r="T918" i="16" a="1"/>
  <c r="U920" i="16"/>
  <c r="T920" i="16" a="1"/>
  <c r="U922" i="16"/>
  <c r="T922" i="16" a="1"/>
  <c r="U924" i="16"/>
  <c r="T924" i="16" a="1"/>
  <c r="U926" i="16"/>
  <c r="T926" i="16" a="1"/>
  <c r="U928" i="16"/>
  <c r="T928" i="16" a="1"/>
  <c r="U930" i="16"/>
  <c r="T930" i="16" a="1"/>
  <c r="U932" i="16"/>
  <c r="T932" i="16" a="1"/>
  <c r="U934" i="16"/>
  <c r="T934" i="16" a="1"/>
  <c r="U936" i="16"/>
  <c r="T936" i="16" a="1"/>
  <c r="U938" i="16"/>
  <c r="T938" i="16" a="1"/>
  <c r="U940" i="16"/>
  <c r="T940" i="16" a="1"/>
  <c r="U942" i="16"/>
  <c r="T942" i="16" a="1"/>
  <c r="U944" i="16"/>
  <c r="T944" i="16" a="1"/>
  <c r="U946" i="16"/>
  <c r="T946" i="16" a="1"/>
  <c r="U948" i="16"/>
  <c r="T948" i="16" a="1"/>
  <c r="U950" i="16"/>
  <c r="T950" i="16" a="1"/>
  <c r="U952" i="16"/>
  <c r="T952" i="16" a="1"/>
  <c r="U954" i="16"/>
  <c r="T954" i="16" a="1"/>
  <c r="U956" i="16"/>
  <c r="T956" i="16" a="1"/>
  <c r="U958" i="16"/>
  <c r="T958" i="16" a="1"/>
  <c r="U960" i="16"/>
  <c r="T960" i="16" a="1"/>
  <c r="U962" i="16"/>
  <c r="T962" i="16" a="1"/>
  <c r="U964" i="16"/>
  <c r="T964" i="16" a="1"/>
  <c r="U966" i="16"/>
  <c r="T966" i="16" a="1"/>
  <c r="U968" i="16"/>
  <c r="T968" i="16" a="1"/>
  <c r="U970" i="16"/>
  <c r="T970" i="16" a="1"/>
  <c r="U972" i="16"/>
  <c r="T972" i="16" a="1"/>
  <c r="U974" i="16"/>
  <c r="T974" i="16" a="1"/>
  <c r="U976" i="16"/>
  <c r="T976" i="16" a="1"/>
  <c r="U978" i="16"/>
  <c r="T978" i="16" a="1"/>
  <c r="U980" i="16"/>
  <c r="T980" i="16" a="1"/>
  <c r="U982" i="16"/>
  <c r="T982" i="16" a="1"/>
  <c r="U984" i="16"/>
  <c r="T984" i="16" a="1"/>
  <c r="U986" i="16"/>
  <c r="T986" i="16" a="1"/>
  <c r="U988" i="16"/>
  <c r="T988" i="16" a="1"/>
  <c r="U990" i="16"/>
  <c r="T990" i="16" a="1"/>
  <c r="U992" i="16"/>
  <c r="T992" i="16" a="1"/>
  <c r="U994" i="16"/>
  <c r="T994" i="16" a="1"/>
  <c r="U996" i="16"/>
  <c r="T996" i="16" a="1"/>
  <c r="U998" i="16"/>
  <c r="T998" i="16" a="1"/>
  <c r="U1000" i="16"/>
  <c r="T1000" i="16" a="1"/>
  <c r="U1002" i="16"/>
  <c r="T1002" i="16" a="1"/>
  <c r="U1004" i="16"/>
  <c r="T1004" i="16" a="1"/>
  <c r="U1006" i="16"/>
  <c r="T1006" i="16" a="1"/>
  <c r="U1008" i="16"/>
  <c r="T1008" i="16" a="1"/>
  <c r="U1010" i="16"/>
  <c r="T1010" i="16" a="1"/>
  <c r="U1012" i="16"/>
  <c r="T1012" i="16" a="1"/>
  <c r="U1014" i="16"/>
  <c r="T1014" i="16" a="1"/>
  <c r="U1016" i="16"/>
  <c r="T1016" i="16" a="1"/>
  <c r="U1018" i="16"/>
  <c r="T1018" i="16" a="1"/>
  <c r="U1020" i="16"/>
  <c r="T1020" i="16" a="1"/>
  <c r="U1022" i="16"/>
  <c r="T1022" i="16" a="1"/>
  <c r="U1024" i="16"/>
  <c r="T1024" i="16" a="1"/>
  <c r="U1026" i="16"/>
  <c r="T1026" i="16" a="1"/>
  <c r="U1028" i="16"/>
  <c r="T1028" i="16" a="1"/>
  <c r="U1030" i="16"/>
  <c r="T1030" i="16" a="1"/>
  <c r="U1032" i="16"/>
  <c r="T1032" i="16" a="1"/>
  <c r="U1034" i="16"/>
  <c r="T1034" i="16" a="1"/>
  <c r="U1036" i="16"/>
  <c r="T1036" i="16" a="1"/>
  <c r="U1038" i="16"/>
  <c r="T1038" i="16" a="1"/>
  <c r="U1040" i="16"/>
  <c r="T1040" i="16" a="1"/>
  <c r="U1042" i="16"/>
  <c r="T1042" i="16" a="1"/>
  <c r="U1044" i="16"/>
  <c r="T1044" i="16" a="1"/>
  <c r="U1046" i="16"/>
  <c r="T1046" i="16" a="1"/>
  <c r="U1048" i="16"/>
  <c r="T1048" i="16" a="1"/>
  <c r="U1050" i="16"/>
  <c r="T1050" i="16" a="1"/>
  <c r="U1052" i="16"/>
  <c r="T1052" i="16" a="1"/>
  <c r="U1054" i="16"/>
  <c r="T1054" i="16" a="1"/>
  <c r="U1056" i="16"/>
  <c r="T1056" i="16" a="1"/>
  <c r="U1058" i="16"/>
  <c r="T1058" i="16" a="1"/>
  <c r="U1060" i="16"/>
  <c r="T1060" i="16" a="1"/>
  <c r="U1062" i="16"/>
  <c r="T1062" i="16" a="1"/>
  <c r="U1064" i="16"/>
  <c r="T1064" i="16" a="1"/>
  <c r="U1066" i="16"/>
  <c r="T1066" i="16" a="1"/>
  <c r="U1068" i="16"/>
  <c r="T1068" i="16" a="1"/>
  <c r="U1070" i="16"/>
  <c r="T1070" i="16" a="1"/>
  <c r="U1072" i="16"/>
  <c r="T1072" i="16" a="1"/>
  <c r="U1074" i="16"/>
  <c r="T1074" i="16" a="1"/>
  <c r="U1076" i="16"/>
  <c r="T1076" i="16" a="1"/>
  <c r="U1078" i="16"/>
  <c r="T1078" i="16" a="1"/>
  <c r="U1080" i="16"/>
  <c r="T1080" i="16" a="1"/>
  <c r="U1082" i="16"/>
  <c r="T1082" i="16" a="1"/>
  <c r="U1084" i="16"/>
  <c r="T1084" i="16" a="1"/>
  <c r="U1086" i="16"/>
  <c r="T1086" i="16" a="1"/>
  <c r="U1088" i="16"/>
  <c r="T1088" i="16" a="1"/>
  <c r="U1090" i="16"/>
  <c r="T1090" i="16" a="1"/>
  <c r="U1092" i="16"/>
  <c r="T1092" i="16" a="1"/>
  <c r="U1094" i="16"/>
  <c r="T1094" i="16" a="1"/>
  <c r="U1096" i="16"/>
  <c r="T1096" i="16" a="1"/>
  <c r="U1098" i="16"/>
  <c r="T1098" i="16" a="1"/>
  <c r="U1100" i="16"/>
  <c r="T1100" i="16" a="1"/>
  <c r="U1102" i="16"/>
  <c r="T1102" i="16" a="1"/>
  <c r="U1104" i="16"/>
  <c r="T1104" i="16" a="1"/>
  <c r="U1106" i="16"/>
  <c r="T1106" i="16" a="1"/>
  <c r="U1108" i="16"/>
  <c r="T1108" i="16" a="1"/>
  <c r="U1110" i="16"/>
  <c r="T1110" i="16" a="1"/>
  <c r="U1112" i="16"/>
  <c r="T1112" i="16" a="1"/>
  <c r="U1114" i="16"/>
  <c r="T1114" i="16" a="1"/>
  <c r="U1116" i="16"/>
  <c r="T1116" i="16" a="1"/>
  <c r="U1118" i="16"/>
  <c r="T1118" i="16" a="1"/>
  <c r="U1120" i="16"/>
  <c r="T1120" i="16" a="1"/>
  <c r="U1122" i="16"/>
  <c r="T1122" i="16" a="1"/>
  <c r="U1124" i="16"/>
  <c r="T1124" i="16" a="1"/>
  <c r="U1126" i="16"/>
  <c r="T1126" i="16" a="1"/>
  <c r="U1128" i="16"/>
  <c r="T1128" i="16" a="1"/>
  <c r="U1130" i="16"/>
  <c r="T1130" i="16" a="1"/>
  <c r="U1132" i="16"/>
  <c r="T1132" i="16" a="1"/>
  <c r="U1134" i="16"/>
  <c r="T1134" i="16" a="1"/>
  <c r="U1136" i="16"/>
  <c r="T1136" i="16" a="1"/>
  <c r="U1138" i="16"/>
  <c r="T1138" i="16" a="1"/>
  <c r="U1140" i="16"/>
  <c r="T1140" i="16" a="1"/>
  <c r="U1142" i="16"/>
  <c r="T1142" i="16" a="1"/>
  <c r="U1144" i="16"/>
  <c r="T1144" i="16" a="1"/>
  <c r="U1146" i="16"/>
  <c r="T1146" i="16" a="1"/>
  <c r="U1148" i="16"/>
  <c r="T1148" i="16" a="1"/>
  <c r="U1150" i="16"/>
  <c r="T1150" i="16" a="1"/>
  <c r="U1152" i="16"/>
  <c r="T1152" i="16" a="1"/>
  <c r="U1154" i="16"/>
  <c r="T1154" i="16" a="1"/>
  <c r="U1156" i="16"/>
  <c r="T1156" i="16" a="1"/>
  <c r="U1158" i="16"/>
  <c r="T1158" i="16" a="1"/>
  <c r="U1160" i="16"/>
  <c r="T1160" i="16" a="1"/>
  <c r="U1162" i="16"/>
  <c r="T1162" i="16" a="1"/>
  <c r="U1164" i="16"/>
  <c r="T1164" i="16" a="1"/>
  <c r="U1166" i="16"/>
  <c r="T1166" i="16" a="1"/>
  <c r="U1168" i="16"/>
  <c r="T1168" i="16" a="1"/>
  <c r="U1170" i="16"/>
  <c r="T1170" i="16" a="1"/>
  <c r="U1172" i="16"/>
  <c r="T1172" i="16" a="1"/>
  <c r="U1174" i="16"/>
  <c r="T1174" i="16" a="1"/>
  <c r="U1176" i="16"/>
  <c r="T1176" i="16" a="1"/>
  <c r="U1178" i="16"/>
  <c r="T1178" i="16" a="1"/>
  <c r="U1180" i="16"/>
  <c r="T1180" i="16" a="1"/>
  <c r="U1182" i="16"/>
  <c r="T1182" i="16" a="1"/>
  <c r="U1184" i="16"/>
  <c r="T1184" i="16" a="1"/>
  <c r="U1186" i="16"/>
  <c r="T1186" i="16" a="1"/>
  <c r="U1188" i="16"/>
  <c r="T1188" i="16" a="1"/>
  <c r="U1190" i="16"/>
  <c r="T1190" i="16" a="1"/>
  <c r="U1192" i="16"/>
  <c r="T1192" i="16" a="1"/>
  <c r="U1194" i="16"/>
  <c r="T1194" i="16" a="1"/>
  <c r="U1196" i="16"/>
  <c r="T1196" i="16" a="1"/>
  <c r="U1198" i="16"/>
  <c r="T1198" i="16" a="1"/>
  <c r="U1200" i="16"/>
  <c r="T1200" i="16" a="1"/>
  <c r="U1202" i="16"/>
  <c r="T1202" i="16" a="1"/>
  <c r="U1204" i="16"/>
  <c r="T1204" i="16" a="1"/>
  <c r="U1206" i="16"/>
  <c r="T1206" i="16" a="1"/>
  <c r="U1208" i="16"/>
  <c r="T1208" i="16" a="1"/>
  <c r="U1210" i="16"/>
  <c r="T1210" i="16" a="1"/>
  <c r="U1212" i="16"/>
  <c r="T1212" i="16" a="1"/>
  <c r="U1214" i="16"/>
  <c r="T1214" i="16" a="1"/>
  <c r="U1216" i="16"/>
  <c r="T1216" i="16" a="1"/>
  <c r="U1218" i="16"/>
  <c r="T1218" i="16" a="1"/>
  <c r="U1220" i="16"/>
  <c r="T1220" i="16" a="1"/>
  <c r="U1222" i="16"/>
  <c r="T1222" i="16" a="1"/>
  <c r="U1224" i="16"/>
  <c r="T1224" i="16" a="1"/>
  <c r="U1226" i="16"/>
  <c r="T1226" i="16" a="1"/>
  <c r="U1228" i="16"/>
  <c r="T1228" i="16" a="1"/>
  <c r="U1230" i="16"/>
  <c r="T1230" i="16" a="1"/>
  <c r="U1232" i="16"/>
  <c r="T1232" i="16" a="1"/>
  <c r="U1234" i="16"/>
  <c r="T1234" i="16" a="1"/>
  <c r="U1236" i="16"/>
  <c r="T1236" i="16" a="1"/>
  <c r="U1238" i="16"/>
  <c r="T1238" i="16" a="1"/>
  <c r="U1240" i="16"/>
  <c r="T1240" i="16" a="1"/>
  <c r="U1242" i="16"/>
  <c r="T1242" i="16" a="1"/>
  <c r="U1244" i="16"/>
  <c r="T1244" i="16" a="1"/>
  <c r="U1246" i="16"/>
  <c r="T1246" i="16" a="1"/>
  <c r="U1248" i="16"/>
  <c r="T1248" i="16" a="1"/>
  <c r="U1250" i="16"/>
  <c r="T1250" i="16" a="1"/>
  <c r="U1252" i="16"/>
  <c r="T1252" i="16" a="1"/>
  <c r="U1254" i="16"/>
  <c r="T1254" i="16" a="1"/>
  <c r="U1256" i="16"/>
  <c r="T1256" i="16" a="1"/>
  <c r="U1258" i="16"/>
  <c r="T1258" i="16" a="1"/>
  <c r="U1260" i="16"/>
  <c r="T1260" i="16" a="1"/>
  <c r="U1262" i="16"/>
  <c r="T1262" i="16" a="1"/>
  <c r="U1264" i="16"/>
  <c r="T1264" i="16" a="1"/>
  <c r="U759" i="16"/>
  <c r="T759" i="16" a="1"/>
  <c r="U761" i="16"/>
  <c r="T761" i="16" a="1"/>
  <c r="U763" i="16"/>
  <c r="T763" i="16" a="1"/>
  <c r="U765" i="16"/>
  <c r="T765" i="16" a="1"/>
  <c r="U767" i="16"/>
  <c r="T767" i="16" a="1"/>
  <c r="U769" i="16"/>
  <c r="T769" i="16" a="1"/>
  <c r="U771" i="16"/>
  <c r="T771" i="16" a="1"/>
  <c r="U773" i="16"/>
  <c r="T773" i="16" a="1"/>
  <c r="U775" i="16"/>
  <c r="T775" i="16" a="1"/>
  <c r="U777" i="16"/>
  <c r="T777" i="16" a="1"/>
  <c r="U779" i="16"/>
  <c r="T779" i="16" a="1"/>
  <c r="U781" i="16"/>
  <c r="T781" i="16" a="1"/>
  <c r="U783" i="16"/>
  <c r="T783" i="16" a="1"/>
  <c r="U785" i="16"/>
  <c r="T785" i="16" a="1"/>
  <c r="U787" i="16"/>
  <c r="T787" i="16" a="1"/>
  <c r="U789" i="16"/>
  <c r="T789" i="16" a="1"/>
  <c r="U791" i="16"/>
  <c r="T791" i="16" a="1"/>
  <c r="U793" i="16"/>
  <c r="T793" i="16" a="1"/>
  <c r="U795" i="16"/>
  <c r="T795" i="16" a="1"/>
  <c r="U797" i="16"/>
  <c r="T797" i="16" a="1"/>
  <c r="U799" i="16"/>
  <c r="T799" i="16" a="1"/>
  <c r="U801" i="16"/>
  <c r="T801" i="16" a="1"/>
  <c r="U803" i="16"/>
  <c r="T803" i="16" a="1"/>
  <c r="U805" i="16"/>
  <c r="T805" i="16" a="1"/>
  <c r="U807" i="16"/>
  <c r="T807" i="16" a="1"/>
  <c r="U809" i="16"/>
  <c r="T809" i="16" a="1"/>
  <c r="U811" i="16"/>
  <c r="T811" i="16" a="1"/>
  <c r="U813" i="16"/>
  <c r="T813" i="16" a="1"/>
  <c r="U815" i="16"/>
  <c r="T815" i="16" a="1"/>
  <c r="U817" i="16"/>
  <c r="T817" i="16" a="1"/>
  <c r="U819" i="16"/>
  <c r="T819" i="16" a="1"/>
  <c r="U821" i="16"/>
  <c r="T821" i="16" a="1"/>
  <c r="U823" i="16"/>
  <c r="T823" i="16" a="1"/>
  <c r="U825" i="16"/>
  <c r="T825" i="16" a="1"/>
  <c r="U827" i="16"/>
  <c r="T827" i="16" a="1"/>
  <c r="U829" i="16"/>
  <c r="T829" i="16" a="1"/>
  <c r="U831" i="16"/>
  <c r="T831" i="16" a="1"/>
  <c r="U833" i="16"/>
  <c r="T833" i="16" a="1"/>
  <c r="U835" i="16"/>
  <c r="T835" i="16" a="1"/>
  <c r="U837" i="16"/>
  <c r="T837" i="16" a="1"/>
  <c r="U839" i="16"/>
  <c r="T839" i="16" a="1"/>
  <c r="U841" i="16"/>
  <c r="T841" i="16" a="1"/>
  <c r="U843" i="16"/>
  <c r="T843" i="16" a="1"/>
  <c r="U845" i="16"/>
  <c r="T845" i="16" a="1"/>
  <c r="U847" i="16"/>
  <c r="T847" i="16" a="1"/>
  <c r="U849" i="16"/>
  <c r="T849" i="16" a="1"/>
  <c r="U851" i="16"/>
  <c r="T851" i="16" a="1"/>
  <c r="U853" i="16"/>
  <c r="T853" i="16" a="1"/>
  <c r="U855" i="16"/>
  <c r="T855" i="16" a="1"/>
  <c r="U857" i="16"/>
  <c r="T857" i="16" a="1"/>
  <c r="U859" i="16"/>
  <c r="T859" i="16" a="1"/>
  <c r="U861" i="16"/>
  <c r="T861" i="16" a="1"/>
  <c r="U863" i="16"/>
  <c r="T863" i="16" a="1"/>
  <c r="U865" i="16"/>
  <c r="T865" i="16" a="1"/>
  <c r="U867" i="16"/>
  <c r="T867" i="16" a="1"/>
  <c r="U869" i="16"/>
  <c r="T869" i="16" a="1"/>
  <c r="U871" i="16"/>
  <c r="T871" i="16" a="1"/>
  <c r="U873" i="16"/>
  <c r="T873" i="16" a="1"/>
  <c r="U875" i="16"/>
  <c r="T875" i="16" a="1"/>
  <c r="U877" i="16"/>
  <c r="T877" i="16" a="1"/>
  <c r="U879" i="16"/>
  <c r="T879" i="16" a="1"/>
  <c r="U881" i="16"/>
  <c r="U883" i="16"/>
  <c r="T883" i="16" a="1"/>
  <c r="U885" i="16"/>
  <c r="T885" i="16" a="1"/>
  <c r="U887" i="16"/>
  <c r="T887" i="16" a="1"/>
  <c r="U889" i="16"/>
  <c r="T889" i="16" a="1"/>
  <c r="U891" i="16"/>
  <c r="T891" i="16" a="1"/>
  <c r="U893" i="16"/>
  <c r="T893" i="16" a="1"/>
  <c r="U895" i="16"/>
  <c r="T895" i="16" a="1"/>
  <c r="U897" i="16"/>
  <c r="T897" i="16" a="1"/>
  <c r="U899" i="16"/>
  <c r="T899" i="16" a="1"/>
  <c r="U901" i="16"/>
  <c r="T901" i="16" a="1"/>
  <c r="U903" i="16"/>
  <c r="T903" i="16" a="1"/>
  <c r="U905" i="16"/>
  <c r="T905" i="16" a="1"/>
  <c r="U907" i="16"/>
  <c r="T907" i="16" a="1"/>
  <c r="U909" i="16"/>
  <c r="T909" i="16" a="1"/>
  <c r="U911" i="16"/>
  <c r="T911" i="16" a="1"/>
  <c r="U913" i="16"/>
  <c r="T913" i="16" a="1"/>
  <c r="U915" i="16"/>
  <c r="T915" i="16" a="1"/>
  <c r="U917" i="16"/>
  <c r="T917" i="16" a="1"/>
  <c r="U919" i="16"/>
  <c r="T919" i="16" a="1"/>
  <c r="U921" i="16"/>
  <c r="T921" i="16" a="1"/>
  <c r="U923" i="16"/>
  <c r="T923" i="16" a="1"/>
  <c r="U925" i="16"/>
  <c r="T925" i="16" a="1"/>
  <c r="U927" i="16"/>
  <c r="T927" i="16" a="1"/>
  <c r="U929" i="16"/>
  <c r="T929" i="16" a="1"/>
  <c r="U931" i="16"/>
  <c r="T931" i="16" a="1"/>
  <c r="U933" i="16"/>
  <c r="T933" i="16" a="1"/>
  <c r="U935" i="16"/>
  <c r="T935" i="16" a="1"/>
  <c r="U937" i="16"/>
  <c r="T937" i="16" a="1"/>
  <c r="U939" i="16"/>
  <c r="T939" i="16" a="1"/>
  <c r="U941" i="16"/>
  <c r="T941" i="16" a="1"/>
  <c r="U943" i="16"/>
  <c r="T943" i="16" a="1"/>
  <c r="U945" i="16"/>
  <c r="T945" i="16" a="1"/>
  <c r="U947" i="16"/>
  <c r="T947" i="16" a="1"/>
  <c r="U949" i="16"/>
  <c r="T949" i="16" a="1"/>
  <c r="U951" i="16"/>
  <c r="T951" i="16" a="1"/>
  <c r="U953" i="16"/>
  <c r="T953" i="16" a="1"/>
  <c r="U955" i="16"/>
  <c r="T955" i="16" a="1"/>
  <c r="U957" i="16"/>
  <c r="T957" i="16" a="1"/>
  <c r="U959" i="16"/>
  <c r="T959" i="16" a="1"/>
  <c r="U961" i="16"/>
  <c r="T961" i="16" a="1"/>
  <c r="U963" i="16"/>
  <c r="T963" i="16" a="1"/>
  <c r="U965" i="16"/>
  <c r="T965" i="16" a="1"/>
  <c r="U967" i="16"/>
  <c r="T967" i="16" a="1"/>
  <c r="U969" i="16"/>
  <c r="T969" i="16" a="1"/>
  <c r="U971" i="16"/>
  <c r="T971" i="16" a="1"/>
  <c r="U973" i="16"/>
  <c r="T973" i="16" a="1"/>
  <c r="U975" i="16"/>
  <c r="T975" i="16" a="1"/>
  <c r="U977" i="16"/>
  <c r="T977" i="16" a="1"/>
  <c r="U979" i="16"/>
  <c r="T979" i="16" a="1"/>
  <c r="U981" i="16"/>
  <c r="T981" i="16" a="1"/>
  <c r="U983" i="16"/>
  <c r="T983" i="16" a="1"/>
  <c r="U985" i="16"/>
  <c r="T985" i="16" a="1"/>
  <c r="U987" i="16"/>
  <c r="T987" i="16" a="1"/>
  <c r="U989" i="16"/>
  <c r="T989" i="16" a="1"/>
  <c r="U991" i="16"/>
  <c r="T991" i="16" a="1"/>
  <c r="U993" i="16"/>
  <c r="T993" i="16" a="1"/>
  <c r="U995" i="16"/>
  <c r="T995" i="16" a="1"/>
  <c r="U997" i="16"/>
  <c r="T997" i="16" a="1"/>
  <c r="U999" i="16"/>
  <c r="T999" i="16" a="1"/>
  <c r="U1001" i="16"/>
  <c r="T1001" i="16" a="1"/>
  <c r="U1003" i="16"/>
  <c r="T1003" i="16" a="1"/>
  <c r="U1005" i="16"/>
  <c r="T1005" i="16" a="1"/>
  <c r="U1007" i="16"/>
  <c r="T1007" i="16" a="1"/>
  <c r="U1009" i="16"/>
  <c r="T1009" i="16" a="1"/>
  <c r="U1011" i="16"/>
  <c r="T1011" i="16" a="1"/>
  <c r="U1013" i="16"/>
  <c r="T1013" i="16" a="1"/>
  <c r="U1015" i="16"/>
  <c r="T1015" i="16" a="1"/>
  <c r="U1017" i="16"/>
  <c r="T1017" i="16" a="1"/>
  <c r="U1019" i="16"/>
  <c r="T1019" i="16" a="1"/>
  <c r="U1021" i="16"/>
  <c r="T1021" i="16" a="1"/>
  <c r="U1023" i="16"/>
  <c r="T1023" i="16" a="1"/>
  <c r="U1025" i="16"/>
  <c r="T1025" i="16" a="1"/>
  <c r="U1027" i="16"/>
  <c r="T1027" i="16" a="1"/>
  <c r="U1029" i="16"/>
  <c r="T1029" i="16" a="1"/>
  <c r="U1031" i="16"/>
  <c r="T1031" i="16" a="1"/>
  <c r="U1033" i="16"/>
  <c r="T1033" i="16" a="1"/>
  <c r="U1035" i="16"/>
  <c r="T1035" i="16" a="1"/>
  <c r="U1037" i="16"/>
  <c r="T1037" i="16" a="1"/>
  <c r="U1039" i="16"/>
  <c r="T1039" i="16" a="1"/>
  <c r="U1041" i="16"/>
  <c r="T1041" i="16" a="1"/>
  <c r="U1043" i="16"/>
  <c r="T1043" i="16" a="1"/>
  <c r="U1045" i="16"/>
  <c r="T1045" i="16" a="1"/>
  <c r="U1047" i="16"/>
  <c r="T1047" i="16" a="1"/>
  <c r="U1049" i="16"/>
  <c r="T1049" i="16" a="1"/>
  <c r="U1051" i="16"/>
  <c r="T1051" i="16" a="1"/>
  <c r="U1053" i="16"/>
  <c r="T1053" i="16" a="1"/>
  <c r="U1055" i="16"/>
  <c r="T1055" i="16" a="1"/>
  <c r="U1057" i="16"/>
  <c r="T1057" i="16" a="1"/>
  <c r="U1059" i="16"/>
  <c r="T1059" i="16" a="1"/>
  <c r="U1061" i="16"/>
  <c r="T1061" i="16" a="1"/>
  <c r="U1063" i="16"/>
  <c r="T1063" i="16" a="1"/>
  <c r="U1065" i="16"/>
  <c r="T1065" i="16" a="1"/>
  <c r="U1067" i="16"/>
  <c r="T1067" i="16" a="1"/>
  <c r="U1069" i="16"/>
  <c r="T1069" i="16" a="1"/>
  <c r="U1071" i="16"/>
  <c r="T1071" i="16" a="1"/>
  <c r="U1073" i="16"/>
  <c r="T1073" i="16" a="1"/>
  <c r="U1075" i="16"/>
  <c r="T1075" i="16" a="1"/>
  <c r="U1077" i="16"/>
  <c r="T1077" i="16" a="1"/>
  <c r="U1079" i="16"/>
  <c r="T1079" i="16" a="1"/>
  <c r="U1081" i="16"/>
  <c r="T1081" i="16" a="1"/>
  <c r="U1083" i="16"/>
  <c r="T1083" i="16" a="1"/>
  <c r="U1085" i="16"/>
  <c r="T1085" i="16" a="1"/>
  <c r="U1087" i="16"/>
  <c r="T1087" i="16" a="1"/>
  <c r="U1089" i="16"/>
  <c r="T1089" i="16" a="1"/>
  <c r="U1091" i="16"/>
  <c r="T1091" i="16" a="1"/>
  <c r="U1093" i="16"/>
  <c r="T1093" i="16" a="1"/>
  <c r="U1095" i="16"/>
  <c r="T1095" i="16" a="1"/>
  <c r="U1097" i="16"/>
  <c r="T1097" i="16" a="1"/>
  <c r="U1099" i="16"/>
  <c r="T1099" i="16" a="1"/>
  <c r="U1101" i="16"/>
  <c r="T1101" i="16" a="1"/>
  <c r="U1103" i="16"/>
  <c r="T1103" i="16" a="1"/>
  <c r="U1105" i="16"/>
  <c r="T1105" i="16" a="1"/>
  <c r="U1107" i="16"/>
  <c r="T1107" i="16" a="1"/>
  <c r="U1109" i="16"/>
  <c r="T1109" i="16" a="1"/>
  <c r="U1111" i="16"/>
  <c r="T1111" i="16" a="1"/>
  <c r="U1113" i="16"/>
  <c r="T1113" i="16" a="1"/>
  <c r="U1115" i="16"/>
  <c r="T1115" i="16" a="1"/>
  <c r="U1117" i="16"/>
  <c r="T1117" i="16" a="1"/>
  <c r="U1119" i="16"/>
  <c r="T1119" i="16" a="1"/>
  <c r="U1121" i="16"/>
  <c r="T1121" i="16" a="1"/>
  <c r="U1266" i="16"/>
  <c r="T1266" i="16" a="1"/>
  <c r="U1268" i="16"/>
  <c r="T1268" i="16" a="1"/>
  <c r="U1270" i="16"/>
  <c r="T1270" i="16" a="1"/>
  <c r="U1272" i="16"/>
  <c r="T1272" i="16" a="1"/>
  <c r="U1274" i="16"/>
  <c r="T1274" i="16" a="1"/>
  <c r="U1276" i="16"/>
  <c r="T1276" i="16" a="1"/>
  <c r="U1278" i="16"/>
  <c r="T1278" i="16" a="1"/>
  <c r="U1280" i="16"/>
  <c r="T1280" i="16" a="1"/>
  <c r="U1282" i="16"/>
  <c r="T1282" i="16" a="1"/>
  <c r="U1284" i="16"/>
  <c r="T1284" i="16" a="1"/>
  <c r="U1286" i="16"/>
  <c r="T1286" i="16" a="1"/>
  <c r="U1288" i="16"/>
  <c r="T1288" i="16" a="1"/>
  <c r="U1290" i="16"/>
  <c r="T1290" i="16" a="1"/>
  <c r="U1292" i="16"/>
  <c r="T1292" i="16" a="1"/>
  <c r="U1294" i="16"/>
  <c r="T1294" i="16" a="1"/>
  <c r="U1296" i="16"/>
  <c r="T1296" i="16" a="1"/>
  <c r="U1298" i="16"/>
  <c r="T1298" i="16" a="1"/>
  <c r="U1300" i="16"/>
  <c r="T1300" i="16" a="1"/>
  <c r="U1302" i="16"/>
  <c r="T1302" i="16" a="1"/>
  <c r="U1304" i="16"/>
  <c r="T1304" i="16" a="1"/>
  <c r="U1306" i="16"/>
  <c r="T1306" i="16" a="1"/>
  <c r="U1308" i="16"/>
  <c r="T1308" i="16" a="1"/>
  <c r="U1310" i="16"/>
  <c r="T1310" i="16" a="1"/>
  <c r="U1312" i="16"/>
  <c r="T1312" i="16" a="1"/>
  <c r="U1314" i="16"/>
  <c r="T1314" i="16" a="1"/>
  <c r="U1316" i="16"/>
  <c r="T1316" i="16" a="1"/>
  <c r="U1318" i="16"/>
  <c r="T1318" i="16" a="1"/>
  <c r="U1320" i="16"/>
  <c r="T1320" i="16" a="1"/>
  <c r="U1322" i="16"/>
  <c r="T1322" i="16" a="1"/>
  <c r="U1324" i="16"/>
  <c r="T1324" i="16" a="1"/>
  <c r="U1326" i="16"/>
  <c r="T1326" i="16" a="1"/>
  <c r="U1328" i="16"/>
  <c r="T1328" i="16" a="1"/>
  <c r="U1330" i="16"/>
  <c r="T1330" i="16" a="1"/>
  <c r="U1332" i="16"/>
  <c r="T1332" i="16" a="1"/>
  <c r="U1334" i="16"/>
  <c r="T1334" i="16" a="1"/>
  <c r="U1336" i="16"/>
  <c r="T1336" i="16" a="1"/>
  <c r="U1338" i="16"/>
  <c r="T1338" i="16" a="1"/>
  <c r="U1340" i="16"/>
  <c r="T1340" i="16" a="1"/>
  <c r="U1342" i="16"/>
  <c r="T1342" i="16" a="1"/>
  <c r="U1344" i="16"/>
  <c r="T1344" i="16" a="1"/>
  <c r="U1346" i="16"/>
  <c r="T1346" i="16" a="1"/>
  <c r="U1348" i="16"/>
  <c r="T1348" i="16" a="1"/>
  <c r="U1350" i="16"/>
  <c r="T1350" i="16" a="1"/>
  <c r="U1352" i="16"/>
  <c r="T1352" i="16" a="1"/>
  <c r="U1354" i="16"/>
  <c r="T1354" i="16" a="1"/>
  <c r="U1356" i="16"/>
  <c r="T1356" i="16" a="1"/>
  <c r="U1358" i="16"/>
  <c r="T1358" i="16" a="1"/>
  <c r="U1360" i="16"/>
  <c r="T1360" i="16" a="1"/>
  <c r="U1362" i="16"/>
  <c r="T1362" i="16" a="1"/>
  <c r="U1364" i="16"/>
  <c r="T1364" i="16" a="1"/>
  <c r="U1366" i="16"/>
  <c r="T1366" i="16" a="1"/>
  <c r="U1368" i="16"/>
  <c r="T1368" i="16" a="1"/>
  <c r="U1370" i="16"/>
  <c r="T1370" i="16" a="1"/>
  <c r="U1372" i="16"/>
  <c r="T1372" i="16" a="1"/>
  <c r="U1374" i="16"/>
  <c r="T1374" i="16" a="1"/>
  <c r="U1376" i="16"/>
  <c r="T1376" i="16" a="1"/>
  <c r="U1378" i="16"/>
  <c r="T1378" i="16" a="1"/>
  <c r="U1380" i="16"/>
  <c r="T1380" i="16" a="1"/>
  <c r="U1382" i="16"/>
  <c r="T1382" i="16" a="1"/>
  <c r="U1384" i="16"/>
  <c r="T1384" i="16" a="1"/>
  <c r="U1386" i="16"/>
  <c r="T1386" i="16" a="1"/>
  <c r="U1388" i="16"/>
  <c r="T1388" i="16" a="1"/>
  <c r="U1390" i="16"/>
  <c r="T1390" i="16" a="1"/>
  <c r="U1392" i="16"/>
  <c r="T1392" i="16" a="1"/>
  <c r="U1394" i="16"/>
  <c r="T1394" i="16" a="1"/>
  <c r="U1396" i="16"/>
  <c r="T1396" i="16" a="1"/>
  <c r="U1398" i="16"/>
  <c r="T1398" i="16" a="1"/>
  <c r="U1400" i="16"/>
  <c r="T1400" i="16" a="1"/>
  <c r="U1402" i="16"/>
  <c r="T1402" i="16" a="1"/>
  <c r="U1404" i="16"/>
  <c r="T1404" i="16" a="1"/>
  <c r="U1406" i="16"/>
  <c r="T1406" i="16" a="1"/>
  <c r="U1408" i="16"/>
  <c r="T1408" i="16" a="1"/>
  <c r="U1410" i="16"/>
  <c r="T1410" i="16" a="1"/>
  <c r="U1412" i="16"/>
  <c r="T1412" i="16" a="1"/>
  <c r="U1414" i="16"/>
  <c r="T1414" i="16" a="1"/>
  <c r="U1416" i="16"/>
  <c r="T1416" i="16" a="1"/>
  <c r="U1418" i="16"/>
  <c r="T1418" i="16" a="1"/>
  <c r="U1420" i="16"/>
  <c r="T1420" i="16" a="1"/>
  <c r="U1422" i="16"/>
  <c r="T1422" i="16" a="1"/>
  <c r="U1424" i="16"/>
  <c r="T1424" i="16" a="1"/>
  <c r="U1426" i="16"/>
  <c r="T1426" i="16" a="1"/>
  <c r="U1428" i="16"/>
  <c r="T1428" i="16" a="1"/>
  <c r="U1430" i="16"/>
  <c r="T1430" i="16" a="1"/>
  <c r="U1432" i="16"/>
  <c r="T1432" i="16" a="1"/>
  <c r="U1434" i="16"/>
  <c r="T1434" i="16" a="1"/>
  <c r="U1436" i="16"/>
  <c r="T1436" i="16" a="1"/>
  <c r="U1438" i="16"/>
  <c r="T1438" i="16" a="1"/>
  <c r="U1440" i="16"/>
  <c r="T1440" i="16" a="1"/>
  <c r="U1442" i="16"/>
  <c r="T1442" i="16" a="1"/>
  <c r="U1444" i="16"/>
  <c r="T1444" i="16" a="1"/>
  <c r="U1446" i="16"/>
  <c r="T1446" i="16" a="1"/>
  <c r="U1448" i="16"/>
  <c r="T1448" i="16" a="1"/>
  <c r="U1450" i="16"/>
  <c r="T1450" i="16" a="1"/>
  <c r="U1452" i="16"/>
  <c r="T1452" i="16" a="1"/>
  <c r="U1454" i="16"/>
  <c r="T1454" i="16" a="1"/>
  <c r="U1456" i="16"/>
  <c r="T1456" i="16" a="1"/>
  <c r="U1458" i="16"/>
  <c r="T1458" i="16" a="1"/>
  <c r="U1460" i="16"/>
  <c r="T1460" i="16" a="1"/>
  <c r="U1462" i="16"/>
  <c r="T1462" i="16" a="1"/>
  <c r="U1464" i="16"/>
  <c r="T1464" i="16" a="1"/>
  <c r="U1466" i="16"/>
  <c r="T1466" i="16" a="1"/>
  <c r="U1468" i="16"/>
  <c r="T1468" i="16" a="1"/>
  <c r="U1470" i="16"/>
  <c r="T1470" i="16" a="1"/>
  <c r="U1472" i="16"/>
  <c r="T1472" i="16" a="1"/>
  <c r="U1474" i="16"/>
  <c r="T1474" i="16" a="1"/>
  <c r="U1476" i="16"/>
  <c r="T1476" i="16" a="1"/>
  <c r="U1478" i="16"/>
  <c r="T1478" i="16" a="1"/>
  <c r="U1480" i="16"/>
  <c r="T1480" i="16" a="1"/>
  <c r="U1482" i="16"/>
  <c r="T1482" i="16" a="1"/>
  <c r="U1484" i="16"/>
  <c r="T1484" i="16" a="1"/>
  <c r="U1486" i="16"/>
  <c r="T1486" i="16" a="1"/>
  <c r="U1488" i="16"/>
  <c r="T1488" i="16" a="1"/>
  <c r="U1490" i="16"/>
  <c r="T1490" i="16" a="1"/>
  <c r="U1492" i="16"/>
  <c r="T1492" i="16" a="1"/>
  <c r="U1494" i="16"/>
  <c r="T1494" i="16" a="1"/>
  <c r="U1496" i="16"/>
  <c r="T1496" i="16" a="1"/>
  <c r="U1498" i="16"/>
  <c r="T1498" i="16" a="1"/>
  <c r="U1500" i="16"/>
  <c r="T1500" i="16" a="1"/>
  <c r="U1502" i="16"/>
  <c r="T1502" i="16" a="1"/>
  <c r="U1504" i="16"/>
  <c r="T1504" i="16" a="1"/>
  <c r="U1506" i="16"/>
  <c r="T1506" i="16" a="1"/>
  <c r="U1508" i="16"/>
  <c r="T1508" i="16" a="1"/>
  <c r="U1510" i="16"/>
  <c r="T1510" i="16" a="1"/>
  <c r="U1512" i="16"/>
  <c r="T1512" i="16" a="1"/>
  <c r="U1514" i="16"/>
  <c r="T1514" i="16" a="1"/>
  <c r="U1516" i="16"/>
  <c r="T1516" i="16" a="1"/>
  <c r="U1518" i="16"/>
  <c r="T1518" i="16" a="1"/>
  <c r="U1520" i="16"/>
  <c r="T1520" i="16" a="1"/>
  <c r="U1522" i="16"/>
  <c r="T1522" i="16" a="1"/>
  <c r="U1524" i="16"/>
  <c r="T1524" i="16" a="1"/>
  <c r="U1526" i="16"/>
  <c r="T1526" i="16" a="1"/>
  <c r="U1528" i="16"/>
  <c r="T1528" i="16" a="1"/>
  <c r="U1530" i="16"/>
  <c r="T1530" i="16" a="1"/>
  <c r="U1532" i="16"/>
  <c r="T1532" i="16" a="1"/>
  <c r="U1534" i="16"/>
  <c r="T1534" i="16" a="1"/>
  <c r="U1536" i="16"/>
  <c r="T1536" i="16" a="1"/>
  <c r="U1538" i="16"/>
  <c r="T1538" i="16" a="1"/>
  <c r="U1540" i="16"/>
  <c r="T1540" i="16" a="1"/>
  <c r="U1542" i="16"/>
  <c r="T1542" i="16" a="1"/>
  <c r="U1544" i="16"/>
  <c r="T1544" i="16" a="1"/>
  <c r="U1546" i="16"/>
  <c r="T1546" i="16" a="1"/>
  <c r="U1548" i="16"/>
  <c r="T1548" i="16" a="1"/>
  <c r="U1550" i="16"/>
  <c r="T1550" i="16" a="1"/>
  <c r="U1552" i="16"/>
  <c r="T1552" i="16" a="1"/>
  <c r="U1554" i="16"/>
  <c r="T1554" i="16" a="1"/>
  <c r="U1556" i="16"/>
  <c r="T1556" i="16" a="1"/>
  <c r="U1558" i="16"/>
  <c r="T1558" i="16" a="1"/>
  <c r="U1560" i="16"/>
  <c r="T1560" i="16" a="1"/>
  <c r="U1562" i="16"/>
  <c r="T1562" i="16" a="1"/>
  <c r="U1564" i="16"/>
  <c r="T1564" i="16" a="1"/>
  <c r="U1566" i="16"/>
  <c r="T1566" i="16" a="1"/>
  <c r="U1568" i="16"/>
  <c r="T1568" i="16" a="1"/>
  <c r="U1570" i="16"/>
  <c r="T1570" i="16" a="1"/>
  <c r="U1572" i="16"/>
  <c r="T1572" i="16" a="1"/>
  <c r="U1574" i="16"/>
  <c r="T1574" i="16" a="1"/>
  <c r="U1576" i="16"/>
  <c r="T1576" i="16" a="1"/>
  <c r="U1578" i="16"/>
  <c r="T1578" i="16" a="1"/>
  <c r="U1580" i="16"/>
  <c r="T1580" i="16" a="1"/>
  <c r="U1582" i="16"/>
  <c r="T1582" i="16" a="1"/>
  <c r="U1584" i="16"/>
  <c r="T1584" i="16" a="1"/>
  <c r="U1586" i="16"/>
  <c r="T1586" i="16" a="1"/>
  <c r="U1588" i="16"/>
  <c r="T1588" i="16" a="1"/>
  <c r="U1590" i="16"/>
  <c r="T1590" i="16" a="1"/>
  <c r="U1592" i="16"/>
  <c r="T1592" i="16" a="1"/>
  <c r="U1594" i="16"/>
  <c r="T1594" i="16" a="1"/>
  <c r="U1596" i="16"/>
  <c r="T1596" i="16" a="1"/>
  <c r="U1598" i="16"/>
  <c r="T1598" i="16" a="1"/>
  <c r="U1600" i="16"/>
  <c r="T1600" i="16" a="1"/>
  <c r="U1602" i="16"/>
  <c r="T1602" i="16" a="1"/>
  <c r="U1604" i="16"/>
  <c r="T1604" i="16" a="1"/>
  <c r="U1606" i="16"/>
  <c r="T1606" i="16" a="1"/>
  <c r="U1608" i="16"/>
  <c r="T1608" i="16" a="1"/>
  <c r="U1610" i="16"/>
  <c r="T1610" i="16" a="1"/>
  <c r="U1612" i="16"/>
  <c r="T1612" i="16" a="1"/>
  <c r="U1614" i="16"/>
  <c r="T1614" i="16" a="1"/>
  <c r="U1616" i="16"/>
  <c r="T1616" i="16" a="1"/>
  <c r="U1618" i="16"/>
  <c r="T1618" i="16" a="1"/>
  <c r="U1620" i="16"/>
  <c r="T1620" i="16" a="1"/>
  <c r="U1622" i="16"/>
  <c r="T1622" i="16" a="1"/>
  <c r="U1624" i="16"/>
  <c r="T1624" i="16" a="1"/>
  <c r="U1626" i="16"/>
  <c r="T1626" i="16" a="1"/>
  <c r="U1628" i="16"/>
  <c r="T1628" i="16" a="1"/>
  <c r="U1630" i="16"/>
  <c r="T1630" i="16" a="1"/>
  <c r="U1632" i="16"/>
  <c r="T1632" i="16" a="1"/>
  <c r="U1634" i="16"/>
  <c r="T1634" i="16" a="1"/>
  <c r="U1636" i="16"/>
  <c r="T1636" i="16" a="1"/>
  <c r="U1638" i="16"/>
  <c r="T1638" i="16" a="1"/>
  <c r="U1640" i="16"/>
  <c r="T1640" i="16" a="1"/>
  <c r="U1642" i="16"/>
  <c r="T1642" i="16" a="1"/>
  <c r="U1644" i="16"/>
  <c r="T1644" i="16" a="1"/>
  <c r="U1646" i="16"/>
  <c r="T1646" i="16" a="1"/>
  <c r="U1648" i="16"/>
  <c r="T1648" i="16" a="1"/>
  <c r="U1650" i="16"/>
  <c r="T1650" i="16" a="1"/>
  <c r="U1652" i="16"/>
  <c r="T1652" i="16" a="1"/>
  <c r="U1654" i="16"/>
  <c r="T1654" i="16" a="1"/>
  <c r="U1656" i="16"/>
  <c r="T1656" i="16" a="1"/>
  <c r="U1658" i="16"/>
  <c r="T1658" i="16" a="1"/>
  <c r="U1660" i="16"/>
  <c r="T1660" i="16" a="1"/>
  <c r="U1662" i="16"/>
  <c r="T1662" i="16" a="1"/>
  <c r="U1664" i="16"/>
  <c r="T1664" i="16" a="1"/>
  <c r="U1666" i="16"/>
  <c r="T1666" i="16" a="1"/>
  <c r="U1668" i="16"/>
  <c r="T1668" i="16" a="1"/>
  <c r="U1670" i="16"/>
  <c r="T1670" i="16" a="1"/>
  <c r="U1672" i="16"/>
  <c r="T1672" i="16" a="1"/>
  <c r="U1674" i="16"/>
  <c r="T1674" i="16" a="1"/>
  <c r="U1676" i="16"/>
  <c r="T1676" i="16" a="1"/>
  <c r="U1678" i="16"/>
  <c r="T1678" i="16" a="1"/>
  <c r="U1680" i="16"/>
  <c r="T1680" i="16" a="1"/>
  <c r="U1682" i="16"/>
  <c r="T1682" i="16" a="1"/>
  <c r="U1684" i="16"/>
  <c r="T1684" i="16" a="1"/>
  <c r="U1686" i="16"/>
  <c r="T1686" i="16" a="1"/>
  <c r="U1688" i="16"/>
  <c r="T1688" i="16" a="1"/>
  <c r="U1690" i="16"/>
  <c r="T1690" i="16" a="1"/>
  <c r="U1692" i="16"/>
  <c r="T1692" i="16" a="1"/>
  <c r="U1694" i="16"/>
  <c r="T1694" i="16" a="1"/>
  <c r="U1696" i="16"/>
  <c r="T1696" i="16" a="1"/>
  <c r="U1698" i="16"/>
  <c r="T1698" i="16" a="1"/>
  <c r="U1700" i="16"/>
  <c r="T1700" i="16" a="1"/>
  <c r="U1702" i="16"/>
  <c r="T1702" i="16" a="1"/>
  <c r="U1704" i="16"/>
  <c r="T1704" i="16" a="1"/>
  <c r="U1706" i="16"/>
  <c r="T1706" i="16" a="1"/>
  <c r="U1708" i="16"/>
  <c r="T1708" i="16" a="1"/>
  <c r="U1710" i="16"/>
  <c r="T1710" i="16" a="1"/>
  <c r="U1712" i="16"/>
  <c r="T1712" i="16" a="1"/>
  <c r="U1714" i="16"/>
  <c r="T1714" i="16" a="1"/>
  <c r="U1716" i="16"/>
  <c r="T1716" i="16" a="1"/>
  <c r="U1718" i="16"/>
  <c r="T1718" i="16" a="1"/>
  <c r="U1720" i="16"/>
  <c r="T1720" i="16" a="1"/>
  <c r="U1722" i="16"/>
  <c r="T1722" i="16" a="1"/>
  <c r="U1724" i="16"/>
  <c r="T1724" i="16" a="1"/>
  <c r="U1726" i="16"/>
  <c r="T1726" i="16" a="1"/>
  <c r="U1728" i="16"/>
  <c r="T1728" i="16" a="1"/>
  <c r="U1730" i="16"/>
  <c r="T1730" i="16" a="1"/>
  <c r="U1732" i="16"/>
  <c r="T1732" i="16" a="1"/>
  <c r="U1734" i="16"/>
  <c r="T1734" i="16" a="1"/>
  <c r="U1736" i="16"/>
  <c r="T1736" i="16" a="1"/>
  <c r="U1738" i="16"/>
  <c r="T1738" i="16" a="1"/>
  <c r="U1740" i="16"/>
  <c r="T1740" i="16" a="1"/>
  <c r="U1742" i="16"/>
  <c r="T1742" i="16" a="1"/>
  <c r="U1744" i="16"/>
  <c r="T1744" i="16" a="1"/>
  <c r="U1746" i="16"/>
  <c r="T1746" i="16" a="1"/>
  <c r="U1748" i="16"/>
  <c r="T1748" i="16" a="1"/>
  <c r="U1750" i="16"/>
  <c r="T1750" i="16" a="1"/>
  <c r="U1752" i="16"/>
  <c r="T1752" i="16" a="1"/>
  <c r="U1754" i="16"/>
  <c r="T1754" i="16" a="1"/>
  <c r="U1756" i="16"/>
  <c r="T1756" i="16" a="1"/>
  <c r="U1758" i="16"/>
  <c r="T1758" i="16" a="1"/>
  <c r="U1760" i="16"/>
  <c r="T1760" i="16" a="1"/>
  <c r="U1762" i="16"/>
  <c r="T1762" i="16" a="1"/>
  <c r="U1764" i="16"/>
  <c r="T1764" i="16" a="1"/>
  <c r="U1766" i="16"/>
  <c r="T1766" i="16" a="1"/>
  <c r="U1768" i="16"/>
  <c r="T1768" i="16" a="1"/>
  <c r="U1770" i="16"/>
  <c r="T1770" i="16" a="1"/>
  <c r="U1772" i="16"/>
  <c r="T1772" i="16" a="1"/>
  <c r="U1774" i="16"/>
  <c r="T1774" i="16" a="1"/>
  <c r="U1776" i="16"/>
  <c r="T1776" i="16" a="1"/>
  <c r="U1778" i="16"/>
  <c r="T1778" i="16" a="1"/>
  <c r="U1780" i="16"/>
  <c r="T1780" i="16" a="1"/>
  <c r="U1782" i="16"/>
  <c r="T1782" i="16" a="1"/>
  <c r="U1784" i="16"/>
  <c r="T1784" i="16" a="1"/>
  <c r="U1786" i="16"/>
  <c r="T1786" i="16" a="1"/>
  <c r="U1788" i="16"/>
  <c r="T1788" i="16" a="1"/>
  <c r="U1790" i="16"/>
  <c r="T1790" i="16" a="1"/>
  <c r="U1792" i="16"/>
  <c r="T1792" i="16" a="1"/>
  <c r="U1794" i="16"/>
  <c r="T1794" i="16" a="1"/>
  <c r="U1796" i="16"/>
  <c r="T1796" i="16" a="1"/>
  <c r="U1798" i="16"/>
  <c r="T1798" i="16" a="1"/>
  <c r="U1800" i="16"/>
  <c r="T1800" i="16" a="1"/>
  <c r="U1802" i="16"/>
  <c r="T1802" i="16" a="1"/>
  <c r="U1804" i="16"/>
  <c r="T1804" i="16" a="1"/>
  <c r="U1806" i="16"/>
  <c r="T1806" i="16" a="1"/>
  <c r="U1808" i="16"/>
  <c r="T1808" i="16" a="1"/>
  <c r="U1810" i="16"/>
  <c r="T1810" i="16" a="1"/>
  <c r="U1812" i="16"/>
  <c r="T1812" i="16" a="1"/>
  <c r="U1814" i="16"/>
  <c r="T1814" i="16" a="1"/>
  <c r="U1816" i="16"/>
  <c r="T1816" i="16" a="1"/>
  <c r="U1818" i="16"/>
  <c r="T1818" i="16" a="1"/>
  <c r="U1820" i="16"/>
  <c r="T1820" i="16" a="1"/>
  <c r="U1822" i="16"/>
  <c r="T1822" i="16" a="1"/>
  <c r="U1824" i="16"/>
  <c r="T1824" i="16" a="1"/>
  <c r="U1826" i="16"/>
  <c r="T1826" i="16" a="1"/>
  <c r="U1828" i="16"/>
  <c r="T1828" i="16" a="1"/>
  <c r="U1830" i="16"/>
  <c r="T1830" i="16" a="1"/>
  <c r="U1832" i="16"/>
  <c r="T1832" i="16" a="1"/>
  <c r="U1834" i="16"/>
  <c r="T1834" i="16" a="1"/>
  <c r="U1836" i="16"/>
  <c r="T1836" i="16" a="1"/>
  <c r="U1838" i="16"/>
  <c r="T1838" i="16" a="1"/>
  <c r="U1840" i="16"/>
  <c r="T1840" i="16" a="1"/>
  <c r="U1842" i="16"/>
  <c r="T1842" i="16" a="1"/>
  <c r="U1844" i="16"/>
  <c r="T1844" i="16" a="1"/>
  <c r="U1846" i="16"/>
  <c r="T1846" i="16" a="1"/>
  <c r="U1848" i="16"/>
  <c r="T1848" i="16" a="1"/>
  <c r="U1850" i="16"/>
  <c r="T1850" i="16" a="1"/>
  <c r="U1852" i="16"/>
  <c r="T1852" i="16" a="1"/>
  <c r="U1854" i="16"/>
  <c r="T1854" i="16" a="1"/>
  <c r="U1856" i="16"/>
  <c r="T1856" i="16" a="1"/>
  <c r="U1858" i="16"/>
  <c r="T1858" i="16" a="1"/>
  <c r="U1860" i="16"/>
  <c r="T1860" i="16" a="1"/>
  <c r="U1862" i="16"/>
  <c r="T1862" i="16" a="1"/>
  <c r="U1864" i="16"/>
  <c r="T1864" i="16" a="1"/>
  <c r="U1866" i="16"/>
  <c r="T1866" i="16" a="1"/>
  <c r="U1125" i="16"/>
  <c r="T1125" i="16" a="1"/>
  <c r="U1301" i="16"/>
  <c r="T1301" i="16" a="1"/>
  <c r="U1309" i="16"/>
  <c r="T1309" i="16" a="1"/>
  <c r="U1313" i="16"/>
  <c r="T1313" i="16" a="1"/>
  <c r="U1317" i="16"/>
  <c r="T1317" i="16" a="1"/>
  <c r="U1321" i="16"/>
  <c r="T1321" i="16" a="1"/>
  <c r="U1325" i="16"/>
  <c r="T1325" i="16" a="1"/>
  <c r="U1329" i="16"/>
  <c r="T1329" i="16" a="1"/>
  <c r="U1333" i="16"/>
  <c r="T1333" i="16" a="1"/>
  <c r="U1337" i="16"/>
  <c r="T1337" i="16" a="1"/>
  <c r="U1341" i="16"/>
  <c r="T1341" i="16" a="1"/>
  <c r="U1345" i="16"/>
  <c r="T1345" i="16" a="1"/>
  <c r="U1349" i="16"/>
  <c r="T1349" i="16" a="1"/>
  <c r="U1353" i="16"/>
  <c r="T1353" i="16" a="1"/>
  <c r="U1357" i="16"/>
  <c r="T1357" i="16" a="1"/>
  <c r="U1361" i="16"/>
  <c r="T1361" i="16" a="1"/>
  <c r="U1365" i="16"/>
  <c r="T1365" i="16" a="1"/>
  <c r="U1369" i="16"/>
  <c r="T1369" i="16" a="1"/>
  <c r="U1375" i="16"/>
  <c r="T1375" i="16" a="1"/>
  <c r="U1379" i="16"/>
  <c r="T1379" i="16" a="1"/>
  <c r="U1499" i="16"/>
  <c r="T1499" i="16" a="1"/>
  <c r="U1509" i="16"/>
  <c r="T1509" i="16" a="1"/>
  <c r="U1515" i="16"/>
  <c r="T1515" i="16" a="1"/>
  <c r="U1519" i="16"/>
  <c r="T1519" i="16" a="1"/>
  <c r="U1523" i="16"/>
  <c r="T1523" i="16" a="1"/>
  <c r="U1527" i="16"/>
  <c r="T1527" i="16" a="1"/>
  <c r="U1531" i="16"/>
  <c r="T1531" i="16" a="1"/>
  <c r="U1535" i="16"/>
  <c r="T1535" i="16" a="1"/>
  <c r="U1537" i="16"/>
  <c r="T1537" i="16" a="1"/>
  <c r="U1541" i="16"/>
  <c r="T1541" i="16" a="1"/>
  <c r="U1547" i="16"/>
  <c r="T1547" i="16" a="1"/>
  <c r="U1551" i="16"/>
  <c r="T1551" i="16" a="1"/>
  <c r="U1555" i="16"/>
  <c r="T1555" i="16" a="1"/>
  <c r="U1559" i="16"/>
  <c r="T1559" i="16" a="1"/>
  <c r="U1563" i="16"/>
  <c r="T1563" i="16" a="1"/>
  <c r="U1567" i="16"/>
  <c r="T1567" i="16" a="1"/>
  <c r="U1571" i="16"/>
  <c r="T1571" i="16" a="1"/>
  <c r="U1575" i="16"/>
  <c r="T1575" i="16" a="1"/>
  <c r="U1577" i="16"/>
  <c r="T1577" i="16" a="1"/>
  <c r="U1581" i="16"/>
  <c r="T1581" i="16" a="1"/>
  <c r="U1585" i="16"/>
  <c r="T1585" i="16" a="1"/>
  <c r="U1589" i="16"/>
  <c r="T1589" i="16" a="1"/>
  <c r="U1593" i="16"/>
  <c r="T1593" i="16" a="1"/>
  <c r="U1597" i="16"/>
  <c r="T1597" i="16" a="1"/>
  <c r="U1601" i="16"/>
  <c r="T1601" i="16" a="1"/>
  <c r="U1605" i="16"/>
  <c r="T1605" i="16" a="1"/>
  <c r="U1609" i="16"/>
  <c r="T1609" i="16" a="1"/>
  <c r="U1613" i="16"/>
  <c r="T1613" i="16" a="1"/>
  <c r="U1617" i="16"/>
  <c r="T1617" i="16" a="1"/>
  <c r="U1621" i="16"/>
  <c r="T1621" i="16" a="1"/>
  <c r="U1625" i="16"/>
  <c r="T1625" i="16" a="1"/>
  <c r="U1629" i="16"/>
  <c r="T1629" i="16" a="1"/>
  <c r="U1633" i="16"/>
  <c r="T1633" i="16" a="1"/>
  <c r="U1637" i="16"/>
  <c r="T1637" i="16" a="1"/>
  <c r="U1641" i="16"/>
  <c r="T1641" i="16" a="1"/>
  <c r="U1645" i="16"/>
  <c r="T1645" i="16" a="1"/>
  <c r="U1649" i="16"/>
  <c r="T1649" i="16" a="1"/>
  <c r="U1653" i="16"/>
  <c r="T1653" i="16" a="1"/>
  <c r="U1657" i="16"/>
  <c r="T1657" i="16" a="1"/>
  <c r="U1661" i="16"/>
  <c r="T1661" i="16" a="1"/>
  <c r="U1665" i="16"/>
  <c r="T1665" i="16" a="1"/>
  <c r="U1669" i="16"/>
  <c r="T1669" i="16" a="1"/>
  <c r="U1673" i="16"/>
  <c r="T1673" i="16" a="1"/>
  <c r="U1677" i="16"/>
  <c r="T1677" i="16" a="1"/>
  <c r="U1681" i="16"/>
  <c r="T1681" i="16" a="1"/>
  <c r="U1685" i="16"/>
  <c r="T1685" i="16" a="1"/>
  <c r="U1689" i="16"/>
  <c r="T1689" i="16" a="1"/>
  <c r="U1693" i="16"/>
  <c r="T1693" i="16" a="1"/>
  <c r="U1697" i="16"/>
  <c r="T1697" i="16" a="1"/>
  <c r="U1701" i="16"/>
  <c r="T1701" i="16" a="1"/>
  <c r="U1705" i="16"/>
  <c r="T1705" i="16" a="1"/>
  <c r="U1709" i="16"/>
  <c r="T1709" i="16" a="1"/>
  <c r="U1713" i="16"/>
  <c r="T1713" i="16" a="1"/>
  <c r="U1717" i="16"/>
  <c r="T1717" i="16" a="1"/>
  <c r="U1721" i="16"/>
  <c r="T1721" i="16" a="1"/>
  <c r="U1725" i="16"/>
  <c r="T1725" i="16" a="1"/>
  <c r="U1729" i="16"/>
  <c r="T1729" i="16" a="1"/>
  <c r="U1733" i="16"/>
  <c r="T1733" i="16" a="1"/>
  <c r="U1737" i="16"/>
  <c r="T1737" i="16" a="1"/>
  <c r="U1741" i="16"/>
  <c r="T1741" i="16" a="1"/>
  <c r="U1745" i="16"/>
  <c r="T1745" i="16" a="1"/>
  <c r="U1749" i="16"/>
  <c r="T1749" i="16" a="1"/>
  <c r="U1753" i="16"/>
  <c r="T1753" i="16" a="1"/>
  <c r="U1757" i="16"/>
  <c r="T1757" i="16" a="1"/>
  <c r="U1761" i="16"/>
  <c r="T1761" i="16" a="1"/>
  <c r="U1765" i="16"/>
  <c r="T1765" i="16" a="1"/>
  <c r="U1767" i="16"/>
  <c r="T1767" i="16" a="1"/>
  <c r="U1771" i="16"/>
  <c r="T1771" i="16" a="1"/>
  <c r="U1775" i="16"/>
  <c r="T1775" i="16" a="1"/>
  <c r="U1779" i="16"/>
  <c r="T1779" i="16" a="1"/>
  <c r="U1783" i="16"/>
  <c r="T1783" i="16" a="1"/>
  <c r="U1787" i="16"/>
  <c r="T1787" i="16" a="1"/>
  <c r="U1791" i="16"/>
  <c r="T1791" i="16" a="1"/>
  <c r="U1797" i="16"/>
  <c r="T1797" i="16" a="1"/>
  <c r="U1801" i="16"/>
  <c r="T1801" i="16" a="1"/>
  <c r="U1805" i="16"/>
  <c r="T1805" i="16" a="1"/>
  <c r="U1809" i="16"/>
  <c r="T1809" i="16" a="1"/>
  <c r="U1813" i="16"/>
  <c r="T1813" i="16" a="1"/>
  <c r="U1817" i="16"/>
  <c r="T1817" i="16" a="1"/>
  <c r="U1821" i="16"/>
  <c r="T1821" i="16" a="1"/>
  <c r="U1825" i="16"/>
  <c r="T1825" i="16" a="1"/>
  <c r="U1829" i="16"/>
  <c r="T1829" i="16" a="1"/>
  <c r="U1833" i="16"/>
  <c r="T1833" i="16" a="1"/>
  <c r="U1837" i="16"/>
  <c r="T1837" i="16" a="1"/>
  <c r="U1841" i="16"/>
  <c r="T1841" i="16" a="1"/>
  <c r="U1123" i="16"/>
  <c r="T1123" i="16" a="1"/>
  <c r="U1127" i="16"/>
  <c r="T1127" i="16" a="1"/>
  <c r="U1129" i="16"/>
  <c r="T1129" i="16" a="1"/>
  <c r="U1131" i="16"/>
  <c r="T1131" i="16" a="1"/>
  <c r="U1133" i="16"/>
  <c r="T1133" i="16" a="1"/>
  <c r="U1135" i="16"/>
  <c r="T1135" i="16" a="1"/>
  <c r="U1137" i="16"/>
  <c r="T1137" i="16" a="1"/>
  <c r="U1139" i="16"/>
  <c r="T1139" i="16" a="1"/>
  <c r="U1141" i="16"/>
  <c r="T1141" i="16" a="1"/>
  <c r="U1143" i="16"/>
  <c r="T1143" i="16" a="1"/>
  <c r="U1145" i="16"/>
  <c r="T1145" i="16" a="1"/>
  <c r="U1147" i="16"/>
  <c r="T1147" i="16" a="1"/>
  <c r="U1149" i="16"/>
  <c r="T1149" i="16" a="1"/>
  <c r="U1151" i="16"/>
  <c r="T1151" i="16" a="1"/>
  <c r="U1153" i="16"/>
  <c r="T1153" i="16" a="1"/>
  <c r="U1155" i="16"/>
  <c r="T1155" i="16" a="1"/>
  <c r="U1157" i="16"/>
  <c r="T1157" i="16" a="1"/>
  <c r="U1159" i="16"/>
  <c r="T1159" i="16" a="1"/>
  <c r="U1161" i="16"/>
  <c r="T1161" i="16" a="1"/>
  <c r="U1163" i="16"/>
  <c r="T1163" i="16" a="1"/>
  <c r="U1165" i="16"/>
  <c r="T1165" i="16" a="1"/>
  <c r="U1167" i="16"/>
  <c r="T1167" i="16" a="1"/>
  <c r="U1169" i="16"/>
  <c r="T1169" i="16" a="1"/>
  <c r="U1171" i="16"/>
  <c r="T1171" i="16" a="1"/>
  <c r="U1173" i="16"/>
  <c r="T1173" i="16" a="1"/>
  <c r="U1175" i="16"/>
  <c r="T1175" i="16" a="1"/>
  <c r="U1177" i="16"/>
  <c r="T1177" i="16" a="1"/>
  <c r="U1179" i="16"/>
  <c r="T1179" i="16" a="1"/>
  <c r="U1181" i="16"/>
  <c r="T1181" i="16" a="1"/>
  <c r="U1183" i="16"/>
  <c r="T1183" i="16" a="1"/>
  <c r="U1185" i="16"/>
  <c r="T1185" i="16" a="1"/>
  <c r="U1187" i="16"/>
  <c r="T1187" i="16" a="1"/>
  <c r="U1189" i="16"/>
  <c r="T1189" i="16" a="1"/>
  <c r="U1191" i="16"/>
  <c r="T1191" i="16" a="1"/>
  <c r="U1193" i="16"/>
  <c r="T1193" i="16" a="1"/>
  <c r="U1195" i="16"/>
  <c r="T1195" i="16" a="1"/>
  <c r="U1197" i="16"/>
  <c r="T1197" i="16" a="1"/>
  <c r="U1199" i="16"/>
  <c r="T1199" i="16" a="1"/>
  <c r="U1201" i="16"/>
  <c r="T1201" i="16" a="1"/>
  <c r="U1203" i="16"/>
  <c r="T1203" i="16" a="1"/>
  <c r="U1205" i="16"/>
  <c r="T1205" i="16" a="1"/>
  <c r="U1207" i="16"/>
  <c r="T1207" i="16" a="1"/>
  <c r="U1209" i="16"/>
  <c r="T1209" i="16" a="1"/>
  <c r="U1211" i="16"/>
  <c r="T1211" i="16" a="1"/>
  <c r="U1213" i="16"/>
  <c r="T1213" i="16" a="1"/>
  <c r="U1215" i="16"/>
  <c r="T1215" i="16" a="1"/>
  <c r="U1217" i="16"/>
  <c r="T1217" i="16" a="1"/>
  <c r="U1219" i="16"/>
  <c r="T1219" i="16" a="1"/>
  <c r="U1221" i="16"/>
  <c r="T1221" i="16" a="1"/>
  <c r="U1223" i="16"/>
  <c r="T1223" i="16" a="1"/>
  <c r="U1225" i="16"/>
  <c r="T1225" i="16" a="1"/>
  <c r="U1227" i="16"/>
  <c r="T1227" i="16" a="1"/>
  <c r="U1229" i="16"/>
  <c r="T1229" i="16" a="1"/>
  <c r="U1231" i="16"/>
  <c r="T1231" i="16" a="1"/>
  <c r="U1233" i="16"/>
  <c r="T1233" i="16" a="1"/>
  <c r="U1235" i="16"/>
  <c r="T1235" i="16" a="1"/>
  <c r="U1237" i="16"/>
  <c r="T1237" i="16" a="1"/>
  <c r="U1239" i="16"/>
  <c r="T1239" i="16" a="1"/>
  <c r="U1241" i="16"/>
  <c r="T1241" i="16" a="1"/>
  <c r="U1243" i="16"/>
  <c r="T1243" i="16" a="1"/>
  <c r="U1245" i="16"/>
  <c r="T1245" i="16" a="1"/>
  <c r="U1247" i="16"/>
  <c r="T1247" i="16" a="1"/>
  <c r="U1249" i="16"/>
  <c r="T1249" i="16" a="1"/>
  <c r="U1251" i="16"/>
  <c r="T1251" i="16" a="1"/>
  <c r="U1253" i="16"/>
  <c r="T1253" i="16" a="1"/>
  <c r="U1255" i="16"/>
  <c r="T1255" i="16" a="1"/>
  <c r="U1257" i="16"/>
  <c r="T1257" i="16" a="1"/>
  <c r="U1259" i="16"/>
  <c r="T1259" i="16" a="1"/>
  <c r="U1261" i="16"/>
  <c r="T1261" i="16" a="1"/>
  <c r="U1263" i="16"/>
  <c r="T1263" i="16" a="1"/>
  <c r="U1265" i="16"/>
  <c r="T1265" i="16" a="1"/>
  <c r="U1267" i="16"/>
  <c r="T1267" i="16" a="1"/>
  <c r="U1269" i="16"/>
  <c r="T1269" i="16" a="1"/>
  <c r="U1271" i="16"/>
  <c r="T1271" i="16" a="1"/>
  <c r="U1273" i="16"/>
  <c r="T1273" i="16" a="1"/>
  <c r="U1275" i="16"/>
  <c r="T1275" i="16" a="1"/>
  <c r="U1277" i="16"/>
  <c r="T1277" i="16" a="1"/>
  <c r="U1279" i="16"/>
  <c r="T1279" i="16" a="1"/>
  <c r="U1281" i="16"/>
  <c r="T1281" i="16" a="1"/>
  <c r="U1283" i="16"/>
  <c r="T1283" i="16" a="1"/>
  <c r="U1285" i="16"/>
  <c r="T1285" i="16" a="1"/>
  <c r="U1287" i="16"/>
  <c r="T1287" i="16" a="1"/>
  <c r="U1289" i="16"/>
  <c r="T1289" i="16" a="1"/>
  <c r="U1291" i="16"/>
  <c r="T1291" i="16" a="1"/>
  <c r="U1293" i="16"/>
  <c r="T1293" i="16" a="1"/>
  <c r="U1295" i="16"/>
  <c r="T1295" i="16" a="1"/>
  <c r="U1297" i="16"/>
  <c r="T1297" i="16" a="1"/>
  <c r="U1299" i="16"/>
  <c r="T1299" i="16" a="1"/>
  <c r="U1303" i="16"/>
  <c r="T1303" i="16" a="1"/>
  <c r="U1305" i="16"/>
  <c r="T1305" i="16" a="1"/>
  <c r="U1307" i="16"/>
  <c r="T1307" i="16" a="1"/>
  <c r="U1311" i="16"/>
  <c r="T1311" i="16" a="1"/>
  <c r="U1315" i="16"/>
  <c r="T1315" i="16" a="1"/>
  <c r="U1319" i="16"/>
  <c r="T1319" i="16" a="1"/>
  <c r="U1323" i="16"/>
  <c r="T1323" i="16" a="1"/>
  <c r="U1327" i="16"/>
  <c r="T1327" i="16" a="1"/>
  <c r="U1331" i="16"/>
  <c r="T1331" i="16" a="1"/>
  <c r="U1335" i="16"/>
  <c r="T1335" i="16" a="1"/>
  <c r="U1339" i="16"/>
  <c r="T1339" i="16" a="1"/>
  <c r="U1343" i="16"/>
  <c r="T1343" i="16" a="1"/>
  <c r="U1347" i="16"/>
  <c r="T1347" i="16" a="1"/>
  <c r="U1351" i="16"/>
  <c r="T1351" i="16" a="1"/>
  <c r="U1355" i="16"/>
  <c r="T1355" i="16" a="1"/>
  <c r="U1359" i="16"/>
  <c r="T1359" i="16" a="1"/>
  <c r="U1363" i="16"/>
  <c r="T1363" i="16" a="1"/>
  <c r="U1367" i="16"/>
  <c r="T1367" i="16" a="1"/>
  <c r="U1371" i="16"/>
  <c r="T1371" i="16" a="1"/>
  <c r="U1373" i="16"/>
  <c r="T1373" i="16" a="1"/>
  <c r="U1377" i="16"/>
  <c r="T1377" i="16" a="1"/>
  <c r="U1381" i="16"/>
  <c r="T1381" i="16" a="1"/>
  <c r="U1383" i="16"/>
  <c r="T1383" i="16" a="1"/>
  <c r="U1385" i="16"/>
  <c r="T1385" i="16" a="1"/>
  <c r="U1387" i="16"/>
  <c r="T1387" i="16" a="1"/>
  <c r="U1389" i="16"/>
  <c r="T1389" i="16" a="1"/>
  <c r="U1391" i="16"/>
  <c r="T1391" i="16" a="1"/>
  <c r="U1393" i="16"/>
  <c r="T1393" i="16" a="1"/>
  <c r="U1395" i="16"/>
  <c r="T1395" i="16" a="1"/>
  <c r="U1397" i="16"/>
  <c r="T1397" i="16" a="1"/>
  <c r="U1399" i="16"/>
  <c r="T1399" i="16" a="1"/>
  <c r="U1401" i="16"/>
  <c r="T1401" i="16" a="1"/>
  <c r="U1403" i="16"/>
  <c r="T1403" i="16" a="1"/>
  <c r="U1405" i="16"/>
  <c r="T1405" i="16" a="1"/>
  <c r="U1407" i="16"/>
  <c r="T1407" i="16" a="1"/>
  <c r="U1409" i="16"/>
  <c r="T1409" i="16" a="1"/>
  <c r="U1411" i="16"/>
  <c r="T1411" i="16" a="1"/>
  <c r="U1413" i="16"/>
  <c r="T1413" i="16" a="1"/>
  <c r="U1415" i="16"/>
  <c r="T1415" i="16" a="1"/>
  <c r="U1417" i="16"/>
  <c r="T1417" i="16" a="1"/>
  <c r="U1419" i="16"/>
  <c r="T1419" i="16" a="1"/>
  <c r="U1421" i="16"/>
  <c r="T1421" i="16" a="1"/>
  <c r="U1423" i="16"/>
  <c r="T1423" i="16" a="1"/>
  <c r="U1425" i="16"/>
  <c r="T1425" i="16" a="1"/>
  <c r="U1427" i="16"/>
  <c r="T1427" i="16" a="1"/>
  <c r="U1429" i="16"/>
  <c r="T1429" i="16" a="1"/>
  <c r="U1431" i="16"/>
  <c r="T1431" i="16" a="1"/>
  <c r="U1433" i="16"/>
  <c r="T1433" i="16" a="1"/>
  <c r="U1435" i="16"/>
  <c r="T1435" i="16" a="1"/>
  <c r="U1437" i="16"/>
  <c r="T1437" i="16" a="1"/>
  <c r="U1439" i="16"/>
  <c r="T1439" i="16" a="1"/>
  <c r="U1441" i="16"/>
  <c r="T1441" i="16" a="1"/>
  <c r="U1443" i="16"/>
  <c r="T1443" i="16" a="1"/>
  <c r="U1445" i="16"/>
  <c r="T1445" i="16" a="1"/>
  <c r="U1447" i="16"/>
  <c r="T1447" i="16" a="1"/>
  <c r="U1449" i="16"/>
  <c r="T1449" i="16" a="1"/>
  <c r="U1451" i="16"/>
  <c r="T1451" i="16" a="1"/>
  <c r="U1453" i="16"/>
  <c r="T1453" i="16" a="1"/>
  <c r="U1455" i="16"/>
  <c r="T1455" i="16" a="1"/>
  <c r="U1457" i="16"/>
  <c r="T1457" i="16" a="1"/>
  <c r="U1459" i="16"/>
  <c r="T1459" i="16" a="1"/>
  <c r="U1461" i="16"/>
  <c r="T1461" i="16" a="1"/>
  <c r="U1463" i="16"/>
  <c r="T1463" i="16" a="1"/>
  <c r="U1465" i="16"/>
  <c r="T1465" i="16" a="1"/>
  <c r="U1467" i="16"/>
  <c r="T1467" i="16" a="1"/>
  <c r="U1469" i="16"/>
  <c r="T1469" i="16" a="1"/>
  <c r="U1471" i="16"/>
  <c r="T1471" i="16" a="1"/>
  <c r="U1473" i="16"/>
  <c r="T1473" i="16" a="1"/>
  <c r="U1475" i="16"/>
  <c r="T1475" i="16" a="1"/>
  <c r="U1477" i="16"/>
  <c r="T1477" i="16" a="1"/>
  <c r="U1479" i="16"/>
  <c r="T1479" i="16" a="1"/>
  <c r="U1481" i="16"/>
  <c r="T1481" i="16" a="1"/>
  <c r="U1483" i="16"/>
  <c r="T1483" i="16" a="1"/>
  <c r="U1485" i="16"/>
  <c r="T1485" i="16" a="1"/>
  <c r="U1487" i="16"/>
  <c r="T1487" i="16" a="1"/>
  <c r="U1489" i="16"/>
  <c r="T1489" i="16" a="1"/>
  <c r="U1491" i="16"/>
  <c r="T1491" i="16" a="1"/>
  <c r="U1493" i="16"/>
  <c r="T1493" i="16" a="1"/>
  <c r="U1495" i="16"/>
  <c r="T1495" i="16" a="1"/>
  <c r="U1497" i="16"/>
  <c r="T1497" i="16" a="1"/>
  <c r="U1501" i="16"/>
  <c r="T1501" i="16" a="1"/>
  <c r="U1503" i="16"/>
  <c r="T1503" i="16" a="1"/>
  <c r="U1505" i="16"/>
  <c r="T1505" i="16" a="1"/>
  <c r="U1507" i="16"/>
  <c r="T1507" i="16" a="1"/>
  <c r="U1511" i="16"/>
  <c r="T1511" i="16" a="1"/>
  <c r="U1513" i="16"/>
  <c r="T1513" i="16" a="1"/>
  <c r="U1517" i="16"/>
  <c r="T1517" i="16" a="1"/>
  <c r="U1521" i="16"/>
  <c r="T1521" i="16" a="1"/>
  <c r="U1525" i="16"/>
  <c r="T1525" i="16" a="1"/>
  <c r="U1529" i="16"/>
  <c r="T1529" i="16" a="1"/>
  <c r="U1533" i="16"/>
  <c r="T1533" i="16" a="1"/>
  <c r="U1539" i="16"/>
  <c r="T1539" i="16" a="1"/>
  <c r="U1543" i="16"/>
  <c r="T1543" i="16" a="1"/>
  <c r="U1545" i="16"/>
  <c r="T1545" i="16" a="1"/>
  <c r="U1549" i="16"/>
  <c r="T1549" i="16" a="1"/>
  <c r="U1553" i="16"/>
  <c r="T1553" i="16" a="1"/>
  <c r="U1557" i="16"/>
  <c r="T1557" i="16" a="1"/>
  <c r="U1561" i="16"/>
  <c r="T1561" i="16" a="1"/>
  <c r="U1565" i="16"/>
  <c r="T1565" i="16" a="1"/>
  <c r="U1569" i="16"/>
  <c r="T1569" i="16" a="1"/>
  <c r="U1573" i="16"/>
  <c r="T1573" i="16" a="1"/>
  <c r="U1579" i="16"/>
  <c r="T1579" i="16" a="1"/>
  <c r="U1583" i="16"/>
  <c r="T1583" i="16" a="1"/>
  <c r="U1587" i="16"/>
  <c r="T1587" i="16" a="1"/>
  <c r="U1591" i="16"/>
  <c r="T1591" i="16" a="1"/>
  <c r="U1595" i="16"/>
  <c r="T1595" i="16" a="1"/>
  <c r="U1599" i="16"/>
  <c r="T1599" i="16" a="1"/>
  <c r="U1603" i="16"/>
  <c r="T1603" i="16" a="1"/>
  <c r="U1607" i="16"/>
  <c r="T1607" i="16" a="1"/>
  <c r="U1611" i="16"/>
  <c r="T1611" i="16" a="1"/>
  <c r="U1615" i="16"/>
  <c r="T1615" i="16" a="1"/>
  <c r="U1619" i="16"/>
  <c r="T1619" i="16" a="1"/>
  <c r="U1623" i="16"/>
  <c r="T1623" i="16" a="1"/>
  <c r="U1627" i="16"/>
  <c r="T1627" i="16" a="1"/>
  <c r="U1631" i="16"/>
  <c r="T1631" i="16" a="1"/>
  <c r="U1635" i="16"/>
  <c r="T1635" i="16" a="1"/>
  <c r="U1639" i="16"/>
  <c r="T1639" i="16" a="1"/>
  <c r="U1643" i="16"/>
  <c r="T1643" i="16" a="1"/>
  <c r="U1647" i="16"/>
  <c r="T1647" i="16" a="1"/>
  <c r="U1651" i="16"/>
  <c r="T1651" i="16" a="1"/>
  <c r="U1655" i="16"/>
  <c r="T1655" i="16" a="1"/>
  <c r="U1659" i="16"/>
  <c r="T1659" i="16" a="1"/>
  <c r="U1663" i="16"/>
  <c r="T1663" i="16" a="1"/>
  <c r="U1667" i="16"/>
  <c r="T1667" i="16" a="1"/>
  <c r="U1671" i="16"/>
  <c r="T1671" i="16" a="1"/>
  <c r="U1675" i="16"/>
  <c r="T1675" i="16" a="1"/>
  <c r="U1679" i="16"/>
  <c r="T1679" i="16" a="1"/>
  <c r="U1683" i="16"/>
  <c r="T1683" i="16" a="1"/>
  <c r="U1687" i="16"/>
  <c r="T1687" i="16" a="1"/>
  <c r="U1691" i="16"/>
  <c r="T1691" i="16" a="1"/>
  <c r="U1695" i="16"/>
  <c r="T1695" i="16" a="1"/>
  <c r="U1699" i="16"/>
  <c r="T1699" i="16" a="1"/>
  <c r="U1703" i="16"/>
  <c r="T1703" i="16" a="1"/>
  <c r="U1707" i="16"/>
  <c r="T1707" i="16" a="1"/>
  <c r="U1711" i="16"/>
  <c r="T1711" i="16" a="1"/>
  <c r="U1715" i="16"/>
  <c r="T1715" i="16" a="1"/>
  <c r="U1719" i="16"/>
  <c r="T1719" i="16" a="1"/>
  <c r="U1723" i="16"/>
  <c r="T1723" i="16" a="1"/>
  <c r="U1727" i="16"/>
  <c r="T1727" i="16" a="1"/>
  <c r="U1731" i="16"/>
  <c r="T1731" i="16" a="1"/>
  <c r="U1735" i="16"/>
  <c r="T1735" i="16" a="1"/>
  <c r="U1739" i="16"/>
  <c r="T1739" i="16" a="1"/>
  <c r="U1743" i="16"/>
  <c r="T1743" i="16" a="1"/>
  <c r="U1747" i="16"/>
  <c r="T1747" i="16" a="1"/>
  <c r="U1751" i="16"/>
  <c r="T1751" i="16" a="1"/>
  <c r="U1755" i="16"/>
  <c r="T1755" i="16" a="1"/>
  <c r="U1759" i="16"/>
  <c r="T1759" i="16" a="1"/>
  <c r="U1763" i="16"/>
  <c r="T1763" i="16" a="1"/>
  <c r="U1769" i="16"/>
  <c r="T1769" i="16" a="1"/>
  <c r="U1773" i="16"/>
  <c r="T1773" i="16" a="1"/>
  <c r="U1777" i="16"/>
  <c r="T1777" i="16" a="1"/>
  <c r="U1781" i="16"/>
  <c r="T1781" i="16" a="1"/>
  <c r="U1785" i="16"/>
  <c r="T1785" i="16" a="1"/>
  <c r="U1789" i="16"/>
  <c r="T1789" i="16" a="1"/>
  <c r="U1793" i="16"/>
  <c r="T1793" i="16" a="1"/>
  <c r="U1795" i="16"/>
  <c r="T1795" i="16" a="1"/>
  <c r="U1799" i="16"/>
  <c r="T1799" i="16" a="1"/>
  <c r="U1803" i="16"/>
  <c r="T1803" i="16" a="1"/>
  <c r="U1807" i="16"/>
  <c r="T1807" i="16" a="1"/>
  <c r="U1811" i="16"/>
  <c r="T1811" i="16" a="1"/>
  <c r="U1815" i="16"/>
  <c r="T1815" i="16" a="1"/>
  <c r="U1819" i="16"/>
  <c r="T1819" i="16" a="1"/>
  <c r="U1823" i="16"/>
  <c r="T1823" i="16" a="1"/>
  <c r="U1827" i="16"/>
  <c r="T1827" i="16" a="1"/>
  <c r="U1831" i="16"/>
  <c r="T1831" i="16" a="1"/>
  <c r="U1835" i="16"/>
  <c r="T1835" i="16" a="1"/>
  <c r="U1868" i="16"/>
  <c r="T1868" i="16" a="1"/>
  <c r="U1870" i="16"/>
  <c r="T1870" i="16" a="1"/>
  <c r="U1872" i="16"/>
  <c r="T1872" i="16" a="1"/>
  <c r="U1874" i="16"/>
  <c r="T1874" i="16" a="1"/>
  <c r="U1876" i="16"/>
  <c r="T1876" i="16" a="1"/>
  <c r="U1878" i="16"/>
  <c r="T1878" i="16" a="1"/>
  <c r="U1880" i="16"/>
  <c r="T1880" i="16" a="1"/>
  <c r="U1882" i="16"/>
  <c r="T1882" i="16" a="1"/>
  <c r="U1884" i="16"/>
  <c r="T1884" i="16" a="1"/>
  <c r="U1886" i="16"/>
  <c r="T1886" i="16" a="1"/>
  <c r="U1888" i="16"/>
  <c r="T1888" i="16" a="1"/>
  <c r="U1890" i="16"/>
  <c r="T1890" i="16" a="1"/>
  <c r="U1892" i="16"/>
  <c r="T1892" i="16" a="1"/>
  <c r="U1894" i="16"/>
  <c r="T1894" i="16" a="1"/>
  <c r="U1896" i="16"/>
  <c r="T1896" i="16" a="1"/>
  <c r="U1898" i="16"/>
  <c r="T1898" i="16" a="1"/>
  <c r="U1900" i="16"/>
  <c r="T1900" i="16" a="1"/>
  <c r="U1902" i="16"/>
  <c r="T1902" i="16" a="1"/>
  <c r="U1904" i="16"/>
  <c r="T1904" i="16" a="1"/>
  <c r="U1906" i="16"/>
  <c r="T1906" i="16" a="1"/>
  <c r="U1908" i="16"/>
  <c r="T1908" i="16" a="1"/>
  <c r="U1910" i="16"/>
  <c r="T1910" i="16" a="1"/>
  <c r="U1912" i="16"/>
  <c r="T1912" i="16" a="1"/>
  <c r="U1914" i="16"/>
  <c r="T1914" i="16" a="1"/>
  <c r="U1916" i="16"/>
  <c r="T1916" i="16" a="1"/>
  <c r="U1918" i="16"/>
  <c r="T1918" i="16" a="1"/>
  <c r="U1920" i="16"/>
  <c r="T1920" i="16" a="1"/>
  <c r="U1922" i="16"/>
  <c r="T1922" i="16" a="1"/>
  <c r="U1924" i="16"/>
  <c r="T1924" i="16" a="1"/>
  <c r="U1926" i="16"/>
  <c r="T1926" i="16" a="1"/>
  <c r="U1928" i="16"/>
  <c r="T1928" i="16" a="1"/>
  <c r="U1930" i="16"/>
  <c r="T1930" i="16" a="1"/>
  <c r="U1932" i="16"/>
  <c r="T1932" i="16" a="1"/>
  <c r="U1934" i="16"/>
  <c r="T1934" i="16" a="1"/>
  <c r="U1936" i="16"/>
  <c r="T1936" i="16" a="1"/>
  <c r="U1938" i="16"/>
  <c r="T1938" i="16" a="1"/>
  <c r="U1940" i="16"/>
  <c r="T1940" i="16" a="1"/>
  <c r="U1942" i="16"/>
  <c r="T1942" i="16" a="1"/>
  <c r="U1944" i="16"/>
  <c r="T1944" i="16" a="1"/>
  <c r="U1946" i="16"/>
  <c r="T1946" i="16" a="1"/>
  <c r="U1948" i="16"/>
  <c r="T1948" i="16" a="1"/>
  <c r="U1950" i="16"/>
  <c r="T1950" i="16" a="1"/>
  <c r="U1952" i="16"/>
  <c r="T1952" i="16" a="1"/>
  <c r="U1954" i="16"/>
  <c r="T1954" i="16" a="1"/>
  <c r="U1956" i="16"/>
  <c r="T1956" i="16" a="1"/>
  <c r="U1958" i="16"/>
  <c r="T1958" i="16" a="1"/>
  <c r="U1960" i="16"/>
  <c r="T1960" i="16" a="1"/>
  <c r="U1962" i="16"/>
  <c r="T1962" i="16" a="1"/>
  <c r="U1964" i="16"/>
  <c r="T1964" i="16" a="1"/>
  <c r="U1966" i="16"/>
  <c r="T1966" i="16" a="1"/>
  <c r="U1968" i="16"/>
  <c r="T1968" i="16" a="1"/>
  <c r="U1970" i="16"/>
  <c r="T1970" i="16" a="1"/>
  <c r="U1972" i="16"/>
  <c r="T1972" i="16" a="1"/>
  <c r="U1974" i="16"/>
  <c r="T1974" i="16" a="1"/>
  <c r="U1976" i="16"/>
  <c r="T1976" i="16" a="1"/>
  <c r="U1978" i="16"/>
  <c r="T1978" i="16" a="1"/>
  <c r="U1980" i="16"/>
  <c r="T1980" i="16" a="1"/>
  <c r="U1982" i="16"/>
  <c r="T1982" i="16" a="1"/>
  <c r="U1984" i="16"/>
  <c r="T1984" i="16" a="1"/>
  <c r="U1986" i="16"/>
  <c r="T1986" i="16" a="1"/>
  <c r="U1988" i="16"/>
  <c r="T1988" i="16" a="1"/>
  <c r="U1990" i="16"/>
  <c r="T1990" i="16" a="1"/>
  <c r="U1992" i="16"/>
  <c r="T1992" i="16" a="1"/>
  <c r="U1994" i="16"/>
  <c r="T1994" i="16" a="1"/>
  <c r="U1996" i="16"/>
  <c r="T1996" i="16" a="1"/>
  <c r="U1998" i="16"/>
  <c r="T1998" i="16" a="1"/>
  <c r="U2000" i="16"/>
  <c r="T2000" i="16" a="1"/>
  <c r="U2002" i="16"/>
  <c r="T2002" i="16" a="1"/>
  <c r="U2004" i="16"/>
  <c r="T2004" i="16" a="1"/>
  <c r="U2006" i="16"/>
  <c r="T2006" i="16" a="1"/>
  <c r="U2008" i="16"/>
  <c r="T2008" i="16" a="1"/>
  <c r="U2010" i="16"/>
  <c r="T2010" i="16" a="1"/>
  <c r="U2012" i="16"/>
  <c r="T2012" i="16" a="1"/>
  <c r="U2014" i="16"/>
  <c r="T2014" i="16" a="1"/>
  <c r="U2016" i="16"/>
  <c r="T2016" i="16" a="1"/>
  <c r="U2018" i="16"/>
  <c r="T2018" i="16" a="1"/>
  <c r="U2020" i="16"/>
  <c r="T2020" i="16" a="1"/>
  <c r="U2022" i="16"/>
  <c r="T2022" i="16" a="1"/>
  <c r="U2024" i="16"/>
  <c r="T2024" i="16" a="1"/>
  <c r="U2026" i="16"/>
  <c r="T2026" i="16" a="1"/>
  <c r="U2028" i="16"/>
  <c r="T2028" i="16" a="1"/>
  <c r="U2030" i="16"/>
  <c r="T2030" i="16" a="1"/>
  <c r="U2032" i="16"/>
  <c r="T2032" i="16" a="1"/>
  <c r="U2034" i="16"/>
  <c r="T2034" i="16" a="1"/>
  <c r="U2036" i="16"/>
  <c r="T2036" i="16" a="1"/>
  <c r="U2038" i="16"/>
  <c r="T2038" i="16" a="1"/>
  <c r="U2040" i="16"/>
  <c r="T2040" i="16" a="1"/>
  <c r="U2042" i="16"/>
  <c r="T2042" i="16" a="1"/>
  <c r="U2044" i="16"/>
  <c r="T2044" i="16" a="1"/>
  <c r="U2046" i="16"/>
  <c r="T2046" i="16" a="1"/>
  <c r="U2048" i="16"/>
  <c r="T2048" i="16" a="1"/>
  <c r="U2050" i="16"/>
  <c r="T2050" i="16" a="1"/>
  <c r="U2052" i="16"/>
  <c r="T2052" i="16" a="1"/>
  <c r="U2054" i="16"/>
  <c r="T2054" i="16" a="1"/>
  <c r="U2056" i="16"/>
  <c r="T2056" i="16" a="1"/>
  <c r="U2058" i="16"/>
  <c r="T2058" i="16" a="1"/>
  <c r="U2060" i="16"/>
  <c r="T2060" i="16" a="1"/>
  <c r="U2062" i="16"/>
  <c r="T2062" i="16" a="1"/>
  <c r="U2064" i="16"/>
  <c r="T2064" i="16" a="1"/>
  <c r="U2066" i="16"/>
  <c r="T2066" i="16" a="1"/>
  <c r="U2068" i="16"/>
  <c r="T2068" i="16" a="1"/>
  <c r="U2070" i="16"/>
  <c r="T2070" i="16" a="1"/>
  <c r="U2072" i="16"/>
  <c r="T2072" i="16" a="1"/>
  <c r="U2074" i="16"/>
  <c r="T2074" i="16" a="1"/>
  <c r="U2076" i="16"/>
  <c r="T2076" i="16" a="1"/>
  <c r="U2078" i="16"/>
  <c r="T2078" i="16" a="1"/>
  <c r="U2080" i="16"/>
  <c r="T2080" i="16" a="1"/>
  <c r="U2082" i="16"/>
  <c r="T2082" i="16" a="1"/>
  <c r="U2084" i="16"/>
  <c r="T2084" i="16" a="1"/>
  <c r="U2086" i="16"/>
  <c r="T2086" i="16" a="1"/>
  <c r="U2088" i="16"/>
  <c r="T2088" i="16" a="1"/>
  <c r="U2090" i="16"/>
  <c r="T2090" i="16" a="1"/>
  <c r="U2092" i="16"/>
  <c r="T2092" i="16" a="1"/>
  <c r="U2094" i="16"/>
  <c r="T2094" i="16" a="1"/>
  <c r="U2096" i="16"/>
  <c r="T2096" i="16" a="1"/>
  <c r="U2098" i="16"/>
  <c r="T2098" i="16" a="1"/>
  <c r="U2100" i="16"/>
  <c r="T2100" i="16" a="1"/>
  <c r="U2102" i="16"/>
  <c r="T2102" i="16" a="1"/>
  <c r="U2104" i="16"/>
  <c r="T2104" i="16" a="1"/>
  <c r="U2106" i="16"/>
  <c r="T2106" i="16" a="1"/>
  <c r="U2108" i="16"/>
  <c r="T2108" i="16" a="1"/>
  <c r="U2110" i="16"/>
  <c r="T2110" i="16" a="1"/>
  <c r="U2112" i="16"/>
  <c r="T2112" i="16" a="1"/>
  <c r="U2114" i="16"/>
  <c r="T2114" i="16" a="1"/>
  <c r="U2116" i="16"/>
  <c r="T2116" i="16" a="1"/>
  <c r="U2118" i="16"/>
  <c r="T2118" i="16" a="1"/>
  <c r="U2120" i="16"/>
  <c r="T2120" i="16" a="1"/>
  <c r="U2122" i="16"/>
  <c r="T2122" i="16" a="1"/>
  <c r="U2124" i="16"/>
  <c r="T2124" i="16" a="1"/>
  <c r="U2126" i="16"/>
  <c r="T2126" i="16" a="1"/>
  <c r="U2128" i="16"/>
  <c r="T2128" i="16" a="1"/>
  <c r="U2130" i="16"/>
  <c r="T2130" i="16" a="1"/>
  <c r="U2132" i="16"/>
  <c r="T2132" i="16" a="1"/>
  <c r="U2134" i="16"/>
  <c r="T2134" i="16" a="1"/>
  <c r="U2136" i="16"/>
  <c r="T2136" i="16" a="1"/>
  <c r="U2138" i="16"/>
  <c r="T2138" i="16" a="1"/>
  <c r="U2140" i="16"/>
  <c r="T2140" i="16" a="1"/>
  <c r="U2142" i="16"/>
  <c r="T2142" i="16" a="1"/>
  <c r="U2144" i="16"/>
  <c r="T2144" i="16" a="1"/>
  <c r="U2146" i="16"/>
  <c r="T2146" i="16" a="1"/>
  <c r="U2148" i="16"/>
  <c r="T2148" i="16" a="1"/>
  <c r="U2150" i="16"/>
  <c r="T2150" i="16" a="1"/>
  <c r="U2152" i="16"/>
  <c r="T2152" i="16" a="1"/>
  <c r="U2154" i="16"/>
  <c r="T2154" i="16" a="1"/>
  <c r="U2156" i="16"/>
  <c r="T2156" i="16" a="1"/>
  <c r="U2158" i="16"/>
  <c r="T2158" i="16" a="1"/>
  <c r="U2160" i="16"/>
  <c r="T2160" i="16" a="1"/>
  <c r="U2162" i="16"/>
  <c r="T2162" i="16" a="1"/>
  <c r="U2164" i="16"/>
  <c r="T2164" i="16" a="1"/>
  <c r="U2166" i="16"/>
  <c r="T2166" i="16" a="1"/>
  <c r="U2168" i="16"/>
  <c r="T2168" i="16" a="1"/>
  <c r="U2170" i="16"/>
  <c r="T2170" i="16" a="1"/>
  <c r="U2172" i="16"/>
  <c r="T2172" i="16" a="1"/>
  <c r="U2174" i="16"/>
  <c r="T2174" i="16" a="1"/>
  <c r="U2176" i="16"/>
  <c r="T2176" i="16" a="1"/>
  <c r="U2178" i="16"/>
  <c r="T2178" i="16" a="1"/>
  <c r="U2180" i="16"/>
  <c r="T2180" i="16" a="1"/>
  <c r="U2182" i="16"/>
  <c r="T2182" i="16" a="1"/>
  <c r="U2184" i="16"/>
  <c r="T2184" i="16" a="1"/>
  <c r="U2186" i="16"/>
  <c r="T2186" i="16" a="1"/>
  <c r="U2188" i="16"/>
  <c r="T2188" i="16" a="1"/>
  <c r="U2190" i="16"/>
  <c r="T2190" i="16" a="1"/>
  <c r="U2192" i="16"/>
  <c r="T2192" i="16" a="1"/>
  <c r="U2194" i="16"/>
  <c r="T2194" i="16" a="1"/>
  <c r="U2196" i="16"/>
  <c r="T2196" i="16" a="1"/>
  <c r="U2198" i="16"/>
  <c r="T2198" i="16" a="1"/>
  <c r="U2200" i="16"/>
  <c r="T2200" i="16" a="1"/>
  <c r="U2202" i="16"/>
  <c r="T2202" i="16" a="1"/>
  <c r="U2204" i="16"/>
  <c r="T2204" i="16" a="1"/>
  <c r="U2206" i="16"/>
  <c r="T2206" i="16" a="1"/>
  <c r="U2208" i="16"/>
  <c r="T2208" i="16" a="1"/>
  <c r="U2210" i="16"/>
  <c r="T2210" i="16" a="1"/>
  <c r="U2212" i="16"/>
  <c r="T2212" i="16" a="1"/>
  <c r="U2214" i="16"/>
  <c r="T2214" i="16" a="1"/>
  <c r="U2216" i="16"/>
  <c r="T2216" i="16" a="1"/>
  <c r="U2218" i="16"/>
  <c r="T2218" i="16" a="1"/>
  <c r="U2220" i="16"/>
  <c r="T2220" i="16" a="1"/>
  <c r="U2222" i="16"/>
  <c r="T2222" i="16" a="1"/>
  <c r="U2224" i="16"/>
  <c r="T2224" i="16" a="1"/>
  <c r="U2226" i="16"/>
  <c r="T2226" i="16" a="1"/>
  <c r="U2228" i="16"/>
  <c r="T2228" i="16" a="1"/>
  <c r="U2230" i="16"/>
  <c r="T2230" i="16" a="1"/>
  <c r="U2232" i="16"/>
  <c r="T2232" i="16" a="1"/>
  <c r="U2234" i="16"/>
  <c r="T2234" i="16" a="1"/>
  <c r="U2236" i="16"/>
  <c r="T2236" i="16" a="1"/>
  <c r="U2238" i="16"/>
  <c r="T2238" i="16" a="1"/>
  <c r="U2240" i="16"/>
  <c r="T2240" i="16" a="1"/>
  <c r="U2242" i="16"/>
  <c r="T2242" i="16" a="1"/>
  <c r="U2244" i="16"/>
  <c r="T2244" i="16" a="1"/>
  <c r="U2246" i="16"/>
  <c r="T2246" i="16" a="1"/>
  <c r="U2248" i="16"/>
  <c r="T2248" i="16" a="1"/>
  <c r="U2250" i="16"/>
  <c r="T2250" i="16" a="1"/>
  <c r="U2252" i="16"/>
  <c r="T2252" i="16" a="1"/>
  <c r="U2254" i="16"/>
  <c r="T2254" i="16" a="1"/>
  <c r="U2256" i="16"/>
  <c r="T2256" i="16" a="1"/>
  <c r="U2258" i="16"/>
  <c r="T2258" i="16" a="1"/>
  <c r="U2260" i="16"/>
  <c r="T2260" i="16" a="1"/>
  <c r="U2262" i="16"/>
  <c r="T2262" i="16" a="1"/>
  <c r="U2264" i="16"/>
  <c r="T2264" i="16" a="1"/>
  <c r="U2266" i="16"/>
  <c r="T2266" i="16" a="1"/>
  <c r="U2268" i="16"/>
  <c r="T2268" i="16" a="1"/>
  <c r="U2270" i="16"/>
  <c r="T2270" i="16" a="1"/>
  <c r="U2272" i="16"/>
  <c r="T2272" i="16" a="1"/>
  <c r="U2274" i="16"/>
  <c r="T2274" i="16" a="1"/>
  <c r="U2276" i="16"/>
  <c r="T2276" i="16" a="1"/>
  <c r="U2278" i="16"/>
  <c r="T2278" i="16" a="1"/>
  <c r="U2280" i="16"/>
  <c r="T2280" i="16" a="1"/>
  <c r="U2282" i="16"/>
  <c r="T2282" i="16" a="1"/>
  <c r="U2284" i="16"/>
  <c r="T2284" i="16" a="1"/>
  <c r="U2286" i="16"/>
  <c r="T2286" i="16" a="1"/>
  <c r="U2288" i="16"/>
  <c r="T2288" i="16" a="1"/>
  <c r="U2290" i="16"/>
  <c r="T2290" i="16" a="1"/>
  <c r="U2292" i="16"/>
  <c r="T2292" i="16" a="1"/>
  <c r="U2294" i="16"/>
  <c r="T2294" i="16" a="1"/>
  <c r="U2296" i="16"/>
  <c r="T2296" i="16" a="1"/>
  <c r="U2298" i="16"/>
  <c r="T2298" i="16" a="1"/>
  <c r="U2300" i="16"/>
  <c r="T2300" i="16" a="1"/>
  <c r="U2302" i="16"/>
  <c r="T2302" i="16" a="1"/>
  <c r="U2304" i="16"/>
  <c r="T2304" i="16" a="1"/>
  <c r="U2306" i="16"/>
  <c r="T2306" i="16" a="1"/>
  <c r="U2308" i="16"/>
  <c r="T2308" i="16" a="1"/>
  <c r="U2310" i="16"/>
  <c r="T2310" i="16" a="1"/>
  <c r="U2312" i="16"/>
  <c r="T2312" i="16" a="1"/>
  <c r="U2314" i="16"/>
  <c r="T2314" i="16" a="1"/>
  <c r="U2316" i="16"/>
  <c r="T2316" i="16" a="1"/>
  <c r="U2318" i="16"/>
  <c r="T2318" i="16" a="1"/>
  <c r="U2320" i="16"/>
  <c r="T2320" i="16" a="1"/>
  <c r="U2322" i="16"/>
  <c r="T2322" i="16" a="1"/>
  <c r="U2324" i="16"/>
  <c r="T2324" i="16" a="1"/>
  <c r="U2326" i="16"/>
  <c r="T2326" i="16" a="1"/>
  <c r="U2328" i="16"/>
  <c r="T2328" i="16" a="1"/>
  <c r="U2330" i="16"/>
  <c r="T2330" i="16" a="1"/>
  <c r="U2332" i="16"/>
  <c r="T2332" i="16" a="1"/>
  <c r="U2334" i="16"/>
  <c r="T2334" i="16" a="1"/>
  <c r="U2336" i="16"/>
  <c r="T2336" i="16" a="1"/>
  <c r="U2338" i="16"/>
  <c r="T2338" i="16" a="1"/>
  <c r="U2340" i="16"/>
  <c r="T2340" i="16" a="1"/>
  <c r="U2342" i="16"/>
  <c r="T2342" i="16" a="1"/>
  <c r="U2344" i="16"/>
  <c r="T2344" i="16" a="1"/>
  <c r="U2346" i="16"/>
  <c r="T2346" i="16" a="1"/>
  <c r="U2348" i="16"/>
  <c r="T2348" i="16" a="1"/>
  <c r="U2350" i="16"/>
  <c r="T2350" i="16" a="1"/>
  <c r="U2352" i="16"/>
  <c r="T2352" i="16" a="1"/>
  <c r="U2354" i="16"/>
  <c r="T2354" i="16" a="1"/>
  <c r="U2356" i="16"/>
  <c r="T2356" i="16" a="1"/>
  <c r="U2358" i="16"/>
  <c r="T2358" i="16" a="1"/>
  <c r="U2360" i="16"/>
  <c r="T2360" i="16" a="1"/>
  <c r="U2362" i="16"/>
  <c r="T2362" i="16" a="1"/>
  <c r="U2364" i="16"/>
  <c r="T2364" i="16" a="1"/>
  <c r="U2366" i="16"/>
  <c r="T2366" i="16" a="1"/>
  <c r="U2368" i="16"/>
  <c r="T2368" i="16" a="1"/>
  <c r="U2370" i="16"/>
  <c r="T2370" i="16" a="1"/>
  <c r="U2372" i="16"/>
  <c r="T2372" i="16" a="1"/>
  <c r="U2374" i="16"/>
  <c r="T2374" i="16" a="1"/>
  <c r="U2376" i="16"/>
  <c r="T2376" i="16" a="1"/>
  <c r="U2378" i="16"/>
  <c r="T2378" i="16" a="1"/>
  <c r="U2380" i="16"/>
  <c r="T2380" i="16" a="1"/>
  <c r="U2382" i="16"/>
  <c r="T2382" i="16" a="1"/>
  <c r="U2384" i="16"/>
  <c r="T2384" i="16" a="1"/>
  <c r="U2386" i="16"/>
  <c r="T2386" i="16" a="1"/>
  <c r="U2388" i="16"/>
  <c r="T2388" i="16" a="1"/>
  <c r="U2390" i="16"/>
  <c r="T2390" i="16" a="1"/>
  <c r="U2392" i="16"/>
  <c r="T2392" i="16" a="1"/>
  <c r="U2394" i="16"/>
  <c r="T2394" i="16" a="1"/>
  <c r="U2396" i="16"/>
  <c r="T2396" i="16" a="1"/>
  <c r="U2398" i="16"/>
  <c r="T2398" i="16" a="1"/>
  <c r="U2400" i="16"/>
  <c r="T2400" i="16" a="1"/>
  <c r="U2402" i="16"/>
  <c r="T2402" i="16" a="1"/>
  <c r="U2404" i="16"/>
  <c r="T2404" i="16" a="1"/>
  <c r="U2406" i="16"/>
  <c r="T2406" i="16" a="1"/>
  <c r="U2408" i="16"/>
  <c r="T2408" i="16" a="1"/>
  <c r="U2410" i="16"/>
  <c r="T2410" i="16" a="1"/>
  <c r="U2412" i="16"/>
  <c r="T2412" i="16" a="1"/>
  <c r="U2414" i="16"/>
  <c r="T2414" i="16" a="1"/>
  <c r="U2416" i="16"/>
  <c r="T2416" i="16" a="1"/>
  <c r="U2418" i="16"/>
  <c r="T2418" i="16" a="1"/>
  <c r="U2420" i="16"/>
  <c r="T2420" i="16" a="1"/>
  <c r="U2422" i="16"/>
  <c r="T2422" i="16" a="1"/>
  <c r="U2424" i="16"/>
  <c r="T2424" i="16" a="1"/>
  <c r="U2426" i="16"/>
  <c r="T2426" i="16" a="1"/>
  <c r="U2428" i="16"/>
  <c r="T2428" i="16" a="1"/>
  <c r="U2430" i="16"/>
  <c r="T2430" i="16" a="1"/>
  <c r="U2432" i="16"/>
  <c r="T2432" i="16" a="1"/>
  <c r="U2434" i="16"/>
  <c r="T2434" i="16" a="1"/>
  <c r="U2436" i="16"/>
  <c r="T2436" i="16" a="1"/>
  <c r="U2438" i="16"/>
  <c r="T2438" i="16" a="1"/>
  <c r="U2440" i="16"/>
  <c r="T2440" i="16" a="1"/>
  <c r="U2442" i="16"/>
  <c r="T2442" i="16" a="1"/>
  <c r="U2444" i="16"/>
  <c r="T2444" i="16" a="1"/>
  <c r="U2446" i="16"/>
  <c r="T2446" i="16" a="1"/>
  <c r="U2448" i="16"/>
  <c r="T2448" i="16" a="1"/>
  <c r="U2450" i="16"/>
  <c r="T2450" i="16" a="1"/>
  <c r="U1843" i="16"/>
  <c r="T1843" i="16" a="1"/>
  <c r="U1849" i="16"/>
  <c r="T1849" i="16" a="1"/>
  <c r="U1853" i="16"/>
  <c r="T1853" i="16" a="1"/>
  <c r="U1857" i="16"/>
  <c r="T1857" i="16" a="1"/>
  <c r="U1861" i="16"/>
  <c r="T1861" i="16" a="1"/>
  <c r="U1865" i="16"/>
  <c r="T1865" i="16" a="1"/>
  <c r="U1869" i="16"/>
  <c r="T1869" i="16" a="1"/>
  <c r="U1873" i="16"/>
  <c r="T1873" i="16" a="1"/>
  <c r="U1877" i="16"/>
  <c r="T1877" i="16" a="1"/>
  <c r="U1881" i="16"/>
  <c r="T1881" i="16" a="1"/>
  <c r="U1885" i="16"/>
  <c r="T1885" i="16" a="1"/>
  <c r="U1889" i="16"/>
  <c r="T1889" i="16" a="1"/>
  <c r="U1893" i="16"/>
  <c r="T1893" i="16" a="1"/>
  <c r="U1895" i="16"/>
  <c r="T1895" i="16" a="1"/>
  <c r="U1899" i="16"/>
  <c r="T1899" i="16" a="1"/>
  <c r="U1903" i="16"/>
  <c r="T1903" i="16" a="1"/>
  <c r="U1907" i="16"/>
  <c r="T1907" i="16" a="1"/>
  <c r="U1911" i="16"/>
  <c r="T1911" i="16" a="1"/>
  <c r="U1915" i="16"/>
  <c r="T1915" i="16" a="1"/>
  <c r="U1919" i="16"/>
  <c r="T1919" i="16" a="1"/>
  <c r="U1923" i="16"/>
  <c r="T1923" i="16" a="1"/>
  <c r="U1927" i="16"/>
  <c r="T1927" i="16" a="1"/>
  <c r="U1931" i="16"/>
  <c r="T1931" i="16" a="1"/>
  <c r="U1935" i="16"/>
  <c r="T1935" i="16" a="1"/>
  <c r="U1939" i="16"/>
  <c r="T1939" i="16" a="1"/>
  <c r="U1943" i="16"/>
  <c r="T1943" i="16" a="1"/>
  <c r="U1947" i="16"/>
  <c r="T1947" i="16" a="1"/>
  <c r="U1951" i="16"/>
  <c r="T1951" i="16" a="1"/>
  <c r="U1955" i="16"/>
  <c r="T1955" i="16" a="1"/>
  <c r="U1959" i="16"/>
  <c r="T1959" i="16" a="1"/>
  <c r="U1963" i="16"/>
  <c r="T1963" i="16" a="1"/>
  <c r="U1967" i="16"/>
  <c r="T1967" i="16" a="1"/>
  <c r="U1971" i="16"/>
  <c r="T1971" i="16" a="1"/>
  <c r="U1975" i="16"/>
  <c r="T1975" i="16" a="1"/>
  <c r="U1979" i="16"/>
  <c r="T1979" i="16" a="1"/>
  <c r="U1983" i="16"/>
  <c r="T1983" i="16" a="1"/>
  <c r="U1987" i="16"/>
  <c r="T1987" i="16" a="1"/>
  <c r="U1993" i="16"/>
  <c r="T1993" i="16" a="1"/>
  <c r="U1997" i="16"/>
  <c r="T1997" i="16" a="1"/>
  <c r="U1999" i="16"/>
  <c r="T1999" i="16" a="1"/>
  <c r="U2003" i="16"/>
  <c r="T2003" i="16" a="1"/>
  <c r="U2009" i="16"/>
  <c r="T2009" i="16" a="1"/>
  <c r="U2013" i="16"/>
  <c r="T2013" i="16" a="1"/>
  <c r="U2015" i="16"/>
  <c r="T2015" i="16" a="1"/>
  <c r="U2019" i="16"/>
  <c r="T2019" i="16" a="1"/>
  <c r="U2023" i="16"/>
  <c r="T2023" i="16" a="1"/>
  <c r="U2027" i="16"/>
  <c r="T2027" i="16" a="1"/>
  <c r="U2031" i="16"/>
  <c r="T2031" i="16" a="1"/>
  <c r="U2035" i="16"/>
  <c r="T2035" i="16" a="1"/>
  <c r="U2039" i="16"/>
  <c r="T2039" i="16" a="1"/>
  <c r="U2043" i="16"/>
  <c r="T2043" i="16" a="1"/>
  <c r="U2047" i="16"/>
  <c r="T2047" i="16" a="1"/>
  <c r="U2051" i="16"/>
  <c r="T2051" i="16" a="1"/>
  <c r="U2055" i="16"/>
  <c r="T2055" i="16" a="1"/>
  <c r="U2059" i="16"/>
  <c r="T2059" i="16" a="1"/>
  <c r="U2067" i="16"/>
  <c r="T2067" i="16" a="1"/>
  <c r="U2071" i="16"/>
  <c r="T2071" i="16" a="1"/>
  <c r="U2075" i="16"/>
  <c r="T2075" i="16" a="1"/>
  <c r="U2079" i="16"/>
  <c r="T2079" i="16" a="1"/>
  <c r="U2081" i="16"/>
  <c r="T2081" i="16" a="1"/>
  <c r="U2083" i="16"/>
  <c r="T2083" i="16" a="1"/>
  <c r="U2085" i="16"/>
  <c r="T2085" i="16" a="1"/>
  <c r="U2087" i="16"/>
  <c r="T2087" i="16" a="1"/>
  <c r="U2089" i="16"/>
  <c r="T2089" i="16" a="1"/>
  <c r="U2091" i="16"/>
  <c r="T2091" i="16" a="1"/>
  <c r="U2093" i="16"/>
  <c r="T2093" i="16" a="1"/>
  <c r="U2095" i="16"/>
  <c r="T2095" i="16" a="1"/>
  <c r="U2097" i="16"/>
  <c r="T2097" i="16" a="1"/>
  <c r="U2099" i="16"/>
  <c r="T2099" i="16" a="1"/>
  <c r="U2101" i="16"/>
  <c r="T2101" i="16" a="1"/>
  <c r="U2103" i="16"/>
  <c r="T2103" i="16" a="1"/>
  <c r="U2105" i="16"/>
  <c r="T2105" i="16" a="1"/>
  <c r="U2107" i="16"/>
  <c r="T2107" i="16" a="1"/>
  <c r="U2109" i="16"/>
  <c r="T2109" i="16" a="1"/>
  <c r="U2111" i="16"/>
  <c r="T2111" i="16" a="1"/>
  <c r="U2113" i="16"/>
  <c r="T2113" i="16" a="1"/>
  <c r="U2115" i="16"/>
  <c r="T2115" i="16" a="1"/>
  <c r="U2117" i="16"/>
  <c r="T2117" i="16" a="1"/>
  <c r="U2119" i="16"/>
  <c r="T2119" i="16" a="1"/>
  <c r="U2121" i="16"/>
  <c r="T2121" i="16" a="1"/>
  <c r="U2123" i="16"/>
  <c r="T2123" i="16" a="1"/>
  <c r="U2125" i="16"/>
  <c r="T2125" i="16" a="1"/>
  <c r="U2127" i="16"/>
  <c r="T2127" i="16" a="1"/>
  <c r="U2129" i="16"/>
  <c r="T2129" i="16" a="1"/>
  <c r="U2131" i="16"/>
  <c r="T2131" i="16" a="1"/>
  <c r="U2133" i="16"/>
  <c r="T2133" i="16" a="1"/>
  <c r="U2135" i="16"/>
  <c r="T2135" i="16" a="1"/>
  <c r="U2137" i="16"/>
  <c r="T2137" i="16" a="1"/>
  <c r="U2139" i="16"/>
  <c r="T2139" i="16" a="1"/>
  <c r="U2141" i="16"/>
  <c r="T2141" i="16" a="1"/>
  <c r="U2143" i="16"/>
  <c r="T2143" i="16" a="1"/>
  <c r="U2145" i="16"/>
  <c r="T2145" i="16" a="1"/>
  <c r="U2147" i="16"/>
  <c r="T2147" i="16" a="1"/>
  <c r="U2149" i="16"/>
  <c r="T2149" i="16" a="1"/>
  <c r="U2151" i="16"/>
  <c r="T2151" i="16" a="1"/>
  <c r="U2153" i="16"/>
  <c r="T2153" i="16" a="1"/>
  <c r="U2155" i="16"/>
  <c r="T2155" i="16" a="1"/>
  <c r="U2157" i="16"/>
  <c r="T2157" i="16" a="1"/>
  <c r="U2159" i="16"/>
  <c r="T2159" i="16" a="1"/>
  <c r="U2161" i="16"/>
  <c r="T2161" i="16" a="1"/>
  <c r="U2163" i="16"/>
  <c r="T2163" i="16" a="1"/>
  <c r="U2165" i="16"/>
  <c r="T2165" i="16" a="1"/>
  <c r="U2167" i="16"/>
  <c r="T2167" i="16" a="1"/>
  <c r="U2169" i="16"/>
  <c r="T2169" i="16" a="1"/>
  <c r="U2171" i="16"/>
  <c r="T2171" i="16" a="1"/>
  <c r="U2173" i="16"/>
  <c r="T2173" i="16" a="1"/>
  <c r="U2175" i="16"/>
  <c r="T2175" i="16" a="1"/>
  <c r="U2177" i="16"/>
  <c r="T2177" i="16" a="1"/>
  <c r="U2179" i="16"/>
  <c r="T2179" i="16" a="1"/>
  <c r="U2181" i="16"/>
  <c r="T2181" i="16" a="1"/>
  <c r="U2183" i="16"/>
  <c r="T2183" i="16" a="1"/>
  <c r="U2185" i="16"/>
  <c r="T2185" i="16" a="1"/>
  <c r="U2187" i="16"/>
  <c r="T2187" i="16" a="1"/>
  <c r="U2189" i="16"/>
  <c r="T2189" i="16" a="1"/>
  <c r="U2191" i="16"/>
  <c r="T2191" i="16" a="1"/>
  <c r="U2193" i="16"/>
  <c r="T2193" i="16" a="1"/>
  <c r="U2195" i="16"/>
  <c r="T2195" i="16" a="1"/>
  <c r="U2197" i="16"/>
  <c r="T2197" i="16" a="1"/>
  <c r="U2199" i="16"/>
  <c r="T2199" i="16" a="1"/>
  <c r="U2201" i="16"/>
  <c r="T2201" i="16" a="1"/>
  <c r="U2203" i="16"/>
  <c r="T2203" i="16" a="1"/>
  <c r="U2205" i="16"/>
  <c r="T2205" i="16" a="1"/>
  <c r="U2207" i="16"/>
  <c r="T2207" i="16" a="1"/>
  <c r="U2209" i="16"/>
  <c r="T2209" i="16" a="1"/>
  <c r="U2211" i="16"/>
  <c r="T2211" i="16" a="1"/>
  <c r="U2213" i="16"/>
  <c r="T2213" i="16" a="1"/>
  <c r="U2215" i="16"/>
  <c r="T2215" i="16" a="1"/>
  <c r="U2217" i="16"/>
  <c r="T2217" i="16" a="1"/>
  <c r="U2219" i="16"/>
  <c r="T2219" i="16" a="1"/>
  <c r="U2221" i="16"/>
  <c r="T2221" i="16" a="1"/>
  <c r="U2223" i="16"/>
  <c r="T2223" i="16" a="1"/>
  <c r="U2225" i="16"/>
  <c r="T2225" i="16" a="1"/>
  <c r="U2227" i="16"/>
  <c r="T2227" i="16" a="1"/>
  <c r="U2229" i="16"/>
  <c r="T2229" i="16" a="1"/>
  <c r="U2231" i="16"/>
  <c r="T2231" i="16" a="1"/>
  <c r="U2233" i="16"/>
  <c r="T2233" i="16" a="1"/>
  <c r="U2235" i="16"/>
  <c r="T2235" i="16" a="1"/>
  <c r="U2237" i="16"/>
  <c r="T2237" i="16" a="1"/>
  <c r="U2239" i="16"/>
  <c r="T2239" i="16" a="1"/>
  <c r="U2241" i="16"/>
  <c r="T2241" i="16" a="1"/>
  <c r="U2243" i="16"/>
  <c r="T2243" i="16" a="1"/>
  <c r="U2245" i="16"/>
  <c r="T2245" i="16" a="1"/>
  <c r="U2247" i="16"/>
  <c r="T2247" i="16" a="1"/>
  <c r="U2249" i="16"/>
  <c r="T2249" i="16" a="1"/>
  <c r="U2251" i="16"/>
  <c r="T2251" i="16" a="1"/>
  <c r="U2253" i="16"/>
  <c r="T2253" i="16" a="1"/>
  <c r="U2255" i="16"/>
  <c r="T2255" i="16" a="1"/>
  <c r="U2257" i="16"/>
  <c r="T2257" i="16" a="1"/>
  <c r="U2259" i="16"/>
  <c r="T2259" i="16" a="1"/>
  <c r="U2261" i="16"/>
  <c r="T2261" i="16" a="1"/>
  <c r="U2263" i="16"/>
  <c r="T2263" i="16" a="1"/>
  <c r="U2265" i="16"/>
  <c r="T2265" i="16" a="1"/>
  <c r="U2267" i="16"/>
  <c r="T2267" i="16" a="1"/>
  <c r="U2269" i="16"/>
  <c r="T2269" i="16" a="1"/>
  <c r="U2271" i="16"/>
  <c r="T2271" i="16" a="1"/>
  <c r="U2273" i="16"/>
  <c r="T2273" i="16" a="1"/>
  <c r="U2275" i="16"/>
  <c r="T2275" i="16" a="1"/>
  <c r="U2277" i="16"/>
  <c r="T2277" i="16" a="1"/>
  <c r="U2279" i="16"/>
  <c r="T2279" i="16" a="1"/>
  <c r="U2281" i="16"/>
  <c r="T2281" i="16" a="1"/>
  <c r="U2283" i="16"/>
  <c r="T2283" i="16" a="1"/>
  <c r="U2285" i="16"/>
  <c r="T2285" i="16" a="1"/>
  <c r="U2287" i="16"/>
  <c r="T2287" i="16" a="1"/>
  <c r="U2289" i="16"/>
  <c r="T2289" i="16" a="1"/>
  <c r="U2291" i="16"/>
  <c r="T2291" i="16" a="1"/>
  <c r="U2293" i="16"/>
  <c r="T2293" i="16" a="1"/>
  <c r="U2295" i="16"/>
  <c r="T2295" i="16" a="1"/>
  <c r="U2297" i="16"/>
  <c r="T2297" i="16" a="1"/>
  <c r="U2299" i="16"/>
  <c r="T2299" i="16" a="1"/>
  <c r="U2301" i="16"/>
  <c r="T2301" i="16" a="1"/>
  <c r="U2303" i="16"/>
  <c r="T2303" i="16" a="1"/>
  <c r="U2305" i="16"/>
  <c r="T2305" i="16" a="1"/>
  <c r="U2307" i="16"/>
  <c r="T2307" i="16" a="1"/>
  <c r="U2309" i="16"/>
  <c r="T2309" i="16" a="1"/>
  <c r="U2311" i="16"/>
  <c r="T2311" i="16" a="1"/>
  <c r="U2313" i="16"/>
  <c r="T2313" i="16" a="1"/>
  <c r="U2315" i="16"/>
  <c r="T2315" i="16" a="1"/>
  <c r="U2317" i="16"/>
  <c r="T2317" i="16" a="1"/>
  <c r="U2319" i="16"/>
  <c r="T2319" i="16" a="1"/>
  <c r="U2321" i="16"/>
  <c r="T2321" i="16" a="1"/>
  <c r="U2323" i="16"/>
  <c r="T2323" i="16" a="1"/>
  <c r="U2325" i="16"/>
  <c r="T2325" i="16" a="1"/>
  <c r="U2327" i="16"/>
  <c r="T2327" i="16" a="1"/>
  <c r="U2329" i="16"/>
  <c r="T2329" i="16" a="1"/>
  <c r="U2331" i="16"/>
  <c r="T2331" i="16" a="1"/>
  <c r="U2333" i="16"/>
  <c r="T2333" i="16" a="1"/>
  <c r="U2335" i="16"/>
  <c r="T2335" i="16" a="1"/>
  <c r="U2337" i="16"/>
  <c r="T2337" i="16" a="1"/>
  <c r="U2339" i="16"/>
  <c r="T2339" i="16" a="1"/>
  <c r="U2341" i="16"/>
  <c r="T2341" i="16" a="1"/>
  <c r="U2343" i="16"/>
  <c r="T2343" i="16" a="1"/>
  <c r="U2345" i="16"/>
  <c r="T2345" i="16" a="1"/>
  <c r="U2347" i="16"/>
  <c r="T2347" i="16" a="1"/>
  <c r="U2349" i="16"/>
  <c r="T2349" i="16" a="1"/>
  <c r="U2351" i="16"/>
  <c r="T2351" i="16" a="1"/>
  <c r="U2353" i="16"/>
  <c r="T2353" i="16" a="1"/>
  <c r="U2355" i="16"/>
  <c r="T2355" i="16" a="1"/>
  <c r="U2357" i="16"/>
  <c r="T2357" i="16" a="1"/>
  <c r="U2359" i="16"/>
  <c r="T2359" i="16" a="1"/>
  <c r="U2361" i="16"/>
  <c r="T2361" i="16" a="1"/>
  <c r="U2363" i="16"/>
  <c r="T2363" i="16" a="1"/>
  <c r="U2365" i="16"/>
  <c r="T2365" i="16" a="1"/>
  <c r="U2367" i="16"/>
  <c r="T2367" i="16" a="1"/>
  <c r="U2369" i="16"/>
  <c r="T2369" i="16" a="1"/>
  <c r="U2371" i="16"/>
  <c r="T2371" i="16" a="1"/>
  <c r="U2373" i="16"/>
  <c r="T2373" i="16" a="1"/>
  <c r="U2375" i="16"/>
  <c r="T2375" i="16" a="1"/>
  <c r="U2377" i="16"/>
  <c r="T2377" i="16" a="1"/>
  <c r="U2379" i="16"/>
  <c r="T2379" i="16" a="1"/>
  <c r="U2381" i="16"/>
  <c r="T2381" i="16" a="1"/>
  <c r="U2383" i="16"/>
  <c r="T2383" i="16" a="1"/>
  <c r="U2385" i="16"/>
  <c r="T2385" i="16" a="1"/>
  <c r="U2387" i="16"/>
  <c r="T2387" i="16" a="1"/>
  <c r="U2389" i="16"/>
  <c r="T2389" i="16" a="1"/>
  <c r="U2391" i="16"/>
  <c r="T2391" i="16" a="1"/>
  <c r="U2393" i="16"/>
  <c r="T2393" i="16" a="1"/>
  <c r="U2395" i="16"/>
  <c r="T2395" i="16" a="1"/>
  <c r="U2397" i="16"/>
  <c r="T2397" i="16" a="1"/>
  <c r="U2399" i="16"/>
  <c r="T2399" i="16" a="1"/>
  <c r="U2401" i="16"/>
  <c r="T2401" i="16" a="1"/>
  <c r="U2403" i="16"/>
  <c r="T2403" i="16" a="1"/>
  <c r="U2405" i="16"/>
  <c r="T2405" i="16" a="1"/>
  <c r="U2407" i="16"/>
  <c r="T2407" i="16" a="1"/>
  <c r="U2409" i="16"/>
  <c r="T2409" i="16" a="1"/>
  <c r="U2411" i="16"/>
  <c r="T2411" i="16" a="1"/>
  <c r="U2413" i="16"/>
  <c r="T2413" i="16" a="1"/>
  <c r="U2415" i="16"/>
  <c r="T2415" i="16" a="1"/>
  <c r="U2417" i="16"/>
  <c r="T2417" i="16" a="1"/>
  <c r="U2419" i="16"/>
  <c r="T2419" i="16" a="1"/>
  <c r="U2421" i="16"/>
  <c r="T2421" i="16" a="1"/>
  <c r="U2423" i="16"/>
  <c r="T2423" i="16" a="1"/>
  <c r="U2425" i="16"/>
  <c r="T2425" i="16" a="1"/>
  <c r="U2427" i="16"/>
  <c r="T2427" i="16" a="1"/>
  <c r="U2429" i="16"/>
  <c r="T2429" i="16" a="1"/>
  <c r="U2431" i="16"/>
  <c r="T2431" i="16" a="1"/>
  <c r="U2433" i="16"/>
  <c r="T2433" i="16" a="1"/>
  <c r="U2435" i="16"/>
  <c r="T2435" i="16" a="1"/>
  <c r="U2437" i="16"/>
  <c r="T2437" i="16" a="1"/>
  <c r="U2439" i="16"/>
  <c r="T2439" i="16" a="1"/>
  <c r="U2441" i="16"/>
  <c r="T2441" i="16" a="1"/>
  <c r="U2443" i="16"/>
  <c r="T2443" i="16" a="1"/>
  <c r="U2445" i="16"/>
  <c r="T2445" i="16" a="1"/>
  <c r="U2447" i="16"/>
  <c r="T2447" i="16" a="1"/>
  <c r="U2449" i="16"/>
  <c r="T2449" i="16" a="1"/>
  <c r="U2451" i="16"/>
  <c r="T2451" i="16" a="1"/>
  <c r="U2453" i="16"/>
  <c r="T2453" i="16" a="1"/>
  <c r="U2455" i="16"/>
  <c r="T2455" i="16" a="1"/>
  <c r="U2457" i="16"/>
  <c r="T2457" i="16" a="1"/>
  <c r="U2459" i="16"/>
  <c r="T2459" i="16" a="1"/>
  <c r="U2461" i="16"/>
  <c r="T2461" i="16" a="1"/>
  <c r="U2463" i="16"/>
  <c r="T2463" i="16" a="1"/>
  <c r="U2465" i="16"/>
  <c r="T2465" i="16" a="1"/>
  <c r="U2467" i="16"/>
  <c r="T2467" i="16" a="1"/>
  <c r="U2471" i="16"/>
  <c r="T2471" i="16" a="1"/>
  <c r="U1839" i="16"/>
  <c r="T1839" i="16" a="1"/>
  <c r="U1845" i="16"/>
  <c r="T1845" i="16" a="1"/>
  <c r="U1847" i="16"/>
  <c r="T1847" i="16" a="1"/>
  <c r="U1851" i="16"/>
  <c r="T1851" i="16" a="1"/>
  <c r="U1855" i="16"/>
  <c r="T1855" i="16" a="1"/>
  <c r="U1859" i="16"/>
  <c r="T1859" i="16" a="1"/>
  <c r="U1863" i="16"/>
  <c r="T1863" i="16" a="1"/>
  <c r="U1867" i="16"/>
  <c r="T1867" i="16" a="1"/>
  <c r="U1871" i="16"/>
  <c r="T1871" i="16" a="1"/>
  <c r="U1875" i="16"/>
  <c r="T1875" i="16" a="1"/>
  <c r="U1879" i="16"/>
  <c r="T1879" i="16" a="1"/>
  <c r="U1883" i="16"/>
  <c r="T1883" i="16" a="1"/>
  <c r="U1887" i="16"/>
  <c r="T1887" i="16" a="1"/>
  <c r="U1891" i="16"/>
  <c r="T1891" i="16" a="1"/>
  <c r="U1897" i="16"/>
  <c r="T1897" i="16" a="1"/>
  <c r="U1901" i="16"/>
  <c r="T1901" i="16" a="1"/>
  <c r="U1905" i="16"/>
  <c r="T1905" i="16" a="1"/>
  <c r="U1909" i="16"/>
  <c r="T1909" i="16" a="1"/>
  <c r="U1913" i="16"/>
  <c r="T1913" i="16" a="1"/>
  <c r="U1917" i="16"/>
  <c r="T1917" i="16" a="1"/>
  <c r="U1921" i="16"/>
  <c r="T1921" i="16" a="1"/>
  <c r="U1925" i="16"/>
  <c r="T1925" i="16" a="1"/>
  <c r="U1929" i="16"/>
  <c r="T1929" i="16" a="1"/>
  <c r="U1933" i="16"/>
  <c r="T1933" i="16" a="1"/>
  <c r="U1937" i="16"/>
  <c r="T1937" i="16" a="1"/>
  <c r="U1941" i="16"/>
  <c r="T1941" i="16" a="1"/>
  <c r="U1945" i="16"/>
  <c r="T1945" i="16" a="1"/>
  <c r="U1949" i="16"/>
  <c r="T1949" i="16" a="1"/>
  <c r="U1953" i="16"/>
  <c r="T1953" i="16" a="1"/>
  <c r="U1957" i="16"/>
  <c r="T1957" i="16" a="1"/>
  <c r="U1961" i="16"/>
  <c r="T1961" i="16" a="1"/>
  <c r="U1965" i="16"/>
  <c r="T1965" i="16" a="1"/>
  <c r="U1969" i="16"/>
  <c r="T1969" i="16" a="1"/>
  <c r="U1973" i="16"/>
  <c r="T1973" i="16" a="1"/>
  <c r="U1977" i="16"/>
  <c r="T1977" i="16" a="1"/>
  <c r="U1981" i="16"/>
  <c r="T1981" i="16" a="1"/>
  <c r="U1985" i="16"/>
  <c r="T1985" i="16" a="1"/>
  <c r="U1989" i="16"/>
  <c r="T1989" i="16" a="1"/>
  <c r="U1991" i="16"/>
  <c r="T1991" i="16" a="1"/>
  <c r="U1995" i="16"/>
  <c r="T1995" i="16" a="1"/>
  <c r="U2001" i="16"/>
  <c r="T2001" i="16" a="1"/>
  <c r="U2005" i="16"/>
  <c r="T2005" i="16" a="1"/>
  <c r="U2007" i="16"/>
  <c r="T2007" i="16" a="1"/>
  <c r="U2011" i="16"/>
  <c r="T2011" i="16" a="1"/>
  <c r="U2017" i="16"/>
  <c r="T2017" i="16" a="1"/>
  <c r="U2021" i="16"/>
  <c r="T2021" i="16" a="1"/>
  <c r="U2025" i="16"/>
  <c r="T2025" i="16" a="1"/>
  <c r="U2029" i="16"/>
  <c r="T2029" i="16" a="1"/>
  <c r="U2033" i="16"/>
  <c r="T2033" i="16" a="1"/>
  <c r="U2037" i="16"/>
  <c r="T2037" i="16" a="1"/>
  <c r="U2041" i="16"/>
  <c r="T2041" i="16" a="1"/>
  <c r="U2045" i="16"/>
  <c r="T2045" i="16" a="1"/>
  <c r="U2049" i="16"/>
  <c r="T2049" i="16" a="1"/>
  <c r="U2053" i="16"/>
  <c r="T2053" i="16" a="1"/>
  <c r="U2057" i="16"/>
  <c r="T2057" i="16" a="1"/>
  <c r="U2061" i="16"/>
  <c r="T2061" i="16" a="1"/>
  <c r="U2063" i="16"/>
  <c r="T2063" i="16" a="1"/>
  <c r="U2065" i="16"/>
  <c r="T2065" i="16" a="1"/>
  <c r="U2069" i="16"/>
  <c r="T2069" i="16" a="1"/>
  <c r="U2073" i="16"/>
  <c r="T2073" i="16" a="1"/>
  <c r="U2077" i="16"/>
  <c r="T2077" i="16" a="1"/>
  <c r="U2452" i="16"/>
  <c r="T2452" i="16" a="1"/>
  <c r="U2454" i="16"/>
  <c r="T2454" i="16" a="1"/>
  <c r="U2456" i="16"/>
  <c r="T2456" i="16" a="1"/>
  <c r="U2458" i="16"/>
  <c r="T2458" i="16" a="1"/>
  <c r="U2460" i="16"/>
  <c r="T2460" i="16" a="1"/>
  <c r="U2462" i="16"/>
  <c r="T2462" i="16" a="1"/>
  <c r="U2464" i="16"/>
  <c r="T2464" i="16" a="1"/>
  <c r="U2466" i="16"/>
  <c r="T2466" i="16" a="1"/>
  <c r="U2468" i="16"/>
  <c r="T2468" i="16" a="1"/>
  <c r="U2470" i="16"/>
  <c r="T2470" i="16" a="1"/>
  <c r="U2472" i="16"/>
  <c r="T2472" i="16" a="1"/>
  <c r="U2474" i="16"/>
  <c r="T2474" i="16" a="1"/>
  <c r="U2476" i="16"/>
  <c r="T2476" i="16" a="1"/>
  <c r="U2478" i="16"/>
  <c r="T2478" i="16" a="1"/>
  <c r="U2480" i="16"/>
  <c r="T2480" i="16" a="1"/>
  <c r="U2482" i="16"/>
  <c r="T2482" i="16" a="1"/>
  <c r="U2484" i="16"/>
  <c r="T2484" i="16" a="1"/>
  <c r="U2486" i="16"/>
  <c r="T2486" i="16" a="1"/>
  <c r="U2488" i="16"/>
  <c r="T2488" i="16" a="1"/>
  <c r="U2490" i="16"/>
  <c r="T2490" i="16" a="1"/>
  <c r="U2492" i="16"/>
  <c r="T2492" i="16" a="1"/>
  <c r="U2494" i="16"/>
  <c r="T2494" i="16" a="1"/>
  <c r="U2496" i="16"/>
  <c r="T2496" i="16" a="1"/>
  <c r="U2498" i="16"/>
  <c r="T2498" i="16" a="1"/>
  <c r="U2500" i="16"/>
  <c r="T2500" i="16" a="1"/>
  <c r="U2502" i="16"/>
  <c r="T2502" i="16" a="1"/>
  <c r="U2504" i="16"/>
  <c r="T2504" i="16" a="1"/>
  <c r="U2506" i="16"/>
  <c r="T2506" i="16" a="1"/>
  <c r="U2508" i="16"/>
  <c r="T2508" i="16" a="1"/>
  <c r="U2510" i="16"/>
  <c r="T2510" i="16" a="1"/>
  <c r="U2512" i="16"/>
  <c r="T2512" i="16" a="1"/>
  <c r="U2514" i="16"/>
  <c r="T2514" i="16" a="1"/>
  <c r="U2516" i="16"/>
  <c r="T2516" i="16" a="1"/>
  <c r="U2518" i="16"/>
  <c r="T2518" i="16" a="1"/>
  <c r="U2520" i="16"/>
  <c r="T2520" i="16" a="1"/>
  <c r="U2522" i="16"/>
  <c r="T2522" i="16" a="1"/>
  <c r="U2524" i="16"/>
  <c r="T2524" i="16" a="1"/>
  <c r="U2526" i="16"/>
  <c r="T2526" i="16" a="1"/>
  <c r="U2528" i="16"/>
  <c r="T2528" i="16" a="1"/>
  <c r="U2530" i="16"/>
  <c r="T2530" i="16" a="1"/>
  <c r="U2532" i="16"/>
  <c r="T2532" i="16" a="1"/>
  <c r="U2534" i="16"/>
  <c r="T2534" i="16" a="1"/>
  <c r="U2536" i="16"/>
  <c r="T2536" i="16" a="1"/>
  <c r="U2538" i="16"/>
  <c r="T2538" i="16" a="1"/>
  <c r="U2540" i="16"/>
  <c r="T2540" i="16" a="1"/>
  <c r="U2542" i="16"/>
  <c r="T2542" i="16" a="1"/>
  <c r="U2544" i="16"/>
  <c r="T2544" i="16" a="1"/>
  <c r="U2546" i="16"/>
  <c r="T2546" i="16" a="1"/>
  <c r="U2548" i="16"/>
  <c r="T2548" i="16" a="1"/>
  <c r="U2550" i="16"/>
  <c r="T2550" i="16" a="1"/>
  <c r="U2552" i="16"/>
  <c r="T2552" i="16" a="1"/>
  <c r="U2554" i="16"/>
  <c r="T2554" i="16" a="1"/>
  <c r="U2556" i="16"/>
  <c r="T2556" i="16" a="1"/>
  <c r="U2558" i="16"/>
  <c r="T2558" i="16" a="1"/>
  <c r="U2560" i="16"/>
  <c r="T2560" i="16" a="1"/>
  <c r="U2562" i="16"/>
  <c r="T2562" i="16" a="1"/>
  <c r="U2564" i="16"/>
  <c r="T2564" i="16" a="1"/>
  <c r="U2566" i="16"/>
  <c r="T2566" i="16" a="1"/>
  <c r="U2568" i="16"/>
  <c r="T2568" i="16" a="1"/>
  <c r="U2570" i="16"/>
  <c r="T2570" i="16" a="1"/>
  <c r="U2572" i="16"/>
  <c r="T2572" i="16" a="1"/>
  <c r="U2574" i="16"/>
  <c r="T2574" i="16" a="1"/>
  <c r="U2576" i="16"/>
  <c r="T2576" i="16" a="1"/>
  <c r="U2578" i="16"/>
  <c r="T2578" i="16" a="1"/>
  <c r="U2580" i="16"/>
  <c r="T2580" i="16" a="1"/>
  <c r="U2582" i="16"/>
  <c r="T2582" i="16" a="1"/>
  <c r="U2584" i="16"/>
  <c r="T2584" i="16" a="1"/>
  <c r="U2586" i="16"/>
  <c r="T2586" i="16" a="1"/>
  <c r="U2588" i="16"/>
  <c r="T2588" i="16" a="1"/>
  <c r="U2590" i="16"/>
  <c r="T2590" i="16" a="1"/>
  <c r="U2592" i="16"/>
  <c r="T2592" i="16" a="1"/>
  <c r="U2594" i="16"/>
  <c r="T2594" i="16" a="1"/>
  <c r="U2596" i="16"/>
  <c r="T2596" i="16" a="1"/>
  <c r="U2598" i="16"/>
  <c r="T2598" i="16" a="1"/>
  <c r="U2600" i="16"/>
  <c r="T2600" i="16" a="1"/>
  <c r="U2602" i="16"/>
  <c r="T2602" i="16" a="1"/>
  <c r="U2604" i="16"/>
  <c r="T2604" i="16" a="1"/>
  <c r="U2606" i="16"/>
  <c r="T2606" i="16" a="1"/>
  <c r="U2608" i="16"/>
  <c r="T2608" i="16" a="1"/>
  <c r="U2610" i="16"/>
  <c r="T2610" i="16" a="1"/>
  <c r="U2612" i="16"/>
  <c r="T2612" i="16" a="1"/>
  <c r="U2614" i="16"/>
  <c r="T2614" i="16" a="1"/>
  <c r="U2616" i="16"/>
  <c r="T2616" i="16" a="1"/>
  <c r="U2618" i="16"/>
  <c r="T2618" i="16" a="1"/>
  <c r="U2620" i="16"/>
  <c r="T2620" i="16" a="1"/>
  <c r="U2622" i="16"/>
  <c r="T2622" i="16" a="1"/>
  <c r="U2624" i="16"/>
  <c r="T2624" i="16" a="1"/>
  <c r="U2626" i="16"/>
  <c r="T2626" i="16" a="1"/>
  <c r="U2628" i="16"/>
  <c r="T2628" i="16" a="1"/>
  <c r="U2630" i="16"/>
  <c r="T2630" i="16" a="1"/>
  <c r="U2632" i="16"/>
  <c r="T2632" i="16" a="1"/>
  <c r="U2634" i="16"/>
  <c r="T2634" i="16" a="1"/>
  <c r="U2636" i="16"/>
  <c r="T2636" i="16" a="1"/>
  <c r="U2638" i="16"/>
  <c r="T2638" i="16" a="1"/>
  <c r="U2640" i="16"/>
  <c r="T2640" i="16" a="1"/>
  <c r="U2642" i="16"/>
  <c r="T2642" i="16" a="1"/>
  <c r="U2644" i="16"/>
  <c r="T2644" i="16" a="1"/>
  <c r="U2646" i="16"/>
  <c r="T2646" i="16" a="1"/>
  <c r="U2648" i="16"/>
  <c r="T2648" i="16" a="1"/>
  <c r="U2650" i="16"/>
  <c r="T2650" i="16" a="1"/>
  <c r="U2652" i="16"/>
  <c r="T2652" i="16" a="1"/>
  <c r="U2607" i="16"/>
  <c r="T2607" i="16" a="1"/>
  <c r="U2615" i="16"/>
  <c r="T2615" i="16" a="1"/>
  <c r="U2621" i="16"/>
  <c r="T2621" i="16" a="1"/>
  <c r="U2627" i="16"/>
  <c r="T2627" i="16" a="1"/>
  <c r="U2633" i="16"/>
  <c r="T2633" i="16" a="1"/>
  <c r="U2639" i="16"/>
  <c r="T2639" i="16" a="1"/>
  <c r="U2645" i="16"/>
  <c r="T2645" i="16" a="1"/>
  <c r="U2651" i="16"/>
  <c r="T2651" i="16" a="1"/>
  <c r="U2473" i="16"/>
  <c r="T2473" i="16" a="1"/>
  <c r="U2475" i="16"/>
  <c r="T2475" i="16" a="1"/>
  <c r="U2477" i="16"/>
  <c r="T2477" i="16" a="1"/>
  <c r="U2479" i="16"/>
  <c r="T2479" i="16" a="1"/>
  <c r="U2481" i="16"/>
  <c r="T2481" i="16" a="1"/>
  <c r="U2483" i="16"/>
  <c r="T2483" i="16" a="1"/>
  <c r="U2485" i="16"/>
  <c r="T2485" i="16" a="1"/>
  <c r="U2487" i="16"/>
  <c r="T2487" i="16" a="1"/>
  <c r="U2489" i="16"/>
  <c r="T2489" i="16" a="1"/>
  <c r="U2491" i="16"/>
  <c r="T2491" i="16" a="1"/>
  <c r="U2493" i="16"/>
  <c r="T2493" i="16" a="1"/>
  <c r="U2495" i="16"/>
  <c r="T2495" i="16" a="1"/>
  <c r="U2497" i="16"/>
  <c r="T2497" i="16" a="1"/>
  <c r="U2499" i="16"/>
  <c r="T2499" i="16" a="1"/>
  <c r="U2503" i="16"/>
  <c r="T2503" i="16" a="1"/>
  <c r="U2507" i="16"/>
  <c r="T2507" i="16" a="1"/>
  <c r="U2511" i="16"/>
  <c r="T2511" i="16" a="1"/>
  <c r="U2515" i="16"/>
  <c r="T2515" i="16" a="1"/>
  <c r="U2517" i="16"/>
  <c r="T2517" i="16" a="1"/>
  <c r="U2521" i="16"/>
  <c r="T2521" i="16" a="1"/>
  <c r="U2525" i="16"/>
  <c r="T2525" i="16" a="1"/>
  <c r="U2529" i="16"/>
  <c r="T2529" i="16" a="1"/>
  <c r="U2533" i="16"/>
  <c r="T2533" i="16" a="1"/>
  <c r="U2537" i="16"/>
  <c r="T2537" i="16" a="1"/>
  <c r="U2541" i="16"/>
  <c r="T2541" i="16" a="1"/>
  <c r="U2545" i="16"/>
  <c r="T2545" i="16" a="1"/>
  <c r="U2549" i="16"/>
  <c r="T2549" i="16" a="1"/>
  <c r="U2553" i="16"/>
  <c r="T2553" i="16" a="1"/>
  <c r="U2557" i="16"/>
  <c r="T2557" i="16" a="1"/>
  <c r="U2561" i="16"/>
  <c r="T2561" i="16" a="1"/>
  <c r="U2565" i="16"/>
  <c r="T2565" i="16" a="1"/>
  <c r="U2569" i="16"/>
  <c r="T2569" i="16" a="1"/>
  <c r="U2573" i="16"/>
  <c r="T2573" i="16" a="1"/>
  <c r="U2577" i="16"/>
  <c r="T2577" i="16" a="1"/>
  <c r="U2581" i="16"/>
  <c r="T2581" i="16" a="1"/>
  <c r="U2585" i="16"/>
  <c r="T2585" i="16" a="1"/>
  <c r="U2589" i="16"/>
  <c r="T2589" i="16" a="1"/>
  <c r="U2593" i="16"/>
  <c r="T2593" i="16" a="1"/>
  <c r="U2597" i="16"/>
  <c r="T2597" i="16" a="1"/>
  <c r="U2601" i="16"/>
  <c r="T2601" i="16" a="1"/>
  <c r="U2605" i="16"/>
  <c r="T2605" i="16" a="1"/>
  <c r="U2613" i="16"/>
  <c r="T2613" i="16" a="1"/>
  <c r="U2619" i="16"/>
  <c r="T2619" i="16" a="1"/>
  <c r="U2625" i="16"/>
  <c r="T2625" i="16" a="1"/>
  <c r="U2631" i="16"/>
  <c r="T2631" i="16" a="1"/>
  <c r="U2637" i="16"/>
  <c r="T2637" i="16" a="1"/>
  <c r="U2643" i="16"/>
  <c r="T2643" i="16" a="1"/>
  <c r="U2649" i="16"/>
  <c r="T2649" i="16" a="1"/>
  <c r="U2469" i="16"/>
  <c r="T2469" i="16" a="1"/>
  <c r="U2501" i="16"/>
  <c r="T2501" i="16" a="1"/>
  <c r="U2505" i="16"/>
  <c r="T2505" i="16" a="1"/>
  <c r="U2509" i="16"/>
  <c r="T2509" i="16" a="1"/>
  <c r="U2513" i="16"/>
  <c r="T2513" i="16" a="1"/>
  <c r="U2519" i="16"/>
  <c r="T2519" i="16" a="1"/>
  <c r="U2523" i="16"/>
  <c r="T2523" i="16" a="1"/>
  <c r="U2527" i="16"/>
  <c r="T2527" i="16" a="1"/>
  <c r="U2531" i="16"/>
  <c r="T2531" i="16" a="1"/>
  <c r="U2535" i="16"/>
  <c r="T2535" i="16" a="1"/>
  <c r="U2539" i="16"/>
  <c r="T2539" i="16" a="1"/>
  <c r="U2543" i="16"/>
  <c r="T2543" i="16" a="1"/>
  <c r="U2547" i="16"/>
  <c r="T2547" i="16" a="1"/>
  <c r="U2551" i="16"/>
  <c r="T2551" i="16" a="1"/>
  <c r="U2555" i="16"/>
  <c r="T2555" i="16" a="1"/>
  <c r="U2559" i="16"/>
  <c r="T2559" i="16" a="1"/>
  <c r="U2563" i="16"/>
  <c r="T2563" i="16" a="1"/>
  <c r="U2567" i="16"/>
  <c r="T2567" i="16" a="1"/>
  <c r="U2571" i="16"/>
  <c r="T2571" i="16" a="1"/>
  <c r="U2575" i="16"/>
  <c r="T2575" i="16" a="1"/>
  <c r="U2579" i="16"/>
  <c r="T2579" i="16" a="1"/>
  <c r="U2583" i="16"/>
  <c r="T2583" i="16" a="1"/>
  <c r="U2587" i="16"/>
  <c r="T2587" i="16" a="1"/>
  <c r="U2591" i="16"/>
  <c r="T2591" i="16" a="1"/>
  <c r="U2595" i="16"/>
  <c r="T2595" i="16" a="1"/>
  <c r="U2599" i="16"/>
  <c r="T2599" i="16" a="1"/>
  <c r="U2603" i="16"/>
  <c r="T2603" i="16" a="1"/>
  <c r="U2609" i="16"/>
  <c r="T2609" i="16" a="1"/>
  <c r="U2611" i="16"/>
  <c r="T2611" i="16" a="1"/>
  <c r="U2617" i="16"/>
  <c r="T2617" i="16" a="1"/>
  <c r="U2623" i="16"/>
  <c r="T2623" i="16" a="1"/>
  <c r="U2629" i="16"/>
  <c r="T2629" i="16" a="1"/>
  <c r="U2635" i="16"/>
  <c r="T2635" i="16" a="1"/>
  <c r="U2641" i="16"/>
  <c r="T2641" i="16" a="1"/>
  <c r="U2647" i="16"/>
  <c r="T2647" i="16" a="1"/>
  <c r="U2653" i="16"/>
  <c r="T2653" i="16" a="1"/>
  <c r="U2" i="16"/>
  <c r="T2" i="16" a="1"/>
  <c r="U3" i="16"/>
  <c r="T3" i="16" a="1"/>
  <c r="U4" i="16"/>
  <c r="T4" i="16" a="1"/>
  <c r="U5" i="16"/>
  <c r="T5" i="16" a="1"/>
  <c r="U6" i="16"/>
  <c r="T6" i="16" a="1"/>
  <c r="U7" i="16"/>
  <c r="T7" i="16" a="1"/>
  <c r="U8" i="16"/>
  <c r="T8" i="16" a="1"/>
  <c r="U9" i="16"/>
  <c r="T9" i="16" a="1"/>
  <c r="U10" i="16"/>
  <c r="T10" i="16" a="1"/>
  <c r="U11" i="16"/>
  <c r="T11" i="16" a="1"/>
  <c r="U12" i="16"/>
  <c r="T12" i="16" a="1"/>
  <c r="U13" i="16"/>
  <c r="T13" i="16" a="1"/>
  <c r="U14" i="16"/>
  <c r="T14" i="16" a="1"/>
  <c r="U15" i="16"/>
  <c r="T15" i="16" a="1"/>
  <c r="U16" i="16"/>
  <c r="T16" i="16" a="1"/>
  <c r="U17" i="16"/>
  <c r="T17" i="16" a="1"/>
  <c r="U18" i="16"/>
  <c r="T18" i="16" a="1"/>
  <c r="U19" i="16"/>
  <c r="T19" i="16" a="1"/>
  <c r="U20" i="16"/>
  <c r="T20" i="16" a="1"/>
  <c r="U21" i="16"/>
  <c r="T21" i="16" a="1"/>
  <c r="U22" i="16"/>
  <c r="T22" i="16" a="1"/>
  <c r="U23" i="16"/>
  <c r="T23" i="16" a="1"/>
  <c r="U24" i="16"/>
  <c r="T24" i="16" a="1"/>
  <c r="U25" i="16"/>
  <c r="T25" i="16" a="1"/>
  <c r="U26" i="16"/>
  <c r="T26" i="16" a="1"/>
  <c r="U27" i="16"/>
  <c r="T27" i="16" a="1"/>
  <c r="U28" i="16"/>
  <c r="T28" i="16" a="1"/>
  <c r="U29" i="16"/>
  <c r="T29" i="16" a="1"/>
  <c r="U30" i="16"/>
  <c r="T30" i="16" a="1"/>
  <c r="U31" i="16"/>
  <c r="T31" i="16" a="1"/>
  <c r="U32" i="16"/>
  <c r="T32" i="16" a="1"/>
  <c r="U33" i="16"/>
  <c r="T33" i="16" a="1"/>
  <c r="U34" i="16"/>
  <c r="T34" i="16" a="1"/>
  <c r="U35" i="16"/>
  <c r="T35" i="16" a="1"/>
  <c r="U36" i="16"/>
  <c r="T36" i="16" a="1"/>
  <c r="U37" i="16"/>
  <c r="T37" i="16" a="1"/>
  <c r="U38" i="16"/>
  <c r="T38" i="16" a="1"/>
  <c r="U39" i="16"/>
  <c r="T39" i="16" a="1"/>
  <c r="U40" i="16"/>
  <c r="T40" i="16" a="1"/>
  <c r="U41" i="16"/>
  <c r="T41" i="16" a="1"/>
  <c r="U42" i="16"/>
  <c r="T42" i="16" a="1"/>
  <c r="U43" i="16"/>
  <c r="T43" i="16" a="1"/>
  <c r="U44" i="16"/>
  <c r="T44" i="16" a="1"/>
  <c r="U45" i="16"/>
  <c r="T45" i="16" a="1"/>
  <c r="U46" i="16"/>
  <c r="T46" i="16" a="1"/>
  <c r="U47" i="16"/>
  <c r="T47" i="16" a="1"/>
  <c r="U48" i="16"/>
  <c r="T48" i="16" a="1"/>
  <c r="U49" i="16"/>
  <c r="T49" i="16" a="1"/>
  <c r="U50" i="16"/>
  <c r="T50" i="16" a="1"/>
  <c r="U51" i="16"/>
  <c r="T51" i="16" a="1"/>
  <c r="U52" i="16"/>
  <c r="T52" i="16" a="1"/>
  <c r="U53" i="16"/>
  <c r="T53" i="16" a="1"/>
  <c r="U54" i="16"/>
  <c r="T54" i="16" a="1"/>
  <c r="U55" i="16"/>
  <c r="T55" i="16" a="1"/>
  <c r="U56" i="16"/>
  <c r="T56" i="16" a="1"/>
  <c r="U57" i="16"/>
  <c r="T57" i="16" a="1"/>
  <c r="U58" i="16"/>
  <c r="T58" i="16" a="1"/>
  <c r="U59" i="16"/>
  <c r="T59" i="16" a="1"/>
  <c r="U60" i="16"/>
  <c r="T60" i="16" a="1"/>
  <c r="U61" i="16"/>
  <c r="T61" i="16" a="1"/>
  <c r="U62" i="16"/>
  <c r="T62" i="16" a="1"/>
  <c r="U63" i="16"/>
  <c r="T63" i="16" a="1"/>
  <c r="U64" i="16"/>
  <c r="T64" i="16" a="1"/>
  <c r="U65" i="16"/>
  <c r="T65" i="16" a="1"/>
  <c r="U66" i="16"/>
  <c r="T66" i="16" a="1"/>
  <c r="U67" i="16"/>
  <c r="T67" i="16" a="1"/>
  <c r="U68" i="16"/>
  <c r="T68" i="16" a="1"/>
  <c r="U69" i="16"/>
  <c r="T69" i="16" a="1"/>
  <c r="U70" i="16"/>
  <c r="T70" i="16" a="1"/>
  <c r="U71" i="16"/>
  <c r="T71" i="16" a="1"/>
  <c r="U72" i="16"/>
  <c r="T72" i="16" a="1"/>
  <c r="U73" i="16"/>
  <c r="T73" i="16" a="1"/>
  <c r="U74" i="16"/>
  <c r="T74" i="16" a="1"/>
  <c r="U75" i="16"/>
  <c r="T75" i="16" a="1"/>
  <c r="U76" i="16"/>
  <c r="T76" i="16" a="1"/>
  <c r="U77" i="16"/>
  <c r="T77" i="16" a="1"/>
  <c r="U78" i="16"/>
  <c r="T78" i="16" a="1"/>
  <c r="U79" i="16"/>
  <c r="T79" i="16" a="1"/>
  <c r="U80" i="16"/>
  <c r="T80" i="16" a="1"/>
  <c r="U81" i="16"/>
  <c r="T81" i="16" a="1"/>
  <c r="U82" i="16"/>
  <c r="T82" i="16" a="1"/>
  <c r="U83" i="16"/>
  <c r="T83" i="16" a="1"/>
  <c r="U84" i="16"/>
  <c r="T84" i="16" a="1"/>
  <c r="U85" i="16"/>
  <c r="T85" i="16" a="1"/>
  <c r="U86" i="16"/>
  <c r="T86" i="16" a="1"/>
  <c r="U87" i="16"/>
  <c r="T87" i="16" a="1"/>
  <c r="U88" i="16"/>
  <c r="T88" i="16" a="1"/>
  <c r="U89" i="16"/>
  <c r="T89" i="16" a="1"/>
  <c r="U90" i="16"/>
  <c r="T90" i="16" a="1"/>
  <c r="U91" i="16"/>
  <c r="T91" i="16" a="1"/>
  <c r="U92" i="16"/>
  <c r="T92" i="16" a="1"/>
  <c r="U93" i="16"/>
  <c r="T93" i="16" a="1"/>
  <c r="U94" i="16"/>
  <c r="T94" i="16" a="1"/>
  <c r="U95" i="16"/>
  <c r="T95" i="16" a="1"/>
  <c r="U96" i="16"/>
  <c r="T96" i="16" a="1"/>
  <c r="U97" i="16"/>
  <c r="T97" i="16" a="1"/>
  <c r="U98" i="16"/>
  <c r="T98" i="16" a="1"/>
  <c r="U99" i="16"/>
  <c r="T99" i="16" a="1"/>
  <c r="U100" i="16"/>
  <c r="T100" i="16" a="1"/>
  <c r="U101" i="16"/>
  <c r="T101" i="16" a="1"/>
  <c r="U102" i="16"/>
  <c r="T102" i="16" a="1"/>
  <c r="U103" i="16"/>
  <c r="T103" i="16" a="1"/>
  <c r="U104" i="16"/>
  <c r="T104" i="16" a="1"/>
  <c r="U105" i="16"/>
  <c r="T105" i="16" a="1"/>
  <c r="U106" i="16"/>
  <c r="T106" i="16" a="1"/>
  <c r="U107" i="16"/>
  <c r="T107" i="16" a="1"/>
  <c r="U108" i="16"/>
  <c r="T108" i="16" a="1"/>
  <c r="U109" i="16"/>
  <c r="T109" i="16" a="1"/>
  <c r="U110" i="16"/>
  <c r="T110" i="16" a="1"/>
  <c r="U111" i="16"/>
  <c r="T111" i="16" a="1"/>
  <c r="U112" i="16"/>
  <c r="T112" i="16" a="1"/>
  <c r="U113" i="16"/>
  <c r="T113" i="16" a="1"/>
  <c r="U114" i="16"/>
  <c r="T114" i="16" a="1"/>
  <c r="U115" i="16"/>
  <c r="T115" i="16" a="1"/>
  <c r="U116" i="16"/>
  <c r="T116" i="16" a="1"/>
  <c r="U117" i="16"/>
  <c r="T117" i="16" a="1"/>
  <c r="U118" i="16"/>
  <c r="T118" i="16" a="1"/>
  <c r="U119" i="16"/>
  <c r="T119" i="16" a="1"/>
  <c r="U120" i="16"/>
  <c r="T120" i="16" a="1"/>
  <c r="U121" i="16"/>
  <c r="T121" i="16" a="1"/>
  <c r="U122" i="16"/>
  <c r="T122" i="16" a="1"/>
  <c r="U123" i="16"/>
  <c r="T123" i="16" a="1"/>
  <c r="U124" i="16"/>
  <c r="T124" i="16" a="1"/>
  <c r="U125" i="16"/>
  <c r="T125" i="16" a="1"/>
  <c r="U126" i="16"/>
  <c r="T126" i="16" a="1"/>
  <c r="U127" i="16"/>
  <c r="T127" i="16" a="1"/>
  <c r="U128" i="16"/>
  <c r="T128" i="16" a="1"/>
  <c r="U129" i="16"/>
  <c r="T129" i="16" a="1"/>
  <c r="U130" i="16"/>
  <c r="T130" i="16" a="1"/>
  <c r="U131" i="16"/>
  <c r="T131" i="16" a="1"/>
  <c r="U132" i="16"/>
  <c r="T132" i="16" a="1"/>
  <c r="U133" i="16"/>
  <c r="T133" i="16" a="1"/>
  <c r="U134" i="16"/>
  <c r="T134" i="16" a="1"/>
  <c r="U135" i="16"/>
  <c r="T135" i="16" a="1"/>
  <c r="U136" i="16"/>
  <c r="T136" i="16" a="1"/>
  <c r="U137" i="16"/>
  <c r="T137" i="16" a="1"/>
  <c r="U138" i="16"/>
  <c r="T138" i="16" a="1"/>
  <c r="U139" i="16"/>
  <c r="T139" i="16" a="1"/>
  <c r="U140" i="16"/>
  <c r="T140" i="16" a="1"/>
  <c r="U141" i="16"/>
  <c r="T141" i="16" a="1"/>
  <c r="U142" i="16"/>
  <c r="T142" i="16" a="1"/>
  <c r="U143" i="16"/>
  <c r="T143" i="16" a="1"/>
  <c r="U144" i="16"/>
  <c r="T144" i="16" a="1"/>
  <c r="U145" i="16"/>
  <c r="T145" i="16" a="1"/>
  <c r="U146" i="16"/>
  <c r="T146" i="16" a="1"/>
  <c r="U147" i="16"/>
  <c r="T147" i="16" a="1"/>
  <c r="U148" i="16"/>
  <c r="T148" i="16" a="1"/>
  <c r="U149" i="16"/>
  <c r="T149" i="16" a="1"/>
  <c r="U150" i="16"/>
  <c r="T150" i="16" a="1"/>
  <c r="U151" i="16"/>
  <c r="T151" i="16" a="1"/>
  <c r="U152" i="16"/>
  <c r="T152" i="16" a="1"/>
  <c r="U153" i="16"/>
  <c r="T153" i="16" a="1"/>
  <c r="U154" i="16"/>
  <c r="T154" i="16" a="1"/>
  <c r="U155" i="16"/>
  <c r="T155" i="16" a="1"/>
  <c r="U156" i="16"/>
  <c r="T156" i="16" a="1"/>
  <c r="U157" i="16"/>
  <c r="T157" i="16" a="1"/>
  <c r="U158" i="16"/>
  <c r="T158" i="16" a="1"/>
  <c r="U159" i="16"/>
  <c r="T159" i="16" a="1"/>
  <c r="U160" i="16"/>
  <c r="T160" i="16" a="1"/>
  <c r="U161" i="16"/>
  <c r="T161" i="16" a="1"/>
  <c r="U162" i="16"/>
  <c r="T162" i="16" a="1"/>
  <c r="U163" i="16"/>
  <c r="T163" i="16" a="1"/>
  <c r="U164" i="16"/>
  <c r="T164" i="16" a="1"/>
  <c r="U165" i="16"/>
  <c r="T165" i="16" a="1"/>
  <c r="U166" i="16"/>
  <c r="T166" i="16" a="1"/>
  <c r="U167" i="16"/>
  <c r="T167" i="16" a="1"/>
  <c r="U168" i="16"/>
  <c r="T168" i="16" a="1"/>
  <c r="U169" i="16"/>
  <c r="T169" i="16" a="1"/>
  <c r="U170" i="16"/>
  <c r="T170" i="16" a="1"/>
  <c r="U171" i="16"/>
  <c r="T171" i="16" a="1"/>
  <c r="U172" i="16"/>
  <c r="T172" i="16" a="1"/>
  <c r="U173" i="16"/>
  <c r="T173" i="16" a="1"/>
  <c r="U174" i="16"/>
  <c r="T174" i="16" a="1"/>
  <c r="U175" i="16"/>
  <c r="T175" i="16" a="1"/>
  <c r="U176" i="16"/>
  <c r="T176" i="16" a="1"/>
  <c r="U177" i="16"/>
  <c r="T177" i="16" a="1"/>
  <c r="U178" i="16"/>
  <c r="T178" i="16" a="1"/>
  <c r="U179" i="16"/>
  <c r="T179" i="16" a="1"/>
  <c r="U180" i="16"/>
  <c r="T180" i="16" a="1"/>
  <c r="U181" i="16"/>
  <c r="T181" i="16" a="1"/>
  <c r="U182" i="16"/>
  <c r="T182" i="16" a="1"/>
  <c r="U183" i="16"/>
  <c r="T183" i="16" a="1"/>
  <c r="U184" i="16"/>
  <c r="T184" i="16" a="1"/>
  <c r="U185" i="16"/>
  <c r="T185" i="16" a="1"/>
  <c r="U186" i="16"/>
  <c r="T186" i="16" a="1"/>
  <c r="U187" i="16"/>
  <c r="T187" i="16" a="1"/>
  <c r="U188" i="16"/>
  <c r="T188" i="16" a="1"/>
  <c r="U189" i="16"/>
  <c r="T189" i="16" a="1"/>
  <c r="U190" i="16"/>
  <c r="T190" i="16" a="1"/>
  <c r="U191" i="16"/>
  <c r="T191" i="16" a="1"/>
  <c r="U192" i="16"/>
  <c r="T192" i="16" a="1"/>
  <c r="U193" i="16"/>
  <c r="T193" i="16" a="1"/>
  <c r="U194" i="16"/>
  <c r="T194" i="16" a="1"/>
  <c r="U195" i="16"/>
  <c r="T195" i="16" a="1"/>
  <c r="U196" i="16"/>
  <c r="T196" i="16" a="1"/>
  <c r="U197" i="16"/>
  <c r="T197" i="16" a="1"/>
  <c r="U198" i="16"/>
  <c r="T198" i="16" a="1"/>
  <c r="U199" i="16"/>
  <c r="T199" i="16" a="1"/>
  <c r="U200" i="16"/>
  <c r="T200" i="16" a="1"/>
  <c r="U201" i="16"/>
  <c r="T201" i="16" a="1"/>
  <c r="U202" i="16"/>
  <c r="T202" i="16" a="1"/>
  <c r="U203" i="16"/>
  <c r="T203" i="16" a="1"/>
  <c r="U204" i="16"/>
  <c r="T204" i="16" a="1"/>
  <c r="U205" i="16"/>
  <c r="T205" i="16" a="1"/>
  <c r="U206" i="16"/>
  <c r="T206" i="16" a="1"/>
  <c r="U207" i="16"/>
  <c r="T207" i="16" a="1"/>
  <c r="U208" i="16"/>
  <c r="T208" i="16" a="1"/>
  <c r="U209" i="16"/>
  <c r="T209" i="16" a="1"/>
  <c r="U210" i="16"/>
  <c r="T210" i="16" a="1"/>
  <c r="U211" i="16"/>
  <c r="T211" i="16" a="1"/>
  <c r="U212" i="16"/>
  <c r="T212" i="16" a="1"/>
  <c r="U213" i="16"/>
  <c r="T213" i="16" a="1"/>
  <c r="U214" i="16"/>
  <c r="T214" i="16" a="1"/>
  <c r="U215" i="16"/>
  <c r="T215" i="16" a="1"/>
  <c r="U216" i="16"/>
  <c r="T216" i="16" a="1"/>
  <c r="U217" i="16"/>
  <c r="T217" i="16" a="1"/>
  <c r="U218" i="16"/>
  <c r="T218" i="16" a="1"/>
  <c r="U219" i="16"/>
  <c r="T219" i="16" a="1"/>
  <c r="U220" i="16"/>
  <c r="T220" i="16" a="1"/>
  <c r="U221" i="16"/>
  <c r="T221" i="16" a="1"/>
  <c r="U222" i="16"/>
  <c r="T222" i="16" a="1"/>
  <c r="U223" i="16"/>
  <c r="T223" i="16" a="1"/>
  <c r="U224" i="16"/>
  <c r="T224" i="16" a="1"/>
  <c r="U225" i="16"/>
  <c r="T225" i="16" a="1"/>
  <c r="U226" i="16"/>
  <c r="T226" i="16" a="1"/>
  <c r="U227" i="16"/>
  <c r="T227" i="16" a="1"/>
  <c r="U228" i="16"/>
  <c r="T228" i="16" a="1"/>
  <c r="U229" i="16"/>
  <c r="T229" i="16" a="1"/>
  <c r="U230" i="16"/>
  <c r="T230" i="16" a="1"/>
  <c r="U231" i="16"/>
  <c r="T231" i="16" a="1"/>
  <c r="U232" i="16"/>
  <c r="T232" i="16" a="1"/>
  <c r="U233" i="16"/>
  <c r="T233" i="16" a="1"/>
  <c r="U234" i="16"/>
  <c r="T234" i="16" a="1"/>
  <c r="U235" i="16"/>
  <c r="T235" i="16" a="1"/>
  <c r="U236" i="16"/>
  <c r="T236" i="16" a="1"/>
  <c r="U237" i="16"/>
  <c r="T237" i="16" a="1"/>
  <c r="U238" i="16"/>
  <c r="T238" i="16" a="1"/>
  <c r="U239" i="16"/>
  <c r="T239" i="16" a="1"/>
  <c r="U240" i="16"/>
  <c r="T240" i="16" a="1"/>
  <c r="U241" i="16"/>
  <c r="T241" i="16" a="1"/>
  <c r="U242" i="16"/>
  <c r="T242" i="16" a="1"/>
  <c r="U243" i="16"/>
  <c r="T243" i="16" a="1"/>
  <c r="U244" i="16"/>
  <c r="T244" i="16" a="1"/>
  <c r="U245" i="16"/>
  <c r="T245" i="16" a="1"/>
  <c r="U246" i="16"/>
  <c r="T246" i="16" a="1"/>
  <c r="U247" i="16"/>
  <c r="T247" i="16" a="1"/>
  <c r="U248" i="16"/>
  <c r="T248" i="16" a="1"/>
  <c r="U249" i="16"/>
  <c r="T249" i="16" a="1"/>
  <c r="U250" i="16"/>
  <c r="T250" i="16" a="1"/>
  <c r="U251" i="16"/>
  <c r="T251" i="16" a="1"/>
  <c r="U252" i="16"/>
  <c r="T252" i="16" a="1"/>
  <c r="U253" i="16"/>
  <c r="T253" i="16" a="1"/>
  <c r="U254" i="16"/>
  <c r="T254" i="16" a="1"/>
  <c r="U255" i="16"/>
  <c r="T255" i="16" a="1"/>
  <c r="U256" i="16"/>
  <c r="T256" i="16" a="1"/>
  <c r="U257" i="16"/>
  <c r="T257" i="16" a="1"/>
  <c r="U258" i="16"/>
  <c r="T258" i="16" a="1"/>
  <c r="U259" i="16"/>
  <c r="T259" i="16" a="1"/>
  <c r="U260" i="16"/>
  <c r="T260" i="16" a="1"/>
  <c r="U261" i="16"/>
  <c r="T261" i="16" a="1"/>
  <c r="U262" i="16"/>
  <c r="T262" i="16" a="1"/>
  <c r="U263" i="16"/>
  <c r="T263" i="16" a="1"/>
  <c r="U264" i="16"/>
  <c r="T264" i="16" a="1"/>
  <c r="U265" i="16"/>
  <c r="T265" i="16" a="1"/>
  <c r="U266" i="16"/>
  <c r="T266" i="16" a="1"/>
  <c r="U267" i="16"/>
  <c r="T267" i="16" a="1"/>
  <c r="U268" i="16"/>
  <c r="T268" i="16" a="1"/>
  <c r="U269" i="16"/>
  <c r="T269" i="16" a="1"/>
  <c r="U270" i="16"/>
  <c r="T270" i="16" a="1"/>
  <c r="U271" i="16"/>
  <c r="T271" i="16" a="1"/>
  <c r="U272" i="16"/>
  <c r="T272" i="16" a="1"/>
  <c r="U273" i="16"/>
  <c r="T273" i="16" a="1"/>
  <c r="U274" i="16"/>
  <c r="T274" i="16" a="1"/>
  <c r="U275" i="16"/>
  <c r="T275" i="16" a="1"/>
  <c r="U276" i="16"/>
  <c r="T276" i="16" a="1"/>
  <c r="U277" i="16"/>
  <c r="T277" i="16" a="1"/>
  <c r="U278" i="16"/>
  <c r="T278" i="16" a="1"/>
  <c r="U279" i="16"/>
  <c r="T279" i="16" a="1"/>
  <c r="U280" i="16"/>
  <c r="T280" i="16" a="1"/>
  <c r="U281" i="16"/>
  <c r="T281" i="16" a="1"/>
  <c r="U282" i="16"/>
  <c r="T282" i="16" a="1"/>
  <c r="U283" i="16"/>
  <c r="T283" i="16" a="1"/>
  <c r="U284" i="16"/>
  <c r="T284" i="16" a="1"/>
  <c r="U285" i="16"/>
  <c r="T285" i="16" a="1"/>
  <c r="U286" i="16"/>
  <c r="T286" i="16" a="1"/>
  <c r="U287" i="16"/>
  <c r="T287" i="16" a="1"/>
  <c r="U288" i="16"/>
  <c r="T288" i="16" a="1"/>
  <c r="U289" i="16"/>
  <c r="T289" i="16" a="1"/>
  <c r="U290" i="16"/>
  <c r="T290" i="16" a="1"/>
  <c r="U291" i="16"/>
  <c r="T291" i="16" a="1"/>
  <c r="U292" i="16"/>
  <c r="T292" i="16" a="1"/>
  <c r="U293" i="16"/>
  <c r="T293" i="16" a="1"/>
  <c r="U294" i="16"/>
  <c r="T294" i="16" a="1"/>
  <c r="U295" i="16"/>
  <c r="T295" i="16" a="1"/>
  <c r="U296" i="16"/>
  <c r="T296" i="16" a="1"/>
  <c r="U297" i="16"/>
  <c r="T297" i="16" a="1"/>
  <c r="U298" i="16"/>
  <c r="T298" i="16" a="1"/>
  <c r="U299" i="16"/>
  <c r="T299" i="16" a="1"/>
  <c r="U300" i="16"/>
  <c r="T300" i="16" a="1"/>
  <c r="U301" i="16"/>
  <c r="T301" i="16" a="1"/>
  <c r="U302" i="16"/>
  <c r="T302" i="16" a="1"/>
  <c r="U303" i="16"/>
  <c r="T303" i="16" a="1"/>
  <c r="U304" i="16"/>
  <c r="T304" i="16" a="1"/>
  <c r="U305" i="16"/>
  <c r="T305" i="16" a="1"/>
  <c r="U306" i="16"/>
  <c r="T306" i="16" a="1"/>
  <c r="U307" i="16"/>
  <c r="T307" i="16" a="1"/>
  <c r="U308" i="16"/>
  <c r="T308" i="16" a="1"/>
  <c r="U309" i="16"/>
  <c r="T309" i="16" a="1"/>
  <c r="U310" i="16"/>
  <c r="T310" i="16" a="1"/>
  <c r="U311" i="16"/>
  <c r="T311" i="16" a="1"/>
  <c r="U312" i="16"/>
  <c r="T312" i="16" a="1"/>
  <c r="U313" i="16"/>
  <c r="T313" i="16" a="1"/>
  <c r="U314" i="16"/>
  <c r="T314" i="16" a="1"/>
  <c r="U315" i="16"/>
  <c r="T315" i="16" a="1"/>
  <c r="U316" i="16"/>
  <c r="T316" i="16" a="1"/>
  <c r="U317" i="16"/>
  <c r="T317" i="16" a="1"/>
  <c r="U318" i="16"/>
  <c r="T318" i="16" a="1"/>
  <c r="U319" i="16"/>
  <c r="T319" i="16" a="1"/>
  <c r="U320" i="16"/>
  <c r="T320" i="16" a="1"/>
  <c r="U321" i="16"/>
  <c r="T321" i="16" a="1"/>
  <c r="U322" i="16"/>
  <c r="T322" i="16" a="1"/>
  <c r="U323" i="16"/>
  <c r="T323" i="16" a="1"/>
  <c r="U324" i="16"/>
  <c r="T324" i="16" a="1"/>
  <c r="U325" i="16"/>
  <c r="T325" i="16" a="1"/>
  <c r="U326" i="16"/>
  <c r="T326" i="16" a="1"/>
  <c r="U327" i="16"/>
  <c r="T327" i="16" a="1"/>
  <c r="U328" i="16"/>
  <c r="T328" i="16" a="1"/>
  <c r="U329" i="16"/>
  <c r="T329" i="16" a="1"/>
  <c r="U330" i="16"/>
  <c r="T330" i="16" a="1"/>
  <c r="U331" i="16"/>
  <c r="T331" i="16" a="1"/>
  <c r="U332" i="16"/>
  <c r="T332" i="16" a="1"/>
  <c r="U333" i="16"/>
  <c r="T333" i="16" a="1"/>
  <c r="U334" i="16"/>
  <c r="T334" i="16" a="1"/>
  <c r="U335" i="16"/>
  <c r="T335" i="16" a="1"/>
  <c r="U336" i="16"/>
  <c r="T336" i="16" a="1"/>
  <c r="U337" i="16"/>
  <c r="T337" i="16" a="1"/>
  <c r="U338" i="16"/>
  <c r="T338" i="16" a="1"/>
  <c r="U339" i="16"/>
  <c r="T339" i="16" a="1"/>
  <c r="U340" i="16"/>
  <c r="T340" i="16" a="1"/>
  <c r="U341" i="16"/>
  <c r="T341" i="16" a="1"/>
  <c r="U342" i="16"/>
  <c r="T342" i="16" a="1"/>
  <c r="U343" i="16"/>
  <c r="T343" i="16" a="1"/>
  <c r="U344" i="16"/>
  <c r="T344" i="16" a="1"/>
  <c r="U345" i="16"/>
  <c r="T345" i="16" a="1"/>
  <c r="U346" i="16"/>
  <c r="T346" i="16" a="1"/>
  <c r="U347" i="16"/>
  <c r="T347" i="16" a="1"/>
  <c r="U348" i="16"/>
  <c r="T348" i="16" a="1"/>
  <c r="U349" i="16"/>
  <c r="T349" i="16" a="1"/>
  <c r="U350" i="16"/>
  <c r="T350" i="16" a="1"/>
  <c r="U351" i="16"/>
  <c r="T351" i="16" a="1"/>
  <c r="U352" i="16"/>
  <c r="T352" i="16" a="1"/>
  <c r="U353" i="16"/>
  <c r="T353" i="16" a="1"/>
  <c r="U354" i="16"/>
  <c r="T354" i="16" a="1"/>
  <c r="U355" i="16"/>
  <c r="T355" i="16" a="1"/>
  <c r="U356" i="16"/>
  <c r="T356" i="16" a="1"/>
  <c r="U357" i="16"/>
  <c r="T357" i="16" a="1"/>
  <c r="U358" i="16"/>
  <c r="T358" i="16" a="1"/>
  <c r="U359" i="16"/>
  <c r="T359" i="16" a="1"/>
  <c r="U360" i="16"/>
  <c r="T360" i="16" a="1"/>
  <c r="U361" i="16"/>
  <c r="T361" i="16" a="1"/>
  <c r="U362" i="16"/>
  <c r="T362" i="16" a="1"/>
  <c r="U363" i="16"/>
  <c r="T363" i="16" a="1"/>
  <c r="U364" i="16"/>
  <c r="T364" i="16" a="1"/>
  <c r="U365" i="16"/>
  <c r="T365" i="16" a="1"/>
  <c r="U366" i="16"/>
  <c r="T366" i="16" a="1"/>
  <c r="U367" i="16"/>
  <c r="T367" i="16" a="1"/>
  <c r="U368" i="16"/>
  <c r="T368" i="16" a="1"/>
  <c r="U369" i="16"/>
  <c r="T369" i="16" a="1"/>
  <c r="U370" i="16"/>
  <c r="T370" i="16" a="1"/>
  <c r="U371" i="16"/>
  <c r="T371" i="16" a="1"/>
  <c r="U372" i="16"/>
  <c r="T372" i="16" a="1"/>
  <c r="U373" i="16"/>
  <c r="T373" i="16" a="1"/>
  <c r="U374" i="16"/>
  <c r="T374" i="16" a="1"/>
  <c r="U375" i="16"/>
  <c r="T375" i="16" a="1"/>
  <c r="U376" i="16"/>
  <c r="T376" i="16" a="1"/>
  <c r="U377" i="16"/>
  <c r="T377" i="16" a="1"/>
  <c r="U378" i="16"/>
  <c r="T378" i="16" a="1"/>
  <c r="U379" i="16"/>
  <c r="T379" i="16" a="1"/>
  <c r="U380" i="16"/>
  <c r="T380" i="16" a="1"/>
  <c r="U381" i="16"/>
  <c r="T381" i="16" a="1"/>
  <c r="U382" i="16"/>
  <c r="T382" i="16" a="1"/>
  <c r="U383" i="16"/>
  <c r="T383" i="16" a="1"/>
  <c r="U384" i="16"/>
  <c r="T384" i="16" a="1"/>
  <c r="U385" i="16"/>
  <c r="T385" i="16" a="1"/>
  <c r="U386" i="16"/>
  <c r="T386" i="16" a="1"/>
  <c r="U387" i="16"/>
  <c r="T387" i="16" a="1"/>
  <c r="U388" i="16"/>
  <c r="T388" i="16" a="1"/>
  <c r="U389" i="16"/>
  <c r="T389" i="16" a="1"/>
  <c r="U390" i="16"/>
  <c r="T390" i="16" a="1"/>
  <c r="U391" i="16"/>
  <c r="T391" i="16" a="1"/>
  <c r="U392" i="16"/>
  <c r="T392" i="16" a="1"/>
  <c r="U393" i="16"/>
  <c r="T393" i="16" a="1"/>
  <c r="U394" i="16"/>
  <c r="T394" i="16" a="1"/>
  <c r="U395" i="16"/>
  <c r="T395" i="16" a="1"/>
  <c r="U396" i="16"/>
  <c r="T396" i="16" a="1"/>
  <c r="U397" i="16"/>
  <c r="T397" i="16" a="1"/>
  <c r="U398" i="16"/>
  <c r="T398" i="16" a="1"/>
  <c r="U399" i="16"/>
  <c r="T399" i="16" a="1"/>
  <c r="U400" i="16"/>
  <c r="T400" i="16" a="1"/>
  <c r="U401" i="16"/>
  <c r="T401" i="16" a="1"/>
  <c r="U402" i="16"/>
  <c r="T402" i="16" a="1"/>
  <c r="U403" i="16"/>
  <c r="T403" i="16" a="1"/>
  <c r="U404" i="16"/>
  <c r="T404" i="16" a="1"/>
  <c r="U405" i="16"/>
  <c r="T405" i="16" a="1"/>
  <c r="U406" i="16"/>
  <c r="T406" i="16" a="1"/>
  <c r="U407" i="16"/>
  <c r="T407" i="16" a="1"/>
  <c r="U408" i="16"/>
  <c r="T408" i="16" a="1"/>
  <c r="U409" i="16"/>
  <c r="T409" i="16" a="1"/>
  <c r="U410" i="16"/>
  <c r="T410" i="16" a="1"/>
  <c r="U411" i="16"/>
  <c r="T411" i="16" a="1"/>
  <c r="U412" i="16"/>
  <c r="T412" i="16" a="1"/>
  <c r="U413" i="16"/>
  <c r="T413" i="16" a="1"/>
  <c r="U414" i="16"/>
  <c r="T414" i="16" a="1"/>
  <c r="U415" i="16"/>
  <c r="T415" i="16" a="1"/>
  <c r="U416" i="16"/>
  <c r="T416" i="16" a="1"/>
  <c r="U417" i="16"/>
  <c r="T417" i="16" a="1"/>
  <c r="U418" i="16"/>
  <c r="T418" i="16" a="1"/>
  <c r="U419" i="16"/>
  <c r="T419" i="16" a="1"/>
  <c r="U420" i="16"/>
  <c r="T420" i="16" a="1"/>
  <c r="U421" i="16"/>
  <c r="T421" i="16" a="1"/>
  <c r="U422" i="16"/>
  <c r="T422" i="16" a="1"/>
  <c r="U423" i="16"/>
  <c r="T423" i="16" a="1"/>
  <c r="U424" i="16"/>
  <c r="T424" i="16" a="1"/>
  <c r="U425" i="16"/>
  <c r="T425" i="16" a="1"/>
  <c r="U426" i="16"/>
  <c r="T426" i="16" a="1"/>
  <c r="U427" i="16"/>
  <c r="T427" i="16" a="1"/>
  <c r="U428" i="16"/>
  <c r="T428" i="16" a="1"/>
  <c r="U429" i="16"/>
  <c r="T429" i="16" a="1"/>
  <c r="U430" i="16"/>
  <c r="T430" i="16" a="1"/>
  <c r="U431" i="16"/>
  <c r="T431" i="16" a="1"/>
  <c r="U432" i="16"/>
  <c r="T432" i="16" a="1"/>
  <c r="U433" i="16"/>
  <c r="T433" i="16" a="1"/>
  <c r="U434" i="16"/>
  <c r="T434" i="16" a="1"/>
  <c r="U435" i="16"/>
  <c r="T435" i="16" a="1"/>
  <c r="U436" i="16"/>
  <c r="T436" i="16" a="1"/>
  <c r="U437" i="16"/>
  <c r="T437" i="16" a="1"/>
  <c r="U438" i="16"/>
  <c r="T438" i="16" a="1"/>
  <c r="U439" i="16"/>
  <c r="T439" i="16" a="1"/>
  <c r="U440" i="16"/>
  <c r="T440" i="16" a="1"/>
  <c r="U441" i="16"/>
  <c r="T441" i="16" a="1"/>
  <c r="U442" i="16"/>
  <c r="T442" i="16" a="1"/>
  <c r="U443" i="16"/>
  <c r="T443" i="16" a="1"/>
  <c r="U444" i="16"/>
  <c r="T444" i="16" a="1"/>
  <c r="U445" i="16"/>
  <c r="T445" i="16" a="1"/>
  <c r="U446" i="16"/>
  <c r="T446" i="16" a="1"/>
  <c r="U447" i="16"/>
  <c r="T447" i="16" a="1"/>
  <c r="U448" i="16"/>
  <c r="T448" i="16" a="1"/>
  <c r="U449" i="16"/>
  <c r="T449" i="16" a="1"/>
  <c r="U450" i="16"/>
  <c r="T450" i="16" a="1"/>
  <c r="U451" i="16"/>
  <c r="T451" i="16" a="1"/>
  <c r="U452" i="16"/>
  <c r="T452" i="16" a="1"/>
  <c r="U453" i="16"/>
  <c r="T453" i="16" a="1"/>
  <c r="U454" i="16"/>
  <c r="T454" i="16" a="1"/>
  <c r="U455" i="16"/>
  <c r="T455" i="16" a="1"/>
  <c r="U456" i="16"/>
  <c r="T456" i="16" a="1"/>
  <c r="U457" i="16"/>
  <c r="T457" i="16" a="1"/>
  <c r="U458" i="16"/>
  <c r="T458" i="16" a="1"/>
  <c r="U459" i="16"/>
  <c r="T459" i="16" a="1"/>
  <c r="U460" i="16"/>
  <c r="T460" i="16" a="1"/>
  <c r="U461" i="16"/>
  <c r="T461" i="16" a="1"/>
  <c r="U462" i="16"/>
  <c r="T462" i="16" a="1"/>
  <c r="U463" i="16"/>
  <c r="T463" i="16" a="1"/>
  <c r="U464" i="16"/>
  <c r="T464" i="16" a="1"/>
  <c r="U465" i="16"/>
  <c r="T465" i="16" a="1"/>
  <c r="U466" i="16"/>
  <c r="T466" i="16" a="1"/>
  <c r="U467" i="16"/>
  <c r="T467" i="16" a="1"/>
  <c r="U468" i="16"/>
  <c r="T468" i="16" a="1"/>
  <c r="U469" i="16"/>
  <c r="T469" i="16" a="1"/>
  <c r="U470" i="16"/>
  <c r="T470" i="16" a="1"/>
  <c r="U471" i="16"/>
  <c r="T471" i="16" a="1"/>
  <c r="U472" i="16"/>
  <c r="T472" i="16" a="1"/>
  <c r="U473" i="16"/>
  <c r="T473" i="16" a="1"/>
  <c r="U474" i="16"/>
  <c r="T474" i="16" a="1"/>
  <c r="U475" i="16"/>
  <c r="T475" i="16" a="1"/>
  <c r="U476" i="16"/>
  <c r="T476" i="16" a="1"/>
  <c r="U477" i="16"/>
  <c r="T477" i="16" a="1"/>
  <c r="U478" i="16"/>
  <c r="T478" i="16" a="1"/>
  <c r="U479" i="16"/>
  <c r="T479" i="16" a="1"/>
  <c r="U480" i="16"/>
  <c r="T480" i="16" a="1"/>
  <c r="U481" i="16"/>
  <c r="T481" i="16" a="1"/>
  <c r="U482" i="16"/>
  <c r="T482" i="16" a="1"/>
  <c r="U483" i="16"/>
  <c r="T483" i="16" a="1"/>
  <c r="U484" i="16"/>
  <c r="T484" i="16" a="1"/>
  <c r="U485" i="16"/>
  <c r="T485" i="16" a="1"/>
  <c r="U486" i="16"/>
  <c r="T486" i="16" a="1"/>
  <c r="U487" i="16"/>
  <c r="T487" i="16" a="1"/>
  <c r="U488" i="16"/>
  <c r="T488" i="16" a="1"/>
  <c r="U489" i="16"/>
  <c r="T489" i="16" a="1"/>
  <c r="U490" i="16"/>
  <c r="T490" i="16" a="1"/>
  <c r="U491" i="16"/>
  <c r="T491" i="16" a="1"/>
  <c r="U492" i="16"/>
  <c r="T492" i="16" a="1"/>
  <c r="U493" i="16"/>
  <c r="T493" i="16" a="1"/>
  <c r="U494" i="16"/>
  <c r="T494" i="16" a="1"/>
  <c r="U495" i="16"/>
  <c r="T495" i="16" a="1"/>
  <c r="U496" i="16"/>
  <c r="T496" i="16" a="1"/>
  <c r="U497" i="16"/>
  <c r="T497" i="16" a="1"/>
  <c r="U498" i="16"/>
  <c r="T498" i="16" a="1"/>
  <c r="U499" i="16"/>
  <c r="T499" i="16" a="1"/>
  <c r="U500" i="16"/>
  <c r="T500" i="16" a="1"/>
  <c r="U501" i="16"/>
  <c r="T501" i="16" a="1"/>
  <c r="U502" i="16"/>
  <c r="T502" i="16" a="1"/>
  <c r="U503" i="16"/>
  <c r="T503" i="16" a="1"/>
  <c r="U504" i="16"/>
  <c r="T504" i="16" a="1"/>
  <c r="U505" i="16"/>
  <c r="T505" i="16" a="1"/>
  <c r="U506" i="16"/>
  <c r="T506" i="16" a="1"/>
  <c r="U507" i="16"/>
  <c r="T507" i="16" a="1"/>
  <c r="U508" i="16"/>
  <c r="T508" i="16" a="1"/>
  <c r="U509" i="16"/>
  <c r="T509" i="16" a="1"/>
  <c r="U510" i="16"/>
  <c r="T510" i="16" a="1"/>
  <c r="U511" i="16"/>
  <c r="T511" i="16" a="1"/>
  <c r="U512" i="16"/>
  <c r="T512" i="16" a="1"/>
  <c r="U513" i="16"/>
  <c r="T513" i="16" a="1"/>
  <c r="U514" i="16"/>
  <c r="T514" i="16" a="1"/>
  <c r="U515" i="16"/>
  <c r="T515" i="16" a="1"/>
  <c r="U516" i="16"/>
  <c r="T516" i="16" a="1"/>
  <c r="U517" i="16"/>
  <c r="T517" i="16" a="1"/>
  <c r="U518" i="16"/>
  <c r="T518" i="16" a="1"/>
  <c r="U519" i="16"/>
  <c r="T519" i="16" a="1"/>
  <c r="U520" i="16"/>
  <c r="T520" i="16" a="1"/>
  <c r="U521" i="16"/>
  <c r="T521" i="16" a="1"/>
  <c r="U522" i="16"/>
  <c r="T522" i="16" a="1"/>
  <c r="U523" i="16"/>
  <c r="T523" i="16" a="1"/>
  <c r="U524" i="16"/>
  <c r="T524" i="16" a="1"/>
  <c r="U525" i="16"/>
  <c r="T525" i="16" a="1"/>
  <c r="U526" i="16"/>
  <c r="T526" i="16" a="1"/>
  <c r="U527" i="16"/>
  <c r="T527" i="16" a="1"/>
  <c r="U528" i="16"/>
  <c r="T528" i="16" a="1"/>
  <c r="U529" i="16"/>
  <c r="T529" i="16" a="1"/>
  <c r="U530" i="16"/>
  <c r="T530" i="16" a="1"/>
  <c r="U531" i="16"/>
  <c r="T531" i="16" a="1"/>
  <c r="U532" i="16"/>
  <c r="T532" i="16" a="1"/>
  <c r="U533" i="16"/>
  <c r="T533" i="16" a="1"/>
  <c r="U534" i="16"/>
  <c r="T534" i="16" a="1"/>
  <c r="U535" i="16"/>
  <c r="T535" i="16" a="1"/>
  <c r="U536" i="16"/>
  <c r="T536" i="16" a="1"/>
  <c r="U537" i="16"/>
  <c r="T537" i="16" a="1"/>
  <c r="U538" i="16"/>
  <c r="T538" i="16" a="1"/>
  <c r="U539" i="16"/>
  <c r="T539" i="16" a="1"/>
  <c r="U540" i="16"/>
  <c r="T540" i="16" a="1"/>
  <c r="U541" i="16"/>
  <c r="T541" i="16" a="1"/>
  <c r="U542" i="16"/>
  <c r="T542" i="16" a="1"/>
  <c r="U543" i="16"/>
  <c r="T543" i="16" a="1"/>
  <c r="U544" i="16"/>
  <c r="T544" i="16" a="1"/>
  <c r="U545" i="16"/>
  <c r="T545" i="16" a="1"/>
  <c r="U546" i="16"/>
  <c r="T546" i="16" a="1"/>
  <c r="U547" i="16"/>
  <c r="T547" i="16" a="1"/>
  <c r="U548" i="16"/>
  <c r="T548" i="16" a="1"/>
  <c r="U549" i="16"/>
  <c r="T549" i="16" a="1"/>
  <c r="U550" i="16"/>
  <c r="T550" i="16" a="1"/>
  <c r="U551" i="16"/>
  <c r="T551" i="16" a="1"/>
  <c r="U552" i="16"/>
  <c r="T552" i="16" a="1"/>
  <c r="U553" i="16"/>
  <c r="T553" i="16" a="1"/>
  <c r="U554" i="16"/>
  <c r="T554" i="16" a="1"/>
  <c r="U555" i="16"/>
  <c r="T555" i="16" a="1"/>
  <c r="U556" i="16"/>
  <c r="T556" i="16" a="1"/>
  <c r="U557" i="16"/>
  <c r="T557" i="16" a="1"/>
  <c r="U558" i="16"/>
  <c r="T558" i="16" a="1"/>
  <c r="U559" i="16"/>
  <c r="T559" i="16" a="1"/>
  <c r="U560" i="16"/>
  <c r="T560" i="16" a="1"/>
  <c r="U561" i="16"/>
  <c r="T561" i="16" a="1"/>
  <c r="U562" i="16"/>
  <c r="T562" i="16" a="1"/>
  <c r="U563" i="16"/>
  <c r="T563" i="16" a="1"/>
  <c r="U564" i="16"/>
  <c r="T564" i="16" a="1"/>
  <c r="U565" i="16"/>
  <c r="T565" i="16" a="1"/>
  <c r="U566" i="16"/>
  <c r="T566" i="16" a="1"/>
  <c r="U567" i="16"/>
  <c r="T567" i="16" a="1"/>
  <c r="U568" i="16"/>
  <c r="T568" i="16" a="1"/>
  <c r="U569" i="16"/>
  <c r="T569" i="16" a="1"/>
  <c r="U570" i="16"/>
  <c r="T570" i="16" a="1"/>
  <c r="U571" i="16"/>
  <c r="T571" i="16" a="1"/>
  <c r="U572" i="16"/>
  <c r="T572" i="16" a="1"/>
  <c r="U573" i="16"/>
  <c r="T573" i="16" a="1"/>
  <c r="U574" i="16"/>
  <c r="T574" i="16" a="1"/>
  <c r="U575" i="16"/>
  <c r="T575" i="16" a="1"/>
  <c r="U576" i="16"/>
  <c r="T576" i="16" a="1"/>
  <c r="U577" i="16"/>
  <c r="T577" i="16" a="1"/>
  <c r="U578" i="16"/>
  <c r="T578" i="16" a="1"/>
  <c r="U579" i="16"/>
  <c r="T579" i="16" a="1"/>
  <c r="U580" i="16"/>
  <c r="T580" i="16" a="1"/>
  <c r="U581" i="16"/>
  <c r="T581" i="16" a="1"/>
  <c r="U582" i="16"/>
  <c r="T582" i="16" a="1"/>
  <c r="U583" i="16"/>
  <c r="T583" i="16" a="1"/>
  <c r="U584" i="16"/>
  <c r="T584" i="16" a="1"/>
  <c r="U585" i="16"/>
  <c r="T585" i="16" a="1"/>
  <c r="U586" i="16"/>
  <c r="T586" i="16" a="1"/>
  <c r="U587" i="16"/>
  <c r="T587" i="16" a="1"/>
  <c r="U588" i="16"/>
  <c r="T588" i="16" a="1"/>
  <c r="U589" i="16"/>
  <c r="T589" i="16" a="1"/>
  <c r="U590" i="16"/>
  <c r="T590" i="16" a="1"/>
  <c r="U591" i="16"/>
  <c r="T591" i="16" a="1"/>
  <c r="U592" i="16"/>
  <c r="T592" i="16" a="1"/>
  <c r="U593" i="16"/>
  <c r="T593" i="16" a="1"/>
  <c r="U594" i="16"/>
  <c r="T594" i="16" a="1"/>
  <c r="U595" i="16"/>
  <c r="T595" i="16" a="1"/>
  <c r="U596" i="16"/>
  <c r="T596" i="16" a="1"/>
  <c r="U597" i="16"/>
  <c r="T597" i="16" a="1"/>
  <c r="U598" i="16"/>
  <c r="T598" i="16" a="1"/>
  <c r="U599" i="16"/>
  <c r="T599" i="16" a="1"/>
  <c r="U600" i="16"/>
  <c r="T600" i="16" a="1"/>
  <c r="U601" i="16"/>
  <c r="T601" i="16" a="1"/>
  <c r="U602" i="16"/>
  <c r="T602" i="16" a="1"/>
  <c r="U603" i="16"/>
  <c r="T603" i="16" a="1"/>
  <c r="U604" i="16"/>
  <c r="T604" i="16" a="1"/>
  <c r="U605" i="16"/>
  <c r="T605" i="16" a="1"/>
  <c r="U606" i="16"/>
  <c r="T606" i="16" a="1"/>
  <c r="U607" i="16"/>
  <c r="T607" i="16" a="1"/>
  <c r="U608" i="16"/>
  <c r="T608" i="16" a="1"/>
  <c r="U609" i="16"/>
  <c r="T609" i="16" a="1"/>
  <c r="U610" i="16"/>
  <c r="T610" i="16" a="1"/>
  <c r="U611" i="16"/>
  <c r="T611" i="16" a="1"/>
  <c r="U612" i="16"/>
  <c r="T612" i="16" a="1"/>
  <c r="U613" i="16"/>
  <c r="T613" i="16" a="1"/>
  <c r="U614" i="16"/>
  <c r="T614" i="16" a="1"/>
  <c r="U615" i="16"/>
  <c r="T615" i="16" a="1"/>
  <c r="U616" i="16"/>
  <c r="T616" i="16" a="1"/>
  <c r="U617" i="16"/>
  <c r="T617" i="16" a="1"/>
  <c r="U618" i="16"/>
  <c r="T618" i="16" a="1"/>
  <c r="U619" i="16"/>
  <c r="T619" i="16" a="1"/>
  <c r="U620" i="16"/>
  <c r="T620" i="16" a="1"/>
  <c r="U621" i="16"/>
  <c r="T621" i="16" a="1"/>
  <c r="U622" i="16"/>
  <c r="T622" i="16" a="1"/>
  <c r="U623" i="16"/>
  <c r="T623" i="16" a="1"/>
  <c r="U624" i="16"/>
  <c r="T624" i="16" a="1"/>
  <c r="U625" i="16"/>
  <c r="T625" i="16" a="1"/>
  <c r="U626" i="16"/>
  <c r="T626" i="16" a="1"/>
  <c r="U627" i="16"/>
  <c r="T627" i="16" a="1"/>
  <c r="U628" i="16"/>
  <c r="T628" i="16" a="1"/>
  <c r="U629" i="16"/>
  <c r="T629" i="16" a="1"/>
  <c r="U630" i="16"/>
  <c r="T630" i="16" a="1"/>
  <c r="U631" i="16"/>
  <c r="T631" i="16" a="1"/>
  <c r="U632" i="16"/>
  <c r="T632" i="16" a="1"/>
  <c r="U633" i="16"/>
  <c r="T633" i="16" a="1"/>
  <c r="U634" i="16"/>
  <c r="T634" i="16" a="1"/>
  <c r="U635" i="16"/>
  <c r="T635" i="16" a="1"/>
  <c r="U636" i="16"/>
  <c r="T636" i="16" a="1"/>
  <c r="U637" i="16"/>
  <c r="T637" i="16" a="1"/>
  <c r="U638" i="16"/>
  <c r="T638" i="16" a="1"/>
  <c r="U639" i="16"/>
  <c r="T639" i="16" a="1"/>
  <c r="U640" i="16"/>
  <c r="T640" i="16" a="1"/>
  <c r="U641" i="16"/>
  <c r="T641" i="16" a="1"/>
  <c r="U642" i="16"/>
  <c r="T642" i="16" a="1"/>
  <c r="U643" i="16"/>
  <c r="T643" i="16" a="1"/>
  <c r="U644" i="16"/>
  <c r="T644" i="16" a="1"/>
  <c r="U645" i="16"/>
  <c r="T645" i="16" a="1"/>
  <c r="U646" i="16"/>
  <c r="T646" i="16" a="1"/>
  <c r="U647" i="16"/>
  <c r="T647" i="16" a="1"/>
  <c r="U648" i="16"/>
  <c r="T648" i="16" a="1"/>
  <c r="U649" i="16"/>
  <c r="T649" i="16" a="1"/>
  <c r="U650" i="16"/>
  <c r="T650" i="16" a="1"/>
  <c r="U651" i="16"/>
  <c r="T651" i="16" a="1"/>
  <c r="U652" i="16"/>
  <c r="T652" i="16" a="1"/>
  <c r="U653" i="16"/>
  <c r="T653" i="16" a="1"/>
  <c r="U654" i="16"/>
  <c r="T654" i="16" a="1"/>
  <c r="U655" i="16"/>
  <c r="T655" i="16" a="1"/>
  <c r="U656" i="16"/>
  <c r="T656" i="16" a="1"/>
  <c r="U657" i="16"/>
  <c r="T657" i="16" a="1"/>
  <c r="U658" i="16"/>
  <c r="T658" i="16" a="1"/>
  <c r="U659" i="16"/>
  <c r="T659" i="16" a="1"/>
  <c r="U660" i="16"/>
  <c r="T660" i="16" a="1"/>
  <c r="U661" i="16"/>
  <c r="T661" i="16" a="1"/>
  <c r="U662" i="16"/>
  <c r="T662" i="16" a="1"/>
  <c r="U663" i="16"/>
  <c r="T663" i="16" a="1"/>
  <c r="U664" i="16"/>
  <c r="T664" i="16" a="1"/>
  <c r="U665" i="16"/>
  <c r="T665" i="16" a="1"/>
  <c r="U666" i="16"/>
  <c r="T666" i="16" a="1"/>
  <c r="U667" i="16"/>
  <c r="T667" i="16" a="1"/>
  <c r="U668" i="16"/>
  <c r="T668" i="16" a="1"/>
  <c r="U669" i="16"/>
  <c r="T669" i="16" a="1"/>
  <c r="U670" i="16"/>
  <c r="T670" i="16" a="1"/>
  <c r="U671" i="16"/>
  <c r="T671" i="16" a="1"/>
  <c r="U672" i="16"/>
  <c r="T672" i="16" a="1"/>
  <c r="U673" i="16"/>
  <c r="T673" i="16" a="1"/>
  <c r="U674" i="16"/>
  <c r="T674" i="16" a="1"/>
  <c r="U675" i="16"/>
  <c r="T675" i="16" a="1"/>
  <c r="U676" i="16"/>
  <c r="T676" i="16" a="1"/>
  <c r="U677" i="16"/>
  <c r="T677" i="16" a="1"/>
  <c r="U678" i="16"/>
  <c r="T678" i="16" a="1"/>
  <c r="U679" i="16"/>
  <c r="T679" i="16" a="1"/>
  <c r="U680" i="16"/>
  <c r="T680" i="16" a="1"/>
  <c r="U681" i="16"/>
  <c r="T681" i="16" a="1"/>
  <c r="U682" i="16"/>
  <c r="T682" i="16" a="1"/>
  <c r="U683" i="16"/>
  <c r="T683" i="16" a="1"/>
  <c r="U684" i="16"/>
  <c r="T684" i="16" a="1"/>
  <c r="U685" i="16"/>
  <c r="T685" i="16" a="1"/>
  <c r="U686" i="16"/>
  <c r="T686" i="16" a="1"/>
  <c r="U687" i="16"/>
  <c r="T687" i="16" a="1"/>
  <c r="U688" i="16"/>
  <c r="T688" i="16" a="1"/>
  <c r="U689" i="16"/>
  <c r="T689" i="16" a="1"/>
  <c r="U690" i="16"/>
  <c r="T690" i="16" a="1"/>
  <c r="U691" i="16"/>
  <c r="T691" i="16" a="1"/>
  <c r="U692" i="16"/>
  <c r="T692" i="16" a="1"/>
  <c r="U693" i="16"/>
  <c r="T693" i="16" a="1"/>
  <c r="U694" i="16"/>
  <c r="T694" i="16" a="1"/>
  <c r="U695" i="16"/>
  <c r="T695" i="16" a="1"/>
  <c r="U696" i="16"/>
  <c r="T696" i="16" a="1"/>
  <c r="U697" i="16"/>
  <c r="T697" i="16" a="1"/>
  <c r="U698" i="16"/>
  <c r="T698" i="16" a="1"/>
  <c r="U699" i="16"/>
  <c r="T699" i="16" a="1"/>
  <c r="U700" i="16"/>
  <c r="T700" i="16" a="1"/>
  <c r="U701" i="16"/>
  <c r="T701" i="16" a="1"/>
  <c r="U702" i="16"/>
  <c r="T702" i="16" a="1"/>
  <c r="U703" i="16"/>
  <c r="T703" i="16" a="1"/>
  <c r="U704" i="16"/>
  <c r="T704" i="16" a="1"/>
  <c r="U705" i="16"/>
  <c r="T705" i="16" a="1"/>
  <c r="U706" i="16"/>
  <c r="T706" i="16" a="1"/>
  <c r="U707" i="16"/>
  <c r="T707" i="16" a="1"/>
  <c r="U708" i="16"/>
  <c r="T708" i="16" a="1"/>
  <c r="U709" i="16"/>
  <c r="T709" i="16" a="1"/>
  <c r="U710" i="16"/>
  <c r="T710" i="16" a="1"/>
  <c r="U711" i="16"/>
  <c r="T711" i="16" a="1"/>
  <c r="U712" i="16"/>
  <c r="T712" i="16" a="1"/>
  <c r="U713" i="16"/>
  <c r="T713" i="16" a="1"/>
  <c r="U714" i="16"/>
  <c r="T714" i="16" a="1"/>
  <c r="U715" i="16"/>
  <c r="T715" i="16" a="1"/>
  <c r="U716" i="16"/>
  <c r="T716" i="16" a="1"/>
  <c r="U717" i="16"/>
  <c r="T717" i="16" a="1"/>
  <c r="U718" i="16"/>
  <c r="T718" i="16" a="1"/>
  <c r="U719" i="16"/>
  <c r="T719" i="16" a="1"/>
  <c r="U720" i="16"/>
  <c r="T720" i="16" a="1"/>
  <c r="U721" i="16"/>
  <c r="T721" i="16" a="1"/>
  <c r="U722" i="16"/>
  <c r="T722" i="16" a="1"/>
  <c r="U723" i="16"/>
  <c r="T723" i="16" a="1"/>
  <c r="U724" i="16"/>
  <c r="T724" i="16" a="1"/>
  <c r="U725" i="16"/>
  <c r="T725" i="16" a="1"/>
  <c r="U726" i="16"/>
  <c r="T726" i="16" a="1"/>
  <c r="U727" i="16"/>
  <c r="T727" i="16" a="1"/>
  <c r="U728" i="16"/>
  <c r="T728" i="16" a="1"/>
  <c r="U729" i="16"/>
  <c r="T729" i="16" a="1"/>
  <c r="U730" i="16"/>
  <c r="T730" i="16" a="1"/>
  <c r="U731" i="16"/>
  <c r="T731" i="16" a="1"/>
  <c r="U732" i="16"/>
  <c r="T732" i="16" a="1"/>
  <c r="U733" i="16"/>
  <c r="T733" i="16" a="1"/>
  <c r="U734" i="16"/>
  <c r="T734" i="16" a="1"/>
  <c r="U735" i="16"/>
  <c r="T735" i="16" a="1"/>
  <c r="U736" i="16"/>
  <c r="T736" i="16" a="1"/>
  <c r="U737" i="16"/>
  <c r="T737" i="16" a="1"/>
  <c r="U738" i="16"/>
  <c r="T738" i="16" a="1"/>
  <c r="U739" i="16"/>
  <c r="T739" i="16" a="1"/>
  <c r="U740" i="16"/>
  <c r="T740" i="16" a="1"/>
  <c r="U741" i="16"/>
  <c r="T741" i="16" a="1"/>
  <c r="U742" i="16"/>
  <c r="T742" i="16" a="1"/>
  <c r="U743" i="16"/>
  <c r="T743" i="16" a="1"/>
  <c r="U744" i="16"/>
  <c r="T744" i="16" a="1"/>
  <c r="U745" i="16"/>
  <c r="T745" i="16" a="1"/>
  <c r="U746" i="16"/>
  <c r="T746" i="16" a="1"/>
  <c r="U747" i="16"/>
  <c r="T747" i="16" a="1"/>
  <c r="U748" i="16"/>
  <c r="T748" i="16" a="1"/>
  <c r="U749" i="16"/>
  <c r="T749" i="16" a="1"/>
  <c r="U750" i="16"/>
  <c r="T750" i="16" a="1"/>
  <c r="U751" i="16"/>
  <c r="T751" i="16" a="1"/>
  <c r="U752" i="16"/>
  <c r="T752" i="16" a="1"/>
  <c r="U753" i="16"/>
  <c r="T753" i="16" a="1"/>
  <c r="U754" i="16"/>
  <c r="T754" i="16" a="1"/>
  <c r="U755" i="16"/>
  <c r="T755" i="16" a="1"/>
  <c r="U756" i="16"/>
  <c r="T756" i="16" a="1"/>
  <c r="U757" i="16"/>
  <c r="T757" i="16" a="1"/>
  <c r="T757" i="16" l="1"/>
  <c r="V757" i="16" s="1"/>
  <c r="T756" i="16"/>
  <c r="V756" i="16" s="1"/>
  <c r="T755" i="16"/>
  <c r="V755" i="16" s="1"/>
  <c r="T754" i="16"/>
  <c r="V754" i="16" s="1"/>
  <c r="T753" i="16"/>
  <c r="V753" i="16" s="1"/>
  <c r="T752" i="16"/>
  <c r="V752" i="16" s="1"/>
  <c r="T751" i="16"/>
  <c r="V751" i="16" s="1"/>
  <c r="T750" i="16"/>
  <c r="V750" i="16" s="1"/>
  <c r="T749" i="16"/>
  <c r="V749" i="16" s="1"/>
  <c r="T748" i="16"/>
  <c r="V748" i="16" s="1"/>
  <c r="T747" i="16"/>
  <c r="V747" i="16" s="1"/>
  <c r="T746" i="16"/>
  <c r="V746" i="16" s="1"/>
  <c r="T745" i="16"/>
  <c r="V745" i="16" s="1"/>
  <c r="T744" i="16"/>
  <c r="V744" i="16" s="1"/>
  <c r="T743" i="16"/>
  <c r="V743" i="16" s="1"/>
  <c r="T742" i="16"/>
  <c r="V742" i="16" s="1"/>
  <c r="T741" i="16"/>
  <c r="V741" i="16" s="1"/>
  <c r="T740" i="16"/>
  <c r="V740" i="16" s="1"/>
  <c r="T739" i="16"/>
  <c r="V739" i="16" s="1"/>
  <c r="T738" i="16"/>
  <c r="V738" i="16" s="1"/>
  <c r="T737" i="16"/>
  <c r="V737" i="16" s="1"/>
  <c r="T736" i="16"/>
  <c r="V736" i="16" s="1"/>
  <c r="T735" i="16"/>
  <c r="V735" i="16" s="1"/>
  <c r="T734" i="16"/>
  <c r="V734" i="16" s="1"/>
  <c r="T733" i="16"/>
  <c r="V733" i="16" s="1"/>
  <c r="T732" i="16"/>
  <c r="V732" i="16" s="1"/>
  <c r="T731" i="16"/>
  <c r="V731" i="16" s="1"/>
  <c r="T730" i="16"/>
  <c r="V730" i="16" s="1"/>
  <c r="T729" i="16"/>
  <c r="V729" i="16" s="1"/>
  <c r="T728" i="16"/>
  <c r="V728" i="16" s="1"/>
  <c r="T727" i="16"/>
  <c r="V727" i="16" s="1"/>
  <c r="T726" i="16"/>
  <c r="V726" i="16" s="1"/>
  <c r="T725" i="16"/>
  <c r="V725" i="16" s="1"/>
  <c r="T724" i="16"/>
  <c r="V724" i="16" s="1"/>
  <c r="T723" i="16"/>
  <c r="V723" i="16" s="1"/>
  <c r="T722" i="16"/>
  <c r="V722" i="16" s="1"/>
  <c r="T721" i="16"/>
  <c r="V721" i="16" s="1"/>
  <c r="T720" i="16"/>
  <c r="V720" i="16" s="1"/>
  <c r="T719" i="16"/>
  <c r="V719" i="16" s="1"/>
  <c r="T718" i="16"/>
  <c r="V718" i="16" s="1"/>
  <c r="T717" i="16"/>
  <c r="V717" i="16" s="1"/>
  <c r="T716" i="16"/>
  <c r="V716" i="16" s="1"/>
  <c r="T715" i="16"/>
  <c r="V715" i="16" s="1"/>
  <c r="T714" i="16"/>
  <c r="V714" i="16" s="1"/>
  <c r="T713" i="16"/>
  <c r="V713" i="16" s="1"/>
  <c r="T712" i="16"/>
  <c r="V712" i="16" s="1"/>
  <c r="T711" i="16"/>
  <c r="V711" i="16" s="1"/>
  <c r="T710" i="16"/>
  <c r="V710" i="16" s="1"/>
  <c r="T709" i="16"/>
  <c r="V709" i="16" s="1"/>
  <c r="T708" i="16"/>
  <c r="V708" i="16" s="1"/>
  <c r="T707" i="16"/>
  <c r="V707" i="16" s="1"/>
  <c r="T706" i="16"/>
  <c r="V706" i="16" s="1"/>
  <c r="T705" i="16"/>
  <c r="V705" i="16" s="1"/>
  <c r="T704" i="16"/>
  <c r="V704" i="16" s="1"/>
  <c r="T703" i="16"/>
  <c r="V703" i="16" s="1"/>
  <c r="T702" i="16"/>
  <c r="V702" i="16" s="1"/>
  <c r="T701" i="16"/>
  <c r="V701" i="16" s="1"/>
  <c r="T700" i="16"/>
  <c r="V700" i="16" s="1"/>
  <c r="T699" i="16"/>
  <c r="V699" i="16" s="1"/>
  <c r="T698" i="16"/>
  <c r="V698" i="16" s="1"/>
  <c r="T697" i="16"/>
  <c r="V697" i="16" s="1"/>
  <c r="T696" i="16"/>
  <c r="V696" i="16" s="1"/>
  <c r="T695" i="16"/>
  <c r="V695" i="16" s="1"/>
  <c r="T694" i="16"/>
  <c r="V694" i="16" s="1"/>
  <c r="T693" i="16"/>
  <c r="V693" i="16" s="1"/>
  <c r="T692" i="16"/>
  <c r="V692" i="16" s="1"/>
  <c r="T691" i="16"/>
  <c r="V691" i="16" s="1"/>
  <c r="T690" i="16"/>
  <c r="V690" i="16" s="1"/>
  <c r="T689" i="16"/>
  <c r="V689" i="16" s="1"/>
  <c r="T688" i="16"/>
  <c r="V688" i="16" s="1"/>
  <c r="T687" i="16"/>
  <c r="V687" i="16" s="1"/>
  <c r="T686" i="16"/>
  <c r="V686" i="16" s="1"/>
  <c r="T685" i="16"/>
  <c r="V685" i="16" s="1"/>
  <c r="T684" i="16"/>
  <c r="V684" i="16" s="1"/>
  <c r="T683" i="16"/>
  <c r="V683" i="16" s="1"/>
  <c r="T682" i="16"/>
  <c r="V682" i="16" s="1"/>
  <c r="T681" i="16"/>
  <c r="V681" i="16" s="1"/>
  <c r="T680" i="16"/>
  <c r="V680" i="16" s="1"/>
  <c r="T679" i="16"/>
  <c r="V679" i="16" s="1"/>
  <c r="T678" i="16"/>
  <c r="V678" i="16" s="1"/>
  <c r="T677" i="16"/>
  <c r="V677" i="16" s="1"/>
  <c r="T676" i="16"/>
  <c r="V676" i="16" s="1"/>
  <c r="T675" i="16"/>
  <c r="V675" i="16" s="1"/>
  <c r="T674" i="16"/>
  <c r="V674" i="16" s="1"/>
  <c r="T673" i="16"/>
  <c r="V673" i="16" s="1"/>
  <c r="T672" i="16"/>
  <c r="V672" i="16" s="1"/>
  <c r="T671" i="16"/>
  <c r="V671" i="16" s="1"/>
  <c r="T670" i="16"/>
  <c r="V670" i="16" s="1"/>
  <c r="T669" i="16"/>
  <c r="V669" i="16" s="1"/>
  <c r="T668" i="16"/>
  <c r="V668" i="16" s="1"/>
  <c r="T667" i="16"/>
  <c r="V667" i="16" s="1"/>
  <c r="T666" i="16"/>
  <c r="V666" i="16" s="1"/>
  <c r="T665" i="16"/>
  <c r="V665" i="16" s="1"/>
  <c r="T664" i="16"/>
  <c r="V664" i="16" s="1"/>
  <c r="T663" i="16"/>
  <c r="V663" i="16" s="1"/>
  <c r="T662" i="16"/>
  <c r="V662" i="16" s="1"/>
  <c r="T661" i="16"/>
  <c r="V661" i="16" s="1"/>
  <c r="T660" i="16"/>
  <c r="V660" i="16" s="1"/>
  <c r="T659" i="16"/>
  <c r="V659" i="16" s="1"/>
  <c r="T658" i="16"/>
  <c r="V658" i="16" s="1"/>
  <c r="T657" i="16"/>
  <c r="V657" i="16" s="1"/>
  <c r="T656" i="16"/>
  <c r="V656" i="16" s="1"/>
  <c r="T655" i="16"/>
  <c r="V655" i="16" s="1"/>
  <c r="T654" i="16"/>
  <c r="V654" i="16" s="1"/>
  <c r="T653" i="16"/>
  <c r="V653" i="16" s="1"/>
  <c r="T652" i="16"/>
  <c r="V652" i="16" s="1"/>
  <c r="T651" i="16"/>
  <c r="V651" i="16" s="1"/>
  <c r="T650" i="16"/>
  <c r="V650" i="16" s="1"/>
  <c r="T649" i="16"/>
  <c r="V649" i="16" s="1"/>
  <c r="T648" i="16"/>
  <c r="V648" i="16" s="1"/>
  <c r="T647" i="16"/>
  <c r="V647" i="16" s="1"/>
  <c r="T646" i="16"/>
  <c r="V646" i="16" s="1"/>
  <c r="T645" i="16"/>
  <c r="V645" i="16" s="1"/>
  <c r="T644" i="16"/>
  <c r="V644" i="16" s="1"/>
  <c r="T643" i="16"/>
  <c r="V643" i="16" s="1"/>
  <c r="T642" i="16"/>
  <c r="V642" i="16" s="1"/>
  <c r="T641" i="16"/>
  <c r="V641" i="16" s="1"/>
  <c r="T640" i="16"/>
  <c r="V640" i="16" s="1"/>
  <c r="T639" i="16"/>
  <c r="V639" i="16" s="1"/>
  <c r="T638" i="16"/>
  <c r="V638" i="16" s="1"/>
  <c r="T637" i="16"/>
  <c r="V637" i="16" s="1"/>
  <c r="T636" i="16"/>
  <c r="V636" i="16" s="1"/>
  <c r="T635" i="16"/>
  <c r="V635" i="16" s="1"/>
  <c r="T634" i="16"/>
  <c r="V634" i="16" s="1"/>
  <c r="T633" i="16"/>
  <c r="V633" i="16" s="1"/>
  <c r="T632" i="16"/>
  <c r="V632" i="16" s="1"/>
  <c r="T631" i="16"/>
  <c r="V631" i="16" s="1"/>
  <c r="T630" i="16"/>
  <c r="V630" i="16" s="1"/>
  <c r="T629" i="16"/>
  <c r="V629" i="16" s="1"/>
  <c r="T628" i="16"/>
  <c r="V628" i="16" s="1"/>
  <c r="T627" i="16"/>
  <c r="V627" i="16" s="1"/>
  <c r="T626" i="16"/>
  <c r="V626" i="16" s="1"/>
  <c r="T625" i="16"/>
  <c r="V625" i="16" s="1"/>
  <c r="T624" i="16"/>
  <c r="V624" i="16" s="1"/>
  <c r="T623" i="16"/>
  <c r="V623" i="16" s="1"/>
  <c r="T622" i="16"/>
  <c r="V622" i="16" s="1"/>
  <c r="T621" i="16"/>
  <c r="V621" i="16" s="1"/>
  <c r="T620" i="16"/>
  <c r="V620" i="16" s="1"/>
  <c r="T619" i="16"/>
  <c r="V619" i="16" s="1"/>
  <c r="T618" i="16"/>
  <c r="V618" i="16" s="1"/>
  <c r="T617" i="16"/>
  <c r="V617" i="16" s="1"/>
  <c r="T616" i="16"/>
  <c r="V616" i="16" s="1"/>
  <c r="T615" i="16"/>
  <c r="V615" i="16" s="1"/>
  <c r="T614" i="16"/>
  <c r="V614" i="16" s="1"/>
  <c r="T613" i="16"/>
  <c r="V613" i="16" s="1"/>
  <c r="T612" i="16"/>
  <c r="V612" i="16" s="1"/>
  <c r="T611" i="16"/>
  <c r="V611" i="16" s="1"/>
  <c r="T610" i="16"/>
  <c r="V610" i="16" s="1"/>
  <c r="T609" i="16"/>
  <c r="V609" i="16" s="1"/>
  <c r="T608" i="16"/>
  <c r="V608" i="16" s="1"/>
  <c r="T607" i="16"/>
  <c r="V607" i="16" s="1"/>
  <c r="T606" i="16"/>
  <c r="V606" i="16" s="1"/>
  <c r="T605" i="16"/>
  <c r="V605" i="16" s="1"/>
  <c r="T604" i="16"/>
  <c r="V604" i="16" s="1"/>
  <c r="T603" i="16"/>
  <c r="V603" i="16" s="1"/>
  <c r="T602" i="16"/>
  <c r="V602" i="16" s="1"/>
  <c r="T601" i="16"/>
  <c r="V601" i="16" s="1"/>
  <c r="T600" i="16"/>
  <c r="V600" i="16" s="1"/>
  <c r="T599" i="16"/>
  <c r="V599" i="16" s="1"/>
  <c r="T598" i="16"/>
  <c r="V598" i="16" s="1"/>
  <c r="T597" i="16"/>
  <c r="V597" i="16" s="1"/>
  <c r="T596" i="16"/>
  <c r="V596" i="16" s="1"/>
  <c r="T595" i="16"/>
  <c r="V595" i="16" s="1"/>
  <c r="T594" i="16"/>
  <c r="V594" i="16" s="1"/>
  <c r="T593" i="16"/>
  <c r="V593" i="16" s="1"/>
  <c r="T592" i="16"/>
  <c r="V592" i="16" s="1"/>
  <c r="T591" i="16"/>
  <c r="V591" i="16" s="1"/>
  <c r="T590" i="16"/>
  <c r="V590" i="16" s="1"/>
  <c r="T589" i="16"/>
  <c r="V589" i="16" s="1"/>
  <c r="T588" i="16"/>
  <c r="V588" i="16" s="1"/>
  <c r="T587" i="16"/>
  <c r="V587" i="16" s="1"/>
  <c r="T586" i="16"/>
  <c r="V586" i="16" s="1"/>
  <c r="T585" i="16"/>
  <c r="V585" i="16" s="1"/>
  <c r="T584" i="16"/>
  <c r="V584" i="16" s="1"/>
  <c r="T583" i="16"/>
  <c r="V583" i="16" s="1"/>
  <c r="T582" i="16"/>
  <c r="V582" i="16" s="1"/>
  <c r="T581" i="16"/>
  <c r="V581" i="16" s="1"/>
  <c r="T580" i="16"/>
  <c r="V580" i="16" s="1"/>
  <c r="T579" i="16"/>
  <c r="V579" i="16" s="1"/>
  <c r="T578" i="16"/>
  <c r="V578" i="16" s="1"/>
  <c r="T577" i="16"/>
  <c r="V577" i="16" s="1"/>
  <c r="T576" i="16"/>
  <c r="V576" i="16" s="1"/>
  <c r="T575" i="16"/>
  <c r="V575" i="16" s="1"/>
  <c r="T574" i="16"/>
  <c r="V574" i="16" s="1"/>
  <c r="T573" i="16"/>
  <c r="V573" i="16" s="1"/>
  <c r="T572" i="16"/>
  <c r="V572" i="16" s="1"/>
  <c r="T571" i="16"/>
  <c r="V571" i="16" s="1"/>
  <c r="T570" i="16"/>
  <c r="V570" i="16" s="1"/>
  <c r="T569" i="16"/>
  <c r="V569" i="16" s="1"/>
  <c r="T568" i="16"/>
  <c r="V568" i="16" s="1"/>
  <c r="T567" i="16"/>
  <c r="V567" i="16" s="1"/>
  <c r="T566" i="16"/>
  <c r="V566" i="16" s="1"/>
  <c r="T565" i="16"/>
  <c r="V565" i="16" s="1"/>
  <c r="T564" i="16"/>
  <c r="V564" i="16" s="1"/>
  <c r="T563" i="16"/>
  <c r="V563" i="16" s="1"/>
  <c r="T562" i="16"/>
  <c r="V562" i="16" s="1"/>
  <c r="T561" i="16"/>
  <c r="V561" i="16" s="1"/>
  <c r="T560" i="16"/>
  <c r="V560" i="16" s="1"/>
  <c r="T559" i="16"/>
  <c r="V559" i="16" s="1"/>
  <c r="T558" i="16"/>
  <c r="V558" i="16" s="1"/>
  <c r="T557" i="16"/>
  <c r="V557" i="16" s="1"/>
  <c r="T556" i="16"/>
  <c r="V556" i="16" s="1"/>
  <c r="T555" i="16"/>
  <c r="V555" i="16" s="1"/>
  <c r="T554" i="16"/>
  <c r="V554" i="16" s="1"/>
  <c r="T553" i="16"/>
  <c r="V553" i="16" s="1"/>
  <c r="T552" i="16"/>
  <c r="V552" i="16" s="1"/>
  <c r="T551" i="16"/>
  <c r="V551" i="16" s="1"/>
  <c r="T550" i="16"/>
  <c r="V550" i="16" s="1"/>
  <c r="T549" i="16"/>
  <c r="V549" i="16" s="1"/>
  <c r="T548" i="16"/>
  <c r="V548" i="16" s="1"/>
  <c r="T547" i="16"/>
  <c r="V547" i="16" s="1"/>
  <c r="T546" i="16"/>
  <c r="V546" i="16" s="1"/>
  <c r="T545" i="16"/>
  <c r="V545" i="16" s="1"/>
  <c r="T544" i="16"/>
  <c r="V544" i="16" s="1"/>
  <c r="T543" i="16"/>
  <c r="V543" i="16" s="1"/>
  <c r="T542" i="16"/>
  <c r="V542" i="16" s="1"/>
  <c r="T541" i="16"/>
  <c r="V541" i="16" s="1"/>
  <c r="T540" i="16"/>
  <c r="V540" i="16" s="1"/>
  <c r="T539" i="16"/>
  <c r="V539" i="16" s="1"/>
  <c r="T538" i="16"/>
  <c r="V538" i="16" s="1"/>
  <c r="T537" i="16"/>
  <c r="V537" i="16" s="1"/>
  <c r="T536" i="16"/>
  <c r="V536" i="16" s="1"/>
  <c r="T535" i="16"/>
  <c r="V535" i="16" s="1"/>
  <c r="T534" i="16"/>
  <c r="V534" i="16" s="1"/>
  <c r="T533" i="16"/>
  <c r="V533" i="16" s="1"/>
  <c r="T532" i="16"/>
  <c r="V532" i="16" s="1"/>
  <c r="T531" i="16"/>
  <c r="V531" i="16" s="1"/>
  <c r="T530" i="16"/>
  <c r="V530" i="16" s="1"/>
  <c r="T529" i="16"/>
  <c r="V529" i="16" s="1"/>
  <c r="T528" i="16"/>
  <c r="V528" i="16" s="1"/>
  <c r="T527" i="16"/>
  <c r="V527" i="16" s="1"/>
  <c r="T526" i="16"/>
  <c r="V526" i="16" s="1"/>
  <c r="T525" i="16"/>
  <c r="V525" i="16" s="1"/>
  <c r="T524" i="16"/>
  <c r="V524" i="16" s="1"/>
  <c r="T523" i="16"/>
  <c r="V523" i="16" s="1"/>
  <c r="T522" i="16"/>
  <c r="V522" i="16" s="1"/>
  <c r="T521" i="16"/>
  <c r="V521" i="16" s="1"/>
  <c r="T520" i="16"/>
  <c r="V520" i="16" s="1"/>
  <c r="T519" i="16"/>
  <c r="V519" i="16" s="1"/>
  <c r="T518" i="16"/>
  <c r="V518" i="16" s="1"/>
  <c r="T517" i="16"/>
  <c r="V517" i="16" s="1"/>
  <c r="T516" i="16"/>
  <c r="V516" i="16" s="1"/>
  <c r="T515" i="16"/>
  <c r="V515" i="16" s="1"/>
  <c r="T514" i="16"/>
  <c r="V514" i="16" s="1"/>
  <c r="T513" i="16"/>
  <c r="V513" i="16" s="1"/>
  <c r="T512" i="16"/>
  <c r="V512" i="16" s="1"/>
  <c r="T511" i="16"/>
  <c r="V511" i="16" s="1"/>
  <c r="T510" i="16"/>
  <c r="V510" i="16" s="1"/>
  <c r="T509" i="16"/>
  <c r="V509" i="16" s="1"/>
  <c r="T508" i="16"/>
  <c r="V508" i="16" s="1"/>
  <c r="T507" i="16"/>
  <c r="V507" i="16" s="1"/>
  <c r="T506" i="16"/>
  <c r="V506" i="16" s="1"/>
  <c r="T505" i="16"/>
  <c r="V505" i="16" s="1"/>
  <c r="T504" i="16"/>
  <c r="V504" i="16" s="1"/>
  <c r="T503" i="16"/>
  <c r="V503" i="16" s="1"/>
  <c r="T502" i="16"/>
  <c r="V502" i="16" s="1"/>
  <c r="T501" i="16"/>
  <c r="V501" i="16" s="1"/>
  <c r="T500" i="16"/>
  <c r="V500" i="16" s="1"/>
  <c r="T499" i="16"/>
  <c r="V499" i="16" s="1"/>
  <c r="T498" i="16"/>
  <c r="V498" i="16" s="1"/>
  <c r="T497" i="16"/>
  <c r="V497" i="16" s="1"/>
  <c r="T496" i="16"/>
  <c r="V496" i="16" s="1"/>
  <c r="T495" i="16"/>
  <c r="V495" i="16" s="1"/>
  <c r="T494" i="16"/>
  <c r="V494" i="16" s="1"/>
  <c r="T493" i="16"/>
  <c r="V493" i="16" s="1"/>
  <c r="T492" i="16"/>
  <c r="V492" i="16" s="1"/>
  <c r="T491" i="16"/>
  <c r="V491" i="16" s="1"/>
  <c r="T490" i="16"/>
  <c r="V490" i="16" s="1"/>
  <c r="T489" i="16"/>
  <c r="V489" i="16" s="1"/>
  <c r="T488" i="16"/>
  <c r="V488" i="16" s="1"/>
  <c r="T487" i="16"/>
  <c r="V487" i="16" s="1"/>
  <c r="T486" i="16"/>
  <c r="V486" i="16" s="1"/>
  <c r="T485" i="16"/>
  <c r="V485" i="16" s="1"/>
  <c r="T484" i="16"/>
  <c r="V484" i="16" s="1"/>
  <c r="T483" i="16"/>
  <c r="V483" i="16" s="1"/>
  <c r="T482" i="16"/>
  <c r="V482" i="16" s="1"/>
  <c r="T481" i="16"/>
  <c r="V481" i="16" s="1"/>
  <c r="T480" i="16"/>
  <c r="V480" i="16" s="1"/>
  <c r="T479" i="16"/>
  <c r="V479" i="16" s="1"/>
  <c r="T478" i="16"/>
  <c r="V478" i="16" s="1"/>
  <c r="T477" i="16"/>
  <c r="V477" i="16" s="1"/>
  <c r="T476" i="16"/>
  <c r="V476" i="16" s="1"/>
  <c r="T475" i="16"/>
  <c r="V475" i="16" s="1"/>
  <c r="T474" i="16"/>
  <c r="V474" i="16" s="1"/>
  <c r="T473" i="16"/>
  <c r="V473" i="16" s="1"/>
  <c r="T472" i="16"/>
  <c r="V472" i="16" s="1"/>
  <c r="T471" i="16"/>
  <c r="V471" i="16" s="1"/>
  <c r="T470" i="16"/>
  <c r="V470" i="16" s="1"/>
  <c r="T469" i="16"/>
  <c r="V469" i="16" s="1"/>
  <c r="T468" i="16"/>
  <c r="V468" i="16" s="1"/>
  <c r="T467" i="16"/>
  <c r="V467" i="16" s="1"/>
  <c r="T466" i="16"/>
  <c r="V466" i="16" s="1"/>
  <c r="T465" i="16"/>
  <c r="V465" i="16" s="1"/>
  <c r="T464" i="16"/>
  <c r="V464" i="16" s="1"/>
  <c r="T463" i="16"/>
  <c r="V463" i="16" s="1"/>
  <c r="T462" i="16"/>
  <c r="V462" i="16" s="1"/>
  <c r="T461" i="16"/>
  <c r="V461" i="16" s="1"/>
  <c r="T460" i="16"/>
  <c r="V460" i="16" s="1"/>
  <c r="T459" i="16"/>
  <c r="V459" i="16" s="1"/>
  <c r="T458" i="16"/>
  <c r="V458" i="16" s="1"/>
  <c r="T457" i="16"/>
  <c r="V457" i="16" s="1"/>
  <c r="T456" i="16"/>
  <c r="V456" i="16" s="1"/>
  <c r="T455" i="16"/>
  <c r="V455" i="16" s="1"/>
  <c r="T454" i="16"/>
  <c r="V454" i="16" s="1"/>
  <c r="T453" i="16"/>
  <c r="V453" i="16" s="1"/>
  <c r="T452" i="16"/>
  <c r="V452" i="16" s="1"/>
  <c r="T451" i="16"/>
  <c r="V451" i="16" s="1"/>
  <c r="T450" i="16"/>
  <c r="V450" i="16" s="1"/>
  <c r="T449" i="16"/>
  <c r="V449" i="16" s="1"/>
  <c r="T448" i="16"/>
  <c r="V448" i="16" s="1"/>
  <c r="T447" i="16"/>
  <c r="V447" i="16" s="1"/>
  <c r="T446" i="16"/>
  <c r="V446" i="16" s="1"/>
  <c r="T445" i="16"/>
  <c r="V445" i="16" s="1"/>
  <c r="T444" i="16"/>
  <c r="V444" i="16" s="1"/>
  <c r="T443" i="16"/>
  <c r="V443" i="16" s="1"/>
  <c r="T442" i="16"/>
  <c r="V442" i="16" s="1"/>
  <c r="T441" i="16"/>
  <c r="V441" i="16" s="1"/>
  <c r="T440" i="16"/>
  <c r="V440" i="16" s="1"/>
  <c r="T439" i="16"/>
  <c r="V439" i="16" s="1"/>
  <c r="T438" i="16"/>
  <c r="V438" i="16" s="1"/>
  <c r="T437" i="16"/>
  <c r="V437" i="16" s="1"/>
  <c r="T436" i="16"/>
  <c r="V436" i="16" s="1"/>
  <c r="T435" i="16"/>
  <c r="V435" i="16" s="1"/>
  <c r="T434" i="16"/>
  <c r="V434" i="16" s="1"/>
  <c r="T433" i="16"/>
  <c r="V433" i="16" s="1"/>
  <c r="T432" i="16"/>
  <c r="V432" i="16" s="1"/>
  <c r="T431" i="16"/>
  <c r="V431" i="16" s="1"/>
  <c r="T430" i="16"/>
  <c r="V430" i="16" s="1"/>
  <c r="T429" i="16"/>
  <c r="V429" i="16" s="1"/>
  <c r="T428" i="16"/>
  <c r="V428" i="16" s="1"/>
  <c r="T427" i="16"/>
  <c r="V427" i="16" s="1"/>
  <c r="T426" i="16"/>
  <c r="V426" i="16" s="1"/>
  <c r="T425" i="16"/>
  <c r="V425" i="16" s="1"/>
  <c r="T424" i="16"/>
  <c r="V424" i="16" s="1"/>
  <c r="T423" i="16"/>
  <c r="V423" i="16" s="1"/>
  <c r="T422" i="16"/>
  <c r="V422" i="16" s="1"/>
  <c r="T421" i="16"/>
  <c r="V421" i="16" s="1"/>
  <c r="T420" i="16"/>
  <c r="V420" i="16" s="1"/>
  <c r="T419" i="16"/>
  <c r="V419" i="16" s="1"/>
  <c r="T418" i="16"/>
  <c r="V418" i="16" s="1"/>
  <c r="T417" i="16"/>
  <c r="V417" i="16" s="1"/>
  <c r="T416" i="16"/>
  <c r="V416" i="16" s="1"/>
  <c r="T415" i="16"/>
  <c r="V415" i="16" s="1"/>
  <c r="T414" i="16"/>
  <c r="V414" i="16" s="1"/>
  <c r="T413" i="16"/>
  <c r="V413" i="16" s="1"/>
  <c r="T412" i="16"/>
  <c r="V412" i="16" s="1"/>
  <c r="T411" i="16"/>
  <c r="V411" i="16" s="1"/>
  <c r="T410" i="16"/>
  <c r="V410" i="16" s="1"/>
  <c r="T409" i="16"/>
  <c r="V409" i="16" s="1"/>
  <c r="T408" i="16"/>
  <c r="V408" i="16" s="1"/>
  <c r="T407" i="16"/>
  <c r="V407" i="16" s="1"/>
  <c r="T406" i="16"/>
  <c r="V406" i="16" s="1"/>
  <c r="T405" i="16"/>
  <c r="V405" i="16" s="1"/>
  <c r="T404" i="16"/>
  <c r="V404" i="16" s="1"/>
  <c r="T403" i="16"/>
  <c r="V403" i="16" s="1"/>
  <c r="T402" i="16"/>
  <c r="V402" i="16" s="1"/>
  <c r="T401" i="16"/>
  <c r="V401" i="16" s="1"/>
  <c r="T400" i="16"/>
  <c r="V400" i="16" s="1"/>
  <c r="T399" i="16"/>
  <c r="V399" i="16" s="1"/>
  <c r="T398" i="16"/>
  <c r="V398" i="16" s="1"/>
  <c r="T397" i="16"/>
  <c r="V397" i="16" s="1"/>
  <c r="T396" i="16"/>
  <c r="V396" i="16" s="1"/>
  <c r="T395" i="16"/>
  <c r="V395" i="16" s="1"/>
  <c r="T394" i="16"/>
  <c r="V394" i="16" s="1"/>
  <c r="T393" i="16"/>
  <c r="V393" i="16" s="1"/>
  <c r="T392" i="16"/>
  <c r="V392" i="16" s="1"/>
  <c r="T391" i="16"/>
  <c r="V391" i="16" s="1"/>
  <c r="T390" i="16"/>
  <c r="V390" i="16" s="1"/>
  <c r="T389" i="16"/>
  <c r="V389" i="16" s="1"/>
  <c r="T388" i="16"/>
  <c r="V388" i="16" s="1"/>
  <c r="T387" i="16"/>
  <c r="V387" i="16" s="1"/>
  <c r="T386" i="16"/>
  <c r="V386" i="16" s="1"/>
  <c r="T385" i="16"/>
  <c r="V385" i="16" s="1"/>
  <c r="T384" i="16"/>
  <c r="V384" i="16" s="1"/>
  <c r="T383" i="16"/>
  <c r="V383" i="16" s="1"/>
  <c r="T382" i="16"/>
  <c r="V382" i="16" s="1"/>
  <c r="T381" i="16"/>
  <c r="V381" i="16" s="1"/>
  <c r="T380" i="16"/>
  <c r="V380" i="16" s="1"/>
  <c r="T379" i="16"/>
  <c r="V379" i="16" s="1"/>
  <c r="T378" i="16"/>
  <c r="V378" i="16" s="1"/>
  <c r="T377" i="16"/>
  <c r="V377" i="16" s="1"/>
  <c r="T376" i="16"/>
  <c r="V376" i="16" s="1"/>
  <c r="T375" i="16"/>
  <c r="V375" i="16" s="1"/>
  <c r="T374" i="16"/>
  <c r="V374" i="16" s="1"/>
  <c r="T373" i="16"/>
  <c r="V373" i="16" s="1"/>
  <c r="T372" i="16"/>
  <c r="V372" i="16" s="1"/>
  <c r="T371" i="16"/>
  <c r="V371" i="16" s="1"/>
  <c r="T370" i="16"/>
  <c r="V370" i="16" s="1"/>
  <c r="T369" i="16"/>
  <c r="V369" i="16" s="1"/>
  <c r="T368" i="16"/>
  <c r="V368" i="16" s="1"/>
  <c r="T367" i="16"/>
  <c r="V367" i="16" s="1"/>
  <c r="T366" i="16"/>
  <c r="V366" i="16" s="1"/>
  <c r="T365" i="16"/>
  <c r="V365" i="16" s="1"/>
  <c r="T364" i="16"/>
  <c r="V364" i="16" s="1"/>
  <c r="T363" i="16"/>
  <c r="V363" i="16" s="1"/>
  <c r="T362" i="16"/>
  <c r="V362" i="16" s="1"/>
  <c r="T361" i="16"/>
  <c r="V361" i="16" s="1"/>
  <c r="T360" i="16"/>
  <c r="V360" i="16" s="1"/>
  <c r="T359" i="16"/>
  <c r="V359" i="16" s="1"/>
  <c r="T358" i="16"/>
  <c r="V358" i="16" s="1"/>
  <c r="T357" i="16"/>
  <c r="V357" i="16" s="1"/>
  <c r="T356" i="16"/>
  <c r="V356" i="16" s="1"/>
  <c r="T355" i="16"/>
  <c r="V355" i="16" s="1"/>
  <c r="T354" i="16"/>
  <c r="V354" i="16" s="1"/>
  <c r="T353" i="16"/>
  <c r="V353" i="16" s="1"/>
  <c r="T352" i="16"/>
  <c r="V352" i="16" s="1"/>
  <c r="T351" i="16"/>
  <c r="V351" i="16" s="1"/>
  <c r="T350" i="16"/>
  <c r="V350" i="16" s="1"/>
  <c r="T349" i="16"/>
  <c r="V349" i="16" s="1"/>
  <c r="T348" i="16"/>
  <c r="V348" i="16" s="1"/>
  <c r="T347" i="16"/>
  <c r="V347" i="16" s="1"/>
  <c r="T346" i="16"/>
  <c r="V346" i="16" s="1"/>
  <c r="T345" i="16"/>
  <c r="V345" i="16" s="1"/>
  <c r="T344" i="16"/>
  <c r="V344" i="16" s="1"/>
  <c r="T343" i="16"/>
  <c r="V343" i="16" s="1"/>
  <c r="T342" i="16"/>
  <c r="V342" i="16" s="1"/>
  <c r="T341" i="16"/>
  <c r="V341" i="16" s="1"/>
  <c r="T340" i="16"/>
  <c r="V340" i="16" s="1"/>
  <c r="T339" i="16"/>
  <c r="V339" i="16" s="1"/>
  <c r="T338" i="16"/>
  <c r="V338" i="16" s="1"/>
  <c r="T337" i="16"/>
  <c r="V337" i="16" s="1"/>
  <c r="T336" i="16"/>
  <c r="V336" i="16" s="1"/>
  <c r="T335" i="16"/>
  <c r="V335" i="16" s="1"/>
  <c r="T334" i="16"/>
  <c r="V334" i="16" s="1"/>
  <c r="T333" i="16"/>
  <c r="V333" i="16" s="1"/>
  <c r="T332" i="16"/>
  <c r="V332" i="16" s="1"/>
  <c r="T331" i="16"/>
  <c r="V331" i="16" s="1"/>
  <c r="T330" i="16"/>
  <c r="V330" i="16" s="1"/>
  <c r="T329" i="16"/>
  <c r="V329" i="16" s="1"/>
  <c r="T328" i="16"/>
  <c r="V328" i="16" s="1"/>
  <c r="T327" i="16"/>
  <c r="V327" i="16" s="1"/>
  <c r="T326" i="16"/>
  <c r="V326" i="16" s="1"/>
  <c r="T325" i="16"/>
  <c r="V325" i="16" s="1"/>
  <c r="T324" i="16"/>
  <c r="V324" i="16" s="1"/>
  <c r="T323" i="16"/>
  <c r="V323" i="16" s="1"/>
  <c r="T322" i="16"/>
  <c r="V322" i="16" s="1"/>
  <c r="T321" i="16"/>
  <c r="V321" i="16" s="1"/>
  <c r="T320" i="16"/>
  <c r="V320" i="16" s="1"/>
  <c r="T319" i="16"/>
  <c r="V319" i="16" s="1"/>
  <c r="T318" i="16"/>
  <c r="V318" i="16" s="1"/>
  <c r="T317" i="16"/>
  <c r="V317" i="16" s="1"/>
  <c r="T316" i="16"/>
  <c r="V316" i="16" s="1"/>
  <c r="T315" i="16"/>
  <c r="V315" i="16" s="1"/>
  <c r="T314" i="16"/>
  <c r="V314" i="16" s="1"/>
  <c r="T313" i="16"/>
  <c r="V313" i="16" s="1"/>
  <c r="T312" i="16"/>
  <c r="V312" i="16" s="1"/>
  <c r="T311" i="16"/>
  <c r="V311" i="16" s="1"/>
  <c r="T310" i="16"/>
  <c r="V310" i="16" s="1"/>
  <c r="T309" i="16"/>
  <c r="V309" i="16" s="1"/>
  <c r="T308" i="16"/>
  <c r="V308" i="16" s="1"/>
  <c r="T307" i="16"/>
  <c r="V307" i="16" s="1"/>
  <c r="T306" i="16"/>
  <c r="V306" i="16" s="1"/>
  <c r="T305" i="16"/>
  <c r="V305" i="16" s="1"/>
  <c r="T304" i="16"/>
  <c r="V304" i="16" s="1"/>
  <c r="T303" i="16"/>
  <c r="V303" i="16" s="1"/>
  <c r="T302" i="16"/>
  <c r="V302" i="16" s="1"/>
  <c r="T301" i="16"/>
  <c r="V301" i="16" s="1"/>
  <c r="T300" i="16"/>
  <c r="V300" i="16" s="1"/>
  <c r="T299" i="16"/>
  <c r="V299" i="16" s="1"/>
  <c r="T298" i="16"/>
  <c r="V298" i="16" s="1"/>
  <c r="T297" i="16"/>
  <c r="V297" i="16" s="1"/>
  <c r="T296" i="16"/>
  <c r="V296" i="16" s="1"/>
  <c r="T295" i="16"/>
  <c r="V295" i="16" s="1"/>
  <c r="T294" i="16"/>
  <c r="V294" i="16" s="1"/>
  <c r="T293" i="16"/>
  <c r="V293" i="16" s="1"/>
  <c r="T292" i="16"/>
  <c r="V292" i="16" s="1"/>
  <c r="T291" i="16"/>
  <c r="V291" i="16" s="1"/>
  <c r="T290" i="16"/>
  <c r="V290" i="16" s="1"/>
  <c r="T289" i="16"/>
  <c r="V289" i="16" s="1"/>
  <c r="T288" i="16"/>
  <c r="V288" i="16" s="1"/>
  <c r="T287" i="16"/>
  <c r="V287" i="16" s="1"/>
  <c r="T286" i="16"/>
  <c r="V286" i="16" s="1"/>
  <c r="T285" i="16"/>
  <c r="V285" i="16" s="1"/>
  <c r="T284" i="16"/>
  <c r="V284" i="16" s="1"/>
  <c r="T283" i="16"/>
  <c r="V283" i="16" s="1"/>
  <c r="T282" i="16"/>
  <c r="V282" i="16" s="1"/>
  <c r="T281" i="16"/>
  <c r="V281" i="16" s="1"/>
  <c r="T280" i="16"/>
  <c r="V280" i="16" s="1"/>
  <c r="T279" i="16"/>
  <c r="V279" i="16" s="1"/>
  <c r="T278" i="16"/>
  <c r="V278" i="16" s="1"/>
  <c r="T277" i="16"/>
  <c r="V277" i="16" s="1"/>
  <c r="T276" i="16"/>
  <c r="V276" i="16" s="1"/>
  <c r="T275" i="16"/>
  <c r="V275" i="16" s="1"/>
  <c r="T274" i="16"/>
  <c r="V274" i="16" s="1"/>
  <c r="T273" i="16"/>
  <c r="V273" i="16" s="1"/>
  <c r="T272" i="16"/>
  <c r="V272" i="16" s="1"/>
  <c r="T271" i="16"/>
  <c r="V271" i="16" s="1"/>
  <c r="T270" i="16"/>
  <c r="V270" i="16" s="1"/>
  <c r="T269" i="16"/>
  <c r="V269" i="16" s="1"/>
  <c r="T268" i="16"/>
  <c r="V268" i="16" s="1"/>
  <c r="T267" i="16"/>
  <c r="V267" i="16" s="1"/>
  <c r="T266" i="16"/>
  <c r="V266" i="16" s="1"/>
  <c r="T265" i="16"/>
  <c r="V265" i="16" s="1"/>
  <c r="T264" i="16"/>
  <c r="V264" i="16" s="1"/>
  <c r="T263" i="16"/>
  <c r="V263" i="16" s="1"/>
  <c r="T262" i="16"/>
  <c r="V262" i="16" s="1"/>
  <c r="T261" i="16"/>
  <c r="V261" i="16" s="1"/>
  <c r="T260" i="16"/>
  <c r="V260" i="16" s="1"/>
  <c r="T259" i="16"/>
  <c r="V259" i="16" s="1"/>
  <c r="T258" i="16"/>
  <c r="V258" i="16" s="1"/>
  <c r="T257" i="16"/>
  <c r="V257" i="16" s="1"/>
  <c r="T256" i="16"/>
  <c r="V256" i="16" s="1"/>
  <c r="T255" i="16"/>
  <c r="V255" i="16" s="1"/>
  <c r="T254" i="16"/>
  <c r="V254" i="16" s="1"/>
  <c r="T253" i="16"/>
  <c r="V253" i="16" s="1"/>
  <c r="T252" i="16"/>
  <c r="V252" i="16" s="1"/>
  <c r="T251" i="16"/>
  <c r="V251" i="16" s="1"/>
  <c r="T250" i="16"/>
  <c r="V250" i="16" s="1"/>
  <c r="T249" i="16"/>
  <c r="V249" i="16" s="1"/>
  <c r="T248" i="16"/>
  <c r="V248" i="16" s="1"/>
  <c r="T247" i="16"/>
  <c r="V247" i="16" s="1"/>
  <c r="T246" i="16"/>
  <c r="V246" i="16" s="1"/>
  <c r="T245" i="16"/>
  <c r="V245" i="16" s="1"/>
  <c r="T244" i="16"/>
  <c r="V244" i="16" s="1"/>
  <c r="T243" i="16"/>
  <c r="V243" i="16" s="1"/>
  <c r="T242" i="16"/>
  <c r="V242" i="16" s="1"/>
  <c r="T241" i="16"/>
  <c r="V241" i="16" s="1"/>
  <c r="T240" i="16"/>
  <c r="V240" i="16" s="1"/>
  <c r="T239" i="16"/>
  <c r="V239" i="16" s="1"/>
  <c r="T238" i="16"/>
  <c r="V238" i="16" s="1"/>
  <c r="T237" i="16"/>
  <c r="V237" i="16" s="1"/>
  <c r="T236" i="16"/>
  <c r="V236" i="16" s="1"/>
  <c r="T235" i="16"/>
  <c r="V235" i="16" s="1"/>
  <c r="T234" i="16"/>
  <c r="V234" i="16" s="1"/>
  <c r="T233" i="16"/>
  <c r="V233" i="16" s="1"/>
  <c r="T232" i="16"/>
  <c r="V232" i="16" s="1"/>
  <c r="T231" i="16"/>
  <c r="V231" i="16" s="1"/>
  <c r="T230" i="16"/>
  <c r="V230" i="16" s="1"/>
  <c r="T229" i="16"/>
  <c r="V229" i="16" s="1"/>
  <c r="T228" i="16"/>
  <c r="V228" i="16" s="1"/>
  <c r="T227" i="16"/>
  <c r="V227" i="16" s="1"/>
  <c r="T226" i="16"/>
  <c r="V226" i="16" s="1"/>
  <c r="T225" i="16"/>
  <c r="V225" i="16" s="1"/>
  <c r="T224" i="16"/>
  <c r="V224" i="16" s="1"/>
  <c r="T223" i="16"/>
  <c r="V223" i="16" s="1"/>
  <c r="T222" i="16"/>
  <c r="V222" i="16" s="1"/>
  <c r="T221" i="16"/>
  <c r="V221" i="16" s="1"/>
  <c r="T220" i="16"/>
  <c r="V220" i="16" s="1"/>
  <c r="T219" i="16"/>
  <c r="V219" i="16" s="1"/>
  <c r="T218" i="16"/>
  <c r="V218" i="16" s="1"/>
  <c r="T217" i="16"/>
  <c r="V217" i="16" s="1"/>
  <c r="T216" i="16"/>
  <c r="V216" i="16" s="1"/>
  <c r="T215" i="16"/>
  <c r="V215" i="16" s="1"/>
  <c r="T214" i="16"/>
  <c r="V214" i="16" s="1"/>
  <c r="T213" i="16"/>
  <c r="V213" i="16" s="1"/>
  <c r="T212" i="16"/>
  <c r="V212" i="16" s="1"/>
  <c r="T211" i="16"/>
  <c r="V211" i="16" s="1"/>
  <c r="T210" i="16"/>
  <c r="V210" i="16" s="1"/>
  <c r="T209" i="16"/>
  <c r="V209" i="16" s="1"/>
  <c r="T208" i="16"/>
  <c r="V208" i="16" s="1"/>
  <c r="T207" i="16"/>
  <c r="V207" i="16" s="1"/>
  <c r="T206" i="16"/>
  <c r="V206" i="16" s="1"/>
  <c r="T205" i="16"/>
  <c r="V205" i="16" s="1"/>
  <c r="T204" i="16"/>
  <c r="V204" i="16" s="1"/>
  <c r="T203" i="16"/>
  <c r="V203" i="16" s="1"/>
  <c r="T202" i="16"/>
  <c r="V202" i="16" s="1"/>
  <c r="T201" i="16"/>
  <c r="V201" i="16" s="1"/>
  <c r="T200" i="16"/>
  <c r="V200" i="16" s="1"/>
  <c r="T199" i="16"/>
  <c r="V199" i="16" s="1"/>
  <c r="T198" i="16"/>
  <c r="V198" i="16" s="1"/>
  <c r="T197" i="16"/>
  <c r="V197" i="16" s="1"/>
  <c r="T196" i="16"/>
  <c r="V196" i="16" s="1"/>
  <c r="T195" i="16"/>
  <c r="V195" i="16" s="1"/>
  <c r="T194" i="16"/>
  <c r="V194" i="16" s="1"/>
  <c r="T193" i="16"/>
  <c r="V193" i="16" s="1"/>
  <c r="T192" i="16"/>
  <c r="V192" i="16" s="1"/>
  <c r="T191" i="16"/>
  <c r="V191" i="16" s="1"/>
  <c r="T190" i="16"/>
  <c r="V190" i="16" s="1"/>
  <c r="T189" i="16"/>
  <c r="V189" i="16" s="1"/>
  <c r="T188" i="16"/>
  <c r="V188" i="16" s="1"/>
  <c r="T187" i="16"/>
  <c r="V187" i="16" s="1"/>
  <c r="T186" i="16"/>
  <c r="V186" i="16" s="1"/>
  <c r="T185" i="16"/>
  <c r="V185" i="16" s="1"/>
  <c r="T184" i="16"/>
  <c r="V184" i="16" s="1"/>
  <c r="T183" i="16"/>
  <c r="V183" i="16" s="1"/>
  <c r="T182" i="16"/>
  <c r="V182" i="16" s="1"/>
  <c r="T181" i="16"/>
  <c r="V181" i="16" s="1"/>
  <c r="T180" i="16"/>
  <c r="V180" i="16" s="1"/>
  <c r="T179" i="16"/>
  <c r="V179" i="16" s="1"/>
  <c r="T178" i="16"/>
  <c r="V178" i="16" s="1"/>
  <c r="T177" i="16"/>
  <c r="V177" i="16" s="1"/>
  <c r="T176" i="16"/>
  <c r="V176" i="16" s="1"/>
  <c r="T175" i="16"/>
  <c r="V175" i="16" s="1"/>
  <c r="T174" i="16"/>
  <c r="V174" i="16" s="1"/>
  <c r="T173" i="16"/>
  <c r="V173" i="16" s="1"/>
  <c r="T172" i="16"/>
  <c r="V172" i="16" s="1"/>
  <c r="T171" i="16"/>
  <c r="V171" i="16" s="1"/>
  <c r="T170" i="16"/>
  <c r="V170" i="16" s="1"/>
  <c r="T169" i="16"/>
  <c r="V169" i="16" s="1"/>
  <c r="T168" i="16"/>
  <c r="V168" i="16" s="1"/>
  <c r="T167" i="16"/>
  <c r="V167" i="16" s="1"/>
  <c r="T166" i="16"/>
  <c r="V166" i="16" s="1"/>
  <c r="T165" i="16"/>
  <c r="V165" i="16" s="1"/>
  <c r="T164" i="16"/>
  <c r="V164" i="16" s="1"/>
  <c r="T163" i="16"/>
  <c r="V163" i="16" s="1"/>
  <c r="T162" i="16"/>
  <c r="V162" i="16" s="1"/>
  <c r="T161" i="16"/>
  <c r="V161" i="16" s="1"/>
  <c r="T160" i="16"/>
  <c r="V160" i="16" s="1"/>
  <c r="T159" i="16"/>
  <c r="V159" i="16" s="1"/>
  <c r="T158" i="16"/>
  <c r="V158" i="16" s="1"/>
  <c r="T157" i="16"/>
  <c r="V157" i="16" s="1"/>
  <c r="T156" i="16"/>
  <c r="V156" i="16" s="1"/>
  <c r="T155" i="16"/>
  <c r="V155" i="16" s="1"/>
  <c r="T154" i="16"/>
  <c r="V154" i="16" s="1"/>
  <c r="T153" i="16"/>
  <c r="V153" i="16" s="1"/>
  <c r="T152" i="16"/>
  <c r="V152" i="16" s="1"/>
  <c r="T151" i="16"/>
  <c r="V151" i="16" s="1"/>
  <c r="T150" i="16"/>
  <c r="V150" i="16" s="1"/>
  <c r="T149" i="16"/>
  <c r="V149" i="16" s="1"/>
  <c r="T148" i="16"/>
  <c r="V148" i="16" s="1"/>
  <c r="T147" i="16"/>
  <c r="V147" i="16" s="1"/>
  <c r="T146" i="16"/>
  <c r="V146" i="16" s="1"/>
  <c r="T145" i="16"/>
  <c r="V145" i="16" s="1"/>
  <c r="T144" i="16"/>
  <c r="V144" i="16" s="1"/>
  <c r="T143" i="16"/>
  <c r="V143" i="16" s="1"/>
  <c r="T142" i="16"/>
  <c r="V142" i="16" s="1"/>
  <c r="T141" i="16"/>
  <c r="V141" i="16" s="1"/>
  <c r="T140" i="16"/>
  <c r="V140" i="16" s="1"/>
  <c r="T139" i="16"/>
  <c r="V139" i="16" s="1"/>
  <c r="T138" i="16"/>
  <c r="V138" i="16" s="1"/>
  <c r="T137" i="16"/>
  <c r="V137" i="16" s="1"/>
  <c r="T136" i="16"/>
  <c r="V136" i="16" s="1"/>
  <c r="T135" i="16"/>
  <c r="V135" i="16" s="1"/>
  <c r="T134" i="16"/>
  <c r="V134" i="16" s="1"/>
  <c r="T133" i="16"/>
  <c r="V133" i="16" s="1"/>
  <c r="T132" i="16"/>
  <c r="V132" i="16" s="1"/>
  <c r="T131" i="16"/>
  <c r="V131" i="16" s="1"/>
  <c r="T130" i="16"/>
  <c r="V130" i="16" s="1"/>
  <c r="T129" i="16"/>
  <c r="V129" i="16" s="1"/>
  <c r="T128" i="16"/>
  <c r="V128" i="16" s="1"/>
  <c r="T127" i="16"/>
  <c r="V127" i="16" s="1"/>
  <c r="T126" i="16"/>
  <c r="V126" i="16" s="1"/>
  <c r="T125" i="16"/>
  <c r="V125" i="16" s="1"/>
  <c r="T124" i="16"/>
  <c r="V124" i="16" s="1"/>
  <c r="T123" i="16"/>
  <c r="V123" i="16" s="1"/>
  <c r="T122" i="16"/>
  <c r="V122" i="16" s="1"/>
  <c r="T121" i="16"/>
  <c r="V121" i="16" s="1"/>
  <c r="T120" i="16"/>
  <c r="V120" i="16" s="1"/>
  <c r="T119" i="16"/>
  <c r="V119" i="16" s="1"/>
  <c r="T118" i="16"/>
  <c r="V118" i="16" s="1"/>
  <c r="T117" i="16"/>
  <c r="V117" i="16" s="1"/>
  <c r="T116" i="16"/>
  <c r="V116" i="16" s="1"/>
  <c r="T115" i="16"/>
  <c r="V115" i="16" s="1"/>
  <c r="T114" i="16"/>
  <c r="V114" i="16" s="1"/>
  <c r="T113" i="16"/>
  <c r="V113" i="16" s="1"/>
  <c r="T112" i="16"/>
  <c r="V112" i="16" s="1"/>
  <c r="T111" i="16"/>
  <c r="V111" i="16" s="1"/>
  <c r="T110" i="16"/>
  <c r="V110" i="16" s="1"/>
  <c r="T109" i="16"/>
  <c r="V109" i="16" s="1"/>
  <c r="T108" i="16"/>
  <c r="V108" i="16" s="1"/>
  <c r="T107" i="16"/>
  <c r="V107" i="16" s="1"/>
  <c r="T106" i="16"/>
  <c r="V106" i="16" s="1"/>
  <c r="T105" i="16"/>
  <c r="V105" i="16" s="1"/>
  <c r="T104" i="16"/>
  <c r="V104" i="16" s="1"/>
  <c r="T103" i="16"/>
  <c r="V103" i="16" s="1"/>
  <c r="T102" i="16"/>
  <c r="V102" i="16" s="1"/>
  <c r="T101" i="16"/>
  <c r="V101" i="16" s="1"/>
  <c r="T100" i="16"/>
  <c r="V100" i="16" s="1"/>
  <c r="T99" i="16"/>
  <c r="V99" i="16" s="1"/>
  <c r="T98" i="16"/>
  <c r="V98" i="16" s="1"/>
  <c r="T97" i="16"/>
  <c r="V97" i="16" s="1"/>
  <c r="T96" i="16"/>
  <c r="V96" i="16" s="1"/>
  <c r="T95" i="16"/>
  <c r="V95" i="16" s="1"/>
  <c r="T94" i="16"/>
  <c r="V94" i="16" s="1"/>
  <c r="T93" i="16"/>
  <c r="V93" i="16" s="1"/>
  <c r="T92" i="16"/>
  <c r="V92" i="16" s="1"/>
  <c r="T91" i="16"/>
  <c r="V91" i="16" s="1"/>
  <c r="T90" i="16"/>
  <c r="V90" i="16" s="1"/>
  <c r="T89" i="16"/>
  <c r="V89" i="16" s="1"/>
  <c r="T88" i="16"/>
  <c r="V88" i="16" s="1"/>
  <c r="T87" i="16"/>
  <c r="V87" i="16" s="1"/>
  <c r="T86" i="16"/>
  <c r="V86" i="16" s="1"/>
  <c r="T85" i="16"/>
  <c r="V85" i="16" s="1"/>
  <c r="T84" i="16"/>
  <c r="V84" i="16" s="1"/>
  <c r="T83" i="16"/>
  <c r="V83" i="16" s="1"/>
  <c r="T82" i="16"/>
  <c r="V82" i="16" s="1"/>
  <c r="T81" i="16"/>
  <c r="V81" i="16" s="1"/>
  <c r="T80" i="16"/>
  <c r="V80" i="16" s="1"/>
  <c r="T79" i="16"/>
  <c r="V79" i="16" s="1"/>
  <c r="T78" i="16"/>
  <c r="V78" i="16" s="1"/>
  <c r="T77" i="16"/>
  <c r="V77" i="16" s="1"/>
  <c r="T76" i="16"/>
  <c r="V76" i="16" s="1"/>
  <c r="T75" i="16"/>
  <c r="V75" i="16" s="1"/>
  <c r="T74" i="16"/>
  <c r="V74" i="16" s="1"/>
  <c r="T73" i="16"/>
  <c r="V73" i="16" s="1"/>
  <c r="T72" i="16"/>
  <c r="V72" i="16" s="1"/>
  <c r="T71" i="16"/>
  <c r="V71" i="16" s="1"/>
  <c r="T70" i="16"/>
  <c r="V70" i="16" s="1"/>
  <c r="T69" i="16"/>
  <c r="V69" i="16" s="1"/>
  <c r="T68" i="16"/>
  <c r="V68" i="16" s="1"/>
  <c r="T67" i="16"/>
  <c r="V67" i="16" s="1"/>
  <c r="T66" i="16"/>
  <c r="V66" i="16" s="1"/>
  <c r="T65" i="16"/>
  <c r="V65" i="16" s="1"/>
  <c r="T64" i="16"/>
  <c r="V64" i="16" s="1"/>
  <c r="T63" i="16"/>
  <c r="V63" i="16" s="1"/>
  <c r="T62" i="16"/>
  <c r="V62" i="16" s="1"/>
  <c r="T61" i="16"/>
  <c r="V61" i="16" s="1"/>
  <c r="T60" i="16"/>
  <c r="V60" i="16" s="1"/>
  <c r="T59" i="16"/>
  <c r="V59" i="16" s="1"/>
  <c r="T58" i="16"/>
  <c r="V58" i="16" s="1"/>
  <c r="T57" i="16"/>
  <c r="V57" i="16" s="1"/>
  <c r="T56" i="16"/>
  <c r="V56" i="16" s="1"/>
  <c r="T55" i="16"/>
  <c r="V55" i="16" s="1"/>
  <c r="T54" i="16"/>
  <c r="V54" i="16" s="1"/>
  <c r="T53" i="16"/>
  <c r="V53" i="16" s="1"/>
  <c r="T52" i="16"/>
  <c r="V52" i="16" s="1"/>
  <c r="T51" i="16"/>
  <c r="V51" i="16" s="1"/>
  <c r="T50" i="16"/>
  <c r="V50" i="16" s="1"/>
  <c r="T49" i="16"/>
  <c r="V49" i="16" s="1"/>
  <c r="T48" i="16"/>
  <c r="V48" i="16" s="1"/>
  <c r="T47" i="16"/>
  <c r="V47" i="16" s="1"/>
  <c r="T46" i="16"/>
  <c r="V46" i="16" s="1"/>
  <c r="T45" i="16"/>
  <c r="V45" i="16" s="1"/>
  <c r="T44" i="16"/>
  <c r="V44" i="16" s="1"/>
  <c r="T43" i="16"/>
  <c r="V43" i="16" s="1"/>
  <c r="T42" i="16"/>
  <c r="V42" i="16" s="1"/>
  <c r="T41" i="16"/>
  <c r="V41" i="16" s="1"/>
  <c r="T40" i="16"/>
  <c r="V40" i="16" s="1"/>
  <c r="T39" i="16"/>
  <c r="V39" i="16" s="1"/>
  <c r="T38" i="16"/>
  <c r="V38" i="16" s="1"/>
  <c r="T37" i="16"/>
  <c r="V37" i="16" s="1"/>
  <c r="T36" i="16"/>
  <c r="V36" i="16" s="1"/>
  <c r="T35" i="16"/>
  <c r="V35" i="16" s="1"/>
  <c r="T34" i="16"/>
  <c r="V34" i="16" s="1"/>
  <c r="T33" i="16"/>
  <c r="V33" i="16" s="1"/>
  <c r="T32" i="16"/>
  <c r="V32" i="16" s="1"/>
  <c r="T31" i="16"/>
  <c r="V31" i="16" s="1"/>
  <c r="T30" i="16"/>
  <c r="V30" i="16" s="1"/>
  <c r="T29" i="16"/>
  <c r="V29" i="16" s="1"/>
  <c r="T28" i="16"/>
  <c r="V28" i="16" s="1"/>
  <c r="T27" i="16"/>
  <c r="V27" i="16" s="1"/>
  <c r="T26" i="16"/>
  <c r="V26" i="16" s="1"/>
  <c r="T25" i="16"/>
  <c r="V25" i="16" s="1"/>
  <c r="T24" i="16"/>
  <c r="V24" i="16" s="1"/>
  <c r="T23" i="16"/>
  <c r="V23" i="16" s="1"/>
  <c r="T22" i="16"/>
  <c r="V22" i="16" s="1"/>
  <c r="T21" i="16"/>
  <c r="V21" i="16" s="1"/>
  <c r="T20" i="16"/>
  <c r="V20" i="16" s="1"/>
  <c r="T19" i="16"/>
  <c r="V19" i="16" s="1"/>
  <c r="T18" i="16"/>
  <c r="V18" i="16" s="1"/>
  <c r="T17" i="16"/>
  <c r="V17" i="16" s="1"/>
  <c r="T16" i="16"/>
  <c r="V16" i="16" s="1"/>
  <c r="T15" i="16"/>
  <c r="V15" i="16" s="1"/>
  <c r="T14" i="16"/>
  <c r="V14" i="16" s="1"/>
  <c r="T13" i="16"/>
  <c r="V13" i="16" s="1"/>
  <c r="T12" i="16"/>
  <c r="V12" i="16" s="1"/>
  <c r="T11" i="16"/>
  <c r="V11" i="16" s="1"/>
  <c r="T10" i="16"/>
  <c r="V10" i="16" s="1"/>
  <c r="T9" i="16"/>
  <c r="V9" i="16" s="1"/>
  <c r="T8" i="16"/>
  <c r="V8" i="16" s="1"/>
  <c r="T7" i="16"/>
  <c r="V7" i="16" s="1"/>
  <c r="T6" i="16"/>
  <c r="V6" i="16" s="1"/>
  <c r="T5" i="16"/>
  <c r="V5" i="16" s="1"/>
  <c r="T4" i="16"/>
  <c r="V4" i="16" s="1"/>
  <c r="T3" i="16"/>
  <c r="V3" i="16" s="1"/>
  <c r="T2" i="16"/>
  <c r="V2" i="16" s="1"/>
  <c r="T2653" i="16"/>
  <c r="V2653" i="16" s="1"/>
  <c r="T2647" i="16"/>
  <c r="V2647" i="16" s="1"/>
  <c r="T2641" i="16"/>
  <c r="V2641" i="16" s="1"/>
  <c r="T2635" i="16"/>
  <c r="V2635" i="16" s="1"/>
  <c r="T2629" i="16"/>
  <c r="V2629" i="16" s="1"/>
  <c r="T2623" i="16"/>
  <c r="V2623" i="16" s="1"/>
  <c r="T2617" i="16"/>
  <c r="V2617" i="16" s="1"/>
  <c r="T2611" i="16"/>
  <c r="V2611" i="16" s="1"/>
  <c r="T2609" i="16"/>
  <c r="V2609" i="16" s="1"/>
  <c r="T2603" i="16"/>
  <c r="V2603" i="16" s="1"/>
  <c r="T2599" i="16"/>
  <c r="V2599" i="16" s="1"/>
  <c r="T2595" i="16"/>
  <c r="V2595" i="16" s="1"/>
  <c r="T2591" i="16"/>
  <c r="V2591" i="16" s="1"/>
  <c r="T2587" i="16"/>
  <c r="V2587" i="16" s="1"/>
  <c r="T2583" i="16"/>
  <c r="V2583" i="16" s="1"/>
  <c r="T2579" i="16"/>
  <c r="V2579" i="16" s="1"/>
  <c r="T2575" i="16"/>
  <c r="V2575" i="16" s="1"/>
  <c r="T2571" i="16"/>
  <c r="V2571" i="16" s="1"/>
  <c r="T2567" i="16"/>
  <c r="V2567" i="16" s="1"/>
  <c r="T2563" i="16"/>
  <c r="V2563" i="16" s="1"/>
  <c r="T2559" i="16"/>
  <c r="V2559" i="16" s="1"/>
  <c r="T2555" i="16"/>
  <c r="V2555" i="16" s="1"/>
  <c r="T2551" i="16"/>
  <c r="V2551" i="16" s="1"/>
  <c r="T2547" i="16"/>
  <c r="V2547" i="16" s="1"/>
  <c r="T2543" i="16"/>
  <c r="V2543" i="16" s="1"/>
  <c r="T2539" i="16"/>
  <c r="V2539" i="16" s="1"/>
  <c r="T2535" i="16"/>
  <c r="V2535" i="16" s="1"/>
  <c r="T2531" i="16"/>
  <c r="V2531" i="16" s="1"/>
  <c r="T2527" i="16"/>
  <c r="V2527" i="16" s="1"/>
  <c r="T2523" i="16"/>
  <c r="V2523" i="16" s="1"/>
  <c r="T2519" i="16"/>
  <c r="V2519" i="16" s="1"/>
  <c r="T2513" i="16"/>
  <c r="V2513" i="16" s="1"/>
  <c r="T2509" i="16"/>
  <c r="V2509" i="16" s="1"/>
  <c r="T2505" i="16"/>
  <c r="V2505" i="16" s="1"/>
  <c r="T2501" i="16"/>
  <c r="V2501" i="16" s="1"/>
  <c r="T2469" i="16"/>
  <c r="V2469" i="16" s="1"/>
  <c r="T2649" i="16"/>
  <c r="V2649" i="16" s="1"/>
  <c r="T2643" i="16"/>
  <c r="V2643" i="16" s="1"/>
  <c r="T2637" i="16"/>
  <c r="V2637" i="16" s="1"/>
  <c r="T2631" i="16"/>
  <c r="V2631" i="16" s="1"/>
  <c r="T2625" i="16"/>
  <c r="V2625" i="16" s="1"/>
  <c r="T2619" i="16"/>
  <c r="V2619" i="16" s="1"/>
  <c r="T2613" i="16"/>
  <c r="V2613" i="16" s="1"/>
  <c r="T2605" i="16"/>
  <c r="V2605" i="16" s="1"/>
  <c r="T2601" i="16"/>
  <c r="V2601" i="16" s="1"/>
  <c r="T2597" i="16"/>
  <c r="V2597" i="16" s="1"/>
  <c r="T2593" i="16"/>
  <c r="V2593" i="16" s="1"/>
  <c r="T2589" i="16"/>
  <c r="V2589" i="16" s="1"/>
  <c r="T2585" i="16"/>
  <c r="V2585" i="16" s="1"/>
  <c r="T2581" i="16"/>
  <c r="V2581" i="16" s="1"/>
  <c r="T2577" i="16"/>
  <c r="V2577" i="16" s="1"/>
  <c r="T2573" i="16"/>
  <c r="V2573" i="16" s="1"/>
  <c r="T2569" i="16"/>
  <c r="V2569" i="16" s="1"/>
  <c r="T2565" i="16"/>
  <c r="V2565" i="16" s="1"/>
  <c r="T2561" i="16"/>
  <c r="V2561" i="16" s="1"/>
  <c r="T2557" i="16"/>
  <c r="V2557" i="16" s="1"/>
  <c r="T2553" i="16"/>
  <c r="V2553" i="16" s="1"/>
  <c r="T2549" i="16"/>
  <c r="V2549" i="16" s="1"/>
  <c r="T2545" i="16"/>
  <c r="V2545" i="16" s="1"/>
  <c r="T2541" i="16"/>
  <c r="V2541" i="16" s="1"/>
  <c r="T2537" i="16"/>
  <c r="V2537" i="16" s="1"/>
  <c r="T2533" i="16"/>
  <c r="V2533" i="16" s="1"/>
  <c r="T2529" i="16"/>
  <c r="V2529" i="16" s="1"/>
  <c r="T2525" i="16"/>
  <c r="V2525" i="16" s="1"/>
  <c r="T2521" i="16"/>
  <c r="V2521" i="16" s="1"/>
  <c r="T2517" i="16"/>
  <c r="V2517" i="16" s="1"/>
  <c r="T2515" i="16"/>
  <c r="V2515" i="16" s="1"/>
  <c r="T2511" i="16"/>
  <c r="V2511" i="16" s="1"/>
  <c r="T2507" i="16"/>
  <c r="V2507" i="16" s="1"/>
  <c r="T2503" i="16"/>
  <c r="V2503" i="16" s="1"/>
  <c r="T2499" i="16"/>
  <c r="V2499" i="16" s="1"/>
  <c r="T2497" i="16"/>
  <c r="V2497" i="16" s="1"/>
  <c r="T2495" i="16"/>
  <c r="V2495" i="16" s="1"/>
  <c r="T2493" i="16"/>
  <c r="V2493" i="16" s="1"/>
  <c r="T2491" i="16"/>
  <c r="V2491" i="16" s="1"/>
  <c r="T2489" i="16"/>
  <c r="V2489" i="16" s="1"/>
  <c r="T2487" i="16"/>
  <c r="V2487" i="16" s="1"/>
  <c r="T2485" i="16"/>
  <c r="V2485" i="16" s="1"/>
  <c r="T2483" i="16"/>
  <c r="V2483" i="16" s="1"/>
  <c r="T2481" i="16"/>
  <c r="V2481" i="16" s="1"/>
  <c r="T2479" i="16"/>
  <c r="V2479" i="16" s="1"/>
  <c r="T2477" i="16"/>
  <c r="V2477" i="16" s="1"/>
  <c r="T2475" i="16"/>
  <c r="V2475" i="16" s="1"/>
  <c r="T2473" i="16"/>
  <c r="V2473" i="16" s="1"/>
  <c r="T2651" i="16"/>
  <c r="V2651" i="16" s="1"/>
  <c r="T2645" i="16"/>
  <c r="V2645" i="16" s="1"/>
  <c r="T2639" i="16"/>
  <c r="V2639" i="16" s="1"/>
  <c r="T2633" i="16"/>
  <c r="V2633" i="16" s="1"/>
  <c r="T2627" i="16"/>
  <c r="V2627" i="16" s="1"/>
  <c r="T2621" i="16"/>
  <c r="V2621" i="16" s="1"/>
  <c r="T2615" i="16"/>
  <c r="V2615" i="16" s="1"/>
  <c r="T2607" i="16"/>
  <c r="V2607" i="16" s="1"/>
  <c r="T2652" i="16"/>
  <c r="V2652" i="16" s="1"/>
  <c r="T2650" i="16"/>
  <c r="V2650" i="16" s="1"/>
  <c r="T2648" i="16"/>
  <c r="V2648" i="16" s="1"/>
  <c r="T2646" i="16"/>
  <c r="V2646" i="16" s="1"/>
  <c r="T2644" i="16"/>
  <c r="V2644" i="16" s="1"/>
  <c r="T2642" i="16"/>
  <c r="V2642" i="16" s="1"/>
  <c r="T2640" i="16"/>
  <c r="V2640" i="16" s="1"/>
  <c r="T2638" i="16"/>
  <c r="V2638" i="16" s="1"/>
  <c r="T2636" i="16"/>
  <c r="V2636" i="16" s="1"/>
  <c r="T2634" i="16"/>
  <c r="V2634" i="16" s="1"/>
  <c r="T2632" i="16"/>
  <c r="V2632" i="16" s="1"/>
  <c r="T2630" i="16"/>
  <c r="V2630" i="16" s="1"/>
  <c r="T2628" i="16"/>
  <c r="V2628" i="16" s="1"/>
  <c r="T2626" i="16"/>
  <c r="V2626" i="16" s="1"/>
  <c r="T2624" i="16"/>
  <c r="V2624" i="16" s="1"/>
  <c r="T2622" i="16"/>
  <c r="V2622" i="16" s="1"/>
  <c r="T2620" i="16"/>
  <c r="V2620" i="16" s="1"/>
  <c r="T2618" i="16"/>
  <c r="V2618" i="16" s="1"/>
  <c r="T2616" i="16"/>
  <c r="V2616" i="16" s="1"/>
  <c r="T2614" i="16"/>
  <c r="V2614" i="16" s="1"/>
  <c r="T2612" i="16"/>
  <c r="V2612" i="16" s="1"/>
  <c r="T2610" i="16"/>
  <c r="V2610" i="16" s="1"/>
  <c r="T2608" i="16"/>
  <c r="V2608" i="16" s="1"/>
  <c r="T2606" i="16"/>
  <c r="V2606" i="16" s="1"/>
  <c r="T2604" i="16"/>
  <c r="V2604" i="16" s="1"/>
  <c r="T2602" i="16"/>
  <c r="V2602" i="16" s="1"/>
  <c r="T2600" i="16"/>
  <c r="V2600" i="16" s="1"/>
  <c r="T2598" i="16"/>
  <c r="V2598" i="16" s="1"/>
  <c r="T2596" i="16"/>
  <c r="V2596" i="16" s="1"/>
  <c r="T2594" i="16"/>
  <c r="V2594" i="16" s="1"/>
  <c r="T2592" i="16"/>
  <c r="V2592" i="16" s="1"/>
  <c r="T2590" i="16"/>
  <c r="V2590" i="16" s="1"/>
  <c r="T2588" i="16"/>
  <c r="V2588" i="16" s="1"/>
  <c r="T2586" i="16"/>
  <c r="V2586" i="16" s="1"/>
  <c r="T2584" i="16"/>
  <c r="V2584" i="16" s="1"/>
  <c r="T2582" i="16"/>
  <c r="V2582" i="16" s="1"/>
  <c r="T2580" i="16"/>
  <c r="V2580" i="16" s="1"/>
  <c r="T2578" i="16"/>
  <c r="V2578" i="16" s="1"/>
  <c r="T2576" i="16"/>
  <c r="V2576" i="16" s="1"/>
  <c r="T2574" i="16"/>
  <c r="V2574" i="16" s="1"/>
  <c r="T2572" i="16"/>
  <c r="V2572" i="16" s="1"/>
  <c r="T2570" i="16"/>
  <c r="V2570" i="16" s="1"/>
  <c r="T2568" i="16"/>
  <c r="V2568" i="16" s="1"/>
  <c r="T2566" i="16"/>
  <c r="V2566" i="16" s="1"/>
  <c r="T2564" i="16"/>
  <c r="V2564" i="16" s="1"/>
  <c r="T2562" i="16"/>
  <c r="V2562" i="16" s="1"/>
  <c r="T2560" i="16"/>
  <c r="V2560" i="16" s="1"/>
  <c r="T2558" i="16"/>
  <c r="V2558" i="16" s="1"/>
  <c r="T2556" i="16"/>
  <c r="V2556" i="16" s="1"/>
  <c r="T2554" i="16"/>
  <c r="V2554" i="16" s="1"/>
  <c r="T2552" i="16"/>
  <c r="V2552" i="16" s="1"/>
  <c r="T2550" i="16"/>
  <c r="V2550" i="16" s="1"/>
  <c r="T2548" i="16"/>
  <c r="V2548" i="16" s="1"/>
  <c r="T2546" i="16"/>
  <c r="V2546" i="16" s="1"/>
  <c r="T2544" i="16"/>
  <c r="V2544" i="16" s="1"/>
  <c r="T2542" i="16"/>
  <c r="V2542" i="16" s="1"/>
  <c r="T2540" i="16"/>
  <c r="V2540" i="16" s="1"/>
  <c r="T2538" i="16"/>
  <c r="V2538" i="16" s="1"/>
  <c r="T2536" i="16"/>
  <c r="V2536" i="16" s="1"/>
  <c r="T2534" i="16"/>
  <c r="V2534" i="16" s="1"/>
  <c r="T2532" i="16"/>
  <c r="V2532" i="16" s="1"/>
  <c r="T2530" i="16"/>
  <c r="V2530" i="16" s="1"/>
  <c r="T2528" i="16"/>
  <c r="V2528" i="16" s="1"/>
  <c r="T2526" i="16"/>
  <c r="V2526" i="16" s="1"/>
  <c r="T2524" i="16"/>
  <c r="V2524" i="16" s="1"/>
  <c r="T2522" i="16"/>
  <c r="V2522" i="16" s="1"/>
  <c r="T2520" i="16"/>
  <c r="V2520" i="16" s="1"/>
  <c r="T2518" i="16"/>
  <c r="V2518" i="16" s="1"/>
  <c r="T2516" i="16"/>
  <c r="V2516" i="16" s="1"/>
  <c r="T2514" i="16"/>
  <c r="V2514" i="16" s="1"/>
  <c r="T2512" i="16"/>
  <c r="V2512" i="16" s="1"/>
  <c r="T2510" i="16"/>
  <c r="V2510" i="16" s="1"/>
  <c r="T2508" i="16"/>
  <c r="V2508" i="16" s="1"/>
  <c r="T2506" i="16"/>
  <c r="V2506" i="16" s="1"/>
  <c r="T2504" i="16"/>
  <c r="V2504" i="16" s="1"/>
  <c r="T2502" i="16"/>
  <c r="V2502" i="16" s="1"/>
  <c r="T2500" i="16"/>
  <c r="V2500" i="16" s="1"/>
  <c r="T2498" i="16"/>
  <c r="V2498" i="16" s="1"/>
  <c r="T2496" i="16"/>
  <c r="V2496" i="16" s="1"/>
  <c r="T2494" i="16"/>
  <c r="V2494" i="16" s="1"/>
  <c r="T2492" i="16"/>
  <c r="V2492" i="16" s="1"/>
  <c r="T2490" i="16"/>
  <c r="V2490" i="16" s="1"/>
  <c r="T2488" i="16"/>
  <c r="V2488" i="16" s="1"/>
  <c r="T2486" i="16"/>
  <c r="V2486" i="16" s="1"/>
  <c r="T2484" i="16"/>
  <c r="V2484" i="16" s="1"/>
  <c r="T2482" i="16"/>
  <c r="V2482" i="16" s="1"/>
  <c r="T2480" i="16"/>
  <c r="V2480" i="16" s="1"/>
  <c r="T2478" i="16"/>
  <c r="V2478" i="16" s="1"/>
  <c r="T2476" i="16"/>
  <c r="V2476" i="16" s="1"/>
  <c r="T2474" i="16"/>
  <c r="V2474" i="16" s="1"/>
  <c r="T2472" i="16"/>
  <c r="V2472" i="16" s="1"/>
  <c r="T2470" i="16"/>
  <c r="V2470" i="16" s="1"/>
  <c r="T2468" i="16"/>
  <c r="V2468" i="16" s="1"/>
  <c r="T2466" i="16"/>
  <c r="V2466" i="16" s="1"/>
  <c r="T2464" i="16"/>
  <c r="V2464" i="16" s="1"/>
  <c r="T2462" i="16"/>
  <c r="V2462" i="16" s="1"/>
  <c r="T2460" i="16"/>
  <c r="V2460" i="16" s="1"/>
  <c r="T2458" i="16"/>
  <c r="V2458" i="16" s="1"/>
  <c r="T2456" i="16"/>
  <c r="V2456" i="16" s="1"/>
  <c r="T2454" i="16"/>
  <c r="V2454" i="16" s="1"/>
  <c r="T2452" i="16"/>
  <c r="V2452" i="16" s="1"/>
  <c r="T2077" i="16"/>
  <c r="V2077" i="16" s="1"/>
  <c r="T2073" i="16"/>
  <c r="V2073" i="16" s="1"/>
  <c r="T2069" i="16"/>
  <c r="V2069" i="16" s="1"/>
  <c r="T2065" i="16"/>
  <c r="V2065" i="16" s="1"/>
  <c r="T2063" i="16"/>
  <c r="V2063" i="16" s="1"/>
  <c r="T2061" i="16"/>
  <c r="V2061" i="16" s="1"/>
  <c r="T2057" i="16"/>
  <c r="V2057" i="16" s="1"/>
  <c r="T2053" i="16"/>
  <c r="V2053" i="16" s="1"/>
  <c r="T2049" i="16"/>
  <c r="V2049" i="16" s="1"/>
  <c r="T2045" i="16"/>
  <c r="V2045" i="16" s="1"/>
  <c r="T2041" i="16"/>
  <c r="V2041" i="16" s="1"/>
  <c r="T2037" i="16"/>
  <c r="V2037" i="16" s="1"/>
  <c r="T2033" i="16"/>
  <c r="V2033" i="16" s="1"/>
  <c r="T2029" i="16"/>
  <c r="V2029" i="16" s="1"/>
  <c r="T2025" i="16"/>
  <c r="V2025" i="16" s="1"/>
  <c r="T2021" i="16"/>
  <c r="V2021" i="16" s="1"/>
  <c r="T2017" i="16"/>
  <c r="V2017" i="16" s="1"/>
  <c r="T2011" i="16"/>
  <c r="V2011" i="16" s="1"/>
  <c r="T2007" i="16"/>
  <c r="V2007" i="16" s="1"/>
  <c r="T2005" i="16"/>
  <c r="V2005" i="16" s="1"/>
  <c r="T2001" i="16"/>
  <c r="V2001" i="16" s="1"/>
  <c r="T1995" i="16"/>
  <c r="V1995" i="16" s="1"/>
  <c r="T1991" i="16"/>
  <c r="V1991" i="16" s="1"/>
  <c r="T1989" i="16"/>
  <c r="V1989" i="16" s="1"/>
  <c r="T1985" i="16"/>
  <c r="V1985" i="16" s="1"/>
  <c r="T1981" i="16"/>
  <c r="V1981" i="16" s="1"/>
  <c r="T1977" i="16"/>
  <c r="V1977" i="16" s="1"/>
  <c r="T1973" i="16"/>
  <c r="V1973" i="16" s="1"/>
  <c r="T1969" i="16"/>
  <c r="V1969" i="16" s="1"/>
  <c r="T1965" i="16"/>
  <c r="V1965" i="16" s="1"/>
  <c r="T1961" i="16"/>
  <c r="V1961" i="16" s="1"/>
  <c r="T1957" i="16"/>
  <c r="V1957" i="16" s="1"/>
  <c r="T1953" i="16"/>
  <c r="V1953" i="16" s="1"/>
  <c r="T1949" i="16"/>
  <c r="V1949" i="16" s="1"/>
  <c r="T1945" i="16"/>
  <c r="V1945" i="16" s="1"/>
  <c r="T1941" i="16"/>
  <c r="V1941" i="16" s="1"/>
  <c r="T1937" i="16"/>
  <c r="V1937" i="16" s="1"/>
  <c r="T1933" i="16"/>
  <c r="V1933" i="16" s="1"/>
  <c r="T1929" i="16"/>
  <c r="V1929" i="16" s="1"/>
  <c r="T1925" i="16"/>
  <c r="V1925" i="16" s="1"/>
  <c r="T1921" i="16"/>
  <c r="V1921" i="16" s="1"/>
  <c r="T1917" i="16"/>
  <c r="V1917" i="16" s="1"/>
  <c r="T1913" i="16"/>
  <c r="V1913" i="16" s="1"/>
  <c r="T1909" i="16"/>
  <c r="V1909" i="16" s="1"/>
  <c r="T1905" i="16"/>
  <c r="V1905" i="16" s="1"/>
  <c r="T1901" i="16"/>
  <c r="V1901" i="16" s="1"/>
  <c r="T1897" i="16"/>
  <c r="V1897" i="16" s="1"/>
  <c r="T1891" i="16"/>
  <c r="V1891" i="16" s="1"/>
  <c r="T1887" i="16"/>
  <c r="V1887" i="16" s="1"/>
  <c r="T1883" i="16"/>
  <c r="V1883" i="16" s="1"/>
  <c r="T1879" i="16"/>
  <c r="V1879" i="16" s="1"/>
  <c r="T1875" i="16"/>
  <c r="V1875" i="16" s="1"/>
  <c r="T1871" i="16"/>
  <c r="V1871" i="16" s="1"/>
  <c r="T1867" i="16"/>
  <c r="V1867" i="16" s="1"/>
  <c r="T1863" i="16"/>
  <c r="V1863" i="16" s="1"/>
  <c r="T1859" i="16"/>
  <c r="V1859" i="16" s="1"/>
  <c r="T1855" i="16"/>
  <c r="V1855" i="16" s="1"/>
  <c r="T1851" i="16"/>
  <c r="V1851" i="16" s="1"/>
  <c r="T1847" i="16"/>
  <c r="V1847" i="16" s="1"/>
  <c r="T1845" i="16"/>
  <c r="V1845" i="16" s="1"/>
  <c r="T1839" i="16"/>
  <c r="V1839" i="16" s="1"/>
  <c r="T2471" i="16"/>
  <c r="V2471" i="16" s="1"/>
  <c r="T2467" i="16"/>
  <c r="V2467" i="16" s="1"/>
  <c r="T2465" i="16"/>
  <c r="V2465" i="16" s="1"/>
  <c r="T2463" i="16"/>
  <c r="V2463" i="16" s="1"/>
  <c r="T2461" i="16"/>
  <c r="V2461" i="16" s="1"/>
  <c r="T2459" i="16"/>
  <c r="V2459" i="16" s="1"/>
  <c r="T2457" i="16"/>
  <c r="V2457" i="16" s="1"/>
  <c r="T2455" i="16"/>
  <c r="V2455" i="16" s="1"/>
  <c r="T2453" i="16"/>
  <c r="V2453" i="16" s="1"/>
  <c r="T2451" i="16"/>
  <c r="V2451" i="16" s="1"/>
  <c r="T2449" i="16"/>
  <c r="V2449" i="16" s="1"/>
  <c r="T2447" i="16"/>
  <c r="V2447" i="16" s="1"/>
  <c r="T2445" i="16"/>
  <c r="V2445" i="16" s="1"/>
  <c r="T2443" i="16"/>
  <c r="V2443" i="16" s="1"/>
  <c r="T2441" i="16"/>
  <c r="V2441" i="16" s="1"/>
  <c r="T2439" i="16"/>
  <c r="V2439" i="16" s="1"/>
  <c r="T2437" i="16"/>
  <c r="V2437" i="16" s="1"/>
  <c r="T2435" i="16"/>
  <c r="V2435" i="16" s="1"/>
  <c r="T2433" i="16"/>
  <c r="V2433" i="16" s="1"/>
  <c r="T2431" i="16"/>
  <c r="V2431" i="16" s="1"/>
  <c r="T2429" i="16"/>
  <c r="V2429" i="16" s="1"/>
  <c r="T2427" i="16"/>
  <c r="V2427" i="16" s="1"/>
  <c r="T2425" i="16"/>
  <c r="V2425" i="16" s="1"/>
  <c r="T2423" i="16"/>
  <c r="V2423" i="16" s="1"/>
  <c r="T2421" i="16"/>
  <c r="V2421" i="16" s="1"/>
  <c r="T2419" i="16"/>
  <c r="V2419" i="16" s="1"/>
  <c r="T2417" i="16"/>
  <c r="V2417" i="16" s="1"/>
  <c r="T2415" i="16"/>
  <c r="V2415" i="16" s="1"/>
  <c r="T2413" i="16"/>
  <c r="V2413" i="16" s="1"/>
  <c r="T2411" i="16"/>
  <c r="V2411" i="16" s="1"/>
  <c r="T2409" i="16"/>
  <c r="V2409" i="16" s="1"/>
  <c r="T2407" i="16"/>
  <c r="V2407" i="16" s="1"/>
  <c r="T2405" i="16"/>
  <c r="V2405" i="16" s="1"/>
  <c r="T2403" i="16"/>
  <c r="V2403" i="16" s="1"/>
  <c r="T2401" i="16"/>
  <c r="V2401" i="16" s="1"/>
  <c r="T2399" i="16"/>
  <c r="V2399" i="16" s="1"/>
  <c r="T2397" i="16"/>
  <c r="V2397" i="16" s="1"/>
  <c r="T2395" i="16"/>
  <c r="V2395" i="16" s="1"/>
  <c r="T2393" i="16"/>
  <c r="V2393" i="16" s="1"/>
  <c r="T2391" i="16"/>
  <c r="V2391" i="16" s="1"/>
  <c r="T2389" i="16"/>
  <c r="V2389" i="16" s="1"/>
  <c r="T2387" i="16"/>
  <c r="V2387" i="16" s="1"/>
  <c r="T2385" i="16"/>
  <c r="V2385" i="16" s="1"/>
  <c r="T2383" i="16"/>
  <c r="V2383" i="16" s="1"/>
  <c r="T2381" i="16"/>
  <c r="V2381" i="16" s="1"/>
  <c r="T2379" i="16"/>
  <c r="V2379" i="16" s="1"/>
  <c r="T2377" i="16"/>
  <c r="V2377" i="16" s="1"/>
  <c r="T2375" i="16"/>
  <c r="V2375" i="16" s="1"/>
  <c r="T2373" i="16"/>
  <c r="V2373" i="16" s="1"/>
  <c r="T2371" i="16"/>
  <c r="V2371" i="16" s="1"/>
  <c r="T2369" i="16"/>
  <c r="V2369" i="16" s="1"/>
  <c r="T2367" i="16"/>
  <c r="V2367" i="16" s="1"/>
  <c r="T2365" i="16"/>
  <c r="V2365" i="16" s="1"/>
  <c r="T2363" i="16"/>
  <c r="V2363" i="16" s="1"/>
  <c r="T2361" i="16"/>
  <c r="V2361" i="16" s="1"/>
  <c r="T2359" i="16"/>
  <c r="V2359" i="16" s="1"/>
  <c r="T2357" i="16"/>
  <c r="V2357" i="16" s="1"/>
  <c r="T2355" i="16"/>
  <c r="V2355" i="16" s="1"/>
  <c r="T2353" i="16"/>
  <c r="V2353" i="16" s="1"/>
  <c r="T2351" i="16"/>
  <c r="V2351" i="16" s="1"/>
  <c r="T2349" i="16"/>
  <c r="V2349" i="16" s="1"/>
  <c r="T2347" i="16"/>
  <c r="V2347" i="16" s="1"/>
  <c r="T2345" i="16"/>
  <c r="V2345" i="16" s="1"/>
  <c r="T2343" i="16"/>
  <c r="V2343" i="16" s="1"/>
  <c r="T2341" i="16"/>
  <c r="V2341" i="16" s="1"/>
  <c r="T2339" i="16"/>
  <c r="V2339" i="16" s="1"/>
  <c r="T2337" i="16"/>
  <c r="V2337" i="16" s="1"/>
  <c r="T2335" i="16"/>
  <c r="V2335" i="16" s="1"/>
  <c r="T2333" i="16"/>
  <c r="V2333" i="16" s="1"/>
  <c r="T2331" i="16"/>
  <c r="V2331" i="16" s="1"/>
  <c r="T2329" i="16"/>
  <c r="V2329" i="16" s="1"/>
  <c r="T2327" i="16"/>
  <c r="V2327" i="16" s="1"/>
  <c r="T2325" i="16"/>
  <c r="V2325" i="16" s="1"/>
  <c r="T2323" i="16"/>
  <c r="V2323" i="16" s="1"/>
  <c r="T2321" i="16"/>
  <c r="V2321" i="16" s="1"/>
  <c r="T2319" i="16"/>
  <c r="V2319" i="16" s="1"/>
  <c r="T2317" i="16"/>
  <c r="V2317" i="16" s="1"/>
  <c r="T2315" i="16"/>
  <c r="V2315" i="16" s="1"/>
  <c r="T2313" i="16"/>
  <c r="V2313" i="16" s="1"/>
  <c r="T2311" i="16"/>
  <c r="V2311" i="16" s="1"/>
  <c r="T2309" i="16"/>
  <c r="V2309" i="16" s="1"/>
  <c r="T2307" i="16"/>
  <c r="V2307" i="16" s="1"/>
  <c r="T2305" i="16"/>
  <c r="V2305" i="16" s="1"/>
  <c r="T2303" i="16"/>
  <c r="V2303" i="16" s="1"/>
  <c r="T2301" i="16"/>
  <c r="V2301" i="16" s="1"/>
  <c r="T2299" i="16"/>
  <c r="V2299" i="16" s="1"/>
  <c r="T2297" i="16"/>
  <c r="V2297" i="16" s="1"/>
  <c r="T2295" i="16"/>
  <c r="V2295" i="16" s="1"/>
  <c r="T2293" i="16"/>
  <c r="V2293" i="16" s="1"/>
  <c r="T2291" i="16"/>
  <c r="V2291" i="16" s="1"/>
  <c r="T2289" i="16"/>
  <c r="V2289" i="16" s="1"/>
  <c r="T2287" i="16"/>
  <c r="V2287" i="16" s="1"/>
  <c r="T2285" i="16"/>
  <c r="V2285" i="16" s="1"/>
  <c r="T2283" i="16"/>
  <c r="V2283" i="16" s="1"/>
  <c r="T2281" i="16"/>
  <c r="V2281" i="16" s="1"/>
  <c r="T2279" i="16"/>
  <c r="V2279" i="16" s="1"/>
  <c r="T2277" i="16"/>
  <c r="V2277" i="16" s="1"/>
  <c r="T2275" i="16"/>
  <c r="V2275" i="16" s="1"/>
  <c r="T2273" i="16"/>
  <c r="V2273" i="16" s="1"/>
  <c r="T2271" i="16"/>
  <c r="V2271" i="16" s="1"/>
  <c r="T2269" i="16"/>
  <c r="V2269" i="16" s="1"/>
  <c r="T2267" i="16"/>
  <c r="V2267" i="16" s="1"/>
  <c r="T2265" i="16"/>
  <c r="V2265" i="16" s="1"/>
  <c r="T2263" i="16"/>
  <c r="V2263" i="16" s="1"/>
  <c r="T2261" i="16"/>
  <c r="V2261" i="16" s="1"/>
  <c r="T2259" i="16"/>
  <c r="V2259" i="16" s="1"/>
  <c r="T2257" i="16"/>
  <c r="V2257" i="16" s="1"/>
  <c r="T2255" i="16"/>
  <c r="V2255" i="16" s="1"/>
  <c r="T2253" i="16"/>
  <c r="V2253" i="16" s="1"/>
  <c r="T2251" i="16"/>
  <c r="V2251" i="16" s="1"/>
  <c r="T2249" i="16"/>
  <c r="V2249" i="16" s="1"/>
  <c r="T2247" i="16"/>
  <c r="V2247" i="16" s="1"/>
  <c r="T2245" i="16"/>
  <c r="V2245" i="16" s="1"/>
  <c r="T2243" i="16"/>
  <c r="V2243" i="16" s="1"/>
  <c r="T2241" i="16"/>
  <c r="V2241" i="16" s="1"/>
  <c r="T2239" i="16"/>
  <c r="V2239" i="16" s="1"/>
  <c r="T2237" i="16"/>
  <c r="V2237" i="16" s="1"/>
  <c r="T2235" i="16"/>
  <c r="V2235" i="16" s="1"/>
  <c r="T2233" i="16"/>
  <c r="V2233" i="16" s="1"/>
  <c r="T2231" i="16"/>
  <c r="V2231" i="16" s="1"/>
  <c r="T2229" i="16"/>
  <c r="V2229" i="16" s="1"/>
  <c r="T2227" i="16"/>
  <c r="V2227" i="16" s="1"/>
  <c r="T2225" i="16"/>
  <c r="V2225" i="16" s="1"/>
  <c r="T2223" i="16"/>
  <c r="V2223" i="16" s="1"/>
  <c r="T2221" i="16"/>
  <c r="V2221" i="16" s="1"/>
  <c r="T2219" i="16"/>
  <c r="V2219" i="16" s="1"/>
  <c r="T2217" i="16"/>
  <c r="V2217" i="16" s="1"/>
  <c r="T2215" i="16"/>
  <c r="V2215" i="16" s="1"/>
  <c r="T2213" i="16"/>
  <c r="V2213" i="16" s="1"/>
  <c r="T2211" i="16"/>
  <c r="V2211" i="16" s="1"/>
  <c r="T2209" i="16"/>
  <c r="V2209" i="16" s="1"/>
  <c r="T2207" i="16"/>
  <c r="V2207" i="16" s="1"/>
  <c r="T2205" i="16"/>
  <c r="V2205" i="16" s="1"/>
  <c r="T2203" i="16"/>
  <c r="V2203" i="16" s="1"/>
  <c r="T2201" i="16"/>
  <c r="V2201" i="16" s="1"/>
  <c r="T2199" i="16"/>
  <c r="V2199" i="16" s="1"/>
  <c r="T2197" i="16"/>
  <c r="V2197" i="16" s="1"/>
  <c r="T2195" i="16"/>
  <c r="V2195" i="16" s="1"/>
  <c r="T2193" i="16"/>
  <c r="V2193" i="16" s="1"/>
  <c r="T2191" i="16"/>
  <c r="V2191" i="16" s="1"/>
  <c r="T2189" i="16"/>
  <c r="V2189" i="16" s="1"/>
  <c r="T2187" i="16"/>
  <c r="V2187" i="16" s="1"/>
  <c r="T2185" i="16"/>
  <c r="V2185" i="16" s="1"/>
  <c r="T2183" i="16"/>
  <c r="V2183" i="16" s="1"/>
  <c r="T2181" i="16"/>
  <c r="V2181" i="16" s="1"/>
  <c r="T2179" i="16"/>
  <c r="V2179" i="16" s="1"/>
  <c r="T2177" i="16"/>
  <c r="V2177" i="16" s="1"/>
  <c r="T2175" i="16"/>
  <c r="V2175" i="16" s="1"/>
  <c r="T2173" i="16"/>
  <c r="V2173" i="16" s="1"/>
  <c r="T2171" i="16"/>
  <c r="V2171" i="16" s="1"/>
  <c r="T2169" i="16"/>
  <c r="V2169" i="16" s="1"/>
  <c r="T2167" i="16"/>
  <c r="V2167" i="16" s="1"/>
  <c r="T2165" i="16"/>
  <c r="V2165" i="16" s="1"/>
  <c r="T2163" i="16"/>
  <c r="V2163" i="16" s="1"/>
  <c r="T2161" i="16"/>
  <c r="V2161" i="16" s="1"/>
  <c r="T2159" i="16"/>
  <c r="V2159" i="16" s="1"/>
  <c r="T2157" i="16"/>
  <c r="V2157" i="16" s="1"/>
  <c r="T2155" i="16"/>
  <c r="V2155" i="16" s="1"/>
  <c r="T2153" i="16"/>
  <c r="V2153" i="16" s="1"/>
  <c r="T2151" i="16"/>
  <c r="V2151" i="16" s="1"/>
  <c r="T2149" i="16"/>
  <c r="V2149" i="16" s="1"/>
  <c r="T2147" i="16"/>
  <c r="V2147" i="16" s="1"/>
  <c r="T2145" i="16"/>
  <c r="V2145" i="16" s="1"/>
  <c r="T2143" i="16"/>
  <c r="V2143" i="16" s="1"/>
  <c r="T2141" i="16"/>
  <c r="V2141" i="16" s="1"/>
  <c r="T2139" i="16"/>
  <c r="V2139" i="16" s="1"/>
  <c r="T2137" i="16"/>
  <c r="V2137" i="16" s="1"/>
  <c r="T2135" i="16"/>
  <c r="V2135" i="16" s="1"/>
  <c r="T2133" i="16"/>
  <c r="V2133" i="16" s="1"/>
  <c r="T2131" i="16"/>
  <c r="V2131" i="16" s="1"/>
  <c r="T2129" i="16"/>
  <c r="V2129" i="16" s="1"/>
  <c r="T2127" i="16"/>
  <c r="V2127" i="16" s="1"/>
  <c r="T2125" i="16"/>
  <c r="V2125" i="16" s="1"/>
  <c r="T2123" i="16"/>
  <c r="V2123" i="16" s="1"/>
  <c r="T2121" i="16"/>
  <c r="V2121" i="16" s="1"/>
  <c r="T2119" i="16"/>
  <c r="V2119" i="16" s="1"/>
  <c r="T2117" i="16"/>
  <c r="V2117" i="16" s="1"/>
  <c r="T2115" i="16"/>
  <c r="V2115" i="16" s="1"/>
  <c r="T2113" i="16"/>
  <c r="V2113" i="16" s="1"/>
  <c r="T2111" i="16"/>
  <c r="V2111" i="16" s="1"/>
  <c r="T2109" i="16"/>
  <c r="V2109" i="16" s="1"/>
  <c r="T2107" i="16"/>
  <c r="V2107" i="16" s="1"/>
  <c r="T2105" i="16"/>
  <c r="V2105" i="16" s="1"/>
  <c r="T2103" i="16"/>
  <c r="V2103" i="16" s="1"/>
  <c r="T2101" i="16"/>
  <c r="V2101" i="16" s="1"/>
  <c r="T2099" i="16"/>
  <c r="V2099" i="16" s="1"/>
  <c r="T2097" i="16"/>
  <c r="V2097" i="16" s="1"/>
  <c r="T2095" i="16"/>
  <c r="V2095" i="16" s="1"/>
  <c r="T2093" i="16"/>
  <c r="V2093" i="16" s="1"/>
  <c r="T2091" i="16"/>
  <c r="V2091" i="16" s="1"/>
  <c r="T2089" i="16"/>
  <c r="V2089" i="16" s="1"/>
  <c r="T2087" i="16"/>
  <c r="V2087" i="16" s="1"/>
  <c r="T2085" i="16"/>
  <c r="V2085" i="16" s="1"/>
  <c r="T2083" i="16"/>
  <c r="V2083" i="16" s="1"/>
  <c r="T2081" i="16"/>
  <c r="V2081" i="16" s="1"/>
  <c r="T2079" i="16"/>
  <c r="V2079" i="16" s="1"/>
  <c r="T2075" i="16"/>
  <c r="V2075" i="16" s="1"/>
  <c r="T2071" i="16"/>
  <c r="V2071" i="16" s="1"/>
  <c r="T2067" i="16"/>
  <c r="V2067" i="16" s="1"/>
  <c r="T2059" i="16"/>
  <c r="V2059" i="16" s="1"/>
  <c r="T2055" i="16"/>
  <c r="V2055" i="16" s="1"/>
  <c r="T2051" i="16"/>
  <c r="V2051" i="16" s="1"/>
  <c r="T2047" i="16"/>
  <c r="V2047" i="16" s="1"/>
  <c r="T2043" i="16"/>
  <c r="V2043" i="16" s="1"/>
  <c r="T2039" i="16"/>
  <c r="V2039" i="16" s="1"/>
  <c r="T2035" i="16"/>
  <c r="V2035" i="16" s="1"/>
  <c r="T2031" i="16"/>
  <c r="V2031" i="16" s="1"/>
  <c r="T2027" i="16"/>
  <c r="V2027" i="16" s="1"/>
  <c r="T2023" i="16"/>
  <c r="V2023" i="16" s="1"/>
  <c r="T2019" i="16"/>
  <c r="V2019" i="16" s="1"/>
  <c r="T2015" i="16"/>
  <c r="V2015" i="16" s="1"/>
  <c r="T2013" i="16"/>
  <c r="V2013" i="16" s="1"/>
  <c r="T2009" i="16"/>
  <c r="V2009" i="16" s="1"/>
  <c r="T2003" i="16"/>
  <c r="V2003" i="16" s="1"/>
  <c r="T1999" i="16"/>
  <c r="V1999" i="16" s="1"/>
  <c r="T1997" i="16"/>
  <c r="V1997" i="16" s="1"/>
  <c r="T1993" i="16"/>
  <c r="V1993" i="16" s="1"/>
  <c r="T1987" i="16"/>
  <c r="V1987" i="16" s="1"/>
  <c r="T1983" i="16"/>
  <c r="V1983" i="16" s="1"/>
  <c r="T1979" i="16"/>
  <c r="V1979" i="16" s="1"/>
  <c r="T1975" i="16"/>
  <c r="V1975" i="16" s="1"/>
  <c r="T1971" i="16"/>
  <c r="V1971" i="16" s="1"/>
  <c r="T1967" i="16"/>
  <c r="V1967" i="16" s="1"/>
  <c r="T1963" i="16"/>
  <c r="V1963" i="16" s="1"/>
  <c r="T1959" i="16"/>
  <c r="V1959" i="16" s="1"/>
  <c r="T1955" i="16"/>
  <c r="V1955" i="16" s="1"/>
  <c r="T1951" i="16"/>
  <c r="V1951" i="16" s="1"/>
  <c r="T1947" i="16"/>
  <c r="V1947" i="16" s="1"/>
  <c r="T1943" i="16"/>
  <c r="V1943" i="16" s="1"/>
  <c r="T1939" i="16"/>
  <c r="V1939" i="16" s="1"/>
  <c r="T1935" i="16"/>
  <c r="V1935" i="16" s="1"/>
  <c r="T1931" i="16"/>
  <c r="V1931" i="16" s="1"/>
  <c r="T1927" i="16"/>
  <c r="V1927" i="16" s="1"/>
  <c r="T1923" i="16"/>
  <c r="V1923" i="16" s="1"/>
  <c r="T1919" i="16"/>
  <c r="V1919" i="16" s="1"/>
  <c r="T1915" i="16"/>
  <c r="V1915" i="16" s="1"/>
  <c r="T1911" i="16"/>
  <c r="V1911" i="16" s="1"/>
  <c r="T1907" i="16"/>
  <c r="V1907" i="16" s="1"/>
  <c r="T1903" i="16"/>
  <c r="V1903" i="16" s="1"/>
  <c r="T1899" i="16"/>
  <c r="V1899" i="16" s="1"/>
  <c r="T1895" i="16"/>
  <c r="V1895" i="16" s="1"/>
  <c r="T1893" i="16"/>
  <c r="V1893" i="16" s="1"/>
  <c r="T1889" i="16"/>
  <c r="V1889" i="16" s="1"/>
  <c r="T1885" i="16"/>
  <c r="V1885" i="16" s="1"/>
  <c r="T1881" i="16"/>
  <c r="V1881" i="16" s="1"/>
  <c r="T1877" i="16"/>
  <c r="V1877" i="16" s="1"/>
  <c r="T1873" i="16"/>
  <c r="V1873" i="16" s="1"/>
  <c r="T1869" i="16"/>
  <c r="V1869" i="16" s="1"/>
  <c r="T1865" i="16"/>
  <c r="V1865" i="16" s="1"/>
  <c r="T1861" i="16"/>
  <c r="V1861" i="16" s="1"/>
  <c r="T1857" i="16"/>
  <c r="V1857" i="16" s="1"/>
  <c r="T1853" i="16"/>
  <c r="V1853" i="16" s="1"/>
  <c r="T1849" i="16"/>
  <c r="V1849" i="16" s="1"/>
  <c r="T1843" i="16"/>
  <c r="V1843" i="16" s="1"/>
  <c r="T2450" i="16"/>
  <c r="V2450" i="16" s="1"/>
  <c r="T2448" i="16"/>
  <c r="V2448" i="16" s="1"/>
  <c r="T2446" i="16"/>
  <c r="V2446" i="16" s="1"/>
  <c r="T2444" i="16"/>
  <c r="V2444" i="16" s="1"/>
  <c r="T2442" i="16"/>
  <c r="V2442" i="16" s="1"/>
  <c r="T2440" i="16"/>
  <c r="V2440" i="16" s="1"/>
  <c r="T2438" i="16"/>
  <c r="V2438" i="16" s="1"/>
  <c r="T2436" i="16"/>
  <c r="V2436" i="16" s="1"/>
  <c r="T2434" i="16"/>
  <c r="V2434" i="16" s="1"/>
  <c r="T2432" i="16"/>
  <c r="V2432" i="16" s="1"/>
  <c r="T2430" i="16"/>
  <c r="V2430" i="16" s="1"/>
  <c r="T2428" i="16"/>
  <c r="V2428" i="16" s="1"/>
  <c r="T2426" i="16"/>
  <c r="V2426" i="16" s="1"/>
  <c r="T2424" i="16"/>
  <c r="V2424" i="16" s="1"/>
  <c r="T2422" i="16"/>
  <c r="V2422" i="16" s="1"/>
  <c r="T2420" i="16"/>
  <c r="V2420" i="16" s="1"/>
  <c r="T2418" i="16"/>
  <c r="V2418" i="16" s="1"/>
  <c r="T2416" i="16"/>
  <c r="V2416" i="16" s="1"/>
  <c r="T2414" i="16"/>
  <c r="V2414" i="16" s="1"/>
  <c r="T2412" i="16"/>
  <c r="V2412" i="16" s="1"/>
  <c r="T2410" i="16"/>
  <c r="V2410" i="16" s="1"/>
  <c r="T2408" i="16"/>
  <c r="V2408" i="16" s="1"/>
  <c r="T2406" i="16"/>
  <c r="V2406" i="16" s="1"/>
  <c r="T2404" i="16"/>
  <c r="V2404" i="16" s="1"/>
  <c r="T2402" i="16"/>
  <c r="V2402" i="16" s="1"/>
  <c r="T2400" i="16"/>
  <c r="V2400" i="16" s="1"/>
  <c r="T2398" i="16"/>
  <c r="V2398" i="16" s="1"/>
  <c r="T2396" i="16"/>
  <c r="V2396" i="16" s="1"/>
  <c r="T2394" i="16"/>
  <c r="V2394" i="16" s="1"/>
  <c r="T2392" i="16"/>
  <c r="V2392" i="16" s="1"/>
  <c r="T2390" i="16"/>
  <c r="V2390" i="16" s="1"/>
  <c r="T2388" i="16"/>
  <c r="V2388" i="16" s="1"/>
  <c r="T2386" i="16"/>
  <c r="V2386" i="16" s="1"/>
  <c r="T2384" i="16"/>
  <c r="V2384" i="16" s="1"/>
  <c r="T2382" i="16"/>
  <c r="V2382" i="16" s="1"/>
  <c r="T2380" i="16"/>
  <c r="V2380" i="16" s="1"/>
  <c r="T2378" i="16"/>
  <c r="V2378" i="16" s="1"/>
  <c r="T2376" i="16"/>
  <c r="V2376" i="16" s="1"/>
  <c r="T2374" i="16"/>
  <c r="V2374" i="16" s="1"/>
  <c r="T2372" i="16"/>
  <c r="V2372" i="16" s="1"/>
  <c r="T2370" i="16"/>
  <c r="V2370" i="16" s="1"/>
  <c r="T2368" i="16"/>
  <c r="V2368" i="16" s="1"/>
  <c r="T2366" i="16"/>
  <c r="V2366" i="16" s="1"/>
  <c r="T2364" i="16"/>
  <c r="V2364" i="16" s="1"/>
  <c r="T2362" i="16"/>
  <c r="V2362" i="16" s="1"/>
  <c r="T2360" i="16"/>
  <c r="V2360" i="16" s="1"/>
  <c r="T2358" i="16"/>
  <c r="V2358" i="16" s="1"/>
  <c r="T2356" i="16"/>
  <c r="V2356" i="16" s="1"/>
  <c r="T2354" i="16"/>
  <c r="V2354" i="16" s="1"/>
  <c r="T2352" i="16"/>
  <c r="V2352" i="16" s="1"/>
  <c r="T2350" i="16"/>
  <c r="V2350" i="16" s="1"/>
  <c r="T2348" i="16"/>
  <c r="V2348" i="16" s="1"/>
  <c r="T2346" i="16"/>
  <c r="V2346" i="16" s="1"/>
  <c r="T2344" i="16"/>
  <c r="V2344" i="16" s="1"/>
  <c r="T2342" i="16"/>
  <c r="V2342" i="16" s="1"/>
  <c r="T2340" i="16"/>
  <c r="V2340" i="16" s="1"/>
  <c r="T2338" i="16"/>
  <c r="V2338" i="16" s="1"/>
  <c r="T2336" i="16"/>
  <c r="V2336" i="16" s="1"/>
  <c r="T2334" i="16"/>
  <c r="V2334" i="16" s="1"/>
  <c r="T2332" i="16"/>
  <c r="V2332" i="16" s="1"/>
  <c r="T2330" i="16"/>
  <c r="V2330" i="16" s="1"/>
  <c r="T2328" i="16"/>
  <c r="V2328" i="16" s="1"/>
  <c r="T2326" i="16"/>
  <c r="V2326" i="16" s="1"/>
  <c r="T2324" i="16"/>
  <c r="V2324" i="16" s="1"/>
  <c r="T2322" i="16"/>
  <c r="V2322" i="16" s="1"/>
  <c r="T2320" i="16"/>
  <c r="V2320" i="16" s="1"/>
  <c r="T2318" i="16"/>
  <c r="V2318" i="16" s="1"/>
  <c r="T2316" i="16"/>
  <c r="V2316" i="16" s="1"/>
  <c r="T2314" i="16"/>
  <c r="V2314" i="16" s="1"/>
  <c r="T2312" i="16"/>
  <c r="V2312" i="16" s="1"/>
  <c r="T2310" i="16"/>
  <c r="V2310" i="16" s="1"/>
  <c r="T2308" i="16"/>
  <c r="V2308" i="16" s="1"/>
  <c r="T2306" i="16"/>
  <c r="V2306" i="16" s="1"/>
  <c r="T2304" i="16"/>
  <c r="V2304" i="16" s="1"/>
  <c r="T2302" i="16"/>
  <c r="V2302" i="16" s="1"/>
  <c r="T2300" i="16"/>
  <c r="V2300" i="16" s="1"/>
  <c r="T2298" i="16"/>
  <c r="V2298" i="16" s="1"/>
  <c r="T2296" i="16"/>
  <c r="V2296" i="16" s="1"/>
  <c r="T2294" i="16"/>
  <c r="V2294" i="16" s="1"/>
  <c r="T2292" i="16"/>
  <c r="V2292" i="16" s="1"/>
  <c r="T2290" i="16"/>
  <c r="V2290" i="16" s="1"/>
  <c r="T2288" i="16"/>
  <c r="V2288" i="16" s="1"/>
  <c r="T2286" i="16"/>
  <c r="V2286" i="16" s="1"/>
  <c r="T2284" i="16"/>
  <c r="V2284" i="16" s="1"/>
  <c r="T2282" i="16"/>
  <c r="V2282" i="16" s="1"/>
  <c r="T2280" i="16"/>
  <c r="V2280" i="16" s="1"/>
  <c r="T2278" i="16"/>
  <c r="V2278" i="16" s="1"/>
  <c r="T2276" i="16"/>
  <c r="V2276" i="16" s="1"/>
  <c r="T2274" i="16"/>
  <c r="V2274" i="16" s="1"/>
  <c r="T2272" i="16"/>
  <c r="V2272" i="16" s="1"/>
  <c r="T2270" i="16"/>
  <c r="V2270" i="16" s="1"/>
  <c r="T2268" i="16"/>
  <c r="V2268" i="16" s="1"/>
  <c r="T2266" i="16"/>
  <c r="V2266" i="16" s="1"/>
  <c r="T2264" i="16"/>
  <c r="V2264" i="16" s="1"/>
  <c r="T2262" i="16"/>
  <c r="V2262" i="16" s="1"/>
  <c r="T2260" i="16"/>
  <c r="V2260" i="16" s="1"/>
  <c r="T2258" i="16"/>
  <c r="V2258" i="16" s="1"/>
  <c r="T2256" i="16"/>
  <c r="V2256" i="16" s="1"/>
  <c r="T2254" i="16"/>
  <c r="V2254" i="16" s="1"/>
  <c r="T2252" i="16"/>
  <c r="V2252" i="16" s="1"/>
  <c r="T2250" i="16"/>
  <c r="V2250" i="16" s="1"/>
  <c r="T2248" i="16"/>
  <c r="V2248" i="16" s="1"/>
  <c r="T2246" i="16"/>
  <c r="V2246" i="16" s="1"/>
  <c r="T2244" i="16"/>
  <c r="V2244" i="16" s="1"/>
  <c r="T2242" i="16"/>
  <c r="V2242" i="16" s="1"/>
  <c r="T2240" i="16"/>
  <c r="V2240" i="16" s="1"/>
  <c r="T2238" i="16"/>
  <c r="V2238" i="16" s="1"/>
  <c r="T2236" i="16"/>
  <c r="V2236" i="16" s="1"/>
  <c r="T2234" i="16"/>
  <c r="V2234" i="16" s="1"/>
  <c r="T2232" i="16"/>
  <c r="V2232" i="16" s="1"/>
  <c r="T2230" i="16"/>
  <c r="V2230" i="16" s="1"/>
  <c r="T2228" i="16"/>
  <c r="V2228" i="16" s="1"/>
  <c r="T2226" i="16"/>
  <c r="V2226" i="16" s="1"/>
  <c r="T2224" i="16"/>
  <c r="V2224" i="16" s="1"/>
  <c r="T2222" i="16"/>
  <c r="V2222" i="16" s="1"/>
  <c r="T2220" i="16"/>
  <c r="V2220" i="16" s="1"/>
  <c r="T2218" i="16"/>
  <c r="V2218" i="16" s="1"/>
  <c r="T2216" i="16"/>
  <c r="V2216" i="16" s="1"/>
  <c r="T2214" i="16"/>
  <c r="V2214" i="16" s="1"/>
  <c r="T2212" i="16"/>
  <c r="V2212" i="16" s="1"/>
  <c r="T2210" i="16"/>
  <c r="V2210" i="16" s="1"/>
  <c r="T2208" i="16"/>
  <c r="V2208" i="16" s="1"/>
  <c r="T2206" i="16"/>
  <c r="V2206" i="16" s="1"/>
  <c r="T2204" i="16"/>
  <c r="V2204" i="16" s="1"/>
  <c r="T2202" i="16"/>
  <c r="V2202" i="16" s="1"/>
  <c r="T2200" i="16"/>
  <c r="V2200" i="16" s="1"/>
  <c r="T2198" i="16"/>
  <c r="V2198" i="16" s="1"/>
  <c r="T2196" i="16"/>
  <c r="V2196" i="16" s="1"/>
  <c r="T2194" i="16"/>
  <c r="V2194" i="16" s="1"/>
  <c r="T2192" i="16"/>
  <c r="V2192" i="16" s="1"/>
  <c r="T2190" i="16"/>
  <c r="V2190" i="16" s="1"/>
  <c r="T2188" i="16"/>
  <c r="V2188" i="16" s="1"/>
  <c r="T2186" i="16"/>
  <c r="V2186" i="16" s="1"/>
  <c r="T2184" i="16"/>
  <c r="V2184" i="16" s="1"/>
  <c r="T2182" i="16"/>
  <c r="V2182" i="16" s="1"/>
  <c r="T2180" i="16"/>
  <c r="V2180" i="16" s="1"/>
  <c r="T2178" i="16"/>
  <c r="V2178" i="16" s="1"/>
  <c r="T2176" i="16"/>
  <c r="V2176" i="16" s="1"/>
  <c r="T2174" i="16"/>
  <c r="V2174" i="16" s="1"/>
  <c r="T2172" i="16"/>
  <c r="V2172" i="16" s="1"/>
  <c r="T2170" i="16"/>
  <c r="V2170" i="16" s="1"/>
  <c r="T2168" i="16"/>
  <c r="V2168" i="16" s="1"/>
  <c r="T2166" i="16"/>
  <c r="V2166" i="16" s="1"/>
  <c r="T2164" i="16"/>
  <c r="V2164" i="16" s="1"/>
  <c r="T2162" i="16"/>
  <c r="V2162" i="16" s="1"/>
  <c r="T2160" i="16"/>
  <c r="V2160" i="16" s="1"/>
  <c r="T2158" i="16"/>
  <c r="V2158" i="16" s="1"/>
  <c r="T2156" i="16"/>
  <c r="V2156" i="16" s="1"/>
  <c r="T2154" i="16"/>
  <c r="V2154" i="16" s="1"/>
  <c r="T2152" i="16"/>
  <c r="V2152" i="16" s="1"/>
  <c r="T2150" i="16"/>
  <c r="V2150" i="16" s="1"/>
  <c r="T2148" i="16"/>
  <c r="V2148" i="16" s="1"/>
  <c r="T2146" i="16"/>
  <c r="V2146" i="16" s="1"/>
  <c r="T2144" i="16"/>
  <c r="V2144" i="16" s="1"/>
  <c r="T2142" i="16"/>
  <c r="V2142" i="16" s="1"/>
  <c r="T2140" i="16"/>
  <c r="V2140" i="16" s="1"/>
  <c r="T2138" i="16"/>
  <c r="V2138" i="16" s="1"/>
  <c r="T2136" i="16"/>
  <c r="V2136" i="16" s="1"/>
  <c r="T2134" i="16"/>
  <c r="V2134" i="16" s="1"/>
  <c r="T2132" i="16"/>
  <c r="V2132" i="16" s="1"/>
  <c r="T2130" i="16"/>
  <c r="V2130" i="16" s="1"/>
  <c r="T2128" i="16"/>
  <c r="V2128" i="16" s="1"/>
  <c r="T2126" i="16"/>
  <c r="V2126" i="16" s="1"/>
  <c r="T2124" i="16"/>
  <c r="V2124" i="16" s="1"/>
  <c r="T2122" i="16"/>
  <c r="V2122" i="16" s="1"/>
  <c r="T2120" i="16"/>
  <c r="V2120" i="16" s="1"/>
  <c r="T2118" i="16"/>
  <c r="V2118" i="16" s="1"/>
  <c r="T2116" i="16"/>
  <c r="V2116" i="16" s="1"/>
  <c r="T2114" i="16"/>
  <c r="V2114" i="16" s="1"/>
  <c r="T2112" i="16"/>
  <c r="V2112" i="16" s="1"/>
  <c r="T2110" i="16"/>
  <c r="V2110" i="16" s="1"/>
  <c r="T2108" i="16"/>
  <c r="V2108" i="16" s="1"/>
  <c r="T2106" i="16"/>
  <c r="V2106" i="16" s="1"/>
  <c r="T2104" i="16"/>
  <c r="V2104" i="16" s="1"/>
  <c r="T2102" i="16"/>
  <c r="V2102" i="16" s="1"/>
  <c r="T2100" i="16"/>
  <c r="V2100" i="16" s="1"/>
  <c r="T2098" i="16"/>
  <c r="V2098" i="16" s="1"/>
  <c r="T2096" i="16"/>
  <c r="V2096" i="16" s="1"/>
  <c r="T2094" i="16"/>
  <c r="V2094" i="16" s="1"/>
  <c r="T2092" i="16"/>
  <c r="V2092" i="16" s="1"/>
  <c r="T2090" i="16"/>
  <c r="V2090" i="16" s="1"/>
  <c r="T2088" i="16"/>
  <c r="V2088" i="16" s="1"/>
  <c r="T2086" i="16"/>
  <c r="V2086" i="16" s="1"/>
  <c r="T2084" i="16"/>
  <c r="V2084" i="16" s="1"/>
  <c r="T2082" i="16"/>
  <c r="V2082" i="16" s="1"/>
  <c r="T2080" i="16"/>
  <c r="V2080" i="16" s="1"/>
  <c r="T2078" i="16"/>
  <c r="V2078" i="16" s="1"/>
  <c r="T2076" i="16"/>
  <c r="V2076" i="16" s="1"/>
  <c r="T2074" i="16"/>
  <c r="V2074" i="16" s="1"/>
  <c r="T2072" i="16"/>
  <c r="V2072" i="16" s="1"/>
  <c r="T2070" i="16"/>
  <c r="V2070" i="16" s="1"/>
  <c r="T2068" i="16"/>
  <c r="V2068" i="16" s="1"/>
  <c r="T2066" i="16"/>
  <c r="V2066" i="16" s="1"/>
  <c r="T2064" i="16"/>
  <c r="V2064" i="16" s="1"/>
  <c r="T2062" i="16"/>
  <c r="V2062" i="16" s="1"/>
  <c r="T2060" i="16"/>
  <c r="V2060" i="16" s="1"/>
  <c r="T2058" i="16"/>
  <c r="V2058" i="16" s="1"/>
  <c r="T2056" i="16"/>
  <c r="V2056" i="16" s="1"/>
  <c r="T2054" i="16"/>
  <c r="V2054" i="16" s="1"/>
  <c r="T2052" i="16"/>
  <c r="V2052" i="16" s="1"/>
  <c r="T2050" i="16"/>
  <c r="V2050" i="16" s="1"/>
  <c r="T2048" i="16"/>
  <c r="V2048" i="16" s="1"/>
  <c r="T2046" i="16"/>
  <c r="V2046" i="16" s="1"/>
  <c r="T2044" i="16"/>
  <c r="V2044" i="16" s="1"/>
  <c r="T2042" i="16"/>
  <c r="V2042" i="16" s="1"/>
  <c r="T2040" i="16"/>
  <c r="V2040" i="16" s="1"/>
  <c r="T2038" i="16"/>
  <c r="V2038" i="16" s="1"/>
  <c r="T2036" i="16"/>
  <c r="V2036" i="16" s="1"/>
  <c r="T2034" i="16"/>
  <c r="V2034" i="16" s="1"/>
  <c r="T2032" i="16"/>
  <c r="V2032" i="16" s="1"/>
  <c r="T2030" i="16"/>
  <c r="V2030" i="16" s="1"/>
  <c r="T2028" i="16"/>
  <c r="V2028" i="16" s="1"/>
  <c r="T2026" i="16"/>
  <c r="V2026" i="16" s="1"/>
  <c r="T2024" i="16"/>
  <c r="V2024" i="16" s="1"/>
  <c r="T2022" i="16"/>
  <c r="V2022" i="16" s="1"/>
  <c r="T2020" i="16"/>
  <c r="V2020" i="16" s="1"/>
  <c r="T2018" i="16"/>
  <c r="V2018" i="16" s="1"/>
  <c r="T2016" i="16"/>
  <c r="V2016" i="16" s="1"/>
  <c r="T2014" i="16"/>
  <c r="V2014" i="16" s="1"/>
  <c r="T2012" i="16"/>
  <c r="V2012" i="16" s="1"/>
  <c r="T2010" i="16"/>
  <c r="V2010" i="16" s="1"/>
  <c r="T2008" i="16"/>
  <c r="V2008" i="16" s="1"/>
  <c r="T2006" i="16"/>
  <c r="V2006" i="16" s="1"/>
  <c r="T2004" i="16"/>
  <c r="V2004" i="16" s="1"/>
  <c r="T2002" i="16"/>
  <c r="V2002" i="16" s="1"/>
  <c r="T2000" i="16"/>
  <c r="V2000" i="16" s="1"/>
  <c r="T1998" i="16"/>
  <c r="V1998" i="16" s="1"/>
  <c r="T1996" i="16"/>
  <c r="V1996" i="16" s="1"/>
  <c r="T1994" i="16"/>
  <c r="V1994" i="16" s="1"/>
  <c r="T1992" i="16"/>
  <c r="V1992" i="16" s="1"/>
  <c r="T1990" i="16"/>
  <c r="V1990" i="16" s="1"/>
  <c r="T1988" i="16"/>
  <c r="V1988" i="16" s="1"/>
  <c r="T1986" i="16"/>
  <c r="V1986" i="16" s="1"/>
  <c r="T1984" i="16"/>
  <c r="V1984" i="16" s="1"/>
  <c r="T1982" i="16"/>
  <c r="V1982" i="16" s="1"/>
  <c r="T1980" i="16"/>
  <c r="V1980" i="16" s="1"/>
  <c r="T1978" i="16"/>
  <c r="V1978" i="16" s="1"/>
  <c r="T1976" i="16"/>
  <c r="V1976" i="16" s="1"/>
  <c r="T1974" i="16"/>
  <c r="V1974" i="16" s="1"/>
  <c r="T1972" i="16"/>
  <c r="V1972" i="16" s="1"/>
  <c r="T1970" i="16"/>
  <c r="V1970" i="16" s="1"/>
  <c r="T1968" i="16"/>
  <c r="V1968" i="16" s="1"/>
  <c r="T1966" i="16"/>
  <c r="V1966" i="16" s="1"/>
  <c r="T1964" i="16"/>
  <c r="V1964" i="16" s="1"/>
  <c r="T1962" i="16"/>
  <c r="V1962" i="16" s="1"/>
  <c r="T1960" i="16"/>
  <c r="V1960" i="16" s="1"/>
  <c r="T1958" i="16"/>
  <c r="V1958" i="16" s="1"/>
  <c r="T1956" i="16"/>
  <c r="V1956" i="16" s="1"/>
  <c r="T1954" i="16"/>
  <c r="V1954" i="16" s="1"/>
  <c r="T1952" i="16"/>
  <c r="V1952" i="16" s="1"/>
  <c r="T1950" i="16"/>
  <c r="V1950" i="16" s="1"/>
  <c r="T1948" i="16"/>
  <c r="V1948" i="16" s="1"/>
  <c r="T1946" i="16"/>
  <c r="V1946" i="16" s="1"/>
  <c r="T1944" i="16"/>
  <c r="V1944" i="16" s="1"/>
  <c r="T1942" i="16"/>
  <c r="V1942" i="16" s="1"/>
  <c r="T1940" i="16"/>
  <c r="V1940" i="16" s="1"/>
  <c r="T1938" i="16"/>
  <c r="V1938" i="16" s="1"/>
  <c r="T1936" i="16"/>
  <c r="V1936" i="16" s="1"/>
  <c r="T1934" i="16"/>
  <c r="V1934" i="16" s="1"/>
  <c r="T1932" i="16"/>
  <c r="V1932" i="16" s="1"/>
  <c r="T1930" i="16"/>
  <c r="V1930" i="16" s="1"/>
  <c r="T1928" i="16"/>
  <c r="V1928" i="16" s="1"/>
  <c r="T1926" i="16"/>
  <c r="V1926" i="16" s="1"/>
  <c r="T1924" i="16"/>
  <c r="V1924" i="16" s="1"/>
  <c r="T1922" i="16"/>
  <c r="V1922" i="16" s="1"/>
  <c r="T1920" i="16"/>
  <c r="V1920" i="16" s="1"/>
  <c r="T1918" i="16"/>
  <c r="V1918" i="16" s="1"/>
  <c r="T1916" i="16"/>
  <c r="V1916" i="16" s="1"/>
  <c r="T1914" i="16"/>
  <c r="V1914" i="16" s="1"/>
  <c r="T1912" i="16"/>
  <c r="V1912" i="16" s="1"/>
  <c r="T1910" i="16"/>
  <c r="V1910" i="16" s="1"/>
  <c r="T1908" i="16"/>
  <c r="V1908" i="16" s="1"/>
  <c r="T1906" i="16"/>
  <c r="V1906" i="16" s="1"/>
  <c r="T1904" i="16"/>
  <c r="V1904" i="16" s="1"/>
  <c r="T1902" i="16"/>
  <c r="V1902" i="16" s="1"/>
  <c r="T1900" i="16"/>
  <c r="V1900" i="16" s="1"/>
  <c r="T1898" i="16"/>
  <c r="V1898" i="16" s="1"/>
  <c r="T1896" i="16"/>
  <c r="V1896" i="16" s="1"/>
  <c r="T1894" i="16"/>
  <c r="V1894" i="16" s="1"/>
  <c r="T1892" i="16"/>
  <c r="V1892" i="16" s="1"/>
  <c r="T1890" i="16"/>
  <c r="V1890" i="16" s="1"/>
  <c r="T1888" i="16"/>
  <c r="V1888" i="16" s="1"/>
  <c r="T1886" i="16"/>
  <c r="V1886" i="16" s="1"/>
  <c r="T1884" i="16"/>
  <c r="V1884" i="16" s="1"/>
  <c r="T1882" i="16"/>
  <c r="V1882" i="16" s="1"/>
  <c r="T1880" i="16"/>
  <c r="V1880" i="16" s="1"/>
  <c r="T1878" i="16"/>
  <c r="V1878" i="16" s="1"/>
  <c r="T1876" i="16"/>
  <c r="V1876" i="16" s="1"/>
  <c r="T1874" i="16"/>
  <c r="V1874" i="16" s="1"/>
  <c r="T1872" i="16"/>
  <c r="V1872" i="16" s="1"/>
  <c r="T1870" i="16"/>
  <c r="V1870" i="16" s="1"/>
  <c r="T1868" i="16"/>
  <c r="V1868" i="16" s="1"/>
  <c r="T1835" i="16"/>
  <c r="V1835" i="16" s="1"/>
  <c r="T1831" i="16"/>
  <c r="V1831" i="16" s="1"/>
  <c r="T1827" i="16"/>
  <c r="V1827" i="16" s="1"/>
  <c r="T1823" i="16"/>
  <c r="V1823" i="16" s="1"/>
  <c r="T1819" i="16"/>
  <c r="V1819" i="16" s="1"/>
  <c r="T1815" i="16"/>
  <c r="V1815" i="16" s="1"/>
  <c r="T1811" i="16"/>
  <c r="V1811" i="16" s="1"/>
  <c r="T1807" i="16"/>
  <c r="V1807" i="16" s="1"/>
  <c r="T1803" i="16"/>
  <c r="V1803" i="16" s="1"/>
  <c r="T1799" i="16"/>
  <c r="V1799" i="16" s="1"/>
  <c r="T1795" i="16"/>
  <c r="V1795" i="16" s="1"/>
  <c r="T1793" i="16"/>
  <c r="V1793" i="16" s="1"/>
  <c r="T1789" i="16"/>
  <c r="V1789" i="16" s="1"/>
  <c r="T1785" i="16"/>
  <c r="V1785" i="16" s="1"/>
  <c r="T1781" i="16"/>
  <c r="V1781" i="16" s="1"/>
  <c r="T1777" i="16"/>
  <c r="V1777" i="16" s="1"/>
  <c r="T1773" i="16"/>
  <c r="V1773" i="16" s="1"/>
  <c r="T1769" i="16"/>
  <c r="V1769" i="16" s="1"/>
  <c r="T1763" i="16"/>
  <c r="V1763" i="16" s="1"/>
  <c r="T1759" i="16"/>
  <c r="V1759" i="16" s="1"/>
  <c r="T1755" i="16"/>
  <c r="V1755" i="16" s="1"/>
  <c r="T1751" i="16"/>
  <c r="V1751" i="16" s="1"/>
  <c r="T1747" i="16"/>
  <c r="V1747" i="16" s="1"/>
  <c r="T1743" i="16"/>
  <c r="V1743" i="16" s="1"/>
  <c r="T1739" i="16"/>
  <c r="V1739" i="16" s="1"/>
  <c r="T1735" i="16"/>
  <c r="V1735" i="16" s="1"/>
  <c r="T1731" i="16"/>
  <c r="V1731" i="16" s="1"/>
  <c r="T1727" i="16"/>
  <c r="V1727" i="16" s="1"/>
  <c r="T1723" i="16"/>
  <c r="V1723" i="16" s="1"/>
  <c r="T1719" i="16"/>
  <c r="V1719" i="16" s="1"/>
  <c r="T1715" i="16"/>
  <c r="V1715" i="16" s="1"/>
  <c r="T1711" i="16"/>
  <c r="V1711" i="16" s="1"/>
  <c r="T1707" i="16"/>
  <c r="V1707" i="16" s="1"/>
  <c r="T1703" i="16"/>
  <c r="V1703" i="16" s="1"/>
  <c r="T1699" i="16"/>
  <c r="V1699" i="16" s="1"/>
  <c r="T1695" i="16"/>
  <c r="V1695" i="16" s="1"/>
  <c r="T1691" i="16"/>
  <c r="V1691" i="16" s="1"/>
  <c r="T1687" i="16"/>
  <c r="V1687" i="16" s="1"/>
  <c r="T1683" i="16"/>
  <c r="V1683" i="16" s="1"/>
  <c r="T1679" i="16"/>
  <c r="V1679" i="16" s="1"/>
  <c r="T1675" i="16"/>
  <c r="V1675" i="16" s="1"/>
  <c r="T1671" i="16"/>
  <c r="V1671" i="16" s="1"/>
  <c r="T1667" i="16"/>
  <c r="V1667" i="16" s="1"/>
  <c r="T1663" i="16"/>
  <c r="V1663" i="16" s="1"/>
  <c r="T1659" i="16"/>
  <c r="V1659" i="16" s="1"/>
  <c r="T1655" i="16"/>
  <c r="V1655" i="16" s="1"/>
  <c r="T1651" i="16"/>
  <c r="V1651" i="16" s="1"/>
  <c r="T1647" i="16"/>
  <c r="V1647" i="16" s="1"/>
  <c r="T1643" i="16"/>
  <c r="V1643" i="16" s="1"/>
  <c r="T1639" i="16"/>
  <c r="V1639" i="16" s="1"/>
  <c r="T1635" i="16"/>
  <c r="V1635" i="16" s="1"/>
  <c r="T1631" i="16"/>
  <c r="V1631" i="16" s="1"/>
  <c r="T1627" i="16"/>
  <c r="V1627" i="16" s="1"/>
  <c r="T1623" i="16"/>
  <c r="V1623" i="16" s="1"/>
  <c r="T1619" i="16"/>
  <c r="V1619" i="16" s="1"/>
  <c r="T1615" i="16"/>
  <c r="V1615" i="16" s="1"/>
  <c r="T1611" i="16"/>
  <c r="V1611" i="16" s="1"/>
  <c r="T1607" i="16"/>
  <c r="V1607" i="16" s="1"/>
  <c r="T1603" i="16"/>
  <c r="V1603" i="16" s="1"/>
  <c r="T1599" i="16"/>
  <c r="V1599" i="16" s="1"/>
  <c r="T1595" i="16"/>
  <c r="V1595" i="16" s="1"/>
  <c r="T1591" i="16"/>
  <c r="V1591" i="16" s="1"/>
  <c r="T1587" i="16"/>
  <c r="V1587" i="16" s="1"/>
  <c r="T1583" i="16"/>
  <c r="V1583" i="16" s="1"/>
  <c r="T1579" i="16"/>
  <c r="V1579" i="16" s="1"/>
  <c r="T1573" i="16"/>
  <c r="V1573" i="16" s="1"/>
  <c r="T1569" i="16"/>
  <c r="V1569" i="16" s="1"/>
  <c r="T1565" i="16"/>
  <c r="V1565" i="16" s="1"/>
  <c r="T1561" i="16"/>
  <c r="V1561" i="16" s="1"/>
  <c r="T1557" i="16"/>
  <c r="V1557" i="16" s="1"/>
  <c r="T1553" i="16"/>
  <c r="V1553" i="16" s="1"/>
  <c r="T1549" i="16"/>
  <c r="V1549" i="16" s="1"/>
  <c r="T1545" i="16"/>
  <c r="V1545" i="16" s="1"/>
  <c r="T1543" i="16"/>
  <c r="V1543" i="16" s="1"/>
  <c r="T1539" i="16"/>
  <c r="V1539" i="16" s="1"/>
  <c r="T1533" i="16"/>
  <c r="V1533" i="16" s="1"/>
  <c r="T1529" i="16"/>
  <c r="V1529" i="16" s="1"/>
  <c r="T1525" i="16"/>
  <c r="V1525" i="16" s="1"/>
  <c r="T1521" i="16"/>
  <c r="V1521" i="16" s="1"/>
  <c r="T1517" i="16"/>
  <c r="V1517" i="16" s="1"/>
  <c r="T1513" i="16"/>
  <c r="V1513" i="16" s="1"/>
  <c r="T1511" i="16"/>
  <c r="V1511" i="16" s="1"/>
  <c r="T1507" i="16"/>
  <c r="V1507" i="16" s="1"/>
  <c r="T1505" i="16"/>
  <c r="V1505" i="16" s="1"/>
  <c r="T1503" i="16"/>
  <c r="V1503" i="16" s="1"/>
  <c r="T1501" i="16"/>
  <c r="V1501" i="16" s="1"/>
  <c r="T1497" i="16"/>
  <c r="V1497" i="16" s="1"/>
  <c r="T1495" i="16"/>
  <c r="V1495" i="16" s="1"/>
  <c r="T1493" i="16"/>
  <c r="V1493" i="16" s="1"/>
  <c r="T1491" i="16"/>
  <c r="V1491" i="16" s="1"/>
  <c r="T1489" i="16"/>
  <c r="V1489" i="16" s="1"/>
  <c r="T1487" i="16"/>
  <c r="V1487" i="16" s="1"/>
  <c r="T1485" i="16"/>
  <c r="V1485" i="16" s="1"/>
  <c r="T1483" i="16"/>
  <c r="V1483" i="16" s="1"/>
  <c r="T1481" i="16"/>
  <c r="V1481" i="16" s="1"/>
  <c r="T1479" i="16"/>
  <c r="V1479" i="16" s="1"/>
  <c r="T1477" i="16"/>
  <c r="V1477" i="16" s="1"/>
  <c r="T1475" i="16"/>
  <c r="V1475" i="16" s="1"/>
  <c r="T1473" i="16"/>
  <c r="V1473" i="16" s="1"/>
  <c r="T1471" i="16"/>
  <c r="V1471" i="16" s="1"/>
  <c r="T1469" i="16"/>
  <c r="V1469" i="16" s="1"/>
  <c r="T1467" i="16"/>
  <c r="V1467" i="16" s="1"/>
  <c r="T1465" i="16"/>
  <c r="V1465" i="16" s="1"/>
  <c r="T1463" i="16"/>
  <c r="V1463" i="16" s="1"/>
  <c r="T1461" i="16"/>
  <c r="V1461" i="16" s="1"/>
  <c r="T1459" i="16"/>
  <c r="V1459" i="16" s="1"/>
  <c r="T1457" i="16"/>
  <c r="V1457" i="16" s="1"/>
  <c r="T1455" i="16"/>
  <c r="V1455" i="16" s="1"/>
  <c r="T1453" i="16"/>
  <c r="V1453" i="16" s="1"/>
  <c r="T1451" i="16"/>
  <c r="V1451" i="16" s="1"/>
  <c r="T1449" i="16"/>
  <c r="V1449" i="16" s="1"/>
  <c r="T1447" i="16"/>
  <c r="V1447" i="16" s="1"/>
  <c r="T1445" i="16"/>
  <c r="V1445" i="16" s="1"/>
  <c r="T1443" i="16"/>
  <c r="V1443" i="16" s="1"/>
  <c r="T1441" i="16"/>
  <c r="V1441" i="16" s="1"/>
  <c r="T1439" i="16"/>
  <c r="V1439" i="16" s="1"/>
  <c r="T1437" i="16"/>
  <c r="V1437" i="16" s="1"/>
  <c r="T1435" i="16"/>
  <c r="V1435" i="16" s="1"/>
  <c r="T1433" i="16"/>
  <c r="V1433" i="16" s="1"/>
  <c r="T1431" i="16"/>
  <c r="V1431" i="16" s="1"/>
  <c r="T1429" i="16"/>
  <c r="V1429" i="16" s="1"/>
  <c r="T1427" i="16"/>
  <c r="V1427" i="16" s="1"/>
  <c r="T1425" i="16"/>
  <c r="V1425" i="16" s="1"/>
  <c r="T1423" i="16"/>
  <c r="V1423" i="16" s="1"/>
  <c r="T1421" i="16"/>
  <c r="V1421" i="16" s="1"/>
  <c r="T1419" i="16"/>
  <c r="V1419" i="16" s="1"/>
  <c r="T1417" i="16"/>
  <c r="V1417" i="16" s="1"/>
  <c r="T1415" i="16"/>
  <c r="V1415" i="16" s="1"/>
  <c r="T1413" i="16"/>
  <c r="V1413" i="16" s="1"/>
  <c r="T1411" i="16"/>
  <c r="V1411" i="16" s="1"/>
  <c r="T1409" i="16"/>
  <c r="V1409" i="16" s="1"/>
  <c r="T1407" i="16"/>
  <c r="V1407" i="16" s="1"/>
  <c r="T1405" i="16"/>
  <c r="V1405" i="16" s="1"/>
  <c r="T1403" i="16"/>
  <c r="V1403" i="16" s="1"/>
  <c r="T1401" i="16"/>
  <c r="V1401" i="16" s="1"/>
  <c r="T1399" i="16"/>
  <c r="V1399" i="16" s="1"/>
  <c r="T1397" i="16"/>
  <c r="V1397" i="16" s="1"/>
  <c r="T1395" i="16"/>
  <c r="V1395" i="16" s="1"/>
  <c r="T1393" i="16"/>
  <c r="V1393" i="16" s="1"/>
  <c r="T1391" i="16"/>
  <c r="V1391" i="16" s="1"/>
  <c r="T1389" i="16"/>
  <c r="V1389" i="16" s="1"/>
  <c r="T1387" i="16"/>
  <c r="V1387" i="16" s="1"/>
  <c r="T1385" i="16"/>
  <c r="V1385" i="16" s="1"/>
  <c r="T1383" i="16"/>
  <c r="V1383" i="16" s="1"/>
  <c r="T1381" i="16"/>
  <c r="V1381" i="16" s="1"/>
  <c r="T1377" i="16"/>
  <c r="V1377" i="16" s="1"/>
  <c r="T1373" i="16"/>
  <c r="V1373" i="16" s="1"/>
  <c r="T1371" i="16"/>
  <c r="V1371" i="16" s="1"/>
  <c r="T1367" i="16"/>
  <c r="V1367" i="16" s="1"/>
  <c r="T1363" i="16"/>
  <c r="V1363" i="16" s="1"/>
  <c r="T1359" i="16"/>
  <c r="V1359" i="16" s="1"/>
  <c r="T1355" i="16"/>
  <c r="V1355" i="16" s="1"/>
  <c r="T1351" i="16"/>
  <c r="V1351" i="16" s="1"/>
  <c r="T1347" i="16"/>
  <c r="V1347" i="16" s="1"/>
  <c r="T1343" i="16"/>
  <c r="V1343" i="16" s="1"/>
  <c r="T1339" i="16"/>
  <c r="V1339" i="16" s="1"/>
  <c r="T1335" i="16"/>
  <c r="V1335" i="16" s="1"/>
  <c r="T1331" i="16"/>
  <c r="V1331" i="16" s="1"/>
  <c r="T1327" i="16"/>
  <c r="V1327" i="16" s="1"/>
  <c r="T1323" i="16"/>
  <c r="V1323" i="16" s="1"/>
  <c r="T1319" i="16"/>
  <c r="V1319" i="16" s="1"/>
  <c r="T1315" i="16"/>
  <c r="V1315" i="16" s="1"/>
  <c r="T1311" i="16"/>
  <c r="V1311" i="16" s="1"/>
  <c r="T1307" i="16"/>
  <c r="V1307" i="16" s="1"/>
  <c r="T1305" i="16"/>
  <c r="V1305" i="16" s="1"/>
  <c r="T1303" i="16"/>
  <c r="V1303" i="16" s="1"/>
  <c r="T1299" i="16"/>
  <c r="V1299" i="16" s="1"/>
  <c r="T1297" i="16"/>
  <c r="V1297" i="16" s="1"/>
  <c r="T1295" i="16"/>
  <c r="V1295" i="16" s="1"/>
  <c r="T1293" i="16"/>
  <c r="V1293" i="16" s="1"/>
  <c r="T1291" i="16"/>
  <c r="V1291" i="16" s="1"/>
  <c r="T1289" i="16"/>
  <c r="V1289" i="16" s="1"/>
  <c r="T1287" i="16"/>
  <c r="V1287" i="16" s="1"/>
  <c r="T1285" i="16"/>
  <c r="V1285" i="16" s="1"/>
  <c r="T1283" i="16"/>
  <c r="V1283" i="16" s="1"/>
  <c r="T1281" i="16"/>
  <c r="V1281" i="16" s="1"/>
  <c r="T1279" i="16"/>
  <c r="V1279" i="16" s="1"/>
  <c r="T1277" i="16"/>
  <c r="V1277" i="16" s="1"/>
  <c r="T1275" i="16"/>
  <c r="V1275" i="16" s="1"/>
  <c r="T1273" i="16"/>
  <c r="V1273" i="16" s="1"/>
  <c r="T1271" i="16"/>
  <c r="V1271" i="16" s="1"/>
  <c r="T1269" i="16"/>
  <c r="V1269" i="16" s="1"/>
  <c r="T1267" i="16"/>
  <c r="V1267" i="16" s="1"/>
  <c r="T1265" i="16"/>
  <c r="V1265" i="16" s="1"/>
  <c r="T1263" i="16"/>
  <c r="V1263" i="16" s="1"/>
  <c r="T1261" i="16"/>
  <c r="V1261" i="16" s="1"/>
  <c r="T1259" i="16"/>
  <c r="V1259" i="16" s="1"/>
  <c r="T1257" i="16"/>
  <c r="V1257" i="16" s="1"/>
  <c r="T1255" i="16"/>
  <c r="V1255" i="16" s="1"/>
  <c r="T1253" i="16"/>
  <c r="V1253" i="16" s="1"/>
  <c r="T1251" i="16"/>
  <c r="V1251" i="16" s="1"/>
  <c r="T1249" i="16"/>
  <c r="V1249" i="16" s="1"/>
  <c r="T1247" i="16"/>
  <c r="V1247" i="16" s="1"/>
  <c r="T1245" i="16"/>
  <c r="V1245" i="16" s="1"/>
  <c r="T1243" i="16"/>
  <c r="V1243" i="16" s="1"/>
  <c r="T1241" i="16"/>
  <c r="V1241" i="16" s="1"/>
  <c r="T1239" i="16"/>
  <c r="V1239" i="16" s="1"/>
  <c r="T1237" i="16"/>
  <c r="V1237" i="16" s="1"/>
  <c r="T1235" i="16"/>
  <c r="V1235" i="16" s="1"/>
  <c r="T1233" i="16"/>
  <c r="V1233" i="16" s="1"/>
  <c r="T1231" i="16"/>
  <c r="V1231" i="16" s="1"/>
  <c r="T1229" i="16"/>
  <c r="V1229" i="16" s="1"/>
  <c r="T1227" i="16"/>
  <c r="V1227" i="16" s="1"/>
  <c r="T1225" i="16"/>
  <c r="V1225" i="16" s="1"/>
  <c r="T1223" i="16"/>
  <c r="V1223" i="16" s="1"/>
  <c r="T1221" i="16"/>
  <c r="V1221" i="16" s="1"/>
  <c r="T1219" i="16"/>
  <c r="V1219" i="16" s="1"/>
  <c r="T1217" i="16"/>
  <c r="V1217" i="16" s="1"/>
  <c r="T1215" i="16"/>
  <c r="V1215" i="16" s="1"/>
  <c r="T1213" i="16"/>
  <c r="V1213" i="16" s="1"/>
  <c r="T1211" i="16"/>
  <c r="V1211" i="16" s="1"/>
  <c r="T1209" i="16"/>
  <c r="V1209" i="16" s="1"/>
  <c r="T1207" i="16"/>
  <c r="V1207" i="16" s="1"/>
  <c r="T1205" i="16"/>
  <c r="V1205" i="16" s="1"/>
  <c r="T1203" i="16"/>
  <c r="V1203" i="16" s="1"/>
  <c r="T1201" i="16"/>
  <c r="V1201" i="16" s="1"/>
  <c r="T1199" i="16"/>
  <c r="V1199" i="16" s="1"/>
  <c r="T1197" i="16"/>
  <c r="V1197" i="16" s="1"/>
  <c r="T1195" i="16"/>
  <c r="V1195" i="16" s="1"/>
  <c r="T1193" i="16"/>
  <c r="V1193" i="16" s="1"/>
  <c r="T1191" i="16"/>
  <c r="V1191" i="16" s="1"/>
  <c r="T1189" i="16"/>
  <c r="V1189" i="16" s="1"/>
  <c r="T1187" i="16"/>
  <c r="V1187" i="16" s="1"/>
  <c r="T1185" i="16"/>
  <c r="V1185" i="16" s="1"/>
  <c r="T1183" i="16"/>
  <c r="V1183" i="16" s="1"/>
  <c r="T1181" i="16"/>
  <c r="V1181" i="16" s="1"/>
  <c r="T1179" i="16"/>
  <c r="V1179" i="16" s="1"/>
  <c r="T1177" i="16"/>
  <c r="V1177" i="16" s="1"/>
  <c r="T1175" i="16"/>
  <c r="V1175" i="16" s="1"/>
  <c r="T1173" i="16"/>
  <c r="V1173" i="16" s="1"/>
  <c r="T1171" i="16"/>
  <c r="V1171" i="16" s="1"/>
  <c r="T1169" i="16"/>
  <c r="V1169" i="16" s="1"/>
  <c r="T1167" i="16"/>
  <c r="V1167" i="16" s="1"/>
  <c r="T1165" i="16"/>
  <c r="V1165" i="16" s="1"/>
  <c r="T1163" i="16"/>
  <c r="V1163" i="16" s="1"/>
  <c r="T1161" i="16"/>
  <c r="V1161" i="16" s="1"/>
  <c r="T1159" i="16"/>
  <c r="V1159" i="16" s="1"/>
  <c r="T1157" i="16"/>
  <c r="V1157" i="16" s="1"/>
  <c r="T1155" i="16"/>
  <c r="V1155" i="16" s="1"/>
  <c r="T1153" i="16"/>
  <c r="V1153" i="16" s="1"/>
  <c r="T1151" i="16"/>
  <c r="V1151" i="16" s="1"/>
  <c r="T1149" i="16"/>
  <c r="V1149" i="16" s="1"/>
  <c r="T1147" i="16"/>
  <c r="V1147" i="16" s="1"/>
  <c r="T1145" i="16"/>
  <c r="V1145" i="16" s="1"/>
  <c r="T1143" i="16"/>
  <c r="V1143" i="16" s="1"/>
  <c r="T1141" i="16"/>
  <c r="V1141" i="16" s="1"/>
  <c r="T1139" i="16"/>
  <c r="V1139" i="16" s="1"/>
  <c r="T1137" i="16"/>
  <c r="V1137" i="16" s="1"/>
  <c r="T1135" i="16"/>
  <c r="V1135" i="16" s="1"/>
  <c r="T1133" i="16"/>
  <c r="V1133" i="16" s="1"/>
  <c r="T1131" i="16"/>
  <c r="V1131" i="16" s="1"/>
  <c r="T1129" i="16"/>
  <c r="V1129" i="16" s="1"/>
  <c r="T1127" i="16"/>
  <c r="V1127" i="16" s="1"/>
  <c r="T1123" i="16"/>
  <c r="V1123" i="16" s="1"/>
  <c r="T1841" i="16"/>
  <c r="V1841" i="16" s="1"/>
  <c r="T1837" i="16"/>
  <c r="V1837" i="16" s="1"/>
  <c r="T1833" i="16"/>
  <c r="V1833" i="16" s="1"/>
  <c r="T1829" i="16"/>
  <c r="V1829" i="16" s="1"/>
  <c r="T1825" i="16"/>
  <c r="V1825" i="16" s="1"/>
  <c r="T1821" i="16"/>
  <c r="V1821" i="16" s="1"/>
  <c r="T1817" i="16"/>
  <c r="V1817" i="16" s="1"/>
  <c r="T1813" i="16"/>
  <c r="V1813" i="16" s="1"/>
  <c r="T1809" i="16"/>
  <c r="V1809" i="16" s="1"/>
  <c r="T1805" i="16"/>
  <c r="V1805" i="16" s="1"/>
  <c r="T1801" i="16"/>
  <c r="V1801" i="16" s="1"/>
  <c r="T1797" i="16"/>
  <c r="V1797" i="16" s="1"/>
  <c r="T1791" i="16"/>
  <c r="V1791" i="16" s="1"/>
  <c r="T1787" i="16"/>
  <c r="V1787" i="16" s="1"/>
  <c r="T1783" i="16"/>
  <c r="V1783" i="16" s="1"/>
  <c r="T1779" i="16"/>
  <c r="V1779" i="16" s="1"/>
  <c r="T1775" i="16"/>
  <c r="V1775" i="16" s="1"/>
  <c r="T1771" i="16"/>
  <c r="V1771" i="16" s="1"/>
  <c r="T1767" i="16"/>
  <c r="V1767" i="16" s="1"/>
  <c r="T1765" i="16"/>
  <c r="V1765" i="16" s="1"/>
  <c r="T1761" i="16"/>
  <c r="V1761" i="16" s="1"/>
  <c r="T1757" i="16"/>
  <c r="V1757" i="16" s="1"/>
  <c r="T1753" i="16"/>
  <c r="V1753" i="16" s="1"/>
  <c r="T1749" i="16"/>
  <c r="V1749" i="16" s="1"/>
  <c r="T1745" i="16"/>
  <c r="V1745" i="16" s="1"/>
  <c r="T1741" i="16"/>
  <c r="V1741" i="16" s="1"/>
  <c r="T1737" i="16"/>
  <c r="V1737" i="16" s="1"/>
  <c r="T1733" i="16"/>
  <c r="V1733" i="16" s="1"/>
  <c r="T1729" i="16"/>
  <c r="V1729" i="16" s="1"/>
  <c r="T1725" i="16"/>
  <c r="V1725" i="16" s="1"/>
  <c r="T1721" i="16"/>
  <c r="V1721" i="16" s="1"/>
  <c r="T1717" i="16"/>
  <c r="V1717" i="16" s="1"/>
  <c r="T1713" i="16"/>
  <c r="V1713" i="16" s="1"/>
  <c r="T1709" i="16"/>
  <c r="V1709" i="16" s="1"/>
  <c r="T1705" i="16"/>
  <c r="V1705" i="16" s="1"/>
  <c r="T1701" i="16"/>
  <c r="V1701" i="16" s="1"/>
  <c r="T1697" i="16"/>
  <c r="V1697" i="16" s="1"/>
  <c r="T1693" i="16"/>
  <c r="V1693" i="16" s="1"/>
  <c r="T1689" i="16"/>
  <c r="V1689" i="16" s="1"/>
  <c r="T1685" i="16"/>
  <c r="V1685" i="16" s="1"/>
  <c r="T1681" i="16"/>
  <c r="V1681" i="16" s="1"/>
  <c r="T1677" i="16"/>
  <c r="V1677" i="16" s="1"/>
  <c r="T1673" i="16"/>
  <c r="V1673" i="16" s="1"/>
  <c r="T1669" i="16"/>
  <c r="V1669" i="16" s="1"/>
  <c r="T1665" i="16"/>
  <c r="V1665" i="16" s="1"/>
  <c r="T1661" i="16"/>
  <c r="V1661" i="16" s="1"/>
  <c r="T1657" i="16"/>
  <c r="V1657" i="16" s="1"/>
  <c r="T1653" i="16"/>
  <c r="V1653" i="16" s="1"/>
  <c r="T1649" i="16"/>
  <c r="V1649" i="16" s="1"/>
  <c r="T1645" i="16"/>
  <c r="V1645" i="16" s="1"/>
  <c r="T1641" i="16"/>
  <c r="V1641" i="16" s="1"/>
  <c r="T1637" i="16"/>
  <c r="V1637" i="16" s="1"/>
  <c r="T1633" i="16"/>
  <c r="V1633" i="16" s="1"/>
  <c r="T1629" i="16"/>
  <c r="V1629" i="16" s="1"/>
  <c r="T1625" i="16"/>
  <c r="V1625" i="16" s="1"/>
  <c r="T1621" i="16"/>
  <c r="V1621" i="16" s="1"/>
  <c r="T1617" i="16"/>
  <c r="V1617" i="16" s="1"/>
  <c r="T1613" i="16"/>
  <c r="V1613" i="16" s="1"/>
  <c r="T1609" i="16"/>
  <c r="V1609" i="16" s="1"/>
  <c r="T1605" i="16"/>
  <c r="V1605" i="16" s="1"/>
  <c r="T1601" i="16"/>
  <c r="V1601" i="16" s="1"/>
  <c r="T1597" i="16"/>
  <c r="V1597" i="16" s="1"/>
  <c r="T1593" i="16"/>
  <c r="V1593" i="16" s="1"/>
  <c r="T1589" i="16"/>
  <c r="V1589" i="16" s="1"/>
  <c r="T1585" i="16"/>
  <c r="V1585" i="16" s="1"/>
  <c r="T1581" i="16"/>
  <c r="V1581" i="16" s="1"/>
  <c r="T1577" i="16"/>
  <c r="V1577" i="16" s="1"/>
  <c r="T1575" i="16"/>
  <c r="V1575" i="16" s="1"/>
  <c r="T1571" i="16"/>
  <c r="V1571" i="16" s="1"/>
  <c r="T1567" i="16"/>
  <c r="V1567" i="16" s="1"/>
  <c r="T1563" i="16"/>
  <c r="V1563" i="16" s="1"/>
  <c r="T1559" i="16"/>
  <c r="V1559" i="16" s="1"/>
  <c r="T1555" i="16"/>
  <c r="V1555" i="16" s="1"/>
  <c r="T1551" i="16"/>
  <c r="V1551" i="16" s="1"/>
  <c r="T1547" i="16"/>
  <c r="V1547" i="16" s="1"/>
  <c r="T1541" i="16"/>
  <c r="V1541" i="16" s="1"/>
  <c r="T1537" i="16"/>
  <c r="V1537" i="16" s="1"/>
  <c r="T1535" i="16"/>
  <c r="V1535" i="16" s="1"/>
  <c r="T1531" i="16"/>
  <c r="V1531" i="16" s="1"/>
  <c r="T1527" i="16"/>
  <c r="V1527" i="16" s="1"/>
  <c r="T1523" i="16"/>
  <c r="V1523" i="16" s="1"/>
  <c r="T1519" i="16"/>
  <c r="V1519" i="16" s="1"/>
  <c r="T1515" i="16"/>
  <c r="V1515" i="16" s="1"/>
  <c r="T1509" i="16"/>
  <c r="V1509" i="16" s="1"/>
  <c r="T1499" i="16"/>
  <c r="V1499" i="16" s="1"/>
  <c r="T1379" i="16"/>
  <c r="V1379" i="16" s="1"/>
  <c r="T1375" i="16"/>
  <c r="V1375" i="16" s="1"/>
  <c r="T1369" i="16"/>
  <c r="V1369" i="16" s="1"/>
  <c r="T1365" i="16"/>
  <c r="V1365" i="16" s="1"/>
  <c r="T1361" i="16"/>
  <c r="V1361" i="16" s="1"/>
  <c r="T1357" i="16"/>
  <c r="V1357" i="16" s="1"/>
  <c r="T1353" i="16"/>
  <c r="V1353" i="16" s="1"/>
  <c r="T1349" i="16"/>
  <c r="V1349" i="16" s="1"/>
  <c r="T1345" i="16"/>
  <c r="V1345" i="16" s="1"/>
  <c r="T1341" i="16"/>
  <c r="V1341" i="16" s="1"/>
  <c r="T1337" i="16"/>
  <c r="V1337" i="16" s="1"/>
  <c r="T1333" i="16"/>
  <c r="V1333" i="16" s="1"/>
  <c r="T1329" i="16"/>
  <c r="V1329" i="16" s="1"/>
  <c r="T1325" i="16"/>
  <c r="V1325" i="16" s="1"/>
  <c r="T1321" i="16"/>
  <c r="V1321" i="16" s="1"/>
  <c r="T1317" i="16"/>
  <c r="V1317" i="16" s="1"/>
  <c r="T1313" i="16"/>
  <c r="V1313" i="16" s="1"/>
  <c r="T1309" i="16"/>
  <c r="V1309" i="16" s="1"/>
  <c r="T1301" i="16"/>
  <c r="V1301" i="16" s="1"/>
  <c r="T1125" i="16"/>
  <c r="V1125" i="16" s="1"/>
  <c r="T1866" i="16"/>
  <c r="V1866" i="16" s="1"/>
  <c r="T1864" i="16"/>
  <c r="V1864" i="16" s="1"/>
  <c r="T1862" i="16"/>
  <c r="V1862" i="16" s="1"/>
  <c r="T1860" i="16"/>
  <c r="V1860" i="16" s="1"/>
  <c r="T1858" i="16"/>
  <c r="V1858" i="16" s="1"/>
  <c r="T1856" i="16"/>
  <c r="V1856" i="16" s="1"/>
  <c r="T1854" i="16"/>
  <c r="V1854" i="16" s="1"/>
  <c r="T1852" i="16"/>
  <c r="V1852" i="16" s="1"/>
  <c r="T1850" i="16"/>
  <c r="V1850" i="16" s="1"/>
  <c r="T1848" i="16"/>
  <c r="V1848" i="16" s="1"/>
  <c r="T1846" i="16"/>
  <c r="V1846" i="16" s="1"/>
  <c r="T1844" i="16"/>
  <c r="V1844" i="16" s="1"/>
  <c r="T1842" i="16"/>
  <c r="V1842" i="16" s="1"/>
  <c r="T1840" i="16"/>
  <c r="V1840" i="16" s="1"/>
  <c r="T1838" i="16"/>
  <c r="V1838" i="16" s="1"/>
  <c r="T1836" i="16"/>
  <c r="V1836" i="16" s="1"/>
  <c r="T1834" i="16"/>
  <c r="V1834" i="16" s="1"/>
  <c r="T1832" i="16"/>
  <c r="V1832" i="16" s="1"/>
  <c r="T1830" i="16"/>
  <c r="V1830" i="16" s="1"/>
  <c r="T1828" i="16"/>
  <c r="V1828" i="16" s="1"/>
  <c r="T1826" i="16"/>
  <c r="V1826" i="16" s="1"/>
  <c r="T1824" i="16"/>
  <c r="V1824" i="16" s="1"/>
  <c r="T1822" i="16"/>
  <c r="V1822" i="16" s="1"/>
  <c r="T1820" i="16"/>
  <c r="V1820" i="16" s="1"/>
  <c r="T1818" i="16"/>
  <c r="V1818" i="16" s="1"/>
  <c r="T1816" i="16"/>
  <c r="V1816" i="16" s="1"/>
  <c r="T1814" i="16"/>
  <c r="V1814" i="16" s="1"/>
  <c r="T1812" i="16"/>
  <c r="V1812" i="16" s="1"/>
  <c r="T1810" i="16"/>
  <c r="V1810" i="16" s="1"/>
  <c r="T1808" i="16"/>
  <c r="V1808" i="16" s="1"/>
  <c r="T1806" i="16"/>
  <c r="V1806" i="16" s="1"/>
  <c r="T1804" i="16"/>
  <c r="V1804" i="16" s="1"/>
  <c r="T1802" i="16"/>
  <c r="V1802" i="16" s="1"/>
  <c r="T1800" i="16"/>
  <c r="V1800" i="16" s="1"/>
  <c r="T1798" i="16"/>
  <c r="V1798" i="16" s="1"/>
  <c r="T1796" i="16"/>
  <c r="V1796" i="16" s="1"/>
  <c r="T1794" i="16"/>
  <c r="V1794" i="16" s="1"/>
  <c r="T1792" i="16"/>
  <c r="V1792" i="16" s="1"/>
  <c r="T1790" i="16"/>
  <c r="V1790" i="16" s="1"/>
  <c r="T1788" i="16"/>
  <c r="V1788" i="16" s="1"/>
  <c r="T1786" i="16"/>
  <c r="V1786" i="16" s="1"/>
  <c r="T1784" i="16"/>
  <c r="V1784" i="16" s="1"/>
  <c r="T1782" i="16"/>
  <c r="V1782" i="16" s="1"/>
  <c r="T1780" i="16"/>
  <c r="V1780" i="16" s="1"/>
  <c r="T1778" i="16"/>
  <c r="V1778" i="16" s="1"/>
  <c r="T1776" i="16"/>
  <c r="V1776" i="16" s="1"/>
  <c r="T1774" i="16"/>
  <c r="V1774" i="16" s="1"/>
  <c r="T1772" i="16"/>
  <c r="V1772" i="16" s="1"/>
  <c r="T1770" i="16"/>
  <c r="V1770" i="16" s="1"/>
  <c r="T1768" i="16"/>
  <c r="V1768" i="16" s="1"/>
  <c r="T1766" i="16"/>
  <c r="V1766" i="16" s="1"/>
  <c r="T1764" i="16"/>
  <c r="V1764" i="16" s="1"/>
  <c r="T1762" i="16"/>
  <c r="V1762" i="16" s="1"/>
  <c r="T1760" i="16"/>
  <c r="V1760" i="16" s="1"/>
  <c r="T1758" i="16"/>
  <c r="V1758" i="16" s="1"/>
  <c r="T1756" i="16"/>
  <c r="V1756" i="16" s="1"/>
  <c r="T1754" i="16"/>
  <c r="V1754" i="16" s="1"/>
  <c r="T1752" i="16"/>
  <c r="V1752" i="16" s="1"/>
  <c r="T1750" i="16"/>
  <c r="V1750" i="16" s="1"/>
  <c r="T1748" i="16"/>
  <c r="V1748" i="16" s="1"/>
  <c r="T1746" i="16"/>
  <c r="V1746" i="16" s="1"/>
  <c r="T1744" i="16"/>
  <c r="V1744" i="16" s="1"/>
  <c r="T1742" i="16"/>
  <c r="V1742" i="16" s="1"/>
  <c r="T1740" i="16"/>
  <c r="V1740" i="16" s="1"/>
  <c r="T1738" i="16"/>
  <c r="V1738" i="16" s="1"/>
  <c r="T1736" i="16"/>
  <c r="V1736" i="16" s="1"/>
  <c r="T1734" i="16"/>
  <c r="V1734" i="16" s="1"/>
  <c r="T1732" i="16"/>
  <c r="V1732" i="16" s="1"/>
  <c r="T1730" i="16"/>
  <c r="V1730" i="16" s="1"/>
  <c r="T1728" i="16"/>
  <c r="V1728" i="16" s="1"/>
  <c r="T1726" i="16"/>
  <c r="V1726" i="16" s="1"/>
  <c r="T1724" i="16"/>
  <c r="V1724" i="16" s="1"/>
  <c r="T1722" i="16"/>
  <c r="V1722" i="16" s="1"/>
  <c r="T1720" i="16"/>
  <c r="V1720" i="16" s="1"/>
  <c r="T1718" i="16"/>
  <c r="V1718" i="16" s="1"/>
  <c r="T1716" i="16"/>
  <c r="V1716" i="16" s="1"/>
  <c r="T1714" i="16"/>
  <c r="V1714" i="16" s="1"/>
  <c r="T1712" i="16"/>
  <c r="V1712" i="16" s="1"/>
  <c r="T1710" i="16"/>
  <c r="V1710" i="16" s="1"/>
  <c r="T1708" i="16"/>
  <c r="V1708" i="16" s="1"/>
  <c r="T1706" i="16"/>
  <c r="V1706" i="16" s="1"/>
  <c r="T1704" i="16"/>
  <c r="V1704" i="16" s="1"/>
  <c r="T1702" i="16"/>
  <c r="V1702" i="16" s="1"/>
  <c r="T1700" i="16"/>
  <c r="V1700" i="16" s="1"/>
  <c r="T1698" i="16"/>
  <c r="V1698" i="16" s="1"/>
  <c r="T1696" i="16"/>
  <c r="V1696" i="16" s="1"/>
  <c r="T1694" i="16"/>
  <c r="V1694" i="16" s="1"/>
  <c r="T1692" i="16"/>
  <c r="V1692" i="16" s="1"/>
  <c r="T1690" i="16"/>
  <c r="V1690" i="16" s="1"/>
  <c r="T1688" i="16"/>
  <c r="V1688" i="16" s="1"/>
  <c r="T1686" i="16"/>
  <c r="V1686" i="16" s="1"/>
  <c r="T1684" i="16"/>
  <c r="V1684" i="16" s="1"/>
  <c r="T1682" i="16"/>
  <c r="V1682" i="16" s="1"/>
  <c r="T1680" i="16"/>
  <c r="V1680" i="16" s="1"/>
  <c r="T1678" i="16"/>
  <c r="V1678" i="16" s="1"/>
  <c r="T1676" i="16"/>
  <c r="V1676" i="16" s="1"/>
  <c r="T1674" i="16"/>
  <c r="V1674" i="16" s="1"/>
  <c r="T1672" i="16"/>
  <c r="V1672" i="16" s="1"/>
  <c r="T1670" i="16"/>
  <c r="V1670" i="16" s="1"/>
  <c r="T1668" i="16"/>
  <c r="V1668" i="16" s="1"/>
  <c r="T1666" i="16"/>
  <c r="V1666" i="16" s="1"/>
  <c r="T1664" i="16"/>
  <c r="V1664" i="16" s="1"/>
  <c r="T1662" i="16"/>
  <c r="V1662" i="16" s="1"/>
  <c r="T1660" i="16"/>
  <c r="V1660" i="16" s="1"/>
  <c r="T1658" i="16"/>
  <c r="V1658" i="16" s="1"/>
  <c r="T1656" i="16"/>
  <c r="V1656" i="16" s="1"/>
  <c r="T1654" i="16"/>
  <c r="V1654" i="16" s="1"/>
  <c r="T1652" i="16"/>
  <c r="V1652" i="16" s="1"/>
  <c r="T1650" i="16"/>
  <c r="V1650" i="16" s="1"/>
  <c r="T1648" i="16"/>
  <c r="V1648" i="16" s="1"/>
  <c r="T1646" i="16"/>
  <c r="V1646" i="16" s="1"/>
  <c r="T1644" i="16"/>
  <c r="V1644" i="16" s="1"/>
  <c r="T1642" i="16"/>
  <c r="V1642" i="16" s="1"/>
  <c r="T1640" i="16"/>
  <c r="V1640" i="16" s="1"/>
  <c r="T1638" i="16"/>
  <c r="V1638" i="16" s="1"/>
  <c r="T1636" i="16"/>
  <c r="V1636" i="16" s="1"/>
  <c r="T1634" i="16"/>
  <c r="V1634" i="16" s="1"/>
  <c r="T1632" i="16"/>
  <c r="V1632" i="16" s="1"/>
  <c r="T1630" i="16"/>
  <c r="V1630" i="16" s="1"/>
  <c r="T1628" i="16"/>
  <c r="V1628" i="16" s="1"/>
  <c r="T1626" i="16"/>
  <c r="V1626" i="16" s="1"/>
  <c r="T1624" i="16"/>
  <c r="V1624" i="16" s="1"/>
  <c r="T1622" i="16"/>
  <c r="V1622" i="16" s="1"/>
  <c r="T1620" i="16"/>
  <c r="V1620" i="16" s="1"/>
  <c r="T1618" i="16"/>
  <c r="V1618" i="16" s="1"/>
  <c r="T1616" i="16"/>
  <c r="V1616" i="16" s="1"/>
  <c r="T1614" i="16"/>
  <c r="V1614" i="16" s="1"/>
  <c r="T1612" i="16"/>
  <c r="V1612" i="16" s="1"/>
  <c r="T1610" i="16"/>
  <c r="V1610" i="16" s="1"/>
  <c r="T1608" i="16"/>
  <c r="V1608" i="16" s="1"/>
  <c r="T1606" i="16"/>
  <c r="V1606" i="16" s="1"/>
  <c r="T1604" i="16"/>
  <c r="V1604" i="16" s="1"/>
  <c r="T1602" i="16"/>
  <c r="V1602" i="16" s="1"/>
  <c r="T1600" i="16"/>
  <c r="V1600" i="16" s="1"/>
  <c r="T1598" i="16"/>
  <c r="V1598" i="16" s="1"/>
  <c r="T1596" i="16"/>
  <c r="V1596" i="16" s="1"/>
  <c r="T1594" i="16"/>
  <c r="V1594" i="16" s="1"/>
  <c r="T1592" i="16"/>
  <c r="V1592" i="16" s="1"/>
  <c r="T1590" i="16"/>
  <c r="V1590" i="16" s="1"/>
  <c r="T1588" i="16"/>
  <c r="V1588" i="16" s="1"/>
  <c r="T1586" i="16"/>
  <c r="V1586" i="16" s="1"/>
  <c r="T1584" i="16"/>
  <c r="V1584" i="16" s="1"/>
  <c r="T1582" i="16"/>
  <c r="V1582" i="16" s="1"/>
  <c r="T1580" i="16"/>
  <c r="V1580" i="16" s="1"/>
  <c r="T1578" i="16"/>
  <c r="V1578" i="16" s="1"/>
  <c r="T1576" i="16"/>
  <c r="V1576" i="16" s="1"/>
  <c r="T1574" i="16"/>
  <c r="V1574" i="16" s="1"/>
  <c r="T1572" i="16"/>
  <c r="V1572" i="16" s="1"/>
  <c r="T1570" i="16"/>
  <c r="V1570" i="16" s="1"/>
  <c r="T1568" i="16"/>
  <c r="V1568" i="16" s="1"/>
  <c r="T1566" i="16"/>
  <c r="V1566" i="16" s="1"/>
  <c r="T1564" i="16"/>
  <c r="V1564" i="16" s="1"/>
  <c r="T1562" i="16"/>
  <c r="V1562" i="16" s="1"/>
  <c r="T1560" i="16"/>
  <c r="V1560" i="16" s="1"/>
  <c r="T1558" i="16"/>
  <c r="V1558" i="16" s="1"/>
  <c r="T1556" i="16"/>
  <c r="V1556" i="16" s="1"/>
  <c r="T1554" i="16"/>
  <c r="V1554" i="16" s="1"/>
  <c r="T1552" i="16"/>
  <c r="V1552" i="16" s="1"/>
  <c r="T1550" i="16"/>
  <c r="V1550" i="16" s="1"/>
  <c r="T1548" i="16"/>
  <c r="V1548" i="16" s="1"/>
  <c r="T1546" i="16"/>
  <c r="V1546" i="16" s="1"/>
  <c r="T1544" i="16"/>
  <c r="V1544" i="16" s="1"/>
  <c r="T1542" i="16"/>
  <c r="V1542" i="16" s="1"/>
  <c r="T1540" i="16"/>
  <c r="V1540" i="16" s="1"/>
  <c r="T1538" i="16"/>
  <c r="V1538" i="16" s="1"/>
  <c r="T1536" i="16"/>
  <c r="V1536" i="16" s="1"/>
  <c r="T1534" i="16"/>
  <c r="V1534" i="16" s="1"/>
  <c r="T1532" i="16"/>
  <c r="V1532" i="16" s="1"/>
  <c r="T1530" i="16"/>
  <c r="V1530" i="16" s="1"/>
  <c r="T1528" i="16"/>
  <c r="V1528" i="16" s="1"/>
  <c r="T1526" i="16"/>
  <c r="V1526" i="16" s="1"/>
  <c r="T1524" i="16"/>
  <c r="V1524" i="16" s="1"/>
  <c r="T1522" i="16"/>
  <c r="V1522" i="16" s="1"/>
  <c r="T1520" i="16"/>
  <c r="V1520" i="16" s="1"/>
  <c r="T1518" i="16"/>
  <c r="V1518" i="16" s="1"/>
  <c r="T1516" i="16"/>
  <c r="V1516" i="16" s="1"/>
  <c r="T1514" i="16"/>
  <c r="V1514" i="16" s="1"/>
  <c r="T1512" i="16"/>
  <c r="V1512" i="16" s="1"/>
  <c r="T1510" i="16"/>
  <c r="V1510" i="16" s="1"/>
  <c r="T1508" i="16"/>
  <c r="V1508" i="16" s="1"/>
  <c r="T1506" i="16"/>
  <c r="V1506" i="16" s="1"/>
  <c r="T1504" i="16"/>
  <c r="V1504" i="16" s="1"/>
  <c r="T1502" i="16"/>
  <c r="V1502" i="16" s="1"/>
  <c r="T1500" i="16"/>
  <c r="V1500" i="16" s="1"/>
  <c r="T1498" i="16"/>
  <c r="V1498" i="16" s="1"/>
  <c r="T1496" i="16"/>
  <c r="V1496" i="16" s="1"/>
  <c r="T1494" i="16"/>
  <c r="V1494" i="16" s="1"/>
  <c r="T1492" i="16"/>
  <c r="V1492" i="16" s="1"/>
  <c r="T1490" i="16"/>
  <c r="V1490" i="16" s="1"/>
  <c r="T1488" i="16"/>
  <c r="V1488" i="16" s="1"/>
  <c r="T1486" i="16"/>
  <c r="V1486" i="16" s="1"/>
  <c r="T1484" i="16"/>
  <c r="V1484" i="16" s="1"/>
  <c r="T1482" i="16"/>
  <c r="V1482" i="16" s="1"/>
  <c r="T1480" i="16"/>
  <c r="V1480" i="16" s="1"/>
  <c r="T1478" i="16"/>
  <c r="V1478" i="16" s="1"/>
  <c r="T1476" i="16"/>
  <c r="V1476" i="16" s="1"/>
  <c r="T1474" i="16"/>
  <c r="V1474" i="16" s="1"/>
  <c r="T1472" i="16"/>
  <c r="V1472" i="16" s="1"/>
  <c r="T1470" i="16"/>
  <c r="V1470" i="16" s="1"/>
  <c r="T1468" i="16"/>
  <c r="V1468" i="16" s="1"/>
  <c r="T1466" i="16"/>
  <c r="V1466" i="16" s="1"/>
  <c r="T1464" i="16"/>
  <c r="V1464" i="16" s="1"/>
  <c r="T1462" i="16"/>
  <c r="V1462" i="16" s="1"/>
  <c r="T1460" i="16"/>
  <c r="V1460" i="16" s="1"/>
  <c r="T1458" i="16"/>
  <c r="V1458" i="16" s="1"/>
  <c r="T1456" i="16"/>
  <c r="V1456" i="16" s="1"/>
  <c r="T1454" i="16"/>
  <c r="V1454" i="16" s="1"/>
  <c r="T1452" i="16"/>
  <c r="V1452" i="16" s="1"/>
  <c r="T1450" i="16"/>
  <c r="V1450" i="16" s="1"/>
  <c r="T1448" i="16"/>
  <c r="V1448" i="16" s="1"/>
  <c r="T1446" i="16"/>
  <c r="V1446" i="16" s="1"/>
  <c r="T1444" i="16"/>
  <c r="V1444" i="16" s="1"/>
  <c r="T1442" i="16"/>
  <c r="V1442" i="16" s="1"/>
  <c r="T1440" i="16"/>
  <c r="V1440" i="16" s="1"/>
  <c r="T1438" i="16"/>
  <c r="V1438" i="16" s="1"/>
  <c r="T1436" i="16"/>
  <c r="V1436" i="16" s="1"/>
  <c r="T1434" i="16"/>
  <c r="V1434" i="16" s="1"/>
  <c r="T1432" i="16"/>
  <c r="V1432" i="16" s="1"/>
  <c r="T1430" i="16"/>
  <c r="V1430" i="16" s="1"/>
  <c r="T1428" i="16"/>
  <c r="V1428" i="16" s="1"/>
  <c r="T1426" i="16"/>
  <c r="V1426" i="16" s="1"/>
  <c r="T1424" i="16"/>
  <c r="V1424" i="16" s="1"/>
  <c r="T1422" i="16"/>
  <c r="V1422" i="16" s="1"/>
  <c r="T1420" i="16"/>
  <c r="V1420" i="16" s="1"/>
  <c r="T1418" i="16"/>
  <c r="V1418" i="16" s="1"/>
  <c r="T1416" i="16"/>
  <c r="V1416" i="16" s="1"/>
  <c r="T1414" i="16"/>
  <c r="V1414" i="16" s="1"/>
  <c r="T1412" i="16"/>
  <c r="V1412" i="16" s="1"/>
  <c r="T1410" i="16"/>
  <c r="V1410" i="16" s="1"/>
  <c r="T1408" i="16"/>
  <c r="V1408" i="16" s="1"/>
  <c r="T1406" i="16"/>
  <c r="V1406" i="16" s="1"/>
  <c r="T1404" i="16"/>
  <c r="V1404" i="16" s="1"/>
  <c r="T1402" i="16"/>
  <c r="V1402" i="16" s="1"/>
  <c r="T1400" i="16"/>
  <c r="V1400" i="16" s="1"/>
  <c r="T1398" i="16"/>
  <c r="V1398" i="16" s="1"/>
  <c r="T1396" i="16"/>
  <c r="V1396" i="16" s="1"/>
  <c r="T1394" i="16"/>
  <c r="V1394" i="16" s="1"/>
  <c r="T1392" i="16"/>
  <c r="V1392" i="16" s="1"/>
  <c r="T1390" i="16"/>
  <c r="V1390" i="16" s="1"/>
  <c r="T1388" i="16"/>
  <c r="V1388" i="16" s="1"/>
  <c r="T1386" i="16"/>
  <c r="V1386" i="16" s="1"/>
  <c r="T1384" i="16"/>
  <c r="V1384" i="16" s="1"/>
  <c r="T1382" i="16"/>
  <c r="V1382" i="16" s="1"/>
  <c r="T1380" i="16"/>
  <c r="V1380" i="16" s="1"/>
  <c r="T1378" i="16"/>
  <c r="V1378" i="16" s="1"/>
  <c r="T1376" i="16"/>
  <c r="V1376" i="16" s="1"/>
  <c r="T1374" i="16"/>
  <c r="V1374" i="16" s="1"/>
  <c r="T1372" i="16"/>
  <c r="V1372" i="16" s="1"/>
  <c r="T1370" i="16"/>
  <c r="V1370" i="16" s="1"/>
  <c r="T1368" i="16"/>
  <c r="V1368" i="16" s="1"/>
  <c r="T1366" i="16"/>
  <c r="V1366" i="16" s="1"/>
  <c r="T1364" i="16"/>
  <c r="V1364" i="16" s="1"/>
  <c r="T1362" i="16"/>
  <c r="V1362" i="16" s="1"/>
  <c r="T1360" i="16"/>
  <c r="V1360" i="16" s="1"/>
  <c r="T1358" i="16"/>
  <c r="V1358" i="16" s="1"/>
  <c r="T1356" i="16"/>
  <c r="V1356" i="16" s="1"/>
  <c r="T1354" i="16"/>
  <c r="V1354" i="16" s="1"/>
  <c r="T1352" i="16"/>
  <c r="V1352" i="16" s="1"/>
  <c r="T1350" i="16"/>
  <c r="V1350" i="16" s="1"/>
  <c r="T1348" i="16"/>
  <c r="V1348" i="16" s="1"/>
  <c r="T1346" i="16"/>
  <c r="V1346" i="16" s="1"/>
  <c r="T1344" i="16"/>
  <c r="V1344" i="16" s="1"/>
  <c r="T1342" i="16"/>
  <c r="V1342" i="16" s="1"/>
  <c r="T1340" i="16"/>
  <c r="V1340" i="16" s="1"/>
  <c r="T1338" i="16"/>
  <c r="V1338" i="16" s="1"/>
  <c r="T1336" i="16"/>
  <c r="V1336" i="16" s="1"/>
  <c r="T1334" i="16"/>
  <c r="V1334" i="16" s="1"/>
  <c r="T1332" i="16"/>
  <c r="V1332" i="16" s="1"/>
  <c r="T1330" i="16"/>
  <c r="V1330" i="16" s="1"/>
  <c r="T1328" i="16"/>
  <c r="V1328" i="16" s="1"/>
  <c r="T1326" i="16"/>
  <c r="V1326" i="16" s="1"/>
  <c r="T1324" i="16"/>
  <c r="V1324" i="16" s="1"/>
  <c r="T1322" i="16"/>
  <c r="V1322" i="16" s="1"/>
  <c r="T1320" i="16"/>
  <c r="V1320" i="16" s="1"/>
  <c r="T1318" i="16"/>
  <c r="V1318" i="16" s="1"/>
  <c r="T1316" i="16"/>
  <c r="V1316" i="16" s="1"/>
  <c r="T1314" i="16"/>
  <c r="V1314" i="16" s="1"/>
  <c r="T1312" i="16"/>
  <c r="V1312" i="16" s="1"/>
  <c r="T1310" i="16"/>
  <c r="V1310" i="16" s="1"/>
  <c r="T1308" i="16"/>
  <c r="V1308" i="16" s="1"/>
  <c r="T1306" i="16"/>
  <c r="V1306" i="16" s="1"/>
  <c r="T1304" i="16"/>
  <c r="V1304" i="16" s="1"/>
  <c r="T1302" i="16"/>
  <c r="V1302" i="16" s="1"/>
  <c r="T1300" i="16"/>
  <c r="V1300" i="16" s="1"/>
  <c r="T1298" i="16"/>
  <c r="V1298" i="16" s="1"/>
  <c r="T1296" i="16"/>
  <c r="V1296" i="16" s="1"/>
  <c r="T1294" i="16"/>
  <c r="V1294" i="16" s="1"/>
  <c r="T1292" i="16"/>
  <c r="V1292" i="16" s="1"/>
  <c r="T1290" i="16"/>
  <c r="V1290" i="16" s="1"/>
  <c r="T1288" i="16"/>
  <c r="V1288" i="16" s="1"/>
  <c r="T1286" i="16"/>
  <c r="V1286" i="16" s="1"/>
  <c r="T1284" i="16"/>
  <c r="V1284" i="16" s="1"/>
  <c r="T1282" i="16"/>
  <c r="V1282" i="16" s="1"/>
  <c r="T1280" i="16"/>
  <c r="V1280" i="16" s="1"/>
  <c r="T1278" i="16"/>
  <c r="V1278" i="16" s="1"/>
  <c r="T1276" i="16"/>
  <c r="V1276" i="16" s="1"/>
  <c r="T1274" i="16"/>
  <c r="V1274" i="16" s="1"/>
  <c r="T1272" i="16"/>
  <c r="V1272" i="16" s="1"/>
  <c r="T1270" i="16"/>
  <c r="V1270" i="16" s="1"/>
  <c r="T1268" i="16"/>
  <c r="V1268" i="16" s="1"/>
  <c r="T1266" i="16"/>
  <c r="V1266" i="16" s="1"/>
  <c r="T1121" i="16"/>
  <c r="V1121" i="16" s="1"/>
  <c r="T1119" i="16"/>
  <c r="V1119" i="16" s="1"/>
  <c r="T1117" i="16"/>
  <c r="V1117" i="16" s="1"/>
  <c r="T1115" i="16"/>
  <c r="V1115" i="16" s="1"/>
  <c r="T1113" i="16"/>
  <c r="V1113" i="16" s="1"/>
  <c r="T1111" i="16"/>
  <c r="V1111" i="16" s="1"/>
  <c r="T1109" i="16"/>
  <c r="V1109" i="16" s="1"/>
  <c r="T1107" i="16"/>
  <c r="V1107" i="16" s="1"/>
  <c r="T1105" i="16"/>
  <c r="V1105" i="16" s="1"/>
  <c r="T1103" i="16"/>
  <c r="V1103" i="16" s="1"/>
  <c r="T1101" i="16"/>
  <c r="V1101" i="16" s="1"/>
  <c r="T1099" i="16"/>
  <c r="V1099" i="16" s="1"/>
  <c r="T1097" i="16"/>
  <c r="V1097" i="16" s="1"/>
  <c r="T1095" i="16"/>
  <c r="V1095" i="16" s="1"/>
  <c r="T1093" i="16"/>
  <c r="V1093" i="16" s="1"/>
  <c r="T1091" i="16"/>
  <c r="V1091" i="16" s="1"/>
  <c r="T1089" i="16"/>
  <c r="V1089" i="16" s="1"/>
  <c r="T1087" i="16"/>
  <c r="V1087" i="16" s="1"/>
  <c r="T1085" i="16"/>
  <c r="V1085" i="16" s="1"/>
  <c r="T1083" i="16"/>
  <c r="V1083" i="16" s="1"/>
  <c r="T1081" i="16"/>
  <c r="V1081" i="16" s="1"/>
  <c r="T1079" i="16"/>
  <c r="V1079" i="16" s="1"/>
  <c r="T1077" i="16"/>
  <c r="V1077" i="16" s="1"/>
  <c r="T1075" i="16"/>
  <c r="V1075" i="16" s="1"/>
  <c r="T1073" i="16"/>
  <c r="V1073" i="16" s="1"/>
  <c r="T1071" i="16"/>
  <c r="V1071" i="16" s="1"/>
  <c r="T1069" i="16"/>
  <c r="V1069" i="16" s="1"/>
  <c r="T1067" i="16"/>
  <c r="V1067" i="16" s="1"/>
  <c r="T1065" i="16"/>
  <c r="V1065" i="16" s="1"/>
  <c r="T1063" i="16"/>
  <c r="V1063" i="16" s="1"/>
  <c r="T1061" i="16"/>
  <c r="V1061" i="16" s="1"/>
  <c r="T1059" i="16"/>
  <c r="V1059" i="16" s="1"/>
  <c r="T1057" i="16"/>
  <c r="V1057" i="16" s="1"/>
  <c r="T1055" i="16"/>
  <c r="V1055" i="16" s="1"/>
  <c r="T1053" i="16"/>
  <c r="V1053" i="16" s="1"/>
  <c r="T1051" i="16"/>
  <c r="V1051" i="16" s="1"/>
  <c r="T1049" i="16"/>
  <c r="V1049" i="16" s="1"/>
  <c r="T1047" i="16"/>
  <c r="V1047" i="16" s="1"/>
  <c r="T1045" i="16"/>
  <c r="V1045" i="16" s="1"/>
  <c r="T1043" i="16"/>
  <c r="V1043" i="16" s="1"/>
  <c r="T1041" i="16"/>
  <c r="V1041" i="16" s="1"/>
  <c r="T1039" i="16"/>
  <c r="V1039" i="16" s="1"/>
  <c r="T1037" i="16"/>
  <c r="V1037" i="16" s="1"/>
  <c r="T1035" i="16"/>
  <c r="V1035" i="16" s="1"/>
  <c r="T1033" i="16"/>
  <c r="V1033" i="16" s="1"/>
  <c r="T1031" i="16"/>
  <c r="V1031" i="16" s="1"/>
  <c r="T1029" i="16"/>
  <c r="V1029" i="16" s="1"/>
  <c r="T1027" i="16"/>
  <c r="V1027" i="16" s="1"/>
  <c r="T1025" i="16"/>
  <c r="V1025" i="16" s="1"/>
  <c r="T1023" i="16"/>
  <c r="V1023" i="16" s="1"/>
  <c r="T1021" i="16"/>
  <c r="V1021" i="16" s="1"/>
  <c r="T1019" i="16"/>
  <c r="V1019" i="16" s="1"/>
  <c r="T1017" i="16"/>
  <c r="V1017" i="16" s="1"/>
  <c r="T1015" i="16"/>
  <c r="V1015" i="16" s="1"/>
  <c r="T1013" i="16"/>
  <c r="V1013" i="16" s="1"/>
  <c r="T1011" i="16"/>
  <c r="V1011" i="16" s="1"/>
  <c r="T1009" i="16"/>
  <c r="V1009" i="16" s="1"/>
  <c r="T1007" i="16"/>
  <c r="V1007" i="16" s="1"/>
  <c r="T1005" i="16"/>
  <c r="V1005" i="16" s="1"/>
  <c r="T1003" i="16"/>
  <c r="V1003" i="16" s="1"/>
  <c r="T1001" i="16"/>
  <c r="V1001" i="16" s="1"/>
  <c r="T999" i="16"/>
  <c r="V999" i="16" s="1"/>
  <c r="T997" i="16"/>
  <c r="V997" i="16" s="1"/>
  <c r="T995" i="16"/>
  <c r="V995" i="16" s="1"/>
  <c r="T993" i="16"/>
  <c r="V993" i="16" s="1"/>
  <c r="T991" i="16"/>
  <c r="V991" i="16" s="1"/>
  <c r="T989" i="16"/>
  <c r="V989" i="16" s="1"/>
  <c r="T987" i="16"/>
  <c r="V987" i="16" s="1"/>
  <c r="T985" i="16"/>
  <c r="V985" i="16" s="1"/>
  <c r="T983" i="16"/>
  <c r="V983" i="16" s="1"/>
  <c r="T981" i="16"/>
  <c r="V981" i="16" s="1"/>
  <c r="T979" i="16"/>
  <c r="V979" i="16" s="1"/>
  <c r="T977" i="16"/>
  <c r="V977" i="16" s="1"/>
  <c r="T975" i="16"/>
  <c r="V975" i="16" s="1"/>
  <c r="T973" i="16"/>
  <c r="V973" i="16" s="1"/>
  <c r="T971" i="16"/>
  <c r="V971" i="16" s="1"/>
  <c r="T969" i="16"/>
  <c r="V969" i="16" s="1"/>
  <c r="T967" i="16"/>
  <c r="V967" i="16" s="1"/>
  <c r="T965" i="16"/>
  <c r="V965" i="16" s="1"/>
  <c r="T963" i="16"/>
  <c r="V963" i="16" s="1"/>
  <c r="T961" i="16"/>
  <c r="V961" i="16" s="1"/>
  <c r="T959" i="16"/>
  <c r="V959" i="16" s="1"/>
  <c r="T957" i="16"/>
  <c r="V957" i="16" s="1"/>
  <c r="T955" i="16"/>
  <c r="V955" i="16" s="1"/>
  <c r="T953" i="16"/>
  <c r="V953" i="16" s="1"/>
  <c r="T951" i="16"/>
  <c r="V951" i="16" s="1"/>
  <c r="T949" i="16"/>
  <c r="V949" i="16" s="1"/>
  <c r="T947" i="16"/>
  <c r="V947" i="16" s="1"/>
  <c r="T945" i="16"/>
  <c r="V945" i="16" s="1"/>
  <c r="T943" i="16"/>
  <c r="V943" i="16" s="1"/>
  <c r="T941" i="16"/>
  <c r="V941" i="16" s="1"/>
  <c r="T939" i="16"/>
  <c r="V939" i="16" s="1"/>
  <c r="T937" i="16"/>
  <c r="V937" i="16" s="1"/>
  <c r="T935" i="16"/>
  <c r="V935" i="16" s="1"/>
  <c r="T933" i="16"/>
  <c r="V933" i="16" s="1"/>
  <c r="T931" i="16"/>
  <c r="V931" i="16" s="1"/>
  <c r="T929" i="16"/>
  <c r="V929" i="16" s="1"/>
  <c r="T927" i="16"/>
  <c r="V927" i="16" s="1"/>
  <c r="T925" i="16"/>
  <c r="V925" i="16" s="1"/>
  <c r="T923" i="16"/>
  <c r="V923" i="16" s="1"/>
  <c r="T921" i="16"/>
  <c r="V921" i="16" s="1"/>
  <c r="T919" i="16"/>
  <c r="V919" i="16" s="1"/>
  <c r="T917" i="16"/>
  <c r="V917" i="16" s="1"/>
  <c r="T915" i="16"/>
  <c r="V915" i="16" s="1"/>
  <c r="T913" i="16"/>
  <c r="V913" i="16" s="1"/>
  <c r="T911" i="16"/>
  <c r="V911" i="16" s="1"/>
  <c r="T909" i="16"/>
  <c r="V909" i="16" s="1"/>
  <c r="T907" i="16"/>
  <c r="V907" i="16" s="1"/>
  <c r="T905" i="16"/>
  <c r="V905" i="16" s="1"/>
  <c r="T903" i="16"/>
  <c r="V903" i="16" s="1"/>
  <c r="T901" i="16"/>
  <c r="V901" i="16" s="1"/>
  <c r="T899" i="16"/>
  <c r="V899" i="16" s="1"/>
  <c r="T897" i="16"/>
  <c r="V897" i="16" s="1"/>
  <c r="T895" i="16"/>
  <c r="V895" i="16" s="1"/>
  <c r="T893" i="16"/>
  <c r="V893" i="16" s="1"/>
  <c r="T891" i="16"/>
  <c r="V891" i="16" s="1"/>
  <c r="T889" i="16"/>
  <c r="V889" i="16" s="1"/>
  <c r="T887" i="16"/>
  <c r="V887" i="16" s="1"/>
  <c r="T885" i="16"/>
  <c r="V885" i="16" s="1"/>
  <c r="T883" i="16"/>
  <c r="V883" i="16" s="1"/>
  <c r="T879" i="16"/>
  <c r="V879" i="16" s="1"/>
  <c r="T877" i="16"/>
  <c r="V877" i="16" s="1"/>
  <c r="T875" i="16"/>
  <c r="V875" i="16" s="1"/>
  <c r="T873" i="16"/>
  <c r="V873" i="16" s="1"/>
  <c r="T871" i="16"/>
  <c r="V871" i="16" s="1"/>
  <c r="T869" i="16"/>
  <c r="V869" i="16" s="1"/>
  <c r="T867" i="16"/>
  <c r="V867" i="16" s="1"/>
  <c r="T865" i="16"/>
  <c r="V865" i="16" s="1"/>
  <c r="T863" i="16"/>
  <c r="V863" i="16" s="1"/>
  <c r="T861" i="16"/>
  <c r="V861" i="16" s="1"/>
  <c r="T859" i="16"/>
  <c r="V859" i="16" s="1"/>
  <c r="T857" i="16"/>
  <c r="V857" i="16" s="1"/>
  <c r="T855" i="16"/>
  <c r="V855" i="16" s="1"/>
  <c r="T853" i="16"/>
  <c r="V853" i="16" s="1"/>
  <c r="T851" i="16"/>
  <c r="V851" i="16" s="1"/>
  <c r="T849" i="16"/>
  <c r="V849" i="16" s="1"/>
  <c r="T847" i="16"/>
  <c r="V847" i="16" s="1"/>
  <c r="T845" i="16"/>
  <c r="V845" i="16" s="1"/>
  <c r="T843" i="16"/>
  <c r="V843" i="16" s="1"/>
  <c r="T841" i="16"/>
  <c r="V841" i="16" s="1"/>
  <c r="T839" i="16"/>
  <c r="V839" i="16" s="1"/>
  <c r="T837" i="16"/>
  <c r="V837" i="16" s="1"/>
  <c r="T835" i="16"/>
  <c r="V835" i="16" s="1"/>
  <c r="T833" i="16"/>
  <c r="V833" i="16" s="1"/>
  <c r="T831" i="16"/>
  <c r="V831" i="16" s="1"/>
  <c r="T829" i="16"/>
  <c r="V829" i="16" s="1"/>
  <c r="T827" i="16"/>
  <c r="V827" i="16" s="1"/>
  <c r="T825" i="16"/>
  <c r="V825" i="16" s="1"/>
  <c r="T823" i="16"/>
  <c r="V823" i="16" s="1"/>
  <c r="T821" i="16"/>
  <c r="V821" i="16" s="1"/>
  <c r="T819" i="16"/>
  <c r="V819" i="16" s="1"/>
  <c r="T817" i="16"/>
  <c r="V817" i="16" s="1"/>
  <c r="T815" i="16"/>
  <c r="V815" i="16" s="1"/>
  <c r="T813" i="16"/>
  <c r="V813" i="16" s="1"/>
  <c r="T811" i="16"/>
  <c r="V811" i="16" s="1"/>
  <c r="T809" i="16"/>
  <c r="V809" i="16" s="1"/>
  <c r="T807" i="16"/>
  <c r="V807" i="16" s="1"/>
  <c r="T805" i="16"/>
  <c r="V805" i="16" s="1"/>
  <c r="T803" i="16"/>
  <c r="V803" i="16" s="1"/>
  <c r="T801" i="16"/>
  <c r="V801" i="16" s="1"/>
  <c r="T799" i="16"/>
  <c r="V799" i="16" s="1"/>
  <c r="T797" i="16"/>
  <c r="V797" i="16" s="1"/>
  <c r="T795" i="16"/>
  <c r="V795" i="16" s="1"/>
  <c r="T793" i="16"/>
  <c r="V793" i="16" s="1"/>
  <c r="T791" i="16"/>
  <c r="V791" i="16" s="1"/>
  <c r="T789" i="16"/>
  <c r="V789" i="16" s="1"/>
  <c r="T787" i="16"/>
  <c r="V787" i="16" s="1"/>
  <c r="T785" i="16"/>
  <c r="V785" i="16" s="1"/>
  <c r="T783" i="16"/>
  <c r="V783" i="16" s="1"/>
  <c r="T781" i="16"/>
  <c r="V781" i="16" s="1"/>
  <c r="T779" i="16"/>
  <c r="V779" i="16" s="1"/>
  <c r="T777" i="16"/>
  <c r="V777" i="16" s="1"/>
  <c r="T775" i="16"/>
  <c r="V775" i="16" s="1"/>
  <c r="T773" i="16"/>
  <c r="V773" i="16" s="1"/>
  <c r="T771" i="16"/>
  <c r="V771" i="16" s="1"/>
  <c r="T769" i="16"/>
  <c r="V769" i="16" s="1"/>
  <c r="T767" i="16"/>
  <c r="V767" i="16" s="1"/>
  <c r="T765" i="16"/>
  <c r="V765" i="16" s="1"/>
  <c r="T763" i="16"/>
  <c r="V763" i="16" s="1"/>
  <c r="T761" i="16"/>
  <c r="V761" i="16" s="1"/>
  <c r="T759" i="16"/>
  <c r="V759" i="16" s="1"/>
  <c r="T1264" i="16"/>
  <c r="V1264" i="16" s="1"/>
  <c r="T1262" i="16"/>
  <c r="V1262" i="16" s="1"/>
  <c r="T1260" i="16"/>
  <c r="V1260" i="16" s="1"/>
  <c r="T1258" i="16"/>
  <c r="V1258" i="16" s="1"/>
  <c r="T1256" i="16"/>
  <c r="V1256" i="16" s="1"/>
  <c r="T1254" i="16"/>
  <c r="V1254" i="16" s="1"/>
  <c r="T1252" i="16"/>
  <c r="V1252" i="16" s="1"/>
  <c r="T1250" i="16"/>
  <c r="V1250" i="16" s="1"/>
  <c r="T1248" i="16"/>
  <c r="V1248" i="16" s="1"/>
  <c r="T1246" i="16"/>
  <c r="V1246" i="16" s="1"/>
  <c r="T1244" i="16"/>
  <c r="V1244" i="16" s="1"/>
  <c r="T1242" i="16"/>
  <c r="V1242" i="16" s="1"/>
  <c r="T1240" i="16"/>
  <c r="V1240" i="16" s="1"/>
  <c r="T1238" i="16"/>
  <c r="V1238" i="16" s="1"/>
  <c r="T1236" i="16"/>
  <c r="V1236" i="16" s="1"/>
  <c r="T1234" i="16"/>
  <c r="V1234" i="16" s="1"/>
  <c r="T1232" i="16"/>
  <c r="V1232" i="16" s="1"/>
  <c r="T1230" i="16"/>
  <c r="V1230" i="16" s="1"/>
  <c r="T1228" i="16"/>
  <c r="V1228" i="16" s="1"/>
  <c r="T1226" i="16"/>
  <c r="V1226" i="16" s="1"/>
  <c r="T1224" i="16"/>
  <c r="V1224" i="16" s="1"/>
  <c r="T1222" i="16"/>
  <c r="V1222" i="16" s="1"/>
  <c r="T1220" i="16"/>
  <c r="V1220" i="16" s="1"/>
  <c r="T1218" i="16"/>
  <c r="V1218" i="16" s="1"/>
  <c r="T1216" i="16"/>
  <c r="V1216" i="16" s="1"/>
  <c r="T1214" i="16"/>
  <c r="V1214" i="16" s="1"/>
  <c r="T1212" i="16"/>
  <c r="V1212" i="16" s="1"/>
  <c r="T1210" i="16"/>
  <c r="V1210" i="16" s="1"/>
  <c r="T1208" i="16"/>
  <c r="V1208" i="16" s="1"/>
  <c r="T1206" i="16"/>
  <c r="V1206" i="16" s="1"/>
  <c r="T1204" i="16"/>
  <c r="V1204" i="16" s="1"/>
  <c r="T1202" i="16"/>
  <c r="V1202" i="16" s="1"/>
  <c r="T1200" i="16"/>
  <c r="V1200" i="16" s="1"/>
  <c r="T1198" i="16"/>
  <c r="V1198" i="16" s="1"/>
  <c r="T1196" i="16"/>
  <c r="V1196" i="16" s="1"/>
  <c r="T1194" i="16"/>
  <c r="V1194" i="16" s="1"/>
  <c r="T1192" i="16"/>
  <c r="V1192" i="16" s="1"/>
  <c r="T1190" i="16"/>
  <c r="V1190" i="16" s="1"/>
  <c r="T1188" i="16"/>
  <c r="V1188" i="16" s="1"/>
  <c r="T1186" i="16"/>
  <c r="V1186" i="16" s="1"/>
  <c r="T1184" i="16"/>
  <c r="V1184" i="16" s="1"/>
  <c r="T1182" i="16"/>
  <c r="V1182" i="16" s="1"/>
  <c r="T1180" i="16"/>
  <c r="V1180" i="16" s="1"/>
  <c r="T1178" i="16"/>
  <c r="V1178" i="16" s="1"/>
  <c r="T1176" i="16"/>
  <c r="V1176" i="16" s="1"/>
  <c r="T1174" i="16"/>
  <c r="V1174" i="16" s="1"/>
  <c r="T1172" i="16"/>
  <c r="V1172" i="16" s="1"/>
  <c r="T1170" i="16"/>
  <c r="V1170" i="16" s="1"/>
  <c r="T1168" i="16"/>
  <c r="V1168" i="16" s="1"/>
  <c r="T1166" i="16"/>
  <c r="V1166" i="16" s="1"/>
  <c r="T1164" i="16"/>
  <c r="V1164" i="16" s="1"/>
  <c r="T1162" i="16"/>
  <c r="V1162" i="16" s="1"/>
  <c r="T1160" i="16"/>
  <c r="V1160" i="16" s="1"/>
  <c r="T1158" i="16"/>
  <c r="V1158" i="16" s="1"/>
  <c r="T1156" i="16"/>
  <c r="V1156" i="16" s="1"/>
  <c r="T1154" i="16"/>
  <c r="V1154" i="16" s="1"/>
  <c r="T1152" i="16"/>
  <c r="V1152" i="16" s="1"/>
  <c r="T1150" i="16"/>
  <c r="V1150" i="16" s="1"/>
  <c r="T1148" i="16"/>
  <c r="V1148" i="16" s="1"/>
  <c r="T1146" i="16"/>
  <c r="V1146" i="16" s="1"/>
  <c r="T1144" i="16"/>
  <c r="V1144" i="16" s="1"/>
  <c r="T1142" i="16"/>
  <c r="V1142" i="16" s="1"/>
  <c r="T1140" i="16"/>
  <c r="V1140" i="16" s="1"/>
  <c r="T1138" i="16"/>
  <c r="V1138" i="16" s="1"/>
  <c r="T1136" i="16"/>
  <c r="V1136" i="16" s="1"/>
  <c r="T1134" i="16"/>
  <c r="V1134" i="16" s="1"/>
  <c r="T1132" i="16"/>
  <c r="V1132" i="16" s="1"/>
  <c r="T1130" i="16"/>
  <c r="V1130" i="16" s="1"/>
  <c r="T1128" i="16"/>
  <c r="V1128" i="16" s="1"/>
  <c r="T1126" i="16"/>
  <c r="V1126" i="16" s="1"/>
  <c r="T1124" i="16"/>
  <c r="V1124" i="16" s="1"/>
  <c r="T1122" i="16"/>
  <c r="V1122" i="16" s="1"/>
  <c r="T1120" i="16"/>
  <c r="V1120" i="16" s="1"/>
  <c r="T1118" i="16"/>
  <c r="V1118" i="16" s="1"/>
  <c r="T1116" i="16"/>
  <c r="V1116" i="16" s="1"/>
  <c r="T1114" i="16"/>
  <c r="V1114" i="16" s="1"/>
  <c r="T1112" i="16"/>
  <c r="V1112" i="16" s="1"/>
  <c r="T1110" i="16"/>
  <c r="V1110" i="16" s="1"/>
  <c r="T1108" i="16"/>
  <c r="V1108" i="16" s="1"/>
  <c r="T1106" i="16"/>
  <c r="V1106" i="16" s="1"/>
  <c r="T1104" i="16"/>
  <c r="V1104" i="16" s="1"/>
  <c r="T1102" i="16"/>
  <c r="V1102" i="16" s="1"/>
  <c r="T1100" i="16"/>
  <c r="V1100" i="16" s="1"/>
  <c r="T1098" i="16"/>
  <c r="V1098" i="16" s="1"/>
  <c r="T1096" i="16"/>
  <c r="V1096" i="16" s="1"/>
  <c r="T1094" i="16"/>
  <c r="V1094" i="16" s="1"/>
  <c r="T1092" i="16"/>
  <c r="V1092" i="16" s="1"/>
  <c r="T1090" i="16"/>
  <c r="V1090" i="16" s="1"/>
  <c r="T1088" i="16"/>
  <c r="V1088" i="16" s="1"/>
  <c r="T1086" i="16"/>
  <c r="V1086" i="16" s="1"/>
  <c r="T1084" i="16"/>
  <c r="V1084" i="16" s="1"/>
  <c r="T1082" i="16"/>
  <c r="V1082" i="16" s="1"/>
  <c r="T1080" i="16"/>
  <c r="V1080" i="16" s="1"/>
  <c r="T1078" i="16"/>
  <c r="V1078" i="16" s="1"/>
  <c r="T1076" i="16"/>
  <c r="V1076" i="16" s="1"/>
  <c r="T1074" i="16"/>
  <c r="V1074" i="16" s="1"/>
  <c r="T1072" i="16"/>
  <c r="V1072" i="16" s="1"/>
  <c r="T1070" i="16"/>
  <c r="V1070" i="16" s="1"/>
  <c r="T1068" i="16"/>
  <c r="V1068" i="16" s="1"/>
  <c r="T1066" i="16"/>
  <c r="V1066" i="16" s="1"/>
  <c r="T1064" i="16"/>
  <c r="V1064" i="16" s="1"/>
  <c r="T1062" i="16"/>
  <c r="V1062" i="16" s="1"/>
  <c r="T1060" i="16"/>
  <c r="V1060" i="16" s="1"/>
  <c r="T1058" i="16"/>
  <c r="V1058" i="16" s="1"/>
  <c r="T1056" i="16"/>
  <c r="V1056" i="16" s="1"/>
  <c r="T1054" i="16"/>
  <c r="V1054" i="16" s="1"/>
  <c r="T1052" i="16"/>
  <c r="V1052" i="16" s="1"/>
  <c r="T1050" i="16"/>
  <c r="V1050" i="16" s="1"/>
  <c r="T1048" i="16"/>
  <c r="V1048" i="16" s="1"/>
  <c r="T1046" i="16"/>
  <c r="V1046" i="16" s="1"/>
  <c r="T1044" i="16"/>
  <c r="V1044" i="16" s="1"/>
  <c r="T1042" i="16"/>
  <c r="V1042" i="16" s="1"/>
  <c r="T1040" i="16"/>
  <c r="V1040" i="16" s="1"/>
  <c r="T1038" i="16"/>
  <c r="V1038" i="16" s="1"/>
  <c r="T1036" i="16"/>
  <c r="V1036" i="16" s="1"/>
  <c r="T1034" i="16"/>
  <c r="V1034" i="16" s="1"/>
  <c r="T1032" i="16"/>
  <c r="V1032" i="16" s="1"/>
  <c r="T1030" i="16"/>
  <c r="V1030" i="16" s="1"/>
  <c r="T1028" i="16"/>
  <c r="V1028" i="16" s="1"/>
  <c r="T1026" i="16"/>
  <c r="V1026" i="16" s="1"/>
  <c r="T1024" i="16"/>
  <c r="V1024" i="16" s="1"/>
  <c r="T1022" i="16"/>
  <c r="V1022" i="16" s="1"/>
  <c r="T1020" i="16"/>
  <c r="V1020" i="16" s="1"/>
  <c r="T1018" i="16"/>
  <c r="V1018" i="16" s="1"/>
  <c r="T1016" i="16"/>
  <c r="V1016" i="16" s="1"/>
  <c r="T1014" i="16"/>
  <c r="V1014" i="16" s="1"/>
  <c r="T1012" i="16"/>
  <c r="V1012" i="16" s="1"/>
  <c r="T1010" i="16"/>
  <c r="V1010" i="16" s="1"/>
  <c r="T1008" i="16"/>
  <c r="V1008" i="16" s="1"/>
  <c r="T1006" i="16"/>
  <c r="V1006" i="16" s="1"/>
  <c r="T1004" i="16"/>
  <c r="V1004" i="16" s="1"/>
  <c r="T1002" i="16"/>
  <c r="V1002" i="16" s="1"/>
  <c r="T1000" i="16"/>
  <c r="V1000" i="16" s="1"/>
  <c r="T998" i="16"/>
  <c r="V998" i="16" s="1"/>
  <c r="T996" i="16"/>
  <c r="V996" i="16" s="1"/>
  <c r="T994" i="16"/>
  <c r="V994" i="16" s="1"/>
  <c r="T992" i="16"/>
  <c r="V992" i="16" s="1"/>
  <c r="T990" i="16"/>
  <c r="V990" i="16" s="1"/>
  <c r="T988" i="16"/>
  <c r="V988" i="16" s="1"/>
  <c r="T986" i="16"/>
  <c r="V986" i="16" s="1"/>
  <c r="T984" i="16"/>
  <c r="V984" i="16" s="1"/>
  <c r="T982" i="16"/>
  <c r="V982" i="16" s="1"/>
  <c r="T980" i="16"/>
  <c r="V980" i="16" s="1"/>
  <c r="T978" i="16"/>
  <c r="V978" i="16" s="1"/>
  <c r="T976" i="16"/>
  <c r="V976" i="16" s="1"/>
  <c r="T974" i="16"/>
  <c r="V974" i="16" s="1"/>
  <c r="T972" i="16"/>
  <c r="V972" i="16" s="1"/>
  <c r="T970" i="16"/>
  <c r="V970" i="16" s="1"/>
  <c r="T968" i="16"/>
  <c r="V968" i="16" s="1"/>
  <c r="T966" i="16"/>
  <c r="V966" i="16" s="1"/>
  <c r="T964" i="16"/>
  <c r="V964" i="16" s="1"/>
  <c r="T962" i="16"/>
  <c r="V962" i="16" s="1"/>
  <c r="T960" i="16"/>
  <c r="V960" i="16" s="1"/>
  <c r="T958" i="16"/>
  <c r="V958" i="16" s="1"/>
  <c r="T956" i="16"/>
  <c r="V956" i="16" s="1"/>
  <c r="T954" i="16"/>
  <c r="V954" i="16" s="1"/>
  <c r="T952" i="16"/>
  <c r="V952" i="16" s="1"/>
  <c r="T950" i="16"/>
  <c r="V950" i="16" s="1"/>
  <c r="T948" i="16"/>
  <c r="V948" i="16" s="1"/>
  <c r="T946" i="16"/>
  <c r="V946" i="16" s="1"/>
  <c r="T944" i="16"/>
  <c r="V944" i="16" s="1"/>
  <c r="T942" i="16"/>
  <c r="V942" i="16" s="1"/>
  <c r="T940" i="16"/>
  <c r="V940" i="16" s="1"/>
  <c r="T938" i="16"/>
  <c r="V938" i="16" s="1"/>
  <c r="T936" i="16"/>
  <c r="V936" i="16" s="1"/>
  <c r="T934" i="16"/>
  <c r="V934" i="16" s="1"/>
  <c r="T932" i="16"/>
  <c r="V932" i="16" s="1"/>
  <c r="T930" i="16"/>
  <c r="V930" i="16" s="1"/>
  <c r="T928" i="16"/>
  <c r="V928" i="16" s="1"/>
  <c r="T926" i="16"/>
  <c r="V926" i="16" s="1"/>
  <c r="T924" i="16"/>
  <c r="V924" i="16" s="1"/>
  <c r="T922" i="16"/>
  <c r="V922" i="16" s="1"/>
  <c r="T920" i="16"/>
  <c r="V920" i="16" s="1"/>
  <c r="T918" i="16"/>
  <c r="V918" i="16" s="1"/>
  <c r="T916" i="16"/>
  <c r="V916" i="16" s="1"/>
  <c r="T914" i="16"/>
  <c r="V914" i="16" s="1"/>
  <c r="T912" i="16"/>
  <c r="V912" i="16" s="1"/>
  <c r="T910" i="16"/>
  <c r="V910" i="16" s="1"/>
  <c r="T908" i="16"/>
  <c r="V908" i="16" s="1"/>
  <c r="T906" i="16"/>
  <c r="V906" i="16" s="1"/>
  <c r="T904" i="16"/>
  <c r="V904" i="16" s="1"/>
  <c r="T902" i="16"/>
  <c r="V902" i="16" s="1"/>
  <c r="T900" i="16"/>
  <c r="V900" i="16" s="1"/>
  <c r="T898" i="16"/>
  <c r="V898" i="16" s="1"/>
  <c r="T896" i="16"/>
  <c r="V896" i="16" s="1"/>
  <c r="T894" i="16"/>
  <c r="V894" i="16" s="1"/>
  <c r="T892" i="16"/>
  <c r="V892" i="16" s="1"/>
  <c r="T890" i="16"/>
  <c r="V890" i="16" s="1"/>
  <c r="T888" i="16"/>
  <c r="V888" i="16" s="1"/>
  <c r="T886" i="16"/>
  <c r="V886" i="16" s="1"/>
  <c r="T884" i="16"/>
  <c r="V884" i="16" s="1"/>
  <c r="T882" i="16"/>
  <c r="V882" i="16" s="1"/>
  <c r="T880" i="16"/>
  <c r="V880" i="16" s="1"/>
  <c r="T878" i="16"/>
  <c r="V878" i="16" s="1"/>
  <c r="T876" i="16"/>
  <c r="V876" i="16" s="1"/>
  <c r="T874" i="16"/>
  <c r="V874" i="16" s="1"/>
  <c r="T872" i="16"/>
  <c r="V872" i="16" s="1"/>
  <c r="T870" i="16"/>
  <c r="V870" i="16" s="1"/>
  <c r="T868" i="16"/>
  <c r="V868" i="16" s="1"/>
  <c r="T866" i="16"/>
  <c r="V866" i="16" s="1"/>
  <c r="T864" i="16"/>
  <c r="V864" i="16" s="1"/>
  <c r="T862" i="16"/>
  <c r="V862" i="16" s="1"/>
  <c r="T860" i="16"/>
  <c r="V860" i="16" s="1"/>
  <c r="T858" i="16"/>
  <c r="V858" i="16" s="1"/>
  <c r="T856" i="16"/>
  <c r="V856" i="16" s="1"/>
  <c r="T854" i="16"/>
  <c r="V854" i="16" s="1"/>
  <c r="T852" i="16"/>
  <c r="V852" i="16" s="1"/>
  <c r="T850" i="16"/>
  <c r="V850" i="16" s="1"/>
  <c r="T848" i="16"/>
  <c r="V848" i="16" s="1"/>
  <c r="T846" i="16"/>
  <c r="V846" i="16" s="1"/>
  <c r="T844" i="16"/>
  <c r="V844" i="16" s="1"/>
  <c r="T842" i="16"/>
  <c r="V842" i="16" s="1"/>
  <c r="T840" i="16"/>
  <c r="V840" i="16" s="1"/>
  <c r="T838" i="16"/>
  <c r="V838" i="16" s="1"/>
  <c r="T836" i="16"/>
  <c r="V836" i="16" s="1"/>
  <c r="T834" i="16"/>
  <c r="V834" i="16" s="1"/>
  <c r="T832" i="16"/>
  <c r="V832" i="16" s="1"/>
  <c r="T830" i="16"/>
  <c r="V830" i="16" s="1"/>
  <c r="T828" i="16"/>
  <c r="V828" i="16" s="1"/>
  <c r="T826" i="16"/>
  <c r="V826" i="16" s="1"/>
  <c r="T824" i="16"/>
  <c r="V824" i="16" s="1"/>
  <c r="T822" i="16"/>
  <c r="V822" i="16" s="1"/>
  <c r="T820" i="16"/>
  <c r="V820" i="16" s="1"/>
  <c r="T818" i="16"/>
  <c r="V818" i="16" s="1"/>
  <c r="T816" i="16"/>
  <c r="V816" i="16" s="1"/>
  <c r="T814" i="16"/>
  <c r="V814" i="16" s="1"/>
  <c r="T812" i="16"/>
  <c r="V812" i="16" s="1"/>
  <c r="T810" i="16"/>
  <c r="V810" i="16" s="1"/>
  <c r="T808" i="16"/>
  <c r="V808" i="16" s="1"/>
  <c r="T806" i="16"/>
  <c r="V806" i="16" s="1"/>
  <c r="T804" i="16"/>
  <c r="V804" i="16" s="1"/>
  <c r="T802" i="16"/>
  <c r="V802" i="16" s="1"/>
  <c r="T800" i="16"/>
  <c r="V800" i="16" s="1"/>
  <c r="T798" i="16"/>
  <c r="V798" i="16" s="1"/>
  <c r="T796" i="16"/>
  <c r="V796" i="16" s="1"/>
  <c r="T794" i="16"/>
  <c r="V794" i="16" s="1"/>
  <c r="T792" i="16"/>
  <c r="V792" i="16" s="1"/>
  <c r="T790" i="16"/>
  <c r="V790" i="16" s="1"/>
  <c r="T788" i="16"/>
  <c r="V788" i="16" s="1"/>
  <c r="T786" i="16"/>
  <c r="V786" i="16" s="1"/>
  <c r="T784" i="16"/>
  <c r="V784" i="16" s="1"/>
  <c r="T782" i="16"/>
  <c r="V782" i="16" s="1"/>
  <c r="T780" i="16"/>
  <c r="V780" i="16" s="1"/>
  <c r="T778" i="16"/>
  <c r="V778" i="16" s="1"/>
  <c r="T776" i="16"/>
  <c r="V776" i="16" s="1"/>
  <c r="T774" i="16"/>
  <c r="V774" i="16" s="1"/>
  <c r="T772" i="16"/>
  <c r="V772" i="16" s="1"/>
  <c r="T770" i="16"/>
  <c r="V770" i="16" s="1"/>
  <c r="T768" i="16"/>
  <c r="V768" i="16" s="1"/>
  <c r="T766" i="16"/>
  <c r="V766" i="16" s="1"/>
  <c r="T764" i="16"/>
  <c r="V764" i="16" s="1"/>
  <c r="T762" i="16"/>
  <c r="V762" i="16" s="1"/>
  <c r="T760" i="16"/>
  <c r="V760" i="16" s="1"/>
  <c r="T758" i="16"/>
  <c r="V758" i="16" s="1"/>
  <c r="T881" i="16" a="1"/>
  <c r="T881" i="16" l="1"/>
  <c r="V881" i="16" s="1"/>
  <c r="AC2" i="16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D110" i="3"/>
  <c r="AE109" i="3"/>
  <c r="AA109" i="3"/>
  <c r="Z109" i="3"/>
  <c r="D109" i="3"/>
  <c r="AE108" i="3"/>
  <c r="AA108" i="3"/>
  <c r="Z108" i="3"/>
  <c r="D108" i="3"/>
  <c r="AE107" i="3"/>
  <c r="AA107" i="3"/>
  <c r="Z107" i="3"/>
  <c r="D107" i="3"/>
  <c r="AE106" i="3"/>
  <c r="AA106" i="3"/>
  <c r="Z106" i="3"/>
  <c r="D106" i="3"/>
  <c r="AE105" i="3"/>
  <c r="AA105" i="3"/>
  <c r="Z105" i="3"/>
  <c r="D105" i="3"/>
  <c r="AE104" i="3"/>
  <c r="AA104" i="3"/>
  <c r="Z104" i="3"/>
  <c r="D104" i="3"/>
  <c r="AE103" i="3"/>
  <c r="AA103" i="3"/>
  <c r="Z103" i="3"/>
  <c r="D103" i="3"/>
  <c r="AE102" i="3"/>
  <c r="AA102" i="3"/>
  <c r="Z102" i="3"/>
  <c r="D102" i="3"/>
  <c r="AE101" i="3"/>
  <c r="AA101" i="3"/>
  <c r="Z101" i="3"/>
  <c r="D101" i="3"/>
  <c r="AE100" i="3"/>
  <c r="AA100" i="3"/>
  <c r="Z100" i="3"/>
  <c r="D100" i="3"/>
  <c r="AE99" i="3"/>
  <c r="AA99" i="3"/>
  <c r="Z99" i="3"/>
  <c r="D99" i="3"/>
  <c r="AE98" i="3"/>
  <c r="AA98" i="3"/>
  <c r="Z98" i="3"/>
  <c r="D98" i="3"/>
  <c r="AE97" i="3"/>
  <c r="AA97" i="3"/>
  <c r="Z97" i="3"/>
  <c r="D97" i="3"/>
  <c r="AE96" i="3"/>
  <c r="AA96" i="3"/>
  <c r="Z96" i="3"/>
  <c r="D96" i="3"/>
  <c r="AE95" i="3"/>
  <c r="AA95" i="3"/>
  <c r="Z95" i="3"/>
  <c r="D95" i="3"/>
  <c r="AE94" i="3"/>
  <c r="AA94" i="3"/>
  <c r="Z94" i="3"/>
  <c r="D94" i="3"/>
  <c r="AE93" i="3"/>
  <c r="AA93" i="3"/>
  <c r="Z93" i="3"/>
  <c r="D93" i="3"/>
  <c r="AE92" i="3"/>
  <c r="AA92" i="3"/>
  <c r="Z92" i="3"/>
  <c r="D92" i="3"/>
  <c r="AE91" i="3"/>
  <c r="AA91" i="3"/>
  <c r="Z91" i="3"/>
  <c r="D91" i="3"/>
  <c r="AE90" i="3"/>
  <c r="AA90" i="3"/>
  <c r="Z90" i="3"/>
  <c r="D90" i="3"/>
  <c r="AE89" i="3"/>
  <c r="AA89" i="3"/>
  <c r="Z89" i="3"/>
  <c r="D89" i="3"/>
  <c r="AE88" i="3"/>
  <c r="AA88" i="3"/>
  <c r="Z88" i="3"/>
  <c r="D88" i="3"/>
  <c r="AE87" i="3"/>
  <c r="AA87" i="3"/>
  <c r="Z87" i="3"/>
  <c r="D87" i="3"/>
  <c r="AE86" i="3"/>
  <c r="AA86" i="3"/>
  <c r="Z86" i="3"/>
  <c r="D86" i="3"/>
  <c r="AE85" i="3"/>
  <c r="AA85" i="3"/>
  <c r="Z85" i="3"/>
  <c r="D85" i="3"/>
  <c r="AE84" i="3"/>
  <c r="AA84" i="3"/>
  <c r="Z84" i="3"/>
  <c r="D84" i="3"/>
  <c r="AE83" i="3"/>
  <c r="AA83" i="3"/>
  <c r="Z83" i="3"/>
  <c r="D83" i="3"/>
  <c r="AE82" i="3"/>
  <c r="AA82" i="3"/>
  <c r="Z82" i="3"/>
  <c r="D82" i="3"/>
  <c r="AE81" i="3"/>
  <c r="AA81" i="3"/>
  <c r="Z81" i="3"/>
  <c r="D81" i="3"/>
  <c r="AE80" i="3"/>
  <c r="AA80" i="3"/>
  <c r="Z80" i="3"/>
  <c r="D80" i="3"/>
  <c r="AE79" i="3"/>
  <c r="AA79" i="3"/>
  <c r="Z79" i="3"/>
  <c r="D79" i="3"/>
  <c r="AE78" i="3"/>
  <c r="AA78" i="3"/>
  <c r="Z78" i="3"/>
  <c r="D78" i="3"/>
  <c r="AE77" i="3"/>
  <c r="AA77" i="3"/>
  <c r="Z77" i="3"/>
  <c r="D77" i="3"/>
  <c r="AE76" i="3"/>
  <c r="AA76" i="3"/>
  <c r="Z76" i="3"/>
  <c r="D76" i="3"/>
  <c r="AE75" i="3"/>
  <c r="AA75" i="3"/>
  <c r="Z75" i="3"/>
  <c r="D75" i="3"/>
  <c r="AE74" i="3"/>
  <c r="AA74" i="3"/>
  <c r="Z74" i="3"/>
  <c r="D74" i="3"/>
  <c r="AE73" i="3"/>
  <c r="AA73" i="3"/>
  <c r="Z73" i="3"/>
  <c r="D73" i="3"/>
  <c r="AE72" i="3"/>
  <c r="AA72" i="3"/>
  <c r="Z72" i="3"/>
  <c r="D72" i="3"/>
  <c r="AE71" i="3"/>
  <c r="AA71" i="3"/>
  <c r="Z71" i="3"/>
  <c r="D71" i="3"/>
  <c r="AE70" i="3"/>
  <c r="AA70" i="3"/>
  <c r="Z70" i="3"/>
  <c r="D70" i="3"/>
  <c r="AE69" i="3"/>
  <c r="AA69" i="3"/>
  <c r="Z69" i="3"/>
  <c r="D69" i="3"/>
  <c r="AE68" i="3"/>
  <c r="AA68" i="3"/>
  <c r="Z68" i="3"/>
  <c r="D68" i="3"/>
  <c r="AE67" i="3"/>
  <c r="AA67" i="3"/>
  <c r="Z67" i="3"/>
  <c r="D67" i="3"/>
  <c r="AE66" i="3"/>
  <c r="AA66" i="3"/>
  <c r="Z66" i="3"/>
  <c r="D66" i="3"/>
  <c r="AE65" i="3"/>
  <c r="AA65" i="3"/>
  <c r="Z65" i="3"/>
  <c r="D65" i="3"/>
  <c r="AE64" i="3"/>
  <c r="AA64" i="3"/>
  <c r="Z64" i="3"/>
  <c r="D64" i="3"/>
  <c r="AE63" i="3"/>
  <c r="AA63" i="3"/>
  <c r="Z63" i="3"/>
  <c r="D63" i="3"/>
  <c r="AE62" i="3"/>
  <c r="AA62" i="3"/>
  <c r="Z62" i="3"/>
  <c r="D62" i="3"/>
  <c r="AE61" i="3"/>
  <c r="AA61" i="3"/>
  <c r="Z61" i="3"/>
  <c r="D61" i="3"/>
  <c r="AE60" i="3"/>
  <c r="AA60" i="3"/>
  <c r="Z60" i="3"/>
  <c r="D60" i="3"/>
  <c r="AE59" i="3"/>
  <c r="AA59" i="3"/>
  <c r="Z59" i="3"/>
  <c r="D59" i="3"/>
  <c r="AE58" i="3"/>
  <c r="AA58" i="3"/>
  <c r="Z58" i="3"/>
  <c r="D58" i="3"/>
  <c r="AE57" i="3"/>
  <c r="AA57" i="3"/>
  <c r="Z57" i="3"/>
  <c r="D57" i="3"/>
  <c r="AE56" i="3"/>
  <c r="AA56" i="3"/>
  <c r="Z56" i="3"/>
  <c r="D56" i="3"/>
  <c r="AE55" i="3"/>
  <c r="AA55" i="3"/>
  <c r="Z55" i="3"/>
  <c r="D55" i="3"/>
  <c r="AE54" i="3"/>
  <c r="AA54" i="3"/>
  <c r="Z54" i="3"/>
  <c r="D54" i="3"/>
  <c r="AE53" i="3"/>
  <c r="AA53" i="3"/>
  <c r="Z53" i="3"/>
  <c r="D53" i="3"/>
  <c r="AE52" i="3"/>
  <c r="AA52" i="3"/>
  <c r="Z52" i="3"/>
  <c r="D52" i="3"/>
  <c r="AE51" i="3"/>
  <c r="AA51" i="3"/>
  <c r="Z51" i="3"/>
  <c r="D51" i="3"/>
  <c r="AE50" i="3"/>
  <c r="AA50" i="3"/>
  <c r="Z50" i="3"/>
  <c r="D50" i="3"/>
  <c r="AE49" i="3"/>
  <c r="AA49" i="3"/>
  <c r="Z49" i="3"/>
  <c r="D49" i="3"/>
  <c r="AE48" i="3"/>
  <c r="AA48" i="3"/>
  <c r="Z48" i="3"/>
  <c r="D48" i="3"/>
  <c r="AE47" i="3"/>
  <c r="AA47" i="3"/>
  <c r="Z47" i="3"/>
  <c r="D47" i="3"/>
  <c r="AE46" i="3"/>
  <c r="AA46" i="3"/>
  <c r="Z46" i="3"/>
  <c r="D46" i="3"/>
  <c r="AE45" i="3"/>
  <c r="AA45" i="3"/>
  <c r="Z45" i="3"/>
  <c r="D45" i="3"/>
  <c r="AE44" i="3"/>
  <c r="AA44" i="3"/>
  <c r="Z44" i="3"/>
  <c r="D44" i="3"/>
  <c r="C44" i="3"/>
  <c r="AE43" i="3"/>
  <c r="AA43" i="3"/>
  <c r="Z43" i="3"/>
  <c r="D43" i="3"/>
  <c r="C43" i="3"/>
  <c r="AE42" i="3"/>
  <c r="AA42" i="3"/>
  <c r="Z42" i="3"/>
  <c r="D42" i="3"/>
  <c r="C42" i="3"/>
  <c r="AE41" i="3"/>
  <c r="AA41" i="3"/>
  <c r="Z41" i="3"/>
  <c r="D41" i="3"/>
  <c r="AE40" i="3"/>
  <c r="AA40" i="3"/>
  <c r="Z40" i="3"/>
  <c r="D40" i="3"/>
  <c r="AE39" i="3"/>
  <c r="AA39" i="3"/>
  <c r="Z39" i="3"/>
  <c r="D39" i="3"/>
  <c r="AE38" i="3"/>
  <c r="AA38" i="3"/>
  <c r="Z38" i="3"/>
  <c r="D38" i="3"/>
  <c r="AE37" i="3"/>
  <c r="AA37" i="3"/>
  <c r="Z37" i="3"/>
  <c r="D37" i="3"/>
  <c r="AE36" i="3"/>
  <c r="AA36" i="3"/>
  <c r="Z36" i="3"/>
  <c r="D36" i="3"/>
  <c r="AE35" i="3"/>
  <c r="AA35" i="3"/>
  <c r="Z35" i="3"/>
  <c r="D35" i="3"/>
  <c r="AE34" i="3"/>
  <c r="AA34" i="3"/>
  <c r="Z34" i="3"/>
  <c r="D34" i="3"/>
  <c r="AE33" i="3"/>
  <c r="AA33" i="3"/>
  <c r="Z33" i="3"/>
  <c r="D33" i="3"/>
  <c r="AE32" i="3"/>
  <c r="AA32" i="3"/>
  <c r="Z32" i="3"/>
  <c r="D32" i="3"/>
  <c r="AE31" i="3"/>
  <c r="AA31" i="3"/>
  <c r="Z31" i="3"/>
  <c r="D31" i="3"/>
  <c r="AE30" i="3"/>
  <c r="AA30" i="3"/>
  <c r="Z30" i="3"/>
  <c r="D30" i="3"/>
  <c r="AE29" i="3"/>
  <c r="AA29" i="3"/>
  <c r="Z29" i="3"/>
  <c r="D29" i="3"/>
  <c r="AE28" i="3"/>
  <c r="AA28" i="3"/>
  <c r="Z28" i="3"/>
  <c r="D28" i="3"/>
  <c r="AE27" i="3"/>
  <c r="AA27" i="3"/>
  <c r="Z27" i="3"/>
  <c r="D27" i="3"/>
  <c r="AE26" i="3"/>
  <c r="AA26" i="3"/>
  <c r="Z26" i="3"/>
  <c r="D26" i="3"/>
  <c r="AE25" i="3"/>
  <c r="AA25" i="3"/>
  <c r="Z25" i="3"/>
  <c r="D25" i="3"/>
  <c r="AE24" i="3"/>
  <c r="AA24" i="3"/>
  <c r="Z24" i="3"/>
  <c r="D24" i="3"/>
  <c r="AE23" i="3"/>
  <c r="AA23" i="3"/>
  <c r="Z23" i="3"/>
  <c r="D23" i="3"/>
  <c r="AE22" i="3"/>
  <c r="AA22" i="3"/>
  <c r="Z22" i="3"/>
  <c r="D22" i="3"/>
  <c r="AE21" i="3"/>
  <c r="AA21" i="3"/>
  <c r="Z21" i="3"/>
  <c r="D21" i="3"/>
  <c r="AE20" i="3"/>
  <c r="AA20" i="3"/>
  <c r="Z20" i="3"/>
  <c r="D20" i="3"/>
  <c r="AE19" i="3"/>
  <c r="AA19" i="3"/>
  <c r="Z19" i="3"/>
  <c r="D19" i="3"/>
  <c r="AE18" i="3"/>
  <c r="AA18" i="3"/>
  <c r="Z18" i="3"/>
  <c r="D18" i="3"/>
  <c r="AE17" i="3"/>
  <c r="AA17" i="3"/>
  <c r="Z17" i="3"/>
  <c r="D17" i="3"/>
  <c r="AE16" i="3"/>
  <c r="AA16" i="3"/>
  <c r="Z16" i="3"/>
  <c r="D16" i="3"/>
  <c r="AE15" i="3"/>
  <c r="AA15" i="3"/>
  <c r="Z15" i="3"/>
  <c r="D15" i="3"/>
  <c r="AE14" i="3"/>
  <c r="AA14" i="3"/>
  <c r="Z14" i="3"/>
  <c r="D14" i="3"/>
  <c r="AE13" i="3"/>
  <c r="AA13" i="3"/>
  <c r="Z13" i="3"/>
  <c r="D13" i="3"/>
  <c r="AE12" i="3"/>
  <c r="AA12" i="3"/>
  <c r="Z12" i="3"/>
  <c r="D12" i="3"/>
  <c r="AE11" i="3"/>
  <c r="AA11" i="3"/>
  <c r="Z11" i="3"/>
  <c r="D11" i="3"/>
  <c r="AE10" i="3"/>
  <c r="AA10" i="3"/>
  <c r="Z10" i="3"/>
  <c r="D10" i="3"/>
  <c r="AE9" i="3"/>
  <c r="AA9" i="3"/>
  <c r="Z9" i="3"/>
  <c r="D9" i="3"/>
  <c r="AE8" i="3"/>
  <c r="AA8" i="3"/>
  <c r="Z8" i="3"/>
  <c r="D8" i="3"/>
  <c r="AE7" i="3"/>
  <c r="AA7" i="3"/>
  <c r="Z7" i="3"/>
  <c r="D7" i="3"/>
  <c r="AE6" i="3"/>
  <c r="AA6" i="3"/>
  <c r="Z6" i="3"/>
  <c r="D6" i="3"/>
  <c r="E3" i="3"/>
  <c r="B60" i="3" a="1"/>
  <c r="W84" i="3" a="1"/>
  <c r="B44" i="3" a="1"/>
  <c r="AF104" i="3" a="1"/>
  <c r="AF80" i="3" a="1"/>
  <c r="W6" i="3" a="1"/>
  <c r="W100" i="3" a="1"/>
  <c r="W19" i="3" a="1"/>
  <c r="W108" i="3" a="1"/>
  <c r="B8" i="3" a="1"/>
  <c r="G109" i="3" a="1"/>
  <c r="B94" i="3" a="1"/>
  <c r="G28" i="14" a="1"/>
  <c r="W45" i="3" a="1"/>
  <c r="W74" i="3" a="1"/>
  <c r="W98" i="3" a="1"/>
  <c r="G30" i="3" a="1"/>
  <c r="AF17" i="3" a="1"/>
  <c r="B66" i="3" a="1"/>
  <c r="W68" i="3" a="1"/>
  <c r="B93" i="3" a="1"/>
  <c r="AF109" i="3" a="1"/>
  <c r="G54" i="3" a="1"/>
  <c r="G76" i="3" a="1"/>
  <c r="B14" i="3" a="1"/>
  <c r="AF13" i="3" a="1"/>
  <c r="AF67" i="3" a="1"/>
  <c r="B6" i="3" a="1"/>
  <c r="G15" i="14" a="1"/>
  <c r="AF83" i="3" a="1"/>
  <c r="AF21" i="3" a="1"/>
  <c r="AF105" i="3" a="1"/>
  <c r="AF103" i="3" a="1"/>
  <c r="B73" i="3" a="1"/>
  <c r="G10" i="3" a="1"/>
  <c r="AF101" i="3" a="1"/>
  <c r="W94" i="3" a="1"/>
  <c r="W55" i="3" a="1"/>
  <c r="G15" i="3" a="1"/>
  <c r="G100" i="3" a="1"/>
  <c r="B47" i="3" a="1"/>
  <c r="AF57" i="3" a="1"/>
  <c r="B80" i="3" a="1"/>
  <c r="B96" i="3" a="1"/>
  <c r="B40" i="3" a="1"/>
  <c r="G62" i="3" a="1"/>
  <c r="G25" i="3" a="1"/>
  <c r="AF30" i="3" a="1"/>
  <c r="B101" i="3" a="1"/>
  <c r="AF38" i="3" a="1"/>
  <c r="W51" i="3" a="1"/>
  <c r="B79" i="3" a="1"/>
  <c r="AF106" i="3" a="1"/>
  <c r="B36" i="3" a="1"/>
  <c r="B32" i="3" a="1"/>
  <c r="G25" i="14" a="1"/>
  <c r="B56" i="3" a="1"/>
  <c r="W91" i="3" a="1"/>
  <c r="B53" i="3" a="1"/>
  <c r="W10" i="3" a="1"/>
  <c r="AF75" i="3" a="1"/>
  <c r="B82" i="3" a="1"/>
  <c r="B42" i="3" a="1"/>
  <c r="G27" i="3" a="1"/>
  <c r="B86" i="3" a="1"/>
  <c r="G102" i="3" a="1"/>
  <c r="W103" i="3" a="1"/>
  <c r="G71" i="3" a="1"/>
  <c r="AF9" i="3" a="1"/>
  <c r="AF77" i="3" a="1"/>
  <c r="G33" i="14" a="1"/>
  <c r="G53" i="3" a="1"/>
  <c r="B74" i="3" a="1"/>
  <c r="W92" i="3" a="1"/>
  <c r="G42" i="14" a="1"/>
  <c r="G56" i="3" a="1"/>
  <c r="B22" i="3" a="1"/>
  <c r="B24" i="3" a="1"/>
  <c r="W96" i="3" a="1"/>
  <c r="G40" i="14" a="1"/>
  <c r="AF48" i="3" a="1"/>
  <c r="B76" i="3" a="1"/>
  <c r="W102" i="3" a="1"/>
  <c r="W32" i="3" a="1"/>
  <c r="B23" i="3" a="1"/>
  <c r="W104" i="3" a="1"/>
  <c r="W93" i="3" a="1"/>
  <c r="AF84" i="3" a="1"/>
  <c r="W44" i="3" a="1"/>
  <c r="AF29" i="3" a="1"/>
  <c r="B61" i="3" a="1"/>
  <c r="W72" i="3" a="1"/>
  <c r="G34" i="14" a="1"/>
  <c r="G19" i="3" a="1"/>
  <c r="G66" i="3" a="1"/>
  <c r="G85" i="3" a="1"/>
  <c r="G96" i="3" a="1"/>
  <c r="B64" i="3" a="1"/>
  <c r="AF32" i="3" a="1"/>
  <c r="G17" i="14" a="1"/>
  <c r="B103" i="3" a="1"/>
  <c r="G89" i="3" a="1"/>
  <c r="AF22" i="3" a="1"/>
  <c r="AF82" i="3" a="1"/>
  <c r="AF28" i="3" a="1"/>
  <c r="AF92" i="3" a="1"/>
  <c r="W82" i="3" a="1"/>
  <c r="G69" i="3" a="1"/>
  <c r="G37" i="3" a="1"/>
  <c r="G83" i="3" a="1"/>
  <c r="W97" i="3" a="1"/>
  <c r="G97" i="3" a="1"/>
  <c r="B28" i="3" a="1"/>
  <c r="G3" i="14" a="1"/>
  <c r="G108" i="3" a="1"/>
  <c r="AF100" i="3" a="1"/>
  <c r="W15" i="3" a="1"/>
  <c r="AF52" i="3" a="1"/>
  <c r="G24" i="14" a="1"/>
  <c r="B29" i="3" a="1"/>
  <c r="B75" i="3" a="1"/>
  <c r="B63" i="3" a="1"/>
  <c r="W67" i="3" a="1"/>
  <c r="G33" i="3" a="1"/>
  <c r="B99" i="3" a="1"/>
  <c r="AF20" i="3" a="1"/>
  <c r="B62" i="3" a="1"/>
  <c r="B90" i="3" a="1"/>
  <c r="G7" i="14" a="1"/>
  <c r="B72" i="3" a="1"/>
  <c r="B100" i="3" a="1"/>
  <c r="G11" i="14" a="1"/>
  <c r="AF56" i="3" a="1"/>
  <c r="G82" i="3" a="1"/>
  <c r="AF18" i="3" a="1"/>
  <c r="W21" i="3" a="1"/>
  <c r="G20" i="14" a="1"/>
  <c r="W57" i="3" a="1"/>
  <c r="G78" i="3" a="1"/>
  <c r="G94" i="3" a="1"/>
  <c r="G34" i="3" a="1"/>
  <c r="AF61" i="3" a="1"/>
  <c r="G24" i="3" a="1"/>
  <c r="W30" i="3" a="1"/>
  <c r="G9" i="14" a="1"/>
  <c r="W60" i="3" a="1"/>
  <c r="AF85" i="3" a="1"/>
  <c r="G51" i="3" a="1"/>
  <c r="G13" i="3" a="1"/>
  <c r="B43" i="3" a="1"/>
  <c r="G77" i="3" a="1"/>
  <c r="G38" i="3" a="1"/>
  <c r="G21" i="14" a="1"/>
  <c r="G31" i="3" a="1"/>
  <c r="G61" i="3" a="1"/>
  <c r="G110" i="3" a="1"/>
  <c r="B7" i="3" a="1"/>
  <c r="B70" i="3" a="1"/>
  <c r="W105" i="3" a="1"/>
  <c r="AF41" i="3" a="1"/>
  <c r="G60" i="3" a="1"/>
  <c r="W81" i="3" a="1"/>
  <c r="W109" i="3" a="1"/>
  <c r="G44" i="3" a="1"/>
  <c r="W7" i="3" a="1"/>
  <c r="G106" i="3" a="1"/>
  <c r="B83" i="3" a="1"/>
  <c r="B107" i="3" a="1"/>
  <c r="G39" i="14" a="1"/>
  <c r="AF62" i="3" a="1"/>
  <c r="AF89" i="3" a="1"/>
  <c r="W24" i="3" a="1"/>
  <c r="AF34" i="3" a="1"/>
  <c r="B92" i="3" a="1"/>
  <c r="G93" i="3" a="1"/>
  <c r="B54" i="3" a="1"/>
  <c r="AF107" i="3" a="1"/>
  <c r="G35" i="3" a="1"/>
  <c r="W20" i="3" a="1"/>
  <c r="G43" i="3" a="1"/>
  <c r="B97" i="3" a="1"/>
  <c r="AF14" i="3" a="1"/>
  <c r="G86" i="3" a="1"/>
  <c r="AF39" i="3" a="1"/>
  <c r="AF76" i="3" a="1"/>
  <c r="G36" i="3" a="1"/>
  <c r="W50" i="3" a="1"/>
  <c r="W49" i="3" a="1"/>
  <c r="W101" i="3" a="1"/>
  <c r="W39" i="3" a="1"/>
  <c r="AF51" i="3" a="1"/>
  <c r="W79" i="3" a="1"/>
  <c r="W107" i="3" a="1"/>
  <c r="B37" i="3" a="1"/>
  <c r="W33" i="3" a="1"/>
  <c r="B88" i="3" a="1"/>
  <c r="B77" i="3" a="1"/>
  <c r="G101" i="3" a="1"/>
  <c r="G23" i="14" a="1"/>
  <c r="W59" i="3" a="1"/>
  <c r="B85" i="3" a="1"/>
  <c r="G20" i="3" a="1"/>
  <c r="W28" i="3" a="1"/>
  <c r="AF78" i="3" a="1"/>
  <c r="B39" i="3" a="1"/>
  <c r="AF45" i="3" a="1"/>
  <c r="G99" i="3" a="1"/>
  <c r="B20" i="3" a="1"/>
  <c r="AF7" i="3" a="1"/>
  <c r="G35" i="14" a="1"/>
  <c r="G87" i="3" a="1"/>
  <c r="B34" i="3" a="1"/>
  <c r="G75" i="3" a="1"/>
  <c r="G16" i="14" a="1"/>
  <c r="W71" i="3" a="1"/>
  <c r="W27" i="3" a="1"/>
  <c r="W77" i="3" a="1"/>
  <c r="AF96" i="3" a="1"/>
  <c r="AF86" i="3" a="1"/>
  <c r="AF59" i="3" a="1"/>
  <c r="G29" i="3" a="1"/>
  <c r="AF98" i="3" a="1"/>
  <c r="W34" i="3" a="1"/>
  <c r="B59" i="3" a="1"/>
  <c r="G47" i="3" a="1"/>
  <c r="G30" i="14" a="1"/>
  <c r="W9" i="3" a="1"/>
  <c r="G48" i="3" a="1"/>
  <c r="B110" i="3" a="1"/>
  <c r="AF16" i="3" a="1"/>
  <c r="G81" i="3" a="1"/>
  <c r="G45" i="3" a="1"/>
  <c r="G6" i="14" a="1"/>
  <c r="G31" i="14" a="1"/>
  <c r="G18" i="3" a="1"/>
  <c r="B18" i="3" a="1"/>
  <c r="AF44" i="3" a="1"/>
  <c r="B17" i="3" a="1"/>
  <c r="B31" i="3" a="1"/>
  <c r="G2" i="14" a="1"/>
  <c r="B25" i="3" a="1"/>
  <c r="G39" i="3" a="1"/>
  <c r="W99" i="3" a="1"/>
  <c r="B68" i="3" a="1"/>
  <c r="W29" i="3" a="1"/>
  <c r="AF36" i="3" a="1"/>
  <c r="W41" i="3" a="1"/>
  <c r="G57" i="3" a="1"/>
  <c r="AF108" i="3" a="1"/>
  <c r="G40" i="3" a="1"/>
  <c r="G41" i="14" a="1"/>
  <c r="G4" i="14" a="1"/>
  <c r="B58" i="3" a="1"/>
  <c r="AF47" i="3" a="1"/>
  <c r="AF91" i="3" a="1"/>
  <c r="G37" i="14" a="1"/>
  <c r="B45" i="3" a="1"/>
  <c r="B51" i="3" a="1"/>
  <c r="G8" i="14" a="1"/>
  <c r="W26" i="3" a="1"/>
  <c r="G64" i="3" a="1"/>
  <c r="AF87" i="3" a="1"/>
  <c r="B109" i="3" a="1"/>
  <c r="G79" i="3" a="1"/>
  <c r="W64" i="3" a="1"/>
  <c r="G12" i="14" a="1"/>
  <c r="B71" i="3" a="1"/>
  <c r="AF26" i="3" a="1"/>
  <c r="AF50" i="3" a="1"/>
  <c r="W88" i="3" a="1"/>
  <c r="W48" i="3" a="1"/>
  <c r="W8" i="3" a="1"/>
  <c r="AF60" i="3" a="1"/>
  <c r="B108" i="3" a="1"/>
  <c r="AF12" i="3" a="1"/>
  <c r="B98" i="3" a="1"/>
  <c r="AF33" i="3" a="1"/>
  <c r="W87" i="3" a="1"/>
  <c r="G6" i="3" a="1"/>
  <c r="W76" i="3" a="1"/>
  <c r="G107" i="3" a="1"/>
  <c r="G63" i="3" a="1"/>
  <c r="AF24" i="3" a="1"/>
  <c r="W46" i="3" a="1"/>
  <c r="W86" i="3" a="1"/>
  <c r="G46" i="3" a="1"/>
  <c r="B35" i="3" a="1"/>
  <c r="B57" i="3" a="1"/>
  <c r="AF99" i="3" a="1"/>
  <c r="AF6" i="3" a="1"/>
  <c r="B91" i="3" a="1"/>
  <c r="G21" i="3" a="1"/>
  <c r="B81" i="3" a="1"/>
  <c r="G26" i="3" a="1"/>
  <c r="B50" i="3" a="1"/>
  <c r="G103" i="3" a="1"/>
  <c r="G42" i="3" a="1"/>
  <c r="B27" i="3" a="1"/>
  <c r="W18" i="3" a="1"/>
  <c r="B12" i="3" a="1"/>
  <c r="B30" i="3" a="1"/>
  <c r="W23" i="3" a="1"/>
  <c r="B33" i="3" a="1"/>
  <c r="W17" i="3" a="1"/>
  <c r="G98" i="3" a="1"/>
  <c r="G8" i="3" a="1"/>
  <c r="W65" i="3" a="1"/>
  <c r="AF63" i="3" a="1"/>
  <c r="B13" i="3" a="1"/>
  <c r="G41" i="3" a="1"/>
  <c r="G9" i="3" a="1"/>
  <c r="G14" i="14" a="1"/>
  <c r="G50" i="3" a="1"/>
  <c r="W54" i="3" a="1"/>
  <c r="AF46" i="3" a="1"/>
  <c r="G27" i="14" a="1"/>
  <c r="AF93" i="3" a="1"/>
  <c r="B55" i="3" a="1"/>
  <c r="W14" i="3" a="1"/>
  <c r="G29" i="14" a="1"/>
  <c r="AF72" i="3" a="1"/>
  <c r="G38" i="14" a="1"/>
  <c r="B21" i="3" a="1"/>
  <c r="AF58" i="3" a="1"/>
  <c r="AF79" i="3" a="1"/>
  <c r="W78" i="3" a="1"/>
  <c r="AF71" i="3" a="1"/>
  <c r="AF64" i="3" a="1"/>
  <c r="AF49" i="3" a="1"/>
  <c r="B26" i="3" a="1"/>
  <c r="G26" i="14" a="1"/>
  <c r="AF88" i="3" a="1"/>
  <c r="G49" i="3" a="1"/>
  <c r="B10" i="3" a="1"/>
  <c r="G13" i="14" a="1"/>
  <c r="G67" i="3" a="1"/>
  <c r="G22" i="14" a="1"/>
  <c r="W16" i="3" a="1"/>
  <c r="G36" i="14" a="1"/>
  <c r="AF74" i="3" a="1"/>
  <c r="G19" i="14" a="1"/>
  <c r="W62" i="3" a="1"/>
  <c r="W38" i="3" a="1"/>
  <c r="AF42" i="3" a="1"/>
  <c r="G12" i="3" a="1"/>
  <c r="W37" i="3" a="1"/>
  <c r="W85" i="3" a="1"/>
  <c r="B67" i="3" a="1"/>
  <c r="W58" i="3" a="1"/>
  <c r="G18" i="14" a="1"/>
  <c r="AF10" i="3" a="1"/>
  <c r="B87" i="3" a="1"/>
  <c r="AF70" i="3" a="1"/>
  <c r="W75" i="3" a="1"/>
  <c r="G70" i="3" a="1"/>
  <c r="B84" i="3" a="1"/>
  <c r="AF11" i="3" a="1"/>
  <c r="AF65" i="3" a="1"/>
  <c r="G95" i="3" a="1"/>
  <c r="G14" i="3" a="1"/>
  <c r="W106" i="3" a="1"/>
  <c r="AF110" i="3" a="1"/>
  <c r="G16" i="3" a="1"/>
  <c r="W89" i="3" a="1"/>
  <c r="W42" i="3" a="1"/>
  <c r="W95" i="3" a="1"/>
  <c r="W11" i="3" a="1"/>
  <c r="W66" i="3" a="1"/>
  <c r="G104" i="3" a="1"/>
  <c r="W73" i="3" a="1"/>
  <c r="B11" i="3" a="1"/>
  <c r="G5" i="14" a="1"/>
  <c r="G74" i="3" a="1"/>
  <c r="G90" i="3" a="1"/>
  <c r="G65" i="3" a="1"/>
  <c r="G84" i="3" a="1"/>
  <c r="W47" i="3" a="1"/>
  <c r="W80" i="3" a="1"/>
  <c r="W83" i="3" a="1"/>
  <c r="G43" i="14" a="1"/>
  <c r="W90" i="3" a="1"/>
  <c r="W35" i="3" a="1"/>
  <c r="W61" i="3" a="1"/>
  <c r="B102" i="3" a="1"/>
  <c r="W70" i="3" a="1"/>
  <c r="B9" i="3" a="1"/>
  <c r="AF94" i="3" a="1"/>
  <c r="B69" i="3" a="1"/>
  <c r="W69" i="3" a="1"/>
  <c r="AF54" i="3" a="1"/>
  <c r="B52" i="3" a="1"/>
  <c r="W40" i="3" a="1"/>
  <c r="G58" i="3" a="1"/>
  <c r="G68" i="3" a="1"/>
  <c r="B41" i="3" a="1"/>
  <c r="W43" i="3" a="1"/>
  <c r="AF8" i="3" a="1"/>
  <c r="AF43" i="3" a="1"/>
  <c r="B65" i="3" a="1"/>
  <c r="G23" i="3" a="1"/>
  <c r="W25" i="3" a="1"/>
  <c r="B104" i="3" a="1"/>
  <c r="G72" i="3" a="1"/>
  <c r="W22" i="3" a="1"/>
  <c r="W53" i="3" a="1"/>
  <c r="W56" i="3" a="1"/>
  <c r="AF90" i="3" a="1"/>
  <c r="AF97" i="3" a="1"/>
  <c r="B19" i="3" a="1"/>
  <c r="AF69" i="3" a="1"/>
  <c r="G92" i="3" a="1"/>
  <c r="G10" i="14" a="1"/>
  <c r="B89" i="3" a="1"/>
  <c r="B95" i="3" a="1"/>
  <c r="G32" i="3" a="1"/>
  <c r="G11" i="3" a="1"/>
  <c r="G28" i="3" a="1"/>
  <c r="AF81" i="3" a="1"/>
  <c r="G7" i="3" a="1"/>
  <c r="AF68" i="3" a="1"/>
  <c r="W110" i="3" a="1"/>
  <c r="B78" i="3" a="1"/>
  <c r="B15" i="3" a="1"/>
  <c r="G52" i="3" a="1"/>
  <c r="G91" i="3" a="1"/>
  <c r="G55" i="3" a="1"/>
  <c r="G22" i="3" a="1"/>
  <c r="B46" i="3" a="1"/>
  <c r="B38" i="3" a="1"/>
  <c r="G32" i="14" a="1"/>
  <c r="AF27" i="3" a="1"/>
  <c r="W36" i="3" a="1"/>
  <c r="B105" i="3" a="1"/>
  <c r="AF19" i="3" a="1"/>
  <c r="AF66" i="3" a="1"/>
  <c r="B106" i="3" a="1"/>
  <c r="AF73" i="3" a="1"/>
  <c r="W12" i="3" a="1"/>
  <c r="B49" i="3" a="1"/>
  <c r="G88" i="3" a="1"/>
  <c r="W52" i="3" a="1"/>
  <c r="AF15" i="3" a="1"/>
  <c r="AF37" i="3" a="1"/>
  <c r="W31" i="3" a="1"/>
  <c r="G105" i="3" a="1"/>
  <c r="AF23" i="3" a="1"/>
  <c r="W13" i="3" a="1"/>
  <c r="AF95" i="3" a="1"/>
  <c r="B16" i="3" a="1"/>
  <c r="AF102" i="3" a="1"/>
  <c r="G59" i="3" a="1"/>
  <c r="G73" i="3" a="1"/>
  <c r="AF25" i="3" a="1"/>
  <c r="W63" i="3" a="1"/>
  <c r="AF53" i="3" a="1"/>
  <c r="AF55" i="3" a="1"/>
  <c r="B48" i="3" a="1"/>
  <c r="AF31" i="3" a="1"/>
  <c r="G17" i="3" a="1"/>
  <c r="AF35" i="3" a="1"/>
  <c r="AF40" i="3" a="1"/>
  <c r="G80" i="3" a="1"/>
  <c r="G80" i="3" l="1"/>
  <c r="AF40" i="3"/>
  <c r="AF35" i="3"/>
  <c r="G17" i="3"/>
  <c r="AF31" i="3"/>
  <c r="B48" i="3"/>
  <c r="AF55" i="3"/>
  <c r="AF53" i="3"/>
  <c r="W63" i="3"/>
  <c r="AF25" i="3"/>
  <c r="G73" i="3"/>
  <c r="G59" i="3"/>
  <c r="AF102" i="3"/>
  <c r="B16" i="3"/>
  <c r="AF95" i="3"/>
  <c r="W13" i="3"/>
  <c r="AF23" i="3"/>
  <c r="G105" i="3"/>
  <c r="W31" i="3"/>
  <c r="AF37" i="3"/>
  <c r="AF15" i="3"/>
  <c r="W52" i="3"/>
  <c r="G88" i="3"/>
  <c r="B49" i="3"/>
  <c r="W12" i="3"/>
  <c r="AF73" i="3"/>
  <c r="B106" i="3"/>
  <c r="AF66" i="3"/>
  <c r="AF19" i="3"/>
  <c r="B105" i="3"/>
  <c r="W36" i="3"/>
  <c r="AF27" i="3"/>
  <c r="G32" i="14"/>
  <c r="B38" i="3"/>
  <c r="B46" i="3"/>
  <c r="G22" i="3"/>
  <c r="G55" i="3"/>
  <c r="G91" i="3"/>
  <c r="G52" i="3"/>
  <c r="B15" i="3"/>
  <c r="B78" i="3"/>
  <c r="W110" i="3"/>
  <c r="AF68" i="3"/>
  <c r="G7" i="3"/>
  <c r="AF81" i="3"/>
  <c r="G28" i="3"/>
  <c r="G11" i="3"/>
  <c r="G32" i="3"/>
  <c r="B95" i="3"/>
  <c r="B89" i="3"/>
  <c r="G10" i="14"/>
  <c r="G92" i="3"/>
  <c r="AF69" i="3"/>
  <c r="B19" i="3"/>
  <c r="AF97" i="3"/>
  <c r="AF90" i="3"/>
  <c r="W56" i="3"/>
  <c r="W53" i="3"/>
  <c r="W22" i="3"/>
  <c r="G72" i="3"/>
  <c r="B104" i="3"/>
  <c r="W25" i="3"/>
  <c r="G23" i="3"/>
  <c r="B65" i="3"/>
  <c r="AF43" i="3"/>
  <c r="AF8" i="3"/>
  <c r="W43" i="3"/>
  <c r="B41" i="3"/>
  <c r="G68" i="3"/>
  <c r="G58" i="3"/>
  <c r="W40" i="3"/>
  <c r="B52" i="3"/>
  <c r="AF54" i="3"/>
  <c r="W69" i="3"/>
  <c r="B69" i="3"/>
  <c r="AF94" i="3"/>
  <c r="B9" i="3"/>
  <c r="W70" i="3"/>
  <c r="B102" i="3"/>
  <c r="W61" i="3"/>
  <c r="W35" i="3"/>
  <c r="W90" i="3"/>
  <c r="G43" i="14"/>
  <c r="W83" i="3"/>
  <c r="W80" i="3"/>
  <c r="W47" i="3"/>
  <c r="G84" i="3"/>
  <c r="G65" i="3"/>
  <c r="G90" i="3"/>
  <c r="G74" i="3"/>
  <c r="G5" i="14"/>
  <c r="B11" i="3"/>
  <c r="W73" i="3"/>
  <c r="G104" i="3"/>
  <c r="W66" i="3"/>
  <c r="W11" i="3"/>
  <c r="W95" i="3"/>
  <c r="W42" i="3"/>
  <c r="W89" i="3"/>
  <c r="G16" i="3"/>
  <c r="AF110" i="3"/>
  <c r="W106" i="3"/>
  <c r="G14" i="3"/>
  <c r="G95" i="3"/>
  <c r="AF65" i="3"/>
  <c r="AF11" i="3"/>
  <c r="B84" i="3"/>
  <c r="G70" i="3"/>
  <c r="W75" i="3"/>
  <c r="AF70" i="3"/>
  <c r="B87" i="3"/>
  <c r="AF10" i="3"/>
  <c r="G18" i="14"/>
  <c r="W58" i="3"/>
  <c r="B67" i="3"/>
  <c r="W85" i="3"/>
  <c r="W37" i="3"/>
  <c r="G12" i="3"/>
  <c r="AF42" i="3"/>
  <c r="W38" i="3"/>
  <c r="W62" i="3"/>
  <c r="G19" i="14"/>
  <c r="AF74" i="3"/>
  <c r="G36" i="14"/>
  <c r="W16" i="3"/>
  <c r="G22" i="14"/>
  <c r="G67" i="3"/>
  <c r="G13" i="14"/>
  <c r="B10" i="3"/>
  <c r="G49" i="3"/>
  <c r="AF88" i="3"/>
  <c r="G26" i="14"/>
  <c r="B26" i="3"/>
  <c r="AF49" i="3"/>
  <c r="AF64" i="3"/>
  <c r="AF71" i="3"/>
  <c r="W78" i="3"/>
  <c r="AF79" i="3"/>
  <c r="AF58" i="3"/>
  <c r="B21" i="3"/>
  <c r="G38" i="14"/>
  <c r="AF72" i="3"/>
  <c r="G29" i="14"/>
  <c r="W14" i="3"/>
  <c r="B55" i="3"/>
  <c r="AF93" i="3"/>
  <c r="G27" i="14"/>
  <c r="AF46" i="3"/>
  <c r="W54" i="3"/>
  <c r="G50" i="3"/>
  <c r="G14" i="14"/>
  <c r="G9" i="3"/>
  <c r="G41" i="3"/>
  <c r="B13" i="3"/>
  <c r="AF63" i="3"/>
  <c r="W65" i="3"/>
  <c r="G8" i="3"/>
  <c r="G98" i="3"/>
  <c r="W17" i="3"/>
  <c r="B33" i="3"/>
  <c r="W23" i="3"/>
  <c r="B30" i="3"/>
  <c r="B12" i="3"/>
  <c r="W18" i="3"/>
  <c r="B27" i="3"/>
  <c r="G42" i="3"/>
  <c r="G103" i="3"/>
  <c r="B50" i="3"/>
  <c r="G26" i="3"/>
  <c r="B81" i="3"/>
  <c r="G21" i="3"/>
  <c r="B91" i="3"/>
  <c r="AF6" i="3"/>
  <c r="AF99" i="3"/>
  <c r="B57" i="3"/>
  <c r="B35" i="3"/>
  <c r="G46" i="3"/>
  <c r="W86" i="3"/>
  <c r="W46" i="3"/>
  <c r="AF24" i="3"/>
  <c r="G63" i="3"/>
  <c r="G107" i="3"/>
  <c r="W76" i="3"/>
  <c r="G6" i="3"/>
  <c r="W87" i="3"/>
  <c r="AF33" i="3"/>
  <c r="B98" i="3"/>
  <c r="AF12" i="3"/>
  <c r="B108" i="3"/>
  <c r="AF60" i="3"/>
  <c r="W8" i="3"/>
  <c r="W48" i="3"/>
  <c r="W88" i="3"/>
  <c r="AF50" i="3"/>
  <c r="AF26" i="3"/>
  <c r="B71" i="3"/>
  <c r="G12" i="14"/>
  <c r="W64" i="3"/>
  <c r="G79" i="3"/>
  <c r="B109" i="3"/>
  <c r="AF87" i="3"/>
  <c r="G64" i="3"/>
  <c r="W26" i="3"/>
  <c r="G8" i="14"/>
  <c r="B51" i="3"/>
  <c r="B45" i="3"/>
  <c r="G37" i="14"/>
  <c r="AF91" i="3"/>
  <c r="AF47" i="3"/>
  <c r="B58" i="3"/>
  <c r="G4" i="14"/>
  <c r="G41" i="14"/>
  <c r="G40" i="3"/>
  <c r="AF108" i="3"/>
  <c r="G57" i="3"/>
  <c r="W41" i="3"/>
  <c r="AF36" i="3"/>
  <c r="W29" i="3"/>
  <c r="B68" i="3"/>
  <c r="W99" i="3"/>
  <c r="G39" i="3"/>
  <c r="B25" i="3"/>
  <c r="G2" i="14"/>
  <c r="B31" i="3"/>
  <c r="B17" i="3"/>
  <c r="AF44" i="3"/>
  <c r="B18" i="3"/>
  <c r="G18" i="3"/>
  <c r="G31" i="14"/>
  <c r="G6" i="14"/>
  <c r="G45" i="3"/>
  <c r="G81" i="3"/>
  <c r="AF16" i="3"/>
  <c r="B110" i="3"/>
  <c r="G48" i="3"/>
  <c r="W9" i="3"/>
  <c r="G30" i="14"/>
  <c r="G47" i="3"/>
  <c r="B59" i="3"/>
  <c r="W34" i="3"/>
  <c r="AF98" i="3"/>
  <c r="G29" i="3"/>
  <c r="AF59" i="3"/>
  <c r="AF86" i="3"/>
  <c r="AF96" i="3"/>
  <c r="W77" i="3"/>
  <c r="W27" i="3"/>
  <c r="W71" i="3"/>
  <c r="G16" i="14"/>
  <c r="G75" i="3"/>
  <c r="B34" i="3"/>
  <c r="G87" i="3"/>
  <c r="G35" i="14"/>
  <c r="AF7" i="3"/>
  <c r="B20" i="3"/>
  <c r="G99" i="3"/>
  <c r="AF45" i="3"/>
  <c r="B39" i="3"/>
  <c r="AF78" i="3"/>
  <c r="W28" i="3"/>
  <c r="G20" i="3"/>
  <c r="B85" i="3"/>
  <c r="W59" i="3"/>
  <c r="G23" i="14"/>
  <c r="G101" i="3"/>
  <c r="B77" i="3"/>
  <c r="B88" i="3"/>
  <c r="W33" i="3"/>
  <c r="B37" i="3"/>
  <c r="W107" i="3"/>
  <c r="W79" i="3"/>
  <c r="AF51" i="3"/>
  <c r="W39" i="3"/>
  <c r="W101" i="3"/>
  <c r="W49" i="3"/>
  <c r="W50" i="3"/>
  <c r="G36" i="3"/>
  <c r="AF76" i="3"/>
  <c r="AF39" i="3"/>
  <c r="G86" i="3"/>
  <c r="AF14" i="3"/>
  <c r="B97" i="3"/>
  <c r="G43" i="3"/>
  <c r="W20" i="3"/>
  <c r="G35" i="3"/>
  <c r="AF107" i="3"/>
  <c r="B54" i="3"/>
  <c r="G93" i="3"/>
  <c r="B92" i="3"/>
  <c r="AF34" i="3"/>
  <c r="W24" i="3"/>
  <c r="AF89" i="3"/>
  <c r="AF62" i="3"/>
  <c r="G39" i="14"/>
  <c r="B107" i="3"/>
  <c r="B83" i="3"/>
  <c r="G106" i="3"/>
  <c r="W7" i="3"/>
  <c r="G44" i="3"/>
  <c r="W109" i="3"/>
  <c r="W81" i="3"/>
  <c r="G60" i="3"/>
  <c r="AF41" i="3"/>
  <c r="W105" i="3"/>
  <c r="B70" i="3"/>
  <c r="B7" i="3"/>
  <c r="G110" i="3"/>
  <c r="G61" i="3"/>
  <c r="G31" i="3"/>
  <c r="G21" i="14"/>
  <c r="G38" i="3"/>
  <c r="G77" i="3"/>
  <c r="B43" i="3"/>
  <c r="G13" i="3"/>
  <c r="G51" i="3"/>
  <c r="AF85" i="3"/>
  <c r="W60" i="3"/>
  <c r="G9" i="14"/>
  <c r="W30" i="3"/>
  <c r="G24" i="3"/>
  <c r="AF61" i="3"/>
  <c r="G34" i="3"/>
  <c r="G94" i="3"/>
  <c r="G78" i="3"/>
  <c r="W57" i="3"/>
  <c r="G20" i="14"/>
  <c r="W21" i="3"/>
  <c r="AF18" i="3"/>
  <c r="G82" i="3"/>
  <c r="AF56" i="3"/>
  <c r="G11" i="14"/>
  <c r="B100" i="3"/>
  <c r="B72" i="3"/>
  <c r="G7" i="14"/>
  <c r="B90" i="3"/>
  <c r="B62" i="3"/>
  <c r="AF20" i="3"/>
  <c r="B99" i="3"/>
  <c r="G33" i="3"/>
  <c r="W67" i="3"/>
  <c r="B63" i="3"/>
  <c r="B75" i="3"/>
  <c r="B29" i="3"/>
  <c r="G24" i="14"/>
  <c r="AF52" i="3"/>
  <c r="W15" i="3"/>
  <c r="AF100" i="3"/>
  <c r="G108" i="3"/>
  <c r="G3" i="14"/>
  <c r="B28" i="3"/>
  <c r="G97" i="3"/>
  <c r="W97" i="3"/>
  <c r="G83" i="3"/>
  <c r="G37" i="3"/>
  <c r="G69" i="3"/>
  <c r="W82" i="3"/>
  <c r="AF92" i="3"/>
  <c r="AF28" i="3"/>
  <c r="AF82" i="3"/>
  <c r="AF22" i="3"/>
  <c r="G89" i="3"/>
  <c r="B103" i="3"/>
  <c r="G17" i="14"/>
  <c r="AF32" i="3"/>
  <c r="B64" i="3"/>
  <c r="G96" i="3"/>
  <c r="G85" i="3"/>
  <c r="G66" i="3"/>
  <c r="G19" i="3"/>
  <c r="G34" i="14"/>
  <c r="W72" i="3"/>
  <c r="B61" i="3"/>
  <c r="AF29" i="3"/>
  <c r="W44" i="3"/>
  <c r="AF84" i="3"/>
  <c r="W93" i="3"/>
  <c r="W104" i="3"/>
  <c r="B23" i="3"/>
  <c r="W32" i="3"/>
  <c r="W102" i="3"/>
  <c r="B76" i="3"/>
  <c r="AF48" i="3"/>
  <c r="G40" i="14"/>
  <c r="W96" i="3"/>
  <c r="B24" i="3"/>
  <c r="B22" i="3"/>
  <c r="G56" i="3"/>
  <c r="G42" i="14"/>
  <c r="W92" i="3"/>
  <c r="B74" i="3"/>
  <c r="G53" i="3"/>
  <c r="G33" i="14"/>
  <c r="AF77" i="3"/>
  <c r="AF9" i="3"/>
  <c r="G71" i="3"/>
  <c r="W103" i="3"/>
  <c r="G102" i="3"/>
  <c r="B86" i="3"/>
  <c r="G27" i="3"/>
  <c r="B42" i="3"/>
  <c r="B82" i="3"/>
  <c r="AF75" i="3"/>
  <c r="W10" i="3"/>
  <c r="B53" i="3"/>
  <c r="W91" i="3"/>
  <c r="B56" i="3"/>
  <c r="G25" i="14"/>
  <c r="B32" i="3"/>
  <c r="B36" i="3"/>
  <c r="AF106" i="3"/>
  <c r="B79" i="3"/>
  <c r="W51" i="3"/>
  <c r="AF38" i="3"/>
  <c r="B101" i="3"/>
  <c r="AF30" i="3"/>
  <c r="G25" i="3"/>
  <c r="G62" i="3"/>
  <c r="B40" i="3"/>
  <c r="B96" i="3"/>
  <c r="B80" i="3"/>
  <c r="AF57" i="3"/>
  <c r="B47" i="3"/>
  <c r="G100" i="3"/>
  <c r="G15" i="3"/>
  <c r="W55" i="3"/>
  <c r="W94" i="3"/>
  <c r="AF101" i="3"/>
  <c r="G10" i="3"/>
  <c r="B73" i="3"/>
  <c r="AF103" i="3"/>
  <c r="AF105" i="3"/>
  <c r="AF21" i="3"/>
  <c r="AF83" i="3"/>
  <c r="G15" i="14"/>
  <c r="B6" i="3"/>
  <c r="AF67" i="3"/>
  <c r="AF13" i="3"/>
  <c r="B14" i="3"/>
  <c r="G76" i="3"/>
  <c r="G54" i="3"/>
  <c r="AF109" i="3"/>
  <c r="B93" i="3"/>
  <c r="W68" i="3"/>
  <c r="B66" i="3"/>
  <c r="AF17" i="3"/>
  <c r="G30" i="3"/>
  <c r="W98" i="3"/>
  <c r="W74" i="3"/>
  <c r="W45" i="3"/>
  <c r="G28" i="14"/>
  <c r="B94" i="3"/>
  <c r="G109" i="3"/>
  <c r="B8" i="3"/>
  <c r="W108" i="3"/>
  <c r="W19" i="3"/>
  <c r="W100" i="3"/>
  <c r="W6" i="3"/>
  <c r="AF80" i="3"/>
  <c r="AF104" i="3"/>
  <c r="B44" i="3"/>
  <c r="W84" i="3"/>
  <c r="B60" i="3"/>
  <c r="C67" i="3" l="1"/>
  <c r="C21" i="3"/>
  <c r="C32" i="3"/>
  <c r="C86" i="3"/>
  <c r="C91" i="3"/>
  <c r="C12" i="3"/>
  <c r="C46" i="3"/>
  <c r="C71" i="3"/>
  <c r="C90" i="3"/>
  <c r="C66" i="3"/>
  <c r="C37" i="3"/>
  <c r="C53" i="3"/>
  <c r="C41" i="3"/>
  <c r="C78" i="3"/>
  <c r="C26" i="3"/>
  <c r="C35" i="3"/>
  <c r="C80" i="3"/>
  <c r="C103" i="3"/>
  <c r="C106" i="3"/>
  <c r="C75" i="3"/>
  <c r="C9" i="3"/>
  <c r="C48" i="3"/>
  <c r="C28" i="3"/>
  <c r="C56" i="3"/>
  <c r="C34" i="3"/>
  <c r="C107" i="3"/>
  <c r="C76" i="3"/>
  <c r="C7" i="3"/>
  <c r="C108" i="3"/>
  <c r="C50" i="3"/>
  <c r="C60" i="3"/>
  <c r="C33" i="3"/>
  <c r="C99" i="3"/>
  <c r="C93" i="3"/>
  <c r="C72" i="3"/>
  <c r="C79" i="3"/>
  <c r="C49" i="3"/>
  <c r="C70" i="3"/>
  <c r="C11" i="3"/>
  <c r="C8" i="3"/>
  <c r="C73" i="3"/>
  <c r="C25" i="3"/>
  <c r="C40" i="3"/>
  <c r="C22" i="3"/>
  <c r="C18" i="3"/>
  <c r="C85" i="3"/>
  <c r="C89" i="3"/>
  <c r="C51" i="3"/>
  <c r="C24" i="3"/>
  <c r="C10" i="3"/>
  <c r="C94" i="3"/>
  <c r="C27" i="3"/>
  <c r="C104" i="3"/>
  <c r="C105" i="3"/>
  <c r="C101" i="3"/>
  <c r="C30" i="3"/>
  <c r="C84" i="3"/>
  <c r="C82" i="3"/>
  <c r="C100" i="3"/>
  <c r="C39" i="3"/>
  <c r="C59" i="3"/>
  <c r="C63" i="3"/>
  <c r="C58" i="3"/>
  <c r="C64" i="3"/>
  <c r="C88" i="3"/>
  <c r="C74" i="3"/>
  <c r="C97" i="3"/>
  <c r="C68" i="3"/>
  <c r="C95" i="3"/>
  <c r="C55" i="3"/>
  <c r="C17" i="3"/>
  <c r="C109" i="3"/>
  <c r="C13" i="3"/>
  <c r="C83" i="3"/>
  <c r="C57" i="3"/>
  <c r="C38" i="3"/>
  <c r="C77" i="3"/>
  <c r="C29" i="3"/>
  <c r="C92" i="3"/>
  <c r="C52" i="3"/>
  <c r="C20" i="3"/>
  <c r="C61" i="3"/>
  <c r="C62" i="3"/>
  <c r="C14" i="3"/>
  <c r="C45" i="3"/>
  <c r="C96" i="3"/>
  <c r="C98" i="3"/>
  <c r="C16" i="3"/>
  <c r="C36" i="3"/>
  <c r="C47" i="3"/>
  <c r="C87" i="3"/>
  <c r="C6" i="3"/>
  <c r="C65" i="3"/>
  <c r="C110" i="3"/>
  <c r="C54" i="3"/>
  <c r="C69" i="3"/>
  <c r="C81" i="3"/>
  <c r="C19" i="3"/>
  <c r="C15" i="3"/>
  <c r="C23" i="3"/>
  <c r="C102" i="3"/>
  <c r="C31" i="3"/>
  <c r="E21" i="3" a="1"/>
  <c r="E12" i="3" a="1"/>
  <c r="E90" i="3" a="1"/>
  <c r="F66" i="3" a="1"/>
  <c r="E41" i="3" a="1"/>
  <c r="E78" i="3" a="1"/>
  <c r="F80" i="3" a="1"/>
  <c r="F103" i="3" a="1"/>
  <c r="E9" i="3" a="1"/>
  <c r="E48" i="3" a="1"/>
  <c r="F28" i="3" a="1"/>
  <c r="E44" i="3" a="1"/>
  <c r="F33" i="3" a="1"/>
  <c r="E72" i="3" a="1"/>
  <c r="E79" i="3" a="1"/>
  <c r="F11" i="3" a="1"/>
  <c r="E8" i="3" a="1"/>
  <c r="E40" i="3" a="1"/>
  <c r="F22" i="3" a="1"/>
  <c r="E89" i="3" a="1"/>
  <c r="E27" i="3" a="1"/>
  <c r="E101" i="3" a="1"/>
  <c r="E30" i="3" a="1"/>
  <c r="F39" i="3" a="1"/>
  <c r="F59" i="3" a="1"/>
  <c r="E64" i="3" a="1"/>
  <c r="E42" i="3" a="1"/>
  <c r="E95" i="3" a="1"/>
  <c r="F55" i="3" a="1"/>
  <c r="F13" i="3" a="1"/>
  <c r="F83" i="3" a="1"/>
  <c r="E77" i="3" a="1"/>
  <c r="E29" i="3" a="1"/>
  <c r="F92" i="3" a="1"/>
  <c r="E20" i="3" a="1"/>
  <c r="E61" i="3" a="1"/>
  <c r="F45" i="3" a="1"/>
  <c r="F96" i="3" a="1"/>
  <c r="E36" i="3" a="1"/>
  <c r="F47" i="3" a="1"/>
  <c r="E87" i="3" a="1"/>
  <c r="E65" i="3" a="1"/>
  <c r="F110" i="3" a="1"/>
  <c r="F69" i="3" a="1"/>
  <c r="F15" i="3" a="1"/>
  <c r="F23" i="3" a="1"/>
  <c r="E46" i="3" a="1"/>
  <c r="E53" i="3" a="1"/>
  <c r="E26" i="3" a="1"/>
  <c r="F35" i="3" a="1"/>
  <c r="F9" i="3" a="1"/>
  <c r="F56" i="3" a="1"/>
  <c r="E34" i="3" a="1"/>
  <c r="E76" i="3" a="1"/>
  <c r="F108" i="3" a="1"/>
  <c r="E50" i="3" a="1"/>
  <c r="E60" i="3" a="1"/>
  <c r="F93" i="3" a="1"/>
  <c r="F49" i="3" a="1"/>
  <c r="F70" i="3" a="1"/>
  <c r="F18" i="3" a="1"/>
  <c r="F85" i="3" a="1"/>
  <c r="F94" i="3" a="1"/>
  <c r="F104" i="3" a="1"/>
  <c r="E100" i="3" a="1"/>
  <c r="F58" i="3" a="1"/>
  <c r="E74" i="3" a="1"/>
  <c r="E68" i="3" a="1"/>
  <c r="E17" i="3" a="1"/>
  <c r="E92" i="3" a="1"/>
  <c r="F52" i="3" a="1"/>
  <c r="F62" i="3" a="1"/>
  <c r="F14" i="3" a="1"/>
  <c r="E16" i="3" a="1"/>
  <c r="F6" i="3" a="1"/>
  <c r="F81" i="3" a="1"/>
  <c r="F32" i="3" a="1"/>
  <c r="F26" i="3" a="1"/>
  <c r="E103" i="3" a="1"/>
  <c r="F106" i="3" a="1"/>
  <c r="E28" i="3" a="1"/>
  <c r="F8" i="3" a="1"/>
  <c r="F64" i="3" a="1"/>
  <c r="E57" i="3" a="1"/>
  <c r="F29" i="3" a="1"/>
  <c r="E62" i="3" a="1"/>
  <c r="E96" i="3" a="1"/>
  <c r="E98" i="3" a="1"/>
  <c r="E110" i="3" a="1"/>
  <c r="E54" i="3" a="1"/>
  <c r="E23" i="3" a="1"/>
  <c r="E67" i="3" a="1"/>
  <c r="E86" i="3" a="1"/>
  <c r="F91" i="3" a="1"/>
  <c r="E71" i="3" a="1"/>
  <c r="F90" i="3" a="1"/>
  <c r="F53" i="3" a="1"/>
  <c r="F41" i="3" a="1"/>
  <c r="F78" i="3" a="1"/>
  <c r="E35" i="3" a="1"/>
  <c r="E80" i="3" a="1"/>
  <c r="E75" i="3" a="1"/>
  <c r="F48" i="3" a="1"/>
  <c r="E56" i="3" a="1"/>
  <c r="F34" i="3" a="1"/>
  <c r="F107" i="3" a="1"/>
  <c r="F7" i="3" a="1"/>
  <c r="F44" i="3" a="1"/>
  <c r="F60" i="3" a="1"/>
  <c r="E93" i="3" a="1"/>
  <c r="F72" i="3" a="1"/>
  <c r="E70" i="3" a="1"/>
  <c r="E11" i="3" a="1"/>
  <c r="E25" i="3" a="1"/>
  <c r="F40" i="3" a="1"/>
  <c r="E85" i="3" a="1"/>
  <c r="F89" i="3" a="1"/>
  <c r="E51" i="3" a="1"/>
  <c r="E10" i="3" a="1"/>
  <c r="E94" i="3" a="1"/>
  <c r="F105" i="3" a="1"/>
  <c r="F101" i="3" a="1"/>
  <c r="F82" i="3" a="1"/>
  <c r="F100" i="3" a="1"/>
  <c r="F63" i="3" a="1"/>
  <c r="E58" i="3" a="1"/>
  <c r="F74" i="3" a="1"/>
  <c r="F42" i="3" a="1"/>
  <c r="F68" i="3" a="1"/>
  <c r="F109" i="3" a="1"/>
  <c r="E13" i="3" a="1"/>
  <c r="E38" i="3" a="1"/>
  <c r="F77" i="3" a="1"/>
  <c r="E52" i="3" a="1"/>
  <c r="F20" i="3" a="1"/>
  <c r="E14" i="3" a="1"/>
  <c r="E45" i="3" a="1"/>
  <c r="F16" i="3" a="1"/>
  <c r="F36" i="3" a="1"/>
  <c r="E6" i="3" a="1"/>
  <c r="F65" i="3" a="1"/>
  <c r="E43" i="3" a="1"/>
  <c r="E69" i="3" a="1"/>
  <c r="F19" i="3" a="1"/>
  <c r="E15" i="3" a="1"/>
  <c r="F31" i="3" a="1"/>
  <c r="F67" i="3" a="1"/>
  <c r="E32" i="3" a="1"/>
  <c r="F86" i="3" a="1"/>
  <c r="E91" i="3" a="1"/>
  <c r="F71" i="3" a="1"/>
  <c r="F37" i="3" a="1"/>
  <c r="E106" i="3" a="1"/>
  <c r="F75" i="3" a="1"/>
  <c r="E7" i="3" a="1"/>
  <c r="E99" i="3" a="1"/>
  <c r="E73" i="3" a="1"/>
  <c r="F25" i="3" a="1"/>
  <c r="F24" i="3" a="1"/>
  <c r="F10" i="3" a="1"/>
  <c r="E105" i="3" a="1"/>
  <c r="F84" i="3" a="1"/>
  <c r="E82" i="3" a="1"/>
  <c r="E59" i="3" a="1"/>
  <c r="E63" i="3" a="1"/>
  <c r="E88" i="3" a="1"/>
  <c r="E97" i="3" a="1"/>
  <c r="F95" i="3" a="1"/>
  <c r="E109" i="3" a="1"/>
  <c r="F57" i="3" a="1"/>
  <c r="F38" i="3" a="1"/>
  <c r="F98" i="3" a="1"/>
  <c r="F54" i="3" a="1"/>
  <c r="F43" i="3" a="1"/>
  <c r="E19" i="3" a="1"/>
  <c r="F102" i="3" a="1"/>
  <c r="E31" i="3" a="1"/>
  <c r="F21" i="3" a="1"/>
  <c r="F12" i="3" a="1"/>
  <c r="F46" i="3" a="1"/>
  <c r="E66" i="3" a="1"/>
  <c r="E37" i="3" a="1"/>
  <c r="E107" i="3" a="1"/>
  <c r="F76" i="3" a="1"/>
  <c r="E108" i="3" a="1"/>
  <c r="F50" i="3" a="1"/>
  <c r="E33" i="3" a="1"/>
  <c r="F99" i="3" a="1"/>
  <c r="F79" i="3" a="1"/>
  <c r="E49" i="3" a="1"/>
  <c r="F73" i="3" a="1"/>
  <c r="E22" i="3" a="1"/>
  <c r="E18" i="3" a="1"/>
  <c r="F51" i="3" a="1"/>
  <c r="E24" i="3" a="1"/>
  <c r="F27" i="3" a="1"/>
  <c r="E104" i="3" a="1"/>
  <c r="F30" i="3" a="1"/>
  <c r="E84" i="3" a="1"/>
  <c r="E39" i="3" a="1"/>
  <c r="F88" i="3" a="1"/>
  <c r="F97" i="3" a="1"/>
  <c r="E55" i="3" a="1"/>
  <c r="F17" i="3" a="1"/>
  <c r="E83" i="3" a="1"/>
  <c r="F61" i="3" a="1"/>
  <c r="E47" i="3" a="1"/>
  <c r="F87" i="3" a="1"/>
  <c r="E81" i="3" a="1"/>
  <c r="E102" i="3" a="1"/>
  <c r="E102" i="3" l="1"/>
  <c r="E81" i="3"/>
  <c r="F87" i="3"/>
  <c r="E47" i="3"/>
  <c r="F61" i="3"/>
  <c r="E83" i="3"/>
  <c r="F17" i="3"/>
  <c r="E55" i="3"/>
  <c r="F97" i="3"/>
  <c r="F88" i="3"/>
  <c r="E39" i="3"/>
  <c r="E84" i="3"/>
  <c r="F30" i="3"/>
  <c r="E104" i="3"/>
  <c r="F27" i="3"/>
  <c r="E24" i="3"/>
  <c r="F51" i="3"/>
  <c r="E18" i="3"/>
  <c r="E22" i="3"/>
  <c r="F73" i="3"/>
  <c r="E49" i="3"/>
  <c r="F79" i="3"/>
  <c r="F99" i="3"/>
  <c r="E33" i="3"/>
  <c r="F50" i="3"/>
  <c r="E108" i="3"/>
  <c r="F76" i="3"/>
  <c r="E107" i="3"/>
  <c r="E37" i="3"/>
  <c r="E66" i="3"/>
  <c r="F46" i="3"/>
  <c r="F12" i="3"/>
  <c r="F21" i="3"/>
  <c r="E31" i="3"/>
  <c r="F102" i="3"/>
  <c r="E19" i="3"/>
  <c r="F43" i="3"/>
  <c r="F54" i="3"/>
  <c r="F98" i="3"/>
  <c r="F38" i="3"/>
  <c r="F57" i="3"/>
  <c r="E109" i="3"/>
  <c r="F95" i="3"/>
  <c r="E97" i="3"/>
  <c r="E88" i="3"/>
  <c r="E63" i="3"/>
  <c r="E59" i="3"/>
  <c r="E82" i="3"/>
  <c r="F84" i="3"/>
  <c r="E105" i="3"/>
  <c r="F10" i="3"/>
  <c r="F24" i="3"/>
  <c r="F25" i="3"/>
  <c r="E73" i="3"/>
  <c r="E99" i="3"/>
  <c r="E7" i="3"/>
  <c r="F75" i="3"/>
  <c r="E106" i="3"/>
  <c r="F37" i="3"/>
  <c r="F71" i="3"/>
  <c r="E91" i="3"/>
  <c r="F86" i="3"/>
  <c r="E32" i="3"/>
  <c r="F67" i="3"/>
  <c r="F31" i="3"/>
  <c r="E15" i="3"/>
  <c r="F19" i="3"/>
  <c r="E69" i="3"/>
  <c r="E43" i="3"/>
  <c r="F65" i="3"/>
  <c r="E6" i="3"/>
  <c r="F36" i="3"/>
  <c r="F16" i="3"/>
  <c r="E45" i="3"/>
  <c r="E14" i="3"/>
  <c r="F20" i="3"/>
  <c r="E52" i="3"/>
  <c r="F77" i="3"/>
  <c r="E38" i="3"/>
  <c r="E13" i="3"/>
  <c r="F109" i="3"/>
  <c r="F68" i="3"/>
  <c r="F42" i="3"/>
  <c r="F74" i="3"/>
  <c r="E58" i="3"/>
  <c r="F63" i="3"/>
  <c r="F100" i="3"/>
  <c r="F82" i="3"/>
  <c r="F101" i="3"/>
  <c r="F105" i="3"/>
  <c r="E94" i="3"/>
  <c r="E10" i="3"/>
  <c r="E51" i="3"/>
  <c r="F89" i="3"/>
  <c r="E85" i="3"/>
  <c r="F40" i="3"/>
  <c r="E25" i="3"/>
  <c r="E11" i="3"/>
  <c r="E70" i="3"/>
  <c r="F72" i="3"/>
  <c r="E93" i="3"/>
  <c r="F60" i="3"/>
  <c r="F44" i="3"/>
  <c r="F7" i="3"/>
  <c r="F107" i="3"/>
  <c r="F34" i="3"/>
  <c r="E56" i="3"/>
  <c r="F48" i="3"/>
  <c r="E75" i="3"/>
  <c r="E80" i="3"/>
  <c r="E35" i="3"/>
  <c r="F78" i="3"/>
  <c r="F41" i="3"/>
  <c r="F53" i="3"/>
  <c r="F90" i="3"/>
  <c r="E71" i="3"/>
  <c r="F91" i="3"/>
  <c r="E86" i="3"/>
  <c r="E67" i="3"/>
  <c r="E23" i="3"/>
  <c r="E54" i="3"/>
  <c r="E110" i="3"/>
  <c r="E98" i="3"/>
  <c r="E96" i="3"/>
  <c r="E62" i="3"/>
  <c r="F29" i="3"/>
  <c r="E57" i="3"/>
  <c r="F64" i="3"/>
  <c r="F8" i="3"/>
  <c r="E28" i="3"/>
  <c r="F106" i="3"/>
  <c r="E103" i="3"/>
  <c r="F26" i="3"/>
  <c r="F32" i="3"/>
  <c r="F81" i="3"/>
  <c r="F6" i="3"/>
  <c r="E16" i="3"/>
  <c r="F14" i="3"/>
  <c r="F62" i="3"/>
  <c r="F52" i="3"/>
  <c r="E92" i="3"/>
  <c r="E17" i="3"/>
  <c r="E68" i="3"/>
  <c r="E74" i="3"/>
  <c r="F58" i="3"/>
  <c r="E100" i="3"/>
  <c r="F104" i="3"/>
  <c r="F94" i="3"/>
  <c r="F85" i="3"/>
  <c r="F18" i="3"/>
  <c r="F70" i="3"/>
  <c r="F49" i="3"/>
  <c r="F93" i="3"/>
  <c r="E60" i="3"/>
  <c r="E50" i="3"/>
  <c r="F108" i="3"/>
  <c r="E76" i="3"/>
  <c r="E34" i="3"/>
  <c r="F56" i="3"/>
  <c r="F9" i="3"/>
  <c r="F35" i="3"/>
  <c r="E26" i="3"/>
  <c r="E53" i="3"/>
  <c r="E46" i="3"/>
  <c r="F23" i="3"/>
  <c r="F15" i="3"/>
  <c r="F69" i="3"/>
  <c r="F110" i="3"/>
  <c r="E65" i="3"/>
  <c r="E87" i="3"/>
  <c r="F47" i="3"/>
  <c r="E36" i="3"/>
  <c r="F96" i="3"/>
  <c r="F45" i="3"/>
  <c r="E61" i="3"/>
  <c r="E20" i="3"/>
  <c r="F92" i="3"/>
  <c r="E29" i="3"/>
  <c r="E77" i="3"/>
  <c r="F83" i="3"/>
  <c r="F13" i="3"/>
  <c r="F55" i="3"/>
  <c r="E95" i="3"/>
  <c r="E42" i="3"/>
  <c r="E64" i="3"/>
  <c r="F59" i="3"/>
  <c r="F39" i="3"/>
  <c r="E30" i="3"/>
  <c r="E101" i="3"/>
  <c r="E27" i="3"/>
  <c r="E89" i="3"/>
  <c r="F22" i="3"/>
  <c r="E40" i="3"/>
  <c r="E8" i="3"/>
  <c r="F11" i="3"/>
  <c r="E79" i="3"/>
  <c r="E72" i="3"/>
  <c r="F33" i="3"/>
  <c r="E44" i="3"/>
  <c r="F28" i="3"/>
  <c r="E48" i="3"/>
  <c r="E9" i="3"/>
  <c r="F103" i="3"/>
  <c r="F80" i="3"/>
  <c r="E78" i="3"/>
  <c r="E41" i="3"/>
  <c r="F66" i="3"/>
  <c r="E90" i="3"/>
  <c r="E12" i="3"/>
  <c r="E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<sst xmlns="http://schemas.openxmlformats.org/spreadsheetml/2006/main" count="38925" uniqueCount="2848">
  <si>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</si>
  <si>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</si>
  <si>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</si>
  <si>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</si>
  <si>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</si>
  <si>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</si>
  <si>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</si>
  <si>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</si>
  <si>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</si>
  <si>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</si>
  <si>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</si>
  <si>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</si>
  <si>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</si>
  <si>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</si>
  <si>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</si>
  <si>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</si>
  <si>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</si>
  <si>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</si>
  <si>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</si>
  <si>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</si>
  <si>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</si>
  <si>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</si>
  <si>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</si>
  <si>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</si>
  <si>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</si>
  <si>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</si>
  <si>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</si>
  <si>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</si>
  <si>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</si>
  <si>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</si>
  <si>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</si>
  <si>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</si>
  <si>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</si>
  <si>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</si>
  <si>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</si>
  <si>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</si>
  <si>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</si>
  <si>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</si>
  <si>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</si>
  <si>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</si>
  <si>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</si>
  <si>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</si>
  <si>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</si>
  <si>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</si>
  <si>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</si>
  <si>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</si>
  <si>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</si>
  <si>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</si>
  <si>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</si>
  <si>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</si>
  <si>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</si>
  <si>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</si>
  <si>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</si>
  <si>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</si>
  <si>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</si>
  <si>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</si>
  <si>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</si>
  <si>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</si>
  <si>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</si>
  <si>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</si>
  <si>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</si>
  <si>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</si>
  <si>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</si>
  <si>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</si>
  <si>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</si>
  <si>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</si>
  <si>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</si>
  <si>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</si>
  <si>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</si>
  <si>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</si>
  <si>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</si>
  <si>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</si>
  <si>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</si>
  <si>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</si>
  <si>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</si>
  <si>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</si>
  <si>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</si>
  <si>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</si>
  <si>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</si>
  <si>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</si>
  <si>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</si>
  <si>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</si>
  <si>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</si>
  <si>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</si>
  <si>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</si>
  <si>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</si>
  <si>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</si>
  <si>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</si>
  <si>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</si>
  <si>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</si>
  <si>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</si>
  <si>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</si>
  <si>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</si>
  <si>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</si>
  <si>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</si>
  <si>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</si>
  <si>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</si>
  <si>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</si>
  <si>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</si>
  <si>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</si>
  <si>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</si>
  <si>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</si>
  <si>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</si>
  <si>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</si>
  <si>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</si>
  <si>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</si>
  <si>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</si>
  <si>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</si>
  <si>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</si>
  <si>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</si>
  <si>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</si>
  <si>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</si>
  <si>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</si>
  <si>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</si>
  <si>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</si>
  <si>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</si>
  <si>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</si>
  <si>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</si>
  <si>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</si>
  <si>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</si>
  <si>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</si>
  <si>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</si>
  <si>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</si>
  <si>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</si>
  <si>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</si>
  <si>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</si>
  <si>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</si>
  <si>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</si>
  <si>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</si>
  <si>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</si>
  <si>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</si>
  <si>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</si>
  <si>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</si>
  <si>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</si>
  <si>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</si>
  <si>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</si>
  <si>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</si>
  <si>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</si>
  <si>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</si>
  <si>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</si>
  <si>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</si>
  <si>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</si>
  <si>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</si>
  <si>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</si>
  <si>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</si>
  <si>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</si>
  <si>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</si>
  <si>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</si>
  <si>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</si>
  <si>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</si>
  <si>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</si>
  <si>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</si>
  <si>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</si>
  <si>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</si>
  <si>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</si>
  <si>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</si>
  <si>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</si>
  <si>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</si>
  <si>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</si>
  <si>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</si>
  <si>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</si>
  <si>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</si>
  <si>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</si>
  <si>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</si>
  <si>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</si>
  <si>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</si>
  <si>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</si>
  <si>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</si>
  <si>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</si>
  <si>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</si>
  <si>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</si>
  <si>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</si>
  <si>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</si>
  <si>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</si>
  <si>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</si>
  <si>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</si>
  <si>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</si>
  <si>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</si>
  <si>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</si>
  <si>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</si>
  <si>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</si>
  <si>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</si>
  <si>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</si>
  <si>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</si>
  <si>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</si>
  <si>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</si>
  <si>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</si>
  <si>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</si>
  <si>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</si>
  <si>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</si>
  <si>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</si>
  <si>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</si>
  <si>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</si>
  <si>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</si>
  <si>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</si>
  <si>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</si>
  <si>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</si>
  <si>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</si>
  <si>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</si>
  <si>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</si>
  <si>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</si>
  <si>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</si>
  <si>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</si>
  <si>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</si>
  <si>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</si>
  <si>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</si>
  <si>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</si>
  <si>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</si>
  <si>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</si>
  <si>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</si>
  <si>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</si>
  <si>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</si>
  <si>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</si>
  <si>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</si>
  <si>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</si>
  <si>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</si>
  <si>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</si>
  <si>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</si>
  <si>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</si>
  <si>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</si>
  <si>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</si>
  <si>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</si>
  <si>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</si>
  <si>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</si>
  <si>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</si>
  <si>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</si>
  <si>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</si>
  <si>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</si>
  <si>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</si>
  <si>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</si>
  <si>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</si>
  <si>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</si>
  <si>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</si>
  <si>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</si>
  <si>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</si>
  <si>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</si>
  <si>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</si>
  <si>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</si>
  <si>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</si>
  <si>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</si>
  <si>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</si>
  <si>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</si>
  <si>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</si>
  <si>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</si>
  <si>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</si>
  <si>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</si>
  <si>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</si>
  <si>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</si>
  <si>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</si>
  <si>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</si>
  <si>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</si>
  <si>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</si>
  <si>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</si>
  <si>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</si>
  <si>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</si>
  <si>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</si>
  <si>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</si>
  <si>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</si>
  <si>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</si>
  <si>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</si>
  <si>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</si>
  <si>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</si>
  <si>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</si>
  <si>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</si>
  <si>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</si>
  <si>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</si>
  <si>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</si>
  <si>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</si>
  <si>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</si>
  <si>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</si>
  <si>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</si>
  <si>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</si>
  <si>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</si>
  <si>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</si>
  <si>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</si>
  <si>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</si>
  <si>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</si>
  <si>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</si>
  <si>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</si>
  <si>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</si>
  <si>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</si>
  <si>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</si>
  <si>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</si>
  <si>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</si>
  <si>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</si>
  <si>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</si>
  <si>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</si>
  <si>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</si>
  <si>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</si>
  <si>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</si>
  <si>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</si>
  <si>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</si>
  <si>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</si>
  <si>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</si>
  <si>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</si>
  <si>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</si>
  <si>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</si>
  <si>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</si>
  <si>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</si>
  <si>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</si>
  <si>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</si>
  <si>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</si>
  <si>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</si>
  <si>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</si>
  <si>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</si>
  <si>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</si>
  <si>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</si>
  <si>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</si>
  <si>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</si>
  <si>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</si>
  <si>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</si>
  <si>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</si>
  <si>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</si>
  <si>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</si>
  <si>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</si>
  <si>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</si>
  <si>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</si>
  <si>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</si>
  <si>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</si>
  <si>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</si>
  <si>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</si>
  <si>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</si>
  <si>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</si>
  <si>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</si>
  <si>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</si>
  <si>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</si>
  <si>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</si>
  <si>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</si>
  <si>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</si>
  <si>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</si>
  <si>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</si>
  <si>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</si>
  <si>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</si>
  <si>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</si>
  <si>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</si>
  <si>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</si>
  <si>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</si>
  <si>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</si>
  <si>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</si>
  <si>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</si>
  <si>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</si>
  <si>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</si>
  <si>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</si>
  <si>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</si>
  <si>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</si>
  <si>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</si>
  <si>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</si>
  <si>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</si>
  <si>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</si>
  <si>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</si>
  <si>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</si>
  <si>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</si>
  <si>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</si>
  <si>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</si>
  <si>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</si>
  <si>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</si>
  <si>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</si>
  <si>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</si>
  <si>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</si>
  <si>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</si>
  <si>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</si>
  <si>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</si>
  <si>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</si>
  <si>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</si>
  <si>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</si>
  <si>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</si>
  <si>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</si>
  <si>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</si>
  <si>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</si>
  <si>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</si>
  <si>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</si>
  <si>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</si>
  <si>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</si>
  <si>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</si>
  <si>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</si>
  <si>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</si>
  <si>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</si>
  <si>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</si>
  <si>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</si>
  <si>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</si>
  <si>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</si>
  <si>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</si>
  <si>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</si>
  <si>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</si>
  <si>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</si>
  <si>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</si>
  <si>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</si>
  <si>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</si>
  <si>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</si>
  <si>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</si>
  <si>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</si>
  <si>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</si>
  <si>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</si>
  <si>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</si>
  <si>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</si>
  <si>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</si>
  <si>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</si>
  <si>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</si>
  <si>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</si>
  <si>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</si>
  <si>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</si>
  <si>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</si>
  <si>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</si>
  <si>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</si>
  <si>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</si>
  <si>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</si>
  <si>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</si>
  <si>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</si>
  <si>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</si>
  <si>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</si>
  <si>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</si>
  <si>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</si>
  <si>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</si>
  <si>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</si>
  <si>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</si>
  <si>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</si>
  <si>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</si>
  <si>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</si>
  <si>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</si>
  <si>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</si>
  <si>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</si>
  <si>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</si>
  <si>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</si>
  <si>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</si>
  <si>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</si>
  <si>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</si>
  <si>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</si>
  <si>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</si>
  <si>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</si>
  <si>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</si>
  <si>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</si>
  <si>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</si>
  <si>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</si>
  <si>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</si>
  <si>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</si>
  <si>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</si>
  <si>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</si>
  <si>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</si>
  <si>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</si>
  <si>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</si>
  <si>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</si>
  <si>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</si>
  <si>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</si>
  <si>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</si>
  <si>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</si>
  <si>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</si>
  <si>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</si>
  <si>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</si>
  <si>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</si>
  <si>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</si>
  <si>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</si>
  <si>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</si>
  <si>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</si>
  <si>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</si>
  <si>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</si>
  <si>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</si>
  <si>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</si>
  <si>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</si>
  <si>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</si>
  <si>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</si>
  <si>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</si>
  <si>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</si>
  <si>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</si>
  <si>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</si>
  <si>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</si>
  <si>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</si>
  <si>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</si>
  <si>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</si>
  <si>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</si>
  <si>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</si>
  <si>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</si>
  <si>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</si>
  <si>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</si>
  <si>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</si>
  <si>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</si>
  <si>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</si>
  <si>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</si>
  <si>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</si>
  <si>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</si>
  <si>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</si>
  <si>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</si>
  <si>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</si>
  <si>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</si>
  <si>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</si>
  <si>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</si>
  <si>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</si>
  <si>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</si>
  <si>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</si>
  <si>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</si>
  <si>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</si>
  <si>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</si>
  <si>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</si>
  <si>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</si>
  <si>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</si>
  <si>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</si>
  <si>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</si>
  <si>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</si>
  <si>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</si>
  <si>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</si>
  <si>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</si>
  <si>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</si>
  <si>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</si>
  <si>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</si>
  <si>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</si>
  <si>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</si>
  <si>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</si>
  <si>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</si>
  <si>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</si>
  <si>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</si>
  <si>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</si>
  <si>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</si>
  <si>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</si>
  <si>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</si>
  <si>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</si>
  <si>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</si>
  <si>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</si>
  <si>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</si>
  <si>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</si>
  <si>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</si>
  <si>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</si>
  <si>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</si>
  <si>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</si>
  <si>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</si>
  <si>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</si>
  <si>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</si>
  <si>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</si>
  <si>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</si>
  <si>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</si>
  <si>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</si>
  <si>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</si>
  <si>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</si>
  <si>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</si>
  <si>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</si>
  <si>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</si>
  <si>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</si>
  <si>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</si>
  <si>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</si>
  <si>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</si>
  <si>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</si>
  <si>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</si>
  <si>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</si>
  <si>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</si>
  <si>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</si>
  <si>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</si>
  <si>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</si>
  <si>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</si>
  <si>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</si>
  <si>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</si>
  <si>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</si>
  <si>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</si>
  <si>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</si>
  <si>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</si>
  <si>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</si>
  <si>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</si>
  <si>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</si>
  <si>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</si>
  <si>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</si>
  <si>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</si>
  <si>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</si>
  <si>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</si>
  <si>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</si>
  <si>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</si>
  <si>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</si>
  <si>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</si>
  <si>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</si>
  <si>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</si>
  <si>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</si>
  <si>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</si>
  <si>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</si>
  <si>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</si>
  <si>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</si>
  <si>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</si>
  <si>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</si>
  <si>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</si>
  <si>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</si>
  <si>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</si>
  <si>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</si>
  <si>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</si>
  <si>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</si>
  <si>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</si>
  <si>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</si>
  <si>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</si>
  <si>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</si>
  <si>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</si>
  <si>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</si>
  <si>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</si>
  <si>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</si>
  <si>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</si>
  <si>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</si>
  <si>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</si>
  <si>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</si>
  <si>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</si>
  <si>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</si>
  <si>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</si>
  <si>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</si>
  <si>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</si>
  <si>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</si>
  <si>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</si>
  <si>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</si>
  <si>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</si>
  <si>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</si>
  <si>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</si>
  <si>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</si>
  <si>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</si>
  <si>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</si>
  <si>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</si>
  <si>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</si>
  <si>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</si>
  <si>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</si>
  <si>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</si>
  <si>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</si>
  <si>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</si>
  <si>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</si>
  <si>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</si>
  <si>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</si>
  <si>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</si>
  <si>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</si>
  <si>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</si>
  <si>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</si>
  <si>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</si>
  <si>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</si>
  <si>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</si>
  <si>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</si>
  <si>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</si>
  <si>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</si>
  <si>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</si>
  <si>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</si>
  <si>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</si>
  <si>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</si>
  <si>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</si>
  <si>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</si>
  <si>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</si>
  <si>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</si>
  <si>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</si>
  <si>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</si>
  <si>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</si>
  <si>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</si>
  <si>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</si>
  <si>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</si>
  <si>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</si>
  <si>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</si>
  <si>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</si>
  <si>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</si>
  <si>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</si>
  <si>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</si>
  <si>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</si>
  <si>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</si>
  <si>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</si>
  <si>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</si>
  <si>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</si>
  <si>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</si>
  <si>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</si>
  <si>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</si>
  <si>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</si>
  <si>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</si>
  <si>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</si>
  <si>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</si>
  <si>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</si>
  <si>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</si>
  <si>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</si>
  <si>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</si>
  <si>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</si>
  <si>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</si>
  <si>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</si>
  <si>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</si>
  <si>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</si>
  <si>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</si>
  <si>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</si>
  <si>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</si>
  <si>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</si>
  <si>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</si>
  <si>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</si>
  <si>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</si>
  <si>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</si>
  <si>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</si>
  <si>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</si>
  <si>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</si>
  <si>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</si>
  <si>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</si>
  <si>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</si>
  <si>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</si>
  <si>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</si>
  <si>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</si>
  <si>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</si>
  <si>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</si>
  <si>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</si>
  <si>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</si>
  <si>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</si>
  <si>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</si>
  <si>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</si>
  <si>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</si>
  <si>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</si>
  <si>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</si>
  <si>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</si>
  <si>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</si>
  <si>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</si>
  <si>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</si>
  <si>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</si>
  <si>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</si>
  <si>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</si>
  <si>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</si>
  <si>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</si>
  <si>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</si>
  <si>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</si>
  <si>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</si>
  <si>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</si>
  <si>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</si>
  <si>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</si>
  <si>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</si>
  <si>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</si>
  <si>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</si>
  <si>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</si>
  <si>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</si>
  <si>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</si>
  <si>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</si>
  <si>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</si>
  <si>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</si>
  <si>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</si>
  <si>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</si>
  <si>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</si>
  <si>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</si>
  <si>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</si>
  <si>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</si>
  <si>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</si>
  <si>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</si>
  <si>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</si>
  <si>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</si>
  <si>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</si>
  <si>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</si>
  <si>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</si>
  <si>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</si>
  <si>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</si>
  <si>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</si>
  <si>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</si>
  <si>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</si>
  <si>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</si>
  <si>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</si>
  <si>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</si>
  <si>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</si>
  <si>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</si>
  <si>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</si>
  <si>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</si>
  <si>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</si>
  <si>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</si>
  <si>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</si>
  <si>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</si>
  <si>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</si>
  <si>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</si>
  <si>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</si>
  <si>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</si>
  <si>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</si>
  <si>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</si>
  <si>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</si>
  <si>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</si>
  <si>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</si>
  <si>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</si>
  <si>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</si>
  <si>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</si>
  <si>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</si>
  <si>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</si>
  <si>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</si>
  <si>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</si>
  <si>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</si>
  <si>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</si>
  <si>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</si>
  <si>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</si>
  <si>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</si>
  <si>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</si>
  <si>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</si>
  <si>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</si>
  <si>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</si>
  <si>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</si>
  <si>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</si>
  <si>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</si>
  <si>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</si>
  <si>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</si>
  <si>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</si>
  <si>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</si>
  <si>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</si>
  <si>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</si>
  <si>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</si>
  <si>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</si>
  <si>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</si>
  <si>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</si>
  <si>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</si>
  <si>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</si>
  <si>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</si>
  <si>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</si>
  <si>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</si>
  <si>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</si>
  <si>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</si>
  <si>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</si>
  <si>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</si>
  <si>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</si>
  <si>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</si>
  <si>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</si>
  <si>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</si>
  <si>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</si>
  <si>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</si>
  <si>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</si>
  <si>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</si>
  <si>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</si>
  <si>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</si>
  <si>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</si>
  <si>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</si>
  <si>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</si>
  <si>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</si>
  <si>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</si>
  <si>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</si>
  <si>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</si>
  <si>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</si>
  <si>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</si>
  <si>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</si>
  <si>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</si>
  <si>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</si>
  <si>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</si>
  <si>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</si>
  <si>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</si>
  <si>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</si>
  <si>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</si>
  <si>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</si>
  <si>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</si>
  <si>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</si>
  <si>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</si>
  <si>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</si>
  <si>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</si>
  <si>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</si>
  <si>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</si>
  <si>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</si>
  <si>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</si>
  <si>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</si>
  <si>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</si>
  <si>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</si>
  <si>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</si>
  <si>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</si>
  <si>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</si>
  <si>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</si>
  <si>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</si>
  <si>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</si>
  <si>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</si>
  <si>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</si>
  <si>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</si>
  <si>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</si>
  <si>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</si>
  <si>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</si>
  <si>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</si>
  <si>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</si>
  <si>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</si>
  <si>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</si>
  <si>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</si>
  <si>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</si>
  <si>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</si>
  <si>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</si>
  <si>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</si>
  <si>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</si>
  <si>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</si>
  <si>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</si>
  <si>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</si>
  <si>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</si>
  <si>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</si>
  <si>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</si>
  <si>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</si>
  <si>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</si>
  <si>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</si>
  <si>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</si>
  <si>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</si>
  <si>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</si>
  <si>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</si>
  <si>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</si>
  <si>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</si>
  <si>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</si>
  <si>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</si>
  <si>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</si>
  <si>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</si>
  <si>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</si>
  <si>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</si>
  <si>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</si>
  <si>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</si>
  <si>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</si>
  <si>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</si>
  <si>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</si>
  <si>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</si>
  <si>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</si>
  <si>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</si>
  <si>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</si>
  <si>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</si>
  <si>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</si>
  <si>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</si>
  <si>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</si>
  <si>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</si>
  <si>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</si>
  <si>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</si>
  <si>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</si>
  <si>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</si>
  <si>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</si>
  <si>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</si>
  <si>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</si>
  <si>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</si>
  <si>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</si>
  <si>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</si>
  <si>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</si>
  <si>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</si>
  <si>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</si>
  <si>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</si>
  <si>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</si>
  <si>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</si>
  <si>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</si>
  <si>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</si>
  <si>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</si>
  <si>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</si>
  <si>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</si>
  <si>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</si>
  <si>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</si>
  <si>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</si>
  <si>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</si>
  <si>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</si>
  <si>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</si>
  <si>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</si>
  <si>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</si>
  <si>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</si>
  <si>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</si>
  <si>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</si>
  <si>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</si>
  <si>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</si>
  <si>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</si>
  <si>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</si>
  <si>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</si>
  <si>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</si>
  <si>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</si>
  <si>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</si>
  <si>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</si>
  <si>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</si>
  <si>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</si>
  <si>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</si>
  <si>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</si>
  <si>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</si>
  <si>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</si>
  <si>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</si>
  <si>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</si>
  <si>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</si>
  <si>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</si>
  <si>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</si>
  <si>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</si>
  <si>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</si>
  <si>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</si>
  <si>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</si>
  <si>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</si>
  <si>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</si>
  <si>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</si>
  <si>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</si>
  <si>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</si>
  <si>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</si>
  <si>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</si>
  <si>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</si>
  <si>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</si>
  <si>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</si>
  <si>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</si>
  <si>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</si>
  <si>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</si>
  <si>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</si>
  <si>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</si>
  <si>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</si>
  <si>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</si>
  <si>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</si>
  <si>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</si>
  <si>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</si>
  <si>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</si>
  <si>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</si>
  <si>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</si>
  <si>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</si>
  <si>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</si>
  <si>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</si>
  <si>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</si>
  <si>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</si>
  <si>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</si>
  <si>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</si>
  <si>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</si>
  <si>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</si>
  <si>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</si>
  <si>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</si>
  <si>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</si>
  <si>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</si>
  <si>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</si>
  <si>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</si>
  <si>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</si>
  <si>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</si>
  <si>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</si>
  <si>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</si>
  <si>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</si>
  <si>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</si>
  <si>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</si>
  <si>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</si>
  <si>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</si>
  <si>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</si>
  <si>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</si>
  <si>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</si>
  <si>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</si>
  <si>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</si>
  <si>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</si>
  <si>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</si>
  <si>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</si>
  <si>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</si>
  <si>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</si>
  <si>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</si>
  <si>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</si>
  <si>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</si>
  <si>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</si>
  <si>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</si>
  <si>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</si>
  <si>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</si>
  <si>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</si>
  <si>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</si>
  <si>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</si>
  <si>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</si>
  <si>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</si>
  <si>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</si>
  <si>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</si>
  <si>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</si>
  <si>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</si>
  <si>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</si>
  <si>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</si>
  <si>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</si>
  <si>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</si>
  <si>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</si>
  <si>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</si>
  <si>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</si>
  <si>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</si>
  <si>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</si>
  <si>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</si>
  <si>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</si>
  <si>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</si>
  <si>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</si>
  <si>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</si>
  <si>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</si>
  <si>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</si>
  <si>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</si>
  <si>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</si>
  <si>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</si>
  <si>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</si>
  <si>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</si>
  <si>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</si>
  <si>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</si>
  <si>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</si>
  <si>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</si>
  <si>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</si>
  <si>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</si>
  <si>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</si>
  <si>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</si>
  <si>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</si>
  <si>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</si>
  <si>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</si>
  <si>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</si>
  <si>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</si>
  <si>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</si>
  <si>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</si>
  <si>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</si>
  <si>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</si>
  <si>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</si>
  <si>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</si>
  <si>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</si>
  <si>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</si>
  <si>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</si>
  <si>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</si>
  <si>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</si>
  <si>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</si>
  <si>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</si>
  <si>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</si>
  <si>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</si>
  <si>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</si>
  <si>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</si>
  <si>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</si>
  <si>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</si>
  <si>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</si>
  <si>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</si>
  <si>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</si>
  <si>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</si>
  <si>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</si>
  <si>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</si>
  <si>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</si>
  <si>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</si>
  <si>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</si>
  <si>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</si>
  <si>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</si>
  <si>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</si>
  <si>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</si>
  <si>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</si>
  <si>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</si>
  <si>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</si>
  <si>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</si>
  <si>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</si>
  <si>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</si>
  <si>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</si>
  <si>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</si>
  <si>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</si>
  <si>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</si>
  <si>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</si>
  <si>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</si>
  <si>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</si>
  <si>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</si>
  <si>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</si>
  <si>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</si>
  <si>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</si>
  <si>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</si>
  <si>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</si>
  <si>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</si>
  <si>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</si>
  <si>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</si>
  <si>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</si>
  <si>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</si>
  <si>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</si>
  <si>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</si>
  <si>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</si>
  <si>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</si>
  <si>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</si>
  <si>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</si>
  <si>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</si>
  <si>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</si>
  <si>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</si>
  <si>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</si>
  <si>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</si>
  <si>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</si>
  <si>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</si>
  <si>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</si>
  <si>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</si>
  <si>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</si>
  <si>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</si>
  <si>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</si>
  <si>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</si>
  <si>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</si>
  <si>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</si>
  <si>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</si>
  <si>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</si>
  <si>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</si>
  <si>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</si>
  <si>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</si>
  <si>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</si>
  <si>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</si>
  <si>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</si>
  <si>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</si>
  <si>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</si>
  <si>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</si>
  <si>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</si>
  <si>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</si>
  <si>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</si>
  <si>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</si>
  <si>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</si>
  <si>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</si>
  <si>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</si>
  <si>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</si>
  <si>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</si>
  <si>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</si>
  <si>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</si>
  <si>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</si>
  <si>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</si>
  <si>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</si>
  <si>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</si>
  <si>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</si>
  <si>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</si>
  <si>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</si>
  <si>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</si>
  <si>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</si>
  <si>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</si>
  <si>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</si>
  <si>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</si>
  <si>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</si>
  <si>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</si>
  <si>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</si>
  <si>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</si>
  <si>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</si>
  <si>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</si>
  <si>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</si>
  <si>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</si>
  <si>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</si>
  <si>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</si>
  <si>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</si>
  <si>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</si>
  <si>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</si>
  <si>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</si>
  <si>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</si>
  <si>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</si>
  <si>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</si>
  <si>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</si>
  <si>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</si>
  <si>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</si>
  <si>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</si>
  <si>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</si>
  <si>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</si>
  <si>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</si>
  <si>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</si>
  <si>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</si>
  <si>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</si>
  <si>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</si>
  <si>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</si>
  <si>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</si>
  <si>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</si>
  <si>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</si>
  <si>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</si>
  <si>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</si>
  <si>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</si>
  <si>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</si>
  <si>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</si>
  <si>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</si>
  <si>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</si>
  <si>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</si>
  <si>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</si>
  <si>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</si>
  <si>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</si>
  <si>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</si>
  <si>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</si>
  <si>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</si>
  <si>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</si>
  <si>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</si>
  <si>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</si>
  <si>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</si>
  <si>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</si>
  <si>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</si>
  <si>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</si>
  <si>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</si>
  <si>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</si>
  <si>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</si>
  <si>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</si>
  <si>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</si>
  <si>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</si>
  <si>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</si>
  <si>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</si>
  <si>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</si>
  <si>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</si>
  <si>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</si>
  <si>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</si>
  <si>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</si>
  <si>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</si>
  <si>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</si>
  <si>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</si>
  <si>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</si>
  <si>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</si>
  <si>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</si>
  <si>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</si>
  <si>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</si>
  <si>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</si>
  <si>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</si>
  <si>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</si>
  <si>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</si>
  <si>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</si>
  <si>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</si>
  <si>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</si>
  <si>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</si>
  <si>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</si>
  <si>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</si>
  <si>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</si>
  <si>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</si>
  <si>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</si>
  <si>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</si>
  <si>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</si>
  <si>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</si>
  <si>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</si>
  <si>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</si>
  <si>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</si>
  <si>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</si>
  <si>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</si>
  <si>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</si>
  <si>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</si>
  <si>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</si>
  <si>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</si>
  <si>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</si>
  <si>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</si>
  <si>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</si>
  <si>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</si>
  <si>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</si>
  <si>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</si>
  <si>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</si>
  <si>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</si>
  <si>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</si>
  <si>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</si>
  <si>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</si>
  <si>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</si>
  <si>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</si>
  <si>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</si>
  <si>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</si>
  <si>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</si>
  <si>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</si>
  <si>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</si>
  <si>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</si>
  <si>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</si>
  <si>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</si>
  <si>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</si>
  <si>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</si>
  <si>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</si>
  <si>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</si>
  <si>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</si>
  <si>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</si>
  <si>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</si>
  <si>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</si>
  <si>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</si>
  <si>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</si>
  <si>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</si>
  <si>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</si>
  <si>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</si>
  <si>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</si>
  <si>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</si>
  <si>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</si>
  <si>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</si>
  <si>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</si>
  <si>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</si>
  <si>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</si>
  <si>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</si>
  <si>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</si>
  <si>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</si>
  <si>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</si>
  <si>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</si>
  <si>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</si>
  <si>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</si>
  <si>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</si>
  <si>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</si>
  <si>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</si>
  <si>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</si>
  <si>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</si>
  <si>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</si>
  <si>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</si>
  <si>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</si>
  <si>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</si>
  <si>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</si>
  <si>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</si>
  <si>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</si>
  <si>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</si>
  <si>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</si>
  <si>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</si>
  <si>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</si>
  <si>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</si>
  <si>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</si>
  <si>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</si>
  <si>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</si>
  <si>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</si>
  <si>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</si>
  <si>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</si>
  <si>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</si>
  <si>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</si>
  <si>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</si>
  <si>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</si>
  <si>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</si>
  <si>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</si>
  <si>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</si>
  <si>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</si>
  <si>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</si>
  <si>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</si>
  <si>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</si>
  <si>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</si>
  <si>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</si>
  <si>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</si>
  <si>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</si>
  <si>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</si>
  <si>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</si>
  <si>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</si>
  <si>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</si>
  <si>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</si>
  <si>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</si>
  <si>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</si>
  <si>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</si>
  <si>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</si>
  <si>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</si>
  <si>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</si>
  <si>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</si>
  <si>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</si>
  <si>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</si>
  <si>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</si>
  <si>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</si>
  <si>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</si>
  <si>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</si>
  <si>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</si>
  <si>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</si>
  <si>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</si>
  <si>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</si>
  <si>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</si>
  <si>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</si>
  <si>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</si>
  <si>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</si>
  <si>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</si>
  <si>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</si>
  <si>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</si>
  <si>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</si>
  <si>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</si>
  <si>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</si>
  <si>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</si>
  <si>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</si>
  <si>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</si>
  <si>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</si>
  <si>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</si>
  <si>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</si>
  <si>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</si>
  <si>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</si>
  <si>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</si>
  <si>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</si>
  <si>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</si>
  <si>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</si>
  <si>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</si>
  <si>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</si>
  <si>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</si>
  <si>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</si>
  <si>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</si>
  <si>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</si>
  <si>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</si>
  <si>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</si>
  <si>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</si>
  <si>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</si>
  <si>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</si>
  <si>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</si>
  <si>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</si>
  <si>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</si>
  <si>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</si>
  <si>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</si>
  <si>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</si>
  <si>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</si>
  <si>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</si>
  <si>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</si>
  <si>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</si>
  <si>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</si>
  <si>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</si>
  <si>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</si>
  <si>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</si>
  <si>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</si>
  <si>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</si>
  <si>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</si>
  <si>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</si>
  <si>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</si>
  <si>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</si>
  <si>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</si>
  <si>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</si>
  <si>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</si>
  <si>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</si>
  <si>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</si>
  <si>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</si>
  <si>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</si>
  <si>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</si>
  <si>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</si>
  <si>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</si>
  <si>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</si>
  <si>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</si>
  <si>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</si>
  <si>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</si>
  <si>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</si>
  <si>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</si>
  <si>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</si>
  <si>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</si>
  <si>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</si>
  <si>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</si>
  <si>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</si>
  <si>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</si>
  <si>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</si>
  <si>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</si>
  <si>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</si>
  <si>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</si>
  <si>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</si>
  <si>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</si>
  <si>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</si>
  <si>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</si>
  <si>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</si>
  <si>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</si>
  <si>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</si>
  <si>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</si>
  <si>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</si>
  <si>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</si>
  <si>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</si>
  <si>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</si>
  <si>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</si>
  <si>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</si>
  <si>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</si>
  <si>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</si>
  <si>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</si>
  <si>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</si>
  <si>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</si>
  <si>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</si>
  <si>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</si>
  <si>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</si>
  <si>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</si>
  <si>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</si>
  <si>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</si>
  <si>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</si>
  <si>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</si>
  <si>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</si>
  <si>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</si>
  <si>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</si>
  <si>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</si>
  <si>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</si>
  <si>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</si>
  <si>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</si>
  <si>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</si>
  <si>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</si>
  <si>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</si>
  <si>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</si>
  <si>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</si>
  <si>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</si>
  <si>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</si>
  <si>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</si>
  <si>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</si>
  <si>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</si>
  <si>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</si>
  <si>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</si>
  <si>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</si>
  <si>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</si>
  <si>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</si>
  <si>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</si>
  <si>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</si>
  <si>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</si>
  <si>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</si>
  <si>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</si>
  <si>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</si>
  <si>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</si>
  <si>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</si>
  <si>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</si>
  <si>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</si>
  <si>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</si>
  <si>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</si>
  <si>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</si>
  <si>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</si>
  <si>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</si>
  <si>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</si>
  <si>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</si>
  <si>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</si>
  <si>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</si>
  <si>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</si>
  <si>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</si>
  <si>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</si>
  <si>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</si>
  <si>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</si>
  <si>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</si>
  <si>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</si>
  <si>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</si>
  <si>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</si>
  <si>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</si>
  <si>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</si>
  <si>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</si>
  <si>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</si>
  <si>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</si>
  <si>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</si>
  <si>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</si>
  <si>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</si>
  <si>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</si>
  <si>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</si>
  <si>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</si>
  <si>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</si>
  <si>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</si>
  <si>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</si>
  <si>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</si>
  <si>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</si>
  <si>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</si>
  <si>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</si>
  <si>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</si>
  <si>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</si>
  <si>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</si>
  <si>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</si>
  <si>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</si>
  <si>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</si>
  <si>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</si>
  <si>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</si>
  <si>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</si>
  <si>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</si>
  <si>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</si>
  <si>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</si>
  <si>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</si>
  <si>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</si>
  <si>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</si>
  <si>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</si>
  <si>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</si>
  <si>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</si>
  <si>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</si>
  <si>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</si>
  <si>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</si>
  <si>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</si>
  <si>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</si>
  <si>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</si>
  <si>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</si>
  <si>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</si>
  <si>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</si>
  <si>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</si>
  <si>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</si>
  <si>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</si>
  <si>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</si>
  <si>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</si>
  <si>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</si>
  <si>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</si>
  <si>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</si>
  <si>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</si>
  <si>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</si>
  <si>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</si>
  <si>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</si>
  <si>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</si>
  <si>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</si>
  <si>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</si>
  <si>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</si>
  <si>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</si>
  <si>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</si>
  <si>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</si>
  <si>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</si>
  <si>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</si>
  <si>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</si>
  <si>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</si>
  <si>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</si>
  <si>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</si>
  <si>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</si>
  <si>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</si>
  <si>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</si>
  <si>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</si>
  <si>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</si>
  <si>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</si>
  <si>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</si>
  <si>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</si>
  <si>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</si>
  <si>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</si>
  <si>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</si>
  <si>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</si>
  <si>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</si>
  <si>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</si>
  <si>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</si>
  <si>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</si>
  <si>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</si>
  <si>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</si>
  <si>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</si>
  <si>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</si>
  <si>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</si>
  <si>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</si>
  <si>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</si>
  <si>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</si>
  <si>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</si>
  <si>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</si>
  <si>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</si>
  <si>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</si>
  <si>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</si>
  <si>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</si>
  <si>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</si>
  <si>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</si>
  <si>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</si>
  <si>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</si>
  <si>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</si>
  <si>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</si>
  <si>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</si>
  <si>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</si>
  <si>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</si>
  <si>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</si>
  <si>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</si>
  <si>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</si>
  <si>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</si>
  <si>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</si>
  <si>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</si>
  <si>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</si>
  <si>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</si>
  <si>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</si>
  <si>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</si>
  <si>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</si>
  <si>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</si>
  <si>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</si>
  <si>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</si>
  <si>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</si>
  <si>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</si>
  <si>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</si>
  <si>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</si>
  <si>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</si>
  <si>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</si>
  <si>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</si>
  <si>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</si>
  <si>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</si>
  <si>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</si>
  <si>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</si>
  <si>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</si>
  <si>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</si>
  <si>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</si>
  <si>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</si>
  <si>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</si>
  <si>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</si>
  <si>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</si>
  <si>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</si>
  <si>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</si>
  <si>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</si>
  <si>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</si>
  <si>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</si>
  <si>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</si>
  <si>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</si>
  <si>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</si>
  <si>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</si>
  <si>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</si>
  <si>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</si>
  <si>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</si>
  <si>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</si>
  <si>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</si>
  <si>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</si>
  <si>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</si>
  <si>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</si>
  <si>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</si>
  <si>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</si>
  <si>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</si>
  <si>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</si>
  <si>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</si>
  <si>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</si>
  <si>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</si>
  <si>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</si>
  <si>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</si>
  <si>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</si>
  <si>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</si>
  <si>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</si>
  <si>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</si>
  <si>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</si>
  <si>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</si>
  <si>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</si>
  <si>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</si>
  <si>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</si>
  <si>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</si>
  <si>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</si>
  <si>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</si>
  <si>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</si>
  <si>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</si>
  <si>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</si>
  <si>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</si>
  <si>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</si>
  <si>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</si>
  <si>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</si>
  <si>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</si>
  <si>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</si>
  <si>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</si>
  <si>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</si>
  <si>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</si>
  <si>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</si>
  <si>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</si>
  <si>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</si>
  <si>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</si>
  <si>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</si>
  <si>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</si>
  <si>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</si>
  <si>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</si>
  <si>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</si>
  <si>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</si>
  <si>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</si>
  <si>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</si>
  <si>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</si>
  <si>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</si>
  <si>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</si>
  <si>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</si>
  <si>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</si>
  <si>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</si>
  <si>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</si>
  <si>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</si>
  <si>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</si>
  <si>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</si>
  <si>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</si>
  <si>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</si>
  <si>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</si>
  <si>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</si>
  <si>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</si>
  <si>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</si>
  <si>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</si>
  <si>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</si>
  <si>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</si>
  <si>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</si>
  <si>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</si>
  <si>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</si>
  <si>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</si>
  <si>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</si>
  <si>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</si>
  <si>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</si>
  <si>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</si>
  <si>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</si>
  <si>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</si>
  <si>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</si>
  <si>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</si>
  <si>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</si>
  <si>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</si>
  <si>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</si>
  <si>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</si>
  <si>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</si>
  <si>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</si>
  <si>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</si>
  <si>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</si>
  <si>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</si>
  <si>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</si>
  <si>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</si>
  <si>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</si>
  <si>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</si>
  <si>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</si>
  <si>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</si>
  <si>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</si>
  <si>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</si>
  <si>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</si>
  <si>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</si>
  <si>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</si>
  <si>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</si>
  <si>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</si>
  <si>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</si>
  <si>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</si>
  <si>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</si>
  <si>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</si>
  <si>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</si>
  <si>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</si>
  <si>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</si>
  <si>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</si>
  <si>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</si>
  <si>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</si>
  <si>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</si>
  <si>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</si>
  <si>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</si>
  <si>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</si>
  <si>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</si>
  <si>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</si>
  <si>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</si>
  <si>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</si>
  <si>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</si>
  <si>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</si>
  <si>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</si>
  <si>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</si>
  <si>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</si>
  <si>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</si>
  <si>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</si>
  <si>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</si>
  <si>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</si>
  <si>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</si>
  <si>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</si>
  <si>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</si>
  <si>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</si>
  <si>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</si>
  <si>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</si>
  <si>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</si>
  <si>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</si>
  <si>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</si>
  <si>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</si>
  <si>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</si>
  <si>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</si>
  <si>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</si>
  <si>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</si>
  <si>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</si>
  <si>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</si>
  <si>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</si>
  <si>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</si>
  <si>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</si>
  <si>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</si>
  <si>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</si>
  <si>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</si>
  <si>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</si>
  <si>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</si>
  <si>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</si>
  <si>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</si>
  <si>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</si>
  <si>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</si>
  <si>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</si>
  <si>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</si>
  <si>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</si>
  <si>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</si>
  <si>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</si>
  <si>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</si>
  <si>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</si>
  <si>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</si>
  <si>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</si>
  <si>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</si>
  <si>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</si>
  <si>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</si>
  <si>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</si>
  <si>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</si>
  <si>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</si>
  <si>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</si>
  <si>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</si>
  <si>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</si>
  <si>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</si>
  <si>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</si>
  <si>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</si>
  <si>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</si>
  <si>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</si>
  <si>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</si>
  <si>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</si>
  <si>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</si>
  <si>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</si>
  <si>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</si>
  <si>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</si>
  <si>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</si>
  <si>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</si>
  <si>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</si>
  <si>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</si>
  <si>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</si>
  <si>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</si>
  <si>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</si>
  <si>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</si>
  <si>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</si>
  <si>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</si>
  <si>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</si>
  <si>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</si>
  <si>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</si>
  <si>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</si>
  <si>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</si>
  <si>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</si>
  <si>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</si>
  <si>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</si>
  <si>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</si>
  <si>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</si>
  <si>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</si>
  <si>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</si>
  <si>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</si>
  <si>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</si>
  <si>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</si>
  <si>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</si>
  <si>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</si>
  <si>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</si>
  <si>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</si>
  <si>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</si>
  <si>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</si>
  <si>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</si>
  <si>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</si>
  <si>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</si>
  <si>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</si>
  <si>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</si>
  <si>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</si>
  <si>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</si>
  <si>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</si>
  <si>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</si>
  <si>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</si>
  <si>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</si>
  <si>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</si>
  <si>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</si>
  <si>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</si>
  <si>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</si>
  <si>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</si>
  <si>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</si>
  <si>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</si>
  <si>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</si>
  <si>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</si>
  <si>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</si>
  <si>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</si>
  <si>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</si>
  <si>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</si>
  <si>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</si>
  <si>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</si>
  <si>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</si>
  <si>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</si>
  <si>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</si>
  <si>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</si>
  <si>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</si>
  <si>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</si>
  <si>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</si>
  <si>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</si>
  <si>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</si>
  <si>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</si>
  <si>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</si>
  <si>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</si>
  <si>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</si>
  <si>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</si>
  <si>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</si>
  <si>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</si>
  <si>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</si>
  <si>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</si>
  <si>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</si>
  <si>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</si>
  <si>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</si>
  <si>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</si>
  <si>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</si>
  <si>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</si>
  <si>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</si>
  <si>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</si>
  <si>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</si>
  <si>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</si>
  <si>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</si>
  <si>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</si>
  <si>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</si>
  <si>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</si>
  <si>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</si>
  <si>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</si>
  <si>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</si>
  <si>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</si>
  <si>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</si>
  <si>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</si>
  <si>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</si>
  <si>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</si>
  <si>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</si>
  <si>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</si>
  <si>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</si>
  <si>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</si>
  <si>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</si>
  <si>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</si>
  <si>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</si>
  <si>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</si>
  <si>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</si>
  <si>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</si>
  <si>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</si>
  <si>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</si>
  <si>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</si>
  <si>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</si>
  <si>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</si>
  <si>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</si>
  <si>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</si>
  <si>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</si>
  <si>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</si>
  <si>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</si>
  <si>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</si>
  <si>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</si>
  <si>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</si>
  <si>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</si>
  <si>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</si>
  <si>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</si>
  <si>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</si>
  <si>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</si>
  <si>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</si>
  <si>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</si>
  <si>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</si>
  <si>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</si>
  <si>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</si>
  <si>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</si>
  <si>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</si>
  <si>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</si>
  <si>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</si>
  <si>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</si>
  <si>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</si>
  <si>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</si>
  <si>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</si>
  <si>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</si>
  <si>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</si>
  <si>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</si>
  <si>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</si>
  <si>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</si>
  <si>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</si>
  <si>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</si>
  <si>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</si>
  <si>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</si>
  <si>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</si>
  <si>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</si>
  <si>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</si>
  <si>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</si>
  <si>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</si>
  <si>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</si>
  <si>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</si>
  <si>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</si>
  <si>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</si>
  <si>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</si>
  <si>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</si>
  <si>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</si>
  <si>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</si>
  <si>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</si>
  <si>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</si>
  <si>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</si>
  <si>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</si>
  <si>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</si>
  <si>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</si>
  <si>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</si>
  <si>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</si>
  <si>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</si>
  <si>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</si>
  <si>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</si>
  <si>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</si>
  <si>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</si>
  <si>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</si>
  <si>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</si>
  <si>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</si>
  <si>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</si>
  <si>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</si>
  <si>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</si>
  <si>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</si>
  <si>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</si>
  <si>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</si>
  <si>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</si>
  <si>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</si>
  <si>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</si>
  <si>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</si>
  <si>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</si>
  <si>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</si>
  <si>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</si>
  <si>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</si>
  <si>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</si>
  <si>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</si>
  <si>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</si>
  <si>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</si>
  <si>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</si>
  <si>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</si>
  <si>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</si>
  <si>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</si>
  <si>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</si>
  <si>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</si>
  <si>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</si>
  <si>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</si>
  <si>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</si>
  <si>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</si>
  <si>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</si>
  <si>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</si>
  <si>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</si>
  <si>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</si>
  <si>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</si>
  <si>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</si>
  <si>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</si>
  <si>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</si>
  <si>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</si>
  <si>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</si>
  <si>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</si>
  <si>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</si>
  <si>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</si>
  <si>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</si>
  <si>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</si>
  <si>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</si>
  <si>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</si>
  <si>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</si>
  <si>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</si>
  <si>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</si>
  <si>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</si>
  <si>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</si>
  <si>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</si>
  <si>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</si>
  <si>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</si>
  <si>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</si>
  <si>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</si>
  <si>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</si>
  <si>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</si>
  <si>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</si>
  <si>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</si>
  <si>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</si>
  <si>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</si>
  <si>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</si>
  <si>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</si>
  <si>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</si>
  <si>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</si>
  <si>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</si>
  <si>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</si>
  <si>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</si>
  <si>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</si>
  <si>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</si>
  <si>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</si>
  <si>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</si>
  <si>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</si>
  <si>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</si>
  <si>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</si>
  <si>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</si>
  <si>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</si>
  <si>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</si>
  <si>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</si>
  <si>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</si>
  <si>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</si>
  <si>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</si>
  <si>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</si>
  <si>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</si>
  <si>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</si>
  <si>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</si>
  <si>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</si>
  <si>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</si>
  <si>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</si>
  <si>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</si>
  <si>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</si>
  <si>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</si>
  <si>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</si>
  <si>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</si>
  <si>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</si>
  <si>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</si>
  <si>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</si>
  <si>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</si>
  <si>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</si>
  <si>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</si>
  <si>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</si>
  <si>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</si>
  <si>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</si>
  <si>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</si>
  <si>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</si>
  <si>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</si>
  <si>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</si>
  <si>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</si>
  <si>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</si>
  <si>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</si>
  <si>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</si>
  <si>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</si>
  <si>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</si>
  <si>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</si>
  <si>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</si>
  <si>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</si>
  <si>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</si>
  <si>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</si>
  <si>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</si>
  <si>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</si>
  <si>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</si>
  <si>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</si>
  <si>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</si>
  <si>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</si>
  <si>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</si>
  <si>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</si>
  <si>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</si>
  <si>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</si>
  <si>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</si>
  <si>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</si>
  <si>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</si>
  <si>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</si>
  <si>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</si>
  <si>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</si>
  <si>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</si>
  <si>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</si>
  <si>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</si>
  <si>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</si>
  <si>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</si>
  <si>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</si>
  <si>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</si>
  <si>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</si>
  <si>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</si>
  <si>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</si>
  <si>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</si>
  <si>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</si>
  <si>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</si>
  <si>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</si>
  <si>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</si>
  <si>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</si>
  <si>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</si>
  <si>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</si>
  <si>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</si>
  <si>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</si>
  <si>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</si>
  <si>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</si>
  <si>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</si>
  <si>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</si>
  <si>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</si>
  <si>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</si>
  <si>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</si>
  <si>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</si>
  <si>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</si>
  <si>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</si>
  <si>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</si>
  <si>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</si>
  <si>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</si>
  <si>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</si>
  <si>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</si>
  <si>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</si>
  <si>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</si>
  <si>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</si>
  <si>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</si>
  <si>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</si>
  <si>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</si>
  <si>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</si>
  <si>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</si>
  <si>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</si>
  <si>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</si>
  <si>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</si>
  <si>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</si>
  <si>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</si>
  <si>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</si>
  <si>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</si>
  <si>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</si>
  <si>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</si>
  <si>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</si>
  <si>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</si>
  <si>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</si>
  <si>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</si>
  <si>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</si>
  <si>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</si>
  <si>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</si>
  <si>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</si>
  <si>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</si>
  <si>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</si>
  <si>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</si>
  <si>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</si>
  <si>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</si>
  <si>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</si>
  <si>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</si>
  <si>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</si>
  <si>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</si>
  <si>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</si>
  <si>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</si>
  <si>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</si>
  <si>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</si>
  <si>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</si>
  <si>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</si>
  <si>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</si>
  <si>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</si>
  <si>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</si>
  <si>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</si>
  <si>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</si>
  <si>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</si>
  <si>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</si>
  <si>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</si>
  <si>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</si>
  <si>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</si>
  <si>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</si>
  <si>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</si>
  <si>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</si>
  <si>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</si>
  <si>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</si>
  <si>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</si>
  <si>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</si>
  <si>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</si>
  <si>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</si>
  <si>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</si>
  <si>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</si>
  <si>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</si>
  <si>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</si>
  <si>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</si>
  <si>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</si>
  <si>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</si>
  <si>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</si>
  <si>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</si>
  <si>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</si>
  <si>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</si>
  <si>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</si>
  <si>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</si>
  <si>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</si>
  <si>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</si>
  <si>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</si>
  <si>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</si>
  <si>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</si>
  <si>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</si>
  <si>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</si>
  <si>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</si>
  <si>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</si>
  <si>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</si>
  <si>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</si>
  <si>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</si>
  <si>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</si>
  <si>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</si>
  <si>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</si>
  <si>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</si>
  <si>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</si>
  <si>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</si>
  <si>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</si>
  <si>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</si>
  <si>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</si>
  <si>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</si>
  <si>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</si>
  <si>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</si>
  <si>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</si>
  <si>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</si>
  <si>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</si>
  <si>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</si>
  <si>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</si>
  <si>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</si>
  <si>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</si>
  <si>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</si>
  <si>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</si>
  <si>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</si>
  <si>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</si>
  <si>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</si>
  <si>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</si>
  <si>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</si>
  <si>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</si>
  <si>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</si>
  <si>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</si>
  <si>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</si>
  <si>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</si>
  <si>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</si>
  <si>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</si>
  <si>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</si>
  <si>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</si>
  <si>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</si>
  <si>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</si>
  <si>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</si>
  <si>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</si>
  <si>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</si>
  <si>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</si>
  <si>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</si>
  <si>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</si>
  <si>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</si>
  <si>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</si>
  <si>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</si>
  <si>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</si>
  <si>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</si>
  <si>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</si>
  <si>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</si>
  <si>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</si>
  <si>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</si>
  <si>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</si>
  <si>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</si>
  <si>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</si>
  <si>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</si>
  <si>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</si>
  <si>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</si>
  <si>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</si>
  <si>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</si>
  <si>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</si>
  <si>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</si>
  <si>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</si>
  <si>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</si>
  <si>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</si>
  <si>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</si>
  <si>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</si>
  <si>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</si>
  <si>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</si>
  <si>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</si>
  <si>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</si>
  <si>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</si>
  <si>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</si>
  <si>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</si>
  <si>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</si>
  <si>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</si>
  <si>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</si>
  <si>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</si>
  <si>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</si>
  <si>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</si>
  <si>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</si>
  <si>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</si>
  <si>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</si>
  <si>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</si>
  <si>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</si>
  <si>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</si>
  <si>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</si>
  <si>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</si>
  <si>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</si>
  <si>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</si>
  <si>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</si>
  <si>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</si>
  <si>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</si>
  <si>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</si>
  <si>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</si>
  <si>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</si>
  <si>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</si>
  <si>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</si>
  <si>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</si>
  <si>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</si>
  <si>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</si>
  <si>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</si>
  <si>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</si>
  <si>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</si>
  <si>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</si>
  <si>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</si>
  <si>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</si>
  <si>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</si>
  <si>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</si>
  <si>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</si>
  <si>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</si>
  <si>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</si>
  <si>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</si>
  <si>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</si>
  <si>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</si>
  <si>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</si>
  <si>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</si>
  <si>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</si>
  <si>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</si>
  <si>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</si>
  <si>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</si>
  <si>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</si>
  <si>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</si>
  <si>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</si>
  <si>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</si>
  <si>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</si>
  <si>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</si>
  <si>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</si>
  <si>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</si>
  <si>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</si>
  <si>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</si>
  <si>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</si>
  <si>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</si>
  <si>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</si>
  <si>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</si>
  <si>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</si>
  <si>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</si>
  <si>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</si>
  <si>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</si>
  <si>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</si>
  <si>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</si>
  <si>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</si>
  <si>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</si>
  <si>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</si>
  <si>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</si>
  <si>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</si>
  <si>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</si>
  <si>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</si>
  <si>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</si>
  <si>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</si>
  <si>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</si>
  <si>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</si>
  <si>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</si>
  <si>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</si>
  <si>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</si>
  <si>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</si>
  <si>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</si>
  <si>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</si>
  <si>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</si>
  <si>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</si>
  <si>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</si>
  <si>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</si>
  <si>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</si>
  <si>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</si>
  <si>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</si>
  <si>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</si>
  <si>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</si>
  <si>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</si>
  <si>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</si>
  <si>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</si>
  <si>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</si>
  <si>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</si>
  <si>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</si>
  <si>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</si>
  <si>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</si>
  <si>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</si>
  <si>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</si>
  <si>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</si>
  <si>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</si>
  <si>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</si>
  <si>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</si>
  <si>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</si>
  <si>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</si>
  <si>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</si>
  <si>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</si>
  <si>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</si>
  <si>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</si>
  <si>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</si>
  <si>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</si>
  <si>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</si>
  <si>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</si>
  <si>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</si>
  <si>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</si>
  <si>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</si>
  <si>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</si>
  <si>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</si>
  <si>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</si>
  <si>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</si>
  <si>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</si>
  <si>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</si>
  <si>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</si>
  <si>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</si>
  <si>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</si>
  <si>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</si>
  <si>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</si>
  <si>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</si>
  <si>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</si>
  <si>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</si>
  <si>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</si>
  <si>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</si>
  <si>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</si>
  <si>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</si>
  <si>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</si>
  <si>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</si>
  <si>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</si>
  <si>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</si>
  <si>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</si>
  <si>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</si>
  <si>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</si>
  <si>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</si>
  <si>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</si>
  <si>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</si>
  <si>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</si>
  <si>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</si>
  <si>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</si>
  <si>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</si>
  <si>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</si>
  <si>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</si>
  <si>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</si>
  <si>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</si>
  <si>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</si>
  <si>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</si>
  <si>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</si>
  <si>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</si>
  <si>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</si>
  <si>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</si>
  <si>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</si>
  <si>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</si>
  <si>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</si>
  <si>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</si>
  <si>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</si>
  <si>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</si>
  <si>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</si>
  <si>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</si>
  <si>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</si>
  <si>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</si>
  <si>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</si>
  <si>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</si>
  <si>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</si>
  <si>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</si>
  <si>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</si>
  <si>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</si>
  <si>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</si>
  <si>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</si>
  <si>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</si>
  <si>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</si>
  <si>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</si>
  <si>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</si>
  <si>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</si>
  <si>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</si>
  <si>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</si>
  <si>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</si>
  <si>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</si>
  <si>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</si>
  <si>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</si>
  <si>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</si>
  <si>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</si>
  <si>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</si>
  <si>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</si>
  <si>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</si>
  <si>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</si>
  <si>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</si>
  <si>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</si>
  <si>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</si>
  <si>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</si>
  <si>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</si>
  <si>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</si>
  <si>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</si>
  <si>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</si>
  <si>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</si>
  <si>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</si>
  <si>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</si>
  <si>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</si>
  <si>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</si>
  <si>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</si>
  <si>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</si>
  <si>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</si>
  <si>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</si>
  <si>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</si>
  <si>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</si>
  <si>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</si>
  <si>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</si>
  <si>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</si>
  <si>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</si>
  <si>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</si>
  <si>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</si>
  <si>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</si>
  <si>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</si>
  <si>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</si>
  <si>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</si>
  <si>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</si>
  <si>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</si>
  <si>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</si>
  <si>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</si>
  <si>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</si>
  <si>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</si>
  <si>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</si>
  <si>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</si>
  <si>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</si>
  <si>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</si>
  <si>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</si>
  <si>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</si>
  <si>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</si>
  <si>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</si>
  <si>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</si>
  <si>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</si>
  <si>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</si>
  <si>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</si>
  <si>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</si>
  <si>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</si>
  <si>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</si>
  <si>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</si>
  <si>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</si>
  <si>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</si>
  <si>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</si>
  <si>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</si>
  <si>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</si>
  <si>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</si>
  <si>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</si>
  <si>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</si>
  <si>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</si>
  <si>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</si>
  <si>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</si>
  <si>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</si>
  <si>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</si>
  <si>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</si>
  <si>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</si>
  <si>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</si>
  <si>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</si>
  <si>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</si>
  <si>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</si>
  <si>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</si>
  <si>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</si>
  <si>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</si>
  <si>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</si>
  <si>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</si>
  <si>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</si>
  <si>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</si>
  <si>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</si>
  <si>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</si>
  <si>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</si>
  <si>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</si>
  <si>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</si>
  <si>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</si>
  <si>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</si>
  <si>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</si>
  <si>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</si>
  <si>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</si>
  <si>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</si>
  <si>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</si>
  <si>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</si>
  <si>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</si>
  <si>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</si>
  <si>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</si>
  <si>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</si>
  <si>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</si>
  <si>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</si>
  <si>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</si>
  <si>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</si>
  <si>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</si>
  <si>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</si>
  <si>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</si>
  <si>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</si>
  <si>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</si>
  <si>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</si>
  <si>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</si>
  <si>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</si>
  <si>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</si>
  <si>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</si>
  <si>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</si>
  <si>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</si>
  <si>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</si>
  <si>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</si>
  <si>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</si>
  <si>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</si>
  <si>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</si>
  <si>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</si>
  <si>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</si>
  <si>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</si>
  <si>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</si>
  <si>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</si>
  <si>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</si>
  <si>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</si>
  <si>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</si>
  <si>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</si>
  <si>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</si>
  <si>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</si>
  <si>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</si>
  <si>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</si>
  <si>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</si>
  <si>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</si>
  <si>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</si>
  <si>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</si>
  <si>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</si>
  <si>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</si>
  <si>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</si>
  <si>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</si>
  <si>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</si>
  <si>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</si>
  <si>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</si>
  <si>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</si>
  <si>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</si>
  <si>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</si>
  <si>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</si>
  <si>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</si>
  <si>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</si>
  <si>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</si>
  <si>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</si>
  <si>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</si>
  <si>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</si>
  <si>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</si>
  <si>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</si>
  <si>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</si>
  <si>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</si>
  <si>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</si>
  <si>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</si>
  <si>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</si>
  <si>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</si>
  <si>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</si>
  <si>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</si>
  <si>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</si>
  <si>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</si>
  <si>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</si>
  <si>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</si>
  <si>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</si>
  <si>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</si>
  <si>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</si>
  <si>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</si>
  <si>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</si>
  <si>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</si>
  <si>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</si>
  <si>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</si>
  <si>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</si>
  <si>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</si>
  <si>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</si>
  <si>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</si>
  <si>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</si>
  <si>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</si>
  <si>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</si>
  <si>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</si>
  <si>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</si>
  <si>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</si>
  <si>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</si>
  <si>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</si>
  <si>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</si>
  <si>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</si>
  <si>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</si>
  <si>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</si>
  <si>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</si>
  <si>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</si>
  <si>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</si>
  <si>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</si>
  <si>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</si>
  <si>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</si>
  <si>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</si>
  <si>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</si>
  <si>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</si>
  <si>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</si>
  <si>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</si>
  <si>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</si>
  <si>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</si>
  <si>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</si>
  <si>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</si>
  <si>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</si>
  <si>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</si>
  <si>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</si>
  <si>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</si>
  <si>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</si>
  <si>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</si>
  <si>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</si>
  <si>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</si>
  <si>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</si>
  <si>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</si>
  <si>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</si>
  <si>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</si>
  <si>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</si>
  <si>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</si>
  <si>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</si>
  <si>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</si>
  <si>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</si>
  <si>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</si>
  <si>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</si>
  <si>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</si>
  <si>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</si>
  <si>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</si>
  <si>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</si>
  <si>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</si>
  <si>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</si>
  <si>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</si>
  <si>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</si>
  <si>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</si>
  <si>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</si>
  <si>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</si>
  <si>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</si>
  <si>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</si>
  <si>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</si>
  <si>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</si>
  <si>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</si>
  <si>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</si>
  <si>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</si>
  <si>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</si>
  <si>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</si>
  <si>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</si>
  <si>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</si>
  <si>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</si>
  <si>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</si>
  <si>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</si>
  <si>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</si>
  <si>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</si>
  <si>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</si>
  <si>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</si>
  <si>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</si>
  <si>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</si>
  <si>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</si>
  <si>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</si>
  <si>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</si>
  <si>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</si>
  <si>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</si>
  <si>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</si>
  <si>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</si>
  <si>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</si>
  <si>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</si>
  <si>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</si>
  <si>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</si>
  <si>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</si>
  <si>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READINGS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</si>
  <si>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</si>
  <si>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</si>
  <si>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</si>
  <si>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</si>
  <si>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</si>
  <si>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</si>
  <si>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</si>
  <si>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</si>
  <si>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</si>
  <si>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</si>
  <si>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Invalid Range</t>
  </si>
  <si>
    <t>Overlapping Range1_Low</t>
  </si>
  <si>
    <t>Overlapping Range1_High</t>
  </si>
  <si>
    <t>Validated</t>
  </si>
  <si>
    <t>Overlapping Range2_Low</t>
  </si>
  <si>
    <t>Overlapping Range2_High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</si>
</sst>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9" fontId="21" fillId="0" borderId="0" applyFont="0" applyFill="0" applyBorder="0" applyAlignment="0" applyProtection="0"/>
    <xf numFmtId="0" fontId="23" fillId="12" borderId="0" applyNumberFormat="0" applyBorder="0" applyAlignment="0" applyProtection="0"/>
    <xf numFmtId="0" fontId="24" fillId="13" borderId="0" applyNumberFormat="0" applyBorder="0" applyAlignment="0" applyProtection="0"/>
    <xf numFmtId="0" fontId="20" fillId="14" borderId="20" applyNumberFormat="0" applyAlignment="0" applyProtection="0"/>
    <xf numFmtId="0" fontId="25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applyNumberFormat="1"/>
    <xf numFmtId="0" fontId="24" fillId="13" borderId="0" xfId="3" applyNumberFormat="1"/>
    <xf numFmtId="0" fontId="20" fillId="14" borderId="20" xfId="4"/>
    <xf numFmtId="0" fontId="25" fillId="0" borderId="0" xfId="5" applyNumberFormat="1"/>
    <xf numFmtId="0" fontId="23" fillId="12" borderId="20" xfId="2" applyBorder="1"/>
  </cellXfs>
  <cellStyles count="6">
    <cellStyle name="Bad" xfId="2" builtinId="27"/>
    <cellStyle name="Check Cell" xfId="4" builtinId="23"/>
    <cellStyle name="Explanatory Text" xfId="5" builtinId="53"/>
    <cellStyle name="Neutral" xfId="3" builtinId="28"/>
    <cellStyle name="Normal" xfId="0" builtinId="0"/>
    <cellStyle name="Percent" xfId="1" builtinId="5"/>
  </cellStyles>
  <dxfs count="4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39" unboundColumnsRight="8">
    <queryTableFields count="25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38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Y2653" tableType="queryTable" totalsRowShown="0">
  <autoFilter ref="A1:Y2653" xr:uid="{18DCE69B-BBC6-4F05-9814-254690169323}"/>
  <tableColumns count="25">
    <tableColumn id="1" xr3:uid="{BCDC837A-2B70-415C-BE6B-C7611FCE703C}" uniqueName="1" name="Standard" queryTableFieldId="1" dataDxfId="46"/>
    <tableColumn id="2" xr3:uid="{A9226C3B-0866-4CDA-909E-FD089F4670B0}" uniqueName="2" name="Item" queryTableFieldId="2" dataDxfId="45"/>
    <tableColumn id="3" xr3:uid="{45F31C40-D02E-4516-8E83-4DFECE665930}" uniqueName="3" name="Range1_Low" queryTableFieldId="3"/>
    <tableColumn id="4" xr3:uid="{A8BFA707-69C2-41A9-97C7-FC8562417C5B}" uniqueName="4" name="Range1_High" queryTableFieldId="4"/>
    <tableColumn id="23" xr3:uid="{A64B4509-6296-49E1-A6D7-AFB22964F398}" uniqueName="23" name="Res" queryTableFieldId="23"/>
    <tableColumn id="6" xr3:uid="{85F00317-4E8C-460D-ADE2-E99690322E8D}" uniqueName="6" name="Meas_Units" queryTableFieldId="6" dataDxfId="44"/>
    <tableColumn id="7" xr3:uid="{BC451BD3-F2F3-419B-B8CE-65B235FD4C48}" uniqueName="7" name="Uncert_Units" queryTableFieldId="7" dataDxfId="43"/>
    <tableColumn id="8" xr3:uid="{DAA9E9C9-7D2D-473C-9915-90E253118703}" uniqueName="8" name="Range2_Low" queryTableFieldId="8"/>
    <tableColumn id="9" xr3:uid="{1EC1B58C-A844-4EE5-B114-B8CB23532B29}" uniqueName="9" name="Range2_High" queryTableFieldId="9"/>
    <tableColumn id="10" xr3:uid="{07197453-4156-4F36-AC50-B26A30674411}" uniqueName="10" name="Range2_Units" queryTableFieldId="10" dataDxfId="42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41"/>
    <tableColumn id="16" xr3:uid="{9B4FE580-C6B0-4669-A792-5B3283D475E3}" uniqueName="16" name="coil_used" queryTableFieldId="16" dataDxfId="40"/>
    <tableColumn id="17" xr3:uid="{97165B23-498A-4CDD-B75E-A5A1E0E4F703}" uniqueName="17" name="wire_type" queryTableFieldId="17" dataDxfId="39"/>
    <tableColumn id="18" xr3:uid="{6FB69ACB-B11F-4D1D-A6B2-E12106A4E6B0}" uniqueName="18" name="Test Reading" queryTableFieldId="18" dataDxfId="8">
      <calculatedColumnFormula>RAND()*(Validation[[#This Row],[Range1_High]]-Validation[[#This Row],[Range1_Low]])+Validation[[#This Row],[Range1_Low]]</calculatedColumnFormula>
    </tableColumn>
    <tableColumn id="26" xr3:uid="{FA77AAD0-0C1A-4F5E-95CD-B18BAA455524}" uniqueName="26" name="Test Frequency" queryTableFieldId="27" dataDxfId="7">
      <calculatedColumnFormula>Validation[[#This Row],[Range2_High]]</calculatedColumnFormula>
    </tableColumn>
    <tableColumn id="27" xr3:uid="{813BE7A5-A263-4C59-A38B-E6AF03FB6EA7}" uniqueName="27" name="Desired Result" queryTableFieldId="28" dataDxfId="38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37">
      <calculatedColumnFormula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36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35"/>
    <tableColumn id="20" xr3:uid="{32BC5469-11BC-4852-92A8-4B6B222A91D1}" uniqueName="20" name="InvalidRange1" queryTableFieldId="36" dataDxfId="10">
      <calculatedColumnFormula>Validation[[#This Row],[Range1_Low]]&gt;=Validation[[#This Row],[Range1_High]]</calculatedColumnFormula>
    </tableColumn>
    <tableColumn id="5" xr3:uid="{E7AAF967-39E9-4E72-8E49-B5E121A6D1FD}" uniqueName="5" name="Comment" queryTableFieldId="38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G43" totalsRowShown="0" headerRowDxfId="34" tableBorderDxfId="33">
  <autoFilter ref="A1:G43" xr:uid="{42CF0676-E9A5-4A1E-932D-76CCED49199E}"/>
  <tableColumns count="7">
    <tableColumn id="1" xr3:uid="{FA89DE0C-B134-4CE1-9B06-35942C8D876C}" name="Item" dataDxfId="32"/>
    <tableColumn id="2" xr3:uid="{A49F36E4-1EAD-4E4C-9B3D-A22204ADB7A1}" name="special" dataDxfId="31"/>
    <tableColumn id="3" xr3:uid="{3A744755-36EB-4CA2-B58C-C33BB74AEE67}" name="coil_used" dataDxfId="30"/>
    <tableColumn id="4" xr3:uid="{8764BABD-4DA8-4906-8D66-1E5D5CABF326}" name="wire_type" dataDxfId="29"/>
    <tableColumn id="5" xr3:uid="{C501DFC8-BDE8-4E94-8BCE-04683368B747}" name="meas_unit" dataDxfId="28"/>
    <tableColumn id="6" xr3:uid="{0EEF9442-EF9A-4F1B-870B-457F3BE24FB7}" name="secondary_unit" dataDxfId="27"/>
    <tableColumn id="7" xr3:uid="{40191247-7EEA-4E3E-9999-335197959E5F}" name="Polarity" dataDxfId="26">
      <calculatedColumnFormula array="1">GetPolarity(Table3[[#This Row],[meas_unit]],Table3[[#This Row],[secondary_unit]])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Standard" dataDxfId="25"/>
    <tableColumn id="2" xr3:uid="{BB172C60-529D-4396-AA73-9C19FA1C5155}" name="Item" dataDxfId="24"/>
    <tableColumn id="3" xr3:uid="{E9C1A59A-ED27-4B88-9B1E-29A6D97D3E2A}" name="Range1_Low" dataDxfId="23"/>
    <tableColumn id="4" xr3:uid="{2A1EFD98-5873-4087-AED3-C50A413162E1}" name="Range1_High" dataDxfId="22"/>
    <tableColumn id="5" xr3:uid="{0846A209-7F8E-4ACE-A8B8-D0ACB5864346}" name="Res" dataDxfId="21"/>
    <tableColumn id="6" xr3:uid="{FB580057-7846-4706-A622-0CCD9BE8AA37}" name="Meas_Units" dataDxfId="20"/>
    <tableColumn id="7" xr3:uid="{B077B238-F3B3-43B6-9A1A-AACF06D12F00}" name="Uncert_Units" dataDxfId="19"/>
    <tableColumn id="8" xr3:uid="{E53EC664-50D0-4DD7-B23D-1E0E75075DCC}" name="Range2_Low" dataDxfId="18"/>
    <tableColumn id="9" xr3:uid="{B1743536-2D05-4455-8603-D33D6210DE61}" name="Range2_High" dataDxfId="17"/>
    <tableColumn id="10" xr3:uid="{8E230881-6475-4AEE-9D0D-E23679337D61}" name="Range2_Units" dataDxfId="16"/>
    <tableColumn id="11" xr3:uid="{E0886CC1-10E8-4A15-9132-96F22EC633E4}" name="Base" dataDxfId="15"/>
    <tableColumn id="12" xr3:uid="{A4F44AC5-CC84-40FC-8833-CD9CD9BCE922}" name="Mult" dataDxfId="14"/>
    <tableColumn id="13" xr3:uid="{B174B1F2-1ECC-4947-8DCA-3F7BAC37D208}" name="Base2" dataDxfId="13"/>
    <tableColumn id="14" xr3:uid="{375A20EF-FEE9-426C-8FF8-E4C930BF5D2C}" name="Mult2" dataDxfId="12"/>
    <tableColumn id="15" xr3:uid="{DD350654-D067-4C74-B6CC-3900EC0CD7E9}" name="ID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E8" sqref="E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78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66</v>
      </c>
      <c r="F1" s="2"/>
      <c r="G1" s="35"/>
      <c r="H1" s="74"/>
      <c r="I1" s="67"/>
      <c r="J1" s="44"/>
      <c r="K1" s="110" t="s">
        <v>175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3"/>
    </row>
    <row r="2" spans="1:43" ht="18" x14ac:dyDescent="0.25">
      <c r="A2" s="11"/>
      <c r="B2" s="103" t="s">
        <v>67</v>
      </c>
      <c r="C2" s="104"/>
      <c r="D2" s="104"/>
      <c r="E2" s="68"/>
      <c r="F2" s="12"/>
      <c r="G2" s="36"/>
      <c r="H2" s="75"/>
      <c r="I2" s="61"/>
      <c r="J2" s="45"/>
      <c r="K2" s="11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0" t="s">
        <v>25</v>
      </c>
      <c r="AE2" s="41" t="s">
        <v>26</v>
      </c>
      <c r="AF2" s="43"/>
    </row>
    <row r="3" spans="1:43" ht="16.5" customHeight="1" thickBot="1" x14ac:dyDescent="0.3">
      <c r="A3" s="11"/>
      <c r="B3" s="14"/>
      <c r="C3" s="15"/>
      <c r="D3" s="90" t="s">
        <v>27</v>
      </c>
      <c r="E3" s="93">
        <f ca="1">TODAY()</f>
        <v>45162</v>
      </c>
      <c r="F3" s="16"/>
      <c r="G3" s="36"/>
      <c r="H3" s="75"/>
      <c r="I3" s="61"/>
      <c r="J3" s="45"/>
      <c r="K3" s="85">
        <v>45162.423796296294</v>
      </c>
      <c r="L3" s="5"/>
      <c r="M3" s="5"/>
      <c r="N3" s="5"/>
      <c r="O3" s="5"/>
      <c r="P3" s="6"/>
      <c r="S3" s="105" t="s">
        <v>28</v>
      </c>
      <c r="T3" s="38"/>
      <c r="U3" s="8"/>
      <c r="V3" s="9"/>
      <c r="W3" s="8"/>
      <c r="X3" s="8" t="s">
        <v>2832</v>
      </c>
      <c r="Y3" s="8"/>
      <c r="Z3" s="8"/>
      <c r="AA3" s="8"/>
      <c r="AB3" s="8"/>
      <c r="AC3" s="8" t="s">
        <v>11</v>
      </c>
      <c r="AD3" s="8"/>
      <c r="AE3" s="7"/>
      <c r="AF3" s="101" t="s">
        <v>53</v>
      </c>
    </row>
    <row r="4" spans="1:43" ht="15.75" x14ac:dyDescent="0.25">
      <c r="A4" s="1"/>
      <c r="B4" s="15"/>
      <c r="D4" s="15"/>
      <c r="E4" s="15"/>
      <c r="F4" s="15"/>
      <c r="G4" s="36"/>
      <c r="H4" s="75"/>
      <c r="I4" s="61"/>
      <c r="J4" s="45"/>
      <c r="K4" s="17"/>
      <c r="L4" s="34" t="s">
        <v>2831</v>
      </c>
      <c r="M4" s="5"/>
      <c r="N4" s="5"/>
      <c r="O4" s="5"/>
      <c r="P4" s="6"/>
      <c r="S4" s="106"/>
      <c r="T4" s="38"/>
      <c r="U4" s="8"/>
      <c r="V4" s="9"/>
      <c r="W4" s="8"/>
      <c r="X4" s="8" t="s">
        <v>65</v>
      </c>
      <c r="Y4" s="8"/>
      <c r="Z4" s="8"/>
      <c r="AA4" s="8"/>
      <c r="AB4" s="8"/>
      <c r="AC4" s="18"/>
      <c r="AD4" s="18"/>
      <c r="AE4" s="7"/>
      <c r="AF4" s="101"/>
    </row>
    <row r="5" spans="1:43" ht="39" customHeight="1" x14ac:dyDescent="0.25">
      <c r="A5" s="49" t="s">
        <v>30</v>
      </c>
      <c r="B5" s="50" t="s">
        <v>18</v>
      </c>
      <c r="C5" s="51" t="s">
        <v>31</v>
      </c>
      <c r="D5" s="50" t="s">
        <v>32</v>
      </c>
      <c r="E5" s="50" t="s">
        <v>33</v>
      </c>
      <c r="F5" s="50" t="s">
        <v>34</v>
      </c>
      <c r="G5" s="52" t="s">
        <v>35</v>
      </c>
      <c r="H5" s="76" t="s">
        <v>101</v>
      </c>
      <c r="I5" s="47" t="s">
        <v>51</v>
      </c>
      <c r="J5" s="46" t="s">
        <v>52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150</v>
      </c>
      <c r="R5" s="69" t="s">
        <v>151</v>
      </c>
      <c r="S5" s="107"/>
      <c r="T5" s="39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5" t="s">
        <v>17</v>
      </c>
      <c r="AD5" s="108" t="s">
        <v>44</v>
      </c>
      <c r="AE5" s="109"/>
      <c r="AF5" s="102"/>
      <c r="AG5" s="37"/>
      <c r="AH5" s="37"/>
      <c r="AI5" s="37"/>
      <c r="AJ5" s="37"/>
      <c r="AK5" s="37"/>
      <c r="AL5" s="37"/>
      <c r="AM5" s="37"/>
      <c r="AN5" s="37"/>
      <c r="AO5" s="71"/>
      <c r="AP5" s="37"/>
      <c r="AQ5" s="37"/>
    </row>
    <row r="6" spans="1:43" x14ac:dyDescent="0.25">
      <c r="A6" s="11"/>
      <c r="B6" s="53" t="str" cm="1">
        <f t="array" ref="B6">U6&amp;AB6&amp;IfEmpty(S6,V6)</f>
        <v>60 daV</v>
      </c>
      <c r="C6" s="64" t="str">
        <f>IF(OR(V6="°C", V6="°F"), X6 &amp; " " &amp; V6, IF(RIGHT(AF6,2)="Hz", AE6 &amp; " @ " &amp; X6 &amp; AF6, X6 &amp; " " &amp; AF6 &amp; W6 &amp; " " &amp; AE6))</f>
        <v xml:space="preserve">67 daVDC </v>
      </c>
      <c r="D6" s="91">
        <f>IFERROR(AVERAGE(L6:P6),"")</f>
        <v>66.900000000000006</v>
      </c>
      <c r="E6" s="60" t="str" cm="1">
        <f t="array" ref="E6">IfZero(AA6&amp;AF6&amp;W6)</f>
        <v>65daVDC</v>
      </c>
      <c r="F6" s="60" t="str" cm="1">
        <f t="array" ref="F6">IfZero(Z6&amp;AF6&amp;W6)</f>
        <v>69daVDC</v>
      </c>
      <c r="G6" s="54" t="str" cm="1">
        <f t="array" ref="G6:H6">IFERROR(CalcUnc(D6,I6,J6,Q6,R6,T6,V6,AC6,AD6,L6:P6,X6,Y6),"")</f>
        <v>9.2 V</v>
      </c>
      <c r="H6" s="77" t="str">
        <v/>
      </c>
      <c r="I6" s="48"/>
      <c r="J6" s="33" t="s">
        <v>68</v>
      </c>
      <c r="K6" s="30"/>
      <c r="L6" s="95">
        <v>66.900000000000006</v>
      </c>
      <c r="M6" s="96"/>
      <c r="N6" s="96"/>
      <c r="O6" s="96"/>
      <c r="P6" s="97"/>
      <c r="Q6" s="7" t="s">
        <v>153</v>
      </c>
      <c r="S6" s="7"/>
      <c r="T6" s="88">
        <v>0.1</v>
      </c>
      <c r="U6" s="31">
        <v>60</v>
      </c>
      <c r="V6" s="9" t="s">
        <v>170</v>
      </c>
      <c r="W6" s="27" t="str" cm="1">
        <f t="array" ref="W6">GetPolarity(V6,AD6)</f>
        <v>DC</v>
      </c>
      <c r="X6" s="32">
        <v>67</v>
      </c>
      <c r="Y6" s="86">
        <v>2</v>
      </c>
      <c r="Z6" s="89">
        <f>IF(T6&lt;&gt;"",ROUND(X6+Y6,-LOG10(T6)),"")</f>
        <v>69</v>
      </c>
      <c r="AA6" s="89">
        <f>IF(T6&lt;&gt;"",ROUND(X6-Y6,-LOG10(T6)),"")</f>
        <v>65</v>
      </c>
      <c r="AB6" s="28" t="s">
        <v>45</v>
      </c>
      <c r="AC6" s="62"/>
      <c r="AD6" s="63"/>
      <c r="AE6" s="29" t="str">
        <f>IF(RIGHT(AD6,2)="Hz","@ ","")&amp;AC6&amp;AD6</f>
        <v/>
      </c>
      <c r="AF6" s="42" t="str" cm="1">
        <f t="array" ref="AF6">FilterSpecialCharacters(V6)</f>
        <v>daV</v>
      </c>
    </row>
    <row r="7" spans="1:43" x14ac:dyDescent="0.25">
      <c r="A7" s="58" t="s">
        <v>104</v>
      </c>
      <c r="B7" s="55" t="str" cm="1">
        <f t="array" ref="B7">U7&amp;AB7&amp;IfEmpty(S7,V7)</f>
        <v>6 V</v>
      </c>
      <c r="C7" s="56" t="str">
        <f>IF(OR(V7="°C", V7="°F"), X7 &amp; " " &amp; V7, IF(RIGHT(AF7,2)="Hz", AE7 &amp; " @ " &amp; X7 &amp; AF7, X7 &amp; " " &amp; AF7 &amp; W7 &amp; " " &amp; AE7))</f>
        <v>5 VAC @ 500Hz</v>
      </c>
      <c r="D7" s="92">
        <f>IFERROR(AVERAGE(L7:P7),"")</f>
        <v>4.9980000000000002</v>
      </c>
      <c r="E7" s="61" t="str" cm="1">
        <f t="array" ref="E7">IfZero(AA7&amp;AF7&amp;W7)</f>
        <v>4.947VAC</v>
      </c>
      <c r="F7" s="61" t="str" cm="1">
        <f t="array" ref="F7">IfZero(Z7&amp;AF7&amp;W7)</f>
        <v>5.053VAC</v>
      </c>
      <c r="G7" s="57" t="str" cm="1">
        <f t="array" ref="G7:H7">IFERROR(CalcUnc(D7,I7,J7,Q7,R7,T7,V7,AC7,AD7,L7:P7,X7,Y7),"")</f>
        <v>2.5 mV</v>
      </c>
      <c r="H7" s="77" t="str">
        <v/>
      </c>
      <c r="I7" s="48"/>
      <c r="J7" s="33" t="s">
        <v>54</v>
      </c>
      <c r="K7" s="30"/>
      <c r="L7" s="95">
        <v>4.9980000000000002</v>
      </c>
      <c r="M7" s="96"/>
      <c r="N7" s="96"/>
      <c r="O7" s="96"/>
      <c r="P7" s="97"/>
      <c r="S7" s="7"/>
      <c r="T7" s="88">
        <v>1E-3</v>
      </c>
      <c r="U7" s="31">
        <v>6</v>
      </c>
      <c r="V7" s="26" t="s">
        <v>6</v>
      </c>
      <c r="W7" s="27" t="str" cm="1">
        <f t="array" ref="W7">GetPolarity(V7,AD7)</f>
        <v>AC</v>
      </c>
      <c r="X7" s="32">
        <v>5</v>
      </c>
      <c r="Y7" s="86">
        <v>5.2999999999999999E-2</v>
      </c>
      <c r="Z7" s="89">
        <f t="shared" ref="Z7:Z70" si="0">IF(T7&lt;&gt;"",ROUND(X7+Y7,-LOG10(T7)),"")</f>
        <v>5.0529999999999999</v>
      </c>
      <c r="AA7" s="89">
        <f t="shared" ref="AA7:AA70" si="1">IF(T7&lt;&gt;"",ROUND(X7-Y7,-LOG10(T7)),"")</f>
        <v>4.9470000000000001</v>
      </c>
      <c r="AB7" s="28" t="s">
        <v>45</v>
      </c>
      <c r="AC7" s="62">
        <v>500</v>
      </c>
      <c r="AD7" s="63" t="s">
        <v>9</v>
      </c>
      <c r="AE7" s="29" t="str">
        <f t="shared" ref="AE7:AE70" si="2">IF(RIGHT(AD7,2)="Hz","@ ","")&amp;AC7&amp;AD7</f>
        <v>@ 500Hz</v>
      </c>
      <c r="AF7" s="42" t="str" cm="1">
        <f t="array" ref="AF7">FilterSpecialCharacters(V7)</f>
        <v>V</v>
      </c>
    </row>
    <row r="8" spans="1:43" x14ac:dyDescent="0.25">
      <c r="A8" s="11"/>
      <c r="B8" s="53" t="str" cm="1">
        <f t="array" ref="B8">U8&amp;AB8&amp;IfEmpty(S8,V8)</f>
        <v>6 V</v>
      </c>
      <c r="C8" s="64" t="str">
        <f>IF(OR(V8="°C", V8="°F"), X8 &amp; " " &amp; V8, IF(RIGHT(AF8,2)="Hz", AE8 &amp; " @ " &amp; X8 &amp; AF8, X8 &amp; " " &amp; AF8 &amp; W8 &amp; " " &amp; AE8))</f>
        <v>5 VAC @ 1kHz</v>
      </c>
      <c r="D8" s="91">
        <f t="shared" ref="D8:D71" si="3">IFERROR(AVERAGE(L8:P8),"")</f>
        <v>4.9589999999999996</v>
      </c>
      <c r="E8" s="60" t="str" cm="1">
        <f t="array" ref="E8">IfZero(AA8&amp;AF8&amp;W8)</f>
        <v>4.897VAC</v>
      </c>
      <c r="F8" s="60" t="str" cm="1">
        <f t="array" ref="F8">IfZero(Z8&amp;AF8&amp;W8)</f>
        <v>5.103VAC</v>
      </c>
      <c r="G8" s="54" t="str" cm="1">
        <f t="array" ref="G8:H8">IFERROR(CalcUnc(D8,I8,J8,Q8,R8,T8,V8,AC8,AD8,L8:P8,X8,Y8),"")</f>
        <v>2.5 mV</v>
      </c>
      <c r="H8" s="77" t="str">
        <v/>
      </c>
      <c r="I8" s="48"/>
      <c r="J8" s="33" t="s">
        <v>54</v>
      </c>
      <c r="K8" s="30"/>
      <c r="L8" s="95">
        <v>4.9589999999999996</v>
      </c>
      <c r="M8" s="96"/>
      <c r="N8" s="96"/>
      <c r="O8" s="96"/>
      <c r="P8" s="97"/>
      <c r="S8" s="7"/>
      <c r="T8" s="88">
        <v>1E-3</v>
      </c>
      <c r="U8" s="31">
        <v>6</v>
      </c>
      <c r="V8" s="26" t="s">
        <v>6</v>
      </c>
      <c r="W8" s="27" t="str" cm="1">
        <f t="array" ref="W8">GetPolarity(V8,AD8)</f>
        <v>AC</v>
      </c>
      <c r="X8" s="32">
        <v>5</v>
      </c>
      <c r="Y8" s="86">
        <v>0.10299999999999999</v>
      </c>
      <c r="Z8" s="89">
        <f t="shared" si="0"/>
        <v>5.1029999999999998</v>
      </c>
      <c r="AA8" s="89">
        <f t="shared" si="1"/>
        <v>4.8970000000000002</v>
      </c>
      <c r="AB8" s="28" t="s">
        <v>45</v>
      </c>
      <c r="AC8" s="62">
        <v>1</v>
      </c>
      <c r="AD8" s="63" t="s">
        <v>10</v>
      </c>
      <c r="AE8" s="29" t="str">
        <f t="shared" si="2"/>
        <v>@ 1kHz</v>
      </c>
      <c r="AF8" s="42" t="str" cm="1">
        <f t="array" ref="AF8">FilterSpecialCharacters(V8)</f>
        <v>V</v>
      </c>
    </row>
    <row r="9" spans="1:43" x14ac:dyDescent="0.25">
      <c r="A9" s="58"/>
      <c r="B9" s="55" t="str" cm="1">
        <f t="array" ref="B9">U9&amp;AB9&amp;IfEmpty(S9,V9)</f>
        <v>60 V</v>
      </c>
      <c r="C9" s="56" t="str">
        <f>IF(OR(V9="°C", V9="°F"), X9 &amp; " " &amp; V9, IF(RIGHT(AF9,2)="Hz", AE9 &amp; " @ " &amp; X9 &amp; AF9, X9 &amp; " " &amp; AF9 &amp; W9 &amp; " " &amp; AE9))</f>
        <v>50 VAC @ 45Hz</v>
      </c>
      <c r="D9" s="92">
        <f t="shared" si="3"/>
        <v>49.98</v>
      </c>
      <c r="E9" s="61" t="str" cm="1">
        <f t="array" ref="E9">IfZero(AA9&amp;AF9&amp;W9)</f>
        <v>49.47VAC</v>
      </c>
      <c r="F9" s="61" t="str" cm="1">
        <f t="array" ref="F9">IfZero(Z9&amp;AF9&amp;W9)</f>
        <v>50.53VAC</v>
      </c>
      <c r="G9" s="57" t="str" cm="1">
        <f t="array" ref="G9:H9">IFERROR(CalcUnc(D9,I9,J9,Q9,R9,T9,V9,AC9,AD9,L9:P9,X9,Y9),"")</f>
        <v>58 mV</v>
      </c>
      <c r="H9" s="77" t="str">
        <v/>
      </c>
      <c r="I9" s="48"/>
      <c r="J9" s="33" t="s">
        <v>54</v>
      </c>
      <c r="K9" s="30"/>
      <c r="L9" s="95">
        <v>49.98</v>
      </c>
      <c r="M9" s="96"/>
      <c r="N9" s="96"/>
      <c r="O9" s="96"/>
      <c r="P9" s="97"/>
      <c r="S9" s="7"/>
      <c r="T9" s="88">
        <v>0.01</v>
      </c>
      <c r="U9" s="31">
        <v>60</v>
      </c>
      <c r="V9" s="26" t="s">
        <v>6</v>
      </c>
      <c r="W9" s="27" t="str" cm="1">
        <f t="array" ref="W9">GetPolarity(V9,AD9)</f>
        <v>AC</v>
      </c>
      <c r="X9" s="32">
        <v>50</v>
      </c>
      <c r="Y9" s="86">
        <v>0.53</v>
      </c>
      <c r="Z9" s="89">
        <f t="shared" si="0"/>
        <v>50.53</v>
      </c>
      <c r="AA9" s="89">
        <f t="shared" si="1"/>
        <v>49.47</v>
      </c>
      <c r="AB9" s="28" t="s">
        <v>45</v>
      </c>
      <c r="AC9" s="62">
        <v>45</v>
      </c>
      <c r="AD9" s="63" t="s">
        <v>9</v>
      </c>
      <c r="AE9" s="29" t="str">
        <f t="shared" si="2"/>
        <v>@ 45Hz</v>
      </c>
      <c r="AF9" s="42" t="str" cm="1">
        <f t="array" ref="AF9">FilterSpecialCharacters(V9)</f>
        <v>V</v>
      </c>
    </row>
    <row r="10" spans="1:43" x14ac:dyDescent="0.25">
      <c r="A10" s="11"/>
      <c r="B10" s="53" t="str" cm="1">
        <f t="array" ref="B10">U10&amp;AB10&amp;IfEmpty(S10,V10)</f>
        <v>60 V</v>
      </c>
      <c r="C10" s="64" t="str">
        <f t="shared" ref="C10:C71" si="4">IF(OR(V10="°C", V10="°F"), X10 &amp; " " &amp; V10, IF(RIGHT(AF10,2)="Hz", AE10 &amp; " @ " &amp; X10 &amp; AF10, X10 &amp; " " &amp; AF10 &amp; W10 &amp; " " &amp; AE10))</f>
        <v>50 VAC @ 1kHz</v>
      </c>
      <c r="D10" s="91">
        <f t="shared" si="3"/>
        <v>50.12</v>
      </c>
      <c r="E10" s="60" t="str" cm="1">
        <f t="array" ref="E10">IfZero(AA10&amp;AF10&amp;W10)</f>
        <v>48.97VAC</v>
      </c>
      <c r="F10" s="60" t="str" cm="1">
        <f t="array" ref="F10">IfZero(Z10&amp;AF10&amp;W10)</f>
        <v>51.03VAC</v>
      </c>
      <c r="G10" s="54" t="str" cm="1">
        <f t="array" ref="G10:H10">IFERROR(CalcUnc(D10,I10,J10,Q10,R10,T10,V10,AC10,AD10,L10:P10,X10,Y10),"")</f>
        <v>58 mV</v>
      </c>
      <c r="H10" s="77" t="str">
        <v/>
      </c>
      <c r="I10" s="48"/>
      <c r="J10" s="33" t="s">
        <v>54</v>
      </c>
      <c r="K10" s="30"/>
      <c r="L10" s="95">
        <v>50.12</v>
      </c>
      <c r="M10" s="96"/>
      <c r="N10" s="96"/>
      <c r="O10" s="96"/>
      <c r="P10" s="97"/>
      <c r="S10" s="7"/>
      <c r="T10" s="88">
        <v>0.01</v>
      </c>
      <c r="U10" s="31">
        <v>60</v>
      </c>
      <c r="V10" s="26" t="s">
        <v>6</v>
      </c>
      <c r="W10" s="27" t="str" cm="1">
        <f t="array" ref="W10">GetPolarity(V10,AD10)</f>
        <v>AC</v>
      </c>
      <c r="X10" s="32">
        <v>50</v>
      </c>
      <c r="Y10" s="86">
        <v>1.03</v>
      </c>
      <c r="Z10" s="89">
        <f t="shared" si="0"/>
        <v>51.03</v>
      </c>
      <c r="AA10" s="89">
        <f t="shared" si="1"/>
        <v>48.97</v>
      </c>
      <c r="AB10" s="28" t="s">
        <v>45</v>
      </c>
      <c r="AC10" s="62">
        <v>1</v>
      </c>
      <c r="AD10" s="63" t="s">
        <v>10</v>
      </c>
      <c r="AE10" s="29" t="str">
        <f t="shared" si="2"/>
        <v>@ 1kHz</v>
      </c>
      <c r="AF10" s="42" t="str" cm="1">
        <f t="array" ref="AF10">FilterSpecialCharacters(V10)</f>
        <v>V</v>
      </c>
    </row>
    <row r="11" spans="1:43" x14ac:dyDescent="0.25">
      <c r="A11" s="58"/>
      <c r="B11" s="55" t="str" cm="1">
        <f t="array" ref="B11">U11&amp;AB11&amp;IfEmpty(S11,V11)</f>
        <v>600 V</v>
      </c>
      <c r="C11" s="56" t="str">
        <f t="shared" si="4"/>
        <v>300 VAC @ 45Hz</v>
      </c>
      <c r="D11" s="92">
        <f t="shared" si="3"/>
        <v>300.2</v>
      </c>
      <c r="E11" s="61" t="str" cm="1">
        <f t="array" ref="E11">IfZero(AA11&amp;AF11&amp;W11)</f>
        <v>296.7VAC</v>
      </c>
      <c r="F11" s="61" t="str" cm="1">
        <f t="array" ref="F11">IfZero(Z11&amp;AF11&amp;W11)</f>
        <v>303.3VAC</v>
      </c>
      <c r="G11" s="57" t="str" cm="1">
        <f t="array" ref="G11:H11">IFERROR(CalcUnc(D11,I11,J11,Q11,R11,T11,V11,AC11,AD11,L11:P11,X11,Y11),"")</f>
        <v>190 mV</v>
      </c>
      <c r="H11" s="77" t="str">
        <v/>
      </c>
      <c r="I11" s="48"/>
      <c r="J11" s="33" t="s">
        <v>54</v>
      </c>
      <c r="K11" s="30"/>
      <c r="L11" s="95">
        <v>300.2</v>
      </c>
      <c r="M11" s="96"/>
      <c r="N11" s="96"/>
      <c r="O11" s="96"/>
      <c r="P11" s="97"/>
      <c r="S11" s="7"/>
      <c r="T11" s="88">
        <v>0.1</v>
      </c>
      <c r="U11" s="31">
        <v>600</v>
      </c>
      <c r="V11" s="26" t="s">
        <v>6</v>
      </c>
      <c r="W11" s="27" t="str" cm="1">
        <f t="array" ref="W11">GetPolarity(V11,AD11)</f>
        <v>AC</v>
      </c>
      <c r="X11" s="32">
        <v>300</v>
      </c>
      <c r="Y11" s="86">
        <v>3.3</v>
      </c>
      <c r="Z11" s="89">
        <f t="shared" si="0"/>
        <v>303.3</v>
      </c>
      <c r="AA11" s="89">
        <f t="shared" si="1"/>
        <v>296.7</v>
      </c>
      <c r="AB11" s="28" t="s">
        <v>45</v>
      </c>
      <c r="AC11" s="62">
        <v>45</v>
      </c>
      <c r="AD11" s="63" t="s">
        <v>9</v>
      </c>
      <c r="AE11" s="29" t="str">
        <f t="shared" si="2"/>
        <v>@ 45Hz</v>
      </c>
      <c r="AF11" s="42" t="str" cm="1">
        <f t="array" ref="AF11">FilterSpecialCharacters(V11)</f>
        <v>V</v>
      </c>
    </row>
    <row r="12" spans="1:43" x14ac:dyDescent="0.25">
      <c r="A12" s="11"/>
      <c r="B12" s="53" t="str" cm="1">
        <f t="array" ref="B12">U12&amp;AB12&amp;IfEmpty(S12,V12)</f>
        <v>600 V</v>
      </c>
      <c r="C12" s="64" t="str">
        <f t="shared" si="4"/>
        <v>500 VAC @ 500Hz</v>
      </c>
      <c r="D12" s="91">
        <f t="shared" si="3"/>
        <v>501.1</v>
      </c>
      <c r="E12" s="60" t="str" cm="1">
        <f t="array" ref="E12">IfZero(AA12&amp;AF12&amp;W12)</f>
        <v>494.7VAC</v>
      </c>
      <c r="F12" s="60" t="str" cm="1">
        <f t="array" ref="F12">IfZero(Z12&amp;AF12&amp;W12)</f>
        <v>505.3VAC</v>
      </c>
      <c r="G12" s="54" t="str" cm="1">
        <f t="array" ref="G12:H12">IFERROR(CalcUnc(D12,I12,J12,Q12,R12,T12,V12,AC12,AD12,L12:P12,X12,Y12),"")</f>
        <v>670 mV</v>
      </c>
      <c r="H12" s="77" t="str">
        <v/>
      </c>
      <c r="I12" s="48"/>
      <c r="J12" s="33" t="s">
        <v>54</v>
      </c>
      <c r="K12" s="30"/>
      <c r="L12" s="95">
        <v>501.1</v>
      </c>
      <c r="M12" s="95"/>
      <c r="N12" s="96"/>
      <c r="O12" s="96"/>
      <c r="P12" s="97"/>
      <c r="S12" s="7"/>
      <c r="T12" s="88">
        <v>0.1</v>
      </c>
      <c r="U12" s="31">
        <v>600</v>
      </c>
      <c r="V12" s="26" t="s">
        <v>6</v>
      </c>
      <c r="W12" s="27" t="str" cm="1">
        <f t="array" ref="W12">GetPolarity(V12,AD12)</f>
        <v>AC</v>
      </c>
      <c r="X12" s="32">
        <v>500</v>
      </c>
      <c r="Y12" s="86">
        <v>5.3</v>
      </c>
      <c r="Z12" s="89">
        <f t="shared" si="0"/>
        <v>505.3</v>
      </c>
      <c r="AA12" s="89">
        <f t="shared" si="1"/>
        <v>494.7</v>
      </c>
      <c r="AB12" s="28" t="s">
        <v>45</v>
      </c>
      <c r="AC12" s="62">
        <v>500</v>
      </c>
      <c r="AD12" s="63" t="s">
        <v>9</v>
      </c>
      <c r="AE12" s="29" t="str">
        <f t="shared" si="2"/>
        <v>@ 500Hz</v>
      </c>
      <c r="AF12" s="42" t="str" cm="1">
        <f t="array" ref="AF12">FilterSpecialCharacters(V12)</f>
        <v>V</v>
      </c>
    </row>
    <row r="13" spans="1:43" x14ac:dyDescent="0.25">
      <c r="A13" s="58"/>
      <c r="B13" s="55" t="str" cm="1">
        <f t="array" ref="B13">U13&amp;AB13&amp;IfEmpty(S13,V13)</f>
        <v>600 V</v>
      </c>
      <c r="C13" s="56" t="str">
        <f t="shared" si="4"/>
        <v>500 VAC @ 1kHz</v>
      </c>
      <c r="D13" s="92">
        <f t="shared" si="3"/>
        <v>501</v>
      </c>
      <c r="E13" s="61" t="str" cm="1">
        <f t="array" ref="E13">IfZero(AA13&amp;AF13&amp;W13)</f>
        <v>489.7VAC</v>
      </c>
      <c r="F13" s="61" t="str" cm="1">
        <f t="array" ref="F13">IfZero(Z13&amp;AF13&amp;W13)</f>
        <v>510.3VAC</v>
      </c>
      <c r="G13" s="57" t="str" cm="1">
        <f t="array" ref="G13:H13">IFERROR(CalcUnc(D13,I13,J13,Q13,R13,T13,V13,AC13,AD13,L13:P13,X13,Y13),"")</f>
        <v>670 mV</v>
      </c>
      <c r="H13" s="77" t="str">
        <v/>
      </c>
      <c r="I13" s="48"/>
      <c r="J13" s="33" t="s">
        <v>54</v>
      </c>
      <c r="K13" s="30"/>
      <c r="L13" s="95">
        <v>501</v>
      </c>
      <c r="M13" s="96"/>
      <c r="N13" s="96"/>
      <c r="O13" s="96"/>
      <c r="P13" s="97"/>
      <c r="S13" s="7"/>
      <c r="T13" s="88">
        <v>0.1</v>
      </c>
      <c r="U13" s="31">
        <v>600</v>
      </c>
      <c r="V13" s="26" t="s">
        <v>6</v>
      </c>
      <c r="W13" s="27" t="str" cm="1">
        <f t="array" ref="W13">GetPolarity(V13,AD13)</f>
        <v>AC</v>
      </c>
      <c r="X13" s="32">
        <v>500</v>
      </c>
      <c r="Y13" s="31">
        <v>10.3</v>
      </c>
      <c r="Z13" s="89">
        <f t="shared" si="0"/>
        <v>510.3</v>
      </c>
      <c r="AA13" s="89">
        <f t="shared" si="1"/>
        <v>489.7</v>
      </c>
      <c r="AB13" s="28" t="s">
        <v>45</v>
      </c>
      <c r="AC13" s="32">
        <v>1</v>
      </c>
      <c r="AD13" s="31" t="s">
        <v>10</v>
      </c>
      <c r="AE13" s="29" t="str">
        <f t="shared" si="2"/>
        <v>@ 1kHz</v>
      </c>
      <c r="AF13" s="42" t="str" cm="1">
        <f t="array" ref="AF13">FilterSpecialCharacters(V13)</f>
        <v>V</v>
      </c>
    </row>
    <row r="14" spans="1:43" x14ac:dyDescent="0.25">
      <c r="A14" s="11"/>
      <c r="B14" s="53" t="str" cm="1">
        <f t="array" ref="B14">U14&amp;AB14&amp;IfEmpty(S14,V14)</f>
        <v>1000 V</v>
      </c>
      <c r="C14" s="64" t="str">
        <f t="shared" si="4"/>
        <v>1000 VAC @ 45Hz</v>
      </c>
      <c r="D14" s="91">
        <f t="shared" si="3"/>
        <v>1002</v>
      </c>
      <c r="E14" s="60" t="str" cm="1">
        <f t="array" ref="E14">IfZero(AA14&amp;AF14&amp;W14)</f>
        <v>987VAC</v>
      </c>
      <c r="F14" s="60" t="str" cm="1">
        <f t="array" ref="F14">IfZero(Z14&amp;AF14&amp;W14)</f>
        <v>1013VAC</v>
      </c>
      <c r="G14" s="54" t="str" cm="1">
        <f t="array" ref="G14:H14">IFERROR(CalcUnc(D14,I14,J14,Q14,R14,T14,V14,AC14,AD14,L14:P14,X14,Y14),"")</f>
        <v>5800 mV</v>
      </c>
      <c r="H14" s="77" t="str">
        <v/>
      </c>
      <c r="I14" s="48"/>
      <c r="J14" s="33" t="s">
        <v>54</v>
      </c>
      <c r="K14" s="30"/>
      <c r="L14" s="95">
        <v>1002</v>
      </c>
      <c r="M14" s="96"/>
      <c r="N14" s="96"/>
      <c r="O14" s="96"/>
      <c r="P14" s="97"/>
      <c r="S14" s="7"/>
      <c r="T14" s="88">
        <v>1</v>
      </c>
      <c r="U14" s="31">
        <v>1000</v>
      </c>
      <c r="V14" s="26" t="s">
        <v>6</v>
      </c>
      <c r="W14" s="27" t="str" cm="1">
        <f t="array" ref="W14">GetPolarity(V14,AD14)</f>
        <v>AC</v>
      </c>
      <c r="X14" s="32">
        <v>1000</v>
      </c>
      <c r="Y14" s="31">
        <v>13</v>
      </c>
      <c r="Z14" s="89">
        <f t="shared" si="0"/>
        <v>1013</v>
      </c>
      <c r="AA14" s="89">
        <f t="shared" si="1"/>
        <v>987</v>
      </c>
      <c r="AB14" s="28" t="s">
        <v>45</v>
      </c>
      <c r="AC14" s="32">
        <v>45</v>
      </c>
      <c r="AD14" s="31" t="s">
        <v>9</v>
      </c>
      <c r="AE14" s="29" t="str">
        <f t="shared" si="2"/>
        <v>@ 45Hz</v>
      </c>
      <c r="AF14" s="42" t="str" cm="1">
        <f t="array" ref="AF14">FilterSpecialCharacters(V14)</f>
        <v>V</v>
      </c>
    </row>
    <row r="15" spans="1:43" x14ac:dyDescent="0.25">
      <c r="A15" s="58"/>
      <c r="B15" s="55" t="str" cm="1">
        <f t="array" ref="B15">U15&amp;AB15&amp;IfEmpty(S15,V15)</f>
        <v/>
      </c>
      <c r="C15" s="56" t="str">
        <f t="shared" si="4"/>
        <v xml:space="preserve">  </v>
      </c>
      <c r="D15" s="92" t="str">
        <f t="shared" si="3"/>
        <v/>
      </c>
      <c r="E15" s="61" t="str" cm="1">
        <f t="array" ref="E15">IfZero(AA15&amp;AF15&amp;W15)</f>
        <v/>
      </c>
      <c r="F15" s="61" t="str" cm="1">
        <f t="array" ref="F15">IfZero(Z15&amp;AF15&amp;W15)</f>
        <v/>
      </c>
      <c r="G15" s="57" t="str" cm="1">
        <f t="array" ref="G15">IFERROR(CalcUnc(D15,I15,J15,Q15,R15,T15,V15,AC15,AD15,L15:P15,X15,Y15),"")</f>
        <v/>
      </c>
      <c r="H15" s="77"/>
      <c r="I15" s="48"/>
      <c r="J15" s="33"/>
      <c r="K15" s="30"/>
      <c r="L15" s="95"/>
      <c r="M15" s="96"/>
      <c r="N15" s="96"/>
      <c r="O15" s="96"/>
      <c r="P15" s="97"/>
      <c r="S15" s="7"/>
      <c r="T15" s="88"/>
      <c r="U15" s="31"/>
      <c r="V15" s="26"/>
      <c r="W15" s="27" t="str" cm="1">
        <f t="array" ref="W15">GetPolarity(V15,AD15)</f>
        <v/>
      </c>
      <c r="X15" s="32"/>
      <c r="Y15" s="31"/>
      <c r="Z15" s="89" t="str">
        <f t="shared" si="0"/>
        <v/>
      </c>
      <c r="AA15" s="89" t="str">
        <f t="shared" si="1"/>
        <v/>
      </c>
      <c r="AB15" s="28"/>
      <c r="AC15" s="32"/>
      <c r="AD15" s="31"/>
      <c r="AE15" s="29" t="str">
        <f t="shared" si="2"/>
        <v/>
      </c>
      <c r="AF15" s="42" t="str" cm="1">
        <f t="array" ref="AF15">FilterSpecialCharacters(V15)</f>
        <v/>
      </c>
      <c r="AN15" s="59"/>
    </row>
    <row r="16" spans="1:43" x14ac:dyDescent="0.25">
      <c r="A16" s="11"/>
      <c r="B16" s="53" t="str" cm="1">
        <f t="array" ref="B16">U16&amp;AB16&amp;IfEmpty(S16,V16)</f>
        <v/>
      </c>
      <c r="C16" s="64" t="str">
        <f t="shared" si="4"/>
        <v xml:space="preserve">  </v>
      </c>
      <c r="D16" s="91" t="str">
        <f t="shared" si="3"/>
        <v/>
      </c>
      <c r="E16" s="60" t="str" cm="1">
        <f t="array" ref="E16">IfZero(AA16&amp;AF16&amp;W16)</f>
        <v/>
      </c>
      <c r="F16" s="60" t="str" cm="1">
        <f t="array" ref="F16">IfZero(Z16&amp;AF16&amp;W16)</f>
        <v/>
      </c>
      <c r="G16" s="54" t="str" cm="1">
        <f t="array" ref="G16">IFERROR(CalcUnc(D16,I16,J16,Q16,R16,T16,V16,AC16,AD16,L16:P16,X16,Y16),"")</f>
        <v/>
      </c>
      <c r="H16" s="77"/>
      <c r="I16" s="48"/>
      <c r="J16" s="33"/>
      <c r="K16" s="30"/>
      <c r="L16" s="95"/>
      <c r="M16" s="96"/>
      <c r="N16" s="96"/>
      <c r="O16" s="96"/>
      <c r="P16" s="97"/>
      <c r="S16" s="7"/>
      <c r="T16" s="88"/>
      <c r="U16" s="31"/>
      <c r="V16" s="26"/>
      <c r="W16" s="27" t="str" cm="1">
        <f t="array" ref="W16">GetPolarity(V16,AD16)</f>
        <v/>
      </c>
      <c r="X16" s="32"/>
      <c r="Y16" s="31"/>
      <c r="Z16" s="89" t="str">
        <f t="shared" si="0"/>
        <v/>
      </c>
      <c r="AA16" s="89" t="str">
        <f t="shared" si="1"/>
        <v/>
      </c>
      <c r="AB16" s="28"/>
      <c r="AC16" s="32"/>
      <c r="AD16" s="31"/>
      <c r="AE16" s="29" t="str">
        <f t="shared" si="2"/>
        <v/>
      </c>
      <c r="AF16" s="42" t="str" cm="1">
        <f t="array" ref="AF16">FilterSpecialCharacters(V16)</f>
        <v/>
      </c>
      <c r="AN16" s="59"/>
    </row>
    <row r="17" spans="1:40" x14ac:dyDescent="0.25">
      <c r="A17" s="58" t="s">
        <v>105</v>
      </c>
      <c r="B17" s="55" t="str" cm="1">
        <f t="array" ref="B17">U17&amp;AB17&amp;IfEmpty(S17,V17)</f>
        <v>6 V</v>
      </c>
      <c r="C17" s="56" t="str">
        <f t="shared" si="4"/>
        <v xml:space="preserve">5 VDC </v>
      </c>
      <c r="D17" s="92">
        <f t="shared" si="3"/>
        <v>5</v>
      </c>
      <c r="E17" s="61" t="str" cm="1">
        <f t="array" ref="E17">IfZero(AA17&amp;AF17&amp;W17)</f>
        <v>VDC</v>
      </c>
      <c r="F17" s="61" t="str" cm="1">
        <f t="array" ref="F17">IfZero(Z17&amp;AF17&amp;W17)</f>
        <v>VDC</v>
      </c>
      <c r="G17" s="57" t="str" cm="1">
        <f t="array" ref="G17:H17">IFERROR(CalcUnc(D17,I17,J17,Q17,R17,T17,V17,AC17,AD17,L17:P17,X17,Y17),"")</f>
        <v/>
      </c>
      <c r="H17" s="77" t="str">
        <v/>
      </c>
      <c r="I17" s="48"/>
      <c r="J17" s="33" t="s">
        <v>54</v>
      </c>
      <c r="K17" s="30"/>
      <c r="L17" s="95">
        <v>5</v>
      </c>
      <c r="M17" s="96"/>
      <c r="N17" s="96"/>
      <c r="O17" s="96"/>
      <c r="P17" s="97"/>
      <c r="S17" s="7"/>
      <c r="T17" s="7"/>
      <c r="U17" s="31">
        <v>6</v>
      </c>
      <c r="V17" s="26" t="s">
        <v>6</v>
      </c>
      <c r="W17" s="27" t="str" cm="1">
        <f t="array" ref="W17">GetPolarity(V17,AD17)</f>
        <v>DC</v>
      </c>
      <c r="X17" s="32">
        <v>5</v>
      </c>
      <c r="Y17" s="31">
        <v>7.0000000000000001E-3</v>
      </c>
      <c r="Z17" s="89" t="str">
        <f t="shared" si="0"/>
        <v/>
      </c>
      <c r="AA17" s="89" t="str">
        <f t="shared" si="1"/>
        <v/>
      </c>
      <c r="AB17" s="28" t="s">
        <v>45</v>
      </c>
      <c r="AC17" s="32"/>
      <c r="AD17" s="31"/>
      <c r="AE17" s="29" t="str">
        <f t="shared" si="2"/>
        <v/>
      </c>
      <c r="AF17" s="42" t="str" cm="1">
        <f t="array" ref="AF17">FilterSpecialCharacters(V17)</f>
        <v>V</v>
      </c>
    </row>
    <row r="18" spans="1:40" x14ac:dyDescent="0.25">
      <c r="A18" s="11"/>
      <c r="B18" s="53" t="str" cm="1">
        <f t="array" ref="B18">U18&amp;AB18&amp;IfEmpty(S18,V18)</f>
        <v>600 V</v>
      </c>
      <c r="C18" s="64" t="str">
        <f t="shared" si="4"/>
        <v xml:space="preserve">300 VDC </v>
      </c>
      <c r="D18" s="91">
        <f t="shared" si="3"/>
        <v>300</v>
      </c>
      <c r="E18" s="60" t="str" cm="1">
        <f t="array" ref="E18">IfZero(AA18&amp;AF18&amp;W18)</f>
        <v>299.5VDC</v>
      </c>
      <c r="F18" s="60" t="str" cm="1">
        <f t="array" ref="F18">IfZero(Z18&amp;AF18&amp;W18)</f>
        <v>300.5VDC</v>
      </c>
      <c r="G18" s="54" t="str" cm="1">
        <f t="array" ref="G18:H18">IFERROR(CalcUnc(D18,I18,J18,Q18,R18,T18,V18,AC18,AD18,L18:P18,X18,Y18),"")</f>
        <v>62 mV</v>
      </c>
      <c r="H18" s="77" t="str">
        <v/>
      </c>
      <c r="I18" s="48"/>
      <c r="J18" s="33" t="s">
        <v>54</v>
      </c>
      <c r="K18" s="30"/>
      <c r="L18" s="95">
        <v>300</v>
      </c>
      <c r="M18" s="96"/>
      <c r="N18" s="96"/>
      <c r="O18" s="96"/>
      <c r="P18" s="97"/>
      <c r="S18" s="7"/>
      <c r="T18" s="88">
        <v>0.1</v>
      </c>
      <c r="U18" s="31">
        <v>600</v>
      </c>
      <c r="V18" s="26" t="s">
        <v>6</v>
      </c>
      <c r="W18" s="27" t="str" cm="1">
        <f t="array" ref="W18">GetPolarity(V18,AD18)</f>
        <v>DC</v>
      </c>
      <c r="X18" s="32">
        <v>300</v>
      </c>
      <c r="Y18" s="31">
        <v>0.5</v>
      </c>
      <c r="Z18" s="89">
        <f t="shared" si="0"/>
        <v>300.5</v>
      </c>
      <c r="AA18" s="89">
        <f t="shared" si="1"/>
        <v>299.5</v>
      </c>
      <c r="AB18" s="28" t="s">
        <v>45</v>
      </c>
      <c r="AC18" s="32"/>
      <c r="AD18" s="31"/>
      <c r="AE18" s="29" t="str">
        <f t="shared" si="2"/>
        <v/>
      </c>
      <c r="AF18" s="42" t="str" cm="1">
        <f t="array" ref="AF18">FilterSpecialCharacters(V18)</f>
        <v>V</v>
      </c>
    </row>
    <row r="19" spans="1:40" x14ac:dyDescent="0.25">
      <c r="A19" s="58"/>
      <c r="B19" s="55" t="str" cm="1">
        <f t="array" ref="B19">U19&amp;AB19&amp;IfEmpty(S19,V19)</f>
        <v>1000 V</v>
      </c>
      <c r="C19" s="56" t="str">
        <f t="shared" si="4"/>
        <v xml:space="preserve">1000 VDC </v>
      </c>
      <c r="D19" s="92">
        <f t="shared" si="3"/>
        <v>1000</v>
      </c>
      <c r="E19" s="61" t="str" cm="1">
        <f t="array" ref="E19">IfZero(AA19&amp;AF19&amp;W19)</f>
        <v>997VDC</v>
      </c>
      <c r="F19" s="61" t="str" cm="1">
        <f t="array" ref="F19">IfZero(Z19&amp;AF19&amp;W19)</f>
        <v>1003VDC</v>
      </c>
      <c r="G19" s="57" t="str" cm="1">
        <f t="array" ref="G19:H19">IFERROR(CalcUnc(D19,I19,J19,Q19,R19,T19,V19,AC19,AD19,L19:P19,X19,Y19),"")</f>
        <v>580 mV</v>
      </c>
      <c r="H19" s="77" t="str">
        <v/>
      </c>
      <c r="I19" s="48"/>
      <c r="J19" s="33" t="s">
        <v>54</v>
      </c>
      <c r="K19" s="30"/>
      <c r="L19" s="95">
        <v>1000</v>
      </c>
      <c r="M19" s="96"/>
      <c r="N19" s="96"/>
      <c r="O19" s="96"/>
      <c r="P19" s="97"/>
      <c r="S19" s="7"/>
      <c r="T19" s="88">
        <v>1</v>
      </c>
      <c r="U19" s="31">
        <v>1000</v>
      </c>
      <c r="V19" s="26" t="s">
        <v>6</v>
      </c>
      <c r="W19" s="27" t="str" cm="1">
        <f t="array" ref="W19">GetPolarity(V19,AD19)</f>
        <v>DC</v>
      </c>
      <c r="X19" s="32">
        <v>1000</v>
      </c>
      <c r="Y19" s="31">
        <v>3</v>
      </c>
      <c r="Z19" s="89">
        <f t="shared" si="0"/>
        <v>1003</v>
      </c>
      <c r="AA19" s="89">
        <f t="shared" si="1"/>
        <v>997</v>
      </c>
      <c r="AB19" s="28" t="s">
        <v>45</v>
      </c>
      <c r="AC19" s="32"/>
      <c r="AD19" s="31"/>
      <c r="AE19" s="29" t="str">
        <f t="shared" si="2"/>
        <v/>
      </c>
      <c r="AF19" s="42" t="str" cm="1">
        <f t="array" ref="AF19">FilterSpecialCharacters(V19)</f>
        <v>V</v>
      </c>
    </row>
    <row r="20" spans="1:40" x14ac:dyDescent="0.25">
      <c r="A20" s="11"/>
      <c r="B20" s="53" t="str" cm="1">
        <f t="array" ref="B20">U20&amp;AB20&amp;IfEmpty(S20,V20)</f>
        <v>1000 V</v>
      </c>
      <c r="C20" s="64" t="str">
        <f t="shared" si="4"/>
        <v xml:space="preserve">-1000 VDC </v>
      </c>
      <c r="D20" s="91">
        <f t="shared" si="3"/>
        <v>-1000</v>
      </c>
      <c r="E20" s="60" t="str" cm="1">
        <f t="array" ref="E20">IfZero(AA20&amp;AF20&amp;W20)</f>
        <v>-1003VDC</v>
      </c>
      <c r="F20" s="60" t="str" cm="1">
        <f t="array" ref="F20">IfZero(Z20&amp;AF20&amp;W20)</f>
        <v>-997VDC</v>
      </c>
      <c r="G20" s="54" t="str" cm="1">
        <f t="array" ref="G20:H20">IFERROR(CalcUnc(D20,I20,J20,Q20,R20,T20,V20,AC20,AD20,L20:P20,X20,Y20),"")</f>
        <v>580 mV</v>
      </c>
      <c r="H20" s="77" t="str">
        <v/>
      </c>
      <c r="I20" s="48"/>
      <c r="J20" s="33" t="s">
        <v>54</v>
      </c>
      <c r="K20" s="30"/>
      <c r="L20" s="95">
        <v>-1000</v>
      </c>
      <c r="M20" s="96"/>
      <c r="N20" s="96"/>
      <c r="O20" s="96"/>
      <c r="P20" s="97"/>
      <c r="S20" s="7"/>
      <c r="T20" s="88">
        <v>1</v>
      </c>
      <c r="U20" s="31">
        <v>1000</v>
      </c>
      <c r="V20" s="26" t="s">
        <v>6</v>
      </c>
      <c r="W20" s="27" t="str" cm="1">
        <f t="array" ref="W20">GetPolarity(V20,AD20)</f>
        <v>DC</v>
      </c>
      <c r="X20" s="32">
        <v>-1000</v>
      </c>
      <c r="Y20" s="31">
        <v>3</v>
      </c>
      <c r="Z20" s="89">
        <f t="shared" si="0"/>
        <v>-997</v>
      </c>
      <c r="AA20" s="89">
        <f t="shared" si="1"/>
        <v>-1003</v>
      </c>
      <c r="AB20" s="28" t="s">
        <v>45</v>
      </c>
      <c r="AC20" s="32"/>
      <c r="AD20" s="31"/>
      <c r="AE20" s="29" t="str">
        <f t="shared" si="2"/>
        <v/>
      </c>
      <c r="AF20" s="42" t="str" cm="1">
        <f t="array" ref="AF20">FilterSpecialCharacters(V20)</f>
        <v>V</v>
      </c>
    </row>
    <row r="21" spans="1:40" x14ac:dyDescent="0.25">
      <c r="A21" s="58"/>
      <c r="B21" s="55" t="str" cm="1">
        <f t="array" ref="B21">U21&amp;AB21&amp;IfEmpty(S21,V21)</f>
        <v/>
      </c>
      <c r="C21" s="56" t="str">
        <f t="shared" si="4"/>
        <v xml:space="preserve">  </v>
      </c>
      <c r="D21" s="92" t="str">
        <f t="shared" si="3"/>
        <v/>
      </c>
      <c r="E21" s="61" t="str" cm="1">
        <f t="array" ref="E21">IfZero(AA21&amp;AF21&amp;W21)</f>
        <v/>
      </c>
      <c r="F21" s="61" t="str" cm="1">
        <f t="array" ref="F21">IfZero(Z21&amp;AF21&amp;W21)</f>
        <v/>
      </c>
      <c r="G21" s="57" t="str" cm="1">
        <f t="array" ref="G21">IFERROR(CalcUnc(D21,I21,J21,Q21,R21,T21,V21,AC21,AD21,L21:P21,X21,Y21),"")</f>
        <v/>
      </c>
      <c r="H21" s="77"/>
      <c r="I21" s="48"/>
      <c r="J21" s="33"/>
      <c r="K21" s="30"/>
      <c r="L21" s="95"/>
      <c r="M21" s="96"/>
      <c r="N21" s="96"/>
      <c r="O21" s="96"/>
      <c r="P21" s="97"/>
      <c r="S21" s="7"/>
      <c r="T21" s="88"/>
      <c r="U21" s="31"/>
      <c r="V21" s="26"/>
      <c r="W21" s="27" t="str" cm="1">
        <f t="array" ref="W21">GetPolarity(V21,AD21)</f>
        <v/>
      </c>
      <c r="X21" s="32"/>
      <c r="Y21" s="31"/>
      <c r="Z21" s="89" t="str">
        <f t="shared" si="0"/>
        <v/>
      </c>
      <c r="AA21" s="89" t="str">
        <f t="shared" si="1"/>
        <v/>
      </c>
      <c r="AB21" s="28"/>
      <c r="AC21" s="32"/>
      <c r="AD21" s="31"/>
      <c r="AE21" s="29" t="str">
        <f t="shared" si="2"/>
        <v/>
      </c>
      <c r="AF21" s="42" t="str" cm="1">
        <f t="array" ref="AF21">FilterSpecialCharacters(V21)</f>
        <v/>
      </c>
      <c r="AN21" s="59"/>
    </row>
    <row r="22" spans="1:40" x14ac:dyDescent="0.25">
      <c r="A22" s="11"/>
      <c r="B22" s="53" t="str" cm="1">
        <f t="array" ref="B22">U22&amp;AB22&amp;IfEmpty(S22,V22)</f>
        <v/>
      </c>
      <c r="C22" s="64" t="str">
        <f t="shared" si="4"/>
        <v xml:space="preserve">  </v>
      </c>
      <c r="D22" s="91" t="str">
        <f t="shared" si="3"/>
        <v/>
      </c>
      <c r="E22" s="60" t="str" cm="1">
        <f t="array" ref="E22">IfZero(AA22&amp;AF22&amp;W22)</f>
        <v/>
      </c>
      <c r="F22" s="60" t="str" cm="1">
        <f t="array" ref="F22">IfZero(Z22&amp;AF22&amp;W22)</f>
        <v/>
      </c>
      <c r="G22" s="54" t="str" cm="1">
        <f t="array" ref="G22">IFERROR(CalcUnc(D22,I22,J22,Q22,R22,T22,V22,AC22,AD22,L22:P22,X22,Y22),"")</f>
        <v/>
      </c>
      <c r="H22" s="77"/>
      <c r="I22" s="48"/>
      <c r="J22" s="33"/>
      <c r="K22" s="30"/>
      <c r="L22" s="95"/>
      <c r="M22" s="96"/>
      <c r="N22" s="96"/>
      <c r="O22" s="96"/>
      <c r="P22" s="97"/>
      <c r="S22" s="7"/>
      <c r="T22" s="88"/>
      <c r="U22" s="31"/>
      <c r="V22" s="26"/>
      <c r="W22" s="27" t="str" cm="1">
        <f t="array" ref="W22">GetPolarity(V22,AD22)</f>
        <v/>
      </c>
      <c r="X22" s="32"/>
      <c r="Y22" s="31"/>
      <c r="Z22" s="89" t="str">
        <f t="shared" si="0"/>
        <v/>
      </c>
      <c r="AA22" s="89" t="str">
        <f t="shared" si="1"/>
        <v/>
      </c>
      <c r="AB22" s="28"/>
      <c r="AC22" s="32"/>
      <c r="AD22" s="31"/>
      <c r="AE22" s="29" t="str">
        <f t="shared" si="2"/>
        <v/>
      </c>
      <c r="AF22" s="42" t="str" cm="1">
        <f t="array" ref="AF22">FilterSpecialCharacters(V22)</f>
        <v/>
      </c>
      <c r="AN22" s="59"/>
    </row>
    <row r="23" spans="1:40" x14ac:dyDescent="0.25">
      <c r="A23" s="58" t="s">
        <v>106</v>
      </c>
      <c r="B23" s="55" t="str" cm="1">
        <f t="array" ref="B23">U23&amp;AB23&amp;IfEmpty(S23,V23)</f>
        <v>600 mV</v>
      </c>
      <c r="C23" s="56" t="str">
        <f t="shared" si="4"/>
        <v xml:space="preserve">30 mVDC </v>
      </c>
      <c r="D23" s="92">
        <f t="shared" si="3"/>
        <v>30</v>
      </c>
      <c r="E23" s="61" t="str" cm="1">
        <f t="array" ref="E23">IfZero(AA23&amp;AF23&amp;W23)</f>
        <v>29.8mVDC</v>
      </c>
      <c r="F23" s="61" t="str" cm="1">
        <f t="array" ref="F23">IfZero(Z23&amp;AF23&amp;W23)</f>
        <v>30.2mVDC</v>
      </c>
      <c r="G23" s="57" t="str" cm="1">
        <f t="array" ref="G23:H23">IFERROR(CalcUnc(D23,I23,J23,Q23,R23,T23,V23,AC23,AD23,L23:P23,X23,Y23),"")</f>
        <v>59 µV</v>
      </c>
      <c r="H23" s="77" t="str">
        <v/>
      </c>
      <c r="I23" s="48"/>
      <c r="J23" s="33" t="s">
        <v>54</v>
      </c>
      <c r="K23" s="30"/>
      <c r="L23" s="95">
        <v>30</v>
      </c>
      <c r="M23" s="96"/>
      <c r="N23" s="96"/>
      <c r="O23" s="96"/>
      <c r="P23" s="97"/>
      <c r="S23" s="7"/>
      <c r="T23" s="88">
        <v>0.1</v>
      </c>
      <c r="U23" s="31">
        <v>600</v>
      </c>
      <c r="V23" s="26" t="s">
        <v>4</v>
      </c>
      <c r="W23" s="27" t="str" cm="1">
        <f t="array" ref="W23">GetPolarity(V23,AD23)</f>
        <v>DC</v>
      </c>
      <c r="X23" s="32">
        <v>30</v>
      </c>
      <c r="Y23" s="31">
        <v>0.2</v>
      </c>
      <c r="Z23" s="89">
        <f t="shared" si="0"/>
        <v>30.2</v>
      </c>
      <c r="AA23" s="89">
        <f t="shared" si="1"/>
        <v>29.8</v>
      </c>
      <c r="AB23" s="28" t="s">
        <v>45</v>
      </c>
      <c r="AC23" s="32"/>
      <c r="AD23" s="31"/>
      <c r="AE23" s="29" t="str">
        <f t="shared" si="2"/>
        <v/>
      </c>
      <c r="AF23" s="42" t="str" cm="1">
        <f t="array" ref="AF23">FilterSpecialCharacters(V23)</f>
        <v>mV</v>
      </c>
    </row>
    <row r="24" spans="1:40" x14ac:dyDescent="0.25">
      <c r="A24" s="11"/>
      <c r="B24" s="53" t="str" cm="1">
        <f t="array" ref="B24">U24&amp;AB24&amp;IfEmpty(S24,V24)</f>
        <v>600 mV</v>
      </c>
      <c r="C24" s="64" t="str">
        <f t="shared" si="4"/>
        <v xml:space="preserve">-300 mVDC </v>
      </c>
      <c r="D24" s="91">
        <f t="shared" si="3"/>
        <v>-299.89999999999998</v>
      </c>
      <c r="E24" s="60" t="str" cm="1">
        <f t="array" ref="E24">IfZero(AA24&amp;AF24&amp;W24)</f>
        <v>-300.5mVDC</v>
      </c>
      <c r="F24" s="60" t="str" cm="1">
        <f t="array" ref="F24">IfZero(Z24&amp;AF24&amp;W24)</f>
        <v>-299.5mVDC</v>
      </c>
      <c r="G24" s="54" t="str" cm="1">
        <f t="array" ref="G24:H24">IFERROR(CalcUnc(D24,I24,J24,Q24,R24,T24,V24,AC24,AD24,L24:P24,X24,Y24),"")</f>
        <v>63 µV</v>
      </c>
      <c r="H24" s="77" t="str">
        <v/>
      </c>
      <c r="I24" s="48"/>
      <c r="J24" s="33" t="s">
        <v>54</v>
      </c>
      <c r="K24" s="30"/>
      <c r="L24" s="95">
        <v>-299.89999999999998</v>
      </c>
      <c r="M24" s="96"/>
      <c r="N24" s="96"/>
      <c r="O24" s="96"/>
      <c r="P24" s="97"/>
      <c r="S24" s="7"/>
      <c r="T24" s="88">
        <v>0.1</v>
      </c>
      <c r="U24" s="31">
        <v>600</v>
      </c>
      <c r="V24" s="26" t="s">
        <v>4</v>
      </c>
      <c r="W24" s="27" t="str" cm="1">
        <f t="array" ref="W24">GetPolarity(V24,AD24)</f>
        <v>DC</v>
      </c>
      <c r="X24" s="32">
        <v>-300</v>
      </c>
      <c r="Y24" s="31">
        <v>0.5</v>
      </c>
      <c r="Z24" s="89">
        <f t="shared" si="0"/>
        <v>-299.5</v>
      </c>
      <c r="AA24" s="89">
        <f t="shared" si="1"/>
        <v>-300.5</v>
      </c>
      <c r="AB24" s="28" t="s">
        <v>45</v>
      </c>
      <c r="AC24" s="32"/>
      <c r="AD24" s="31"/>
      <c r="AE24" s="29" t="str">
        <f t="shared" si="2"/>
        <v/>
      </c>
      <c r="AF24" s="42" t="str" cm="1">
        <f t="array" ref="AF24">FilterSpecialCharacters(V24)</f>
        <v>mV</v>
      </c>
    </row>
    <row r="25" spans="1:40" x14ac:dyDescent="0.25">
      <c r="A25" s="58"/>
      <c r="B25" s="55" t="str" cm="1">
        <f t="array" ref="B25">U25&amp;AB25&amp;IfEmpty(S25,V25)</f>
        <v>600 mV</v>
      </c>
      <c r="C25" s="56" t="str">
        <f t="shared" si="4"/>
        <v xml:space="preserve">600 mVDC </v>
      </c>
      <c r="D25" s="92">
        <f t="shared" si="3"/>
        <v>599.9</v>
      </c>
      <c r="E25" s="61" t="str" cm="1">
        <f t="array" ref="E25">IfZero(AA25&amp;AF25&amp;W25)</f>
        <v>599.3mVDC</v>
      </c>
      <c r="F25" s="61" t="str" cm="1">
        <f t="array" ref="F25">IfZero(Z25&amp;AF25&amp;W25)</f>
        <v>600.7mVDC</v>
      </c>
      <c r="G25" s="57" t="str" cm="1">
        <f t="array" ref="G25:H25">IFERROR(CalcUnc(D25,I25,J25,Q25,R25,T25,V25,AC25,AD25,L25:P25,X25,Y25),"")</f>
        <v>76 µV</v>
      </c>
      <c r="H25" s="77" t="str">
        <v/>
      </c>
      <c r="I25" s="48"/>
      <c r="J25" s="33" t="s">
        <v>54</v>
      </c>
      <c r="K25" s="30"/>
      <c r="L25" s="95">
        <v>599.9</v>
      </c>
      <c r="M25" s="96"/>
      <c r="N25" s="96"/>
      <c r="O25" s="96"/>
      <c r="P25" s="97"/>
      <c r="S25" s="7"/>
      <c r="T25" s="41">
        <v>0.1</v>
      </c>
      <c r="U25" s="31">
        <v>600</v>
      </c>
      <c r="V25" s="9" t="s">
        <v>4</v>
      </c>
      <c r="W25" s="27" t="str" cm="1">
        <f t="array" ref="W25">GetPolarity(V25,AD25)</f>
        <v>DC</v>
      </c>
      <c r="X25" s="32">
        <v>600</v>
      </c>
      <c r="Y25" s="31">
        <v>0.7</v>
      </c>
      <c r="Z25" s="89">
        <f t="shared" si="0"/>
        <v>600.70000000000005</v>
      </c>
      <c r="AA25" s="89">
        <f t="shared" si="1"/>
        <v>599.29999999999995</v>
      </c>
      <c r="AB25" s="28" t="s">
        <v>45</v>
      </c>
      <c r="AC25" s="32"/>
      <c r="AD25" s="31"/>
      <c r="AE25" s="29" t="str">
        <f t="shared" si="2"/>
        <v/>
      </c>
      <c r="AF25" s="42" t="str" cm="1">
        <f t="array" ref="AF25">FilterSpecialCharacters(V25)</f>
        <v>mV</v>
      </c>
    </row>
    <row r="26" spans="1:40" x14ac:dyDescent="0.25">
      <c r="A26" s="11" t="s">
        <v>7</v>
      </c>
      <c r="B26" s="53" t="str" cm="1">
        <f t="array" ref="B26">U26&amp;AB26&amp;IfEmpty(S26,V26)</f>
        <v>600 Ω</v>
      </c>
      <c r="C26" s="64" t="str">
        <f t="shared" si="4"/>
        <v xml:space="preserve">500 Ω </v>
      </c>
      <c r="D26" s="91">
        <f t="shared" si="3"/>
        <v>500.2</v>
      </c>
      <c r="E26" s="60" t="str" cm="1">
        <f t="array" ref="E26">IfZero(AA26&amp;AF26&amp;W26)</f>
        <v>495.3Ω</v>
      </c>
      <c r="F26" s="60" t="str" cm="1">
        <f t="array" ref="F26">IfZero(Z26&amp;AF26&amp;W26)</f>
        <v>504.7Ω</v>
      </c>
      <c r="G26" s="54" t="str" cm="1">
        <f t="array" ref="G26:H26">IFERROR(CalcUnc(D26,I26,J26,Q26,R26,T26,V26,AC26,AD26,L26:P26,X26,Y26),"")</f>
        <v>97 mΩ</v>
      </c>
      <c r="H26" s="77" t="str">
        <v/>
      </c>
      <c r="I26" s="48"/>
      <c r="J26" s="33" t="s">
        <v>54</v>
      </c>
      <c r="K26" s="30"/>
      <c r="L26" s="95">
        <v>500.2</v>
      </c>
      <c r="M26" s="96"/>
      <c r="N26" s="96"/>
      <c r="O26" s="96"/>
      <c r="P26" s="97"/>
      <c r="S26" s="7"/>
      <c r="T26" s="41">
        <v>0.1</v>
      </c>
      <c r="U26" s="31">
        <v>600</v>
      </c>
      <c r="V26" s="9" t="s">
        <v>102</v>
      </c>
      <c r="W26" s="27" t="str" cm="1">
        <f t="array" ref="W26">GetPolarity(V26,AD26)</f>
        <v/>
      </c>
      <c r="X26" s="32">
        <v>500</v>
      </c>
      <c r="Y26" s="31">
        <v>4.7</v>
      </c>
      <c r="Z26" s="89">
        <f t="shared" si="0"/>
        <v>504.7</v>
      </c>
      <c r="AA26" s="89">
        <f t="shared" si="1"/>
        <v>495.3</v>
      </c>
      <c r="AB26" s="28" t="s">
        <v>45</v>
      </c>
      <c r="AC26" s="32"/>
      <c r="AD26" s="31"/>
      <c r="AE26" s="29" t="str">
        <f t="shared" si="2"/>
        <v/>
      </c>
      <c r="AF26" s="42" t="str" cm="1">
        <f t="array" ref="AF26">FilterSpecialCharacters(V26)</f>
        <v>Ω</v>
      </c>
    </row>
    <row r="27" spans="1:40" x14ac:dyDescent="0.25">
      <c r="A27" s="58"/>
      <c r="B27" s="55" t="str" cm="1">
        <f t="array" ref="B27">U27&amp;AB27&amp;IfEmpty(S27,V27)</f>
        <v>50 MΩ</v>
      </c>
      <c r="C27" s="56" t="str">
        <f t="shared" si="4"/>
        <v xml:space="preserve">19 MΩ </v>
      </c>
      <c r="D27" s="92">
        <f t="shared" si="3"/>
        <v>19</v>
      </c>
      <c r="E27" s="61" t="str" cm="1">
        <f t="array" ref="E27">IfZero(AA27&amp;AF27&amp;W27)</f>
        <v>18.68MΩ</v>
      </c>
      <c r="F27" s="61" t="str" cm="1">
        <f t="array" ref="F27">IfZero(Z27&amp;AF27&amp;W27)</f>
        <v>19.32MΩ</v>
      </c>
      <c r="G27" s="57" t="str" cm="1">
        <f t="array" ref="G27:H27">IFERROR(CalcUnc(D27,I27,J27,Q27,R27,T27,V27,AC27,AD27,L27:P27,X27,Y27),"")</f>
        <v>26 kΩ</v>
      </c>
      <c r="H27" s="77" t="str">
        <v/>
      </c>
      <c r="I27" s="48"/>
      <c r="J27" s="33" t="s">
        <v>54</v>
      </c>
      <c r="K27" s="30"/>
      <c r="L27" s="95">
        <v>19</v>
      </c>
      <c r="M27" s="96"/>
      <c r="N27" s="96"/>
      <c r="O27" s="96"/>
      <c r="P27" s="97"/>
      <c r="S27" s="7"/>
      <c r="T27" s="41">
        <v>0.01</v>
      </c>
      <c r="U27" s="31">
        <v>50</v>
      </c>
      <c r="V27" s="9" t="s">
        <v>103</v>
      </c>
      <c r="W27" s="27" t="str" cm="1">
        <f t="array" ref="W27">GetPolarity(V27,AD27)</f>
        <v/>
      </c>
      <c r="X27" s="32">
        <v>19</v>
      </c>
      <c r="Y27" s="31">
        <v>0.32</v>
      </c>
      <c r="Z27" s="89">
        <f t="shared" si="0"/>
        <v>19.32</v>
      </c>
      <c r="AA27" s="89">
        <f t="shared" si="1"/>
        <v>18.68</v>
      </c>
      <c r="AB27" s="28" t="s">
        <v>45</v>
      </c>
      <c r="AC27" s="32"/>
      <c r="AD27" s="31"/>
      <c r="AE27" s="29" t="str">
        <f t="shared" si="2"/>
        <v/>
      </c>
      <c r="AF27" s="42" t="str" cm="1">
        <f t="array" ref="AF27">FilterSpecialCharacters(V27)</f>
        <v>MΩ</v>
      </c>
    </row>
    <row r="28" spans="1:40" x14ac:dyDescent="0.25">
      <c r="A28" s="11" t="s">
        <v>14</v>
      </c>
      <c r="B28" s="53" t="str" cm="1">
        <f t="array" ref="B28">U28&amp;AB28&amp;IfEmpty(S28,V28)</f>
        <v>1000 nF</v>
      </c>
      <c r="C28" s="64" t="str">
        <f t="shared" si="4"/>
        <v xml:space="preserve">900 nF </v>
      </c>
      <c r="D28" s="91">
        <f t="shared" si="3"/>
        <v>900</v>
      </c>
      <c r="E28" s="60" t="str" cm="1">
        <f t="array" ref="E28">IfZero(AA28&amp;AF28&amp;W28)</f>
        <v>887nF</v>
      </c>
      <c r="F28" s="60" t="str" cm="1">
        <f t="array" ref="F28">IfZero(Z28&amp;AF28&amp;W28)</f>
        <v>913nF</v>
      </c>
      <c r="G28" s="54" t="str" cm="1">
        <f t="array" ref="G28:H28">IFERROR(CalcUnc(D28,I28,J28,Q28,R28,T28,V28,AC28,AD28,L28:P28,X28,Y28),"")</f>
        <v>3.8 nF</v>
      </c>
      <c r="H28" s="77" t="str">
        <v/>
      </c>
      <c r="I28" s="48"/>
      <c r="J28" s="33" t="s">
        <v>54</v>
      </c>
      <c r="K28" s="30"/>
      <c r="L28" s="95">
        <v>900</v>
      </c>
      <c r="M28" s="96"/>
      <c r="N28" s="96"/>
      <c r="O28" s="96"/>
      <c r="P28" s="97"/>
      <c r="S28" s="7"/>
      <c r="T28" s="41">
        <v>1</v>
      </c>
      <c r="U28" s="31">
        <v>1000</v>
      </c>
      <c r="V28" s="9" t="s">
        <v>15</v>
      </c>
      <c r="W28" s="27" t="str" cm="1">
        <f t="array" ref="W28">GetPolarity(V28,AD28)</f>
        <v/>
      </c>
      <c r="X28" s="32">
        <v>900</v>
      </c>
      <c r="Y28" s="31">
        <v>13</v>
      </c>
      <c r="Z28" s="89">
        <f t="shared" si="0"/>
        <v>913</v>
      </c>
      <c r="AA28" s="89">
        <f t="shared" si="1"/>
        <v>887</v>
      </c>
      <c r="AB28" s="28" t="s">
        <v>45</v>
      </c>
      <c r="AC28" s="32"/>
      <c r="AD28" s="31"/>
      <c r="AE28" s="29" t="str">
        <f t="shared" si="2"/>
        <v/>
      </c>
      <c r="AF28" s="42" t="str" cm="1">
        <f t="array" ref="AF28">FilterSpecialCharacters(V28)</f>
        <v>nF</v>
      </c>
    </row>
    <row r="29" spans="1:40" x14ac:dyDescent="0.25">
      <c r="A29" s="58"/>
      <c r="B29" s="55" t="str" cm="1">
        <f t="array" ref="B29">U29&amp;AB29&amp;IfEmpty(S29,V29)</f>
        <v/>
      </c>
      <c r="C29" s="56" t="str">
        <f t="shared" si="4"/>
        <v xml:space="preserve">  </v>
      </c>
      <c r="D29" s="92" t="str">
        <f t="shared" si="3"/>
        <v/>
      </c>
      <c r="E29" s="61" t="str" cm="1">
        <f t="array" ref="E29">IfZero(AA29&amp;AF29&amp;W29)</f>
        <v/>
      </c>
      <c r="F29" s="61" t="str" cm="1">
        <f t="array" ref="F29">IfZero(Z29&amp;AF29&amp;W29)</f>
        <v/>
      </c>
      <c r="G29" s="57" t="str" cm="1">
        <f t="array" ref="G29">IFERROR(CalcUnc(D29,I29,J29,Q29,R29,T29,V29,AC29,AD29,L29:P29,X29,Y29),"")</f>
        <v/>
      </c>
      <c r="H29" s="77"/>
      <c r="I29" s="48"/>
      <c r="J29" s="33"/>
      <c r="K29" s="30"/>
      <c r="L29" s="95"/>
      <c r="M29" s="96"/>
      <c r="N29" s="96"/>
      <c r="O29" s="96"/>
      <c r="P29" s="97"/>
      <c r="S29" s="7"/>
      <c r="T29" s="41"/>
      <c r="U29" s="31"/>
      <c r="V29" s="9"/>
      <c r="W29" s="27" t="str" cm="1">
        <f t="array" ref="W29">GetPolarity(V29,AD29)</f>
        <v/>
      </c>
      <c r="X29" s="32"/>
      <c r="Y29" s="31"/>
      <c r="Z29" s="89" t="str">
        <f t="shared" si="0"/>
        <v/>
      </c>
      <c r="AA29" s="89" t="str">
        <f t="shared" si="1"/>
        <v/>
      </c>
      <c r="AB29" s="28"/>
      <c r="AC29" s="32"/>
      <c r="AD29" s="31"/>
      <c r="AE29" s="29" t="str">
        <f t="shared" si="2"/>
        <v/>
      </c>
      <c r="AF29" s="42" t="str" cm="1">
        <f t="array" ref="AF29">FilterSpecialCharacters(V29)</f>
        <v/>
      </c>
    </row>
    <row r="30" spans="1:40" x14ac:dyDescent="0.25">
      <c r="A30" s="11"/>
      <c r="B30" s="53" t="str" cm="1">
        <f t="array" ref="B30">U30&amp;AB30&amp;IfEmpty(S30,V30)</f>
        <v/>
      </c>
      <c r="C30" s="64" t="str">
        <f t="shared" si="4"/>
        <v xml:space="preserve">  </v>
      </c>
      <c r="D30" s="91" t="str">
        <f t="shared" si="3"/>
        <v/>
      </c>
      <c r="E30" s="60" t="str" cm="1">
        <f t="array" ref="E30">IfZero(AA30&amp;AF30&amp;W30)</f>
        <v/>
      </c>
      <c r="F30" s="60" t="str" cm="1">
        <f t="array" ref="F30">IfZero(Z30&amp;AF30&amp;W30)</f>
        <v/>
      </c>
      <c r="G30" s="54" t="str" cm="1">
        <f t="array" ref="G30">IFERROR(CalcUnc(D30,I30,J30,Q30,R30,T30,V30,AC30,AD30,L30:P30,X30,Y30),"")</f>
        <v/>
      </c>
      <c r="H30" s="77"/>
      <c r="I30" s="48"/>
      <c r="J30" s="33"/>
      <c r="K30" s="30"/>
      <c r="L30" s="95"/>
      <c r="M30" s="96"/>
      <c r="N30" s="96"/>
      <c r="O30" s="96"/>
      <c r="P30" s="97"/>
      <c r="S30" s="7"/>
      <c r="T30" s="41"/>
      <c r="U30" s="31"/>
      <c r="V30" s="9"/>
      <c r="W30" s="27" t="str" cm="1">
        <f t="array" ref="W30">GetPolarity(V30,AD30)</f>
        <v/>
      </c>
      <c r="X30" s="32"/>
      <c r="Y30" s="31"/>
      <c r="Z30" s="89" t="str">
        <f t="shared" si="0"/>
        <v/>
      </c>
      <c r="AA30" s="89" t="str">
        <f t="shared" si="1"/>
        <v/>
      </c>
      <c r="AB30" s="28"/>
      <c r="AC30" s="32"/>
      <c r="AD30" s="31"/>
      <c r="AE30" s="29" t="str">
        <f t="shared" si="2"/>
        <v/>
      </c>
      <c r="AF30" s="42" t="str" cm="1">
        <f t="array" ref="AF30">FilterSpecialCharacters(V30)</f>
        <v/>
      </c>
    </row>
    <row r="31" spans="1:40" x14ac:dyDescent="0.25">
      <c r="A31" s="58" t="s">
        <v>107</v>
      </c>
      <c r="B31" s="55" t="str" cm="1">
        <f t="array" ref="B31">U31&amp;AB31&amp;IfEmpty(S31,V31)</f>
        <v>2.4 V</v>
      </c>
      <c r="C31" s="56" t="str">
        <f t="shared" si="4"/>
        <v xml:space="preserve">2 VDC </v>
      </c>
      <c r="D31" s="92">
        <f t="shared" si="3"/>
        <v>1.9990000000000001</v>
      </c>
      <c r="E31" s="61" t="str" cm="1">
        <f t="array" ref="E31">IfZero(AA31&amp;AF31&amp;W31)</f>
        <v>1.978VDC</v>
      </c>
      <c r="F31" s="61" t="str" cm="1">
        <f t="array" ref="F31">IfZero(Z31&amp;AF31&amp;W31)</f>
        <v>2.022VDC</v>
      </c>
      <c r="G31" s="57" t="str" cm="1">
        <f t="array" ref="G31:H31">IFERROR(CalcUnc(D31,I31,J31,Q31,R31,T31,V31,AC31,AD31,L31:P31,X31,Y31),"")</f>
        <v>600 µV</v>
      </c>
      <c r="H31" s="77" t="str">
        <v/>
      </c>
      <c r="I31" s="48"/>
      <c r="J31" s="33" t="s">
        <v>54</v>
      </c>
      <c r="K31" s="30"/>
      <c r="L31" s="95">
        <v>1.9990000000000001</v>
      </c>
      <c r="M31" s="96"/>
      <c r="N31" s="96"/>
      <c r="O31" s="96"/>
      <c r="P31" s="97"/>
      <c r="S31" s="7"/>
      <c r="T31" s="41">
        <v>1E-3</v>
      </c>
      <c r="U31" s="31">
        <v>2.4</v>
      </c>
      <c r="V31" s="9" t="s">
        <v>6</v>
      </c>
      <c r="W31" s="27" t="str" cm="1">
        <f t="array" ref="W31">GetPolarity(V31,AD31)</f>
        <v>DC</v>
      </c>
      <c r="X31" s="32">
        <v>2</v>
      </c>
      <c r="Y31" s="31">
        <v>2.1999999999999999E-2</v>
      </c>
      <c r="Z31" s="89">
        <f t="shared" si="0"/>
        <v>2.0219999999999998</v>
      </c>
      <c r="AA31" s="89">
        <f t="shared" si="1"/>
        <v>1.978</v>
      </c>
      <c r="AB31" s="28" t="s">
        <v>45</v>
      </c>
      <c r="AC31" s="32"/>
      <c r="AD31" s="31"/>
      <c r="AE31" s="29" t="str">
        <f t="shared" si="2"/>
        <v/>
      </c>
      <c r="AF31" s="42" t="str" cm="1">
        <f t="array" ref="AF31">FilterSpecialCharacters(V31)</f>
        <v>V</v>
      </c>
    </row>
    <row r="32" spans="1:40" x14ac:dyDescent="0.25">
      <c r="A32" s="11" t="s">
        <v>108</v>
      </c>
      <c r="B32" s="53" t="str" cm="1">
        <f t="array" ref="B32">U32&amp;AB32&amp;IfEmpty(S32,V32)</f>
        <v>60 mA</v>
      </c>
      <c r="C32" s="64" t="str">
        <f t="shared" si="4"/>
        <v>3 mAAC @ 45Hz</v>
      </c>
      <c r="D32" s="91">
        <f t="shared" si="3"/>
        <v>3</v>
      </c>
      <c r="E32" s="60" t="str" cm="1">
        <f t="array" ref="E32">IfZero(AA32&amp;AF32&amp;W32)</f>
        <v>2.92mAAC</v>
      </c>
      <c r="F32" s="60" t="str" cm="1">
        <f t="array" ref="F32">IfZero(Z32&amp;AF32&amp;W32)</f>
        <v>3.08mAAC</v>
      </c>
      <c r="G32" s="54" t="str" cm="1">
        <f t="array" ref="G32:H32">IFERROR(CalcUnc(D32,I32,J32,Q32,R32,T32,V32,AC32,AD32,L32:P32,X32,Y32),"")</f>
        <v>7.4 µA</v>
      </c>
      <c r="H32" s="77" t="str">
        <v/>
      </c>
      <c r="I32" s="48"/>
      <c r="J32" s="33" t="s">
        <v>54</v>
      </c>
      <c r="K32" s="30"/>
      <c r="L32" s="95">
        <v>3</v>
      </c>
      <c r="M32" s="96"/>
      <c r="N32" s="96"/>
      <c r="O32" s="96"/>
      <c r="P32" s="97"/>
      <c r="S32" s="7"/>
      <c r="T32" s="41">
        <v>0.01</v>
      </c>
      <c r="U32" s="31">
        <v>60</v>
      </c>
      <c r="V32" s="9" t="s">
        <v>12</v>
      </c>
      <c r="W32" s="27" t="str" cm="1">
        <f t="array" ref="W32">GetPolarity(V32,AD32)</f>
        <v>AC</v>
      </c>
      <c r="X32" s="32">
        <v>3</v>
      </c>
      <c r="Y32" s="31">
        <v>0.08</v>
      </c>
      <c r="Z32" s="89">
        <f t="shared" si="0"/>
        <v>3.08</v>
      </c>
      <c r="AA32" s="89">
        <f t="shared" si="1"/>
        <v>2.92</v>
      </c>
      <c r="AB32" s="28" t="s">
        <v>45</v>
      </c>
      <c r="AC32" s="32">
        <v>45</v>
      </c>
      <c r="AD32" s="31" t="s">
        <v>9</v>
      </c>
      <c r="AE32" s="29" t="str">
        <f t="shared" si="2"/>
        <v>@ 45Hz</v>
      </c>
      <c r="AF32" s="42" t="str" cm="1">
        <f t="array" ref="AF32">FilterSpecialCharacters(V32)</f>
        <v>mA</v>
      </c>
    </row>
    <row r="33" spans="1:32" x14ac:dyDescent="0.25">
      <c r="A33" s="58"/>
      <c r="B33" s="55" t="str" cm="1">
        <f t="array" ref="B33">U33&amp;AB33&amp;IfEmpty(S33,V33)</f>
        <v>60 mA</v>
      </c>
      <c r="C33" s="56" t="str">
        <f t="shared" si="4"/>
        <v>50 mAAC @ 1kHz</v>
      </c>
      <c r="D33" s="92">
        <f t="shared" si="3"/>
        <v>50.02</v>
      </c>
      <c r="E33" s="61" t="str" cm="1">
        <f t="array" ref="E33">IfZero(AA33&amp;AF33&amp;W33)</f>
        <v>49.22mAAC</v>
      </c>
      <c r="F33" s="61" t="str" cm="1">
        <f t="array" ref="F33">IfZero(Z33&amp;AF33&amp;W33)</f>
        <v>50.78mAAC</v>
      </c>
      <c r="G33" s="57" t="str" cm="1">
        <f t="array" ref="G33:H33">IFERROR(CalcUnc(D33,I33,J33,Q33,R33,T33,V33,AC33,AD33,L33:P33,X33,Y33),"")</f>
        <v>0.12 mA</v>
      </c>
      <c r="H33" s="77" t="str">
        <v/>
      </c>
      <c r="I33" s="48"/>
      <c r="J33" s="33" t="s">
        <v>54</v>
      </c>
      <c r="K33" s="30"/>
      <c r="L33" s="95">
        <v>50.02</v>
      </c>
      <c r="M33" s="96"/>
      <c r="N33" s="96"/>
      <c r="O33" s="96"/>
      <c r="P33" s="97"/>
      <c r="S33" s="7"/>
      <c r="T33" s="41">
        <v>0.01</v>
      </c>
      <c r="U33" s="31">
        <v>60</v>
      </c>
      <c r="V33" s="9" t="s">
        <v>12</v>
      </c>
      <c r="W33" s="27" t="str" cm="1">
        <f t="array" ref="W33">GetPolarity(V33,AD33)</f>
        <v>AC</v>
      </c>
      <c r="X33" s="32">
        <v>50</v>
      </c>
      <c r="Y33" s="31">
        <v>0.78</v>
      </c>
      <c r="Z33" s="89">
        <f t="shared" si="0"/>
        <v>50.78</v>
      </c>
      <c r="AA33" s="89">
        <f t="shared" si="1"/>
        <v>49.22</v>
      </c>
      <c r="AB33" s="28" t="s">
        <v>45</v>
      </c>
      <c r="AC33" s="32">
        <v>1</v>
      </c>
      <c r="AD33" s="31" t="s">
        <v>10</v>
      </c>
      <c r="AE33" s="29" t="str">
        <f t="shared" si="2"/>
        <v>@ 1kHz</v>
      </c>
      <c r="AF33" s="42" t="str" cm="1">
        <f t="array" ref="AF33">FilterSpecialCharacters(V33)</f>
        <v>mA</v>
      </c>
    </row>
    <row r="34" spans="1:32" x14ac:dyDescent="0.25">
      <c r="A34" s="11"/>
      <c r="B34" s="53" t="str" cm="1">
        <f t="array" ref="B34">U34&amp;AB34&amp;IfEmpty(S34,V34)</f>
        <v>400 mA</v>
      </c>
      <c r="C34" s="64" t="str">
        <f t="shared" si="4"/>
        <v>400 mAAC @ 1kHz</v>
      </c>
      <c r="D34" s="91">
        <f t="shared" si="3"/>
        <v>399.3</v>
      </c>
      <c r="E34" s="60" t="str" cm="1">
        <f t="array" ref="E34">IfZero(AA34&amp;AF34&amp;W34)</f>
        <v>393.7mAAC</v>
      </c>
      <c r="F34" s="60" t="str" cm="1">
        <f t="array" ref="F34">IfZero(Z34&amp;AF34&amp;W34)</f>
        <v>406.3mAAC</v>
      </c>
      <c r="G34" s="54" t="str" cm="1">
        <f t="array" ref="G34:H34">IFERROR(CalcUnc(D34,I34,J34,Q34,R34,T34,V34,AC34,AD34,L34:P34,X34,Y34),"")</f>
        <v>0.35 mA</v>
      </c>
      <c r="H34" s="77" t="str">
        <v/>
      </c>
      <c r="I34" s="48"/>
      <c r="J34" s="33" t="s">
        <v>54</v>
      </c>
      <c r="K34" s="30"/>
      <c r="L34" s="95">
        <v>399.3</v>
      </c>
      <c r="M34" s="96"/>
      <c r="N34" s="96"/>
      <c r="O34" s="96"/>
      <c r="P34" s="97"/>
      <c r="S34" s="7"/>
      <c r="T34" s="41">
        <v>0.1</v>
      </c>
      <c r="U34" s="31">
        <v>400</v>
      </c>
      <c r="V34" s="9" t="s">
        <v>12</v>
      </c>
      <c r="W34" s="27" t="str" cm="1">
        <f t="array" ref="W34">GetPolarity(V34,AD34)</f>
        <v>AC</v>
      </c>
      <c r="X34" s="32">
        <v>400</v>
      </c>
      <c r="Y34" s="31">
        <v>6.3</v>
      </c>
      <c r="Z34" s="89">
        <f t="shared" si="0"/>
        <v>406.3</v>
      </c>
      <c r="AA34" s="89">
        <f t="shared" si="1"/>
        <v>393.7</v>
      </c>
      <c r="AB34" s="28" t="s">
        <v>45</v>
      </c>
      <c r="AC34" s="32">
        <v>1</v>
      </c>
      <c r="AD34" s="31" t="s">
        <v>10</v>
      </c>
      <c r="AE34" s="29" t="str">
        <f t="shared" si="2"/>
        <v>@ 1kHz</v>
      </c>
      <c r="AF34" s="42" t="str" cm="1">
        <f t="array" ref="AF34">FilterSpecialCharacters(V34)</f>
        <v>mA</v>
      </c>
    </row>
    <row r="35" spans="1:32" x14ac:dyDescent="0.25">
      <c r="A35" s="58"/>
      <c r="B35" s="55" t="str" cm="1">
        <f t="array" ref="B35">U35&amp;AB35&amp;IfEmpty(S35,V35)</f>
        <v>6 A</v>
      </c>
      <c r="C35" s="56" t="str">
        <f t="shared" si="4"/>
        <v>4 AAC @ 45Hz</v>
      </c>
      <c r="D35" s="92">
        <f t="shared" si="3"/>
        <v>3.9990000000000001</v>
      </c>
      <c r="E35" s="61" t="str" cm="1">
        <f t="array" ref="E35">IfZero(AA35&amp;AF35&amp;W35)</f>
        <v>3.937AAC</v>
      </c>
      <c r="F35" s="61" t="str" cm="1">
        <f t="array" ref="F35">IfZero(Z35&amp;AF35&amp;W35)</f>
        <v>4.063AAC</v>
      </c>
      <c r="G35" s="57" t="str" cm="1">
        <f t="array" ref="G35:H35">IFERROR(CalcUnc(D35,I35,J35,Q35,R35,T35,V35,AC35,AD35,L35:P35,X35,Y35),"")</f>
        <v>5.2 mA</v>
      </c>
      <c r="H35" s="77" t="str">
        <v/>
      </c>
      <c r="I35" s="48"/>
      <c r="J35" s="33" t="s">
        <v>54</v>
      </c>
      <c r="K35" s="30"/>
      <c r="L35" s="95">
        <v>3.9990000000000001</v>
      </c>
      <c r="M35" s="96"/>
      <c r="N35" s="96"/>
      <c r="O35" s="96"/>
      <c r="P35" s="97"/>
      <c r="S35" s="7"/>
      <c r="T35" s="41">
        <v>1E-3</v>
      </c>
      <c r="U35" s="31">
        <v>6</v>
      </c>
      <c r="V35" s="9" t="s">
        <v>13</v>
      </c>
      <c r="W35" s="27" t="str" cm="1">
        <f t="array" ref="W35">GetPolarity(V35,AD35)</f>
        <v>AC</v>
      </c>
      <c r="X35" s="32">
        <v>4</v>
      </c>
      <c r="Y35" s="31">
        <v>6.3E-2</v>
      </c>
      <c r="Z35" s="89">
        <f t="shared" si="0"/>
        <v>4.0629999999999997</v>
      </c>
      <c r="AA35" s="89">
        <f t="shared" si="1"/>
        <v>3.9369999999999998</v>
      </c>
      <c r="AB35" s="28" t="s">
        <v>45</v>
      </c>
      <c r="AC35" s="32">
        <v>45</v>
      </c>
      <c r="AD35" s="31" t="s">
        <v>9</v>
      </c>
      <c r="AE35" s="29" t="str">
        <f t="shared" si="2"/>
        <v>@ 45Hz</v>
      </c>
      <c r="AF35" s="42" t="str" cm="1">
        <f t="array" ref="AF35">FilterSpecialCharacters(V35)</f>
        <v>A</v>
      </c>
    </row>
    <row r="36" spans="1:32" x14ac:dyDescent="0.25">
      <c r="A36" s="11"/>
      <c r="B36" s="53" t="str" cm="1">
        <f t="array" ref="B36">U36&amp;AB36&amp;IfEmpty(S36,V36)</f>
        <v>10 A</v>
      </c>
      <c r="C36" s="64" t="str">
        <f t="shared" si="4"/>
        <v>9 AAC @ 1kHz</v>
      </c>
      <c r="D36" s="91">
        <f t="shared" si="3"/>
        <v>9.1</v>
      </c>
      <c r="E36" s="60" t="str" cm="1">
        <f t="array" ref="E36">IfZero(AA36&amp;AF36&amp;W36)</f>
        <v>8.83AAC</v>
      </c>
      <c r="F36" s="60" t="str" cm="1">
        <f t="array" ref="F36">IfZero(Z36&amp;AF36&amp;W36)</f>
        <v>9.17AAC</v>
      </c>
      <c r="G36" s="54" t="str" cm="1">
        <f t="array" ref="G36:H36">IFERROR(CalcUnc(D36,I36,J36,Q36,R36,T36,V36,AC36,AD36,L36:P36,X36,Y36),"")</f>
        <v>14 mA</v>
      </c>
      <c r="H36" s="77" t="str">
        <v/>
      </c>
      <c r="I36" s="48"/>
      <c r="J36" s="33"/>
      <c r="K36" s="30"/>
      <c r="L36" s="95">
        <v>9.1</v>
      </c>
      <c r="M36" s="96"/>
      <c r="N36" s="96"/>
      <c r="O36" s="96"/>
      <c r="P36" s="97"/>
      <c r="S36" s="7"/>
      <c r="T36" s="41">
        <v>0.01</v>
      </c>
      <c r="U36" s="31">
        <v>10</v>
      </c>
      <c r="V36" s="9" t="s">
        <v>13</v>
      </c>
      <c r="W36" s="27" t="str" cm="1">
        <f t="array" ref="W36">GetPolarity(V36,AD36)</f>
        <v>AC</v>
      </c>
      <c r="X36" s="32">
        <v>9</v>
      </c>
      <c r="Y36" s="31">
        <v>0.17</v>
      </c>
      <c r="Z36" s="89">
        <f t="shared" si="0"/>
        <v>9.17</v>
      </c>
      <c r="AA36" s="89">
        <f t="shared" si="1"/>
        <v>8.83</v>
      </c>
      <c r="AB36" s="28" t="s">
        <v>45</v>
      </c>
      <c r="AC36" s="32">
        <v>1</v>
      </c>
      <c r="AD36" s="31" t="s">
        <v>10</v>
      </c>
      <c r="AE36" s="29" t="str">
        <f t="shared" si="2"/>
        <v>@ 1kHz</v>
      </c>
      <c r="AF36" s="42" t="str" cm="1">
        <f t="array" ref="AF36">FilterSpecialCharacters(V36)</f>
        <v>A</v>
      </c>
    </row>
    <row r="37" spans="1:32" x14ac:dyDescent="0.25">
      <c r="A37" s="58" t="s">
        <v>109</v>
      </c>
      <c r="B37" s="55" t="str" cm="1">
        <f t="array" ref="B37">U37&amp;AB37&amp;IfEmpty(S37,V37)</f>
        <v>60 mA</v>
      </c>
      <c r="C37" s="56" t="str">
        <f t="shared" si="4"/>
        <v xml:space="preserve">3 mADC </v>
      </c>
      <c r="D37" s="92">
        <f t="shared" si="3"/>
        <v>3</v>
      </c>
      <c r="E37" s="61" t="str" cm="1">
        <f t="array" ref="E37">IfZero(AA37&amp;AF37&amp;W37)</f>
        <v>2.94mADC</v>
      </c>
      <c r="F37" s="61" t="str" cm="1">
        <f t="array" ref="F37">IfZero(Z37&amp;AF37&amp;W37)</f>
        <v>3.06mADC</v>
      </c>
      <c r="G37" s="57" t="str" cm="1">
        <f t="array" ref="G37:H37">IFERROR(CalcUnc(D37,I37,J37,Q37,R37,T37,V37,AC37,AD37,L37:P37,X37,Y37),"")</f>
        <v>5.8 µA</v>
      </c>
      <c r="H37" s="77" t="str">
        <v/>
      </c>
      <c r="I37" s="48"/>
      <c r="J37" s="33" t="s">
        <v>54</v>
      </c>
      <c r="K37" s="30"/>
      <c r="L37" s="95">
        <v>3</v>
      </c>
      <c r="M37" s="96"/>
      <c r="N37" s="96"/>
      <c r="O37" s="96"/>
      <c r="P37" s="97"/>
      <c r="S37" s="7"/>
      <c r="T37" s="41">
        <v>0.01</v>
      </c>
      <c r="U37" s="31">
        <v>60</v>
      </c>
      <c r="V37" s="9" t="s">
        <v>12</v>
      </c>
      <c r="W37" s="27" t="str" cm="1">
        <f t="array" ref="W37">GetPolarity(V37,AD37)</f>
        <v>DC</v>
      </c>
      <c r="X37" s="32">
        <v>3</v>
      </c>
      <c r="Y37" s="31">
        <v>0.06</v>
      </c>
      <c r="Z37" s="89">
        <f t="shared" si="0"/>
        <v>3.06</v>
      </c>
      <c r="AA37" s="89">
        <f t="shared" si="1"/>
        <v>2.94</v>
      </c>
      <c r="AB37" s="28" t="s">
        <v>45</v>
      </c>
      <c r="AC37" s="32"/>
      <c r="AD37" s="31"/>
      <c r="AE37" s="29" t="str">
        <f t="shared" si="2"/>
        <v/>
      </c>
      <c r="AF37" s="42" t="str" cm="1">
        <f t="array" ref="AF37">FilterSpecialCharacters(V37)</f>
        <v>mA</v>
      </c>
    </row>
    <row r="38" spans="1:32" x14ac:dyDescent="0.25">
      <c r="A38" s="11"/>
      <c r="B38" s="53" t="str" cm="1">
        <f t="array" ref="B38">U38&amp;AB38&amp;IfEmpty(S38,V38)</f>
        <v>60 mA</v>
      </c>
      <c r="C38" s="64" t="str">
        <f t="shared" si="4"/>
        <v xml:space="preserve">50 mADC </v>
      </c>
      <c r="D38" s="91">
        <f t="shared" si="3"/>
        <v>49.98</v>
      </c>
      <c r="E38" s="60" t="str" cm="1">
        <f t="array" ref="E38">IfZero(AA38&amp;AF38&amp;W38)</f>
        <v>49.47mADC</v>
      </c>
      <c r="F38" s="60" t="str" cm="1">
        <f t="array" ref="F38">IfZero(Z38&amp;AF38&amp;W38)</f>
        <v>50.53mADC</v>
      </c>
      <c r="G38" s="54" t="str" cm="1">
        <f t="array" ref="G38:H38">IFERROR(CalcUnc(D38,I38,J38,Q38,R38,T38,V38,AC38,AD38,L38:P38,X38,Y38),"")</f>
        <v>11 µA</v>
      </c>
      <c r="H38" s="77" t="str">
        <v/>
      </c>
      <c r="I38" s="48"/>
      <c r="J38" s="33" t="s">
        <v>54</v>
      </c>
      <c r="K38" s="30"/>
      <c r="L38" s="95">
        <v>49.98</v>
      </c>
      <c r="M38" s="96"/>
      <c r="N38" s="96"/>
      <c r="O38" s="96"/>
      <c r="P38" s="97"/>
      <c r="S38" s="7"/>
      <c r="T38" s="41">
        <v>0.01</v>
      </c>
      <c r="U38" s="31">
        <v>60</v>
      </c>
      <c r="V38" s="9" t="s">
        <v>12</v>
      </c>
      <c r="W38" s="27" t="str" cm="1">
        <f t="array" ref="W38">GetPolarity(V38,AD38)</f>
        <v>DC</v>
      </c>
      <c r="X38" s="32">
        <v>50</v>
      </c>
      <c r="Y38" s="31">
        <v>0.53</v>
      </c>
      <c r="Z38" s="89">
        <f t="shared" si="0"/>
        <v>50.53</v>
      </c>
      <c r="AA38" s="89">
        <f t="shared" si="1"/>
        <v>49.47</v>
      </c>
      <c r="AB38" s="28" t="s">
        <v>45</v>
      </c>
      <c r="AC38" s="32"/>
      <c r="AD38" s="31"/>
      <c r="AE38" s="29" t="str">
        <f t="shared" si="2"/>
        <v/>
      </c>
      <c r="AF38" s="42" t="str" cm="1">
        <f t="array" ref="AF38">FilterSpecialCharacters(V38)</f>
        <v>mA</v>
      </c>
    </row>
    <row r="39" spans="1:32" x14ac:dyDescent="0.25">
      <c r="A39" s="58"/>
      <c r="B39" s="55" t="str" cm="1">
        <f t="array" ref="B39">U39&amp;AB39&amp;IfEmpty(S39,V39)</f>
        <v>400 mA</v>
      </c>
      <c r="C39" s="56" t="str">
        <f t="shared" si="4"/>
        <v xml:space="preserve">-400 mADC </v>
      </c>
      <c r="D39" s="92">
        <f t="shared" si="3"/>
        <v>-399.9</v>
      </c>
      <c r="E39" s="61" t="str" cm="1">
        <f t="array" ref="E39">IfZero(AA39&amp;AF39&amp;W39)</f>
        <v>-404.3mADC</v>
      </c>
      <c r="F39" s="61" t="str" cm="1">
        <f t="array" ref="F39">IfZero(Z39&amp;AF39&amp;W39)</f>
        <v>-395.7mADC</v>
      </c>
      <c r="G39" s="57" t="str" cm="1">
        <f t="array" ref="G39:H39">IFERROR(CalcUnc(D39,I39,J39,Q39,R39,T39,V39,AC39,AD39,L39:P39,X39,Y39),"")</f>
        <v>0.23 mA</v>
      </c>
      <c r="H39" s="77" t="str">
        <v/>
      </c>
      <c r="I39" s="48"/>
      <c r="J39" s="33" t="s">
        <v>54</v>
      </c>
      <c r="K39" s="30"/>
      <c r="L39" s="95">
        <v>-399.9</v>
      </c>
      <c r="M39" s="96"/>
      <c r="N39" s="96"/>
      <c r="O39" s="96"/>
      <c r="P39" s="97"/>
      <c r="S39" s="7"/>
      <c r="T39" s="41">
        <v>0.1</v>
      </c>
      <c r="U39" s="31">
        <v>400</v>
      </c>
      <c r="V39" s="9" t="s">
        <v>12</v>
      </c>
      <c r="W39" s="27" t="str" cm="1">
        <f t="array" ref="W39">GetPolarity(V39,AD39)</f>
        <v>DC</v>
      </c>
      <c r="X39" s="32">
        <v>-400</v>
      </c>
      <c r="Y39" s="31">
        <v>4.3</v>
      </c>
      <c r="Z39" s="89">
        <f t="shared" si="0"/>
        <v>-395.7</v>
      </c>
      <c r="AA39" s="89">
        <f t="shared" si="1"/>
        <v>-404.3</v>
      </c>
      <c r="AB39" s="28" t="s">
        <v>45</v>
      </c>
      <c r="AC39" s="32"/>
      <c r="AD39" s="31"/>
      <c r="AE39" s="29" t="str">
        <f t="shared" si="2"/>
        <v/>
      </c>
      <c r="AF39" s="42" t="str" cm="1">
        <f t="array" ref="AF39">FilterSpecialCharacters(V39)</f>
        <v>mA</v>
      </c>
    </row>
    <row r="40" spans="1:32" x14ac:dyDescent="0.25">
      <c r="A40" s="11"/>
      <c r="B40" s="53" t="str" cm="1">
        <f t="array" ref="B40">U40&amp;AB40&amp;IfEmpty(S40,V40)</f>
        <v>6 A</v>
      </c>
      <c r="C40" s="64" t="str">
        <f t="shared" si="4"/>
        <v xml:space="preserve">4 ADC </v>
      </c>
      <c r="D40" s="91">
        <f t="shared" si="3"/>
        <v>3.9990000000000001</v>
      </c>
      <c r="E40" s="60" t="str" cm="1">
        <f t="array" ref="E40">IfZero(AA40&amp;AF40&amp;W40)</f>
        <v>3.957ADC</v>
      </c>
      <c r="F40" s="60" t="str" cm="1">
        <f t="array" ref="F40">IfZero(Z40&amp;AF40&amp;W40)</f>
        <v>4.043ADC</v>
      </c>
      <c r="G40" s="54" t="str" cm="1">
        <f t="array" ref="G40:H40">IFERROR(CalcUnc(D40,I40,J40,Q40,R40,T40,V40,AC40,AD40,L40:P40,X40,Y40),"")</f>
        <v>3.7 mA</v>
      </c>
      <c r="H40" s="77" t="str">
        <v/>
      </c>
      <c r="I40" s="48"/>
      <c r="J40" s="33" t="s">
        <v>54</v>
      </c>
      <c r="K40" s="30"/>
      <c r="L40" s="95">
        <v>3.9990000000000001</v>
      </c>
      <c r="M40" s="96"/>
      <c r="N40" s="96"/>
      <c r="O40" s="96"/>
      <c r="P40" s="97"/>
      <c r="S40" s="7"/>
      <c r="T40" s="41">
        <v>1E-3</v>
      </c>
      <c r="U40" s="31">
        <v>6</v>
      </c>
      <c r="V40" s="9" t="s">
        <v>13</v>
      </c>
      <c r="W40" s="27" t="str" cm="1">
        <f t="array" ref="W40">GetPolarity(V40,AD40)</f>
        <v>DC</v>
      </c>
      <c r="X40" s="32">
        <v>4</v>
      </c>
      <c r="Y40" s="31">
        <v>4.2999999999999997E-2</v>
      </c>
      <c r="Z40" s="89">
        <f t="shared" si="0"/>
        <v>4.0430000000000001</v>
      </c>
      <c r="AA40" s="89">
        <f t="shared" si="1"/>
        <v>3.9569999999999999</v>
      </c>
      <c r="AB40" s="28" t="s">
        <v>45</v>
      </c>
      <c r="AC40" s="32"/>
      <c r="AD40" s="31"/>
      <c r="AE40" s="29" t="str">
        <f t="shared" si="2"/>
        <v/>
      </c>
      <c r="AF40" s="42" t="str" cm="1">
        <f t="array" ref="AF40">FilterSpecialCharacters(V40)</f>
        <v>A</v>
      </c>
    </row>
    <row r="41" spans="1:32" x14ac:dyDescent="0.25">
      <c r="A41" s="58"/>
      <c r="B41" s="55" t="str" cm="1">
        <f t="array" ref="B41">U41&amp;AB41&amp;IfEmpty(S41,V41)</f>
        <v>10 A</v>
      </c>
      <c r="C41" s="56" t="str">
        <f t="shared" si="4"/>
        <v xml:space="preserve">-9 ADC </v>
      </c>
      <c r="D41" s="92">
        <f t="shared" si="3"/>
        <v>-9</v>
      </c>
      <c r="E41" s="61" t="str" cm="1">
        <f t="array" ref="E41">IfZero(AA41&amp;AF41&amp;W41)</f>
        <v>-9.12ADC</v>
      </c>
      <c r="F41" s="61" t="str" cm="1">
        <f t="array" ref="F41">IfZero(Z41&amp;AF41&amp;W41)</f>
        <v>-8.88ADC</v>
      </c>
      <c r="G41" s="57" t="str" cm="1">
        <f t="array" ref="G41:H41">IFERROR(CalcUnc(D41,I41,J41,Q41,R41,T41,V41,AC41,AD41,L41:P41,X41,Y41),"")</f>
        <v>10 mA</v>
      </c>
      <c r="H41" s="77" t="str">
        <v/>
      </c>
      <c r="I41" s="48"/>
      <c r="J41" s="33" t="s">
        <v>54</v>
      </c>
      <c r="K41" s="30"/>
      <c r="L41" s="95">
        <v>-9</v>
      </c>
      <c r="M41" s="96"/>
      <c r="N41" s="96"/>
      <c r="O41" s="96"/>
      <c r="P41" s="97"/>
      <c r="S41" s="7"/>
      <c r="T41" s="41">
        <v>0.01</v>
      </c>
      <c r="U41" s="31">
        <v>10</v>
      </c>
      <c r="V41" s="9" t="s">
        <v>13</v>
      </c>
      <c r="W41" s="27" t="str" cm="1">
        <f t="array" ref="W41">GetPolarity(V41,AD41)</f>
        <v>DC</v>
      </c>
      <c r="X41" s="32">
        <v>-9</v>
      </c>
      <c r="Y41" s="31">
        <v>0.12</v>
      </c>
      <c r="Z41" s="89">
        <f t="shared" si="0"/>
        <v>-8.8800000000000008</v>
      </c>
      <c r="AA41" s="89">
        <f t="shared" si="1"/>
        <v>-9.1199999999999992</v>
      </c>
      <c r="AB41" s="28" t="s">
        <v>45</v>
      </c>
      <c r="AC41" s="32"/>
      <c r="AD41" s="31"/>
      <c r="AE41" s="29" t="str">
        <f t="shared" si="2"/>
        <v/>
      </c>
      <c r="AF41" s="42" t="str" cm="1">
        <f t="array" ref="AF41">FilterSpecialCharacters(V41)</f>
        <v>A</v>
      </c>
    </row>
    <row r="42" spans="1:32" x14ac:dyDescent="0.25">
      <c r="A42" s="11" t="s">
        <v>110</v>
      </c>
      <c r="B42" s="53" t="str" cm="1">
        <f t="array" ref="B42">U42&amp;AB42&amp;IfEmpty(S42,V42)</f>
        <v>400 °C</v>
      </c>
      <c r="C42" s="64" t="str">
        <f t="shared" si="4"/>
        <v>0 °C</v>
      </c>
      <c r="D42" s="91">
        <f t="shared" si="3"/>
        <v>0.2</v>
      </c>
      <c r="E42" s="60" t="str" cm="1">
        <f t="array" ref="E42">IfZero(AA42&amp;AF42&amp;W42)</f>
        <v>-1°C</v>
      </c>
      <c r="F42" s="60" t="str" cm="1">
        <f t="array" ref="F42">IfZero(Z42&amp;AF42&amp;W42)</f>
        <v>1°C</v>
      </c>
      <c r="G42" s="54" t="str" cm="1">
        <f t="array" ref="G42:H42">IFERROR(CalcUnc(D42,I42,J42,Q42,R42,T42,V42,AC42,AD42,L42:P42,X42,Y42),"")</f>
        <v>0.2 °C</v>
      </c>
      <c r="H42" s="77" t="str">
        <v/>
      </c>
      <c r="I42" s="48"/>
      <c r="J42" s="33" t="s">
        <v>54</v>
      </c>
      <c r="K42" s="30"/>
      <c r="L42" s="95">
        <v>0.2</v>
      </c>
      <c r="M42" s="96"/>
      <c r="N42" s="96"/>
      <c r="O42" s="96"/>
      <c r="P42" s="97"/>
      <c r="R42" s="7" t="s">
        <v>111</v>
      </c>
      <c r="S42" s="7"/>
      <c r="T42" s="41">
        <v>0.1</v>
      </c>
      <c r="U42" s="31">
        <v>400</v>
      </c>
      <c r="V42" s="9" t="s">
        <v>23</v>
      </c>
      <c r="W42" s="27" t="str" cm="1">
        <f t="array" ref="W42">GetPolarity(V42,AD42)</f>
        <v/>
      </c>
      <c r="X42" s="32">
        <v>0</v>
      </c>
      <c r="Y42" s="31">
        <v>1</v>
      </c>
      <c r="Z42" s="89">
        <f t="shared" si="0"/>
        <v>1</v>
      </c>
      <c r="AA42" s="89">
        <f t="shared" si="1"/>
        <v>-1</v>
      </c>
      <c r="AB42" s="28" t="s">
        <v>45</v>
      </c>
      <c r="AC42" s="32"/>
      <c r="AD42" s="31"/>
      <c r="AE42" s="29" t="str">
        <f t="shared" si="2"/>
        <v/>
      </c>
      <c r="AF42" s="42" t="str" cm="1">
        <f t="array" ref="AF42">FilterSpecialCharacters(V42)</f>
        <v>°C</v>
      </c>
    </row>
    <row r="43" spans="1:32" x14ac:dyDescent="0.25">
      <c r="A43" s="58"/>
      <c r="B43" s="55" t="str" cm="1">
        <f t="array" ref="B43">U43&amp;AB43&amp;IfEmpty(S43,V43)</f>
        <v>400 °C</v>
      </c>
      <c r="C43" s="56" t="str">
        <f t="shared" si="4"/>
        <v>-40 °C</v>
      </c>
      <c r="D43" s="92">
        <f t="shared" si="3"/>
        <v>-39.799999999999997</v>
      </c>
      <c r="E43" s="61" t="str" cm="1">
        <f t="array" ref="E43">IfZero(AA43&amp;AF43&amp;W43)</f>
        <v>-41.4°C</v>
      </c>
      <c r="F43" s="61" t="str" cm="1">
        <f t="array" ref="F43">IfZero(Z43&amp;AF43&amp;W43)</f>
        <v>-38.6°C</v>
      </c>
      <c r="G43" s="57" t="str" cm="1">
        <f t="array" ref="G43:H43">IFERROR(CalcUnc(D43,I43,J43,Q43,R43,T43,V43,AC43,AD43,L43:P43,X43,Y43),"")</f>
        <v>0.23 °C</v>
      </c>
      <c r="H43" s="77" t="str">
        <v/>
      </c>
      <c r="I43" s="48"/>
      <c r="J43" s="33" t="s">
        <v>54</v>
      </c>
      <c r="K43" s="30"/>
      <c r="L43" s="95">
        <v>-39.799999999999997</v>
      </c>
      <c r="M43" s="96"/>
      <c r="N43" s="96"/>
      <c r="O43" s="96"/>
      <c r="P43" s="97"/>
      <c r="R43" s="7" t="s">
        <v>111</v>
      </c>
      <c r="S43" s="7"/>
      <c r="T43" s="41">
        <v>0.1</v>
      </c>
      <c r="U43" s="31">
        <v>400</v>
      </c>
      <c r="V43" s="9" t="s">
        <v>23</v>
      </c>
      <c r="W43" s="27" t="str" cm="1">
        <f t="array" ref="W43">GetPolarity(V43,AD43)</f>
        <v/>
      </c>
      <c r="X43" s="32">
        <v>-40</v>
      </c>
      <c r="Y43" s="31">
        <v>1.4</v>
      </c>
      <c r="Z43" s="89">
        <f t="shared" si="0"/>
        <v>-38.6</v>
      </c>
      <c r="AA43" s="89">
        <f t="shared" si="1"/>
        <v>-41.4</v>
      </c>
      <c r="AB43" s="28" t="s">
        <v>45</v>
      </c>
      <c r="AC43" s="32"/>
      <c r="AD43" s="31"/>
      <c r="AE43" s="29" t="str">
        <f t="shared" si="2"/>
        <v/>
      </c>
      <c r="AF43" s="42" t="str" cm="1">
        <f t="array" ref="AF43">FilterSpecialCharacters(V43)</f>
        <v>°C</v>
      </c>
    </row>
    <row r="44" spans="1:32" x14ac:dyDescent="0.25">
      <c r="A44" s="11"/>
      <c r="B44" s="53" t="str" cm="1">
        <f t="array" ref="B44">U44&amp;AB44&amp;IfEmpty(S44,V44)</f>
        <v>400 °C</v>
      </c>
      <c r="C44" s="64" t="str">
        <f t="shared" si="4"/>
        <v>400 °C</v>
      </c>
      <c r="D44" s="91">
        <f t="shared" si="3"/>
        <v>399.7</v>
      </c>
      <c r="E44" s="60" t="str" cm="1">
        <f t="array" ref="E44">IfZero(AA44&amp;AF44&amp;W44)</f>
        <v>395°C</v>
      </c>
      <c r="F44" s="60" t="str" cm="1">
        <f t="array" ref="F44">IfZero(Z44&amp;AF44&amp;W44)</f>
        <v>405°C</v>
      </c>
      <c r="G44" s="54" t="str" cm="1">
        <f t="array" ref="G44:H44">IFERROR(CalcUnc(D44,I44,J44,Q44,R44,T44,V44,AC44,AD44,L44:P44,X44,Y44),"")</f>
        <v>0.31 °C</v>
      </c>
      <c r="H44" s="77" t="str">
        <v/>
      </c>
      <c r="I44" s="48"/>
      <c r="J44" s="33" t="s">
        <v>54</v>
      </c>
      <c r="K44" s="30"/>
      <c r="L44" s="95">
        <v>399.7</v>
      </c>
      <c r="M44" s="96"/>
      <c r="N44" s="96"/>
      <c r="O44" s="96"/>
      <c r="P44" s="97"/>
      <c r="R44" s="7" t="s">
        <v>111</v>
      </c>
      <c r="S44" s="7"/>
      <c r="T44" s="41">
        <v>0.1</v>
      </c>
      <c r="U44" s="31">
        <v>400</v>
      </c>
      <c r="V44" s="9" t="s">
        <v>23</v>
      </c>
      <c r="W44" s="27" t="str" cm="1">
        <f t="array" ref="W44">GetPolarity(V44,AD44)</f>
        <v/>
      </c>
      <c r="X44" s="32">
        <v>400</v>
      </c>
      <c r="Y44" s="31">
        <v>5</v>
      </c>
      <c r="Z44" s="89">
        <f t="shared" si="0"/>
        <v>405</v>
      </c>
      <c r="AA44" s="89">
        <f t="shared" si="1"/>
        <v>395</v>
      </c>
      <c r="AB44" s="28" t="s">
        <v>45</v>
      </c>
      <c r="AC44" s="32"/>
      <c r="AD44" s="31"/>
      <c r="AE44" s="29" t="str">
        <f t="shared" si="2"/>
        <v/>
      </c>
      <c r="AF44" s="42" t="str" cm="1">
        <f t="array" ref="AF44">FilterSpecialCharacters(V44)</f>
        <v>°C</v>
      </c>
    </row>
    <row r="45" spans="1:32" x14ac:dyDescent="0.25">
      <c r="A45" s="55"/>
      <c r="B45" s="55" t="str" cm="1">
        <f t="array" ref="B45">U45&amp;AB45&amp;IfEmpty(S45,V45)</f>
        <v xml:space="preserve"> </v>
      </c>
      <c r="C45" s="56" t="str">
        <f t="shared" si="4"/>
        <v xml:space="preserve">  </v>
      </c>
      <c r="D45" s="92" t="str">
        <f t="shared" si="3"/>
        <v/>
      </c>
      <c r="E45" s="61" t="str" cm="1">
        <f t="array" ref="E45">IfZero(AA45&amp;AF45&amp;W45)</f>
        <v/>
      </c>
      <c r="F45" s="61" t="str" cm="1">
        <f t="array" ref="F45">IfZero(Z45&amp;AF45&amp;W45)</f>
        <v/>
      </c>
      <c r="G45" s="57" t="str" cm="1">
        <f t="array" ref="G45">IFERROR(CalcUnc(D45,I45,J45,Q45,R45,T45,V45,AC45,AD45,L45:P45,X45,Y45),"")</f>
        <v/>
      </c>
      <c r="H45" s="77"/>
      <c r="I45" s="48"/>
      <c r="J45" s="33"/>
      <c r="K45" s="30"/>
      <c r="L45" s="95"/>
      <c r="M45" s="96"/>
      <c r="N45" s="96"/>
      <c r="O45" s="96"/>
      <c r="P45" s="97"/>
      <c r="S45" s="7"/>
      <c r="T45" s="41"/>
      <c r="U45" s="31"/>
      <c r="V45" s="9"/>
      <c r="W45" s="27" t="str" cm="1">
        <f t="array" ref="W45">GetPolarity(V45,AD45)</f>
        <v/>
      </c>
      <c r="X45" s="32"/>
      <c r="Y45" s="87"/>
      <c r="Z45" s="89" t="str">
        <f t="shared" si="0"/>
        <v/>
      </c>
      <c r="AA45" s="89" t="str">
        <f t="shared" si="1"/>
        <v/>
      </c>
      <c r="AB45" s="28" t="s">
        <v>45</v>
      </c>
      <c r="AC45" s="32"/>
      <c r="AD45" s="31"/>
      <c r="AE45" s="29" t="str">
        <f t="shared" si="2"/>
        <v/>
      </c>
      <c r="AF45" s="42" t="str" cm="1">
        <f t="array" ref="AF45">FilterSpecialCharacters(V45)</f>
        <v/>
      </c>
    </row>
    <row r="46" spans="1:32" x14ac:dyDescent="0.25">
      <c r="A46" s="53"/>
      <c r="B46" s="53" t="str" cm="1">
        <f t="array" ref="B46">U46&amp;AB46&amp;IfEmpty(S46,V46)</f>
        <v xml:space="preserve"> </v>
      </c>
      <c r="C46" s="64" t="str">
        <f t="shared" si="4"/>
        <v xml:space="preserve">  </v>
      </c>
      <c r="D46" s="91" t="str">
        <f t="shared" si="3"/>
        <v/>
      </c>
      <c r="E46" s="60" t="str" cm="1">
        <f t="array" ref="E46">IfZero(AA46&amp;AF46&amp;W46)</f>
        <v/>
      </c>
      <c r="F46" s="60" t="str" cm="1">
        <f t="array" ref="F46">IfZero(Z46&amp;AF46&amp;W46)</f>
        <v/>
      </c>
      <c r="G46" s="54" t="str" cm="1">
        <f t="array" ref="G46">IFERROR(CalcUnc(D46,I46,J46,Q46,R46,T46,V46,AC46,AD46,L46:P46,X46,Y46),"")</f>
        <v/>
      </c>
      <c r="H46" s="77"/>
      <c r="I46" s="48"/>
      <c r="J46" s="33"/>
      <c r="K46" s="30"/>
      <c r="L46" s="95"/>
      <c r="M46" s="96"/>
      <c r="N46" s="96"/>
      <c r="O46" s="96"/>
      <c r="P46" s="97"/>
      <c r="S46" s="7"/>
      <c r="T46" s="41"/>
      <c r="U46" s="31"/>
      <c r="V46" s="9"/>
      <c r="W46" s="27" t="str" cm="1">
        <f t="array" ref="W46">GetPolarity(V46,AD46)</f>
        <v/>
      </c>
      <c r="X46" s="32"/>
      <c r="Y46" s="87"/>
      <c r="Z46" s="89" t="str">
        <f t="shared" si="0"/>
        <v/>
      </c>
      <c r="AA46" s="89" t="str">
        <f t="shared" si="1"/>
        <v/>
      </c>
      <c r="AB46" s="28" t="s">
        <v>45</v>
      </c>
      <c r="AC46" s="32"/>
      <c r="AD46" s="31"/>
      <c r="AE46" s="29" t="str">
        <f t="shared" si="2"/>
        <v/>
      </c>
      <c r="AF46" s="42" t="str" cm="1">
        <f t="array" ref="AF46">FilterSpecialCharacters(V46)</f>
        <v/>
      </c>
    </row>
    <row r="47" spans="1:32" x14ac:dyDescent="0.25">
      <c r="A47" s="55"/>
      <c r="B47" s="55" t="str" cm="1">
        <f t="array" ref="B47">U47&amp;AB47&amp;IfEmpty(S47,V47)</f>
        <v xml:space="preserve"> </v>
      </c>
      <c r="C47" s="56" t="str">
        <f t="shared" si="4"/>
        <v xml:space="preserve">  </v>
      </c>
      <c r="D47" s="92" t="str">
        <f t="shared" si="3"/>
        <v/>
      </c>
      <c r="E47" s="61" t="str" cm="1">
        <f t="array" ref="E47">IfZero(AA47&amp;AF47&amp;W47)</f>
        <v/>
      </c>
      <c r="F47" s="61" t="str" cm="1">
        <f t="array" ref="F47">IfZero(Z47&amp;AF47&amp;W47)</f>
        <v/>
      </c>
      <c r="G47" s="57" t="str" cm="1">
        <f t="array" ref="G47">IFERROR(CalcUnc(D47,I47,J47,Q47,R47,T47,V47,AC47,AD47,L47:P47,X47,Y47),"")</f>
        <v/>
      </c>
      <c r="H47" s="77"/>
      <c r="I47" s="48"/>
      <c r="J47" s="33"/>
      <c r="K47" s="30"/>
      <c r="L47" s="95"/>
      <c r="M47" s="96"/>
      <c r="N47" s="96"/>
      <c r="O47" s="96"/>
      <c r="P47" s="97"/>
      <c r="S47" s="7"/>
      <c r="T47" s="41"/>
      <c r="U47" s="31"/>
      <c r="V47" s="9"/>
      <c r="W47" s="27" t="str" cm="1">
        <f t="array" ref="W47">GetPolarity(V47,AD47)</f>
        <v/>
      </c>
      <c r="X47" s="32"/>
      <c r="Y47" s="87"/>
      <c r="Z47" s="89" t="str">
        <f t="shared" si="0"/>
        <v/>
      </c>
      <c r="AA47" s="89" t="str">
        <f t="shared" si="1"/>
        <v/>
      </c>
      <c r="AB47" s="28" t="s">
        <v>45</v>
      </c>
      <c r="AC47" s="32"/>
      <c r="AD47" s="31"/>
      <c r="AE47" s="29" t="str">
        <f t="shared" si="2"/>
        <v/>
      </c>
      <c r="AF47" s="42" t="str" cm="1">
        <f t="array" ref="AF47">FilterSpecialCharacters(V47)</f>
        <v/>
      </c>
    </row>
    <row r="48" spans="1:32" x14ac:dyDescent="0.25">
      <c r="A48" s="53"/>
      <c r="B48" s="53" t="str" cm="1">
        <f t="array" ref="B48">U48&amp;AB48&amp;IfEmpty(S48,V48)</f>
        <v xml:space="preserve"> </v>
      </c>
      <c r="C48" s="64" t="str">
        <f t="shared" si="4"/>
        <v xml:space="preserve">  </v>
      </c>
      <c r="D48" s="91" t="str">
        <f t="shared" si="3"/>
        <v/>
      </c>
      <c r="E48" s="60" t="str" cm="1">
        <f t="array" ref="E48">IfZero(AA48&amp;AF48&amp;W48)</f>
        <v/>
      </c>
      <c r="F48" s="60" t="str" cm="1">
        <f t="array" ref="F48">IfZero(Z48&amp;AF48&amp;W48)</f>
        <v/>
      </c>
      <c r="G48" s="54" t="str" cm="1">
        <f t="array" ref="G48">IFERROR(CalcUnc(D48,I48,J48,Q48,R48,T48,V48,AC48,AD48,L48:P48,X48,Y48),"")</f>
        <v/>
      </c>
      <c r="H48" s="77"/>
      <c r="I48" s="48"/>
      <c r="J48" s="33"/>
      <c r="K48" s="30"/>
      <c r="L48" s="95"/>
      <c r="M48" s="96"/>
      <c r="N48" s="96"/>
      <c r="O48" s="96"/>
      <c r="P48" s="97"/>
      <c r="S48" s="7"/>
      <c r="T48" s="41"/>
      <c r="U48" s="31"/>
      <c r="V48" s="9"/>
      <c r="W48" s="27" t="str" cm="1">
        <f t="array" ref="W48">GetPolarity(V48,AD48)</f>
        <v/>
      </c>
      <c r="X48" s="32"/>
      <c r="Y48" s="87"/>
      <c r="Z48" s="89" t="str">
        <f t="shared" si="0"/>
        <v/>
      </c>
      <c r="AA48" s="89" t="str">
        <f t="shared" si="1"/>
        <v/>
      </c>
      <c r="AB48" s="28" t="s">
        <v>45</v>
      </c>
      <c r="AC48" s="32"/>
      <c r="AD48" s="31"/>
      <c r="AE48" s="29" t="str">
        <f t="shared" si="2"/>
        <v/>
      </c>
      <c r="AF48" s="42" t="str" cm="1">
        <f t="array" ref="AF48">FilterSpecialCharacters(V48)</f>
        <v/>
      </c>
    </row>
    <row r="49" spans="1:32" x14ac:dyDescent="0.25">
      <c r="A49" s="55"/>
      <c r="B49" s="55" t="str" cm="1">
        <f t="array" ref="B49">U49&amp;AB49&amp;IfEmpty(S49,V49)</f>
        <v xml:space="preserve"> </v>
      </c>
      <c r="C49" s="56" t="str">
        <f t="shared" si="4"/>
        <v xml:space="preserve">  </v>
      </c>
      <c r="D49" s="92" t="str">
        <f t="shared" si="3"/>
        <v/>
      </c>
      <c r="E49" s="61" t="str" cm="1">
        <f t="array" ref="E49">IfZero(AA49&amp;AF49&amp;W49)</f>
        <v/>
      </c>
      <c r="F49" s="61" t="str" cm="1">
        <f t="array" ref="F49">IfZero(Z49&amp;AF49&amp;W49)</f>
        <v/>
      </c>
      <c r="G49" s="57" t="str" cm="1">
        <f t="array" ref="G49">IFERROR(CalcUnc(D49,I49,J49,Q49,R49,T49,V49,AC49,AD49,L49:P49,X49,Y49),"")</f>
        <v/>
      </c>
      <c r="H49" s="77"/>
      <c r="I49" s="48"/>
      <c r="J49" s="33"/>
      <c r="K49" s="30"/>
      <c r="L49" s="95"/>
      <c r="M49" s="96"/>
      <c r="N49" s="96"/>
      <c r="O49" s="96"/>
      <c r="P49" s="97"/>
      <c r="S49" s="7"/>
      <c r="T49" s="41"/>
      <c r="U49" s="31"/>
      <c r="V49" s="9"/>
      <c r="W49" s="27" t="str" cm="1">
        <f t="array" ref="W49">GetPolarity(V49,AD49)</f>
        <v/>
      </c>
      <c r="X49" s="32"/>
      <c r="Y49" s="87"/>
      <c r="Z49" s="89" t="str">
        <f t="shared" si="0"/>
        <v/>
      </c>
      <c r="AA49" s="89" t="str">
        <f t="shared" si="1"/>
        <v/>
      </c>
      <c r="AB49" s="28" t="s">
        <v>45</v>
      </c>
      <c r="AC49" s="32"/>
      <c r="AD49" s="31"/>
      <c r="AE49" s="29" t="str">
        <f t="shared" si="2"/>
        <v/>
      </c>
      <c r="AF49" s="42" t="str" cm="1">
        <f t="array" ref="AF49">FilterSpecialCharacters(V49)</f>
        <v/>
      </c>
    </row>
    <row r="50" spans="1:32" x14ac:dyDescent="0.25">
      <c r="A50" s="53"/>
      <c r="B50" s="53" t="str" cm="1">
        <f t="array" ref="B50">U50&amp;AB50&amp;IfEmpty(S50,V50)</f>
        <v xml:space="preserve"> </v>
      </c>
      <c r="C50" s="64" t="str">
        <f t="shared" si="4"/>
        <v xml:space="preserve">  </v>
      </c>
      <c r="D50" s="91" t="str">
        <f t="shared" si="3"/>
        <v/>
      </c>
      <c r="E50" s="60" t="str" cm="1">
        <f t="array" ref="E50">IfZero(AA50&amp;AF50&amp;W50)</f>
        <v/>
      </c>
      <c r="F50" s="60" t="str" cm="1">
        <f t="array" ref="F50">IfZero(Z50&amp;AF50&amp;W50)</f>
        <v/>
      </c>
      <c r="G50" s="54" t="str" cm="1">
        <f t="array" ref="G50">IFERROR(CalcUnc(D50,I50,J50,Q50,R50,T50,V50,AC50,AD50,L50:P50,X50,Y50),"")</f>
        <v/>
      </c>
      <c r="H50" s="77"/>
      <c r="I50" s="48"/>
      <c r="J50" s="33"/>
      <c r="K50" s="30"/>
      <c r="L50" s="95"/>
      <c r="M50" s="96"/>
      <c r="N50" s="96"/>
      <c r="O50" s="96"/>
      <c r="P50" s="97"/>
      <c r="S50" s="7"/>
      <c r="T50" s="41"/>
      <c r="U50" s="31"/>
      <c r="V50" s="9"/>
      <c r="W50" s="27" t="str" cm="1">
        <f t="array" ref="W50">GetPolarity(V50,AD50)</f>
        <v/>
      </c>
      <c r="X50" s="32"/>
      <c r="Y50" s="87"/>
      <c r="Z50" s="89" t="str">
        <f t="shared" si="0"/>
        <v/>
      </c>
      <c r="AA50" s="89" t="str">
        <f t="shared" si="1"/>
        <v/>
      </c>
      <c r="AB50" s="28" t="s">
        <v>45</v>
      </c>
      <c r="AC50" s="32"/>
      <c r="AD50" s="31"/>
      <c r="AE50" s="29" t="str">
        <f t="shared" si="2"/>
        <v/>
      </c>
      <c r="AF50" s="42" t="str" cm="1">
        <f t="array" ref="AF50">FilterSpecialCharacters(V50)</f>
        <v/>
      </c>
    </row>
    <row r="51" spans="1:32" x14ac:dyDescent="0.25">
      <c r="A51" s="55"/>
      <c r="B51" s="55" t="str" cm="1">
        <f t="array" ref="B51">U51&amp;AB51&amp;IfEmpty(S51,V51)</f>
        <v xml:space="preserve"> </v>
      </c>
      <c r="C51" s="56" t="str">
        <f t="shared" si="4"/>
        <v xml:space="preserve">  </v>
      </c>
      <c r="D51" s="92" t="str">
        <f t="shared" si="3"/>
        <v/>
      </c>
      <c r="E51" s="61" t="str" cm="1">
        <f t="array" ref="E51">IfZero(AA51&amp;AF51&amp;W51)</f>
        <v/>
      </c>
      <c r="F51" s="61" t="str" cm="1">
        <f t="array" ref="F51">IfZero(Z51&amp;AF51&amp;W51)</f>
        <v/>
      </c>
      <c r="G51" s="57" t="str" cm="1">
        <f t="array" ref="G51">IFERROR(CalcUnc(D51,I51,J51,Q51,R51,T51,V51,AC51,AD51,L51:P51,X51,Y51),"")</f>
        <v/>
      </c>
      <c r="H51" s="77"/>
      <c r="I51" s="48"/>
      <c r="J51" s="33"/>
      <c r="K51" s="30"/>
      <c r="L51" s="95"/>
      <c r="M51" s="96"/>
      <c r="N51" s="96"/>
      <c r="O51" s="96"/>
      <c r="P51" s="97"/>
      <c r="S51" s="7"/>
      <c r="T51" s="41"/>
      <c r="U51" s="31"/>
      <c r="V51" s="9"/>
      <c r="W51" s="27" t="str" cm="1">
        <f t="array" ref="W51">GetPolarity(V51,AD51)</f>
        <v/>
      </c>
      <c r="X51" s="32"/>
      <c r="Y51" s="87"/>
      <c r="Z51" s="89" t="str">
        <f t="shared" si="0"/>
        <v/>
      </c>
      <c r="AA51" s="89" t="str">
        <f t="shared" si="1"/>
        <v/>
      </c>
      <c r="AB51" s="28" t="s">
        <v>45</v>
      </c>
      <c r="AC51" s="32"/>
      <c r="AD51" s="31"/>
      <c r="AE51" s="29" t="str">
        <f t="shared" si="2"/>
        <v/>
      </c>
      <c r="AF51" s="42" t="str" cm="1">
        <f t="array" ref="AF51">FilterSpecialCharacters(V51)</f>
        <v/>
      </c>
    </row>
    <row r="52" spans="1:32" x14ac:dyDescent="0.25">
      <c r="A52" s="53"/>
      <c r="B52" s="53" t="str" cm="1">
        <f t="array" ref="B52">U52&amp;AB52&amp;IfEmpty(S52,V52)</f>
        <v xml:space="preserve"> </v>
      </c>
      <c r="C52" s="64" t="str">
        <f t="shared" si="4"/>
        <v xml:space="preserve">  </v>
      </c>
      <c r="D52" s="91" t="str">
        <f t="shared" si="3"/>
        <v/>
      </c>
      <c r="E52" s="60" t="str" cm="1">
        <f t="array" ref="E52">IfZero(AA52&amp;AF52&amp;W52)</f>
        <v/>
      </c>
      <c r="F52" s="60" t="str" cm="1">
        <f t="array" ref="F52">IfZero(Z52&amp;AF52&amp;W52)</f>
        <v/>
      </c>
      <c r="G52" s="54" t="str" cm="1">
        <f t="array" ref="G52">IFERROR(CalcUnc(D52,I52,J52,Q52,R52,T52,V52,AC52,AD52,L52:P52,X52,Y52),"")</f>
        <v/>
      </c>
      <c r="H52" s="77"/>
      <c r="I52" s="48"/>
      <c r="J52" s="33"/>
      <c r="K52" s="30"/>
      <c r="L52" s="95"/>
      <c r="M52" s="96"/>
      <c r="N52" s="96"/>
      <c r="O52" s="96"/>
      <c r="P52" s="97"/>
      <c r="S52" s="7"/>
      <c r="T52" s="41"/>
      <c r="U52" s="31"/>
      <c r="V52" s="9"/>
      <c r="W52" s="27" t="str" cm="1">
        <f t="array" ref="W52">GetPolarity(V52,AD52)</f>
        <v/>
      </c>
      <c r="X52" s="32"/>
      <c r="Y52" s="87"/>
      <c r="Z52" s="89" t="str">
        <f t="shared" si="0"/>
        <v/>
      </c>
      <c r="AA52" s="89" t="str">
        <f t="shared" si="1"/>
        <v/>
      </c>
      <c r="AB52" s="28" t="s">
        <v>45</v>
      </c>
      <c r="AC52" s="32"/>
      <c r="AD52" s="31"/>
      <c r="AE52" s="29" t="str">
        <f t="shared" si="2"/>
        <v/>
      </c>
      <c r="AF52" s="42" t="str" cm="1">
        <f t="array" ref="AF52">FilterSpecialCharacters(V52)</f>
        <v/>
      </c>
    </row>
    <row r="53" spans="1:32" x14ac:dyDescent="0.25">
      <c r="A53" s="55"/>
      <c r="B53" s="55" t="str" cm="1">
        <f t="array" ref="B53">U53&amp;AB53&amp;IfEmpty(S53,V53)</f>
        <v xml:space="preserve"> </v>
      </c>
      <c r="C53" s="56" t="str">
        <f t="shared" si="4"/>
        <v xml:space="preserve">  </v>
      </c>
      <c r="D53" s="92" t="str">
        <f t="shared" si="3"/>
        <v/>
      </c>
      <c r="E53" s="61" t="str" cm="1">
        <f t="array" ref="E53">IfZero(AA53&amp;AF53&amp;W53)</f>
        <v/>
      </c>
      <c r="F53" s="61" t="str" cm="1">
        <f t="array" ref="F53">IfZero(Z53&amp;AF53&amp;W53)</f>
        <v/>
      </c>
      <c r="G53" s="57" t="str" cm="1">
        <f t="array" ref="G53">IFERROR(CalcUnc(D53,I53,J53,Q53,R53,T53,V53,AC53,AD53,L53:P53,X53,Y53),"")</f>
        <v/>
      </c>
      <c r="H53" s="77"/>
      <c r="I53" s="48"/>
      <c r="J53" s="33"/>
      <c r="K53" s="30"/>
      <c r="L53" s="95"/>
      <c r="M53" s="96"/>
      <c r="N53" s="96"/>
      <c r="O53" s="96"/>
      <c r="P53" s="97"/>
      <c r="S53" s="7"/>
      <c r="T53" s="41"/>
      <c r="U53" s="31"/>
      <c r="V53" s="9"/>
      <c r="W53" s="27" t="str" cm="1">
        <f t="array" ref="W53">GetPolarity(V53,AD53)</f>
        <v/>
      </c>
      <c r="X53" s="32"/>
      <c r="Y53" s="87"/>
      <c r="Z53" s="89" t="str">
        <f t="shared" si="0"/>
        <v/>
      </c>
      <c r="AA53" s="89" t="str">
        <f t="shared" si="1"/>
        <v/>
      </c>
      <c r="AB53" s="28" t="s">
        <v>45</v>
      </c>
      <c r="AC53" s="32"/>
      <c r="AD53" s="31"/>
      <c r="AE53" s="29" t="str">
        <f t="shared" si="2"/>
        <v/>
      </c>
      <c r="AF53" s="42" t="str" cm="1">
        <f t="array" ref="AF53">FilterSpecialCharacters(V53)</f>
        <v/>
      </c>
    </row>
    <row r="54" spans="1:32" x14ac:dyDescent="0.25">
      <c r="A54" s="53"/>
      <c r="B54" s="53" t="str" cm="1">
        <f t="array" ref="B54">U54&amp;AB54&amp;IfEmpty(S54,V54)</f>
        <v xml:space="preserve"> </v>
      </c>
      <c r="C54" s="64" t="str">
        <f t="shared" si="4"/>
        <v xml:space="preserve">  </v>
      </c>
      <c r="D54" s="91" t="str">
        <f t="shared" si="3"/>
        <v/>
      </c>
      <c r="E54" s="60" t="str" cm="1">
        <f t="array" ref="E54">IfZero(AA54&amp;AF54&amp;W54)</f>
        <v/>
      </c>
      <c r="F54" s="60" t="str" cm="1">
        <f t="array" ref="F54">IfZero(Z54&amp;AF54&amp;W54)</f>
        <v/>
      </c>
      <c r="G54" s="54" t="str" cm="1">
        <f t="array" ref="G54">IFERROR(CalcUnc(D54,I54,J54,Q54,R54,T54,V54,AC54,AD54,L54:P54,X54,Y54),"")</f>
        <v/>
      </c>
      <c r="H54" s="77"/>
      <c r="I54" s="48"/>
      <c r="J54" s="33"/>
      <c r="K54" s="30"/>
      <c r="L54" s="95"/>
      <c r="M54" s="96"/>
      <c r="N54" s="96"/>
      <c r="O54" s="96"/>
      <c r="P54" s="97"/>
      <c r="S54" s="7"/>
      <c r="T54" s="41"/>
      <c r="U54" s="31"/>
      <c r="V54" s="9"/>
      <c r="W54" s="27" t="str" cm="1">
        <f t="array" ref="W54">GetPolarity(V54,AD54)</f>
        <v/>
      </c>
      <c r="X54" s="32"/>
      <c r="Y54" s="87"/>
      <c r="Z54" s="89" t="str">
        <f t="shared" si="0"/>
        <v/>
      </c>
      <c r="AA54" s="89" t="str">
        <f t="shared" si="1"/>
        <v/>
      </c>
      <c r="AB54" s="28" t="s">
        <v>45</v>
      </c>
      <c r="AC54" s="32"/>
      <c r="AD54" s="31"/>
      <c r="AE54" s="29" t="str">
        <f t="shared" si="2"/>
        <v/>
      </c>
      <c r="AF54" s="42" t="str" cm="1">
        <f t="array" ref="AF54">FilterSpecialCharacters(V54)</f>
        <v/>
      </c>
    </row>
    <row r="55" spans="1:32" x14ac:dyDescent="0.25">
      <c r="A55" s="55"/>
      <c r="B55" s="55" t="str" cm="1">
        <f t="array" ref="B55">U55&amp;AB55&amp;IfEmpty(S55,V55)</f>
        <v xml:space="preserve"> </v>
      </c>
      <c r="C55" s="56" t="str">
        <f t="shared" si="4"/>
        <v xml:space="preserve">  </v>
      </c>
      <c r="D55" s="92" t="str">
        <f t="shared" si="3"/>
        <v/>
      </c>
      <c r="E55" s="61" t="str" cm="1">
        <f t="array" ref="E55">IfZero(AA55&amp;AF55&amp;W55)</f>
        <v/>
      </c>
      <c r="F55" s="61" t="str" cm="1">
        <f t="array" ref="F55">IfZero(Z55&amp;AF55&amp;W55)</f>
        <v/>
      </c>
      <c r="G55" s="57" t="str" cm="1">
        <f t="array" ref="G55">IFERROR(CalcUnc(D55,I55,J55,Q55,R55,T55,V55,AC55,AD55,L55:P55,X55,Y55),"")</f>
        <v/>
      </c>
      <c r="H55" s="77"/>
      <c r="I55" s="48"/>
      <c r="J55" s="33"/>
      <c r="K55" s="30"/>
      <c r="L55" s="95"/>
      <c r="M55" s="96"/>
      <c r="N55" s="96"/>
      <c r="O55" s="96"/>
      <c r="P55" s="97"/>
      <c r="S55" s="7"/>
      <c r="T55" s="41"/>
      <c r="U55" s="31"/>
      <c r="V55" s="9"/>
      <c r="W55" s="27" t="str" cm="1">
        <f t="array" ref="W55">GetPolarity(V55,AD55)</f>
        <v/>
      </c>
      <c r="X55" s="32"/>
      <c r="Y55" s="87"/>
      <c r="Z55" s="89" t="str">
        <f t="shared" si="0"/>
        <v/>
      </c>
      <c r="AA55" s="89" t="str">
        <f t="shared" si="1"/>
        <v/>
      </c>
      <c r="AB55" s="28" t="s">
        <v>45</v>
      </c>
      <c r="AC55" s="32"/>
      <c r="AD55" s="31"/>
      <c r="AE55" s="29" t="str">
        <f t="shared" si="2"/>
        <v/>
      </c>
      <c r="AF55" s="42" t="str" cm="1">
        <f t="array" ref="AF55">FilterSpecialCharacters(V55)</f>
        <v/>
      </c>
    </row>
    <row r="56" spans="1:32" x14ac:dyDescent="0.25">
      <c r="A56" s="53"/>
      <c r="B56" s="53" t="str" cm="1">
        <f t="array" ref="B56">U56&amp;AB56&amp;IfEmpty(S56,V56)</f>
        <v xml:space="preserve"> </v>
      </c>
      <c r="C56" s="64" t="str">
        <f t="shared" si="4"/>
        <v xml:space="preserve">  </v>
      </c>
      <c r="D56" s="91" t="str">
        <f t="shared" si="3"/>
        <v/>
      </c>
      <c r="E56" s="60" t="str" cm="1">
        <f t="array" ref="E56">IfZero(AA56&amp;AF56&amp;W56)</f>
        <v/>
      </c>
      <c r="F56" s="60" t="str" cm="1">
        <f t="array" ref="F56">IfZero(Z56&amp;AF56&amp;W56)</f>
        <v/>
      </c>
      <c r="G56" s="54" t="str" cm="1">
        <f t="array" ref="G56">IFERROR(CalcUnc(D56,I56,J56,Q56,R56,T56,V56,AC56,AD56,L56:P56,X56,Y56),"")</f>
        <v/>
      </c>
      <c r="H56" s="77"/>
      <c r="I56" s="48"/>
      <c r="J56" s="33"/>
      <c r="K56" s="30"/>
      <c r="L56" s="95"/>
      <c r="M56" s="96"/>
      <c r="N56" s="96"/>
      <c r="O56" s="96"/>
      <c r="P56" s="97"/>
      <c r="S56" s="7"/>
      <c r="T56" s="41"/>
      <c r="U56" s="31"/>
      <c r="V56" s="9"/>
      <c r="W56" s="27" t="str" cm="1">
        <f t="array" ref="W56">GetPolarity(V56,AD56)</f>
        <v/>
      </c>
      <c r="X56" s="32"/>
      <c r="Y56" s="87"/>
      <c r="Z56" s="89" t="str">
        <f t="shared" si="0"/>
        <v/>
      </c>
      <c r="AA56" s="89" t="str">
        <f t="shared" si="1"/>
        <v/>
      </c>
      <c r="AB56" s="28" t="s">
        <v>45</v>
      </c>
      <c r="AC56" s="32"/>
      <c r="AD56" s="31"/>
      <c r="AE56" s="29" t="str">
        <f t="shared" si="2"/>
        <v/>
      </c>
      <c r="AF56" s="42" t="str" cm="1">
        <f t="array" ref="AF56">FilterSpecialCharacters(V56)</f>
        <v/>
      </c>
    </row>
    <row r="57" spans="1:32" x14ac:dyDescent="0.25">
      <c r="A57" s="55"/>
      <c r="B57" s="55" t="str" cm="1">
        <f t="array" ref="B57">U57&amp;AB57&amp;IfEmpty(S57,V57)</f>
        <v xml:space="preserve"> </v>
      </c>
      <c r="C57" s="56" t="str">
        <f t="shared" si="4"/>
        <v xml:space="preserve">  </v>
      </c>
      <c r="D57" s="92" t="str">
        <f t="shared" si="3"/>
        <v/>
      </c>
      <c r="E57" s="61" t="str" cm="1">
        <f t="array" ref="E57">IfZero(AA57&amp;AF57&amp;W57)</f>
        <v/>
      </c>
      <c r="F57" s="61" t="str" cm="1">
        <f t="array" ref="F57">IfZero(Z57&amp;AF57&amp;W57)</f>
        <v/>
      </c>
      <c r="G57" s="57" t="str" cm="1">
        <f t="array" ref="G57">IFERROR(CalcUnc(D57,I57,J57,Q57,R57,T57,V57,AC57,AD57,L57:P57,X57,Y57),"")</f>
        <v/>
      </c>
      <c r="H57" s="77"/>
      <c r="I57" s="48"/>
      <c r="J57" s="33"/>
      <c r="K57" s="30"/>
      <c r="L57" s="95"/>
      <c r="M57" s="96"/>
      <c r="N57" s="96"/>
      <c r="O57" s="96"/>
      <c r="P57" s="97"/>
      <c r="S57" s="7"/>
      <c r="T57" s="41"/>
      <c r="U57" s="31"/>
      <c r="V57" s="9"/>
      <c r="W57" s="27" t="str" cm="1">
        <f t="array" ref="W57">GetPolarity(V57,AD57)</f>
        <v/>
      </c>
      <c r="X57" s="32"/>
      <c r="Y57" s="87"/>
      <c r="Z57" s="89" t="str">
        <f t="shared" si="0"/>
        <v/>
      </c>
      <c r="AA57" s="89" t="str">
        <f t="shared" si="1"/>
        <v/>
      </c>
      <c r="AB57" s="28" t="s">
        <v>45</v>
      </c>
      <c r="AC57" s="32"/>
      <c r="AD57" s="31"/>
      <c r="AE57" s="29" t="str">
        <f t="shared" si="2"/>
        <v/>
      </c>
      <c r="AF57" s="42" t="str" cm="1">
        <f t="array" ref="AF57">FilterSpecialCharacters(V57)</f>
        <v/>
      </c>
    </row>
    <row r="58" spans="1:32" x14ac:dyDescent="0.25">
      <c r="A58" s="53"/>
      <c r="B58" s="53" t="str" cm="1">
        <f t="array" ref="B58">U58&amp;AB58&amp;IfEmpty(S58,V58)</f>
        <v xml:space="preserve"> </v>
      </c>
      <c r="C58" s="64" t="str">
        <f t="shared" si="4"/>
        <v xml:space="preserve">  </v>
      </c>
      <c r="D58" s="91" t="str">
        <f t="shared" si="3"/>
        <v/>
      </c>
      <c r="E58" s="60" t="str" cm="1">
        <f t="array" ref="E58">IfZero(AA58&amp;AF58&amp;W58)</f>
        <v/>
      </c>
      <c r="F58" s="60" t="str" cm="1">
        <f t="array" ref="F58">IfZero(Z58&amp;AF58&amp;W58)</f>
        <v/>
      </c>
      <c r="G58" s="54" t="str" cm="1">
        <f t="array" ref="G58">IFERROR(CalcUnc(D58,I58,J58,Q58,R58,T58,V58,AC58,AD58,L58:P58,X58,Y58),"")</f>
        <v/>
      </c>
      <c r="H58" s="77"/>
      <c r="I58" s="48"/>
      <c r="J58" s="33"/>
      <c r="K58" s="30"/>
      <c r="L58" s="95"/>
      <c r="M58" s="96"/>
      <c r="N58" s="96"/>
      <c r="O58" s="96"/>
      <c r="P58" s="97"/>
      <c r="S58" s="7"/>
      <c r="T58" s="41"/>
      <c r="U58" s="31"/>
      <c r="V58" s="9"/>
      <c r="W58" s="27" t="str" cm="1">
        <f t="array" ref="W58">GetPolarity(V58,AD58)</f>
        <v/>
      </c>
      <c r="X58" s="32"/>
      <c r="Y58" s="87"/>
      <c r="Z58" s="89" t="str">
        <f t="shared" si="0"/>
        <v/>
      </c>
      <c r="AA58" s="89" t="str">
        <f t="shared" si="1"/>
        <v/>
      </c>
      <c r="AB58" s="28" t="s">
        <v>45</v>
      </c>
      <c r="AC58" s="32"/>
      <c r="AD58" s="31"/>
      <c r="AE58" s="29" t="str">
        <f t="shared" si="2"/>
        <v/>
      </c>
      <c r="AF58" s="42" t="str" cm="1">
        <f t="array" ref="AF58">FilterSpecialCharacters(V58)</f>
        <v/>
      </c>
    </row>
    <row r="59" spans="1:32" x14ac:dyDescent="0.25">
      <c r="A59" s="58"/>
      <c r="B59" s="55" t="str" cm="1">
        <f t="array" ref="B59">U59&amp;AB59&amp;IfEmpty(S59,V59)</f>
        <v xml:space="preserve"> </v>
      </c>
      <c r="C59" s="56" t="str">
        <f t="shared" si="4"/>
        <v xml:space="preserve">  </v>
      </c>
      <c r="D59" s="92" t="str">
        <f t="shared" si="3"/>
        <v/>
      </c>
      <c r="E59" s="61" t="str" cm="1">
        <f t="array" ref="E59">IfZero(AA59&amp;AF59&amp;W59)</f>
        <v/>
      </c>
      <c r="F59" s="61" t="str" cm="1">
        <f t="array" ref="F59">IfZero(Z59&amp;AF59&amp;W59)</f>
        <v/>
      </c>
      <c r="G59" s="57" t="str" cm="1">
        <f t="array" ref="G59">IFERROR(CalcUnc(D59,I59,J59,Q59,R59,T59,V59,AC59,AD59,L59:P59,X59,Y59),"")</f>
        <v/>
      </c>
      <c r="H59" s="77"/>
      <c r="I59" s="48"/>
      <c r="J59" s="33"/>
      <c r="K59" s="30"/>
      <c r="L59" s="95"/>
      <c r="M59" s="96"/>
      <c r="N59" s="96"/>
      <c r="O59" s="96"/>
      <c r="P59" s="97"/>
      <c r="S59" s="7"/>
      <c r="T59" s="41"/>
      <c r="U59" s="31"/>
      <c r="V59" s="9"/>
      <c r="W59" s="27" t="str" cm="1">
        <f t="array" ref="W59">GetPolarity(V59,AD59)</f>
        <v/>
      </c>
      <c r="X59" s="32"/>
      <c r="Y59" s="87"/>
      <c r="Z59" s="89" t="str">
        <f t="shared" si="0"/>
        <v/>
      </c>
      <c r="AA59" s="89" t="str">
        <f t="shared" si="1"/>
        <v/>
      </c>
      <c r="AB59" s="28" t="s">
        <v>45</v>
      </c>
      <c r="AC59" s="32"/>
      <c r="AD59" s="31"/>
      <c r="AE59" s="29" t="str">
        <f t="shared" si="2"/>
        <v/>
      </c>
      <c r="AF59" s="42" t="str" cm="1">
        <f t="array" ref="AF59">FilterSpecialCharacters(V59)</f>
        <v/>
      </c>
    </row>
    <row r="60" spans="1:32" x14ac:dyDescent="0.25">
      <c r="A60" s="11"/>
      <c r="B60" s="53" t="str" cm="1">
        <f t="array" ref="B60">U60&amp;AB60&amp;IfEmpty(S60,V60)</f>
        <v xml:space="preserve"> </v>
      </c>
      <c r="C60" s="64" t="str">
        <f t="shared" si="4"/>
        <v xml:space="preserve">  </v>
      </c>
      <c r="D60" s="91" t="str">
        <f t="shared" si="3"/>
        <v/>
      </c>
      <c r="E60" s="60" t="str" cm="1">
        <f t="array" ref="E60">IfZero(AA60&amp;AF60&amp;W60)</f>
        <v/>
      </c>
      <c r="F60" s="60" t="str" cm="1">
        <f t="array" ref="F60">IfZero(Z60&amp;AF60&amp;W60)</f>
        <v/>
      </c>
      <c r="G60" s="54" t="str" cm="1">
        <f t="array" ref="G60">IFERROR(CalcUnc(D60,I60,J60,Q60,R60,T60,V60,AC60,AD60,L60:P60,X60,Y60),"")</f>
        <v/>
      </c>
      <c r="H60" s="77"/>
      <c r="I60" s="48"/>
      <c r="J60" s="33"/>
      <c r="K60" s="30"/>
      <c r="L60" s="95"/>
      <c r="M60" s="96"/>
      <c r="N60" s="96"/>
      <c r="O60" s="96"/>
      <c r="P60" s="97"/>
      <c r="S60" s="7"/>
      <c r="T60" s="41"/>
      <c r="U60" s="31"/>
      <c r="V60" s="9"/>
      <c r="W60" s="27" t="str" cm="1">
        <f t="array" ref="W60">GetPolarity(V60,AD60)</f>
        <v/>
      </c>
      <c r="X60" s="32"/>
      <c r="Y60" s="87"/>
      <c r="Z60" s="89" t="str">
        <f t="shared" si="0"/>
        <v/>
      </c>
      <c r="AA60" s="89" t="str">
        <f t="shared" si="1"/>
        <v/>
      </c>
      <c r="AB60" s="28" t="s">
        <v>45</v>
      </c>
      <c r="AC60" s="32"/>
      <c r="AD60" s="31"/>
      <c r="AE60" s="29" t="str">
        <f t="shared" si="2"/>
        <v/>
      </c>
      <c r="AF60" s="42" t="str" cm="1">
        <f t="array" ref="AF60">FilterSpecialCharacters(V60)</f>
        <v/>
      </c>
    </row>
    <row r="61" spans="1:32" x14ac:dyDescent="0.25">
      <c r="A61" s="58"/>
      <c r="B61" s="55" t="str" cm="1">
        <f t="array" ref="B61">U61&amp;AB61&amp;IfEmpty(S61,V61)</f>
        <v xml:space="preserve"> </v>
      </c>
      <c r="C61" s="56" t="str">
        <f t="shared" si="4"/>
        <v xml:space="preserve">  </v>
      </c>
      <c r="D61" s="92" t="str">
        <f t="shared" si="3"/>
        <v/>
      </c>
      <c r="E61" s="61" t="str" cm="1">
        <f t="array" ref="E61">IfZero(AA61&amp;AF61&amp;W61)</f>
        <v/>
      </c>
      <c r="F61" s="61" t="str" cm="1">
        <f t="array" ref="F61">IfZero(Z61&amp;AF61&amp;W61)</f>
        <v/>
      </c>
      <c r="G61" s="57" t="str" cm="1">
        <f t="array" ref="G61">IFERROR(CalcUnc(D61,I61,J61,Q61,R61,T61,V61,AC61,AD61,L61:P61,X61,Y61),"")</f>
        <v/>
      </c>
      <c r="H61" s="77"/>
      <c r="I61" s="48"/>
      <c r="J61" s="33"/>
      <c r="K61" s="30"/>
      <c r="L61" s="95"/>
      <c r="M61" s="96"/>
      <c r="N61" s="96"/>
      <c r="O61" s="96"/>
      <c r="P61" s="97"/>
      <c r="S61" s="7"/>
      <c r="T61" s="41"/>
      <c r="U61" s="31"/>
      <c r="V61" s="9"/>
      <c r="W61" s="27" t="str" cm="1">
        <f t="array" ref="W61">GetPolarity(V61,AD61)</f>
        <v/>
      </c>
      <c r="X61" s="32"/>
      <c r="Y61" s="87"/>
      <c r="Z61" s="89" t="str">
        <f t="shared" si="0"/>
        <v/>
      </c>
      <c r="AA61" s="89" t="str">
        <f t="shared" si="1"/>
        <v/>
      </c>
      <c r="AB61" s="28" t="s">
        <v>45</v>
      </c>
      <c r="AC61" s="32"/>
      <c r="AD61" s="31"/>
      <c r="AE61" s="29" t="str">
        <f t="shared" si="2"/>
        <v/>
      </c>
      <c r="AF61" s="42" t="str" cm="1">
        <f t="array" ref="AF61">FilterSpecialCharacters(V61)</f>
        <v/>
      </c>
    </row>
    <row r="62" spans="1:32" x14ac:dyDescent="0.25">
      <c r="A62" s="11"/>
      <c r="B62" s="53" t="str" cm="1">
        <f t="array" ref="B62">U62&amp;AB62&amp;IfEmpty(S62,V62)</f>
        <v xml:space="preserve"> </v>
      </c>
      <c r="C62" s="64" t="str">
        <f t="shared" si="4"/>
        <v xml:space="preserve">  </v>
      </c>
      <c r="D62" s="91" t="str">
        <f t="shared" si="3"/>
        <v/>
      </c>
      <c r="E62" s="60" t="str" cm="1">
        <f t="array" ref="E62">IfZero(AA62&amp;AF62&amp;W62)</f>
        <v/>
      </c>
      <c r="F62" s="60" t="str" cm="1">
        <f t="array" ref="F62">IfZero(Z62&amp;AF62&amp;W62)</f>
        <v/>
      </c>
      <c r="G62" s="54" t="str" cm="1">
        <f t="array" ref="G62">IFERROR(CalcUnc(D62,I62,J62,Q62,R62,T62,V62,AC62,AD62,L62:P62,X62,Y62),"")</f>
        <v/>
      </c>
      <c r="H62" s="77"/>
      <c r="I62" s="48"/>
      <c r="J62" s="33"/>
      <c r="K62" s="30"/>
      <c r="L62" s="95"/>
      <c r="M62" s="96"/>
      <c r="N62" s="96"/>
      <c r="O62" s="96"/>
      <c r="P62" s="97"/>
      <c r="S62" s="7"/>
      <c r="T62" s="41"/>
      <c r="U62" s="31"/>
      <c r="V62" s="9"/>
      <c r="W62" s="27" t="str" cm="1">
        <f t="array" ref="W62">GetPolarity(V62,AD62)</f>
        <v/>
      </c>
      <c r="X62" s="32"/>
      <c r="Y62" s="87"/>
      <c r="Z62" s="89" t="str">
        <f t="shared" si="0"/>
        <v/>
      </c>
      <c r="AA62" s="89" t="str">
        <f t="shared" si="1"/>
        <v/>
      </c>
      <c r="AB62" s="28" t="s">
        <v>45</v>
      </c>
      <c r="AC62" s="32"/>
      <c r="AD62" s="31"/>
      <c r="AE62" s="29" t="str">
        <f t="shared" si="2"/>
        <v/>
      </c>
      <c r="AF62" s="42" t="str" cm="1">
        <f t="array" ref="AF62">FilterSpecialCharacters(V62)</f>
        <v/>
      </c>
    </row>
    <row r="63" spans="1:32" x14ac:dyDescent="0.25">
      <c r="A63" s="58"/>
      <c r="B63" s="55" t="str" cm="1">
        <f t="array" ref="B63">U63&amp;AB63&amp;IfEmpty(S63,V63)</f>
        <v xml:space="preserve"> </v>
      </c>
      <c r="C63" s="56" t="str">
        <f t="shared" si="4"/>
        <v xml:space="preserve">  </v>
      </c>
      <c r="D63" s="92" t="str">
        <f t="shared" si="3"/>
        <v/>
      </c>
      <c r="E63" s="61" t="str" cm="1">
        <f t="array" ref="E63">IfZero(AA63&amp;AF63&amp;W63)</f>
        <v/>
      </c>
      <c r="F63" s="61" t="str" cm="1">
        <f t="array" ref="F63">IfZero(Z63&amp;AF63&amp;W63)</f>
        <v/>
      </c>
      <c r="G63" s="57" t="str" cm="1">
        <f t="array" ref="G63">IFERROR(CalcUnc(D63,I63,J63,Q63,R63,T63,V63,AC63,AD63,L63:P63,X63,Y63),"")</f>
        <v/>
      </c>
      <c r="H63" s="77"/>
      <c r="I63" s="48"/>
      <c r="J63" s="33"/>
      <c r="K63" s="30"/>
      <c r="L63" s="95"/>
      <c r="M63" s="96"/>
      <c r="N63" s="96"/>
      <c r="O63" s="96"/>
      <c r="P63" s="97"/>
      <c r="S63" s="7"/>
      <c r="T63" s="41"/>
      <c r="U63" s="31"/>
      <c r="V63" s="9"/>
      <c r="W63" s="27" t="str" cm="1">
        <f t="array" ref="W63">GetPolarity(V63,AD63)</f>
        <v/>
      </c>
      <c r="X63" s="32"/>
      <c r="Y63" s="87"/>
      <c r="Z63" s="89" t="str">
        <f t="shared" si="0"/>
        <v/>
      </c>
      <c r="AA63" s="89" t="str">
        <f t="shared" si="1"/>
        <v/>
      </c>
      <c r="AB63" s="28" t="s">
        <v>45</v>
      </c>
      <c r="AC63" s="32"/>
      <c r="AD63" s="31"/>
      <c r="AE63" s="29" t="str">
        <f t="shared" si="2"/>
        <v/>
      </c>
      <c r="AF63" s="42" t="str" cm="1">
        <f t="array" ref="AF63">FilterSpecialCharacters(V63)</f>
        <v/>
      </c>
    </row>
    <row r="64" spans="1:32" x14ac:dyDescent="0.25">
      <c r="A64" s="11"/>
      <c r="B64" s="53" t="str" cm="1">
        <f t="array" ref="B64">U64&amp;AB64&amp;IfEmpty(S64,V64)</f>
        <v xml:space="preserve"> </v>
      </c>
      <c r="C64" s="64" t="str">
        <f t="shared" si="4"/>
        <v xml:space="preserve">  </v>
      </c>
      <c r="D64" s="91" t="str">
        <f t="shared" si="3"/>
        <v/>
      </c>
      <c r="E64" s="60" t="str" cm="1">
        <f t="array" ref="E64">IfZero(AA64&amp;AF64&amp;W64)</f>
        <v/>
      </c>
      <c r="F64" s="60" t="str" cm="1">
        <f t="array" ref="F64">IfZero(Z64&amp;AF64&amp;W64)</f>
        <v/>
      </c>
      <c r="G64" s="54" t="str" cm="1">
        <f t="array" ref="G64">IFERROR(CalcUnc(D64,I64,J64,Q64,R64,T64,V64,AC64,AD64,L64:P64,X64,Y64),"")</f>
        <v/>
      </c>
      <c r="H64" s="77"/>
      <c r="I64" s="48"/>
      <c r="J64" s="33"/>
      <c r="K64" s="30"/>
      <c r="L64" s="95"/>
      <c r="M64" s="96"/>
      <c r="N64" s="96"/>
      <c r="O64" s="96"/>
      <c r="P64" s="97"/>
      <c r="S64" s="7"/>
      <c r="T64" s="41"/>
      <c r="U64" s="31"/>
      <c r="V64" s="9"/>
      <c r="W64" s="27" t="str" cm="1">
        <f t="array" ref="W64">GetPolarity(V64,AD64)</f>
        <v/>
      </c>
      <c r="X64" s="32"/>
      <c r="Y64" s="87"/>
      <c r="Z64" s="89" t="str">
        <f t="shared" si="0"/>
        <v/>
      </c>
      <c r="AA64" s="89" t="str">
        <f t="shared" si="1"/>
        <v/>
      </c>
      <c r="AB64" s="28" t="s">
        <v>45</v>
      </c>
      <c r="AC64" s="32"/>
      <c r="AD64" s="31"/>
      <c r="AE64" s="29" t="str">
        <f t="shared" si="2"/>
        <v/>
      </c>
      <c r="AF64" s="42" t="str" cm="1">
        <f t="array" ref="AF64">FilterSpecialCharacters(V64)</f>
        <v/>
      </c>
    </row>
    <row r="65" spans="1:32" x14ac:dyDescent="0.25">
      <c r="A65" s="58"/>
      <c r="B65" s="55" t="str" cm="1">
        <f t="array" ref="B65">U65&amp;AB65&amp;IfEmpty(S65,V65)</f>
        <v xml:space="preserve"> </v>
      </c>
      <c r="C65" s="56" t="str">
        <f t="shared" si="4"/>
        <v xml:space="preserve">  </v>
      </c>
      <c r="D65" s="92" t="str">
        <f t="shared" si="3"/>
        <v/>
      </c>
      <c r="E65" s="61" t="str" cm="1">
        <f t="array" ref="E65">IfZero(AA65&amp;AF65&amp;W65)</f>
        <v/>
      </c>
      <c r="F65" s="61" t="str" cm="1">
        <f t="array" ref="F65">IfZero(Z65&amp;AF65&amp;W65)</f>
        <v/>
      </c>
      <c r="G65" s="57" t="str" cm="1">
        <f t="array" ref="G65">IFERROR(CalcUnc(D65,I65,J65,Q65,R65,T65,V65,AC65,AD65,L65:P65,X65,Y65),"")</f>
        <v/>
      </c>
      <c r="H65" s="77"/>
      <c r="I65" s="48"/>
      <c r="J65" s="33"/>
      <c r="K65" s="30"/>
      <c r="L65" s="95"/>
      <c r="M65" s="96"/>
      <c r="N65" s="96"/>
      <c r="O65" s="96"/>
      <c r="P65" s="97"/>
      <c r="S65" s="7"/>
      <c r="T65" s="41"/>
      <c r="U65" s="31"/>
      <c r="V65" s="9"/>
      <c r="W65" s="27" t="str" cm="1">
        <f t="array" ref="W65">GetPolarity(V65,AD65)</f>
        <v/>
      </c>
      <c r="X65" s="32"/>
      <c r="Y65" s="87"/>
      <c r="Z65" s="89" t="str">
        <f t="shared" si="0"/>
        <v/>
      </c>
      <c r="AA65" s="89" t="str">
        <f t="shared" si="1"/>
        <v/>
      </c>
      <c r="AB65" s="28" t="s">
        <v>45</v>
      </c>
      <c r="AC65" s="32"/>
      <c r="AD65" s="31"/>
      <c r="AE65" s="29" t="str">
        <f t="shared" si="2"/>
        <v/>
      </c>
      <c r="AF65" s="42" t="str" cm="1">
        <f t="array" ref="AF65">FilterSpecialCharacters(V65)</f>
        <v/>
      </c>
    </row>
    <row r="66" spans="1:32" x14ac:dyDescent="0.25">
      <c r="A66" s="11"/>
      <c r="B66" s="53" t="str" cm="1">
        <f t="array" ref="B66">U66&amp;AB66&amp;IfEmpty(S66,V66)</f>
        <v xml:space="preserve"> </v>
      </c>
      <c r="C66" s="64" t="str">
        <f t="shared" si="4"/>
        <v xml:space="preserve">  </v>
      </c>
      <c r="D66" s="91" t="str">
        <f t="shared" si="3"/>
        <v/>
      </c>
      <c r="E66" s="60" t="str" cm="1">
        <f t="array" ref="E66">IfZero(AA66&amp;AF66&amp;W66)</f>
        <v/>
      </c>
      <c r="F66" s="60" t="str" cm="1">
        <f t="array" ref="F66">IfZero(Z66&amp;AF66&amp;W66)</f>
        <v/>
      </c>
      <c r="G66" s="54" t="str" cm="1">
        <f t="array" ref="G66">IFERROR(CalcUnc(D66,I66,J66,Q66,R66,T66,V66,AC66,AD66,L66:P66,X66,Y66),"")</f>
        <v/>
      </c>
      <c r="H66" s="77"/>
      <c r="I66" s="48"/>
      <c r="J66" s="33"/>
      <c r="K66" s="30"/>
      <c r="L66" s="95"/>
      <c r="M66" s="96"/>
      <c r="N66" s="96"/>
      <c r="O66" s="96"/>
      <c r="P66" s="97"/>
      <c r="S66" s="7"/>
      <c r="T66" s="41"/>
      <c r="U66" s="31"/>
      <c r="V66" s="9"/>
      <c r="W66" s="27" t="str" cm="1">
        <f t="array" ref="W66">GetPolarity(V66,AD66)</f>
        <v/>
      </c>
      <c r="X66" s="32"/>
      <c r="Y66" s="87"/>
      <c r="Z66" s="89" t="str">
        <f t="shared" si="0"/>
        <v/>
      </c>
      <c r="AA66" s="89" t="str">
        <f t="shared" si="1"/>
        <v/>
      </c>
      <c r="AB66" s="28" t="s">
        <v>45</v>
      </c>
      <c r="AC66" s="32"/>
      <c r="AD66" s="31"/>
      <c r="AE66" s="29" t="str">
        <f t="shared" si="2"/>
        <v/>
      </c>
      <c r="AF66" s="42" t="str" cm="1">
        <f t="array" ref="AF66">FilterSpecialCharacters(V66)</f>
        <v/>
      </c>
    </row>
    <row r="67" spans="1:32" x14ac:dyDescent="0.25">
      <c r="A67" s="58"/>
      <c r="B67" s="55" t="str" cm="1">
        <f t="array" ref="B67">U67&amp;AB67&amp;IfEmpty(S67,V67)</f>
        <v xml:space="preserve"> </v>
      </c>
      <c r="C67" s="56" t="str">
        <f t="shared" si="4"/>
        <v xml:space="preserve">  </v>
      </c>
      <c r="D67" s="92" t="str">
        <f t="shared" si="3"/>
        <v/>
      </c>
      <c r="E67" s="61" t="str" cm="1">
        <f t="array" ref="E67">IfZero(AA67&amp;AF67&amp;W67)</f>
        <v/>
      </c>
      <c r="F67" s="61" t="str" cm="1">
        <f t="array" ref="F67">IfZero(Z67&amp;AF67&amp;W67)</f>
        <v/>
      </c>
      <c r="G67" s="57" t="str" cm="1">
        <f t="array" ref="G67">IFERROR(CalcUnc(D67,I67,J67,Q67,R67,T67,V67,AC67,AD67,L67:P67,X67,Y67),"")</f>
        <v/>
      </c>
      <c r="H67" s="77"/>
      <c r="I67" s="48"/>
      <c r="J67" s="33"/>
      <c r="K67" s="30"/>
      <c r="L67" s="95"/>
      <c r="M67" s="96"/>
      <c r="N67" s="96"/>
      <c r="O67" s="96"/>
      <c r="P67" s="97"/>
      <c r="S67" s="7"/>
      <c r="T67" s="41"/>
      <c r="U67" s="31"/>
      <c r="V67" s="9"/>
      <c r="W67" s="27" t="str" cm="1">
        <f t="array" ref="W67">GetPolarity(V67,AD67)</f>
        <v/>
      </c>
      <c r="X67" s="32"/>
      <c r="Y67" s="87"/>
      <c r="Z67" s="89" t="str">
        <f t="shared" si="0"/>
        <v/>
      </c>
      <c r="AA67" s="89" t="str">
        <f t="shared" si="1"/>
        <v/>
      </c>
      <c r="AB67" s="28" t="s">
        <v>45</v>
      </c>
      <c r="AC67" s="32"/>
      <c r="AD67" s="31"/>
      <c r="AE67" s="29" t="str">
        <f t="shared" si="2"/>
        <v/>
      </c>
      <c r="AF67" s="42" t="str" cm="1">
        <f t="array" ref="AF67">FilterSpecialCharacters(V67)</f>
        <v/>
      </c>
    </row>
    <row r="68" spans="1:32" x14ac:dyDescent="0.25">
      <c r="A68" s="11"/>
      <c r="B68" s="53" t="str" cm="1">
        <f t="array" ref="B68">U68&amp;AB68&amp;IfEmpty(S68,V68)</f>
        <v xml:space="preserve"> </v>
      </c>
      <c r="C68" s="64" t="str">
        <f t="shared" si="4"/>
        <v xml:space="preserve">  </v>
      </c>
      <c r="D68" s="91" t="str">
        <f t="shared" si="3"/>
        <v/>
      </c>
      <c r="E68" s="60" t="str" cm="1">
        <f t="array" ref="E68">IfZero(AA68&amp;AF68&amp;W68)</f>
        <v/>
      </c>
      <c r="F68" s="60" t="str" cm="1">
        <f t="array" ref="F68">IfZero(Z68&amp;AF68&amp;W68)</f>
        <v/>
      </c>
      <c r="G68" s="54" t="str" cm="1">
        <f t="array" ref="G68">IFERROR(CalcUnc(D68,I68,J68,Q68,R68,T68,V68,AC68,AD68,L68:P68,X68,Y68),"")</f>
        <v/>
      </c>
      <c r="H68" s="77"/>
      <c r="I68" s="48"/>
      <c r="J68" s="33"/>
      <c r="K68" s="30"/>
      <c r="L68" s="95"/>
      <c r="M68" s="96"/>
      <c r="N68" s="96"/>
      <c r="O68" s="96"/>
      <c r="P68" s="97"/>
      <c r="S68" s="7"/>
      <c r="T68" s="41"/>
      <c r="U68" s="31"/>
      <c r="V68" s="9"/>
      <c r="W68" s="27" t="str" cm="1">
        <f t="array" ref="W68">GetPolarity(V68,AD68)</f>
        <v/>
      </c>
      <c r="X68" s="32"/>
      <c r="Y68" s="87"/>
      <c r="Z68" s="89" t="str">
        <f t="shared" si="0"/>
        <v/>
      </c>
      <c r="AA68" s="89" t="str">
        <f t="shared" si="1"/>
        <v/>
      </c>
      <c r="AB68" s="28" t="s">
        <v>45</v>
      </c>
      <c r="AC68" s="32"/>
      <c r="AD68" s="31"/>
      <c r="AE68" s="29" t="str">
        <f t="shared" si="2"/>
        <v/>
      </c>
      <c r="AF68" s="42" t="str" cm="1">
        <f t="array" ref="AF68">FilterSpecialCharacters(V68)</f>
        <v/>
      </c>
    </row>
    <row r="69" spans="1:32" x14ac:dyDescent="0.25">
      <c r="A69" s="58"/>
      <c r="B69" s="55" t="str" cm="1">
        <f t="array" ref="B69">U69&amp;AB69&amp;IfEmpty(S69,V69)</f>
        <v xml:space="preserve"> </v>
      </c>
      <c r="C69" s="56" t="str">
        <f t="shared" si="4"/>
        <v xml:space="preserve">  </v>
      </c>
      <c r="D69" s="92" t="str">
        <f t="shared" si="3"/>
        <v/>
      </c>
      <c r="E69" s="61" t="str" cm="1">
        <f t="array" ref="E69">IfZero(AA69&amp;AF69&amp;W69)</f>
        <v/>
      </c>
      <c r="F69" s="61" t="str" cm="1">
        <f t="array" ref="F69">IfZero(Z69&amp;AF69&amp;W69)</f>
        <v/>
      </c>
      <c r="G69" s="57" t="str" cm="1">
        <f t="array" ref="G69">IFERROR(CalcUnc(D69,I69,J69,Q69,R69,T69,V69,AC69,AD69,L69:P69,X69,Y69),"")</f>
        <v/>
      </c>
      <c r="H69" s="77"/>
      <c r="I69" s="48"/>
      <c r="J69" s="33"/>
      <c r="K69" s="30"/>
      <c r="L69" s="95"/>
      <c r="M69" s="96"/>
      <c r="N69" s="96"/>
      <c r="O69" s="96"/>
      <c r="P69" s="97"/>
      <c r="S69" s="7"/>
      <c r="T69" s="41"/>
      <c r="U69" s="31"/>
      <c r="V69" s="9"/>
      <c r="W69" s="27" t="str" cm="1">
        <f t="array" ref="W69">GetPolarity(V69,AD69)</f>
        <v/>
      </c>
      <c r="X69" s="32"/>
      <c r="Y69" s="87"/>
      <c r="Z69" s="89" t="str">
        <f t="shared" si="0"/>
        <v/>
      </c>
      <c r="AA69" s="89" t="str">
        <f t="shared" si="1"/>
        <v/>
      </c>
      <c r="AB69" s="28" t="s">
        <v>45</v>
      </c>
      <c r="AC69" s="32"/>
      <c r="AD69" s="31"/>
      <c r="AE69" s="29" t="str">
        <f t="shared" si="2"/>
        <v/>
      </c>
      <c r="AF69" s="42" t="str" cm="1">
        <f t="array" ref="AF69">FilterSpecialCharacters(V69)</f>
        <v/>
      </c>
    </row>
    <row r="70" spans="1:32" x14ac:dyDescent="0.25">
      <c r="A70" s="66"/>
      <c r="B70" s="53" t="str" cm="1">
        <f t="array" ref="B70">U70&amp;AB70&amp;IfEmpty(S70,V70)</f>
        <v xml:space="preserve"> </v>
      </c>
      <c r="C70" s="64" t="str">
        <f t="shared" si="4"/>
        <v xml:space="preserve">  </v>
      </c>
      <c r="D70" s="91" t="str">
        <f t="shared" si="3"/>
        <v/>
      </c>
      <c r="E70" s="60" t="str" cm="1">
        <f t="array" ref="E70">IfZero(AA70&amp;AF70&amp;W70)</f>
        <v/>
      </c>
      <c r="F70" s="60" t="str" cm="1">
        <f t="array" ref="F70">IfZero(Z70&amp;AF70&amp;W70)</f>
        <v/>
      </c>
      <c r="G70" s="54" t="str" cm="1">
        <f t="array" ref="G70">IFERROR(CalcUnc(D70,I70,J70,Q70,R70,T70,V70,AC70,AD70,L70:P70,X70,Y70),"")</f>
        <v/>
      </c>
      <c r="H70" s="77"/>
      <c r="I70" s="48"/>
      <c r="J70" s="33"/>
      <c r="K70" s="30"/>
      <c r="L70" s="95"/>
      <c r="M70" s="96"/>
      <c r="N70" s="96"/>
      <c r="O70" s="96"/>
      <c r="P70" s="97"/>
      <c r="S70" s="7"/>
      <c r="T70" s="41"/>
      <c r="U70" s="31"/>
      <c r="V70" s="9"/>
      <c r="W70" s="27" t="str" cm="1">
        <f t="array" ref="W70">GetPolarity(V70,AD70)</f>
        <v/>
      </c>
      <c r="X70" s="32"/>
      <c r="Y70" s="31"/>
      <c r="Z70" s="89" t="str">
        <f t="shared" si="0"/>
        <v/>
      </c>
      <c r="AA70" s="89" t="str">
        <f t="shared" si="1"/>
        <v/>
      </c>
      <c r="AB70" s="28" t="s">
        <v>45</v>
      </c>
      <c r="AC70" s="32"/>
      <c r="AD70" s="31"/>
      <c r="AE70" s="29" t="str">
        <f t="shared" si="2"/>
        <v/>
      </c>
      <c r="AF70" s="42" t="str" cm="1">
        <f t="array" ref="AF70">FilterSpecialCharacters(V70)</f>
        <v/>
      </c>
    </row>
    <row r="71" spans="1:32" x14ac:dyDescent="0.25">
      <c r="A71" s="58"/>
      <c r="B71" s="55" t="str" cm="1">
        <f t="array" ref="B71">U71&amp;AB71&amp;IfEmpty(S71,V71)</f>
        <v xml:space="preserve"> </v>
      </c>
      <c r="C71" s="56" t="str">
        <f t="shared" si="4"/>
        <v xml:space="preserve">  </v>
      </c>
      <c r="D71" s="92" t="str">
        <f t="shared" si="3"/>
        <v/>
      </c>
      <c r="E71" s="61" t="str" cm="1">
        <f t="array" ref="E71">IfZero(AA71&amp;AF71&amp;W71)</f>
        <v/>
      </c>
      <c r="F71" s="61" t="str" cm="1">
        <f t="array" ref="F71">IfZero(Z71&amp;AF71&amp;W71)</f>
        <v/>
      </c>
      <c r="G71" s="57" t="str" cm="1">
        <f t="array" ref="G71">IFERROR(CalcUnc(D71,I71,J71,Q71,R71,T71,V71,AC71,AD71,L71:P71,X71,Y71),"")</f>
        <v/>
      </c>
      <c r="H71" s="77"/>
      <c r="I71" s="48"/>
      <c r="J71" s="33"/>
      <c r="K71" s="30"/>
      <c r="L71" s="95"/>
      <c r="M71" s="96"/>
      <c r="N71" s="96"/>
      <c r="O71" s="96"/>
      <c r="P71" s="97"/>
      <c r="S71" s="7"/>
      <c r="T71" s="41"/>
      <c r="U71" s="31"/>
      <c r="V71" s="9"/>
      <c r="W71" s="27" t="str" cm="1">
        <f t="array" ref="W71">GetPolarity(V71,AD71)</f>
        <v/>
      </c>
      <c r="X71" s="32"/>
      <c r="Y71" s="31"/>
      <c r="Z71" s="89" t="str">
        <f t="shared" ref="Z71:Z110" si="5">IF(T71&lt;&gt;"",ROUND(X71+Y71,-LOG10(T71)),"")</f>
        <v/>
      </c>
      <c r="AA71" s="89" t="str">
        <f t="shared" ref="AA71:AA110" si="6">IF(T71&lt;&gt;"",ROUND(X71-Y71,-LOG10(T71)),"")</f>
        <v/>
      </c>
      <c r="AB71" s="28" t="s">
        <v>45</v>
      </c>
      <c r="AC71" s="32"/>
      <c r="AD71" s="31"/>
      <c r="AE71" s="29" t="str">
        <f t="shared" ref="AE71:AE110" si="7">IF(RIGHT(AD71,2)="Hz","@ ","")&amp;AC71&amp;AD71</f>
        <v/>
      </c>
      <c r="AF71" s="42" t="str" cm="1">
        <f t="array" ref="AF71">FilterSpecialCharacters(V71)</f>
        <v/>
      </c>
    </row>
    <row r="72" spans="1:32" x14ac:dyDescent="0.25">
      <c r="A72" s="11"/>
      <c r="B72" s="53" t="str" cm="1">
        <f t="array" ref="B72">U72&amp;AB72&amp;IfEmpty(S72,V72)</f>
        <v xml:space="preserve"> </v>
      </c>
      <c r="C72" s="64" t="str">
        <f t="shared" ref="C72:C110" si="8">IF(OR(V72="°C", V72="°F"), X72 &amp; " " &amp; V72, IF(RIGHT(AF72,2)="Hz", AE72 &amp; " @ " &amp; X72 &amp; AF72, X72 &amp; " " &amp; AF72 &amp; W72 &amp; " " &amp; AE72))</f>
        <v xml:space="preserve">  </v>
      </c>
      <c r="D72" s="91" t="str">
        <f t="shared" ref="D72:D110" si="9">IFERROR(AVERAGE(L72:P72),"")</f>
        <v/>
      </c>
      <c r="E72" s="60" t="str" cm="1">
        <f t="array" ref="E72">IfZero(AA72&amp;AF72&amp;W72)</f>
        <v/>
      </c>
      <c r="F72" s="60" t="str" cm="1">
        <f t="array" ref="F72">IfZero(Z72&amp;AF72&amp;W72)</f>
        <v/>
      </c>
      <c r="G72" s="54" t="str" cm="1">
        <f t="array" ref="G72">IFERROR(CalcUnc(D72,I72,J72,Q72,R72,T72,V72,AC72,AD72,L72:P72,X72,Y72),"")</f>
        <v/>
      </c>
      <c r="H72" s="77"/>
      <c r="I72" s="48"/>
      <c r="J72" s="33"/>
      <c r="K72" s="30"/>
      <c r="L72" s="95"/>
      <c r="M72" s="96"/>
      <c r="N72" s="96"/>
      <c r="O72" s="96"/>
      <c r="P72" s="97"/>
      <c r="S72" s="7"/>
      <c r="T72" s="41"/>
      <c r="U72" s="31"/>
      <c r="V72" s="9"/>
      <c r="W72" s="27" t="str" cm="1">
        <f t="array" ref="W72">GetPolarity(V72,AD72)</f>
        <v/>
      </c>
      <c r="X72" s="32"/>
      <c r="Y72" s="31"/>
      <c r="Z72" s="89" t="str">
        <f t="shared" si="5"/>
        <v/>
      </c>
      <c r="AA72" s="89" t="str">
        <f t="shared" si="6"/>
        <v/>
      </c>
      <c r="AB72" s="28" t="s">
        <v>45</v>
      </c>
      <c r="AC72" s="32"/>
      <c r="AD72" s="31"/>
      <c r="AE72" s="29" t="str">
        <f t="shared" si="7"/>
        <v/>
      </c>
      <c r="AF72" s="42" t="str" cm="1">
        <f t="array" ref="AF72">FilterSpecialCharacters(V72)</f>
        <v/>
      </c>
    </row>
    <row r="73" spans="1:32" x14ac:dyDescent="0.25">
      <c r="A73" s="58"/>
      <c r="B73" s="55" t="str" cm="1">
        <f t="array" ref="B73">U73&amp;AB73&amp;IfEmpty(S73,V73)</f>
        <v xml:space="preserve"> </v>
      </c>
      <c r="C73" s="56" t="str">
        <f t="shared" si="8"/>
        <v xml:space="preserve">  </v>
      </c>
      <c r="D73" s="92" t="str">
        <f t="shared" si="9"/>
        <v/>
      </c>
      <c r="E73" s="61" t="str" cm="1">
        <f t="array" ref="E73">IfZero(AA73&amp;AF73&amp;W73)</f>
        <v/>
      </c>
      <c r="F73" s="61" t="str" cm="1">
        <f t="array" ref="F73">IfZero(Z73&amp;AF73&amp;W73)</f>
        <v/>
      </c>
      <c r="G73" s="57" t="str" cm="1">
        <f t="array" ref="G73">IFERROR(CalcUnc(D73,I73,J73,Q73,R73,T73,V73,AC73,AD73,L73:P73,X73,Y73),"")</f>
        <v/>
      </c>
      <c r="H73" s="77"/>
      <c r="I73" s="48"/>
      <c r="J73" s="33"/>
      <c r="K73" s="30"/>
      <c r="L73" s="95"/>
      <c r="M73" s="96"/>
      <c r="N73" s="96"/>
      <c r="O73" s="96"/>
      <c r="P73" s="97"/>
      <c r="S73" s="7"/>
      <c r="T73" s="41"/>
      <c r="U73" s="31"/>
      <c r="V73" s="9"/>
      <c r="W73" s="27" t="str" cm="1">
        <f t="array" ref="W73">GetPolarity(V73,AD73)</f>
        <v/>
      </c>
      <c r="X73" s="32"/>
      <c r="Y73" s="31"/>
      <c r="Z73" s="89" t="str">
        <f t="shared" si="5"/>
        <v/>
      </c>
      <c r="AA73" s="89" t="str">
        <f t="shared" si="6"/>
        <v/>
      </c>
      <c r="AB73" s="28" t="s">
        <v>45</v>
      </c>
      <c r="AC73" s="32"/>
      <c r="AD73" s="31"/>
      <c r="AE73" s="29" t="str">
        <f t="shared" si="7"/>
        <v/>
      </c>
      <c r="AF73" s="42" t="str" cm="1">
        <f t="array" ref="AF73">FilterSpecialCharacters(V73)</f>
        <v/>
      </c>
    </row>
    <row r="74" spans="1:32" x14ac:dyDescent="0.25">
      <c r="A74" s="11"/>
      <c r="B74" s="53" t="str" cm="1">
        <f t="array" ref="B74">U74&amp;AB74&amp;IfEmpty(S74,V74)</f>
        <v xml:space="preserve"> </v>
      </c>
      <c r="C74" s="64" t="str">
        <f t="shared" si="8"/>
        <v xml:space="preserve">  </v>
      </c>
      <c r="D74" s="91" t="str">
        <f t="shared" si="9"/>
        <v/>
      </c>
      <c r="E74" s="60" t="str" cm="1">
        <f t="array" ref="E74">IfZero(AA74&amp;AF74&amp;W74)</f>
        <v/>
      </c>
      <c r="F74" s="60" t="str" cm="1">
        <f t="array" ref="F74">IfZero(Z74&amp;AF74&amp;W74)</f>
        <v/>
      </c>
      <c r="G74" s="54" t="str" cm="1">
        <f t="array" ref="G74">IFERROR(CalcUnc(D74,I74,J74,Q74,R74,T74,V74,AC74,AD74,L74:P74,X74,Y74),"")</f>
        <v/>
      </c>
      <c r="H74" s="77"/>
      <c r="I74" s="48"/>
      <c r="J74" s="33"/>
      <c r="K74" s="30"/>
      <c r="L74" s="95"/>
      <c r="M74" s="96"/>
      <c r="N74" s="96"/>
      <c r="O74" s="96"/>
      <c r="P74" s="97"/>
      <c r="S74" s="7"/>
      <c r="T74" s="41"/>
      <c r="U74" s="31"/>
      <c r="V74" s="9"/>
      <c r="W74" s="27" t="str" cm="1">
        <f t="array" ref="W74">GetPolarity(V74,AD74)</f>
        <v/>
      </c>
      <c r="X74" s="32"/>
      <c r="Y74" s="31"/>
      <c r="Z74" s="89" t="str">
        <f t="shared" si="5"/>
        <v/>
      </c>
      <c r="AA74" s="89" t="str">
        <f t="shared" si="6"/>
        <v/>
      </c>
      <c r="AB74" s="28" t="s">
        <v>45</v>
      </c>
      <c r="AC74" s="32"/>
      <c r="AD74" s="31"/>
      <c r="AE74" s="29" t="str">
        <f t="shared" si="7"/>
        <v/>
      </c>
      <c r="AF74" s="42" t="str" cm="1">
        <f t="array" ref="AF74">FilterSpecialCharacters(V74)</f>
        <v/>
      </c>
    </row>
    <row r="75" spans="1:32" x14ac:dyDescent="0.25">
      <c r="A75" s="58"/>
      <c r="B75" s="55" t="str" cm="1">
        <f t="array" ref="B75">U75&amp;AB75&amp;IfEmpty(S75,V75)</f>
        <v xml:space="preserve"> </v>
      </c>
      <c r="C75" s="56" t="str">
        <f t="shared" si="8"/>
        <v xml:space="preserve">  </v>
      </c>
      <c r="D75" s="92" t="str">
        <f t="shared" si="9"/>
        <v/>
      </c>
      <c r="E75" s="61" t="str" cm="1">
        <f t="array" ref="E75">IfZero(AA75&amp;AF75&amp;W75)</f>
        <v/>
      </c>
      <c r="F75" s="61" t="str" cm="1">
        <f t="array" ref="F75">IfZero(Z75&amp;AF75&amp;W75)</f>
        <v/>
      </c>
      <c r="G75" s="57" t="str" cm="1">
        <f t="array" ref="G75">IFERROR(CalcUnc(D75,I75,J75,Q75,R75,T75,V75,AC75,AD75,L75:P75,X75,Y75),"")</f>
        <v/>
      </c>
      <c r="H75" s="77"/>
      <c r="I75" s="48"/>
      <c r="J75" s="33"/>
      <c r="K75" s="30"/>
      <c r="L75" s="95"/>
      <c r="M75" s="96"/>
      <c r="N75" s="96"/>
      <c r="O75" s="96"/>
      <c r="P75" s="97"/>
      <c r="S75" s="7"/>
      <c r="T75" s="41"/>
      <c r="U75" s="31"/>
      <c r="V75" s="9"/>
      <c r="W75" s="27" t="str" cm="1">
        <f t="array" ref="W75">GetPolarity(V75,AD75)</f>
        <v/>
      </c>
      <c r="X75" s="32"/>
      <c r="Y75" s="31"/>
      <c r="Z75" s="89" t="str">
        <f t="shared" si="5"/>
        <v/>
      </c>
      <c r="AA75" s="89" t="str">
        <f t="shared" si="6"/>
        <v/>
      </c>
      <c r="AB75" s="28" t="s">
        <v>45</v>
      </c>
      <c r="AC75" s="32"/>
      <c r="AD75" s="31"/>
      <c r="AE75" s="29" t="str">
        <f t="shared" si="7"/>
        <v/>
      </c>
      <c r="AF75" s="42" t="str" cm="1">
        <f t="array" ref="AF75">FilterSpecialCharacters(V75)</f>
        <v/>
      </c>
    </row>
    <row r="76" spans="1:32" x14ac:dyDescent="0.25">
      <c r="A76" s="11"/>
      <c r="B76" s="53" t="str" cm="1">
        <f t="array" ref="B76">U76&amp;AB76&amp;IfEmpty(S76,V76)</f>
        <v xml:space="preserve"> </v>
      </c>
      <c r="C76" s="64" t="str">
        <f t="shared" si="8"/>
        <v xml:space="preserve">  </v>
      </c>
      <c r="D76" s="91" t="str">
        <f t="shared" si="9"/>
        <v/>
      </c>
      <c r="E76" s="60" t="str" cm="1">
        <f t="array" ref="E76">IfZero(AA76&amp;AF76&amp;W76)</f>
        <v/>
      </c>
      <c r="F76" s="60" t="str" cm="1">
        <f t="array" ref="F76">IfZero(Z76&amp;AF76&amp;W76)</f>
        <v/>
      </c>
      <c r="G76" s="54" t="str" cm="1">
        <f t="array" ref="G76">IFERROR(CalcUnc(D76,I76,J76,Q76,R76,T76,V76,AC76,AD76,L76:P76,X76,Y76),"")</f>
        <v/>
      </c>
      <c r="H76" s="77"/>
      <c r="I76" s="48"/>
      <c r="J76" s="33"/>
      <c r="K76" s="30"/>
      <c r="L76" s="95"/>
      <c r="M76" s="96"/>
      <c r="N76" s="96"/>
      <c r="O76" s="96"/>
      <c r="P76" s="97"/>
      <c r="S76" s="7"/>
      <c r="T76" s="41"/>
      <c r="U76" s="31"/>
      <c r="V76" s="9"/>
      <c r="W76" s="27" t="str" cm="1">
        <f t="array" ref="W76">GetPolarity(V76,AD76)</f>
        <v/>
      </c>
      <c r="X76" s="32"/>
      <c r="Y76" s="31"/>
      <c r="Z76" s="89" t="str">
        <f t="shared" si="5"/>
        <v/>
      </c>
      <c r="AA76" s="89" t="str">
        <f t="shared" si="6"/>
        <v/>
      </c>
      <c r="AB76" s="28" t="s">
        <v>45</v>
      </c>
      <c r="AC76" s="32"/>
      <c r="AD76" s="31"/>
      <c r="AE76" s="29" t="str">
        <f t="shared" si="7"/>
        <v/>
      </c>
      <c r="AF76" s="42" t="str" cm="1">
        <f t="array" ref="AF76">FilterSpecialCharacters(V76)</f>
        <v/>
      </c>
    </row>
    <row r="77" spans="1:32" x14ac:dyDescent="0.25">
      <c r="A77" s="58"/>
      <c r="B77" s="55" t="str" cm="1">
        <f t="array" ref="B77">U77&amp;AB77&amp;IfEmpty(S77,V77)</f>
        <v xml:space="preserve"> </v>
      </c>
      <c r="C77" s="56" t="str">
        <f t="shared" si="8"/>
        <v xml:space="preserve">  </v>
      </c>
      <c r="D77" s="92" t="str">
        <f t="shared" si="9"/>
        <v/>
      </c>
      <c r="E77" s="61" t="str" cm="1">
        <f t="array" ref="E77">IfZero(AA77&amp;AF77&amp;W77)</f>
        <v/>
      </c>
      <c r="F77" s="61" t="str" cm="1">
        <f t="array" ref="F77">IfZero(Z77&amp;AF77&amp;W77)</f>
        <v/>
      </c>
      <c r="G77" s="57" t="str" cm="1">
        <f t="array" ref="G77">IFERROR(CalcUnc(D77,I77,J77,Q77,R77,T77,V77,AC77,AD77,L77:P77,X77,Y77),"")</f>
        <v/>
      </c>
      <c r="H77" s="77"/>
      <c r="I77" s="48"/>
      <c r="J77" s="33"/>
      <c r="K77" s="30"/>
      <c r="L77" s="95"/>
      <c r="M77" s="96"/>
      <c r="N77" s="96"/>
      <c r="O77" s="96"/>
      <c r="P77" s="97"/>
      <c r="S77" s="7"/>
      <c r="T77" s="41"/>
      <c r="U77" s="31"/>
      <c r="V77" s="9"/>
      <c r="W77" s="27" t="str" cm="1">
        <f t="array" ref="W77">GetPolarity(V77,AD77)</f>
        <v/>
      </c>
      <c r="X77" s="32"/>
      <c r="Y77" s="31"/>
      <c r="Z77" s="89" t="str">
        <f t="shared" si="5"/>
        <v/>
      </c>
      <c r="AA77" s="89" t="str">
        <f t="shared" si="6"/>
        <v/>
      </c>
      <c r="AB77" s="28" t="s">
        <v>45</v>
      </c>
      <c r="AC77" s="32"/>
      <c r="AD77" s="31"/>
      <c r="AE77" s="29" t="str">
        <f t="shared" si="7"/>
        <v/>
      </c>
      <c r="AF77" s="42" t="str" cm="1">
        <f t="array" ref="AF77">FilterSpecialCharacters(V77)</f>
        <v/>
      </c>
    </row>
    <row r="78" spans="1:32" x14ac:dyDescent="0.25">
      <c r="A78" s="11"/>
      <c r="B78" s="53" t="str" cm="1">
        <f t="array" ref="B78">U78&amp;AB78&amp;IfEmpty(S78,V78)</f>
        <v xml:space="preserve"> </v>
      </c>
      <c r="C78" s="64" t="str">
        <f t="shared" si="8"/>
        <v xml:space="preserve">  </v>
      </c>
      <c r="D78" s="91" t="str">
        <f t="shared" si="9"/>
        <v/>
      </c>
      <c r="E78" s="60" t="str" cm="1">
        <f t="array" ref="E78">IfZero(AA78&amp;AF78&amp;W78)</f>
        <v/>
      </c>
      <c r="F78" s="60" t="str" cm="1">
        <f t="array" ref="F78">IfZero(Z78&amp;AF78&amp;W78)</f>
        <v/>
      </c>
      <c r="G78" s="54" t="str" cm="1">
        <f t="array" ref="G78">IFERROR(CalcUnc(D78,I78,J78,Q78,R78,T78,V78,AC78,AD78,L78:P78,X78,Y78),"")</f>
        <v/>
      </c>
      <c r="H78" s="77"/>
      <c r="I78" s="48"/>
      <c r="J78" s="33"/>
      <c r="K78" s="30"/>
      <c r="L78" s="95"/>
      <c r="M78" s="96"/>
      <c r="N78" s="96"/>
      <c r="O78" s="96"/>
      <c r="P78" s="97"/>
      <c r="S78" s="7"/>
      <c r="T78" s="41"/>
      <c r="U78" s="31"/>
      <c r="V78" s="9"/>
      <c r="W78" s="27" t="str" cm="1">
        <f t="array" ref="W78">GetPolarity(V78,AD78)</f>
        <v/>
      </c>
      <c r="X78" s="32"/>
      <c r="Y78" s="31"/>
      <c r="Z78" s="89" t="str">
        <f t="shared" si="5"/>
        <v/>
      </c>
      <c r="AA78" s="89" t="str">
        <f t="shared" si="6"/>
        <v/>
      </c>
      <c r="AB78" s="28" t="s">
        <v>45</v>
      </c>
      <c r="AC78" s="32"/>
      <c r="AD78" s="31"/>
      <c r="AE78" s="29" t="str">
        <f t="shared" si="7"/>
        <v/>
      </c>
      <c r="AF78" s="42" t="str" cm="1">
        <f t="array" ref="AF78">FilterSpecialCharacters(V78)</f>
        <v/>
      </c>
    </row>
    <row r="79" spans="1:32" x14ac:dyDescent="0.25">
      <c r="A79" s="58"/>
      <c r="B79" s="55" t="str" cm="1">
        <f t="array" ref="B79">U79&amp;AB79&amp;IfEmpty(S79,V79)</f>
        <v xml:space="preserve"> </v>
      </c>
      <c r="C79" s="56" t="str">
        <f t="shared" si="8"/>
        <v xml:space="preserve">  </v>
      </c>
      <c r="D79" s="92" t="str">
        <f t="shared" si="9"/>
        <v/>
      </c>
      <c r="E79" s="61" t="str" cm="1">
        <f t="array" ref="E79">IfZero(AA79&amp;AF79&amp;W79)</f>
        <v/>
      </c>
      <c r="F79" s="61" t="str" cm="1">
        <f t="array" ref="F79">IfZero(Z79&amp;AF79&amp;W79)</f>
        <v/>
      </c>
      <c r="G79" s="57" t="str" cm="1">
        <f t="array" ref="G79">IFERROR(CalcUnc(D79,I79,J79,Q79,R79,T79,V79,AC79,AD79,L79:P79,X79,Y79),"")</f>
        <v/>
      </c>
      <c r="H79" s="77"/>
      <c r="I79" s="48"/>
      <c r="J79" s="33"/>
      <c r="K79" s="30"/>
      <c r="L79" s="95"/>
      <c r="M79" s="96"/>
      <c r="N79" s="96"/>
      <c r="O79" s="96"/>
      <c r="P79" s="97"/>
      <c r="S79" s="7"/>
      <c r="T79" s="41"/>
      <c r="U79" s="31"/>
      <c r="V79" s="9"/>
      <c r="W79" s="27" t="str" cm="1">
        <f t="array" ref="W79">GetPolarity(V79,AD79)</f>
        <v/>
      </c>
      <c r="X79" s="32"/>
      <c r="Y79" s="31"/>
      <c r="Z79" s="89" t="str">
        <f t="shared" si="5"/>
        <v/>
      </c>
      <c r="AA79" s="89" t="str">
        <f t="shared" si="6"/>
        <v/>
      </c>
      <c r="AB79" s="28" t="s">
        <v>45</v>
      </c>
      <c r="AC79" s="32"/>
      <c r="AD79" s="31"/>
      <c r="AE79" s="29" t="str">
        <f t="shared" si="7"/>
        <v/>
      </c>
      <c r="AF79" s="42" t="str" cm="1">
        <f t="array" ref="AF79">FilterSpecialCharacters(V79)</f>
        <v/>
      </c>
    </row>
    <row r="80" spans="1:32" x14ac:dyDescent="0.25">
      <c r="A80" s="11"/>
      <c r="B80" s="53" t="str" cm="1">
        <f t="array" ref="B80">U80&amp;AB80&amp;IfEmpty(S80,V80)</f>
        <v xml:space="preserve"> </v>
      </c>
      <c r="C80" s="64" t="str">
        <f t="shared" si="8"/>
        <v xml:space="preserve">  </v>
      </c>
      <c r="D80" s="91" t="str">
        <f t="shared" si="9"/>
        <v/>
      </c>
      <c r="E80" s="60" t="str" cm="1">
        <f t="array" ref="E80">IfZero(AA80&amp;AF80&amp;W80)</f>
        <v/>
      </c>
      <c r="F80" s="60" t="str" cm="1">
        <f t="array" ref="F80">IfZero(Z80&amp;AF80&amp;W80)</f>
        <v/>
      </c>
      <c r="G80" s="54" t="str" cm="1">
        <f t="array" ref="G80">IFERROR(CalcUnc(D80,I80,J80,Q80,R80,T80,V80,AC80,AD80,L80:P80,X80,Y80),"")</f>
        <v/>
      </c>
      <c r="H80" s="77"/>
      <c r="I80" s="48"/>
      <c r="J80" s="33"/>
      <c r="K80" s="30"/>
      <c r="L80" s="95"/>
      <c r="M80" s="96"/>
      <c r="N80" s="96"/>
      <c r="O80" s="96"/>
      <c r="P80" s="97"/>
      <c r="S80" s="7"/>
      <c r="T80" s="41"/>
      <c r="U80" s="31"/>
      <c r="V80" s="9"/>
      <c r="W80" s="27" t="str" cm="1">
        <f t="array" ref="W80">GetPolarity(V80,AD80)</f>
        <v/>
      </c>
      <c r="X80" s="32"/>
      <c r="Y80" s="31"/>
      <c r="Z80" s="89" t="str">
        <f t="shared" si="5"/>
        <v/>
      </c>
      <c r="AA80" s="89" t="str">
        <f t="shared" si="6"/>
        <v/>
      </c>
      <c r="AB80" s="28" t="s">
        <v>45</v>
      </c>
      <c r="AC80" s="32"/>
      <c r="AD80" s="31"/>
      <c r="AE80" s="29" t="str">
        <f t="shared" si="7"/>
        <v/>
      </c>
      <c r="AF80" s="42" t="str" cm="1">
        <f t="array" ref="AF80">FilterSpecialCharacters(V80)</f>
        <v/>
      </c>
    </row>
    <row r="81" spans="1:32" x14ac:dyDescent="0.25">
      <c r="A81" s="58"/>
      <c r="B81" s="55" t="str" cm="1">
        <f t="array" ref="B81">U81&amp;AB81&amp;IfEmpty(S81,V81)</f>
        <v xml:space="preserve"> </v>
      </c>
      <c r="C81" s="56" t="str">
        <f t="shared" si="8"/>
        <v xml:space="preserve">  </v>
      </c>
      <c r="D81" s="92" t="str">
        <f t="shared" si="9"/>
        <v/>
      </c>
      <c r="E81" s="61" t="str" cm="1">
        <f t="array" ref="E81">IfZero(AA81&amp;AF81&amp;W81)</f>
        <v/>
      </c>
      <c r="F81" s="61" t="str" cm="1">
        <f t="array" ref="F81">IfZero(Z81&amp;AF81&amp;W81)</f>
        <v/>
      </c>
      <c r="G81" s="57" t="str" cm="1">
        <f t="array" ref="G81">IFERROR(CalcUnc(D81,I81,J81,Q81,R81,T81,V81,AC81,AD81,L81:P81,X81,Y81),"")</f>
        <v/>
      </c>
      <c r="H81" s="77"/>
      <c r="I81" s="48"/>
      <c r="J81" s="33"/>
      <c r="K81" s="30"/>
      <c r="L81" s="95"/>
      <c r="M81" s="96"/>
      <c r="N81" s="96"/>
      <c r="O81" s="96"/>
      <c r="P81" s="97"/>
      <c r="S81" s="7"/>
      <c r="T81" s="41"/>
      <c r="U81" s="31"/>
      <c r="V81" s="9"/>
      <c r="W81" s="27" t="str" cm="1">
        <f t="array" ref="W81">GetPolarity(V81,AD81)</f>
        <v/>
      </c>
      <c r="X81" s="32"/>
      <c r="Y81" s="31"/>
      <c r="Z81" s="89" t="str">
        <f t="shared" si="5"/>
        <v/>
      </c>
      <c r="AA81" s="89" t="str">
        <f t="shared" si="6"/>
        <v/>
      </c>
      <c r="AB81" s="28" t="s">
        <v>45</v>
      </c>
      <c r="AC81" s="32"/>
      <c r="AD81" s="31"/>
      <c r="AE81" s="29" t="str">
        <f t="shared" si="7"/>
        <v/>
      </c>
      <c r="AF81" s="42" t="str" cm="1">
        <f t="array" ref="AF81">FilterSpecialCharacters(V81)</f>
        <v/>
      </c>
    </row>
    <row r="82" spans="1:32" x14ac:dyDescent="0.25">
      <c r="A82" s="11"/>
      <c r="B82" s="53" t="str" cm="1">
        <f t="array" ref="B82">U82&amp;AB82&amp;IfEmpty(S82,V82)</f>
        <v xml:space="preserve"> </v>
      </c>
      <c r="C82" s="64" t="str">
        <f t="shared" si="8"/>
        <v xml:space="preserve">  </v>
      </c>
      <c r="D82" s="91" t="str">
        <f t="shared" si="9"/>
        <v/>
      </c>
      <c r="E82" s="60" t="str" cm="1">
        <f t="array" ref="E82">IfZero(AA82&amp;AF82&amp;W82)</f>
        <v/>
      </c>
      <c r="F82" s="60" t="str" cm="1">
        <f t="array" ref="F82">IfZero(Z82&amp;AF82&amp;W82)</f>
        <v/>
      </c>
      <c r="G82" s="54" t="str" cm="1">
        <f t="array" ref="G82">IFERROR(CalcUnc(D82,I82,J82,Q82,R82,T82,V82,AC82,AD82,L82:P82,X82,Y82),"")</f>
        <v/>
      </c>
      <c r="H82" s="77"/>
      <c r="I82" s="48"/>
      <c r="J82" s="33"/>
      <c r="K82" s="30"/>
      <c r="L82" s="95"/>
      <c r="M82" s="96"/>
      <c r="N82" s="96"/>
      <c r="O82" s="96"/>
      <c r="P82" s="97"/>
      <c r="S82" s="7"/>
      <c r="T82" s="41"/>
      <c r="U82" s="31"/>
      <c r="V82" s="9"/>
      <c r="W82" s="27" t="str" cm="1">
        <f t="array" ref="W82">GetPolarity(V82,AD82)</f>
        <v/>
      </c>
      <c r="X82" s="32"/>
      <c r="Y82" s="31"/>
      <c r="Z82" s="89" t="str">
        <f t="shared" si="5"/>
        <v/>
      </c>
      <c r="AA82" s="89" t="str">
        <f t="shared" si="6"/>
        <v/>
      </c>
      <c r="AB82" s="28" t="s">
        <v>45</v>
      </c>
      <c r="AC82" s="32"/>
      <c r="AD82" s="31"/>
      <c r="AE82" s="29" t="str">
        <f t="shared" si="7"/>
        <v/>
      </c>
      <c r="AF82" s="42" t="str" cm="1">
        <f t="array" ref="AF82">FilterSpecialCharacters(V82)</f>
        <v/>
      </c>
    </row>
    <row r="83" spans="1:32" x14ac:dyDescent="0.25">
      <c r="A83" s="58"/>
      <c r="B83" s="55" t="str" cm="1">
        <f t="array" ref="B83">U83&amp;AB83&amp;IfEmpty(S83,V83)</f>
        <v xml:space="preserve"> </v>
      </c>
      <c r="C83" s="56" t="str">
        <f t="shared" si="8"/>
        <v xml:space="preserve">  </v>
      </c>
      <c r="D83" s="92" t="str">
        <f t="shared" si="9"/>
        <v/>
      </c>
      <c r="E83" s="61" t="str" cm="1">
        <f t="array" ref="E83">IfZero(AA83&amp;AF83&amp;W83)</f>
        <v/>
      </c>
      <c r="F83" s="61" t="str" cm="1">
        <f t="array" ref="F83">IfZero(Z83&amp;AF83&amp;W83)</f>
        <v/>
      </c>
      <c r="G83" s="57" t="str" cm="1">
        <f t="array" ref="G83">IFERROR(CalcUnc(D83,I83,J83,Q83,R83,T83,V83,AC83,AD83,L83:P83,X83,Y83),"")</f>
        <v/>
      </c>
      <c r="H83" s="77"/>
      <c r="I83" s="48"/>
      <c r="J83" s="33"/>
      <c r="K83" s="30"/>
      <c r="L83" s="95"/>
      <c r="M83" s="96"/>
      <c r="N83" s="96"/>
      <c r="O83" s="96"/>
      <c r="P83" s="97"/>
      <c r="S83" s="7"/>
      <c r="T83" s="41"/>
      <c r="U83" s="31"/>
      <c r="V83" s="9"/>
      <c r="W83" s="27" t="str" cm="1">
        <f t="array" ref="W83">GetPolarity(V83,AD83)</f>
        <v/>
      </c>
      <c r="X83" s="32"/>
      <c r="Y83" s="31"/>
      <c r="Z83" s="89" t="str">
        <f t="shared" si="5"/>
        <v/>
      </c>
      <c r="AA83" s="89" t="str">
        <f t="shared" si="6"/>
        <v/>
      </c>
      <c r="AB83" s="28" t="s">
        <v>45</v>
      </c>
      <c r="AC83" s="32"/>
      <c r="AD83" s="31"/>
      <c r="AE83" s="29" t="str">
        <f t="shared" si="7"/>
        <v/>
      </c>
      <c r="AF83" s="42" t="str" cm="1">
        <f t="array" ref="AF83">FilterSpecialCharacters(V83)</f>
        <v/>
      </c>
    </row>
    <row r="84" spans="1:32" x14ac:dyDescent="0.25">
      <c r="A84" s="11"/>
      <c r="B84" s="53" t="str" cm="1">
        <f t="array" ref="B84">U84&amp;AB84&amp;IfEmpty(S84,V84)</f>
        <v xml:space="preserve"> </v>
      </c>
      <c r="C84" s="64" t="str">
        <f t="shared" si="8"/>
        <v xml:space="preserve">  </v>
      </c>
      <c r="D84" s="91" t="str">
        <f t="shared" si="9"/>
        <v/>
      </c>
      <c r="E84" s="60" t="str" cm="1">
        <f t="array" ref="E84">IfZero(AA84&amp;AF84&amp;W84)</f>
        <v/>
      </c>
      <c r="F84" s="60" t="str" cm="1">
        <f t="array" ref="F84">IfZero(Z84&amp;AF84&amp;W84)</f>
        <v/>
      </c>
      <c r="G84" s="54" t="str" cm="1">
        <f t="array" ref="G84">IFERROR(CalcUnc(D84,I84,J84,Q84,R84,T84,V84,AC84,AD84,L84:P84,X84,Y84),"")</f>
        <v/>
      </c>
      <c r="H84" s="77"/>
      <c r="I84" s="48"/>
      <c r="J84" s="33"/>
      <c r="K84" s="30"/>
      <c r="L84" s="95"/>
      <c r="M84" s="96"/>
      <c r="N84" s="96"/>
      <c r="O84" s="96"/>
      <c r="P84" s="97"/>
      <c r="S84" s="7"/>
      <c r="T84" s="41"/>
      <c r="U84" s="31"/>
      <c r="V84" s="9"/>
      <c r="W84" s="27" t="str" cm="1">
        <f t="array" ref="W84">GetPolarity(V84,AD84)</f>
        <v/>
      </c>
      <c r="X84" s="32"/>
      <c r="Y84" s="31"/>
      <c r="Z84" s="89" t="str">
        <f t="shared" si="5"/>
        <v/>
      </c>
      <c r="AA84" s="89" t="str">
        <f t="shared" si="6"/>
        <v/>
      </c>
      <c r="AB84" s="28" t="s">
        <v>45</v>
      </c>
      <c r="AC84" s="32"/>
      <c r="AD84" s="31"/>
      <c r="AE84" s="29" t="str">
        <f t="shared" si="7"/>
        <v/>
      </c>
      <c r="AF84" s="42" t="str" cm="1">
        <f t="array" ref="AF84">FilterSpecialCharacters(V84)</f>
        <v/>
      </c>
    </row>
    <row r="85" spans="1:32" x14ac:dyDescent="0.25">
      <c r="A85" s="58"/>
      <c r="B85" s="55" t="str" cm="1">
        <f t="array" ref="B85">U85&amp;AB85&amp;IfEmpty(S85,V85)</f>
        <v xml:space="preserve"> </v>
      </c>
      <c r="C85" s="56" t="str">
        <f t="shared" si="8"/>
        <v xml:space="preserve">  </v>
      </c>
      <c r="D85" s="92" t="str">
        <f t="shared" si="9"/>
        <v/>
      </c>
      <c r="E85" s="61" t="str" cm="1">
        <f t="array" ref="E85">IfZero(AA85&amp;AF85&amp;W85)</f>
        <v/>
      </c>
      <c r="F85" s="61" t="str" cm="1">
        <f t="array" ref="F85">IfZero(Z85&amp;AF85&amp;W85)</f>
        <v/>
      </c>
      <c r="G85" s="57" t="str" cm="1">
        <f t="array" ref="G85">IFERROR(CalcUnc(D85,I85,J85,Q85,R85,T85,V85,AC85,AD85,L85:P85,X85,Y85),"")</f>
        <v/>
      </c>
      <c r="H85" s="77"/>
      <c r="I85" s="48"/>
      <c r="J85" s="33"/>
      <c r="K85" s="30"/>
      <c r="L85" s="95"/>
      <c r="M85" s="96"/>
      <c r="N85" s="96"/>
      <c r="O85" s="96"/>
      <c r="P85" s="97"/>
      <c r="S85" s="7"/>
      <c r="T85" s="41"/>
      <c r="U85" s="31"/>
      <c r="V85" s="9"/>
      <c r="W85" s="27" t="str" cm="1">
        <f t="array" ref="W85">GetPolarity(V85,AD85)</f>
        <v/>
      </c>
      <c r="X85" s="32"/>
      <c r="Y85" s="31"/>
      <c r="Z85" s="89" t="str">
        <f t="shared" si="5"/>
        <v/>
      </c>
      <c r="AA85" s="89" t="str">
        <f t="shared" si="6"/>
        <v/>
      </c>
      <c r="AB85" s="28" t="s">
        <v>45</v>
      </c>
      <c r="AC85" s="32"/>
      <c r="AD85" s="31"/>
      <c r="AE85" s="29" t="str">
        <f t="shared" si="7"/>
        <v/>
      </c>
      <c r="AF85" s="42" t="str" cm="1">
        <f t="array" ref="AF85">FilterSpecialCharacters(V85)</f>
        <v/>
      </c>
    </row>
    <row r="86" spans="1:32" x14ac:dyDescent="0.25">
      <c r="A86" s="11"/>
      <c r="B86" s="53" t="str" cm="1">
        <f t="array" ref="B86">U86&amp;AB86&amp;IfEmpty(S86,V86)</f>
        <v xml:space="preserve"> </v>
      </c>
      <c r="C86" s="64" t="str">
        <f t="shared" si="8"/>
        <v xml:space="preserve">  </v>
      </c>
      <c r="D86" s="91" t="str">
        <f t="shared" si="9"/>
        <v/>
      </c>
      <c r="E86" s="60" t="str" cm="1">
        <f t="array" ref="E86">IfZero(AA86&amp;AF86&amp;W86)</f>
        <v/>
      </c>
      <c r="F86" s="60" t="str" cm="1">
        <f t="array" ref="F86">IfZero(Z86&amp;AF86&amp;W86)</f>
        <v/>
      </c>
      <c r="G86" s="54" t="str" cm="1">
        <f t="array" ref="G86">IFERROR(CalcUnc(D86,I86,J86,Q86,R86,T86,V86,AC86,AD86,L86:P86,X86,Y86),"")</f>
        <v/>
      </c>
      <c r="H86" s="77"/>
      <c r="I86" s="48"/>
      <c r="J86" s="33"/>
      <c r="K86" s="30"/>
      <c r="L86" s="95"/>
      <c r="M86" s="96"/>
      <c r="N86" s="96"/>
      <c r="O86" s="96"/>
      <c r="P86" s="97"/>
      <c r="S86" s="7"/>
      <c r="T86" s="41"/>
      <c r="U86" s="31"/>
      <c r="V86" s="9"/>
      <c r="W86" s="27" t="str" cm="1">
        <f t="array" ref="W86">GetPolarity(V86,AD86)</f>
        <v/>
      </c>
      <c r="X86" s="32"/>
      <c r="Y86" s="31"/>
      <c r="Z86" s="89" t="str">
        <f t="shared" si="5"/>
        <v/>
      </c>
      <c r="AA86" s="89" t="str">
        <f t="shared" si="6"/>
        <v/>
      </c>
      <c r="AB86" s="28" t="s">
        <v>45</v>
      </c>
      <c r="AC86" s="32"/>
      <c r="AD86" s="31"/>
      <c r="AE86" s="29" t="str">
        <f t="shared" si="7"/>
        <v/>
      </c>
      <c r="AF86" s="42" t="str" cm="1">
        <f t="array" ref="AF86">FilterSpecialCharacters(V86)</f>
        <v/>
      </c>
    </row>
    <row r="87" spans="1:32" x14ac:dyDescent="0.25">
      <c r="A87" s="58"/>
      <c r="B87" s="55" t="str" cm="1">
        <f t="array" ref="B87">U87&amp;AB87&amp;IfEmpty(S87,V87)</f>
        <v xml:space="preserve"> </v>
      </c>
      <c r="C87" s="56" t="str">
        <f t="shared" si="8"/>
        <v xml:space="preserve">  </v>
      </c>
      <c r="D87" s="92" t="str">
        <f t="shared" si="9"/>
        <v/>
      </c>
      <c r="E87" s="61" t="str" cm="1">
        <f t="array" ref="E87">IfZero(AA87&amp;AF87&amp;W87)</f>
        <v/>
      </c>
      <c r="F87" s="61" t="str" cm="1">
        <f t="array" ref="F87">IfZero(Z87&amp;AF87&amp;W87)</f>
        <v/>
      </c>
      <c r="G87" s="57" t="str" cm="1">
        <f t="array" ref="G87">IFERROR(CalcUnc(D87,I87,J87,Q87,R87,T87,V87,AC87,AD87,L87:P87,X87,Y87),"")</f>
        <v/>
      </c>
      <c r="H87" s="77"/>
      <c r="I87" s="48"/>
      <c r="J87" s="33"/>
      <c r="K87" s="30"/>
      <c r="L87" s="95"/>
      <c r="M87" s="96"/>
      <c r="N87" s="96"/>
      <c r="O87" s="96"/>
      <c r="P87" s="97"/>
      <c r="S87" s="7"/>
      <c r="T87" s="41"/>
      <c r="U87" s="31"/>
      <c r="V87" s="9"/>
      <c r="W87" s="27" t="str" cm="1">
        <f t="array" ref="W87">GetPolarity(V87,AD87)</f>
        <v/>
      </c>
      <c r="X87" s="32"/>
      <c r="Y87" s="31"/>
      <c r="Z87" s="89" t="str">
        <f t="shared" si="5"/>
        <v/>
      </c>
      <c r="AA87" s="89" t="str">
        <f t="shared" si="6"/>
        <v/>
      </c>
      <c r="AB87" s="28" t="s">
        <v>45</v>
      </c>
      <c r="AC87" s="32"/>
      <c r="AD87" s="31"/>
      <c r="AE87" s="29" t="str">
        <f t="shared" si="7"/>
        <v/>
      </c>
      <c r="AF87" s="42" t="str" cm="1">
        <f t="array" ref="AF87">FilterSpecialCharacters(V87)</f>
        <v/>
      </c>
    </row>
    <row r="88" spans="1:32" x14ac:dyDescent="0.25">
      <c r="A88" s="11"/>
      <c r="B88" s="53" t="str" cm="1">
        <f t="array" ref="B88">U88&amp;AB88&amp;IfEmpty(S88,V88)</f>
        <v xml:space="preserve"> </v>
      </c>
      <c r="C88" s="64" t="str">
        <f t="shared" si="8"/>
        <v xml:space="preserve">  </v>
      </c>
      <c r="D88" s="91" t="str">
        <f t="shared" si="9"/>
        <v/>
      </c>
      <c r="E88" s="60" t="str" cm="1">
        <f t="array" ref="E88">IfZero(AA88&amp;AF88&amp;W88)</f>
        <v/>
      </c>
      <c r="F88" s="60" t="str" cm="1">
        <f t="array" ref="F88">IfZero(Z88&amp;AF88&amp;W88)</f>
        <v/>
      </c>
      <c r="G88" s="54" t="str" cm="1">
        <f t="array" ref="G88">IFERROR(CalcUnc(D88,I88,J88,Q88,R88,T88,V88,AC88,AD88,L88:P88,X88,Y88),"")</f>
        <v/>
      </c>
      <c r="H88" s="77"/>
      <c r="I88" s="48"/>
      <c r="J88" s="33"/>
      <c r="K88" s="30"/>
      <c r="L88" s="95"/>
      <c r="M88" s="96"/>
      <c r="N88" s="96"/>
      <c r="O88" s="96"/>
      <c r="P88" s="97"/>
      <c r="S88" s="7"/>
      <c r="T88" s="41"/>
      <c r="U88" s="31"/>
      <c r="V88" s="9"/>
      <c r="W88" s="27" t="str" cm="1">
        <f t="array" ref="W88">GetPolarity(V88,AD88)</f>
        <v/>
      </c>
      <c r="X88" s="32"/>
      <c r="Y88" s="31"/>
      <c r="Z88" s="89" t="str">
        <f t="shared" si="5"/>
        <v/>
      </c>
      <c r="AA88" s="89" t="str">
        <f t="shared" si="6"/>
        <v/>
      </c>
      <c r="AB88" s="28" t="s">
        <v>45</v>
      </c>
      <c r="AC88" s="32"/>
      <c r="AD88" s="31"/>
      <c r="AE88" s="29" t="str">
        <f t="shared" si="7"/>
        <v/>
      </c>
      <c r="AF88" s="42" t="str" cm="1">
        <f t="array" ref="AF88">FilterSpecialCharacters(V88)</f>
        <v/>
      </c>
    </row>
    <row r="89" spans="1:32" x14ac:dyDescent="0.25">
      <c r="A89" s="58"/>
      <c r="B89" s="55" t="str" cm="1">
        <f t="array" ref="B89">U89&amp;AB89&amp;IfEmpty(S89,V89)</f>
        <v xml:space="preserve"> </v>
      </c>
      <c r="C89" s="56" t="str">
        <f t="shared" si="8"/>
        <v xml:space="preserve">  </v>
      </c>
      <c r="D89" s="92" t="str">
        <f t="shared" si="9"/>
        <v/>
      </c>
      <c r="E89" s="61" t="str" cm="1">
        <f t="array" ref="E89">IfZero(AA89&amp;AF89&amp;W89)</f>
        <v/>
      </c>
      <c r="F89" s="61" t="str" cm="1">
        <f t="array" ref="F89">IfZero(Z89&amp;AF89&amp;W89)</f>
        <v/>
      </c>
      <c r="G89" s="57" t="str" cm="1">
        <f t="array" ref="G89">IFERROR(CalcUnc(D89,I89,J89,Q89,R89,T89,V89,AC89,AD89,L89:P89,X89,Y89),"")</f>
        <v/>
      </c>
      <c r="H89" s="77"/>
      <c r="I89" s="48"/>
      <c r="J89" s="33"/>
      <c r="K89" s="30"/>
      <c r="L89" s="95"/>
      <c r="M89" s="96"/>
      <c r="N89" s="96"/>
      <c r="O89" s="96"/>
      <c r="P89" s="97"/>
      <c r="S89" s="7"/>
      <c r="T89" s="41"/>
      <c r="U89" s="31"/>
      <c r="V89" s="9"/>
      <c r="W89" s="27" t="str" cm="1">
        <f t="array" ref="W89">GetPolarity(V89,AD89)</f>
        <v/>
      </c>
      <c r="X89" s="32"/>
      <c r="Y89" s="31"/>
      <c r="Z89" s="89" t="str">
        <f t="shared" si="5"/>
        <v/>
      </c>
      <c r="AA89" s="89" t="str">
        <f t="shared" si="6"/>
        <v/>
      </c>
      <c r="AB89" s="28" t="s">
        <v>45</v>
      </c>
      <c r="AC89" s="32"/>
      <c r="AD89" s="31"/>
      <c r="AE89" s="29" t="str">
        <f t="shared" si="7"/>
        <v/>
      </c>
      <c r="AF89" s="42" t="str" cm="1">
        <f t="array" ref="AF89">FilterSpecialCharacters(V89)</f>
        <v/>
      </c>
    </row>
    <row r="90" spans="1:32" x14ac:dyDescent="0.25">
      <c r="A90" s="11"/>
      <c r="B90" s="53" t="str" cm="1">
        <f t="array" ref="B90">U90&amp;AB90&amp;IfEmpty(S90,V90)</f>
        <v xml:space="preserve"> </v>
      </c>
      <c r="C90" s="64" t="str">
        <f t="shared" si="8"/>
        <v xml:space="preserve">  </v>
      </c>
      <c r="D90" s="91" t="str">
        <f t="shared" si="9"/>
        <v/>
      </c>
      <c r="E90" s="60" t="str" cm="1">
        <f t="array" ref="E90">IfZero(AA90&amp;AF90&amp;W90)</f>
        <v/>
      </c>
      <c r="F90" s="60" t="str" cm="1">
        <f t="array" ref="F90">IfZero(Z90&amp;AF90&amp;W90)</f>
        <v/>
      </c>
      <c r="G90" s="54" t="str" cm="1">
        <f t="array" ref="G90">IFERROR(CalcUnc(D90,I90,J90,Q90,R90,T90,V90,AC90,AD90,L90:P90,X90,Y90),"")</f>
        <v/>
      </c>
      <c r="H90" s="77"/>
      <c r="I90" s="48"/>
      <c r="J90" s="33"/>
      <c r="K90" s="30"/>
      <c r="L90" s="95"/>
      <c r="M90" s="96"/>
      <c r="N90" s="96"/>
      <c r="O90" s="96"/>
      <c r="P90" s="97"/>
      <c r="S90" s="7"/>
      <c r="T90" s="41"/>
      <c r="U90" s="31"/>
      <c r="V90" s="9"/>
      <c r="W90" s="27" t="str" cm="1">
        <f t="array" ref="W90">GetPolarity(V90,AD90)</f>
        <v/>
      </c>
      <c r="X90" s="32"/>
      <c r="Y90" s="31"/>
      <c r="Z90" s="89" t="str">
        <f t="shared" si="5"/>
        <v/>
      </c>
      <c r="AA90" s="89" t="str">
        <f t="shared" si="6"/>
        <v/>
      </c>
      <c r="AB90" s="28" t="s">
        <v>45</v>
      </c>
      <c r="AC90" s="32"/>
      <c r="AD90" s="31"/>
      <c r="AE90" s="29" t="str">
        <f t="shared" si="7"/>
        <v/>
      </c>
      <c r="AF90" s="42" t="str" cm="1">
        <f t="array" ref="AF90">FilterSpecialCharacters(V90)</f>
        <v/>
      </c>
    </row>
    <row r="91" spans="1:32" x14ac:dyDescent="0.25">
      <c r="A91" s="58"/>
      <c r="B91" s="55" t="str" cm="1">
        <f t="array" ref="B91">U91&amp;AB91&amp;IfEmpty(S91,V91)</f>
        <v xml:space="preserve"> </v>
      </c>
      <c r="C91" s="56" t="str">
        <f t="shared" si="8"/>
        <v xml:space="preserve">  </v>
      </c>
      <c r="D91" s="92" t="str">
        <f t="shared" si="9"/>
        <v/>
      </c>
      <c r="E91" s="61" t="str" cm="1">
        <f t="array" ref="E91">IfZero(AA91&amp;AF91&amp;W91)</f>
        <v/>
      </c>
      <c r="F91" s="61" t="str" cm="1">
        <f t="array" ref="F91">IfZero(Z91&amp;AF91&amp;W91)</f>
        <v/>
      </c>
      <c r="G91" s="57" t="str" cm="1">
        <f t="array" ref="G91">IFERROR(CalcUnc(D91,I91,J91,Q91,R91,T91,V91,AC91,AD91,L91:P91,X91,Y91),"")</f>
        <v/>
      </c>
      <c r="H91" s="77"/>
      <c r="I91" s="48"/>
      <c r="J91" s="33"/>
      <c r="K91" s="30"/>
      <c r="L91" s="95"/>
      <c r="M91" s="96"/>
      <c r="N91" s="96"/>
      <c r="O91" s="96"/>
      <c r="P91" s="97"/>
      <c r="S91" s="7"/>
      <c r="T91" s="41"/>
      <c r="U91" s="31"/>
      <c r="V91" s="9"/>
      <c r="W91" s="27" t="str" cm="1">
        <f t="array" ref="W91">GetPolarity(V91,AD91)</f>
        <v/>
      </c>
      <c r="X91" s="32"/>
      <c r="Y91" s="31"/>
      <c r="Z91" s="89" t="str">
        <f t="shared" si="5"/>
        <v/>
      </c>
      <c r="AA91" s="89" t="str">
        <f t="shared" si="6"/>
        <v/>
      </c>
      <c r="AB91" s="28" t="s">
        <v>45</v>
      </c>
      <c r="AC91" s="32"/>
      <c r="AD91" s="31"/>
      <c r="AE91" s="29" t="str">
        <f t="shared" si="7"/>
        <v/>
      </c>
      <c r="AF91" s="42" t="str" cm="1">
        <f t="array" ref="AF91">FilterSpecialCharacters(V91)</f>
        <v/>
      </c>
    </row>
    <row r="92" spans="1:32" x14ac:dyDescent="0.25">
      <c r="A92" s="11"/>
      <c r="B92" s="53" t="str" cm="1">
        <f t="array" ref="B92">U92&amp;AB92&amp;IfEmpty(S92,V92)</f>
        <v xml:space="preserve"> </v>
      </c>
      <c r="C92" s="64" t="str">
        <f t="shared" si="8"/>
        <v xml:space="preserve">  </v>
      </c>
      <c r="D92" s="91" t="str">
        <f t="shared" si="9"/>
        <v/>
      </c>
      <c r="E92" s="60" t="str" cm="1">
        <f t="array" ref="E92">IfZero(AA92&amp;AF92&amp;W92)</f>
        <v/>
      </c>
      <c r="F92" s="60" t="str" cm="1">
        <f t="array" ref="F92">IfZero(Z92&amp;AF92&amp;W92)</f>
        <v/>
      </c>
      <c r="G92" s="54" t="str" cm="1">
        <f t="array" ref="G92">IFERROR(CalcUnc(D92,I92,J92,Q92,R92,T92,V92,AC92,AD92,L92:P92,X92,Y92),"")</f>
        <v/>
      </c>
      <c r="H92" s="77"/>
      <c r="I92" s="48"/>
      <c r="J92" s="33"/>
      <c r="K92" s="30"/>
      <c r="L92" s="95"/>
      <c r="M92" s="96"/>
      <c r="N92" s="96"/>
      <c r="O92" s="96"/>
      <c r="P92" s="97"/>
      <c r="S92" s="7"/>
      <c r="T92" s="41"/>
      <c r="U92" s="31"/>
      <c r="V92" s="9"/>
      <c r="W92" s="27" t="str" cm="1">
        <f t="array" ref="W92">GetPolarity(V92,AD92)</f>
        <v/>
      </c>
      <c r="X92" s="32"/>
      <c r="Y92" s="31"/>
      <c r="Z92" s="89" t="str">
        <f t="shared" si="5"/>
        <v/>
      </c>
      <c r="AA92" s="89" t="str">
        <f t="shared" si="6"/>
        <v/>
      </c>
      <c r="AB92" s="28" t="s">
        <v>45</v>
      </c>
      <c r="AC92" s="32"/>
      <c r="AD92" s="31"/>
      <c r="AE92" s="29" t="str">
        <f t="shared" si="7"/>
        <v/>
      </c>
      <c r="AF92" s="42" t="str" cm="1">
        <f t="array" ref="AF92">FilterSpecialCharacters(V92)</f>
        <v/>
      </c>
    </row>
    <row r="93" spans="1:32" x14ac:dyDescent="0.25">
      <c r="A93" s="58"/>
      <c r="B93" s="55" t="str" cm="1">
        <f t="array" ref="B93">U93&amp;AB93&amp;IfEmpty(S93,V93)</f>
        <v xml:space="preserve"> </v>
      </c>
      <c r="C93" s="56" t="str">
        <f t="shared" si="8"/>
        <v xml:space="preserve">  </v>
      </c>
      <c r="D93" s="92" t="str">
        <f t="shared" si="9"/>
        <v/>
      </c>
      <c r="E93" s="61" t="str" cm="1">
        <f t="array" ref="E93">IfZero(AA93&amp;AF93&amp;W93)</f>
        <v/>
      </c>
      <c r="F93" s="61" t="str" cm="1">
        <f t="array" ref="F93">IfZero(Z93&amp;AF93&amp;W93)</f>
        <v/>
      </c>
      <c r="G93" s="57" t="str" cm="1">
        <f t="array" ref="G93">IFERROR(CalcUnc(D93,I93,J93,Q93,R93,T93,V93,AC93,AD93,L93:P93,X93,Y93),"")</f>
        <v/>
      </c>
      <c r="H93" s="77"/>
      <c r="I93" s="48"/>
      <c r="J93" s="33"/>
      <c r="K93" s="30"/>
      <c r="L93" s="95"/>
      <c r="M93" s="96"/>
      <c r="N93" s="96"/>
      <c r="O93" s="96"/>
      <c r="P93" s="97"/>
      <c r="S93" s="7"/>
      <c r="T93" s="41"/>
      <c r="U93" s="31"/>
      <c r="V93" s="9"/>
      <c r="W93" s="27" t="str" cm="1">
        <f t="array" ref="W93">GetPolarity(V93,AD93)</f>
        <v/>
      </c>
      <c r="X93" s="32"/>
      <c r="Y93" s="31"/>
      <c r="Z93" s="89" t="str">
        <f t="shared" si="5"/>
        <v/>
      </c>
      <c r="AA93" s="89" t="str">
        <f t="shared" si="6"/>
        <v/>
      </c>
      <c r="AB93" s="28" t="s">
        <v>45</v>
      </c>
      <c r="AC93" s="32"/>
      <c r="AD93" s="31"/>
      <c r="AE93" s="29" t="str">
        <f t="shared" si="7"/>
        <v/>
      </c>
      <c r="AF93" s="42" t="str" cm="1">
        <f t="array" ref="AF93">FilterSpecialCharacters(V93)</f>
        <v/>
      </c>
    </row>
    <row r="94" spans="1:32" x14ac:dyDescent="0.25">
      <c r="A94" s="11"/>
      <c r="B94" s="53" t="str" cm="1">
        <f t="array" ref="B94">U94&amp;AB94&amp;IfEmpty(S94,V94)</f>
        <v xml:space="preserve"> </v>
      </c>
      <c r="C94" s="64" t="str">
        <f t="shared" si="8"/>
        <v xml:space="preserve">  </v>
      </c>
      <c r="D94" s="91" t="str">
        <f t="shared" si="9"/>
        <v/>
      </c>
      <c r="E94" s="60" t="str" cm="1">
        <f t="array" ref="E94">IfZero(AA94&amp;AF94&amp;W94)</f>
        <v/>
      </c>
      <c r="F94" s="60" t="str" cm="1">
        <f t="array" ref="F94">IfZero(Z94&amp;AF94&amp;W94)</f>
        <v/>
      </c>
      <c r="G94" s="54" t="str" cm="1">
        <f t="array" ref="G94">IFERROR(CalcUnc(D94,I94,J94,Q94,R94,T94,V94,AC94,AD94,L94:P94,X94,Y94),"")</f>
        <v/>
      </c>
      <c r="H94" s="77"/>
      <c r="I94" s="48"/>
      <c r="J94" s="33"/>
      <c r="K94" s="30"/>
      <c r="L94" s="95"/>
      <c r="M94" s="96"/>
      <c r="N94" s="96"/>
      <c r="O94" s="96"/>
      <c r="P94" s="97"/>
      <c r="S94" s="7"/>
      <c r="T94" s="41"/>
      <c r="U94" s="31"/>
      <c r="V94" s="9"/>
      <c r="W94" s="27" t="str" cm="1">
        <f t="array" ref="W94">GetPolarity(V94,AD94)</f>
        <v/>
      </c>
      <c r="X94" s="32"/>
      <c r="Y94" s="31"/>
      <c r="Z94" s="89" t="str">
        <f t="shared" si="5"/>
        <v/>
      </c>
      <c r="AA94" s="89" t="str">
        <f t="shared" si="6"/>
        <v/>
      </c>
      <c r="AB94" s="28" t="s">
        <v>45</v>
      </c>
      <c r="AC94" s="32"/>
      <c r="AD94" s="31"/>
      <c r="AE94" s="29" t="str">
        <f t="shared" si="7"/>
        <v/>
      </c>
      <c r="AF94" s="42" t="str" cm="1">
        <f t="array" ref="AF94">FilterSpecialCharacters(V94)</f>
        <v/>
      </c>
    </row>
    <row r="95" spans="1:32" x14ac:dyDescent="0.25">
      <c r="A95" s="58"/>
      <c r="B95" s="55" t="str" cm="1">
        <f t="array" ref="B95">U95&amp;AB95&amp;IfEmpty(S95,V95)</f>
        <v xml:space="preserve"> </v>
      </c>
      <c r="C95" s="56" t="str">
        <f t="shared" si="8"/>
        <v xml:space="preserve">  </v>
      </c>
      <c r="D95" s="92" t="str">
        <f t="shared" si="9"/>
        <v/>
      </c>
      <c r="E95" s="61" t="str" cm="1">
        <f t="array" ref="E95">IfZero(AA95&amp;AF95&amp;W95)</f>
        <v/>
      </c>
      <c r="F95" s="61" t="str" cm="1">
        <f t="array" ref="F95">IfZero(Z95&amp;AF95&amp;W95)</f>
        <v/>
      </c>
      <c r="G95" s="57" t="str" cm="1">
        <f t="array" ref="G95">IFERROR(CalcUnc(D95,I95,J95,Q95,R95,T95,V95,AC95,AD95,L95:P95,X95,Y95),"")</f>
        <v/>
      </c>
      <c r="H95" s="77"/>
      <c r="I95" s="48"/>
      <c r="J95" s="33"/>
      <c r="K95" s="30"/>
      <c r="L95" s="95"/>
      <c r="M95" s="96"/>
      <c r="N95" s="96"/>
      <c r="O95" s="96"/>
      <c r="P95" s="97"/>
      <c r="S95" s="7"/>
      <c r="T95" s="41"/>
      <c r="U95" s="31"/>
      <c r="V95" s="9"/>
      <c r="W95" s="27" t="str" cm="1">
        <f t="array" ref="W95">GetPolarity(V95,AD95)</f>
        <v/>
      </c>
      <c r="X95" s="32"/>
      <c r="Y95" s="31"/>
      <c r="Z95" s="89" t="str">
        <f t="shared" si="5"/>
        <v/>
      </c>
      <c r="AA95" s="89" t="str">
        <f t="shared" si="6"/>
        <v/>
      </c>
      <c r="AB95" s="28" t="s">
        <v>45</v>
      </c>
      <c r="AC95" s="32"/>
      <c r="AD95" s="31"/>
      <c r="AE95" s="29" t="str">
        <f t="shared" si="7"/>
        <v/>
      </c>
      <c r="AF95" s="42" t="str" cm="1">
        <f t="array" ref="AF95">FilterSpecialCharacters(V95)</f>
        <v/>
      </c>
    </row>
    <row r="96" spans="1:32" x14ac:dyDescent="0.25">
      <c r="A96" s="11"/>
      <c r="B96" s="53" t="str" cm="1">
        <f t="array" ref="B96">U96&amp;AB96&amp;IfEmpty(S96,V96)</f>
        <v xml:space="preserve"> </v>
      </c>
      <c r="C96" s="64" t="str">
        <f t="shared" si="8"/>
        <v xml:space="preserve">  </v>
      </c>
      <c r="D96" s="91" t="str">
        <f t="shared" si="9"/>
        <v/>
      </c>
      <c r="E96" s="60" t="str" cm="1">
        <f t="array" ref="E96">IfZero(AA96&amp;AF96&amp;W96)</f>
        <v/>
      </c>
      <c r="F96" s="60" t="str" cm="1">
        <f t="array" ref="F96">IfZero(Z96&amp;AF96&amp;W96)</f>
        <v/>
      </c>
      <c r="G96" s="54" t="str" cm="1">
        <f t="array" ref="G96">IFERROR(CalcUnc(D96,I96,J96,Q96,R96,T96,V96,AC96,AD96,L96:P96,X96,Y96),"")</f>
        <v/>
      </c>
      <c r="H96" s="77"/>
      <c r="I96" s="48"/>
      <c r="J96" s="33"/>
      <c r="K96" s="30"/>
      <c r="L96" s="95"/>
      <c r="M96" s="96"/>
      <c r="N96" s="96"/>
      <c r="O96" s="96"/>
      <c r="P96" s="97"/>
      <c r="S96" s="7"/>
      <c r="T96" s="41"/>
      <c r="U96" s="31"/>
      <c r="V96" s="9"/>
      <c r="W96" s="27" t="str" cm="1">
        <f t="array" ref="W96">GetPolarity(V96,AD96)</f>
        <v/>
      </c>
      <c r="X96" s="32"/>
      <c r="Y96" s="31"/>
      <c r="Z96" s="89" t="str">
        <f t="shared" si="5"/>
        <v/>
      </c>
      <c r="AA96" s="89" t="str">
        <f t="shared" si="6"/>
        <v/>
      </c>
      <c r="AB96" s="28" t="s">
        <v>45</v>
      </c>
      <c r="AC96" s="32"/>
      <c r="AD96" s="31"/>
      <c r="AE96" s="29" t="str">
        <f t="shared" si="7"/>
        <v/>
      </c>
      <c r="AF96" s="42" t="str" cm="1">
        <f t="array" ref="AF96">FilterSpecialCharacters(V96)</f>
        <v/>
      </c>
    </row>
    <row r="97" spans="1:32" x14ac:dyDescent="0.25">
      <c r="A97" s="58"/>
      <c r="B97" s="55" t="str" cm="1">
        <f t="array" ref="B97">U97&amp;AB97&amp;IfEmpty(S97,V97)</f>
        <v xml:space="preserve"> </v>
      </c>
      <c r="C97" s="56" t="str">
        <f t="shared" si="8"/>
        <v xml:space="preserve">  </v>
      </c>
      <c r="D97" s="92" t="str">
        <f t="shared" si="9"/>
        <v/>
      </c>
      <c r="E97" s="61" t="str" cm="1">
        <f t="array" ref="E97">IfZero(AA97&amp;AF97&amp;W97)</f>
        <v/>
      </c>
      <c r="F97" s="61" t="str" cm="1">
        <f t="array" ref="F97">IfZero(Z97&amp;AF97&amp;W97)</f>
        <v/>
      </c>
      <c r="G97" s="57" t="str" cm="1">
        <f t="array" ref="G97">IFERROR(CalcUnc(D97,I97,J97,Q97,R97,T97,V97,AC97,AD97,L97:P97,X97,Y97),"")</f>
        <v/>
      </c>
      <c r="H97" s="77"/>
      <c r="I97" s="48"/>
      <c r="J97" s="33"/>
      <c r="K97" s="30"/>
      <c r="L97" s="95"/>
      <c r="M97" s="96"/>
      <c r="N97" s="96"/>
      <c r="O97" s="96"/>
      <c r="P97" s="97"/>
      <c r="S97" s="7"/>
      <c r="T97" s="41"/>
      <c r="U97" s="31"/>
      <c r="V97" s="9"/>
      <c r="W97" s="27" t="str" cm="1">
        <f t="array" ref="W97">GetPolarity(V97,AD97)</f>
        <v/>
      </c>
      <c r="X97" s="32"/>
      <c r="Y97" s="31"/>
      <c r="Z97" s="89" t="str">
        <f t="shared" si="5"/>
        <v/>
      </c>
      <c r="AA97" s="89" t="str">
        <f t="shared" si="6"/>
        <v/>
      </c>
      <c r="AB97" s="28" t="s">
        <v>45</v>
      </c>
      <c r="AC97" s="32"/>
      <c r="AD97" s="31"/>
      <c r="AE97" s="29" t="str">
        <f t="shared" si="7"/>
        <v/>
      </c>
      <c r="AF97" s="42" t="str" cm="1">
        <f t="array" ref="AF97">FilterSpecialCharacters(V97)</f>
        <v/>
      </c>
    </row>
    <row r="98" spans="1:32" x14ac:dyDescent="0.25">
      <c r="A98" s="11"/>
      <c r="B98" s="53" t="str" cm="1">
        <f t="array" ref="B98">U98&amp;AB98&amp;IfEmpty(S98,V98)</f>
        <v xml:space="preserve"> </v>
      </c>
      <c r="C98" s="64" t="str">
        <f t="shared" si="8"/>
        <v xml:space="preserve">  </v>
      </c>
      <c r="D98" s="91" t="str">
        <f t="shared" si="9"/>
        <v/>
      </c>
      <c r="E98" s="60" t="str" cm="1">
        <f t="array" ref="E98">IfZero(AA98&amp;AF98&amp;W98)</f>
        <v/>
      </c>
      <c r="F98" s="60" t="str" cm="1">
        <f t="array" ref="F98">IfZero(Z98&amp;AF98&amp;W98)</f>
        <v/>
      </c>
      <c r="G98" s="54" t="str" cm="1">
        <f t="array" ref="G98">IFERROR(CalcUnc(D98,I98,J98,Q98,R98,T98,V98,AC98,AD98,L98:P98,X98,Y98),"")</f>
        <v/>
      </c>
      <c r="H98" s="77"/>
      <c r="I98" s="48"/>
      <c r="J98" s="33"/>
      <c r="K98" s="30"/>
      <c r="L98" s="95"/>
      <c r="M98" s="96"/>
      <c r="N98" s="96"/>
      <c r="O98" s="96"/>
      <c r="P98" s="97"/>
      <c r="S98" s="7"/>
      <c r="T98" s="41"/>
      <c r="U98" s="31"/>
      <c r="V98" s="9"/>
      <c r="W98" s="27" t="str" cm="1">
        <f t="array" ref="W98">GetPolarity(V98,AD98)</f>
        <v/>
      </c>
      <c r="X98" s="32"/>
      <c r="Y98" s="31"/>
      <c r="Z98" s="89" t="str">
        <f t="shared" si="5"/>
        <v/>
      </c>
      <c r="AA98" s="89" t="str">
        <f t="shared" si="6"/>
        <v/>
      </c>
      <c r="AB98" s="28" t="s">
        <v>45</v>
      </c>
      <c r="AC98" s="32"/>
      <c r="AD98" s="31"/>
      <c r="AE98" s="29" t="str">
        <f t="shared" si="7"/>
        <v/>
      </c>
      <c r="AF98" s="42" t="str" cm="1">
        <f t="array" ref="AF98">FilterSpecialCharacters(V98)</f>
        <v/>
      </c>
    </row>
    <row r="99" spans="1:32" x14ac:dyDescent="0.25">
      <c r="A99" s="58"/>
      <c r="B99" s="55" t="str" cm="1">
        <f t="array" ref="B99">U99&amp;AB99&amp;IfEmpty(S99,V99)</f>
        <v xml:space="preserve"> </v>
      </c>
      <c r="C99" s="56" t="str">
        <f t="shared" si="8"/>
        <v xml:space="preserve">  </v>
      </c>
      <c r="D99" s="92" t="str">
        <f t="shared" si="9"/>
        <v/>
      </c>
      <c r="E99" s="61" t="str" cm="1">
        <f t="array" ref="E99">IfZero(AA99&amp;AF99&amp;W99)</f>
        <v/>
      </c>
      <c r="F99" s="61" t="str" cm="1">
        <f t="array" ref="F99">IfZero(Z99&amp;AF99&amp;W99)</f>
        <v/>
      </c>
      <c r="G99" s="57" t="str" cm="1">
        <f t="array" ref="G99">IFERROR(CalcUnc(D99,I99,J99,Q99,R99,T99,V99,AC99,AD99,L99:P99,X99,Y99),"")</f>
        <v/>
      </c>
      <c r="H99" s="77"/>
      <c r="I99" s="48"/>
      <c r="J99" s="33"/>
      <c r="K99" s="30"/>
      <c r="L99" s="95"/>
      <c r="M99" s="96"/>
      <c r="N99" s="96"/>
      <c r="O99" s="96"/>
      <c r="P99" s="97"/>
      <c r="S99" s="7"/>
      <c r="T99" s="41"/>
      <c r="U99" s="31"/>
      <c r="V99" s="9"/>
      <c r="W99" s="27" t="str" cm="1">
        <f t="array" ref="W99">GetPolarity(V99,AD99)</f>
        <v/>
      </c>
      <c r="X99" s="32"/>
      <c r="Y99" s="31"/>
      <c r="Z99" s="89" t="str">
        <f t="shared" si="5"/>
        <v/>
      </c>
      <c r="AA99" s="89" t="str">
        <f t="shared" si="6"/>
        <v/>
      </c>
      <c r="AB99" s="28" t="s">
        <v>45</v>
      </c>
      <c r="AC99" s="32"/>
      <c r="AD99" s="31"/>
      <c r="AE99" s="29" t="str">
        <f t="shared" si="7"/>
        <v/>
      </c>
      <c r="AF99" s="42" t="str" cm="1">
        <f t="array" ref="AF99">FilterSpecialCharacters(V99)</f>
        <v/>
      </c>
    </row>
    <row r="100" spans="1:32" x14ac:dyDescent="0.25">
      <c r="A100" s="11"/>
      <c r="B100" s="53" t="str" cm="1">
        <f t="array" ref="B100">U100&amp;AB100&amp;IfEmpty(S100,V100)</f>
        <v xml:space="preserve"> </v>
      </c>
      <c r="C100" s="64" t="str">
        <f t="shared" si="8"/>
        <v xml:space="preserve">  </v>
      </c>
      <c r="D100" s="91" t="str">
        <f t="shared" si="9"/>
        <v/>
      </c>
      <c r="E100" s="60" t="str" cm="1">
        <f t="array" ref="E100">IfZero(AA100&amp;AF100&amp;W100)</f>
        <v/>
      </c>
      <c r="F100" s="60" t="str" cm="1">
        <f t="array" ref="F100">IfZero(Z100&amp;AF100&amp;W100)</f>
        <v/>
      </c>
      <c r="G100" s="54" t="str" cm="1">
        <f t="array" ref="G100">IFERROR(CalcUnc(D100,I100,J100,Q100,R100,T100,V100,AC100,AD100,L100:P100,X100,Y100),"")</f>
        <v/>
      </c>
      <c r="H100" s="77"/>
      <c r="I100" s="48"/>
      <c r="J100" s="33"/>
      <c r="K100" s="30"/>
      <c r="L100" s="95"/>
      <c r="M100" s="96"/>
      <c r="N100" s="96"/>
      <c r="O100" s="96"/>
      <c r="P100" s="97"/>
      <c r="S100" s="7"/>
      <c r="T100" s="41"/>
      <c r="U100" s="31"/>
      <c r="V100" s="9"/>
      <c r="W100" s="27" t="str" cm="1">
        <f t="array" ref="W100">GetPolarity(V100,AD100)</f>
        <v/>
      </c>
      <c r="X100" s="32"/>
      <c r="Y100" s="31"/>
      <c r="Z100" s="89" t="str">
        <f t="shared" si="5"/>
        <v/>
      </c>
      <c r="AA100" s="89" t="str">
        <f t="shared" si="6"/>
        <v/>
      </c>
      <c r="AB100" s="28" t="s">
        <v>45</v>
      </c>
      <c r="AC100" s="32"/>
      <c r="AD100" s="31"/>
      <c r="AE100" s="29" t="str">
        <f t="shared" si="7"/>
        <v/>
      </c>
      <c r="AF100" s="42" t="str" cm="1">
        <f t="array" ref="AF100">FilterSpecialCharacters(V100)</f>
        <v/>
      </c>
    </row>
    <row r="101" spans="1:32" x14ac:dyDescent="0.25">
      <c r="A101" s="58"/>
      <c r="B101" s="55" t="str" cm="1">
        <f t="array" ref="B101">U101&amp;AB101&amp;IfEmpty(S101,V101)</f>
        <v xml:space="preserve"> </v>
      </c>
      <c r="C101" s="56" t="str">
        <f t="shared" si="8"/>
        <v xml:space="preserve">  </v>
      </c>
      <c r="D101" s="92" t="str">
        <f t="shared" si="9"/>
        <v/>
      </c>
      <c r="E101" s="61" t="str" cm="1">
        <f t="array" ref="E101">IfZero(AA101&amp;AF101&amp;W101)</f>
        <v/>
      </c>
      <c r="F101" s="61" t="str" cm="1">
        <f t="array" ref="F101">IfZero(Z101&amp;AF101&amp;W101)</f>
        <v/>
      </c>
      <c r="G101" s="57" t="str" cm="1">
        <f t="array" ref="G101">IFERROR(CalcUnc(D101,I101,J101,Q101,R101,T101,V101,AC101,AD101,L101:P101,X101,Y101),"")</f>
        <v/>
      </c>
      <c r="H101" s="77"/>
      <c r="I101" s="48"/>
      <c r="J101" s="33"/>
      <c r="K101" s="30"/>
      <c r="L101" s="95"/>
      <c r="M101" s="96"/>
      <c r="N101" s="96"/>
      <c r="O101" s="96"/>
      <c r="P101" s="97"/>
      <c r="S101" s="7"/>
      <c r="T101" s="41"/>
      <c r="U101" s="31"/>
      <c r="V101" s="9"/>
      <c r="W101" s="27" t="str" cm="1">
        <f t="array" ref="W101">GetPolarity(V101,AD101)</f>
        <v/>
      </c>
      <c r="X101" s="32"/>
      <c r="Y101" s="31"/>
      <c r="Z101" s="89" t="str">
        <f t="shared" si="5"/>
        <v/>
      </c>
      <c r="AA101" s="89" t="str">
        <f t="shared" si="6"/>
        <v/>
      </c>
      <c r="AB101" s="28" t="s">
        <v>45</v>
      </c>
      <c r="AC101" s="32"/>
      <c r="AD101" s="31"/>
      <c r="AE101" s="29" t="str">
        <f t="shared" si="7"/>
        <v/>
      </c>
      <c r="AF101" s="42" t="str" cm="1">
        <f t="array" ref="AF101">FilterSpecialCharacters(V101)</f>
        <v/>
      </c>
    </row>
    <row r="102" spans="1:32" x14ac:dyDescent="0.25">
      <c r="A102" s="11"/>
      <c r="B102" s="53" t="str" cm="1">
        <f t="array" ref="B102">U102&amp;AB102&amp;IfEmpty(S102,V102)</f>
        <v xml:space="preserve"> </v>
      </c>
      <c r="C102" s="64" t="str">
        <f t="shared" si="8"/>
        <v xml:space="preserve">  </v>
      </c>
      <c r="D102" s="91" t="str">
        <f t="shared" si="9"/>
        <v/>
      </c>
      <c r="E102" s="60" t="str" cm="1">
        <f t="array" ref="E102">IfZero(AA102&amp;AF102&amp;W102)</f>
        <v/>
      </c>
      <c r="F102" s="60" t="str" cm="1">
        <f t="array" ref="F102">IfZero(Z102&amp;AF102&amp;W102)</f>
        <v/>
      </c>
      <c r="G102" s="54" t="str" cm="1">
        <f t="array" ref="G102">IFERROR(CalcUnc(D102,I102,J102,Q102,R102,T102,V102,AC102,AD102,L102:P102,X102,Y102),"")</f>
        <v/>
      </c>
      <c r="H102" s="77"/>
      <c r="I102" s="48"/>
      <c r="J102" s="33"/>
      <c r="K102" s="30"/>
      <c r="L102" s="95"/>
      <c r="M102" s="96"/>
      <c r="N102" s="96"/>
      <c r="O102" s="96"/>
      <c r="P102" s="97"/>
      <c r="S102" s="7"/>
      <c r="T102" s="41"/>
      <c r="U102" s="31"/>
      <c r="V102" s="9"/>
      <c r="W102" s="27" t="str" cm="1">
        <f t="array" ref="W102">GetPolarity(V102,AD102)</f>
        <v/>
      </c>
      <c r="X102" s="32"/>
      <c r="Y102" s="31"/>
      <c r="Z102" s="89" t="str">
        <f t="shared" si="5"/>
        <v/>
      </c>
      <c r="AA102" s="89" t="str">
        <f t="shared" si="6"/>
        <v/>
      </c>
      <c r="AB102" s="28" t="s">
        <v>45</v>
      </c>
      <c r="AC102" s="32"/>
      <c r="AD102" s="31"/>
      <c r="AE102" s="29" t="str">
        <f t="shared" si="7"/>
        <v/>
      </c>
      <c r="AF102" s="42" t="str" cm="1">
        <f t="array" ref="AF102">FilterSpecialCharacters(V102)</f>
        <v/>
      </c>
    </row>
    <row r="103" spans="1:32" x14ac:dyDescent="0.25">
      <c r="A103" s="58"/>
      <c r="B103" s="55" t="str" cm="1">
        <f t="array" ref="B103">U103&amp;AB103&amp;IfEmpty(S103,V103)</f>
        <v xml:space="preserve"> </v>
      </c>
      <c r="C103" s="56" t="str">
        <f t="shared" si="8"/>
        <v xml:space="preserve">  </v>
      </c>
      <c r="D103" s="92" t="str">
        <f t="shared" si="9"/>
        <v/>
      </c>
      <c r="E103" s="61" t="str" cm="1">
        <f t="array" ref="E103">IfZero(AA103&amp;AF103&amp;W103)</f>
        <v/>
      </c>
      <c r="F103" s="61" t="str" cm="1">
        <f t="array" ref="F103">IfZero(Z103&amp;AF103&amp;W103)</f>
        <v/>
      </c>
      <c r="G103" s="57" t="str" cm="1">
        <f t="array" ref="G103">IFERROR(CalcUnc(D103,I103,J103,Q103,R103,T103,V103,AC103,AD103,L103:P103,X103,Y103),"")</f>
        <v/>
      </c>
      <c r="H103" s="77"/>
      <c r="I103" s="48"/>
      <c r="J103" s="33"/>
      <c r="K103" s="30"/>
      <c r="L103" s="95"/>
      <c r="M103" s="96"/>
      <c r="N103" s="96"/>
      <c r="O103" s="96"/>
      <c r="P103" s="97"/>
      <c r="S103" s="7"/>
      <c r="T103" s="41"/>
      <c r="U103" s="31"/>
      <c r="V103" s="9"/>
      <c r="W103" s="27" t="str" cm="1">
        <f t="array" ref="W103">GetPolarity(V103,AD103)</f>
        <v/>
      </c>
      <c r="X103" s="32"/>
      <c r="Y103" s="31"/>
      <c r="Z103" s="89" t="str">
        <f t="shared" si="5"/>
        <v/>
      </c>
      <c r="AA103" s="89" t="str">
        <f t="shared" si="6"/>
        <v/>
      </c>
      <c r="AB103" s="28" t="s">
        <v>45</v>
      </c>
      <c r="AC103" s="32"/>
      <c r="AD103" s="31"/>
      <c r="AE103" s="29" t="str">
        <f t="shared" si="7"/>
        <v/>
      </c>
      <c r="AF103" s="42" t="str" cm="1">
        <f t="array" ref="AF103">FilterSpecialCharacters(V103)</f>
        <v/>
      </c>
    </row>
    <row r="104" spans="1:32" x14ac:dyDescent="0.25">
      <c r="A104" s="11"/>
      <c r="B104" s="53" t="str" cm="1">
        <f t="array" ref="B104">U104&amp;AB104&amp;IfEmpty(S104,V104)</f>
        <v xml:space="preserve"> </v>
      </c>
      <c r="C104" s="64" t="str">
        <f t="shared" si="8"/>
        <v xml:space="preserve">  </v>
      </c>
      <c r="D104" s="91" t="str">
        <f t="shared" si="9"/>
        <v/>
      </c>
      <c r="E104" s="60" t="str" cm="1">
        <f t="array" ref="E104">IfZero(AA104&amp;AF104&amp;W104)</f>
        <v/>
      </c>
      <c r="F104" s="60" t="str" cm="1">
        <f t="array" ref="F104">IfZero(Z104&amp;AF104&amp;W104)</f>
        <v/>
      </c>
      <c r="G104" s="54" t="str" cm="1">
        <f t="array" ref="G104">IFERROR(CalcUnc(D104,I104,J104,Q104,R104,T104,V104,AC104,AD104,L104:P104,X104,Y104),"")</f>
        <v/>
      </c>
      <c r="H104" s="77"/>
      <c r="I104" s="48"/>
      <c r="J104" s="33"/>
      <c r="K104" s="30"/>
      <c r="L104" s="95"/>
      <c r="M104" s="96"/>
      <c r="N104" s="96"/>
      <c r="O104" s="96"/>
      <c r="P104" s="97"/>
      <c r="S104" s="7"/>
      <c r="T104" s="41"/>
      <c r="U104" s="31"/>
      <c r="V104" s="9"/>
      <c r="W104" s="27" t="str" cm="1">
        <f t="array" ref="W104">GetPolarity(V104,AD104)</f>
        <v/>
      </c>
      <c r="X104" s="32"/>
      <c r="Y104" s="31"/>
      <c r="Z104" s="89" t="str">
        <f t="shared" si="5"/>
        <v/>
      </c>
      <c r="AA104" s="89" t="str">
        <f t="shared" si="6"/>
        <v/>
      </c>
      <c r="AB104" s="28" t="s">
        <v>45</v>
      </c>
      <c r="AC104" s="32"/>
      <c r="AD104" s="31"/>
      <c r="AE104" s="29" t="str">
        <f t="shared" si="7"/>
        <v/>
      </c>
      <c r="AF104" s="42" t="str" cm="1">
        <f t="array" ref="AF104">FilterSpecialCharacters(V104)</f>
        <v/>
      </c>
    </row>
    <row r="105" spans="1:32" x14ac:dyDescent="0.25">
      <c r="A105" s="58"/>
      <c r="B105" s="55" t="str" cm="1">
        <f t="array" ref="B105">U105&amp;AB105&amp;IfEmpty(S105,V105)</f>
        <v xml:space="preserve"> </v>
      </c>
      <c r="C105" s="56" t="str">
        <f t="shared" si="8"/>
        <v xml:space="preserve">  </v>
      </c>
      <c r="D105" s="92" t="str">
        <f t="shared" si="9"/>
        <v/>
      </c>
      <c r="E105" s="61" t="str" cm="1">
        <f t="array" ref="E105">IfZero(AA105&amp;AF105&amp;W105)</f>
        <v/>
      </c>
      <c r="F105" s="61" t="str" cm="1">
        <f t="array" ref="F105">IfZero(Z105&amp;AF105&amp;W105)</f>
        <v/>
      </c>
      <c r="G105" s="57" t="str" cm="1">
        <f t="array" ref="G105">IFERROR(CalcUnc(D105,I105,J105,Q105,R105,T105,V105,AC105,AD105,L105:P105,X105,Y105),"")</f>
        <v/>
      </c>
      <c r="H105" s="77"/>
      <c r="I105" s="48"/>
      <c r="J105" s="33"/>
      <c r="K105" s="30"/>
      <c r="L105" s="95"/>
      <c r="M105" s="96"/>
      <c r="N105" s="96"/>
      <c r="O105" s="96"/>
      <c r="P105" s="97"/>
      <c r="S105" s="7"/>
      <c r="T105" s="41"/>
      <c r="U105" s="31"/>
      <c r="V105" s="9"/>
      <c r="W105" s="27" t="str" cm="1">
        <f t="array" ref="W105">GetPolarity(V105,AD105)</f>
        <v/>
      </c>
      <c r="X105" s="32"/>
      <c r="Y105" s="31"/>
      <c r="Z105" s="89" t="str">
        <f t="shared" si="5"/>
        <v/>
      </c>
      <c r="AA105" s="89" t="str">
        <f t="shared" si="6"/>
        <v/>
      </c>
      <c r="AB105" s="28" t="s">
        <v>45</v>
      </c>
      <c r="AC105" s="32"/>
      <c r="AD105" s="31"/>
      <c r="AE105" s="29" t="str">
        <f t="shared" si="7"/>
        <v/>
      </c>
      <c r="AF105" s="42" t="str" cm="1">
        <f t="array" ref="AF105">FilterSpecialCharacters(V105)</f>
        <v/>
      </c>
    </row>
    <row r="106" spans="1:32" x14ac:dyDescent="0.25">
      <c r="A106" s="11"/>
      <c r="B106" s="53" t="str" cm="1">
        <f t="array" ref="B106">U106&amp;AB106&amp;IfEmpty(S106,V106)</f>
        <v xml:space="preserve"> </v>
      </c>
      <c r="C106" s="64" t="str">
        <f t="shared" si="8"/>
        <v xml:space="preserve">  </v>
      </c>
      <c r="D106" s="91" t="str">
        <f t="shared" si="9"/>
        <v/>
      </c>
      <c r="E106" s="60" t="str" cm="1">
        <f t="array" ref="E106">IfZero(AA106&amp;AF106&amp;W106)</f>
        <v/>
      </c>
      <c r="F106" s="60" t="str" cm="1">
        <f t="array" ref="F106">IfZero(Z106&amp;AF106&amp;W106)</f>
        <v/>
      </c>
      <c r="G106" s="54" t="str" cm="1">
        <f t="array" ref="G106">IFERROR(CalcUnc(D106,I106,J106,Q106,R106,T106,V106,AC106,AD106,L106:P106,X106,Y106),"")</f>
        <v/>
      </c>
      <c r="H106" s="77"/>
      <c r="I106" s="48"/>
      <c r="J106" s="33"/>
      <c r="K106" s="30"/>
      <c r="L106" s="95"/>
      <c r="M106" s="96"/>
      <c r="N106" s="96"/>
      <c r="O106" s="96"/>
      <c r="P106" s="97"/>
      <c r="S106" s="7"/>
      <c r="T106" s="41"/>
      <c r="U106" s="31"/>
      <c r="V106" s="9"/>
      <c r="W106" s="27" t="str" cm="1">
        <f t="array" ref="W106">GetPolarity(V106,AD106)</f>
        <v/>
      </c>
      <c r="X106" s="32"/>
      <c r="Y106" s="31"/>
      <c r="Z106" s="89" t="str">
        <f t="shared" si="5"/>
        <v/>
      </c>
      <c r="AA106" s="89" t="str">
        <f t="shared" si="6"/>
        <v/>
      </c>
      <c r="AB106" s="28" t="s">
        <v>45</v>
      </c>
      <c r="AC106" s="32"/>
      <c r="AD106" s="31"/>
      <c r="AE106" s="29" t="str">
        <f t="shared" si="7"/>
        <v/>
      </c>
      <c r="AF106" s="42" t="str" cm="1">
        <f t="array" ref="AF106">FilterSpecialCharacters(V106)</f>
        <v/>
      </c>
    </row>
    <row r="107" spans="1:32" x14ac:dyDescent="0.25">
      <c r="A107" s="58"/>
      <c r="B107" s="55" t="str" cm="1">
        <f t="array" ref="B107">U107&amp;AB107&amp;IfEmpty(S107,V107)</f>
        <v xml:space="preserve"> </v>
      </c>
      <c r="C107" s="56" t="str">
        <f t="shared" si="8"/>
        <v xml:space="preserve">  </v>
      </c>
      <c r="D107" s="92" t="str">
        <f t="shared" si="9"/>
        <v/>
      </c>
      <c r="E107" s="61" t="str" cm="1">
        <f t="array" ref="E107">IfZero(AA107&amp;AF107&amp;W107)</f>
        <v/>
      </c>
      <c r="F107" s="61" t="str" cm="1">
        <f t="array" ref="F107">IfZero(Z107&amp;AF107&amp;W107)</f>
        <v/>
      </c>
      <c r="G107" s="57" t="str" cm="1">
        <f t="array" ref="G107">IFERROR(CalcUnc(D107,I107,J107,Q107,R107,T107,V107,AC107,AD107,L107:P107,X107,Y107),"")</f>
        <v/>
      </c>
      <c r="H107" s="77"/>
      <c r="I107" s="48"/>
      <c r="J107" s="33"/>
      <c r="K107" s="30"/>
      <c r="L107" s="95"/>
      <c r="M107" s="96"/>
      <c r="N107" s="96"/>
      <c r="O107" s="96"/>
      <c r="P107" s="97"/>
      <c r="S107" s="7"/>
      <c r="T107" s="41"/>
      <c r="U107" s="31"/>
      <c r="V107" s="9"/>
      <c r="W107" s="27" t="str" cm="1">
        <f t="array" ref="W107">GetPolarity(V107,AD107)</f>
        <v/>
      </c>
      <c r="X107" s="32"/>
      <c r="Y107" s="31"/>
      <c r="Z107" s="89" t="str">
        <f t="shared" si="5"/>
        <v/>
      </c>
      <c r="AA107" s="89" t="str">
        <f t="shared" si="6"/>
        <v/>
      </c>
      <c r="AB107" s="28" t="s">
        <v>45</v>
      </c>
      <c r="AC107" s="32"/>
      <c r="AD107" s="31"/>
      <c r="AE107" s="29" t="str">
        <f t="shared" si="7"/>
        <v/>
      </c>
      <c r="AF107" s="42" t="str" cm="1">
        <f t="array" ref="AF107">FilterSpecialCharacters(V107)</f>
        <v/>
      </c>
    </row>
    <row r="108" spans="1:32" x14ac:dyDescent="0.25">
      <c r="A108" s="11"/>
      <c r="B108" s="53" t="str" cm="1">
        <f t="array" ref="B108">U108&amp;AB108&amp;IfEmpty(S108,V108)</f>
        <v xml:space="preserve"> </v>
      </c>
      <c r="C108" s="64" t="str">
        <f t="shared" si="8"/>
        <v xml:space="preserve">  </v>
      </c>
      <c r="D108" s="91" t="str">
        <f t="shared" si="9"/>
        <v/>
      </c>
      <c r="E108" s="60" t="str" cm="1">
        <f t="array" ref="E108">IfZero(AA108&amp;AF108&amp;W108)</f>
        <v/>
      </c>
      <c r="F108" s="60" t="str" cm="1">
        <f t="array" ref="F108">IfZero(Z108&amp;AF108&amp;W108)</f>
        <v/>
      </c>
      <c r="G108" s="54" t="str" cm="1">
        <f t="array" ref="G108">IFERROR(CalcUnc(D108,I108,J108,Q108,R108,T108,V108,AC108,AD108,L108:P108,X108,Y108),"")</f>
        <v/>
      </c>
      <c r="H108" s="77"/>
      <c r="I108" s="48"/>
      <c r="J108" s="33"/>
      <c r="K108" s="30"/>
      <c r="L108" s="95"/>
      <c r="M108" s="96"/>
      <c r="N108" s="96"/>
      <c r="O108" s="96"/>
      <c r="P108" s="97"/>
      <c r="S108" s="7"/>
      <c r="T108" s="41"/>
      <c r="U108" s="31"/>
      <c r="V108" s="9"/>
      <c r="W108" s="27" t="str" cm="1">
        <f t="array" ref="W108">GetPolarity(V108,AD108)</f>
        <v/>
      </c>
      <c r="X108" s="32"/>
      <c r="Y108" s="31"/>
      <c r="Z108" s="89" t="str">
        <f t="shared" si="5"/>
        <v/>
      </c>
      <c r="AA108" s="89" t="str">
        <f t="shared" si="6"/>
        <v/>
      </c>
      <c r="AB108" s="28" t="s">
        <v>45</v>
      </c>
      <c r="AC108" s="32"/>
      <c r="AD108" s="31"/>
      <c r="AE108" s="29" t="str">
        <f t="shared" si="7"/>
        <v/>
      </c>
      <c r="AF108" s="42" t="str" cm="1">
        <f t="array" ref="AF108">FilterSpecialCharacters(V108)</f>
        <v/>
      </c>
    </row>
    <row r="109" spans="1:32" x14ac:dyDescent="0.25">
      <c r="A109" s="58"/>
      <c r="B109" s="55" t="str" cm="1">
        <f t="array" ref="B109">U109&amp;AB109&amp;IfEmpty(S109,V109)</f>
        <v xml:space="preserve"> </v>
      </c>
      <c r="C109" s="56" t="str">
        <f t="shared" si="8"/>
        <v xml:space="preserve">  </v>
      </c>
      <c r="D109" s="92" t="str">
        <f t="shared" si="9"/>
        <v/>
      </c>
      <c r="E109" s="61" t="str" cm="1">
        <f t="array" ref="E109">IfZero(AA109&amp;AF109&amp;W109)</f>
        <v/>
      </c>
      <c r="F109" s="61" t="str" cm="1">
        <f t="array" ref="F109">IfZero(Z109&amp;AF109&amp;W109)</f>
        <v/>
      </c>
      <c r="G109" s="57" t="str" cm="1">
        <f t="array" ref="G109">IFERROR(CalcUnc(D109,I109,J109,Q109,R109,T109,V109,AC109,AD109,L109:P109,X109,Y109),"")</f>
        <v/>
      </c>
      <c r="H109" s="77"/>
      <c r="I109" s="48"/>
      <c r="J109" s="33"/>
      <c r="K109" s="30"/>
      <c r="L109" s="95"/>
      <c r="M109" s="96"/>
      <c r="N109" s="96"/>
      <c r="O109" s="96"/>
      <c r="P109" s="97"/>
      <c r="S109" s="7"/>
      <c r="T109" s="41"/>
      <c r="U109" s="31"/>
      <c r="V109" s="9"/>
      <c r="W109" s="27" t="str" cm="1">
        <f t="array" ref="W109">GetPolarity(V109,AD109)</f>
        <v/>
      </c>
      <c r="X109" s="32"/>
      <c r="Y109" s="31"/>
      <c r="Z109" s="89" t="str">
        <f t="shared" si="5"/>
        <v/>
      </c>
      <c r="AA109" s="89" t="str">
        <f t="shared" si="6"/>
        <v/>
      </c>
      <c r="AB109" s="28" t="s">
        <v>45</v>
      </c>
      <c r="AC109" s="32"/>
      <c r="AD109" s="31"/>
      <c r="AE109" s="29" t="str">
        <f t="shared" si="7"/>
        <v/>
      </c>
      <c r="AF109" s="42" t="str" cm="1">
        <f t="array" ref="AF109">FilterSpecialCharacters(V109)</f>
        <v/>
      </c>
    </row>
    <row r="110" spans="1:32" x14ac:dyDescent="0.25">
      <c r="A110" s="11"/>
      <c r="B110" s="53" t="str" cm="1">
        <f t="array" ref="B110">U110&amp;AB110&amp;IfEmpty(S110,V110)</f>
        <v xml:space="preserve"> </v>
      </c>
      <c r="C110" s="64" t="str">
        <f t="shared" si="8"/>
        <v xml:space="preserve">  </v>
      </c>
      <c r="D110" s="91" t="str">
        <f t="shared" si="9"/>
        <v/>
      </c>
      <c r="E110" s="60" t="str" cm="1">
        <f t="array" ref="E110">IfZero(AA110&amp;AF110&amp;W110)</f>
        <v/>
      </c>
      <c r="F110" s="60" t="str" cm="1">
        <f t="array" ref="F110">IfZero(Z110&amp;AF110&amp;W110)</f>
        <v/>
      </c>
      <c r="G110" s="54" t="str" cm="1">
        <f t="array" ref="G110">IFERROR(CalcUnc(D110,I110,J110,Q110,R110,T110,V110,AC110,AD110,L110:P110,X110,Y110),"")</f>
        <v/>
      </c>
      <c r="H110" s="77"/>
      <c r="I110" s="48"/>
      <c r="J110" s="33"/>
      <c r="K110" s="30"/>
      <c r="L110" s="95"/>
      <c r="M110" s="96"/>
      <c r="N110" s="96"/>
      <c r="O110" s="96"/>
      <c r="P110" s="97"/>
      <c r="S110" s="7"/>
      <c r="T110" s="41"/>
      <c r="U110" s="31"/>
      <c r="V110" s="9"/>
      <c r="W110" s="27" t="str" cm="1">
        <f t="array" ref="W110">GetPolarity(V110,AD110)</f>
        <v/>
      </c>
      <c r="X110" s="32"/>
      <c r="Y110" s="31"/>
      <c r="Z110" s="89" t="str">
        <f t="shared" si="5"/>
        <v/>
      </c>
      <c r="AA110" s="89" t="str">
        <f t="shared" si="6"/>
        <v/>
      </c>
      <c r="AB110" s="28" t="s">
        <v>45</v>
      </c>
      <c r="AC110" s="32"/>
      <c r="AD110" s="31"/>
      <c r="AE110" s="29" t="str">
        <f t="shared" si="7"/>
        <v/>
      </c>
      <c r="AF110" s="42" t="str" cm="1">
        <f t="array" ref="AF110">FilterSpecialCharacters(V110)</f>
        <v/>
      </c>
    </row>
    <row r="112" spans="1:32" x14ac:dyDescent="0.25">
      <c r="Q112" s="70"/>
      <c r="R112" s="70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6" priority="41">
      <formula>ABS(D6:D110-X6:X110)&gt;Y6:Y110</formula>
    </cfRule>
  </conditionalFormatting>
  <dataValidations count="6">
    <dataValidation type="list" allowBlank="1" showInputMessage="1" showErrorMessage="1" sqref="Q6:Q110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T6:T16 T18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L33" sqref="L33"/>
    </sheetView>
  </sheetViews>
  <sheetFormatPr defaultRowHeight="15" x14ac:dyDescent="0.25"/>
  <sheetData>
    <row r="1" spans="1:6" x14ac:dyDescent="0.25">
      <c r="A1" t="s">
        <v>172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171</v>
      </c>
      <c r="B2">
        <f ca="1">$A2*(RAND()+99.5)/100</f>
        <v>67.172355312518363</v>
      </c>
      <c r="C2">
        <f t="shared" ref="C2:F16" ca="1" si="0">$A2*(RAND()+99.5)/100</f>
        <v>66.734264485267701</v>
      </c>
      <c r="D2">
        <f t="shared" ca="1" si="0"/>
        <v>66.919503292642759</v>
      </c>
      <c r="E2">
        <f t="shared" ca="1" si="0"/>
        <v>66.674649646645292</v>
      </c>
      <c r="F2">
        <f t="shared" ca="1" si="0"/>
        <v>66.761065978470612</v>
      </c>
    </row>
    <row r="3" spans="1:6" x14ac:dyDescent="0.25">
      <c r="A3" t="s">
        <v>113</v>
      </c>
      <c r="B3">
        <f t="shared" ref="B3:B16" ca="1" si="1">$A3*(RAND()+99.5)/100</f>
        <v>4.9912341251130803</v>
      </c>
      <c r="C3">
        <f t="shared" ca="1" si="0"/>
        <v>5.0040881593386652</v>
      </c>
      <c r="D3">
        <f t="shared" ca="1" si="0"/>
        <v>5.0036866507111561</v>
      </c>
      <c r="E3">
        <f t="shared" ca="1" si="0"/>
        <v>5.0004326661188045</v>
      </c>
      <c r="F3">
        <f t="shared" ca="1" si="0"/>
        <v>5.0181792815321247</v>
      </c>
    </row>
    <row r="4" spans="1:6" x14ac:dyDescent="0.25">
      <c r="A4" t="s">
        <v>114</v>
      </c>
      <c r="B4">
        <f t="shared" ca="1" si="1"/>
        <v>4.9679615393855814</v>
      </c>
      <c r="C4">
        <f t="shared" ca="1" si="0"/>
        <v>4.9592880440073221</v>
      </c>
      <c r="D4">
        <f t="shared" ca="1" si="0"/>
        <v>4.9705533445295327</v>
      </c>
      <c r="E4">
        <f t="shared" ca="1" si="0"/>
        <v>4.9781270252819381</v>
      </c>
      <c r="F4">
        <f t="shared" ca="1" si="0"/>
        <v>4.9690189496757071</v>
      </c>
    </row>
    <row r="5" spans="1:6" x14ac:dyDescent="0.25">
      <c r="A5" t="s">
        <v>115</v>
      </c>
      <c r="B5">
        <f t="shared" ca="1" si="1"/>
        <v>49.838391620101149</v>
      </c>
      <c r="C5">
        <f t="shared" ca="1" si="0"/>
        <v>50.195945167250841</v>
      </c>
      <c r="D5">
        <f t="shared" ca="1" si="0"/>
        <v>50.165020791491955</v>
      </c>
      <c r="E5">
        <f t="shared" ca="1" si="0"/>
        <v>49.992317927109532</v>
      </c>
      <c r="F5">
        <f t="shared" ca="1" si="0"/>
        <v>49.805123386378739</v>
      </c>
    </row>
    <row r="6" spans="1:6" x14ac:dyDescent="0.25">
      <c r="A6" t="s">
        <v>116</v>
      </c>
      <c r="B6">
        <f t="shared" ca="1" si="1"/>
        <v>50.154836085470471</v>
      </c>
      <c r="C6">
        <f t="shared" ca="1" si="0"/>
        <v>49.926398004998191</v>
      </c>
      <c r="D6">
        <f t="shared" ca="1" si="0"/>
        <v>50.333542464803379</v>
      </c>
      <c r="E6">
        <f t="shared" ca="1" si="0"/>
        <v>50.229148341784622</v>
      </c>
      <c r="F6">
        <f t="shared" ca="1" si="0"/>
        <v>50.252192473571249</v>
      </c>
    </row>
    <row r="7" spans="1:6" x14ac:dyDescent="0.25">
      <c r="A7" t="s">
        <v>112</v>
      </c>
      <c r="B7">
        <f t="shared" ca="1" si="1"/>
        <v>299.00735904637691</v>
      </c>
      <c r="C7">
        <f t="shared" ca="1" si="0"/>
        <v>301.43070511096874</v>
      </c>
      <c r="D7">
        <f t="shared" ca="1" si="0"/>
        <v>298.78105781996481</v>
      </c>
      <c r="E7">
        <f t="shared" ca="1" si="0"/>
        <v>300.42780561319921</v>
      </c>
      <c r="F7">
        <f t="shared" ca="1" si="0"/>
        <v>299.00327171869316</v>
      </c>
    </row>
    <row r="8" spans="1:6" x14ac:dyDescent="0.25">
      <c r="A8" t="s">
        <v>117</v>
      </c>
      <c r="B8">
        <f t="shared" ca="1" si="1"/>
        <v>499.07473288648822</v>
      </c>
      <c r="C8">
        <f t="shared" ca="1" si="0"/>
        <v>499.73911424126737</v>
      </c>
      <c r="D8">
        <f t="shared" ca="1" si="0"/>
        <v>502.18186073358447</v>
      </c>
      <c r="E8">
        <f t="shared" ca="1" si="0"/>
        <v>499.04731756486757</v>
      </c>
      <c r="F8">
        <f t="shared" ca="1" si="0"/>
        <v>502.17166947067125</v>
      </c>
    </row>
    <row r="9" spans="1:6" x14ac:dyDescent="0.25">
      <c r="A9" t="s">
        <v>117</v>
      </c>
      <c r="B9">
        <f t="shared" ca="1" si="1"/>
        <v>499.36329381882877</v>
      </c>
      <c r="C9">
        <f t="shared" ca="1" si="0"/>
        <v>502.40069868129007</v>
      </c>
      <c r="D9">
        <f t="shared" ca="1" si="0"/>
        <v>499.24134641985125</v>
      </c>
      <c r="E9">
        <f t="shared" ca="1" si="0"/>
        <v>501.71506389471608</v>
      </c>
      <c r="F9">
        <f t="shared" ca="1" si="0"/>
        <v>500.66959290619531</v>
      </c>
    </row>
    <row r="10" spans="1:6" x14ac:dyDescent="0.25">
      <c r="A10" t="s">
        <v>118</v>
      </c>
      <c r="B10">
        <f t="shared" ca="1" si="1"/>
        <v>997.35480122773413</v>
      </c>
      <c r="C10">
        <f t="shared" ca="1" si="0"/>
        <v>1004.1152768419452</v>
      </c>
      <c r="D10">
        <f t="shared" ca="1" si="0"/>
        <v>1003.317688364797</v>
      </c>
      <c r="E10">
        <f t="shared" ca="1" si="0"/>
        <v>1004.3326699035184</v>
      </c>
      <c r="F10">
        <f t="shared" ca="1" si="0"/>
        <v>1000.6484342568366</v>
      </c>
    </row>
    <row r="13" spans="1:6" x14ac:dyDescent="0.25">
      <c r="A13" t="s">
        <v>119</v>
      </c>
      <c r="B13">
        <f t="shared" ca="1" si="1"/>
        <v>5.0054204254908168</v>
      </c>
      <c r="C13">
        <f t="shared" ca="1" si="0"/>
        <v>4.9901815766053108</v>
      </c>
      <c r="D13">
        <f t="shared" ca="1" si="0"/>
        <v>5.0082745738184142</v>
      </c>
      <c r="E13">
        <f t="shared" ca="1" si="0"/>
        <v>4.9813439740627636</v>
      </c>
      <c r="F13">
        <f t="shared" ca="1" si="0"/>
        <v>5.0025526384703873</v>
      </c>
    </row>
    <row r="14" spans="1:6" x14ac:dyDescent="0.25">
      <c r="A14" t="s">
        <v>120</v>
      </c>
      <c r="B14">
        <f t="shared" ca="1" si="1"/>
        <v>299.80165456948475</v>
      </c>
      <c r="C14">
        <f t="shared" ca="1" si="0"/>
        <v>300.31414290736683</v>
      </c>
      <c r="D14">
        <f t="shared" ca="1" si="0"/>
        <v>299.98309314324695</v>
      </c>
      <c r="E14">
        <f t="shared" ca="1" si="0"/>
        <v>298.76148996954299</v>
      </c>
      <c r="F14">
        <f t="shared" ca="1" si="0"/>
        <v>299.3181169809709</v>
      </c>
    </row>
    <row r="15" spans="1:6" x14ac:dyDescent="0.25">
      <c r="A15" t="s">
        <v>121</v>
      </c>
      <c r="B15">
        <f t="shared" ca="1" si="1"/>
        <v>1004.8980176034778</v>
      </c>
      <c r="C15">
        <f t="shared" ca="1" si="0"/>
        <v>1004.9747448527835</v>
      </c>
      <c r="D15">
        <f t="shared" ca="1" si="0"/>
        <v>1001.1484389392505</v>
      </c>
      <c r="E15">
        <f t="shared" ca="1" si="0"/>
        <v>996.41500033770183</v>
      </c>
      <c r="F15">
        <f t="shared" ca="1" si="0"/>
        <v>999.34403401314671</v>
      </c>
    </row>
    <row r="16" spans="1:6" x14ac:dyDescent="0.25">
      <c r="A16" t="s">
        <v>122</v>
      </c>
      <c r="B16">
        <f t="shared" ca="1" si="1"/>
        <v>-997.84120355803111</v>
      </c>
      <c r="C16">
        <f t="shared" ca="1" si="0"/>
        <v>-1000.4814724592429</v>
      </c>
      <c r="D16">
        <f t="shared" ca="1" si="0"/>
        <v>-1001.8874621727476</v>
      </c>
      <c r="E16">
        <f t="shared" ca="1" si="0"/>
        <v>-999.92020544254524</v>
      </c>
      <c r="F16">
        <f t="shared" ca="1" si="0"/>
        <v>-1001.1238980584448</v>
      </c>
    </row>
    <row r="19" spans="1:6" x14ac:dyDescent="0.25">
      <c r="A19" t="s">
        <v>123</v>
      </c>
      <c r="B19">
        <f t="shared" ref="B19:F40" ca="1" si="2">$A19*(RAND()+99.5)/100</f>
        <v>29.903374125900054</v>
      </c>
      <c r="C19">
        <f t="shared" ca="1" si="2"/>
        <v>30.083020028705295</v>
      </c>
      <c r="D19">
        <f t="shared" ca="1" si="2"/>
        <v>29.906100053227579</v>
      </c>
      <c r="E19">
        <f t="shared" ca="1" si="2"/>
        <v>29.850352078803507</v>
      </c>
      <c r="F19">
        <f t="shared" ca="1" si="2"/>
        <v>30.091226805002979</v>
      </c>
    </row>
    <row r="20" spans="1:6" x14ac:dyDescent="0.25">
      <c r="A20" t="s">
        <v>124</v>
      </c>
      <c r="B20">
        <f t="shared" ca="1" si="2"/>
        <v>-301.12959859829607</v>
      </c>
      <c r="C20">
        <f t="shared" ca="1" si="2"/>
        <v>-301.03579807824349</v>
      </c>
      <c r="D20">
        <f t="shared" ca="1" si="2"/>
        <v>-299.32409837035652</v>
      </c>
      <c r="E20">
        <f t="shared" ca="1" si="2"/>
        <v>-300.78014779018775</v>
      </c>
      <c r="F20">
        <f t="shared" ca="1" si="2"/>
        <v>-299.34739637850902</v>
      </c>
    </row>
    <row r="21" spans="1:6" x14ac:dyDescent="0.25">
      <c r="A21" t="s">
        <v>125</v>
      </c>
      <c r="B21">
        <f t="shared" ca="1" si="2"/>
        <v>597.42225181447611</v>
      </c>
      <c r="C21">
        <f t="shared" ca="1" si="2"/>
        <v>599.56405970012383</v>
      </c>
      <c r="D21">
        <f t="shared" ca="1" si="2"/>
        <v>596.9680843713071</v>
      </c>
      <c r="E21">
        <f t="shared" ca="1" si="2"/>
        <v>602.6093566367208</v>
      </c>
      <c r="F21">
        <f t="shared" ca="1" si="2"/>
        <v>600.74700072483677</v>
      </c>
    </row>
    <row r="22" spans="1:6" x14ac:dyDescent="0.25">
      <c r="A22" t="s">
        <v>126</v>
      </c>
      <c r="B22">
        <f t="shared" ca="1" si="2"/>
        <v>502.2710389989328</v>
      </c>
      <c r="C22">
        <f t="shared" ca="1" si="2"/>
        <v>501.17248119834358</v>
      </c>
      <c r="D22">
        <f t="shared" ca="1" si="2"/>
        <v>501.57904107584648</v>
      </c>
      <c r="E22">
        <f t="shared" ca="1" si="2"/>
        <v>500.83070835022295</v>
      </c>
      <c r="F22">
        <f t="shared" ca="1" si="2"/>
        <v>500.19393291920608</v>
      </c>
    </row>
    <row r="23" spans="1:6" x14ac:dyDescent="0.25">
      <c r="A23" t="s">
        <v>127</v>
      </c>
      <c r="B23">
        <f t="shared" ca="1" si="2"/>
        <v>19.085857277805864</v>
      </c>
      <c r="C23">
        <f t="shared" ca="1" si="2"/>
        <v>18.930695439555542</v>
      </c>
      <c r="D23">
        <f t="shared" ca="1" si="2"/>
        <v>19.052435399107864</v>
      </c>
      <c r="E23">
        <f t="shared" ca="1" si="2"/>
        <v>19.040534733358346</v>
      </c>
      <c r="F23">
        <f t="shared" ca="1" si="2"/>
        <v>18.98598445171784</v>
      </c>
    </row>
    <row r="24" spans="1:6" x14ac:dyDescent="0.25">
      <c r="A24" t="s">
        <v>128</v>
      </c>
      <c r="B24">
        <f t="shared" ca="1" si="2"/>
        <v>902.13662627207736</v>
      </c>
      <c r="C24">
        <f t="shared" ca="1" si="2"/>
        <v>896.56516457298301</v>
      </c>
      <c r="D24">
        <f t="shared" ca="1" si="2"/>
        <v>899.48965313403664</v>
      </c>
      <c r="E24">
        <f t="shared" ca="1" si="2"/>
        <v>898.26799670374453</v>
      </c>
      <c r="F24">
        <f t="shared" ca="1" si="2"/>
        <v>903.90576467928202</v>
      </c>
    </row>
    <row r="27" spans="1:6" x14ac:dyDescent="0.25">
      <c r="A27" t="s">
        <v>129</v>
      </c>
      <c r="B27">
        <f t="shared" ca="1" si="2"/>
        <v>1.9930058449328656</v>
      </c>
      <c r="C27">
        <f t="shared" ca="1" si="2"/>
        <v>2.0049788219154783</v>
      </c>
      <c r="D27">
        <f t="shared" ca="1" si="2"/>
        <v>1.9993245151420576</v>
      </c>
      <c r="E27">
        <f t="shared" ca="1" si="2"/>
        <v>2.0078961781324383</v>
      </c>
      <c r="F27">
        <f t="shared" ca="1" si="2"/>
        <v>2.0054148060270229</v>
      </c>
    </row>
    <row r="28" spans="1:6" x14ac:dyDescent="0.25">
      <c r="A28" t="s">
        <v>130</v>
      </c>
      <c r="B28">
        <f t="shared" ca="1" si="2"/>
        <v>3.0049345412637791</v>
      </c>
      <c r="C28">
        <f t="shared" ca="1" si="2"/>
        <v>2.9978013732016162</v>
      </c>
      <c r="D28">
        <f t="shared" ca="1" si="2"/>
        <v>2.9859546823132428</v>
      </c>
      <c r="E28">
        <f t="shared" ca="1" si="2"/>
        <v>2.9859361190342275</v>
      </c>
      <c r="F28">
        <f t="shared" ca="1" si="2"/>
        <v>3.0103279846762563</v>
      </c>
    </row>
    <row r="29" spans="1:6" x14ac:dyDescent="0.25">
      <c r="A29" t="s">
        <v>131</v>
      </c>
      <c r="B29">
        <f t="shared" ca="1" si="2"/>
        <v>50.224656468786833</v>
      </c>
      <c r="C29">
        <f t="shared" ca="1" si="2"/>
        <v>50.123921003814594</v>
      </c>
      <c r="D29">
        <f t="shared" ca="1" si="2"/>
        <v>50.22037047459493</v>
      </c>
      <c r="E29">
        <f t="shared" ca="1" si="2"/>
        <v>50.186937725389868</v>
      </c>
      <c r="F29">
        <f t="shared" ca="1" si="2"/>
        <v>49.807572702380824</v>
      </c>
    </row>
    <row r="30" spans="1:6" x14ac:dyDescent="0.25">
      <c r="A30" t="s">
        <v>132</v>
      </c>
      <c r="B30">
        <f t="shared" ca="1" si="2"/>
        <v>398.3980080602438</v>
      </c>
      <c r="C30">
        <f t="shared" ca="1" si="2"/>
        <v>397.97130999694548</v>
      </c>
      <c r="D30">
        <f t="shared" ca="1" si="2"/>
        <v>400.71997161952891</v>
      </c>
      <c r="E30">
        <f t="shared" ca="1" si="2"/>
        <v>400.38912849055674</v>
      </c>
      <c r="F30">
        <f t="shared" ca="1" si="2"/>
        <v>399.24572044951941</v>
      </c>
    </row>
    <row r="31" spans="1:6" x14ac:dyDescent="0.25">
      <c r="A31" t="s">
        <v>133</v>
      </c>
      <c r="B31">
        <f t="shared" ca="1" si="2"/>
        <v>3.9879553336024918</v>
      </c>
      <c r="C31">
        <f t="shared" ca="1" si="2"/>
        <v>4.0087441388633307</v>
      </c>
      <c r="D31">
        <f t="shared" ca="1" si="2"/>
        <v>3.9839057559654658</v>
      </c>
      <c r="E31">
        <f t="shared" ca="1" si="2"/>
        <v>3.9805924154708583</v>
      </c>
      <c r="F31">
        <f t="shared" ca="1" si="2"/>
        <v>4.009598624378075</v>
      </c>
    </row>
    <row r="32" spans="1:6" x14ac:dyDescent="0.25">
      <c r="A32" t="s">
        <v>134</v>
      </c>
      <c r="B32">
        <f t="shared" ca="1" si="2"/>
        <v>9.0090666342444692</v>
      </c>
      <c r="C32">
        <f t="shared" ca="1" si="2"/>
        <v>8.9982535071971554</v>
      </c>
      <c r="D32">
        <f t="shared" ca="1" si="2"/>
        <v>9.0009395905769747</v>
      </c>
      <c r="E32">
        <f t="shared" ca="1" si="2"/>
        <v>9.024796874996218</v>
      </c>
      <c r="F32">
        <f t="shared" ca="1" si="2"/>
        <v>8.9763252433420888</v>
      </c>
    </row>
    <row r="33" spans="1:6" x14ac:dyDescent="0.25">
      <c r="A33" t="s">
        <v>130</v>
      </c>
      <c r="B33">
        <f t="shared" ca="1" si="2"/>
        <v>2.999035043321614</v>
      </c>
      <c r="C33">
        <f t="shared" ca="1" si="2"/>
        <v>2.9986994078694664</v>
      </c>
      <c r="D33">
        <f t="shared" ca="1" si="2"/>
        <v>3.0115779542811856</v>
      </c>
      <c r="E33">
        <f t="shared" ca="1" si="2"/>
        <v>3.0012652856839304</v>
      </c>
      <c r="F33">
        <f t="shared" ca="1" si="2"/>
        <v>2.9989061692617711</v>
      </c>
    </row>
    <row r="34" spans="1:6" x14ac:dyDescent="0.25">
      <c r="A34" t="s">
        <v>115</v>
      </c>
      <c r="B34">
        <f t="shared" ca="1" si="2"/>
        <v>49.961274019374997</v>
      </c>
      <c r="C34">
        <f t="shared" ca="1" si="2"/>
        <v>50.157711947877736</v>
      </c>
      <c r="D34">
        <f t="shared" ca="1" si="2"/>
        <v>50.20966753642783</v>
      </c>
      <c r="E34">
        <f t="shared" ca="1" si="2"/>
        <v>50.167606177648302</v>
      </c>
      <c r="F34">
        <f t="shared" ca="1" si="2"/>
        <v>50.221480615917329</v>
      </c>
    </row>
    <row r="35" spans="1:6" x14ac:dyDescent="0.25">
      <c r="A35" t="s">
        <v>135</v>
      </c>
      <c r="B35">
        <f t="shared" ca="1" si="2"/>
        <v>-401.30405898113537</v>
      </c>
      <c r="C35">
        <f t="shared" ca="1" si="2"/>
        <v>-400.78567907070328</v>
      </c>
      <c r="D35">
        <f t="shared" ca="1" si="2"/>
        <v>-401.61296549896338</v>
      </c>
      <c r="E35">
        <f t="shared" ca="1" si="2"/>
        <v>-399.29724926949001</v>
      </c>
      <c r="F35">
        <f t="shared" ca="1" si="2"/>
        <v>-399.25487741365362</v>
      </c>
    </row>
    <row r="36" spans="1:6" x14ac:dyDescent="0.25">
      <c r="A36" t="s">
        <v>133</v>
      </c>
      <c r="B36">
        <f t="shared" ca="1" si="2"/>
        <v>4.0080048461052638</v>
      </c>
      <c r="C36">
        <f t="shared" ca="1" si="2"/>
        <v>3.9986854686506645</v>
      </c>
      <c r="D36">
        <f t="shared" ca="1" si="2"/>
        <v>4.005068098587083</v>
      </c>
      <c r="E36">
        <f t="shared" ca="1" si="2"/>
        <v>4.0014891927223815</v>
      </c>
      <c r="F36">
        <f t="shared" ca="1" si="2"/>
        <v>3.9938997987145188</v>
      </c>
    </row>
    <row r="37" spans="1:6" x14ac:dyDescent="0.25">
      <c r="A37" t="s">
        <v>136</v>
      </c>
      <c r="B37">
        <f t="shared" ca="1" si="2"/>
        <v>-9.0297282585162773</v>
      </c>
      <c r="C37">
        <f t="shared" ca="1" si="2"/>
        <v>-9.0211229988622836</v>
      </c>
      <c r="D37">
        <f t="shared" ca="1" si="2"/>
        <v>-8.9833033989968687</v>
      </c>
      <c r="E37">
        <f t="shared" ca="1" si="2"/>
        <v>-9.0315245742927353</v>
      </c>
      <c r="F37">
        <f t="shared" ca="1" si="2"/>
        <v>-9.0412945694731626</v>
      </c>
    </row>
    <row r="38" spans="1:6" x14ac:dyDescent="0.25">
      <c r="A38" t="s">
        <v>137</v>
      </c>
      <c r="B38">
        <f t="shared" ca="1" si="2"/>
        <v>0.19983248943783963</v>
      </c>
      <c r="C38">
        <f t="shared" ca="1" si="2"/>
        <v>0.19958193406524072</v>
      </c>
      <c r="D38">
        <f t="shared" ca="1" si="2"/>
        <v>0.19902813185073037</v>
      </c>
      <c r="E38">
        <f t="shared" ca="1" si="2"/>
        <v>0.19927958985797581</v>
      </c>
      <c r="F38">
        <f t="shared" ca="1" si="2"/>
        <v>0.20025549439679824</v>
      </c>
    </row>
    <row r="39" spans="1:6" x14ac:dyDescent="0.25">
      <c r="A39" t="s">
        <v>138</v>
      </c>
      <c r="B39">
        <f t="shared" ca="1" si="2"/>
        <v>-39.855423465749766</v>
      </c>
      <c r="C39">
        <f t="shared" ca="1" si="2"/>
        <v>-39.911103050323703</v>
      </c>
      <c r="D39">
        <f t="shared" ca="1" si="2"/>
        <v>-39.66701140270726</v>
      </c>
      <c r="E39">
        <f t="shared" ca="1" si="2"/>
        <v>-39.654694147101587</v>
      </c>
      <c r="F39">
        <f t="shared" ca="1" si="2"/>
        <v>-39.703649070486641</v>
      </c>
    </row>
    <row r="40" spans="1:6" x14ac:dyDescent="0.25">
      <c r="A40" t="s">
        <v>139</v>
      </c>
      <c r="B40">
        <f t="shared" ca="1" si="2"/>
        <v>398.67716030047546</v>
      </c>
      <c r="C40">
        <f t="shared" ca="1" si="2"/>
        <v>400.96385453044945</v>
      </c>
      <c r="D40">
        <f t="shared" ca="1" si="2"/>
        <v>400.84713641770753</v>
      </c>
      <c r="E40">
        <f t="shared" ca="1" si="2"/>
        <v>397.76402493870961</v>
      </c>
      <c r="F40">
        <f t="shared" ca="1" si="2"/>
        <v>400.57623402793911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D2653"/>
  <sheetViews>
    <sheetView workbookViewId="0">
      <selection activeCell="S9" sqref="S9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4.5703125" bestFit="1" customWidth="1"/>
    <col min="19" max="19" width="16.85546875" bestFit="1" customWidth="1"/>
    <col min="20" max="21" width="16.42578125" bestFit="1" customWidth="1"/>
    <col min="22" max="22" width="9.28515625" bestFit="1" customWidth="1"/>
    <col min="23" max="23" width="13.140625" bestFit="1" customWidth="1"/>
    <col min="24" max="24" width="11.140625" bestFit="1" customWidth="1"/>
    <col min="25" max="25" width="24.140625" bestFit="1" customWidth="1"/>
  </cols>
  <sheetData>
    <row r="1" spans="1:30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t="s">
        <v>154</v>
      </c>
      <c r="P1" t="s">
        <v>155</v>
      </c>
      <c r="Q1" t="s">
        <v>156</v>
      </c>
      <c r="R1" s="100" t="s">
        <v>2834</v>
      </c>
      <c r="S1" t="s">
        <v>2836</v>
      </c>
      <c r="T1" t="s">
        <v>2835</v>
      </c>
      <c r="U1" t="s">
        <v>32</v>
      </c>
      <c r="V1" t="s">
        <v>2838</v>
      </c>
      <c r="W1" t="s">
        <v>2837</v>
      </c>
      <c r="X1" t="s">
        <v>2840</v>
      </c>
      <c r="Y1" t="s">
        <v>2841</v>
      </c>
      <c r="AC1" t="s">
        <v>2839</v>
      </c>
      <c r="AD1" t="s">
        <v>2837</v>
      </c>
    </row>
    <row r="2" spans="1:30" x14ac:dyDescent="0.25">
      <c r="A2" t="s">
        <v>55</v>
      </c>
      <c r="B2" t="s">
        <v>3</v>
      </c>
      <c r="C2">
        <v>0</v>
      </c>
      <c r="D2">
        <v>0.1</v>
      </c>
      <c r="E2">
        <v>0.1</v>
      </c>
      <c r="F2" t="s">
        <v>6</v>
      </c>
      <c r="G2" t="s">
        <v>4</v>
      </c>
      <c r="H2">
        <v>0</v>
      </c>
      <c r="I2">
        <v>0</v>
      </c>
      <c r="J2" t="s">
        <v>2833</v>
      </c>
      <c r="K2">
        <v>58</v>
      </c>
      <c r="L2">
        <v>1.1503E-6</v>
      </c>
      <c r="M2">
        <v>58</v>
      </c>
      <c r="N2">
        <v>1.4191E-7</v>
      </c>
      <c r="O2" t="s">
        <v>2833</v>
      </c>
      <c r="P2" t="s">
        <v>2833</v>
      </c>
      <c r="Q2" t="s">
        <v>2833</v>
      </c>
      <c r="R2">
        <f ca="1">RAND()*(Validation[[#This Row],[Range1_High]]-Validation[[#This Row],[Range1_Low]])+Validation[[#This Row],[Range1_Low]]</f>
        <v>8.3667419319248149E-2</v>
      </c>
      <c r="S2">
        <f>Validation[[#This Row],[Range2_High]]</f>
        <v>0</v>
      </c>
      <c r="T2" t="str" cm="1">
        <f t="array" aca="1" ref="T2" ca="1">RoundToTwoSigFigs(Validation[[#This Row],[Test Reading]]*Validation[[#This Row],[Mult]]+Validation[[#This Row],[Base]]) &amp;" "&amp;Validation[[#This Row],[Uncert_Units]]</f>
        <v>58 mV</v>
      </c>
      <c r="U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2" t="b">
        <f ca="1">Validation[[#This Row],[Desired Result]]=Validation[[#This Row],[Result]]</f>
        <v>1</v>
      </c>
      <c r="W2" t="b">
        <v>0</v>
      </c>
      <c r="X2" t="b">
        <f>Validation[[#This Row],[Range1_Low]]&gt;=Validation[[#This Row],[Range1_High]]</f>
        <v>0</v>
      </c>
      <c r="Y2" s="111" t="s">
        <v>2845</v>
      </c>
      <c r="AC2">
        <f ca="1">COUNTIF(V2:V2653,FALSE)</f>
        <v>407</v>
      </c>
      <c r="AD2">
        <f>COUNTIF(W2:W2653,TRUE)</f>
        <v>1520</v>
      </c>
    </row>
    <row r="3" spans="1:30" ht="15.75" thickBot="1" x14ac:dyDescent="0.3">
      <c r="A3" t="s">
        <v>68</v>
      </c>
      <c r="B3" t="s">
        <v>3</v>
      </c>
      <c r="C3">
        <v>0</v>
      </c>
      <c r="D3">
        <v>0.1</v>
      </c>
      <c r="E3">
        <v>1.0000000000000001E-5</v>
      </c>
      <c r="F3" t="s">
        <v>6</v>
      </c>
      <c r="G3" t="s">
        <v>5</v>
      </c>
      <c r="H3">
        <v>0</v>
      </c>
      <c r="I3">
        <v>0</v>
      </c>
      <c r="J3" t="s">
        <v>2833</v>
      </c>
      <c r="K3">
        <v>12.962999999999999</v>
      </c>
      <c r="L3">
        <v>86.429000000000002</v>
      </c>
      <c r="M3">
        <v>12.956</v>
      </c>
      <c r="N3">
        <v>86.457999999999998</v>
      </c>
      <c r="O3" t="s">
        <v>2833</v>
      </c>
      <c r="P3" t="s">
        <v>2833</v>
      </c>
      <c r="Q3" t="s">
        <v>2833</v>
      </c>
      <c r="R3">
        <f ca="1">RAND()*(Validation[[#This Row],[Range1_High]]-Validation[[#This Row],[Range1_Low]])+Validation[[#This Row],[Range1_Low]]</f>
        <v>8.4919851039497424E-2</v>
      </c>
      <c r="S3">
        <f>Validation[[#This Row],[Range2_High]]</f>
        <v>0</v>
      </c>
      <c r="T3" t="str" cm="1">
        <f t="array" aca="1" ref="T3" ca="1">RoundToTwoSigFigs(Validation[[#This Row],[Test Reading]]*Validation[[#This Row],[Mult]]+Validation[[#This Row],[Base]]) &amp;" "&amp;Validation[[#This Row],[Uncert_Units]]</f>
        <v>20 µV</v>
      </c>
      <c r="U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µV</v>
      </c>
      <c r="V3" t="b">
        <f ca="1">Validation[[#This Row],[Desired Result]]=Validation[[#This Row],[Result]]</f>
        <v>1</v>
      </c>
      <c r="W3" t="b">
        <v>0</v>
      </c>
      <c r="X3" t="b">
        <f>Validation[[#This Row],[Range1_Low]]&gt;=Validation[[#This Row],[Range1_High]]</f>
        <v>0</v>
      </c>
      <c r="Y3" s="111" t="s">
        <v>2845</v>
      </c>
    </row>
    <row r="4" spans="1:30" ht="16.5" thickTop="1" thickBot="1" x14ac:dyDescent="0.3">
      <c r="A4" t="s">
        <v>54</v>
      </c>
      <c r="B4" t="s">
        <v>3</v>
      </c>
      <c r="C4" s="113">
        <v>0.33</v>
      </c>
      <c r="D4" s="113">
        <v>3.3000099999999999</v>
      </c>
      <c r="E4">
        <v>9.9999999999999995E-7</v>
      </c>
      <c r="F4" t="s">
        <v>6</v>
      </c>
      <c r="G4" t="s">
        <v>5</v>
      </c>
      <c r="H4">
        <v>0</v>
      </c>
      <c r="I4">
        <v>0</v>
      </c>
      <c r="J4" t="s">
        <v>2833</v>
      </c>
      <c r="K4">
        <v>5.9</v>
      </c>
      <c r="L4">
        <v>58</v>
      </c>
      <c r="M4">
        <v>5.7708000000000004</v>
      </c>
      <c r="N4">
        <v>57.786999999999999</v>
      </c>
      <c r="O4" t="s">
        <v>2833</v>
      </c>
      <c r="P4" t="s">
        <v>2833</v>
      </c>
      <c r="Q4" t="s">
        <v>2833</v>
      </c>
      <c r="R4">
        <f ca="1">RAND()*(Validation[[#This Row],[Range1_High]]-Validation[[#This Row],[Range1_Low]])+Validation[[#This Row],[Range1_Low]]</f>
        <v>2.3720637712765251</v>
      </c>
      <c r="S4">
        <f>Validation[[#This Row],[Range2_High]]</f>
        <v>0</v>
      </c>
      <c r="T4" t="str" cm="1">
        <f t="array" aca="1" ref="T4" ca="1">RoundToTwoSigFigs(Validation[[#This Row],[Test Reading]]*Validation[[#This Row],[Mult]]+Validation[[#This Row],[Base]]) &amp;" "&amp;Validation[[#This Row],[Uncert_Units]]</f>
        <v>140 µV</v>
      </c>
      <c r="U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V4" t="b">
        <f ca="1">Validation[[#This Row],[Desired Result]]=Validation[[#This Row],[Result]]</f>
        <v>1</v>
      </c>
      <c r="W4" t="b">
        <v>1</v>
      </c>
      <c r="X4" t="b">
        <f>Validation[[#This Row],[Range1_Low]]&gt;=Validation[[#This Row],[Range1_High]]</f>
        <v>0</v>
      </c>
      <c r="Y4" s="111" t="s">
        <v>2843</v>
      </c>
    </row>
    <row r="5" spans="1:30" ht="16.5" thickTop="1" thickBot="1" x14ac:dyDescent="0.3">
      <c r="A5" t="s">
        <v>54</v>
      </c>
      <c r="B5" t="s">
        <v>3</v>
      </c>
      <c r="C5" s="113">
        <v>3</v>
      </c>
      <c r="D5" s="113">
        <v>33.000100000000003</v>
      </c>
      <c r="E5">
        <v>1E-3</v>
      </c>
      <c r="F5" t="s">
        <v>6</v>
      </c>
      <c r="G5" t="s">
        <v>4</v>
      </c>
      <c r="H5">
        <v>0</v>
      </c>
      <c r="I5">
        <v>0</v>
      </c>
      <c r="J5" t="s">
        <v>2833</v>
      </c>
      <c r="K5">
        <v>0.47783999999999999</v>
      </c>
      <c r="L5">
        <v>4.7829000000000003E-2</v>
      </c>
      <c r="M5">
        <v>0.47304000000000002</v>
      </c>
      <c r="N5">
        <v>4.7858999999999999E-2</v>
      </c>
      <c r="O5" t="s">
        <v>2833</v>
      </c>
      <c r="P5" t="s">
        <v>2833</v>
      </c>
      <c r="Q5" t="s">
        <v>2833</v>
      </c>
      <c r="R5">
        <f ca="1">RAND()*(Validation[[#This Row],[Range1_High]]-Validation[[#This Row],[Range1_Low]])+Validation[[#This Row],[Range1_Low]]</f>
        <v>7.1956987461414954</v>
      </c>
      <c r="S5">
        <f>Validation[[#This Row],[Range2_High]]</f>
        <v>0</v>
      </c>
      <c r="T5" t="str" cm="1">
        <f t="array" aca="1" ref="T5" ca="1">RoundToTwoSigFigs(Validation[[#This Row],[Test Reading]]*Validation[[#This Row],[Mult]]+Validation[[#This Row],[Base]]) &amp;" "&amp;Validation[[#This Row],[Uncert_Units]]</f>
        <v>0.82 mV</v>
      </c>
      <c r="U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mV</v>
      </c>
      <c r="V5" t="b">
        <f ca="1">Validation[[#This Row],[Desired Result]]=Validation[[#This Row],[Result]]</f>
        <v>1</v>
      </c>
      <c r="W5" t="b">
        <v>1</v>
      </c>
      <c r="X5" t="b">
        <f>Validation[[#This Row],[Range1_Low]]&gt;=Validation[[#This Row],[Range1_High]]</f>
        <v>0</v>
      </c>
      <c r="Y5" s="111" t="s">
        <v>2843</v>
      </c>
    </row>
    <row r="6" spans="1:30" ht="15.75" thickTop="1" x14ac:dyDescent="0.25">
      <c r="A6" t="s">
        <v>55</v>
      </c>
      <c r="B6" t="s">
        <v>3</v>
      </c>
      <c r="C6">
        <v>0</v>
      </c>
      <c r="D6">
        <v>0.1</v>
      </c>
      <c r="E6">
        <v>0.01</v>
      </c>
      <c r="F6" t="s">
        <v>6</v>
      </c>
      <c r="G6" t="s">
        <v>4</v>
      </c>
      <c r="H6">
        <v>0</v>
      </c>
      <c r="I6">
        <v>0</v>
      </c>
      <c r="J6" t="s">
        <v>2833</v>
      </c>
      <c r="K6">
        <v>5.8</v>
      </c>
      <c r="L6">
        <v>3.9400000000000004E-6</v>
      </c>
      <c r="M6">
        <v>5.7999000000000001</v>
      </c>
      <c r="N6">
        <v>1.4191000000000001E-6</v>
      </c>
      <c r="O6" t="s">
        <v>2833</v>
      </c>
      <c r="P6" t="s">
        <v>2833</v>
      </c>
      <c r="Q6" t="s">
        <v>2833</v>
      </c>
      <c r="R6">
        <f ca="1">RAND()*(Validation[[#This Row],[Range1_High]]-Validation[[#This Row],[Range1_Low]])+Validation[[#This Row],[Range1_Low]]</f>
        <v>8.4386918315153669E-3</v>
      </c>
      <c r="S6">
        <f>Validation[[#This Row],[Range2_High]]</f>
        <v>0</v>
      </c>
      <c r="T6" t="str" cm="1">
        <f t="array" aca="1" ref="T6" ca="1">RoundToTwoSigFigs(Validation[[#This Row],[Test Reading]]*Validation[[#This Row],[Mult]]+Validation[[#This Row],[Base]]) &amp;" "&amp;Validation[[#This Row],[Uncert_Units]]</f>
        <v>5.8 mV</v>
      </c>
      <c r="U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V6" t="b">
        <f ca="1">Validation[[#This Row],[Desired Result]]=Validation[[#This Row],[Result]]</f>
        <v>1</v>
      </c>
      <c r="W6" t="b">
        <v>0</v>
      </c>
      <c r="X6" t="b">
        <f>Validation[[#This Row],[Range1_Low]]&gt;=Validation[[#This Row],[Range1_High]]</f>
        <v>0</v>
      </c>
      <c r="Y6" s="111" t="s">
        <v>2845</v>
      </c>
    </row>
    <row r="7" spans="1:30" x14ac:dyDescent="0.25">
      <c r="A7" t="s">
        <v>54</v>
      </c>
      <c r="B7" t="s">
        <v>3</v>
      </c>
      <c r="C7">
        <v>1000</v>
      </c>
      <c r="D7">
        <v>1001</v>
      </c>
      <c r="E7">
        <v>10</v>
      </c>
      <c r="F7" t="s">
        <v>6</v>
      </c>
      <c r="G7" t="s">
        <v>4</v>
      </c>
      <c r="H7">
        <v>0</v>
      </c>
      <c r="I7">
        <v>0</v>
      </c>
      <c r="J7" t="s">
        <v>2833</v>
      </c>
      <c r="K7">
        <v>5799.9</v>
      </c>
      <c r="L7">
        <v>6.8362000000000002E-4</v>
      </c>
      <c r="M7">
        <v>5799.9</v>
      </c>
      <c r="N7">
        <v>4.8322000000000003E-4</v>
      </c>
      <c r="O7" t="s">
        <v>2833</v>
      </c>
      <c r="P7" t="s">
        <v>2833</v>
      </c>
      <c r="Q7" t="s">
        <v>2833</v>
      </c>
      <c r="R7">
        <f ca="1">RAND()*(Validation[[#This Row],[Range1_High]]-Validation[[#This Row],[Range1_Low]])+Validation[[#This Row],[Range1_Low]]</f>
        <v>1000.839500737995</v>
      </c>
      <c r="S7">
        <f>Validation[[#This Row],[Range2_High]]</f>
        <v>0</v>
      </c>
      <c r="T7" t="str" cm="1">
        <f t="array" aca="1" ref="T7" ca="1">RoundToTwoSigFigs(Validation[[#This Row],[Test Reading]]*Validation[[#This Row],[Mult]]+Validation[[#This Row],[Base]]) &amp;" "&amp;Validation[[#This Row],[Uncert_Units]]</f>
        <v>5800 mV</v>
      </c>
      <c r="U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7" t="b">
        <f ca="1">Validation[[#This Row],[Desired Result]]=Validation[[#This Row],[Result]]</f>
        <v>1</v>
      </c>
      <c r="W7" t="b">
        <v>0</v>
      </c>
      <c r="X7" t="b">
        <f>Validation[[#This Row],[Range1_Low]]&gt;=Validation[[#This Row],[Range1_High]]</f>
        <v>0</v>
      </c>
      <c r="Y7" s="111" t="s">
        <v>2845</v>
      </c>
    </row>
    <row r="8" spans="1:30" x14ac:dyDescent="0.25">
      <c r="A8" t="s">
        <v>55</v>
      </c>
      <c r="B8" t="s">
        <v>3</v>
      </c>
      <c r="C8">
        <v>1</v>
      </c>
      <c r="D8">
        <v>10</v>
      </c>
      <c r="E8">
        <v>1E-3</v>
      </c>
      <c r="F8" t="s">
        <v>6</v>
      </c>
      <c r="G8" t="s">
        <v>5</v>
      </c>
      <c r="H8">
        <v>0</v>
      </c>
      <c r="I8">
        <v>0</v>
      </c>
      <c r="J8" t="s">
        <v>2833</v>
      </c>
      <c r="K8">
        <v>579.76</v>
      </c>
      <c r="L8">
        <v>0.27723999999999999</v>
      </c>
      <c r="M8">
        <v>579.76</v>
      </c>
      <c r="N8">
        <v>0.27716000000000002</v>
      </c>
      <c r="O8" t="s">
        <v>2833</v>
      </c>
      <c r="P8" t="s">
        <v>2833</v>
      </c>
      <c r="Q8" t="s">
        <v>2833</v>
      </c>
      <c r="R8">
        <f ca="1">RAND()*(Validation[[#This Row],[Range1_High]]-Validation[[#This Row],[Range1_Low]])+Validation[[#This Row],[Range1_Low]]</f>
        <v>1.6493007968698841</v>
      </c>
      <c r="S8">
        <f>Validation[[#This Row],[Range2_High]]</f>
        <v>0</v>
      </c>
      <c r="T8" t="str" cm="1">
        <f t="array" aca="1" ref="T8" ca="1">RoundToTwoSigFigs(Validation[[#This Row],[Test Reading]]*Validation[[#This Row],[Mult]]+Validation[[#This Row],[Base]]) &amp;" "&amp;Validation[[#This Row],[Uncert_Units]]</f>
        <v>580 µV</v>
      </c>
      <c r="U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8" t="b">
        <f ca="1">Validation[[#This Row],[Desired Result]]=Validation[[#This Row],[Result]]</f>
        <v>1</v>
      </c>
      <c r="W8" t="b">
        <v>0</v>
      </c>
      <c r="X8" t="b">
        <f>Validation[[#This Row],[Range1_Low]]&gt;=Validation[[#This Row],[Range1_High]]</f>
        <v>0</v>
      </c>
      <c r="Y8" s="111" t="s">
        <v>2845</v>
      </c>
    </row>
    <row r="9" spans="1:30" x14ac:dyDescent="0.25">
      <c r="A9" t="s">
        <v>68</v>
      </c>
      <c r="B9" t="s">
        <v>3</v>
      </c>
      <c r="C9">
        <v>0.1</v>
      </c>
      <c r="D9">
        <v>1</v>
      </c>
      <c r="E9">
        <v>0.01</v>
      </c>
      <c r="F9" t="s">
        <v>6</v>
      </c>
      <c r="G9" t="s">
        <v>5</v>
      </c>
      <c r="H9">
        <v>0</v>
      </c>
      <c r="I9">
        <v>0</v>
      </c>
      <c r="J9" t="s">
        <v>2833</v>
      </c>
      <c r="K9">
        <v>5773.6</v>
      </c>
      <c r="L9">
        <v>1.3866000000000001</v>
      </c>
      <c r="M9">
        <v>5773.6</v>
      </c>
      <c r="N9">
        <v>1.3695999999999999</v>
      </c>
      <c r="O9" t="s">
        <v>2833</v>
      </c>
      <c r="P9" t="s">
        <v>2833</v>
      </c>
      <c r="Q9" t="s">
        <v>2833</v>
      </c>
      <c r="R9">
        <f ca="1">RAND()*(Validation[[#This Row],[Range1_High]]-Validation[[#This Row],[Range1_Low]])+Validation[[#This Row],[Range1_Low]]</f>
        <v>0.20613713917535992</v>
      </c>
      <c r="S9">
        <f>Validation[[#This Row],[Range2_High]]</f>
        <v>0</v>
      </c>
      <c r="T9" t="str" cm="1">
        <f t="array" aca="1" ref="T9" ca="1">RoundToTwoSigFigs(Validation[[#This Row],[Test Reading]]*Validation[[#This Row],[Mult]]+Validation[[#This Row],[Base]]) &amp;" "&amp;Validation[[#This Row],[Uncert_Units]]</f>
        <v>5800 µV</v>
      </c>
      <c r="U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9" t="b">
        <f ca="1">Validation[[#This Row],[Desired Result]]=Validation[[#This Row],[Result]]</f>
        <v>1</v>
      </c>
      <c r="W9" t="b">
        <v>0</v>
      </c>
      <c r="X9" t="b">
        <f>Validation[[#This Row],[Range1_Low]]&gt;=Validation[[#This Row],[Range1_High]]</f>
        <v>0</v>
      </c>
      <c r="Y9" s="111" t="s">
        <v>2845</v>
      </c>
    </row>
    <row r="10" spans="1:30" ht="15.75" thickBot="1" x14ac:dyDescent="0.3">
      <c r="A10" t="s">
        <v>54</v>
      </c>
      <c r="B10" t="s">
        <v>3</v>
      </c>
      <c r="C10">
        <v>1000</v>
      </c>
      <c r="D10">
        <v>1001</v>
      </c>
      <c r="E10">
        <v>0.01</v>
      </c>
      <c r="F10" t="s">
        <v>6</v>
      </c>
      <c r="G10" t="s">
        <v>4</v>
      </c>
      <c r="H10">
        <v>0</v>
      </c>
      <c r="I10">
        <v>0</v>
      </c>
      <c r="J10" t="s">
        <v>2833</v>
      </c>
      <c r="K10">
        <v>3.0276999999999998</v>
      </c>
      <c r="L10">
        <v>6.2894000000000005E-2</v>
      </c>
      <c r="M10">
        <v>2.7052</v>
      </c>
      <c r="N10">
        <v>6.2919000000000003E-2</v>
      </c>
      <c r="O10" t="s">
        <v>2833</v>
      </c>
      <c r="P10" t="s">
        <v>2833</v>
      </c>
      <c r="Q10" t="s">
        <v>2833</v>
      </c>
      <c r="R10">
        <f ca="1">RAND()*(Validation[[#This Row],[Range1_High]]-Validation[[#This Row],[Range1_Low]])+Validation[[#This Row],[Range1_Low]]</f>
        <v>1000.9715570853164</v>
      </c>
      <c r="S10">
        <f>Validation[[#This Row],[Range2_High]]</f>
        <v>0</v>
      </c>
      <c r="T10" t="str" cm="1">
        <f t="array" aca="1" ref="T10" ca="1">RoundToTwoSigFigs(Validation[[#This Row],[Test Reading]]*Validation[[#This Row],[Mult]]+Validation[[#This Row],[Base]]) &amp;" "&amp;Validation[[#This Row],[Uncert_Units]]</f>
        <v>66 mV</v>
      </c>
      <c r="U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V10" t="b">
        <f ca="1">Validation[[#This Row],[Desired Result]]=Validation[[#This Row],[Result]]</f>
        <v>1</v>
      </c>
      <c r="W10" t="b">
        <v>0</v>
      </c>
      <c r="X10" t="b">
        <f>Validation[[#This Row],[Range1_Low]]&gt;=Validation[[#This Row],[Range1_High]]</f>
        <v>0</v>
      </c>
      <c r="Y10" s="111" t="s">
        <v>2845</v>
      </c>
    </row>
    <row r="11" spans="1:30" ht="16.5" thickTop="1" thickBot="1" x14ac:dyDescent="0.3">
      <c r="A11" t="s">
        <v>68</v>
      </c>
      <c r="B11" t="s">
        <v>3</v>
      </c>
      <c r="C11" s="113">
        <v>10</v>
      </c>
      <c r="D11" s="113">
        <v>100</v>
      </c>
      <c r="E11">
        <v>1E-3</v>
      </c>
      <c r="F11" t="s">
        <v>6</v>
      </c>
      <c r="G11" t="s">
        <v>4</v>
      </c>
      <c r="H11">
        <v>0</v>
      </c>
      <c r="I11">
        <v>0</v>
      </c>
      <c r="J11" t="s">
        <v>2833</v>
      </c>
      <c r="K11">
        <v>6.8</v>
      </c>
      <c r="L11">
        <v>8.2000000000000003E-2</v>
      </c>
      <c r="M11">
        <v>6.7337999999999996</v>
      </c>
      <c r="N11">
        <v>8.2464999999999997E-2</v>
      </c>
      <c r="O11" t="s">
        <v>2833</v>
      </c>
      <c r="P11" t="s">
        <v>2833</v>
      </c>
      <c r="Q11" t="s">
        <v>2833</v>
      </c>
      <c r="R11">
        <f ca="1">RAND()*(Validation[[#This Row],[Range1_High]]-Validation[[#This Row],[Range1_Low]])+Validation[[#This Row],[Range1_Low]]</f>
        <v>81.131528384908208</v>
      </c>
      <c r="S11">
        <f>Validation[[#This Row],[Range2_High]]</f>
        <v>0</v>
      </c>
      <c r="T11" t="str" cm="1">
        <f t="array" aca="1" ref="T11" ca="1">RoundToTwoSigFigs(Validation[[#This Row],[Test Reading]]*Validation[[#This Row],[Mult]]+Validation[[#This Row],[Base]]) &amp;" "&amp;Validation[[#This Row],[Uncert_Units]]</f>
        <v>13 mV</v>
      </c>
      <c r="U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V11" t="b">
        <f ca="1">Validation[[#This Row],[Desired Result]]=Validation[[#This Row],[Result]]</f>
        <v>1</v>
      </c>
      <c r="W11" t="b">
        <v>1</v>
      </c>
      <c r="X11" t="b">
        <f>Validation[[#This Row],[Range1_Low]]&gt;=Validation[[#This Row],[Range1_High]]</f>
        <v>0</v>
      </c>
      <c r="Y11" s="111" t="s">
        <v>2843</v>
      </c>
    </row>
    <row r="12" spans="1:30" ht="16.5" thickTop="1" thickBot="1" x14ac:dyDescent="0.3">
      <c r="A12" t="s">
        <v>54</v>
      </c>
      <c r="B12" t="s">
        <v>3</v>
      </c>
      <c r="C12" s="113">
        <v>3</v>
      </c>
      <c r="D12" s="113">
        <v>33.000100000000003</v>
      </c>
      <c r="E12">
        <v>0.1</v>
      </c>
      <c r="F12" t="s">
        <v>6</v>
      </c>
      <c r="G12" t="s">
        <v>4</v>
      </c>
      <c r="H12">
        <v>0</v>
      </c>
      <c r="I12">
        <v>0</v>
      </c>
      <c r="J12" t="s">
        <v>2833</v>
      </c>
      <c r="K12">
        <v>57.997999999999998</v>
      </c>
      <c r="L12">
        <v>1.1519E-3</v>
      </c>
      <c r="M12">
        <v>57.997</v>
      </c>
      <c r="N12">
        <v>1.1068E-3</v>
      </c>
      <c r="O12" t="s">
        <v>2833</v>
      </c>
      <c r="P12" t="s">
        <v>2833</v>
      </c>
      <c r="Q12" t="s">
        <v>2833</v>
      </c>
      <c r="R12">
        <f ca="1">RAND()*(Validation[[#This Row],[Range1_High]]-Validation[[#This Row],[Range1_Low]])+Validation[[#This Row],[Range1_Low]]</f>
        <v>30.236986217911205</v>
      </c>
      <c r="S12">
        <f>Validation[[#This Row],[Range2_High]]</f>
        <v>0</v>
      </c>
      <c r="T12" t="str" cm="1">
        <f t="array" aca="1" ref="T12" ca="1">RoundToTwoSigFigs(Validation[[#This Row],[Test Reading]]*Validation[[#This Row],[Mult]]+Validation[[#This Row],[Base]]) &amp;" "&amp;Validation[[#This Row],[Uncert_Units]]</f>
        <v>58 mV</v>
      </c>
      <c r="U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2" t="b">
        <f ca="1">Validation[[#This Row],[Desired Result]]=Validation[[#This Row],[Result]]</f>
        <v>1</v>
      </c>
      <c r="W12" t="b">
        <v>1</v>
      </c>
      <c r="X12" t="b">
        <f>Validation[[#This Row],[Range1_Low]]&gt;=Validation[[#This Row],[Range1_High]]</f>
        <v>0</v>
      </c>
      <c r="Y12" s="111" t="s">
        <v>2843</v>
      </c>
    </row>
    <row r="13" spans="1:30" ht="16.5" thickTop="1" thickBot="1" x14ac:dyDescent="0.3">
      <c r="A13" t="s">
        <v>54</v>
      </c>
      <c r="B13" t="s">
        <v>3</v>
      </c>
      <c r="C13">
        <v>0</v>
      </c>
      <c r="D13">
        <v>0.33000099999999999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2833</v>
      </c>
      <c r="K13">
        <v>6.7737999999999996</v>
      </c>
      <c r="L13">
        <v>61.286999999999999</v>
      </c>
      <c r="M13">
        <v>6.7343999999999999</v>
      </c>
      <c r="N13">
        <v>61.341999999999999</v>
      </c>
      <c r="O13" t="s">
        <v>2833</v>
      </c>
      <c r="P13" t="s">
        <v>2833</v>
      </c>
      <c r="Q13" t="s">
        <v>2833</v>
      </c>
      <c r="R13">
        <f ca="1">RAND()*(Validation[[#This Row],[Range1_High]]-Validation[[#This Row],[Range1_Low]])+Validation[[#This Row],[Range1_Low]]</f>
        <v>5.1086575561618497E-2</v>
      </c>
      <c r="S13">
        <f>Validation[[#This Row],[Range2_High]]</f>
        <v>0</v>
      </c>
      <c r="T13" t="str" cm="1">
        <f t="array" aca="1" ref="T13" ca="1">RoundToTwoSigFigs(Validation[[#This Row],[Test Reading]]*Validation[[#This Row],[Mult]]+Validation[[#This Row],[Base]]) &amp;" "&amp;Validation[[#This Row],[Uncert_Units]]</f>
        <v>9.9 µV</v>
      </c>
      <c r="U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µV</v>
      </c>
      <c r="V13" t="b">
        <f ca="1">Validation[[#This Row],[Desired Result]]=Validation[[#This Row],[Result]]</f>
        <v>1</v>
      </c>
      <c r="W13" t="b">
        <v>0</v>
      </c>
      <c r="X13" t="b">
        <f>Validation[[#This Row],[Range1_Low]]&gt;=Validation[[#This Row],[Range1_High]]</f>
        <v>0</v>
      </c>
      <c r="Y13" s="111" t="s">
        <v>2845</v>
      </c>
    </row>
    <row r="14" spans="1:30" ht="16.5" thickTop="1" thickBot="1" x14ac:dyDescent="0.3">
      <c r="A14" t="s">
        <v>55</v>
      </c>
      <c r="B14" t="s">
        <v>3</v>
      </c>
      <c r="C14" s="113">
        <v>0.1</v>
      </c>
      <c r="D14" s="113">
        <v>1</v>
      </c>
      <c r="E14">
        <v>1E-8</v>
      </c>
      <c r="F14" t="s">
        <v>6</v>
      </c>
      <c r="G14" t="s">
        <v>5</v>
      </c>
      <c r="H14">
        <v>0</v>
      </c>
      <c r="I14">
        <v>0</v>
      </c>
      <c r="J14" t="s">
        <v>2833</v>
      </c>
      <c r="K14">
        <v>0.44</v>
      </c>
      <c r="L14">
        <v>6</v>
      </c>
      <c r="M14">
        <v>0.43733</v>
      </c>
      <c r="N14">
        <v>5.9926000000000004</v>
      </c>
      <c r="O14" t="s">
        <v>2833</v>
      </c>
      <c r="P14" t="s">
        <v>2833</v>
      </c>
      <c r="Q14" t="s">
        <v>2833</v>
      </c>
      <c r="R14">
        <f ca="1">RAND()*(Validation[[#This Row],[Range1_High]]-Validation[[#This Row],[Range1_Low]])+Validation[[#This Row],[Range1_Low]]</f>
        <v>0.67202609934267421</v>
      </c>
      <c r="S14">
        <f>Validation[[#This Row],[Range2_High]]</f>
        <v>0</v>
      </c>
      <c r="T14" t="str" cm="1">
        <f t="array" aca="1" ref="T14" ca="1">RoundToTwoSigFigs(Validation[[#This Row],[Test Reading]]*Validation[[#This Row],[Mult]]+Validation[[#This Row],[Base]]) &amp;" "&amp;Validation[[#This Row],[Uncert_Units]]</f>
        <v>4.5 µV</v>
      </c>
      <c r="U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µV</v>
      </c>
      <c r="V14" t="b">
        <f ca="1">Validation[[#This Row],[Desired Result]]=Validation[[#This Row],[Result]]</f>
        <v>1</v>
      </c>
      <c r="W14" t="b">
        <v>1</v>
      </c>
      <c r="X14" t="b">
        <f>Validation[[#This Row],[Range1_Low]]&gt;=Validation[[#This Row],[Range1_High]]</f>
        <v>0</v>
      </c>
      <c r="Y14" s="111" t="s">
        <v>2843</v>
      </c>
    </row>
    <row r="15" spans="1:30" ht="16.5" thickTop="1" thickBot="1" x14ac:dyDescent="0.3">
      <c r="A15" t="s">
        <v>54</v>
      </c>
      <c r="B15" t="s">
        <v>3</v>
      </c>
      <c r="C15" s="113">
        <v>3</v>
      </c>
      <c r="D15" s="113">
        <v>33.000100000000003</v>
      </c>
      <c r="E15">
        <v>1.0000000000000001E-5</v>
      </c>
      <c r="F15" t="s">
        <v>6</v>
      </c>
      <c r="G15" t="s">
        <v>4</v>
      </c>
      <c r="H15">
        <v>0</v>
      </c>
      <c r="I15">
        <v>0</v>
      </c>
      <c r="J15" t="s">
        <v>2833</v>
      </c>
      <c r="K15">
        <v>5.8999999999999997E-2</v>
      </c>
      <c r="L15">
        <v>5.8000000000000003E-2</v>
      </c>
      <c r="M15">
        <v>5.8347999999999997E-2</v>
      </c>
      <c r="N15">
        <v>5.7918999999999998E-2</v>
      </c>
      <c r="O15" t="s">
        <v>2833</v>
      </c>
      <c r="P15" t="s">
        <v>2833</v>
      </c>
      <c r="Q15" t="s">
        <v>2833</v>
      </c>
      <c r="R15">
        <f ca="1">RAND()*(Validation[[#This Row],[Range1_High]]-Validation[[#This Row],[Range1_Low]])+Validation[[#This Row],[Range1_Low]]</f>
        <v>23.499615791231371</v>
      </c>
      <c r="S15">
        <f>Validation[[#This Row],[Range2_High]]</f>
        <v>0</v>
      </c>
      <c r="T15" t="str" cm="1">
        <f t="array" aca="1" ref="T15" ca="1">RoundToTwoSigFigs(Validation[[#This Row],[Test Reading]]*Validation[[#This Row],[Mult]]+Validation[[#This Row],[Base]]) &amp;" "&amp;Validation[[#This Row],[Uncert_Units]]</f>
        <v>1.4 mV</v>
      </c>
      <c r="U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V15" t="b">
        <f ca="1">Validation[[#This Row],[Desired Result]]=Validation[[#This Row],[Result]]</f>
        <v>1</v>
      </c>
      <c r="W15" t="b">
        <v>1</v>
      </c>
      <c r="X15" t="b">
        <f>Validation[[#This Row],[Range1_Low]]&gt;=Validation[[#This Row],[Range1_High]]</f>
        <v>0</v>
      </c>
      <c r="Y15" s="111" t="s">
        <v>2843</v>
      </c>
    </row>
    <row r="16" spans="1:30" ht="15.75" thickTop="1" x14ac:dyDescent="0.25">
      <c r="A16" t="s">
        <v>55</v>
      </c>
      <c r="B16" t="s">
        <v>3</v>
      </c>
      <c r="C16">
        <v>0.1</v>
      </c>
      <c r="D16">
        <v>1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2833</v>
      </c>
      <c r="K16">
        <v>57.972999999999999</v>
      </c>
      <c r="L16">
        <v>0.3881</v>
      </c>
      <c r="M16">
        <v>57.970999999999997</v>
      </c>
      <c r="N16">
        <v>0.38451999999999997</v>
      </c>
      <c r="O16" t="s">
        <v>2833</v>
      </c>
      <c r="P16" t="s">
        <v>2833</v>
      </c>
      <c r="Q16" t="s">
        <v>2833</v>
      </c>
      <c r="R16">
        <f ca="1">RAND()*(Validation[[#This Row],[Range1_High]]-Validation[[#This Row],[Range1_Low]])+Validation[[#This Row],[Range1_Low]]</f>
        <v>0.56551084170961996</v>
      </c>
      <c r="S16">
        <f>Validation[[#This Row],[Range2_High]]</f>
        <v>0</v>
      </c>
      <c r="T16" t="str" cm="1">
        <f t="array" aca="1" ref="T16" ca="1">RoundToTwoSigFigs(Validation[[#This Row],[Test Reading]]*Validation[[#This Row],[Mult]]+Validation[[#This Row],[Base]]) &amp;" "&amp;Validation[[#This Row],[Uncert_Units]]</f>
        <v>58 µV</v>
      </c>
      <c r="U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16" t="b">
        <f ca="1">Validation[[#This Row],[Desired Result]]=Validation[[#This Row],[Result]]</f>
        <v>1</v>
      </c>
      <c r="W16" t="b">
        <v>0</v>
      </c>
      <c r="X16" t="b">
        <f>Validation[[#This Row],[Range1_Low]]&gt;=Validation[[#This Row],[Range1_High]]</f>
        <v>0</v>
      </c>
      <c r="Y16" s="111" t="s">
        <v>2845</v>
      </c>
    </row>
    <row r="17" spans="1:25" ht="15.75" thickBot="1" x14ac:dyDescent="0.3">
      <c r="A17" t="s">
        <v>54</v>
      </c>
      <c r="B17" t="s">
        <v>3</v>
      </c>
      <c r="C17">
        <v>0.33</v>
      </c>
      <c r="D17">
        <v>3.3000099999999999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2833</v>
      </c>
      <c r="K17">
        <v>47.82</v>
      </c>
      <c r="L17">
        <v>47.701000000000001</v>
      </c>
      <c r="M17">
        <v>47.341999999999999</v>
      </c>
      <c r="N17">
        <v>47.73</v>
      </c>
      <c r="O17" t="s">
        <v>2833</v>
      </c>
      <c r="P17" t="s">
        <v>2833</v>
      </c>
      <c r="Q17" t="s">
        <v>2833</v>
      </c>
      <c r="R17">
        <f ca="1">RAND()*(Validation[[#This Row],[Range1_High]]-Validation[[#This Row],[Range1_Low]])+Validation[[#This Row],[Range1_Low]]</f>
        <v>2.0739773035630251</v>
      </c>
      <c r="S17">
        <f>Validation[[#This Row],[Range2_High]]</f>
        <v>0</v>
      </c>
      <c r="T17" t="str" cm="1">
        <f t="array" aca="1" ref="T17" ca="1">RoundToTwoSigFigs(Validation[[#This Row],[Test Reading]]*Validation[[#This Row],[Mult]]+Validation[[#This Row],[Base]]) &amp;" "&amp;Validation[[#This Row],[Uncert_Units]]</f>
        <v>150 µV</v>
      </c>
      <c r="U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V17" t="b">
        <f ca="1">Validation[[#This Row],[Desired Result]]=Validation[[#This Row],[Result]]</f>
        <v>1</v>
      </c>
      <c r="W17" t="b">
        <v>0</v>
      </c>
      <c r="X17" t="b">
        <f>Validation[[#This Row],[Range1_Low]]&gt;=Validation[[#This Row],[Range1_High]]</f>
        <v>0</v>
      </c>
      <c r="Y17" s="111" t="s">
        <v>2845</v>
      </c>
    </row>
    <row r="18" spans="1:25" ht="16.5" thickTop="1" thickBot="1" x14ac:dyDescent="0.3">
      <c r="A18" t="s">
        <v>54</v>
      </c>
      <c r="B18" t="s">
        <v>3</v>
      </c>
      <c r="C18" s="113">
        <v>33</v>
      </c>
      <c r="D18" s="113">
        <v>330.00099999999998</v>
      </c>
      <c r="E18">
        <v>1E-3</v>
      </c>
      <c r="F18" t="s">
        <v>6</v>
      </c>
      <c r="G18" t="s">
        <v>4</v>
      </c>
      <c r="H18">
        <v>0</v>
      </c>
      <c r="I18">
        <v>0</v>
      </c>
      <c r="J18" t="s">
        <v>2833</v>
      </c>
      <c r="K18">
        <v>0.67471000000000003</v>
      </c>
      <c r="L18">
        <v>6.3403000000000001E-2</v>
      </c>
      <c r="M18">
        <v>0.64578000000000002</v>
      </c>
      <c r="N18">
        <v>6.3463000000000006E-2</v>
      </c>
      <c r="O18" t="s">
        <v>2833</v>
      </c>
      <c r="P18" t="s">
        <v>2833</v>
      </c>
      <c r="Q18" t="s">
        <v>2833</v>
      </c>
      <c r="R18">
        <f ca="1">RAND()*(Validation[[#This Row],[Range1_High]]-Validation[[#This Row],[Range1_Low]])+Validation[[#This Row],[Range1_Low]]</f>
        <v>309.53482426352736</v>
      </c>
      <c r="S18">
        <f>Validation[[#This Row],[Range2_High]]</f>
        <v>0</v>
      </c>
      <c r="T18" t="str" cm="1">
        <f t="array" aca="1" ref="T18" ca="1">RoundToTwoSigFigs(Validation[[#This Row],[Test Reading]]*Validation[[#This Row],[Mult]]+Validation[[#This Row],[Base]]) &amp;" "&amp;Validation[[#This Row],[Uncert_Units]]</f>
        <v>20 mV</v>
      </c>
      <c r="U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V18" t="b">
        <f ca="1">Validation[[#This Row],[Desired Result]]=Validation[[#This Row],[Result]]</f>
        <v>1</v>
      </c>
      <c r="W18" t="b">
        <v>1</v>
      </c>
      <c r="X18" t="b">
        <f>Validation[[#This Row],[Range1_Low]]&gt;=Validation[[#This Row],[Range1_High]]</f>
        <v>0</v>
      </c>
      <c r="Y18" s="111" t="s">
        <v>2843</v>
      </c>
    </row>
    <row r="19" spans="1:25" ht="16.5" thickTop="1" thickBot="1" x14ac:dyDescent="0.3">
      <c r="A19" t="s">
        <v>55</v>
      </c>
      <c r="B19" t="s">
        <v>3</v>
      </c>
      <c r="C19">
        <v>0</v>
      </c>
      <c r="D19">
        <v>0.1</v>
      </c>
      <c r="E19">
        <v>9.9999999999999995E-8</v>
      </c>
      <c r="F19" t="s">
        <v>6</v>
      </c>
      <c r="G19" t="s">
        <v>5</v>
      </c>
      <c r="H19">
        <v>0</v>
      </c>
      <c r="I19">
        <v>0</v>
      </c>
      <c r="J19" t="s">
        <v>2833</v>
      </c>
      <c r="K19">
        <v>0.62</v>
      </c>
      <c r="L19">
        <v>8.0237999999999996</v>
      </c>
      <c r="M19">
        <v>0.60819000000000001</v>
      </c>
      <c r="N19">
        <v>8.09</v>
      </c>
      <c r="O19" t="s">
        <v>2833</v>
      </c>
      <c r="P19" t="s">
        <v>2833</v>
      </c>
      <c r="Q19" t="s">
        <v>2833</v>
      </c>
      <c r="R19">
        <f ca="1">RAND()*(Validation[[#This Row],[Range1_High]]-Validation[[#This Row],[Range1_Low]])+Validation[[#This Row],[Range1_Low]]</f>
        <v>3.9189499204984712E-2</v>
      </c>
      <c r="S19">
        <f>Validation[[#This Row],[Range2_High]]</f>
        <v>0</v>
      </c>
      <c r="T19" t="str" cm="1">
        <f t="array" aca="1" ref="T19" ca="1">RoundToTwoSigFigs(Validation[[#This Row],[Test Reading]]*Validation[[#This Row],[Mult]]+Validation[[#This Row],[Base]]) &amp;" "&amp;Validation[[#This Row],[Uncert_Units]]</f>
        <v>0.93 µV</v>
      </c>
      <c r="U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µV</v>
      </c>
      <c r="V19" t="b">
        <f ca="1">Validation[[#This Row],[Desired Result]]=Validation[[#This Row],[Result]]</f>
        <v>1</v>
      </c>
      <c r="W19" t="b">
        <v>0</v>
      </c>
      <c r="X19" t="b">
        <f>Validation[[#This Row],[Range1_Low]]&gt;=Validation[[#This Row],[Range1_High]]</f>
        <v>0</v>
      </c>
      <c r="Y19" s="111" t="s">
        <v>2845</v>
      </c>
    </row>
    <row r="20" spans="1:25" ht="16.5" thickTop="1" thickBot="1" x14ac:dyDescent="0.3">
      <c r="A20" t="s">
        <v>54</v>
      </c>
      <c r="B20" t="s">
        <v>3</v>
      </c>
      <c r="C20" s="113">
        <v>0.33</v>
      </c>
      <c r="D20" s="113">
        <v>3.3000099999999999</v>
      </c>
      <c r="E20">
        <v>0.1</v>
      </c>
      <c r="F20" t="s">
        <v>6</v>
      </c>
      <c r="G20" t="s">
        <v>5</v>
      </c>
      <c r="H20">
        <v>0</v>
      </c>
      <c r="I20">
        <v>0</v>
      </c>
      <c r="J20" t="s">
        <v>2833</v>
      </c>
      <c r="K20">
        <v>58000</v>
      </c>
      <c r="L20">
        <v>0.12833</v>
      </c>
      <c r="M20">
        <v>5799.8</v>
      </c>
      <c r="N20">
        <v>0.11025</v>
      </c>
      <c r="O20" t="s">
        <v>2833</v>
      </c>
      <c r="P20" t="s">
        <v>2833</v>
      </c>
      <c r="Q20" t="s">
        <v>2833</v>
      </c>
      <c r="R20">
        <f ca="1">RAND()*(Validation[[#This Row],[Range1_High]]-Validation[[#This Row],[Range1_Low]])+Validation[[#This Row],[Range1_Low]]</f>
        <v>1.0434864012802259</v>
      </c>
      <c r="S20">
        <f>Validation[[#This Row],[Range2_High]]</f>
        <v>0</v>
      </c>
      <c r="T20" t="str" cm="1">
        <f t="array" aca="1" ref="T20" ca="1">RoundToTwoSigFigs(Validation[[#This Row],[Test Reading]]*Validation[[#This Row],[Mult]]+Validation[[#This Row],[Base]]) &amp;" "&amp;Validation[[#This Row],[Uncert_Units]]</f>
        <v>58000 µV</v>
      </c>
      <c r="U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20" t="b">
        <f ca="1">Validation[[#This Row],[Desired Result]]=Validation[[#This Row],[Result]]</f>
        <v>1</v>
      </c>
      <c r="W20" t="b">
        <v>1</v>
      </c>
      <c r="X20" t="b">
        <f>Validation[[#This Row],[Range1_Low]]&gt;=Validation[[#This Row],[Range1_High]]</f>
        <v>0</v>
      </c>
      <c r="Y20" s="111" t="s">
        <v>2843</v>
      </c>
    </row>
    <row r="21" spans="1:25" ht="16.5" thickTop="1" thickBot="1" x14ac:dyDescent="0.3">
      <c r="A21" t="s">
        <v>55</v>
      </c>
      <c r="B21" t="s">
        <v>3</v>
      </c>
      <c r="C21" s="113">
        <v>100</v>
      </c>
      <c r="D21" s="113">
        <v>1000</v>
      </c>
      <c r="E21">
        <v>0.01</v>
      </c>
      <c r="F21" t="s">
        <v>6</v>
      </c>
      <c r="G21" t="s">
        <v>4</v>
      </c>
      <c r="H21">
        <v>0</v>
      </c>
      <c r="I21">
        <v>0</v>
      </c>
      <c r="J21" t="s">
        <v>2833</v>
      </c>
      <c r="K21">
        <v>5.3677000000000001</v>
      </c>
      <c r="L21">
        <v>5.1444000000000004E-3</v>
      </c>
      <c r="M21">
        <v>5.3662999999999998</v>
      </c>
      <c r="N21">
        <v>5.1358999999999997E-3</v>
      </c>
      <c r="O21" t="s">
        <v>2833</v>
      </c>
      <c r="P21" t="s">
        <v>2833</v>
      </c>
      <c r="Q21" t="s">
        <v>2833</v>
      </c>
      <c r="R21">
        <f ca="1">RAND()*(Validation[[#This Row],[Range1_High]]-Validation[[#This Row],[Range1_Low]])+Validation[[#This Row],[Range1_Low]]</f>
        <v>534.53253884253832</v>
      </c>
      <c r="S21">
        <f>Validation[[#This Row],[Range2_High]]</f>
        <v>0</v>
      </c>
      <c r="T21" t="str" cm="1">
        <f t="array" aca="1" ref="T21" ca="1">RoundToTwoSigFigs(Validation[[#This Row],[Test Reading]]*Validation[[#This Row],[Mult]]+Validation[[#This Row],[Base]]) &amp;" "&amp;Validation[[#This Row],[Uncert_Units]]</f>
        <v>8.1 mV</v>
      </c>
      <c r="U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V21" t="b">
        <f ca="1">Validation[[#This Row],[Desired Result]]=Validation[[#This Row],[Result]]</f>
        <v>1</v>
      </c>
      <c r="W21" t="b">
        <v>1</v>
      </c>
      <c r="X21" t="b">
        <f>Validation[[#This Row],[Range1_Low]]&gt;=Validation[[#This Row],[Range1_High]]</f>
        <v>0</v>
      </c>
      <c r="Y21" s="111" t="s">
        <v>2843</v>
      </c>
    </row>
    <row r="22" spans="1:25" ht="16.5" thickTop="1" thickBot="1" x14ac:dyDescent="0.3">
      <c r="A22" t="s">
        <v>68</v>
      </c>
      <c r="B22" t="s">
        <v>3</v>
      </c>
      <c r="C22" s="113">
        <v>10</v>
      </c>
      <c r="D22" s="113">
        <v>100</v>
      </c>
      <c r="E22">
        <v>0.1</v>
      </c>
      <c r="F22" t="s">
        <v>6</v>
      </c>
      <c r="G22" t="s">
        <v>4</v>
      </c>
      <c r="H22">
        <v>0</v>
      </c>
      <c r="I22">
        <v>0</v>
      </c>
      <c r="J22" t="s">
        <v>2833</v>
      </c>
      <c r="K22">
        <v>58.072000000000003</v>
      </c>
      <c r="L22">
        <v>1.5845000000000001E-2</v>
      </c>
      <c r="M22">
        <v>58.067999999999998</v>
      </c>
      <c r="N22">
        <v>1.5768999999999998E-2</v>
      </c>
      <c r="O22" t="s">
        <v>2833</v>
      </c>
      <c r="P22" t="s">
        <v>2833</v>
      </c>
      <c r="Q22" t="s">
        <v>2833</v>
      </c>
      <c r="R22">
        <f ca="1">RAND()*(Validation[[#This Row],[Range1_High]]-Validation[[#This Row],[Range1_Low]])+Validation[[#This Row],[Range1_Low]]</f>
        <v>56.271684707607605</v>
      </c>
      <c r="S22">
        <f>Validation[[#This Row],[Range2_High]]</f>
        <v>0</v>
      </c>
      <c r="T22" t="str" cm="1">
        <f t="array" aca="1" ref="T22" ca="1">RoundToTwoSigFigs(Validation[[#This Row],[Test Reading]]*Validation[[#This Row],[Mult]]+Validation[[#This Row],[Base]]) &amp;" "&amp;Validation[[#This Row],[Uncert_Units]]</f>
        <v>59 mV</v>
      </c>
      <c r="U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V22" t="b">
        <f ca="1">Validation[[#This Row],[Desired Result]]=Validation[[#This Row],[Result]]</f>
        <v>1</v>
      </c>
      <c r="W22" t="b">
        <v>1</v>
      </c>
      <c r="X22" t="b">
        <f>Validation[[#This Row],[Range1_Low]]&gt;=Validation[[#This Row],[Range1_High]]</f>
        <v>0</v>
      </c>
      <c r="Y22" s="111" t="s">
        <v>2843</v>
      </c>
    </row>
    <row r="23" spans="1:25" ht="16.5" thickTop="1" thickBot="1" x14ac:dyDescent="0.3">
      <c r="A23" t="s">
        <v>54</v>
      </c>
      <c r="B23" t="s">
        <v>3</v>
      </c>
      <c r="C23">
        <v>33</v>
      </c>
      <c r="D23">
        <v>330.00099999999998</v>
      </c>
      <c r="E23">
        <v>10</v>
      </c>
      <c r="F23" t="s">
        <v>6</v>
      </c>
      <c r="G23" t="s">
        <v>4</v>
      </c>
      <c r="H23">
        <v>0</v>
      </c>
      <c r="I23">
        <v>0</v>
      </c>
      <c r="J23" t="s">
        <v>2833</v>
      </c>
      <c r="K23">
        <v>5800</v>
      </c>
      <c r="L23">
        <v>1.5118E-4</v>
      </c>
      <c r="M23">
        <v>5800</v>
      </c>
      <c r="N23">
        <v>1.3310000000000001E-4</v>
      </c>
      <c r="O23" t="s">
        <v>2833</v>
      </c>
      <c r="P23" t="s">
        <v>2833</v>
      </c>
      <c r="Q23" t="s">
        <v>2833</v>
      </c>
      <c r="R23">
        <f ca="1">RAND()*(Validation[[#This Row],[Range1_High]]-Validation[[#This Row],[Range1_Low]])+Validation[[#This Row],[Range1_Low]]</f>
        <v>134.58324725483999</v>
      </c>
      <c r="S23">
        <f>Validation[[#This Row],[Range2_High]]</f>
        <v>0</v>
      </c>
      <c r="T23" t="str" cm="1">
        <f t="array" aca="1" ref="T23" ca="1">RoundToTwoSigFigs(Validation[[#This Row],[Test Reading]]*Validation[[#This Row],[Mult]]+Validation[[#This Row],[Base]]) &amp;" "&amp;Validation[[#This Row],[Uncert_Units]]</f>
        <v>5800 mV</v>
      </c>
      <c r="U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23" t="b">
        <f ca="1">Validation[[#This Row],[Desired Result]]=Validation[[#This Row],[Result]]</f>
        <v>1</v>
      </c>
      <c r="W23" t="b">
        <v>0</v>
      </c>
      <c r="X23" t="b">
        <f>Validation[[#This Row],[Range1_Low]]&gt;=Validation[[#This Row],[Range1_High]]</f>
        <v>0</v>
      </c>
      <c r="Y23" s="111" t="s">
        <v>2845</v>
      </c>
    </row>
    <row r="24" spans="1:25" ht="16.5" thickTop="1" thickBot="1" x14ac:dyDescent="0.3">
      <c r="A24" t="s">
        <v>54</v>
      </c>
      <c r="B24" t="s">
        <v>3</v>
      </c>
      <c r="C24" s="113">
        <v>33</v>
      </c>
      <c r="D24" s="113">
        <v>330.00099999999998</v>
      </c>
      <c r="E24">
        <v>1E-4</v>
      </c>
      <c r="F24" t="s">
        <v>6</v>
      </c>
      <c r="G24" t="s">
        <v>4</v>
      </c>
      <c r="H24">
        <v>0</v>
      </c>
      <c r="I24">
        <v>0</v>
      </c>
      <c r="J24" t="s">
        <v>2833</v>
      </c>
      <c r="K24">
        <v>0.59</v>
      </c>
      <c r="L24">
        <v>6.4000000000000001E-2</v>
      </c>
      <c r="M24">
        <v>0.57833999999999997</v>
      </c>
      <c r="N24">
        <v>6.3644000000000006E-2</v>
      </c>
      <c r="O24" t="s">
        <v>2833</v>
      </c>
      <c r="P24" t="s">
        <v>2833</v>
      </c>
      <c r="Q24" t="s">
        <v>2833</v>
      </c>
      <c r="R24">
        <f ca="1">RAND()*(Validation[[#This Row],[Range1_High]]-Validation[[#This Row],[Range1_Low]])+Validation[[#This Row],[Range1_Low]]</f>
        <v>123.8261259114964</v>
      </c>
      <c r="S24">
        <f>Validation[[#This Row],[Range2_High]]</f>
        <v>0</v>
      </c>
      <c r="T24" t="str" cm="1">
        <f t="array" aca="1" ref="T24" ca="1">RoundToTwoSigFigs(Validation[[#This Row],[Test Reading]]*Validation[[#This Row],[Mult]]+Validation[[#This Row],[Base]]) &amp;" "&amp;Validation[[#This Row],[Uncert_Units]]</f>
        <v>8.5 mV</v>
      </c>
      <c r="U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mV</v>
      </c>
      <c r="V24" t="b">
        <f ca="1">Validation[[#This Row],[Desired Result]]=Validation[[#This Row],[Result]]</f>
        <v>1</v>
      </c>
      <c r="W24" t="b">
        <v>1</v>
      </c>
      <c r="X24" t="b">
        <f>Validation[[#This Row],[Range1_Low]]&gt;=Validation[[#This Row],[Range1_High]]</f>
        <v>0</v>
      </c>
      <c r="Y24" s="111" t="s">
        <v>2843</v>
      </c>
    </row>
    <row r="25" spans="1:25" ht="15.75" thickTop="1" x14ac:dyDescent="0.25">
      <c r="A25" t="s">
        <v>54</v>
      </c>
      <c r="B25" t="s">
        <v>3</v>
      </c>
      <c r="C25">
        <v>330</v>
      </c>
      <c r="D25">
        <v>1000.01</v>
      </c>
      <c r="E25">
        <v>10</v>
      </c>
      <c r="F25" t="s">
        <v>6</v>
      </c>
      <c r="G25" t="s">
        <v>4</v>
      </c>
      <c r="H25">
        <v>0</v>
      </c>
      <c r="I25">
        <v>0</v>
      </c>
      <c r="J25" t="s">
        <v>2833</v>
      </c>
      <c r="K25">
        <v>5799.9</v>
      </c>
      <c r="L25">
        <v>6.8362000000000002E-4</v>
      </c>
      <c r="M25">
        <v>5799.9</v>
      </c>
      <c r="N25">
        <v>4.8322000000000003E-4</v>
      </c>
      <c r="O25" t="s">
        <v>2833</v>
      </c>
      <c r="P25" t="s">
        <v>2833</v>
      </c>
      <c r="Q25" t="s">
        <v>2833</v>
      </c>
      <c r="R25">
        <f ca="1">RAND()*(Validation[[#This Row],[Range1_High]]-Validation[[#This Row],[Range1_Low]])+Validation[[#This Row],[Range1_Low]]</f>
        <v>758.11892506182949</v>
      </c>
      <c r="S25">
        <f>Validation[[#This Row],[Range2_High]]</f>
        <v>0</v>
      </c>
      <c r="T25" t="str" cm="1">
        <f t="array" aca="1" ref="T25" ca="1">RoundToTwoSigFigs(Validation[[#This Row],[Test Reading]]*Validation[[#This Row],[Mult]]+Validation[[#This Row],[Base]]) &amp;" "&amp;Validation[[#This Row],[Uncert_Units]]</f>
        <v>5800 mV</v>
      </c>
      <c r="U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25" t="b">
        <f ca="1">Validation[[#This Row],[Desired Result]]=Validation[[#This Row],[Result]]</f>
        <v>1</v>
      </c>
      <c r="W25" t="b">
        <v>0</v>
      </c>
      <c r="X25" t="b">
        <f>Validation[[#This Row],[Range1_Low]]&gt;=Validation[[#This Row],[Range1_High]]</f>
        <v>0</v>
      </c>
      <c r="Y25" s="111" t="s">
        <v>2845</v>
      </c>
    </row>
    <row r="26" spans="1:25" x14ac:dyDescent="0.25">
      <c r="A26" t="s">
        <v>54</v>
      </c>
      <c r="B26" t="s">
        <v>3</v>
      </c>
      <c r="C26">
        <v>0</v>
      </c>
      <c r="D26">
        <v>0.33000099999999999</v>
      </c>
      <c r="E26">
        <v>0.01</v>
      </c>
      <c r="F26" t="s">
        <v>6</v>
      </c>
      <c r="G26" t="s">
        <v>5</v>
      </c>
      <c r="H26">
        <v>0</v>
      </c>
      <c r="I26">
        <v>0</v>
      </c>
      <c r="J26" t="s">
        <v>2833</v>
      </c>
      <c r="K26">
        <v>5800</v>
      </c>
      <c r="L26">
        <v>0.1888</v>
      </c>
      <c r="M26">
        <v>5800</v>
      </c>
      <c r="N26">
        <v>0.17859</v>
      </c>
      <c r="O26" t="s">
        <v>2833</v>
      </c>
      <c r="P26" t="s">
        <v>2833</v>
      </c>
      <c r="Q26" t="s">
        <v>2833</v>
      </c>
      <c r="R26">
        <f ca="1">RAND()*(Validation[[#This Row],[Range1_High]]-Validation[[#This Row],[Range1_Low]])+Validation[[#This Row],[Range1_Low]]</f>
        <v>0.2301006677228509</v>
      </c>
      <c r="S26">
        <f>Validation[[#This Row],[Range2_High]]</f>
        <v>0</v>
      </c>
      <c r="T26" t="str" cm="1">
        <f t="array" aca="1" ref="T26" ca="1">RoundToTwoSigFigs(Validation[[#This Row],[Test Reading]]*Validation[[#This Row],[Mult]]+Validation[[#This Row],[Base]]) &amp;" "&amp;Validation[[#This Row],[Uncert_Units]]</f>
        <v>5800 µV</v>
      </c>
      <c r="U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6" t="b">
        <f ca="1">Validation[[#This Row],[Desired Result]]=Validation[[#This Row],[Result]]</f>
        <v>1</v>
      </c>
      <c r="W26" t="b">
        <v>0</v>
      </c>
      <c r="X26" t="b">
        <f>Validation[[#This Row],[Range1_Low]]&gt;=Validation[[#This Row],[Range1_High]]</f>
        <v>0</v>
      </c>
      <c r="Y26" s="111" t="s">
        <v>2845</v>
      </c>
    </row>
    <row r="27" spans="1:25" x14ac:dyDescent="0.25">
      <c r="A27" t="s">
        <v>54</v>
      </c>
      <c r="B27" t="s">
        <v>3</v>
      </c>
      <c r="C27">
        <v>0.33</v>
      </c>
      <c r="D27">
        <v>3.3000099999999999</v>
      </c>
      <c r="E27">
        <v>1E-3</v>
      </c>
      <c r="F27" t="s">
        <v>6</v>
      </c>
      <c r="G27" t="s">
        <v>5</v>
      </c>
      <c r="H27">
        <v>0</v>
      </c>
      <c r="I27">
        <v>0</v>
      </c>
      <c r="J27" t="s">
        <v>2833</v>
      </c>
      <c r="K27">
        <v>577.16999999999996</v>
      </c>
      <c r="L27">
        <v>10.824</v>
      </c>
      <c r="M27">
        <v>576.99</v>
      </c>
      <c r="N27">
        <v>10.721</v>
      </c>
      <c r="O27" t="s">
        <v>2833</v>
      </c>
      <c r="P27" t="s">
        <v>2833</v>
      </c>
      <c r="Q27" t="s">
        <v>2833</v>
      </c>
      <c r="R27">
        <f ca="1">RAND()*(Validation[[#This Row],[Range1_High]]-Validation[[#This Row],[Range1_Low]])+Validation[[#This Row],[Range1_Low]]</f>
        <v>1.8847590326610864</v>
      </c>
      <c r="S27">
        <f>Validation[[#This Row],[Range2_High]]</f>
        <v>0</v>
      </c>
      <c r="T27" t="str" cm="1">
        <f t="array" aca="1" ref="T27" ca="1">RoundToTwoSigFigs(Validation[[#This Row],[Test Reading]]*Validation[[#This Row],[Mult]]+Validation[[#This Row],[Base]]) &amp;" "&amp;Validation[[#This Row],[Uncert_Units]]</f>
        <v>600 µV</v>
      </c>
      <c r="U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V27" t="b">
        <f ca="1">Validation[[#This Row],[Desired Result]]=Validation[[#This Row],[Result]]</f>
        <v>1</v>
      </c>
      <c r="W27" t="b">
        <v>0</v>
      </c>
      <c r="X27" t="b">
        <f>Validation[[#This Row],[Range1_Low]]&gt;=Validation[[#This Row],[Range1_High]]</f>
        <v>0</v>
      </c>
      <c r="Y27" s="111" t="s">
        <v>2845</v>
      </c>
    </row>
    <row r="28" spans="1:25" x14ac:dyDescent="0.25">
      <c r="A28" t="s">
        <v>55</v>
      </c>
      <c r="B28" t="s">
        <v>3</v>
      </c>
      <c r="C28">
        <v>100</v>
      </c>
      <c r="D28">
        <v>1000</v>
      </c>
      <c r="E28">
        <v>1</v>
      </c>
      <c r="F28" t="s">
        <v>6</v>
      </c>
      <c r="G28" t="s">
        <v>4</v>
      </c>
      <c r="H28">
        <v>0</v>
      </c>
      <c r="I28">
        <v>0</v>
      </c>
      <c r="J28" t="s">
        <v>2833</v>
      </c>
      <c r="K28">
        <v>579.99</v>
      </c>
      <c r="L28">
        <v>7.5300000000000001E-5</v>
      </c>
      <c r="M28">
        <v>579.92999999999995</v>
      </c>
      <c r="N28">
        <v>7.2527999999999994E-5</v>
      </c>
      <c r="O28" t="s">
        <v>2833</v>
      </c>
      <c r="P28" t="s">
        <v>2833</v>
      </c>
      <c r="Q28" t="s">
        <v>2833</v>
      </c>
      <c r="R28">
        <f ca="1">RAND()*(Validation[[#This Row],[Range1_High]]-Validation[[#This Row],[Range1_Low]])+Validation[[#This Row],[Range1_Low]]</f>
        <v>452.6050135069745</v>
      </c>
      <c r="S28">
        <f>Validation[[#This Row],[Range2_High]]</f>
        <v>0</v>
      </c>
      <c r="T28" t="str" cm="1">
        <f t="array" aca="1" ref="T28" ca="1">RoundToTwoSigFigs(Validation[[#This Row],[Test Reading]]*Validation[[#This Row],[Mult]]+Validation[[#This Row],[Base]]) &amp;" "&amp;Validation[[#This Row],[Uncert_Units]]</f>
        <v>580 mV</v>
      </c>
      <c r="U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28" t="b">
        <f ca="1">Validation[[#This Row],[Desired Result]]=Validation[[#This Row],[Result]]</f>
        <v>1</v>
      </c>
      <c r="W28" t="b">
        <v>0</v>
      </c>
      <c r="X28" t="b">
        <f>Validation[[#This Row],[Range1_Low]]&gt;=Validation[[#This Row],[Range1_High]]</f>
        <v>0</v>
      </c>
      <c r="Y28" s="111" t="s">
        <v>2845</v>
      </c>
    </row>
    <row r="29" spans="1:25" ht="15.75" thickBot="1" x14ac:dyDescent="0.3">
      <c r="A29" t="s">
        <v>68</v>
      </c>
      <c r="B29" t="s">
        <v>3</v>
      </c>
      <c r="C29">
        <v>0</v>
      </c>
      <c r="D29">
        <v>0.1</v>
      </c>
      <c r="E29">
        <v>1E-3</v>
      </c>
      <c r="F29" t="s">
        <v>6</v>
      </c>
      <c r="G29" t="s">
        <v>5</v>
      </c>
      <c r="H29">
        <v>0</v>
      </c>
      <c r="I29">
        <v>0</v>
      </c>
      <c r="J29" t="s">
        <v>2833</v>
      </c>
      <c r="K29">
        <v>577.47</v>
      </c>
      <c r="L29">
        <v>2.5928</v>
      </c>
      <c r="M29">
        <v>577.47</v>
      </c>
      <c r="N29">
        <v>2.5928</v>
      </c>
      <c r="O29" t="s">
        <v>2833</v>
      </c>
      <c r="P29" t="s">
        <v>2833</v>
      </c>
      <c r="Q29" t="s">
        <v>2833</v>
      </c>
      <c r="R29">
        <f ca="1">RAND()*(Validation[[#This Row],[Range1_High]]-Validation[[#This Row],[Range1_Low]])+Validation[[#This Row],[Range1_Low]]</f>
        <v>4.2876061573890678E-2</v>
      </c>
      <c r="S29">
        <f>Validation[[#This Row],[Range2_High]]</f>
        <v>0</v>
      </c>
      <c r="T29" t="str" cm="1">
        <f t="array" aca="1" ref="T29" ca="1">RoundToTwoSigFigs(Validation[[#This Row],[Test Reading]]*Validation[[#This Row],[Mult]]+Validation[[#This Row],[Base]]) &amp;" "&amp;Validation[[#This Row],[Uncert_Units]]</f>
        <v>580 µV</v>
      </c>
      <c r="U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9" t="b">
        <f ca="1">Validation[[#This Row],[Desired Result]]=Validation[[#This Row],[Result]]</f>
        <v>1</v>
      </c>
      <c r="W29" t="b">
        <v>0</v>
      </c>
      <c r="X29" t="b">
        <f>Validation[[#This Row],[Range1_Low]]&gt;=Validation[[#This Row],[Range1_High]]</f>
        <v>0</v>
      </c>
      <c r="Y29" s="111" t="s">
        <v>2845</v>
      </c>
    </row>
    <row r="30" spans="1:25" ht="16.5" thickTop="1" thickBot="1" x14ac:dyDescent="0.3">
      <c r="A30" t="s">
        <v>54</v>
      </c>
      <c r="B30" t="s">
        <v>3</v>
      </c>
      <c r="C30" s="113">
        <v>3</v>
      </c>
      <c r="D30" s="113">
        <v>33.000100000000003</v>
      </c>
      <c r="E30">
        <v>1E-4</v>
      </c>
      <c r="F30" t="s">
        <v>6</v>
      </c>
      <c r="G30" t="s">
        <v>4</v>
      </c>
      <c r="H30">
        <v>0</v>
      </c>
      <c r="I30">
        <v>0</v>
      </c>
      <c r="J30" t="s">
        <v>2833</v>
      </c>
      <c r="K30">
        <v>6.7757999999999999E-2</v>
      </c>
      <c r="L30">
        <v>5.7660999999999997E-2</v>
      </c>
      <c r="M30">
        <v>6.4652000000000001E-2</v>
      </c>
      <c r="N30">
        <v>5.7724999999999999E-2</v>
      </c>
      <c r="O30" t="s">
        <v>2833</v>
      </c>
      <c r="P30" t="s">
        <v>2833</v>
      </c>
      <c r="Q30" t="s">
        <v>2833</v>
      </c>
      <c r="R30">
        <f ca="1">RAND()*(Validation[[#This Row],[Range1_High]]-Validation[[#This Row],[Range1_Low]])+Validation[[#This Row],[Range1_Low]]</f>
        <v>16.671055604382396</v>
      </c>
      <c r="S30">
        <f>Validation[[#This Row],[Range2_High]]</f>
        <v>0</v>
      </c>
      <c r="T30" t="str" cm="1">
        <f t="array" aca="1" ref="T30" ca="1">RoundToTwoSigFigs(Validation[[#This Row],[Test Reading]]*Validation[[#This Row],[Mult]]+Validation[[#This Row],[Base]]) &amp;" "&amp;Validation[[#This Row],[Uncert_Units]]</f>
        <v>1 mV</v>
      </c>
      <c r="U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V30" t="b">
        <f ca="1">Validation[[#This Row],[Desired Result]]=Validation[[#This Row],[Result]]</f>
        <v>1</v>
      </c>
      <c r="W30" t="b">
        <v>1</v>
      </c>
      <c r="X30" t="b">
        <f>Validation[[#This Row],[Range1_Low]]&gt;=Validation[[#This Row],[Range1_High]]</f>
        <v>0</v>
      </c>
      <c r="Y30" s="111" t="s">
        <v>2843</v>
      </c>
    </row>
    <row r="31" spans="1:25" ht="15.75" thickTop="1" x14ac:dyDescent="0.25">
      <c r="A31" t="s">
        <v>55</v>
      </c>
      <c r="B31" t="s">
        <v>3</v>
      </c>
      <c r="C31">
        <v>0</v>
      </c>
      <c r="D31">
        <v>0.1</v>
      </c>
      <c r="E31">
        <v>1E-4</v>
      </c>
      <c r="F31" t="s">
        <v>6</v>
      </c>
      <c r="G31" t="s">
        <v>5</v>
      </c>
      <c r="H31">
        <v>0</v>
      </c>
      <c r="I31">
        <v>0</v>
      </c>
      <c r="J31" t="s">
        <v>2833</v>
      </c>
      <c r="K31">
        <v>58.003999999999998</v>
      </c>
      <c r="L31">
        <v>0.15762999999999999</v>
      </c>
      <c r="M31">
        <v>58.003</v>
      </c>
      <c r="N31">
        <v>0.14188000000000001</v>
      </c>
      <c r="O31" t="s">
        <v>2833</v>
      </c>
      <c r="P31" t="s">
        <v>2833</v>
      </c>
      <c r="Q31" t="s">
        <v>2833</v>
      </c>
      <c r="R31">
        <f ca="1">RAND()*(Validation[[#This Row],[Range1_High]]-Validation[[#This Row],[Range1_Low]])+Validation[[#This Row],[Range1_Low]]</f>
        <v>5.5323351010037353E-2</v>
      </c>
      <c r="S31">
        <f>Validation[[#This Row],[Range2_High]]</f>
        <v>0</v>
      </c>
      <c r="T31" t="str" cm="1">
        <f t="array" aca="1" ref="T31" ca="1">RoundToTwoSigFigs(Validation[[#This Row],[Test Reading]]*Validation[[#This Row],[Mult]]+Validation[[#This Row],[Base]]) &amp;" "&amp;Validation[[#This Row],[Uncert_Units]]</f>
        <v>58 µV</v>
      </c>
      <c r="U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31" t="b">
        <f ca="1">Validation[[#This Row],[Desired Result]]=Validation[[#This Row],[Result]]</f>
        <v>1</v>
      </c>
      <c r="W31" t="b">
        <v>0</v>
      </c>
      <c r="X31" t="b">
        <f>Validation[[#This Row],[Range1_Low]]&gt;=Validation[[#This Row],[Range1_High]]</f>
        <v>0</v>
      </c>
      <c r="Y31" s="111" t="s">
        <v>2845</v>
      </c>
    </row>
    <row r="32" spans="1:25" x14ac:dyDescent="0.25">
      <c r="A32" t="s">
        <v>55</v>
      </c>
      <c r="B32" t="s">
        <v>3</v>
      </c>
      <c r="C32">
        <v>1</v>
      </c>
      <c r="D32">
        <v>10</v>
      </c>
      <c r="E32">
        <v>9.9999999999999995E-7</v>
      </c>
      <c r="F32" t="s">
        <v>6</v>
      </c>
      <c r="G32" t="s">
        <v>5</v>
      </c>
      <c r="H32">
        <v>0</v>
      </c>
      <c r="I32">
        <v>0</v>
      </c>
      <c r="J32" t="s">
        <v>2833</v>
      </c>
      <c r="K32">
        <v>1.2</v>
      </c>
      <c r="L32">
        <v>5.3409000000000004</v>
      </c>
      <c r="M32">
        <v>0.78898000000000001</v>
      </c>
      <c r="N32">
        <v>5.3410000000000002</v>
      </c>
      <c r="O32" t="s">
        <v>2833</v>
      </c>
      <c r="P32" t="s">
        <v>2833</v>
      </c>
      <c r="Q32" t="s">
        <v>2833</v>
      </c>
      <c r="R32">
        <f ca="1">RAND()*(Validation[[#This Row],[Range1_High]]-Validation[[#This Row],[Range1_Low]])+Validation[[#This Row],[Range1_Low]]</f>
        <v>9.2257858184778829</v>
      </c>
      <c r="S32">
        <f>Validation[[#This Row],[Range2_High]]</f>
        <v>0</v>
      </c>
      <c r="T32" t="str" cm="1">
        <f t="array" aca="1" ref="T32" ca="1">RoundToTwoSigFigs(Validation[[#This Row],[Test Reading]]*Validation[[#This Row],[Mult]]+Validation[[#This Row],[Base]]) &amp;" "&amp;Validation[[#This Row],[Uncert_Units]]</f>
        <v>50 µV</v>
      </c>
      <c r="U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µV</v>
      </c>
      <c r="V32" t="b">
        <f ca="1">Validation[[#This Row],[Desired Result]]=Validation[[#This Row],[Result]]</f>
        <v>1</v>
      </c>
      <c r="W32" t="b">
        <v>0</v>
      </c>
      <c r="X32" t="b">
        <f>Validation[[#This Row],[Range1_Low]]&gt;=Validation[[#This Row],[Range1_High]]</f>
        <v>0</v>
      </c>
      <c r="Y32" s="111" t="s">
        <v>2845</v>
      </c>
    </row>
    <row r="33" spans="1:25" x14ac:dyDescent="0.25">
      <c r="A33" t="s">
        <v>54</v>
      </c>
      <c r="B33" t="s">
        <v>3</v>
      </c>
      <c r="C33">
        <v>33</v>
      </c>
      <c r="D33">
        <v>330.00099999999998</v>
      </c>
      <c r="E33">
        <v>1</v>
      </c>
      <c r="F33" t="s">
        <v>6</v>
      </c>
      <c r="G33" t="s">
        <v>4</v>
      </c>
      <c r="H33">
        <v>0</v>
      </c>
      <c r="I33">
        <v>0</v>
      </c>
      <c r="J33" t="s">
        <v>2833</v>
      </c>
      <c r="K33">
        <v>579.97</v>
      </c>
      <c r="L33">
        <v>1.3757000000000001E-3</v>
      </c>
      <c r="M33">
        <v>579.96</v>
      </c>
      <c r="N33">
        <v>1.3305000000000001E-3</v>
      </c>
      <c r="O33" t="s">
        <v>2833</v>
      </c>
      <c r="P33" t="s">
        <v>2833</v>
      </c>
      <c r="Q33" t="s">
        <v>2833</v>
      </c>
      <c r="R33">
        <f ca="1">RAND()*(Validation[[#This Row],[Range1_High]]-Validation[[#This Row],[Range1_Low]])+Validation[[#This Row],[Range1_Low]]</f>
        <v>274.71638592307295</v>
      </c>
      <c r="S33">
        <f>Validation[[#This Row],[Range2_High]]</f>
        <v>0</v>
      </c>
      <c r="T33" t="str" cm="1">
        <f t="array" aca="1" ref="T33" ca="1">RoundToTwoSigFigs(Validation[[#This Row],[Test Reading]]*Validation[[#This Row],[Mult]]+Validation[[#This Row],[Base]]) &amp;" "&amp;Validation[[#This Row],[Uncert_Units]]</f>
        <v>580 mV</v>
      </c>
      <c r="U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33" t="b">
        <f ca="1">Validation[[#This Row],[Desired Result]]=Validation[[#This Row],[Result]]</f>
        <v>1</v>
      </c>
      <c r="W33" t="b">
        <v>0</v>
      </c>
      <c r="X33" t="b">
        <f>Validation[[#This Row],[Range1_Low]]&gt;=Validation[[#This Row],[Range1_High]]</f>
        <v>0</v>
      </c>
      <c r="Y33" s="111" t="s">
        <v>2845</v>
      </c>
    </row>
    <row r="34" spans="1:25" x14ac:dyDescent="0.25">
      <c r="A34" t="s">
        <v>54</v>
      </c>
      <c r="B34" t="s">
        <v>3</v>
      </c>
      <c r="C34">
        <v>1000</v>
      </c>
      <c r="D34">
        <v>1001</v>
      </c>
      <c r="E34">
        <v>1</v>
      </c>
      <c r="F34" t="s">
        <v>6</v>
      </c>
      <c r="G34" t="s">
        <v>4</v>
      </c>
      <c r="H34">
        <v>0</v>
      </c>
      <c r="I34">
        <v>0</v>
      </c>
      <c r="J34" t="s">
        <v>2833</v>
      </c>
      <c r="K34">
        <v>578.9</v>
      </c>
      <c r="L34">
        <v>5.3112000000000003E-3</v>
      </c>
      <c r="M34">
        <v>578.86</v>
      </c>
      <c r="N34">
        <v>4.8152999999999998E-3</v>
      </c>
      <c r="O34" t="s">
        <v>2833</v>
      </c>
      <c r="P34" t="s">
        <v>2833</v>
      </c>
      <c r="Q34" t="s">
        <v>2833</v>
      </c>
      <c r="R34">
        <f ca="1">RAND()*(Validation[[#This Row],[Range1_High]]-Validation[[#This Row],[Range1_Low]])+Validation[[#This Row],[Range1_Low]]</f>
        <v>1000.2557331316835</v>
      </c>
      <c r="S34">
        <f>Validation[[#This Row],[Range2_High]]</f>
        <v>0</v>
      </c>
      <c r="T34" t="str" cm="1">
        <f t="array" aca="1" ref="T34" ca="1">RoundToTwoSigFigs(Validation[[#This Row],[Test Reading]]*Validation[[#This Row],[Mult]]+Validation[[#This Row],[Base]]) &amp;" "&amp;Validation[[#This Row],[Uncert_Units]]</f>
        <v>580 mV</v>
      </c>
      <c r="U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34" t="b">
        <f ca="1">Validation[[#This Row],[Desired Result]]=Validation[[#This Row],[Result]]</f>
        <v>1</v>
      </c>
      <c r="W34" t="b">
        <v>0</v>
      </c>
      <c r="X34" t="b">
        <f>Validation[[#This Row],[Range1_Low]]&gt;=Validation[[#This Row],[Range1_High]]</f>
        <v>0</v>
      </c>
      <c r="Y34" s="111" t="s">
        <v>2845</v>
      </c>
    </row>
    <row r="35" spans="1:25" ht="15.75" thickBot="1" x14ac:dyDescent="0.3">
      <c r="A35" t="s">
        <v>54</v>
      </c>
      <c r="B35" t="s">
        <v>3</v>
      </c>
      <c r="C35">
        <v>0</v>
      </c>
      <c r="D35">
        <v>0.33000099999999999</v>
      </c>
      <c r="E35">
        <v>1E-4</v>
      </c>
      <c r="F35" t="s">
        <v>6</v>
      </c>
      <c r="G35" t="s">
        <v>5</v>
      </c>
      <c r="H35">
        <v>0</v>
      </c>
      <c r="I35">
        <v>0</v>
      </c>
      <c r="J35" t="s">
        <v>2833</v>
      </c>
      <c r="K35">
        <v>58.11</v>
      </c>
      <c r="L35">
        <v>17.059999999999999</v>
      </c>
      <c r="M35">
        <v>58.091000000000001</v>
      </c>
      <c r="N35">
        <v>17.007000000000001</v>
      </c>
      <c r="O35" t="s">
        <v>2833</v>
      </c>
      <c r="P35" t="s">
        <v>2833</v>
      </c>
      <c r="Q35" t="s">
        <v>2833</v>
      </c>
      <c r="R35">
        <f ca="1">RAND()*(Validation[[#This Row],[Range1_High]]-Validation[[#This Row],[Range1_Low]])+Validation[[#This Row],[Range1_Low]]</f>
        <v>0.11394016584070599</v>
      </c>
      <c r="S35">
        <f>Validation[[#This Row],[Range2_High]]</f>
        <v>0</v>
      </c>
      <c r="T35" t="str" cm="1">
        <f t="array" aca="1" ref="T35" ca="1">RoundToTwoSigFigs(Validation[[#This Row],[Test Reading]]*Validation[[#This Row],[Mult]]+Validation[[#This Row],[Base]]) &amp;" "&amp;Validation[[#This Row],[Uncert_Units]]</f>
        <v>60 µV</v>
      </c>
      <c r="U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V35" t="b">
        <f ca="1">Validation[[#This Row],[Desired Result]]=Validation[[#This Row],[Result]]</f>
        <v>1</v>
      </c>
      <c r="W35" t="b">
        <v>0</v>
      </c>
      <c r="X35" t="b">
        <f>Validation[[#This Row],[Range1_Low]]&gt;=Validation[[#This Row],[Range1_High]]</f>
        <v>0</v>
      </c>
      <c r="Y35" s="111" t="s">
        <v>2845</v>
      </c>
    </row>
    <row r="36" spans="1:25" ht="16.5" thickTop="1" thickBot="1" x14ac:dyDescent="0.3">
      <c r="A36" t="s">
        <v>68</v>
      </c>
      <c r="B36" t="s">
        <v>3</v>
      </c>
      <c r="C36" s="113">
        <v>100</v>
      </c>
      <c r="D36" s="113">
        <v>1020</v>
      </c>
      <c r="E36">
        <v>0.01</v>
      </c>
      <c r="F36" t="s">
        <v>6</v>
      </c>
      <c r="G36" t="s">
        <v>4</v>
      </c>
      <c r="H36">
        <v>0</v>
      </c>
      <c r="I36">
        <v>0</v>
      </c>
      <c r="J36" t="s">
        <v>2833</v>
      </c>
      <c r="K36">
        <v>36</v>
      </c>
      <c r="L36">
        <v>9.1999999999999998E-2</v>
      </c>
      <c r="M36">
        <v>35.843000000000004</v>
      </c>
      <c r="N36">
        <v>9.1772000000000006E-2</v>
      </c>
      <c r="O36" t="s">
        <v>2833</v>
      </c>
      <c r="P36" t="s">
        <v>2833</v>
      </c>
      <c r="Q36" t="s">
        <v>2833</v>
      </c>
      <c r="R36">
        <f ca="1">RAND()*(Validation[[#This Row],[Range1_High]]-Validation[[#This Row],[Range1_Low]])+Validation[[#This Row],[Range1_Low]]</f>
        <v>966.81990444130565</v>
      </c>
      <c r="S36">
        <f>Validation[[#This Row],[Range2_High]]</f>
        <v>0</v>
      </c>
      <c r="T36" t="str" cm="1">
        <f t="array" aca="1" ref="T36" ca="1">RoundToTwoSigFigs(Validation[[#This Row],[Test Reading]]*Validation[[#This Row],[Mult]]+Validation[[#This Row],[Base]]) &amp;" "&amp;Validation[[#This Row],[Uncert_Units]]</f>
        <v>120 mV</v>
      </c>
      <c r="U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V36" t="b">
        <f ca="1">Validation[[#This Row],[Desired Result]]=Validation[[#This Row],[Result]]</f>
        <v>1</v>
      </c>
      <c r="W36" t="b">
        <v>1</v>
      </c>
      <c r="X36" t="b">
        <f>Validation[[#This Row],[Range1_Low]]&gt;=Validation[[#This Row],[Range1_High]]</f>
        <v>0</v>
      </c>
      <c r="Y36" s="111" t="s">
        <v>2843</v>
      </c>
    </row>
    <row r="37" spans="1:25" ht="16.5" thickTop="1" thickBot="1" x14ac:dyDescent="0.3">
      <c r="A37" t="s">
        <v>68</v>
      </c>
      <c r="B37" t="s">
        <v>3</v>
      </c>
      <c r="C37">
        <v>1</v>
      </c>
      <c r="D37">
        <v>10</v>
      </c>
      <c r="E37">
        <v>1</v>
      </c>
      <c r="F37" t="s">
        <v>6</v>
      </c>
      <c r="G37" t="s">
        <v>5</v>
      </c>
      <c r="H37">
        <v>0</v>
      </c>
      <c r="I37">
        <v>0</v>
      </c>
      <c r="J37" t="s">
        <v>2833</v>
      </c>
      <c r="K37">
        <v>577360</v>
      </c>
      <c r="L37">
        <v>0.14807999999999999</v>
      </c>
      <c r="M37">
        <v>577360</v>
      </c>
      <c r="N37">
        <v>13.497</v>
      </c>
      <c r="O37" t="s">
        <v>2833</v>
      </c>
      <c r="P37" t="s">
        <v>2833</v>
      </c>
      <c r="Q37" t="s">
        <v>2833</v>
      </c>
      <c r="R37">
        <f ca="1">RAND()*(Validation[[#This Row],[Range1_High]]-Validation[[#This Row],[Range1_Low]])+Validation[[#This Row],[Range1_Low]]</f>
        <v>3.2240076939744262</v>
      </c>
      <c r="S37">
        <f>Validation[[#This Row],[Range2_High]]</f>
        <v>0</v>
      </c>
      <c r="T37" t="str" cm="1">
        <f t="array" aca="1" ref="T37" ca="1">RoundToTwoSigFigs(Validation[[#This Row],[Test Reading]]*Validation[[#This Row],[Mult]]+Validation[[#This Row],[Base]]) &amp;" "&amp;Validation[[#This Row],[Uncert_Units]]</f>
        <v>580000 µV</v>
      </c>
      <c r="U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37" t="b">
        <f ca="1">Validation[[#This Row],[Desired Result]]=Validation[[#This Row],[Result]]</f>
        <v>1</v>
      </c>
      <c r="W37" t="b">
        <v>0</v>
      </c>
      <c r="X37" t="b">
        <f>Validation[[#This Row],[Range1_Low]]&gt;=Validation[[#This Row],[Range1_High]]</f>
        <v>0</v>
      </c>
      <c r="Y37" s="111" t="s">
        <v>2845</v>
      </c>
    </row>
    <row r="38" spans="1:25" ht="16.5" thickTop="1" thickBot="1" x14ac:dyDescent="0.3">
      <c r="A38" t="s">
        <v>55</v>
      </c>
      <c r="B38" t="s">
        <v>3</v>
      </c>
      <c r="C38" s="113">
        <v>10</v>
      </c>
      <c r="D38" s="113">
        <v>100</v>
      </c>
      <c r="E38">
        <v>9.9999999999999995E-7</v>
      </c>
      <c r="F38" t="s">
        <v>6</v>
      </c>
      <c r="G38" t="s">
        <v>5</v>
      </c>
      <c r="H38">
        <v>0</v>
      </c>
      <c r="I38">
        <v>0</v>
      </c>
      <c r="J38" t="s">
        <v>2833</v>
      </c>
      <c r="K38">
        <v>34</v>
      </c>
      <c r="L38">
        <v>7.8</v>
      </c>
      <c r="M38">
        <v>33.131999999999998</v>
      </c>
      <c r="N38">
        <v>7.7866</v>
      </c>
      <c r="O38" t="s">
        <v>2833</v>
      </c>
      <c r="P38" t="s">
        <v>2833</v>
      </c>
      <c r="Q38" t="s">
        <v>2833</v>
      </c>
      <c r="R38">
        <f ca="1">RAND()*(Validation[[#This Row],[Range1_High]]-Validation[[#This Row],[Range1_Low]])+Validation[[#This Row],[Range1_Low]]</f>
        <v>64.75601761341224</v>
      </c>
      <c r="S38">
        <f>Validation[[#This Row],[Range2_High]]</f>
        <v>0</v>
      </c>
      <c r="T38" t="str" cm="1">
        <f t="array" aca="1" ref="T38" ca="1">RoundToTwoSigFigs(Validation[[#This Row],[Test Reading]]*Validation[[#This Row],[Mult]]+Validation[[#This Row],[Base]]) &amp;" "&amp;Validation[[#This Row],[Uncert_Units]]</f>
        <v>540 µV</v>
      </c>
      <c r="U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µV</v>
      </c>
      <c r="V38" t="b">
        <f ca="1">Validation[[#This Row],[Desired Result]]=Validation[[#This Row],[Result]]</f>
        <v>1</v>
      </c>
      <c r="W38" t="b">
        <v>1</v>
      </c>
      <c r="X38" t="b">
        <f>Validation[[#This Row],[Range1_Low]]&gt;=Validation[[#This Row],[Range1_High]]</f>
        <v>0</v>
      </c>
      <c r="Y38" s="111" t="s">
        <v>2843</v>
      </c>
    </row>
    <row r="39" spans="1:25" ht="15.75" thickTop="1" x14ac:dyDescent="0.25">
      <c r="A39" t="s">
        <v>54</v>
      </c>
      <c r="B39" t="s">
        <v>3</v>
      </c>
      <c r="C39">
        <v>0</v>
      </c>
      <c r="D39">
        <v>0.33000099999999999</v>
      </c>
      <c r="E39">
        <v>9.9999999999999995E-8</v>
      </c>
      <c r="F39" t="s">
        <v>6</v>
      </c>
      <c r="G39" t="s">
        <v>5</v>
      </c>
      <c r="H39">
        <v>0</v>
      </c>
      <c r="I39">
        <v>0</v>
      </c>
      <c r="J39" t="s">
        <v>2833</v>
      </c>
      <c r="K39">
        <v>3.6</v>
      </c>
      <c r="L39">
        <v>69</v>
      </c>
      <c r="M39">
        <v>3.4727000000000001</v>
      </c>
      <c r="N39">
        <v>69.313999999999993</v>
      </c>
      <c r="O39" t="s">
        <v>2833</v>
      </c>
      <c r="P39" t="s">
        <v>2833</v>
      </c>
      <c r="Q39" t="s">
        <v>2833</v>
      </c>
      <c r="R39">
        <f ca="1">RAND()*(Validation[[#This Row],[Range1_High]]-Validation[[#This Row],[Range1_Low]])+Validation[[#This Row],[Range1_Low]]</f>
        <v>3.5494671427630006E-2</v>
      </c>
      <c r="S39">
        <f>Validation[[#This Row],[Range2_High]]</f>
        <v>0</v>
      </c>
      <c r="T39" t="str" cm="1">
        <f t="array" aca="1" ref="T39" ca="1">RoundToTwoSigFigs(Validation[[#This Row],[Test Reading]]*Validation[[#This Row],[Mult]]+Validation[[#This Row],[Base]]) &amp;" "&amp;Validation[[#This Row],[Uncert_Units]]</f>
        <v>6 µV</v>
      </c>
      <c r="U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µV</v>
      </c>
      <c r="V39" t="b">
        <f ca="1">Validation[[#This Row],[Desired Result]]=Validation[[#This Row],[Result]]</f>
        <v>1</v>
      </c>
      <c r="W39" t="b">
        <v>0</v>
      </c>
      <c r="X39" t="b">
        <f>Validation[[#This Row],[Range1_Low]]&gt;=Validation[[#This Row],[Range1_High]]</f>
        <v>0</v>
      </c>
      <c r="Y39" s="111" t="s">
        <v>2845</v>
      </c>
    </row>
    <row r="40" spans="1:25" x14ac:dyDescent="0.25">
      <c r="A40" t="s">
        <v>68</v>
      </c>
      <c r="B40" t="s">
        <v>3</v>
      </c>
      <c r="C40">
        <v>100</v>
      </c>
      <c r="D40">
        <v>1020</v>
      </c>
      <c r="E40">
        <v>100</v>
      </c>
      <c r="F40" t="s">
        <v>6</v>
      </c>
      <c r="G40" t="s">
        <v>4</v>
      </c>
      <c r="H40">
        <v>0</v>
      </c>
      <c r="I40">
        <v>0</v>
      </c>
      <c r="J40" t="s">
        <v>2833</v>
      </c>
      <c r="K40">
        <v>57736</v>
      </c>
      <c r="L40">
        <v>1.5124999999999999E-4</v>
      </c>
      <c r="M40">
        <v>57736</v>
      </c>
      <c r="N40">
        <v>1.3866E-4</v>
      </c>
      <c r="O40" t="s">
        <v>2833</v>
      </c>
      <c r="P40" t="s">
        <v>2833</v>
      </c>
      <c r="Q40" t="s">
        <v>2833</v>
      </c>
      <c r="R40">
        <f ca="1">RAND()*(Validation[[#This Row],[Range1_High]]-Validation[[#This Row],[Range1_Low]])+Validation[[#This Row],[Range1_Low]]</f>
        <v>676.99851881765744</v>
      </c>
      <c r="S40">
        <f>Validation[[#This Row],[Range2_High]]</f>
        <v>0</v>
      </c>
      <c r="T40" t="str" cm="1">
        <f t="array" aca="1" ref="T40" ca="1">RoundToTwoSigFigs(Validation[[#This Row],[Test Reading]]*Validation[[#This Row],[Mult]]+Validation[[#This Row],[Base]]) &amp;" "&amp;Validation[[#This Row],[Uncert_Units]]</f>
        <v>58000 mV</v>
      </c>
      <c r="U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V40" t="b">
        <f ca="1">Validation[[#This Row],[Desired Result]]=Validation[[#This Row],[Result]]</f>
        <v>1</v>
      </c>
      <c r="W40" t="b">
        <v>0</v>
      </c>
      <c r="X40" t="b">
        <f>Validation[[#This Row],[Range1_Low]]&gt;=Validation[[#This Row],[Range1_High]]</f>
        <v>0</v>
      </c>
      <c r="Y40" s="111" t="s">
        <v>2845</v>
      </c>
    </row>
    <row r="41" spans="1:25" x14ac:dyDescent="0.25">
      <c r="A41" t="s">
        <v>55</v>
      </c>
      <c r="B41" t="s">
        <v>3</v>
      </c>
      <c r="C41">
        <v>0</v>
      </c>
      <c r="D41">
        <v>0.1</v>
      </c>
      <c r="E41">
        <v>1.0000000000000001E-5</v>
      </c>
      <c r="F41" t="s">
        <v>6</v>
      </c>
      <c r="G41" t="s">
        <v>5</v>
      </c>
      <c r="H41">
        <v>0</v>
      </c>
      <c r="I41">
        <v>0</v>
      </c>
      <c r="J41" t="s">
        <v>2833</v>
      </c>
      <c r="K41">
        <v>5.8320999999999996</v>
      </c>
      <c r="L41">
        <v>1.43</v>
      </c>
      <c r="M41">
        <v>5.8310000000000004</v>
      </c>
      <c r="N41">
        <v>1.39</v>
      </c>
      <c r="O41" t="s">
        <v>2833</v>
      </c>
      <c r="P41" t="s">
        <v>2833</v>
      </c>
      <c r="Q41" t="s">
        <v>2833</v>
      </c>
      <c r="R41">
        <f ca="1">RAND()*(Validation[[#This Row],[Range1_High]]-Validation[[#This Row],[Range1_Low]])+Validation[[#This Row],[Range1_Low]]</f>
        <v>8.0556555074531175E-2</v>
      </c>
      <c r="S41">
        <f>Validation[[#This Row],[Range2_High]]</f>
        <v>0</v>
      </c>
      <c r="T41" t="str" cm="1">
        <f t="array" aca="1" ref="T41" ca="1">RoundToTwoSigFigs(Validation[[#This Row],[Test Reading]]*Validation[[#This Row],[Mult]]+Validation[[#This Row],[Base]]) &amp;" "&amp;Validation[[#This Row],[Uncert_Units]]</f>
        <v>5.9 µV</v>
      </c>
      <c r="U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V41" t="b">
        <f ca="1">Validation[[#This Row],[Desired Result]]=Validation[[#This Row],[Result]]</f>
        <v>1</v>
      </c>
      <c r="W41" t="b">
        <v>0</v>
      </c>
      <c r="X41" t="b">
        <f>Validation[[#This Row],[Range1_Low]]&gt;=Validation[[#This Row],[Range1_High]]</f>
        <v>0</v>
      </c>
      <c r="Y41" s="111" t="s">
        <v>2845</v>
      </c>
    </row>
    <row r="42" spans="1:25" ht="15.75" thickBot="1" x14ac:dyDescent="0.3">
      <c r="A42" t="s">
        <v>54</v>
      </c>
      <c r="B42" t="s">
        <v>3</v>
      </c>
      <c r="C42">
        <v>0.33</v>
      </c>
      <c r="D42">
        <v>3.3000099999999999</v>
      </c>
      <c r="E42">
        <v>0.01</v>
      </c>
      <c r="F42" t="s">
        <v>6</v>
      </c>
      <c r="G42" t="s">
        <v>5</v>
      </c>
      <c r="H42">
        <v>0</v>
      </c>
      <c r="I42">
        <v>0</v>
      </c>
      <c r="J42" t="s">
        <v>2833</v>
      </c>
      <c r="K42">
        <v>5799.8</v>
      </c>
      <c r="L42">
        <v>1.1473</v>
      </c>
      <c r="M42">
        <v>5799.7</v>
      </c>
      <c r="N42">
        <v>1.1022000000000001</v>
      </c>
      <c r="O42" t="s">
        <v>2833</v>
      </c>
      <c r="P42" t="s">
        <v>2833</v>
      </c>
      <c r="Q42" t="s">
        <v>2833</v>
      </c>
      <c r="R42">
        <f ca="1">RAND()*(Validation[[#This Row],[Range1_High]]-Validation[[#This Row],[Range1_Low]])+Validation[[#This Row],[Range1_Low]]</f>
        <v>2.0028146407713519</v>
      </c>
      <c r="S42">
        <f>Validation[[#This Row],[Range2_High]]</f>
        <v>0</v>
      </c>
      <c r="T42" t="str" cm="1">
        <f t="array" aca="1" ref="T42" ca="1">RoundToTwoSigFigs(Validation[[#This Row],[Test Reading]]*Validation[[#This Row],[Mult]]+Validation[[#This Row],[Base]]) &amp;" "&amp;Validation[[#This Row],[Uncert_Units]]</f>
        <v>5800 µV</v>
      </c>
      <c r="U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42" t="b">
        <f ca="1">Validation[[#This Row],[Desired Result]]=Validation[[#This Row],[Result]]</f>
        <v>1</v>
      </c>
      <c r="W42" t="b">
        <v>0</v>
      </c>
      <c r="X42" t="b">
        <f>Validation[[#This Row],[Range1_Low]]&gt;=Validation[[#This Row],[Range1_High]]</f>
        <v>0</v>
      </c>
      <c r="Y42" s="111" t="s">
        <v>2845</v>
      </c>
    </row>
    <row r="43" spans="1:25" ht="16.5" thickTop="1" thickBot="1" x14ac:dyDescent="0.3">
      <c r="A43" t="s">
        <v>54</v>
      </c>
      <c r="B43" t="s">
        <v>3</v>
      </c>
      <c r="C43" s="113">
        <v>330</v>
      </c>
      <c r="D43" s="113">
        <v>1000.01</v>
      </c>
      <c r="E43">
        <v>0.01</v>
      </c>
      <c r="F43" t="s">
        <v>6</v>
      </c>
      <c r="G43" t="s">
        <v>4</v>
      </c>
      <c r="H43">
        <v>0</v>
      </c>
      <c r="I43">
        <v>0</v>
      </c>
      <c r="J43" t="s">
        <v>2833</v>
      </c>
      <c r="K43">
        <v>3.0276999999999998</v>
      </c>
      <c r="L43">
        <v>6.2894000000000005E-2</v>
      </c>
      <c r="M43">
        <v>2.7052</v>
      </c>
      <c r="N43">
        <v>6.2919000000000003E-2</v>
      </c>
      <c r="O43" t="s">
        <v>2833</v>
      </c>
      <c r="P43" t="s">
        <v>2833</v>
      </c>
      <c r="Q43" t="s">
        <v>2833</v>
      </c>
      <c r="R43">
        <f ca="1">RAND()*(Validation[[#This Row],[Range1_High]]-Validation[[#This Row],[Range1_Low]])+Validation[[#This Row],[Range1_Low]]</f>
        <v>872.09304130213081</v>
      </c>
      <c r="S43">
        <f>Validation[[#This Row],[Range2_High]]</f>
        <v>0</v>
      </c>
      <c r="T43" t="str" cm="1">
        <f t="array" aca="1" ref="T43" ca="1">RoundToTwoSigFigs(Validation[[#This Row],[Test Reading]]*Validation[[#This Row],[Mult]]+Validation[[#This Row],[Base]]) &amp;" "&amp;Validation[[#This Row],[Uncert_Units]]</f>
        <v>58 mV</v>
      </c>
      <c r="U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43" t="b">
        <f ca="1">Validation[[#This Row],[Desired Result]]=Validation[[#This Row],[Result]]</f>
        <v>1</v>
      </c>
      <c r="W43" t="b">
        <v>1</v>
      </c>
      <c r="X43" t="b">
        <f>Validation[[#This Row],[Range1_Low]]&gt;=Validation[[#This Row],[Range1_High]]</f>
        <v>0</v>
      </c>
      <c r="Y43" s="111" t="s">
        <v>2843</v>
      </c>
    </row>
    <row r="44" spans="1:25" ht="16.5" thickTop="1" thickBot="1" x14ac:dyDescent="0.3">
      <c r="A44" t="s">
        <v>55</v>
      </c>
      <c r="B44" t="s">
        <v>3</v>
      </c>
      <c r="C44" s="113">
        <v>100</v>
      </c>
      <c r="D44" s="113">
        <v>1000</v>
      </c>
      <c r="E44">
        <v>1.0000000000000001E-5</v>
      </c>
      <c r="F44" t="s">
        <v>6</v>
      </c>
      <c r="G44" t="s">
        <v>4</v>
      </c>
      <c r="H44">
        <v>0</v>
      </c>
      <c r="I44">
        <v>0</v>
      </c>
      <c r="J44" t="s">
        <v>2833</v>
      </c>
      <c r="K44">
        <v>0.11</v>
      </c>
      <c r="L44">
        <v>8.6999999999999994E-3</v>
      </c>
      <c r="M44">
        <v>0.10063999999999999</v>
      </c>
      <c r="N44">
        <v>8.6546999999999995E-3</v>
      </c>
      <c r="O44" t="s">
        <v>2833</v>
      </c>
      <c r="P44" t="s">
        <v>2833</v>
      </c>
      <c r="Q44" t="s">
        <v>2833</v>
      </c>
      <c r="R44">
        <f ca="1">RAND()*(Validation[[#This Row],[Range1_High]]-Validation[[#This Row],[Range1_Low]])+Validation[[#This Row],[Range1_Low]]</f>
        <v>704.33983109220844</v>
      </c>
      <c r="S44">
        <f>Validation[[#This Row],[Range2_High]]</f>
        <v>0</v>
      </c>
      <c r="T44" t="str" cm="1">
        <f t="array" aca="1" ref="T44" ca="1">RoundToTwoSigFigs(Validation[[#This Row],[Test Reading]]*Validation[[#This Row],[Mult]]+Validation[[#This Row],[Base]]) &amp;" "&amp;Validation[[#This Row],[Uncert_Units]]</f>
        <v>6.2 mV</v>
      </c>
      <c r="U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V44" t="b">
        <f ca="1">Validation[[#This Row],[Desired Result]]=Validation[[#This Row],[Result]]</f>
        <v>1</v>
      </c>
      <c r="W44" t="b">
        <v>1</v>
      </c>
      <c r="X44" t="b">
        <f>Validation[[#This Row],[Range1_Low]]&gt;=Validation[[#This Row],[Range1_High]]</f>
        <v>0</v>
      </c>
      <c r="Y44" s="111" t="s">
        <v>2843</v>
      </c>
    </row>
    <row r="45" spans="1:25" ht="15.75" thickTop="1" x14ac:dyDescent="0.25">
      <c r="A45" t="s">
        <v>55</v>
      </c>
      <c r="B45" t="s">
        <v>3</v>
      </c>
      <c r="C45">
        <v>0</v>
      </c>
      <c r="D45">
        <v>0.1</v>
      </c>
      <c r="E45">
        <v>1E-3</v>
      </c>
      <c r="F45" t="s">
        <v>6</v>
      </c>
      <c r="G45" t="s">
        <v>5</v>
      </c>
      <c r="H45">
        <v>0</v>
      </c>
      <c r="I45">
        <v>0</v>
      </c>
      <c r="J45" t="s">
        <v>2833</v>
      </c>
      <c r="K45">
        <v>580</v>
      </c>
      <c r="L45">
        <v>2.0493000000000001E-2</v>
      </c>
      <c r="M45">
        <v>580</v>
      </c>
      <c r="N45">
        <v>1.4191E-2</v>
      </c>
      <c r="O45" t="s">
        <v>2833</v>
      </c>
      <c r="P45" t="s">
        <v>2833</v>
      </c>
      <c r="Q45" t="s">
        <v>2833</v>
      </c>
      <c r="R45">
        <f ca="1">RAND()*(Validation[[#This Row],[Range1_High]]-Validation[[#This Row],[Range1_Low]])+Validation[[#This Row],[Range1_Low]]</f>
        <v>6.3646447427705092E-3</v>
      </c>
      <c r="S45">
        <f>Validation[[#This Row],[Range2_High]]</f>
        <v>0</v>
      </c>
      <c r="T45" t="str" cm="1">
        <f t="array" aca="1" ref="T45" ca="1">RoundToTwoSigFigs(Validation[[#This Row],[Test Reading]]*Validation[[#This Row],[Mult]]+Validation[[#This Row],[Base]]) &amp;" "&amp;Validation[[#This Row],[Uncert_Units]]</f>
        <v>580 µV</v>
      </c>
      <c r="U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45" t="b">
        <f ca="1">Validation[[#This Row],[Desired Result]]=Validation[[#This Row],[Result]]</f>
        <v>1</v>
      </c>
      <c r="W45" t="b">
        <v>0</v>
      </c>
      <c r="X45" t="b">
        <f>Validation[[#This Row],[Range1_Low]]&gt;=Validation[[#This Row],[Range1_High]]</f>
        <v>0</v>
      </c>
      <c r="Y45" s="111" t="s">
        <v>2845</v>
      </c>
    </row>
    <row r="46" spans="1:25" x14ac:dyDescent="0.25">
      <c r="A46" t="s">
        <v>55</v>
      </c>
      <c r="B46" t="s">
        <v>3</v>
      </c>
      <c r="C46">
        <v>100</v>
      </c>
      <c r="D46">
        <v>1000</v>
      </c>
      <c r="E46">
        <v>0.1</v>
      </c>
      <c r="F46" t="s">
        <v>6</v>
      </c>
      <c r="G46" t="s">
        <v>4</v>
      </c>
      <c r="H46">
        <v>0</v>
      </c>
      <c r="I46">
        <v>0</v>
      </c>
      <c r="J46" t="s">
        <v>2833</v>
      </c>
      <c r="K46">
        <v>57.936</v>
      </c>
      <c r="L46">
        <v>7.2802999999999995E-4</v>
      </c>
      <c r="M46">
        <v>57.936</v>
      </c>
      <c r="N46">
        <v>7.2117999999999998E-4</v>
      </c>
      <c r="O46" t="s">
        <v>2833</v>
      </c>
      <c r="P46" t="s">
        <v>2833</v>
      </c>
      <c r="Q46" t="s">
        <v>2833</v>
      </c>
      <c r="R46">
        <f ca="1">RAND()*(Validation[[#This Row],[Range1_High]]-Validation[[#This Row],[Range1_Low]])+Validation[[#This Row],[Range1_Low]]</f>
        <v>150.60354680912135</v>
      </c>
      <c r="S46">
        <f>Validation[[#This Row],[Range2_High]]</f>
        <v>0</v>
      </c>
      <c r="T46" t="str" cm="1">
        <f t="array" aca="1" ref="T46" ca="1">RoundToTwoSigFigs(Validation[[#This Row],[Test Reading]]*Validation[[#This Row],[Mult]]+Validation[[#This Row],[Base]]) &amp;" "&amp;Validation[[#This Row],[Uncert_Units]]</f>
        <v>58 mV</v>
      </c>
      <c r="U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46" t="b">
        <f ca="1">Validation[[#This Row],[Desired Result]]=Validation[[#This Row],[Result]]</f>
        <v>1</v>
      </c>
      <c r="W46" t="b">
        <v>0</v>
      </c>
      <c r="X46" t="b">
        <f>Validation[[#This Row],[Range1_Low]]&gt;=Validation[[#This Row],[Range1_High]]</f>
        <v>0</v>
      </c>
      <c r="Y46" s="111" t="s">
        <v>2845</v>
      </c>
    </row>
    <row r="47" spans="1:25" ht="15.75" thickBot="1" x14ac:dyDescent="0.3">
      <c r="A47" t="s">
        <v>68</v>
      </c>
      <c r="B47" t="s">
        <v>3</v>
      </c>
      <c r="C47">
        <v>1</v>
      </c>
      <c r="D47">
        <v>10</v>
      </c>
      <c r="E47">
        <v>0.1</v>
      </c>
      <c r="F47" t="s">
        <v>6</v>
      </c>
      <c r="G47" t="s">
        <v>5</v>
      </c>
      <c r="H47">
        <v>0</v>
      </c>
      <c r="I47">
        <v>0</v>
      </c>
      <c r="J47" t="s">
        <v>2833</v>
      </c>
      <c r="K47">
        <v>57736</v>
      </c>
      <c r="L47">
        <v>1.3954</v>
      </c>
      <c r="M47">
        <v>57736</v>
      </c>
      <c r="N47">
        <v>13.496</v>
      </c>
      <c r="O47" t="s">
        <v>2833</v>
      </c>
      <c r="P47" t="s">
        <v>2833</v>
      </c>
      <c r="Q47" t="s">
        <v>2833</v>
      </c>
      <c r="R47">
        <f ca="1">RAND()*(Validation[[#This Row],[Range1_High]]-Validation[[#This Row],[Range1_Low]])+Validation[[#This Row],[Range1_Low]]</f>
        <v>3.8514925365515182</v>
      </c>
      <c r="S47">
        <f>Validation[[#This Row],[Range2_High]]</f>
        <v>0</v>
      </c>
      <c r="T47" t="str" cm="1">
        <f t="array" aca="1" ref="T47" ca="1">RoundToTwoSigFigs(Validation[[#This Row],[Test Reading]]*Validation[[#This Row],[Mult]]+Validation[[#This Row],[Base]]) &amp;" "&amp;Validation[[#This Row],[Uncert_Units]]</f>
        <v>58000 µV</v>
      </c>
      <c r="U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47" t="b">
        <f ca="1">Validation[[#This Row],[Desired Result]]=Validation[[#This Row],[Result]]</f>
        <v>1</v>
      </c>
      <c r="W47" t="b">
        <v>0</v>
      </c>
      <c r="X47" t="b">
        <f>Validation[[#This Row],[Range1_Low]]&gt;=Validation[[#This Row],[Range1_High]]</f>
        <v>0</v>
      </c>
      <c r="Y47" s="111" t="s">
        <v>2845</v>
      </c>
    </row>
    <row r="48" spans="1:25" ht="16.5" thickTop="1" thickBot="1" x14ac:dyDescent="0.3">
      <c r="A48" t="s">
        <v>68</v>
      </c>
      <c r="B48" t="s">
        <v>3</v>
      </c>
      <c r="C48" s="113">
        <v>10</v>
      </c>
      <c r="D48" s="113">
        <v>100</v>
      </c>
      <c r="E48">
        <v>0.01</v>
      </c>
      <c r="F48" t="s">
        <v>6</v>
      </c>
      <c r="G48" t="s">
        <v>4</v>
      </c>
      <c r="H48">
        <v>0</v>
      </c>
      <c r="I48">
        <v>0</v>
      </c>
      <c r="J48" t="s">
        <v>2833</v>
      </c>
      <c r="K48">
        <v>8.7739999999999991</v>
      </c>
      <c r="L48">
        <v>7.2816000000000006E-2</v>
      </c>
      <c r="M48">
        <v>8.766</v>
      </c>
      <c r="N48">
        <v>7.2780999999999998E-2</v>
      </c>
      <c r="O48" t="s">
        <v>2833</v>
      </c>
      <c r="P48" t="s">
        <v>2833</v>
      </c>
      <c r="Q48" t="s">
        <v>2833</v>
      </c>
      <c r="R48">
        <f ca="1">RAND()*(Validation[[#This Row],[Range1_High]]-Validation[[#This Row],[Range1_Low]])+Validation[[#This Row],[Range1_Low]]</f>
        <v>63.03534308662887</v>
      </c>
      <c r="S48">
        <f>Validation[[#This Row],[Range2_High]]</f>
        <v>0</v>
      </c>
      <c r="T48" t="str" cm="1">
        <f t="array" aca="1" ref="T48" ca="1">RoundToTwoSigFigs(Validation[[#This Row],[Test Reading]]*Validation[[#This Row],[Mult]]+Validation[[#This Row],[Base]]) &amp;" "&amp;Validation[[#This Row],[Uncert_Units]]</f>
        <v>13 mV</v>
      </c>
      <c r="U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V48" t="b">
        <f ca="1">Validation[[#This Row],[Desired Result]]=Validation[[#This Row],[Result]]</f>
        <v>1</v>
      </c>
      <c r="W48" t="b">
        <v>1</v>
      </c>
      <c r="X48" t="b">
        <f>Validation[[#This Row],[Range1_Low]]&gt;=Validation[[#This Row],[Range1_High]]</f>
        <v>0</v>
      </c>
      <c r="Y48" s="111" t="s">
        <v>2843</v>
      </c>
    </row>
    <row r="49" spans="1:25" ht="15.75" thickTop="1" x14ac:dyDescent="0.25">
      <c r="A49" t="s">
        <v>55</v>
      </c>
      <c r="B49" t="s">
        <v>46</v>
      </c>
      <c r="C49">
        <v>0</v>
      </c>
      <c r="D49">
        <v>9.9999999999999995E-8</v>
      </c>
      <c r="E49">
        <v>9.9999999999999998E-13</v>
      </c>
      <c r="F49" t="s">
        <v>13</v>
      </c>
      <c r="G49" t="s">
        <v>70</v>
      </c>
      <c r="H49">
        <v>0</v>
      </c>
      <c r="I49">
        <v>0</v>
      </c>
      <c r="J49" t="s">
        <v>2833</v>
      </c>
      <c r="K49">
        <v>4.8000000000000001E-2</v>
      </c>
      <c r="L49">
        <v>34000</v>
      </c>
      <c r="M49">
        <v>4.6246000000000002E-2</v>
      </c>
      <c r="N49">
        <v>34649</v>
      </c>
      <c r="O49" t="s">
        <v>2833</v>
      </c>
      <c r="P49" t="s">
        <v>2833</v>
      </c>
      <c r="Q49" t="s">
        <v>2833</v>
      </c>
      <c r="R49">
        <f ca="1">RAND()*(Validation[[#This Row],[Range1_High]]-Validation[[#This Row],[Range1_Low]])+Validation[[#This Row],[Range1_Low]]</f>
        <v>8.197460214912652E-8</v>
      </c>
      <c r="S49">
        <f>Validation[[#This Row],[Range2_High]]</f>
        <v>0</v>
      </c>
      <c r="T49" t="str" cm="1">
        <f t="array" aca="1" ref="T49" ca="1">RoundToTwoSigFigs(Validation[[#This Row],[Test Reading]]*Validation[[#This Row],[Mult]]+Validation[[#This Row],[Base]]) &amp;" "&amp;Validation[[#This Row],[Uncert_Units]]</f>
        <v>0.051 nA</v>
      </c>
      <c r="U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V49" t="b">
        <f ca="1">Validation[[#This Row],[Desired Result]]=Validation[[#This Row],[Result]]</f>
        <v>1</v>
      </c>
      <c r="W49" t="b">
        <v>0</v>
      </c>
      <c r="X49" t="b">
        <f>Validation[[#This Row],[Range1_Low]]&gt;=Validation[[#This Row],[Range1_High]]</f>
        <v>0</v>
      </c>
      <c r="Y49" s="111" t="s">
        <v>2845</v>
      </c>
    </row>
    <row r="50" spans="1:25" ht="15.75" thickBot="1" x14ac:dyDescent="0.3">
      <c r="A50" t="s">
        <v>68</v>
      </c>
      <c r="B50" t="s">
        <v>46</v>
      </c>
      <c r="C50">
        <v>0.01</v>
      </c>
      <c r="D50">
        <v>0.1</v>
      </c>
      <c r="E50">
        <v>0.01</v>
      </c>
      <c r="F50" t="s">
        <v>13</v>
      </c>
      <c r="G50" t="s">
        <v>11</v>
      </c>
      <c r="H50">
        <v>0</v>
      </c>
      <c r="I50">
        <v>0</v>
      </c>
      <c r="J50" t="s">
        <v>2833</v>
      </c>
      <c r="K50">
        <v>5773.6</v>
      </c>
      <c r="L50">
        <v>1.8689</v>
      </c>
      <c r="M50">
        <v>5773.6</v>
      </c>
      <c r="N50">
        <v>1.8560000000000001</v>
      </c>
      <c r="O50" t="s">
        <v>2833</v>
      </c>
      <c r="P50" t="s">
        <v>2833</v>
      </c>
      <c r="Q50" t="s">
        <v>2833</v>
      </c>
      <c r="R50">
        <f ca="1">RAND()*(Validation[[#This Row],[Range1_High]]-Validation[[#This Row],[Range1_Low]])+Validation[[#This Row],[Range1_Low]]</f>
        <v>2.590223665460939E-2</v>
      </c>
      <c r="S50">
        <f>Validation[[#This Row],[Range2_High]]</f>
        <v>0</v>
      </c>
      <c r="T50" t="str" cm="1">
        <f t="array" aca="1" ref="T50" ca="1">RoundToTwoSigFigs(Validation[[#This Row],[Test Reading]]*Validation[[#This Row],[Mult]]+Validation[[#This Row],[Base]]) &amp;" "&amp;Validation[[#This Row],[Uncert_Units]]</f>
        <v>5800 µA</v>
      </c>
      <c r="U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50" t="b">
        <f ca="1">Validation[[#This Row],[Desired Result]]=Validation[[#This Row],[Result]]</f>
        <v>1</v>
      </c>
      <c r="W50" t="b">
        <v>0</v>
      </c>
      <c r="X50" t="b">
        <f>Validation[[#This Row],[Range1_Low]]&gt;=Validation[[#This Row],[Range1_High]]</f>
        <v>0</v>
      </c>
      <c r="Y50" s="111" t="s">
        <v>2845</v>
      </c>
    </row>
    <row r="51" spans="1:25" ht="16.5" thickTop="1" thickBot="1" x14ac:dyDescent="0.3">
      <c r="A51" t="s">
        <v>54</v>
      </c>
      <c r="B51" t="s">
        <v>46</v>
      </c>
      <c r="C51" s="113">
        <v>3</v>
      </c>
      <c r="D51" s="113">
        <v>11.000999999999999</v>
      </c>
      <c r="E51">
        <v>1E-3</v>
      </c>
      <c r="F51" t="s">
        <v>13</v>
      </c>
      <c r="G51" t="s">
        <v>12</v>
      </c>
      <c r="H51">
        <v>0</v>
      </c>
      <c r="I51">
        <v>0</v>
      </c>
      <c r="J51" t="s">
        <v>2833</v>
      </c>
      <c r="K51">
        <v>5.5271000000000001E-2</v>
      </c>
      <c r="L51">
        <v>0.90973000000000004</v>
      </c>
      <c r="M51">
        <v>5.2344000000000002E-2</v>
      </c>
      <c r="N51">
        <v>0.90973999999999999</v>
      </c>
      <c r="O51" t="s">
        <v>2833</v>
      </c>
      <c r="P51" t="s">
        <v>2833</v>
      </c>
      <c r="Q51" t="s">
        <v>2833</v>
      </c>
      <c r="R51">
        <f ca="1">RAND()*(Validation[[#This Row],[Range1_High]]-Validation[[#This Row],[Range1_Low]])+Validation[[#This Row],[Range1_Low]]</f>
        <v>7.9164844263802472</v>
      </c>
      <c r="S51">
        <f>Validation[[#This Row],[Range2_High]]</f>
        <v>0</v>
      </c>
      <c r="T51" t="str" cm="1">
        <f t="array" aca="1" ref="T51" ca="1">RoundToTwoSigFigs(Validation[[#This Row],[Test Reading]]*Validation[[#This Row],[Mult]]+Validation[[#This Row],[Base]]) &amp;" "&amp;Validation[[#This Row],[Uncert_Units]]</f>
        <v>7.3 mA</v>
      </c>
      <c r="U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mA</v>
      </c>
      <c r="V51" t="b">
        <f ca="1">Validation[[#This Row],[Desired Result]]=Validation[[#This Row],[Result]]</f>
        <v>1</v>
      </c>
      <c r="W51" t="b">
        <v>1</v>
      </c>
      <c r="X51" t="b">
        <f>Validation[[#This Row],[Range1_Low]]&gt;=Validation[[#This Row],[Range1_High]]</f>
        <v>0</v>
      </c>
      <c r="Y51" s="111" t="s">
        <v>2843</v>
      </c>
    </row>
    <row r="52" spans="1:25" ht="15.75" thickTop="1" x14ac:dyDescent="0.25">
      <c r="A52" t="s">
        <v>55</v>
      </c>
      <c r="B52" t="s">
        <v>46</v>
      </c>
      <c r="C52">
        <v>0</v>
      </c>
      <c r="D52">
        <v>9.9999999999999995E-8</v>
      </c>
      <c r="E52">
        <v>0.1</v>
      </c>
      <c r="F52" t="s">
        <v>13</v>
      </c>
      <c r="G52" t="s">
        <v>70</v>
      </c>
      <c r="H52">
        <v>0</v>
      </c>
      <c r="I52">
        <v>0</v>
      </c>
      <c r="J52" t="s">
        <v>2833</v>
      </c>
      <c r="K52">
        <v>57736000</v>
      </c>
      <c r="L52">
        <v>0.75258000000000003</v>
      </c>
      <c r="M52">
        <v>57736000</v>
      </c>
      <c r="N52">
        <v>0</v>
      </c>
      <c r="O52" t="s">
        <v>2833</v>
      </c>
      <c r="P52" t="s">
        <v>2833</v>
      </c>
      <c r="Q52" t="s">
        <v>2833</v>
      </c>
      <c r="R52">
        <f ca="1">RAND()*(Validation[[#This Row],[Range1_High]]-Validation[[#This Row],[Range1_Low]])+Validation[[#This Row],[Range1_Low]]</f>
        <v>4.6935306739383604E-8</v>
      </c>
      <c r="S52">
        <f>Validation[[#This Row],[Range2_High]]</f>
        <v>0</v>
      </c>
      <c r="T52" t="str" cm="1">
        <f t="array" aca="1" ref="T52" ca="1">RoundToTwoSigFigs(Validation[[#This Row],[Test Reading]]*Validation[[#This Row],[Mult]]+Validation[[#This Row],[Base]]) &amp;" "&amp;Validation[[#This Row],[Uncert_Units]]</f>
        <v>58000000 nA</v>
      </c>
      <c r="U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V52" t="b">
        <f ca="1">Validation[[#This Row],[Desired Result]]=Validation[[#This Row],[Result]]</f>
        <v>1</v>
      </c>
      <c r="W52" t="b">
        <v>0</v>
      </c>
      <c r="X52" t="b">
        <f>Validation[[#This Row],[Range1_Low]]&gt;=Validation[[#This Row],[Range1_High]]</f>
        <v>0</v>
      </c>
      <c r="Y52" s="111" t="s">
        <v>2845</v>
      </c>
    </row>
    <row r="53" spans="1:25" x14ac:dyDescent="0.25">
      <c r="A53" t="s">
        <v>55</v>
      </c>
      <c r="B53" t="s">
        <v>46</v>
      </c>
      <c r="C53">
        <v>0</v>
      </c>
      <c r="D53">
        <v>9.9999999999999995E-8</v>
      </c>
      <c r="E53">
        <v>1.0000000000000001E-9</v>
      </c>
      <c r="F53" t="s">
        <v>13</v>
      </c>
      <c r="G53" t="s">
        <v>70</v>
      </c>
      <c r="H53">
        <v>0</v>
      </c>
      <c r="I53">
        <v>0</v>
      </c>
      <c r="J53" t="s">
        <v>2833</v>
      </c>
      <c r="K53">
        <v>0.57935000000000003</v>
      </c>
      <c r="L53">
        <v>3897.9</v>
      </c>
      <c r="M53">
        <v>0.57920000000000005</v>
      </c>
      <c r="N53">
        <v>2870.4</v>
      </c>
      <c r="O53" t="s">
        <v>2833</v>
      </c>
      <c r="P53" t="s">
        <v>2833</v>
      </c>
      <c r="Q53" t="s">
        <v>2833</v>
      </c>
      <c r="R53">
        <f ca="1">RAND()*(Validation[[#This Row],[Range1_High]]-Validation[[#This Row],[Range1_Low]])+Validation[[#This Row],[Range1_Low]]</f>
        <v>6.4389543533897578E-8</v>
      </c>
      <c r="S53">
        <f>Validation[[#This Row],[Range2_High]]</f>
        <v>0</v>
      </c>
      <c r="T53" t="str" cm="1">
        <f t="array" aca="1" ref="T53" ca="1">RoundToTwoSigFigs(Validation[[#This Row],[Test Reading]]*Validation[[#This Row],[Mult]]+Validation[[#This Row],[Base]]) &amp;" "&amp;Validation[[#This Row],[Uncert_Units]]</f>
        <v>0.58 nA</v>
      </c>
      <c r="U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V53" t="b">
        <f ca="1">Validation[[#This Row],[Desired Result]]=Validation[[#This Row],[Result]]</f>
        <v>1</v>
      </c>
      <c r="W53" t="b">
        <v>0</v>
      </c>
      <c r="X53" t="b">
        <f>Validation[[#This Row],[Range1_Low]]&gt;=Validation[[#This Row],[Range1_High]]</f>
        <v>0</v>
      </c>
      <c r="Y53" s="111" t="s">
        <v>2845</v>
      </c>
    </row>
    <row r="54" spans="1:25" ht="15.75" thickBot="1" x14ac:dyDescent="0.3">
      <c r="A54" t="s">
        <v>54</v>
      </c>
      <c r="B54" t="s">
        <v>46</v>
      </c>
      <c r="C54">
        <v>0</v>
      </c>
      <c r="D54">
        <v>3.3000999999999999E-4</v>
      </c>
      <c r="E54">
        <v>1E-4</v>
      </c>
      <c r="F54" t="s">
        <v>13</v>
      </c>
      <c r="G54" t="s">
        <v>11</v>
      </c>
      <c r="H54">
        <v>0</v>
      </c>
      <c r="I54">
        <v>0</v>
      </c>
      <c r="J54" t="s">
        <v>2833</v>
      </c>
      <c r="K54">
        <v>58</v>
      </c>
      <c r="L54">
        <v>0.18851999999999999</v>
      </c>
      <c r="M54">
        <v>58</v>
      </c>
      <c r="N54">
        <v>0.15719</v>
      </c>
      <c r="O54" t="s">
        <v>2833</v>
      </c>
      <c r="P54" t="s">
        <v>2833</v>
      </c>
      <c r="Q54" t="s">
        <v>2833</v>
      </c>
      <c r="R54">
        <f ca="1">RAND()*(Validation[[#This Row],[Range1_High]]-Validation[[#This Row],[Range1_Low]])+Validation[[#This Row],[Range1_Low]]</f>
        <v>1.6399448806683477E-4</v>
      </c>
      <c r="S54">
        <f>Validation[[#This Row],[Range2_High]]</f>
        <v>0</v>
      </c>
      <c r="T54" t="str" cm="1">
        <f t="array" aca="1" ref="T54" ca="1">RoundToTwoSigFigs(Validation[[#This Row],[Test Reading]]*Validation[[#This Row],[Mult]]+Validation[[#This Row],[Base]]) &amp;" "&amp;Validation[[#This Row],[Uncert_Units]]</f>
        <v>58 µA</v>
      </c>
      <c r="U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54" t="b">
        <f ca="1">Validation[[#This Row],[Desired Result]]=Validation[[#This Row],[Result]]</f>
        <v>1</v>
      </c>
      <c r="W54" t="b">
        <v>0</v>
      </c>
      <c r="X54" t="b">
        <f>Validation[[#This Row],[Range1_Low]]&gt;=Validation[[#This Row],[Range1_High]]</f>
        <v>0</v>
      </c>
      <c r="Y54" s="111" t="s">
        <v>2845</v>
      </c>
    </row>
    <row r="55" spans="1:25" ht="16.5" thickTop="1" thickBot="1" x14ac:dyDescent="0.3">
      <c r="A55" t="s">
        <v>55</v>
      </c>
      <c r="B55" t="s">
        <v>46</v>
      </c>
      <c r="C55" s="113">
        <v>0.1</v>
      </c>
      <c r="D55" s="113">
        <v>1</v>
      </c>
      <c r="E55">
        <v>9.9999999999999995E-8</v>
      </c>
      <c r="F55" t="s">
        <v>13</v>
      </c>
      <c r="G55" t="s">
        <v>11</v>
      </c>
      <c r="H55">
        <v>0</v>
      </c>
      <c r="I55">
        <v>0</v>
      </c>
      <c r="J55" t="s">
        <v>2833</v>
      </c>
      <c r="K55">
        <v>12</v>
      </c>
      <c r="L55">
        <v>130</v>
      </c>
      <c r="M55">
        <v>11.536</v>
      </c>
      <c r="N55">
        <v>127.22</v>
      </c>
      <c r="O55" t="s">
        <v>2833</v>
      </c>
      <c r="P55" t="s">
        <v>2833</v>
      </c>
      <c r="Q55" t="s">
        <v>2833</v>
      </c>
      <c r="R55">
        <f ca="1">RAND()*(Validation[[#This Row],[Range1_High]]-Validation[[#This Row],[Range1_Low]])+Validation[[#This Row],[Range1_Low]]</f>
        <v>0.5768817071289033</v>
      </c>
      <c r="S55">
        <f>Validation[[#This Row],[Range2_High]]</f>
        <v>0</v>
      </c>
      <c r="T55" t="str" cm="1">
        <f t="array" aca="1" ref="T55" ca="1">RoundToTwoSigFigs(Validation[[#This Row],[Test Reading]]*Validation[[#This Row],[Mult]]+Validation[[#This Row],[Base]]) &amp;" "&amp;Validation[[#This Row],[Uncert_Units]]</f>
        <v>87 µA</v>
      </c>
      <c r="U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µA</v>
      </c>
      <c r="V55" t="b">
        <f ca="1">Validation[[#This Row],[Desired Result]]=Validation[[#This Row],[Result]]</f>
        <v>1</v>
      </c>
      <c r="W55" t="b">
        <v>1</v>
      </c>
      <c r="X55" t="b">
        <f>Validation[[#This Row],[Range1_Low]]&gt;=Validation[[#This Row],[Range1_High]]</f>
        <v>0</v>
      </c>
      <c r="Y55" s="111" t="s">
        <v>2843</v>
      </c>
    </row>
    <row r="56" spans="1:25" ht="16.5" thickTop="1" thickBot="1" x14ac:dyDescent="0.3">
      <c r="A56" t="s">
        <v>54</v>
      </c>
      <c r="B56" t="s">
        <v>46</v>
      </c>
      <c r="C56">
        <v>0</v>
      </c>
      <c r="D56">
        <v>3.3000999999999999E-4</v>
      </c>
      <c r="E56">
        <v>1E-8</v>
      </c>
      <c r="F56" t="s">
        <v>13</v>
      </c>
      <c r="G56" t="s">
        <v>11</v>
      </c>
      <c r="H56">
        <v>0</v>
      </c>
      <c r="I56">
        <v>0</v>
      </c>
      <c r="J56" t="s">
        <v>2833</v>
      </c>
      <c r="K56">
        <v>2.4E-2</v>
      </c>
      <c r="L56">
        <v>173.53</v>
      </c>
      <c r="M56">
        <v>2.3813999999999998E-2</v>
      </c>
      <c r="N56">
        <v>173.54</v>
      </c>
      <c r="O56" t="s">
        <v>2833</v>
      </c>
      <c r="P56" t="s">
        <v>2833</v>
      </c>
      <c r="Q56" t="s">
        <v>2833</v>
      </c>
      <c r="R56">
        <f ca="1">RAND()*(Validation[[#This Row],[Range1_High]]-Validation[[#This Row],[Range1_Low]])+Validation[[#This Row],[Range1_Low]]</f>
        <v>1.1977934641412728E-4</v>
      </c>
      <c r="S56">
        <f>Validation[[#This Row],[Range2_High]]</f>
        <v>0</v>
      </c>
      <c r="T56" t="str" cm="1">
        <f t="array" aca="1" ref="T56" ca="1">RoundToTwoSigFigs(Validation[[#This Row],[Test Reading]]*Validation[[#This Row],[Mult]]+Validation[[#This Row],[Base]]) &amp;" "&amp;Validation[[#This Row],[Uncert_Units]]</f>
        <v>0.045 µA</v>
      </c>
      <c r="U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µA</v>
      </c>
      <c r="V56" t="b">
        <f ca="1">Validation[[#This Row],[Desired Result]]=Validation[[#This Row],[Result]]</f>
        <v>1</v>
      </c>
      <c r="W56" t="b">
        <v>0</v>
      </c>
      <c r="X56" t="b">
        <f>Validation[[#This Row],[Range1_Low]]&gt;=Validation[[#This Row],[Range1_High]]</f>
        <v>0</v>
      </c>
      <c r="Y56" s="111" t="s">
        <v>2845</v>
      </c>
    </row>
    <row r="57" spans="1:25" ht="16.5" thickTop="1" thickBot="1" x14ac:dyDescent="0.3">
      <c r="A57" t="s">
        <v>55</v>
      </c>
      <c r="B57" t="s">
        <v>46</v>
      </c>
      <c r="C57" s="113">
        <v>1E-3</v>
      </c>
      <c r="D57" s="113">
        <v>0.01</v>
      </c>
      <c r="E57">
        <v>1.0000000000000001E-9</v>
      </c>
      <c r="F57" t="s">
        <v>13</v>
      </c>
      <c r="G57" t="s">
        <v>11</v>
      </c>
      <c r="H57">
        <v>0</v>
      </c>
      <c r="I57">
        <v>0</v>
      </c>
      <c r="J57" t="s">
        <v>2833</v>
      </c>
      <c r="K57">
        <v>6.4000000000000001E-2</v>
      </c>
      <c r="L57">
        <v>23</v>
      </c>
      <c r="M57">
        <v>5.7395000000000002E-2</v>
      </c>
      <c r="N57">
        <v>23.593</v>
      </c>
      <c r="O57" t="s">
        <v>2833</v>
      </c>
      <c r="P57" t="s">
        <v>2833</v>
      </c>
      <c r="Q57" t="s">
        <v>2833</v>
      </c>
      <c r="R57">
        <f ca="1">RAND()*(Validation[[#This Row],[Range1_High]]-Validation[[#This Row],[Range1_Low]])+Validation[[#This Row],[Range1_Low]]</f>
        <v>2.9193363632050813E-3</v>
      </c>
      <c r="S57">
        <f>Validation[[#This Row],[Range2_High]]</f>
        <v>0</v>
      </c>
      <c r="T57" t="str" cm="1">
        <f t="array" aca="1" ref="T57" ca="1">RoundToTwoSigFigs(Validation[[#This Row],[Test Reading]]*Validation[[#This Row],[Mult]]+Validation[[#This Row],[Base]]) &amp;" "&amp;Validation[[#This Row],[Uncert_Units]]</f>
        <v>0.13 µA</v>
      </c>
      <c r="U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µA</v>
      </c>
      <c r="V57" t="b">
        <f ca="1">Validation[[#This Row],[Desired Result]]=Validation[[#This Row],[Result]]</f>
        <v>1</v>
      </c>
      <c r="W57" t="b">
        <v>1</v>
      </c>
      <c r="X57" t="b">
        <f>Validation[[#This Row],[Range1_Low]]&gt;=Validation[[#This Row],[Range1_High]]</f>
        <v>0</v>
      </c>
      <c r="Y57" s="111" t="s">
        <v>2843</v>
      </c>
    </row>
    <row r="58" spans="1:25" ht="16.5" thickTop="1" thickBot="1" x14ac:dyDescent="0.3">
      <c r="A58" t="s">
        <v>68</v>
      </c>
      <c r="B58" t="s">
        <v>46</v>
      </c>
      <c r="C58" s="113">
        <v>0.1</v>
      </c>
      <c r="D58" s="113">
        <v>1</v>
      </c>
      <c r="E58">
        <v>1.0000000000000001E-5</v>
      </c>
      <c r="F58" t="s">
        <v>13</v>
      </c>
      <c r="G58" t="s">
        <v>11</v>
      </c>
      <c r="H58">
        <v>0</v>
      </c>
      <c r="I58">
        <v>0</v>
      </c>
      <c r="J58" t="s">
        <v>2833</v>
      </c>
      <c r="K58">
        <v>180</v>
      </c>
      <c r="L58">
        <v>370</v>
      </c>
      <c r="M58">
        <v>172.98</v>
      </c>
      <c r="N58">
        <v>365.23</v>
      </c>
      <c r="O58" t="s">
        <v>2833</v>
      </c>
      <c r="P58" t="s">
        <v>2833</v>
      </c>
      <c r="Q58" t="s">
        <v>2833</v>
      </c>
      <c r="R58">
        <f ca="1">RAND()*(Validation[[#This Row],[Range1_High]]-Validation[[#This Row],[Range1_Low]])+Validation[[#This Row],[Range1_Low]]</f>
        <v>0.63276380990858971</v>
      </c>
      <c r="S58">
        <f>Validation[[#This Row],[Range2_High]]</f>
        <v>0</v>
      </c>
      <c r="T58" t="str" cm="1">
        <f t="array" aca="1" ref="T58" ca="1">RoundToTwoSigFigs(Validation[[#This Row],[Test Reading]]*Validation[[#This Row],[Mult]]+Validation[[#This Row],[Base]]) &amp;" "&amp;Validation[[#This Row],[Uncert_Units]]</f>
        <v>410 µA</v>
      </c>
      <c r="U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µA</v>
      </c>
      <c r="V58" t="b">
        <f ca="1">Validation[[#This Row],[Desired Result]]=Validation[[#This Row],[Result]]</f>
        <v>1</v>
      </c>
      <c r="W58" t="b">
        <v>1</v>
      </c>
      <c r="X58" t="b">
        <f>Validation[[#This Row],[Range1_Low]]&gt;=Validation[[#This Row],[Range1_High]]</f>
        <v>0</v>
      </c>
      <c r="Y58" s="111" t="s">
        <v>2843</v>
      </c>
    </row>
    <row r="59" spans="1:25" ht="16.5" thickTop="1" thickBot="1" x14ac:dyDescent="0.3">
      <c r="A59" t="s">
        <v>54</v>
      </c>
      <c r="B59" t="s">
        <v>46</v>
      </c>
      <c r="C59">
        <v>0</v>
      </c>
      <c r="D59">
        <v>3.3000999999999999E-4</v>
      </c>
      <c r="E59">
        <v>1.0000000000000001E-9</v>
      </c>
      <c r="F59" t="s">
        <v>13</v>
      </c>
      <c r="G59" t="s">
        <v>11</v>
      </c>
      <c r="H59">
        <v>0</v>
      </c>
      <c r="I59">
        <v>0</v>
      </c>
      <c r="J59" t="s">
        <v>2833</v>
      </c>
      <c r="K59">
        <v>2.4E-2</v>
      </c>
      <c r="L59">
        <v>180</v>
      </c>
      <c r="M59">
        <v>2.3106999999999999E-2</v>
      </c>
      <c r="N59">
        <v>175.06</v>
      </c>
      <c r="O59" t="s">
        <v>2833</v>
      </c>
      <c r="P59" t="s">
        <v>2833</v>
      </c>
      <c r="Q59" t="s">
        <v>2833</v>
      </c>
      <c r="R59">
        <f ca="1">RAND()*(Validation[[#This Row],[Range1_High]]-Validation[[#This Row],[Range1_Low]])+Validation[[#This Row],[Range1_Low]]</f>
        <v>2.5884286643400209E-4</v>
      </c>
      <c r="S59">
        <f>Validation[[#This Row],[Range2_High]]</f>
        <v>0</v>
      </c>
      <c r="T59" t="str" cm="1">
        <f t="array" aca="1" ref="T59" ca="1">RoundToTwoSigFigs(Validation[[#This Row],[Test Reading]]*Validation[[#This Row],[Mult]]+Validation[[#This Row],[Base]]) &amp;" "&amp;Validation[[#This Row],[Uncert_Units]]</f>
        <v>0.071 µA</v>
      </c>
      <c r="U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0.071 µA</v>
      </c>
      <c r="V59" t="b">
        <f ca="1">Validation[[#This Row],[Desired Result]]=Validation[[#This Row],[Result]]</f>
        <v>1</v>
      </c>
      <c r="W59" t="b">
        <v>0</v>
      </c>
      <c r="X59" t="b">
        <f>Validation[[#This Row],[Range1_Low]]&gt;=Validation[[#This Row],[Range1_High]]</f>
        <v>0</v>
      </c>
      <c r="Y59" s="111" t="s">
        <v>2845</v>
      </c>
    </row>
    <row r="60" spans="1:25" ht="16.5" thickTop="1" thickBot="1" x14ac:dyDescent="0.3">
      <c r="A60" t="s">
        <v>55</v>
      </c>
      <c r="B60" t="s">
        <v>46</v>
      </c>
      <c r="C60" s="113">
        <v>0.1</v>
      </c>
      <c r="D60" s="113">
        <v>1</v>
      </c>
      <c r="E60">
        <v>1.0000000000000001E-5</v>
      </c>
      <c r="F60" t="s">
        <v>13</v>
      </c>
      <c r="G60" t="s">
        <v>11</v>
      </c>
      <c r="H60">
        <v>0</v>
      </c>
      <c r="I60">
        <v>0</v>
      </c>
      <c r="J60" t="s">
        <v>2833</v>
      </c>
      <c r="K60">
        <v>12</v>
      </c>
      <c r="L60">
        <v>130</v>
      </c>
      <c r="M60">
        <v>12.276999999999999</v>
      </c>
      <c r="N60">
        <v>126.6</v>
      </c>
      <c r="O60" t="s">
        <v>2833</v>
      </c>
      <c r="P60" t="s">
        <v>2833</v>
      </c>
      <c r="Q60" t="s">
        <v>2833</v>
      </c>
      <c r="R60">
        <f ca="1">RAND()*(Validation[[#This Row],[Range1_High]]-Validation[[#This Row],[Range1_Low]])+Validation[[#This Row],[Range1_Low]]</f>
        <v>0.86678931465234799</v>
      </c>
      <c r="S60">
        <f>Validation[[#This Row],[Range2_High]]</f>
        <v>0</v>
      </c>
      <c r="T60" t="str" cm="1">
        <f t="array" aca="1" ref="T60" ca="1">RoundToTwoSigFigs(Validation[[#This Row],[Test Reading]]*Validation[[#This Row],[Mult]]+Validation[[#This Row],[Base]]) &amp;" "&amp;Validation[[#This Row],[Uncert_Units]]</f>
        <v>120 µA</v>
      </c>
      <c r="U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V60" t="b">
        <f ca="1">Validation[[#This Row],[Desired Result]]=Validation[[#This Row],[Result]]</f>
        <v>1</v>
      </c>
      <c r="W60" t="b">
        <v>1</v>
      </c>
      <c r="X60" t="b">
        <f>Validation[[#This Row],[Range1_Low]]&gt;=Validation[[#This Row],[Range1_High]]</f>
        <v>0</v>
      </c>
      <c r="Y60" s="111" t="s">
        <v>2843</v>
      </c>
    </row>
    <row r="61" spans="1:25" ht="16.5" thickTop="1" thickBot="1" x14ac:dyDescent="0.3">
      <c r="A61" t="s">
        <v>54</v>
      </c>
      <c r="B61" t="s">
        <v>46</v>
      </c>
      <c r="C61" s="113">
        <v>11</v>
      </c>
      <c r="D61" s="113">
        <v>20.5</v>
      </c>
      <c r="E61">
        <v>0.01</v>
      </c>
      <c r="F61" t="s">
        <v>13</v>
      </c>
      <c r="G61" t="s">
        <v>12</v>
      </c>
      <c r="H61">
        <v>0</v>
      </c>
      <c r="I61">
        <v>0</v>
      </c>
      <c r="J61" t="s">
        <v>2833</v>
      </c>
      <c r="K61">
        <v>4.2515999999999998</v>
      </c>
      <c r="L61">
        <v>1.0555000000000001</v>
      </c>
      <c r="M61">
        <v>4.2550999999999997</v>
      </c>
      <c r="N61">
        <v>1.0545</v>
      </c>
      <c r="O61" t="s">
        <v>2833</v>
      </c>
      <c r="P61" t="s">
        <v>2833</v>
      </c>
      <c r="Q61" t="s">
        <v>2833</v>
      </c>
      <c r="R61">
        <f ca="1">RAND()*(Validation[[#This Row],[Range1_High]]-Validation[[#This Row],[Range1_Low]])+Validation[[#This Row],[Range1_Low]]</f>
        <v>16.983061916420315</v>
      </c>
      <c r="S61">
        <f>Validation[[#This Row],[Range2_High]]</f>
        <v>0</v>
      </c>
      <c r="T61" t="str" cm="1">
        <f t="array" aca="1" ref="T61" ca="1">RoundToTwoSigFigs(Validation[[#This Row],[Test Reading]]*Validation[[#This Row],[Mult]]+Validation[[#This Row],[Base]]) &amp;" "&amp;Validation[[#This Row],[Uncert_Units]]</f>
        <v>22 mA</v>
      </c>
      <c r="U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V61" t="b">
        <f ca="1">Validation[[#This Row],[Desired Result]]=Validation[[#This Row],[Result]]</f>
        <v>1</v>
      </c>
      <c r="W61" t="b">
        <v>1</v>
      </c>
      <c r="X61" t="b">
        <f>Validation[[#This Row],[Range1_Low]]&gt;=Validation[[#This Row],[Range1_High]]</f>
        <v>0</v>
      </c>
      <c r="Y61" s="111" t="s">
        <v>2843</v>
      </c>
    </row>
    <row r="62" spans="1:25" ht="16.5" thickTop="1" thickBot="1" x14ac:dyDescent="0.3">
      <c r="A62" t="s">
        <v>55</v>
      </c>
      <c r="B62" t="s">
        <v>46</v>
      </c>
      <c r="C62" s="113">
        <v>0.01</v>
      </c>
      <c r="D62" s="113">
        <v>0.1</v>
      </c>
      <c r="E62">
        <v>9.9999999999999995E-7</v>
      </c>
      <c r="F62" t="s">
        <v>13</v>
      </c>
      <c r="G62" t="s">
        <v>11</v>
      </c>
      <c r="H62">
        <v>0</v>
      </c>
      <c r="I62">
        <v>0</v>
      </c>
      <c r="J62" t="s">
        <v>2833</v>
      </c>
      <c r="K62">
        <v>0.75326000000000004</v>
      </c>
      <c r="L62">
        <v>39.473999999999997</v>
      </c>
      <c r="M62">
        <v>0.74494000000000005</v>
      </c>
      <c r="N62">
        <v>39.51</v>
      </c>
      <c r="O62" t="s">
        <v>2833</v>
      </c>
      <c r="P62" t="s">
        <v>2833</v>
      </c>
      <c r="Q62" t="s">
        <v>2833</v>
      </c>
      <c r="R62">
        <f ca="1">RAND()*(Validation[[#This Row],[Range1_High]]-Validation[[#This Row],[Range1_Low]])+Validation[[#This Row],[Range1_Low]]</f>
        <v>7.7386322831083099E-2</v>
      </c>
      <c r="S62">
        <f>Validation[[#This Row],[Range2_High]]</f>
        <v>0</v>
      </c>
      <c r="T62" t="str" cm="1">
        <f t="array" aca="1" ref="T62" ca="1">RoundToTwoSigFigs(Validation[[#This Row],[Test Reading]]*Validation[[#This Row],[Mult]]+Validation[[#This Row],[Base]]) &amp;" "&amp;Validation[[#This Row],[Uncert_Units]]</f>
        <v>3.8 µA</v>
      </c>
      <c r="U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V62" t="b">
        <f ca="1">Validation[[#This Row],[Desired Result]]=Validation[[#This Row],[Result]]</f>
        <v>1</v>
      </c>
      <c r="W62" t="b">
        <v>1</v>
      </c>
      <c r="X62" t="b">
        <f>Validation[[#This Row],[Range1_Low]]&gt;=Validation[[#This Row],[Range1_High]]</f>
        <v>0</v>
      </c>
      <c r="Y62" s="111" t="s">
        <v>2843</v>
      </c>
    </row>
    <row r="63" spans="1:25" ht="16.5" thickTop="1" thickBot="1" x14ac:dyDescent="0.3">
      <c r="A63" t="s">
        <v>55</v>
      </c>
      <c r="B63" t="s">
        <v>46</v>
      </c>
      <c r="C63" s="113">
        <v>9.9999999999999995E-8</v>
      </c>
      <c r="D63" s="113">
        <v>9.9999999999999995E-7</v>
      </c>
      <c r="E63">
        <v>1E-10</v>
      </c>
      <c r="F63" t="s">
        <v>13</v>
      </c>
      <c r="G63" t="s">
        <v>70</v>
      </c>
      <c r="H63">
        <v>0</v>
      </c>
      <c r="I63">
        <v>0</v>
      </c>
      <c r="J63" t="s">
        <v>2833</v>
      </c>
      <c r="K63">
        <v>7.4091000000000004E-2</v>
      </c>
      <c r="L63">
        <v>17690</v>
      </c>
      <c r="M63">
        <v>7.3660000000000003E-2</v>
      </c>
      <c r="N63">
        <v>17772</v>
      </c>
      <c r="O63" t="s">
        <v>2833</v>
      </c>
      <c r="P63" t="s">
        <v>2833</v>
      </c>
      <c r="Q63" t="s">
        <v>2833</v>
      </c>
      <c r="R63">
        <f ca="1">RAND()*(Validation[[#This Row],[Range1_High]]-Validation[[#This Row],[Range1_Low]])+Validation[[#This Row],[Range1_Low]]</f>
        <v>4.0222890703362665E-7</v>
      </c>
      <c r="S63">
        <f>Validation[[#This Row],[Range2_High]]</f>
        <v>0</v>
      </c>
      <c r="T63" t="str" cm="1">
        <f t="array" aca="1" ref="T63" ca="1">RoundToTwoSigFigs(Validation[[#This Row],[Test Reading]]*Validation[[#This Row],[Mult]]+Validation[[#This Row],[Base]]) &amp;" "&amp;Validation[[#This Row],[Uncert_Units]]</f>
        <v>0.081 nA</v>
      </c>
      <c r="U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nA</v>
      </c>
      <c r="V63" t="b">
        <f ca="1">Validation[[#This Row],[Desired Result]]=Validation[[#This Row],[Result]]</f>
        <v>1</v>
      </c>
      <c r="W63" t="b">
        <v>1</v>
      </c>
      <c r="X63" t="b">
        <f>Validation[[#This Row],[Range1_Low]]&gt;=Validation[[#This Row],[Range1_High]]</f>
        <v>0</v>
      </c>
      <c r="Y63" s="111" t="s">
        <v>2843</v>
      </c>
    </row>
    <row r="64" spans="1:25" ht="15.75" thickTop="1" x14ac:dyDescent="0.25">
      <c r="A64" t="s">
        <v>55</v>
      </c>
      <c r="B64" t="s">
        <v>46</v>
      </c>
      <c r="C64">
        <v>0.01</v>
      </c>
      <c r="D64">
        <v>0.1</v>
      </c>
      <c r="E64">
        <v>1E-4</v>
      </c>
      <c r="F64" t="s">
        <v>13</v>
      </c>
      <c r="G64" t="s">
        <v>11</v>
      </c>
      <c r="H64">
        <v>0</v>
      </c>
      <c r="I64">
        <v>0</v>
      </c>
      <c r="J64" t="s">
        <v>2833</v>
      </c>
      <c r="K64">
        <v>57.725999999999999</v>
      </c>
      <c r="L64">
        <v>2.0333999999999999</v>
      </c>
      <c r="M64">
        <v>57.723999999999997</v>
      </c>
      <c r="N64">
        <v>1.9935</v>
      </c>
      <c r="O64" t="s">
        <v>2833</v>
      </c>
      <c r="P64" t="s">
        <v>2833</v>
      </c>
      <c r="Q64" t="s">
        <v>2833</v>
      </c>
      <c r="R64">
        <f ca="1">RAND()*(Validation[[#This Row],[Range1_High]]-Validation[[#This Row],[Range1_Low]])+Validation[[#This Row],[Range1_Low]]</f>
        <v>2.3129817798162859E-2</v>
      </c>
      <c r="S64">
        <f>Validation[[#This Row],[Range2_High]]</f>
        <v>0</v>
      </c>
      <c r="T64" t="str" cm="1">
        <f t="array" aca="1" ref="T64" ca="1">RoundToTwoSigFigs(Validation[[#This Row],[Test Reading]]*Validation[[#This Row],[Mult]]+Validation[[#This Row],[Base]]) &amp;" "&amp;Validation[[#This Row],[Uncert_Units]]</f>
        <v>58 µA</v>
      </c>
      <c r="U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64" t="b">
        <f ca="1">Validation[[#This Row],[Desired Result]]=Validation[[#This Row],[Result]]</f>
        <v>1</v>
      </c>
      <c r="W64" t="b">
        <v>0</v>
      </c>
      <c r="X64" t="b">
        <f>Validation[[#This Row],[Range1_Low]]&gt;=Validation[[#This Row],[Range1_High]]</f>
        <v>0</v>
      </c>
      <c r="Y64" s="111" t="s">
        <v>2845</v>
      </c>
    </row>
    <row r="65" spans="1:25" ht="15.75" thickBot="1" x14ac:dyDescent="0.3">
      <c r="A65" t="s">
        <v>55</v>
      </c>
      <c r="B65" t="s">
        <v>46</v>
      </c>
      <c r="C65">
        <v>0</v>
      </c>
      <c r="D65">
        <v>9.9999999999999995E-8</v>
      </c>
      <c r="E65">
        <v>9.9999999999999995E-7</v>
      </c>
      <c r="F65" t="s">
        <v>13</v>
      </c>
      <c r="G65" t="s">
        <v>70</v>
      </c>
      <c r="H65">
        <v>0</v>
      </c>
      <c r="I65">
        <v>0</v>
      </c>
      <c r="J65" t="s">
        <v>2833</v>
      </c>
      <c r="K65">
        <v>577.36</v>
      </c>
      <c r="L65">
        <v>68.944999999999993</v>
      </c>
      <c r="M65">
        <v>577.36</v>
      </c>
      <c r="N65">
        <v>2.8803000000000001</v>
      </c>
      <c r="O65" t="s">
        <v>2833</v>
      </c>
      <c r="P65" t="s">
        <v>2833</v>
      </c>
      <c r="Q65" t="s">
        <v>2833</v>
      </c>
      <c r="R65">
        <f ca="1">RAND()*(Validation[[#This Row],[Range1_High]]-Validation[[#This Row],[Range1_Low]])+Validation[[#This Row],[Range1_Low]]</f>
        <v>8.3305706377513992E-8</v>
      </c>
      <c r="S65">
        <f>Validation[[#This Row],[Range2_High]]</f>
        <v>0</v>
      </c>
      <c r="T65" t="str" cm="1">
        <f t="array" aca="1" ref="T65" ca="1">RoundToTwoSigFigs(Validation[[#This Row],[Test Reading]]*Validation[[#This Row],[Mult]]+Validation[[#This Row],[Base]]) &amp;" "&amp;Validation[[#This Row],[Uncert_Units]]</f>
        <v>580 nA</v>
      </c>
      <c r="U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V65" t="b">
        <f ca="1">Validation[[#This Row],[Desired Result]]=Validation[[#This Row],[Result]]</f>
        <v>1</v>
      </c>
      <c r="W65" t="b">
        <v>0</v>
      </c>
      <c r="X65" t="b">
        <f>Validation[[#This Row],[Range1_Low]]&gt;=Validation[[#This Row],[Range1_High]]</f>
        <v>0</v>
      </c>
      <c r="Y65" s="111" t="s">
        <v>2845</v>
      </c>
    </row>
    <row r="66" spans="1:25" ht="16.5" thickTop="1" thickBot="1" x14ac:dyDescent="0.3">
      <c r="A66" t="s">
        <v>55</v>
      </c>
      <c r="B66" t="s">
        <v>46</v>
      </c>
      <c r="C66" s="113">
        <v>1.0000000000000001E-5</v>
      </c>
      <c r="D66" s="113">
        <v>1E-4</v>
      </c>
      <c r="E66">
        <v>1E-10</v>
      </c>
      <c r="F66" t="s">
        <v>13</v>
      </c>
      <c r="G66" t="s">
        <v>70</v>
      </c>
      <c r="H66">
        <v>0</v>
      </c>
      <c r="I66">
        <v>0</v>
      </c>
      <c r="J66" t="s">
        <v>2833</v>
      </c>
      <c r="K66">
        <v>0.16</v>
      </c>
      <c r="L66">
        <v>23403</v>
      </c>
      <c r="M66">
        <v>0.11928</v>
      </c>
      <c r="N66">
        <v>23403</v>
      </c>
      <c r="O66" t="s">
        <v>2833</v>
      </c>
      <c r="P66" t="s">
        <v>2833</v>
      </c>
      <c r="Q66" t="s">
        <v>2833</v>
      </c>
      <c r="R66">
        <f ca="1">RAND()*(Validation[[#This Row],[Range1_High]]-Validation[[#This Row],[Range1_Low]])+Validation[[#This Row],[Range1_Low]]</f>
        <v>3.7111442669658915E-5</v>
      </c>
      <c r="S66">
        <f>Validation[[#This Row],[Range2_High]]</f>
        <v>0</v>
      </c>
      <c r="T66" t="str" cm="1">
        <f t="array" aca="1" ref="T66" ca="1">RoundToTwoSigFigs(Validation[[#This Row],[Test Reading]]*Validation[[#This Row],[Mult]]+Validation[[#This Row],[Base]]) &amp;" "&amp;Validation[[#This Row],[Uncert_Units]]</f>
        <v>1 nA</v>
      </c>
      <c r="U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nA</v>
      </c>
      <c r="V66" t="b">
        <f ca="1">Validation[[#This Row],[Desired Result]]=Validation[[#This Row],[Result]]</f>
        <v>1</v>
      </c>
      <c r="W66" t="b">
        <v>1</v>
      </c>
      <c r="X66" t="b">
        <f>Validation[[#This Row],[Range1_Low]]&gt;=Validation[[#This Row],[Range1_High]]</f>
        <v>0</v>
      </c>
      <c r="Y66" s="111" t="s">
        <v>2843</v>
      </c>
    </row>
    <row r="67" spans="1:25" ht="16.5" thickTop="1" thickBot="1" x14ac:dyDescent="0.3">
      <c r="A67" t="s">
        <v>54</v>
      </c>
      <c r="B67" t="s">
        <v>46</v>
      </c>
      <c r="C67" s="113">
        <v>3.3000000000000002E-2</v>
      </c>
      <c r="D67" s="113">
        <v>0.33001000000000003</v>
      </c>
      <c r="E67">
        <v>9.9999999999999995E-7</v>
      </c>
      <c r="F67" t="s">
        <v>13</v>
      </c>
      <c r="G67" t="s">
        <v>11</v>
      </c>
      <c r="H67">
        <v>0</v>
      </c>
      <c r="I67">
        <v>0</v>
      </c>
      <c r="J67" t="s">
        <v>2833</v>
      </c>
      <c r="K67">
        <v>3</v>
      </c>
      <c r="L67">
        <v>120</v>
      </c>
      <c r="M67">
        <v>2.9413999999999998</v>
      </c>
      <c r="N67">
        <v>115.33</v>
      </c>
      <c r="O67" t="s">
        <v>2833</v>
      </c>
      <c r="P67" t="s">
        <v>2833</v>
      </c>
      <c r="Q67" t="s">
        <v>2833</v>
      </c>
      <c r="R67">
        <f ca="1">RAND()*(Validation[[#This Row],[Range1_High]]-Validation[[#This Row],[Range1_Low]])+Validation[[#This Row],[Range1_Low]]</f>
        <v>0.10415007560557621</v>
      </c>
      <c r="S67">
        <f>Validation[[#This Row],[Range2_High]]</f>
        <v>0</v>
      </c>
      <c r="T67" t="str" cm="1">
        <f t="array" aca="1" ref="T67" ca="1">RoundToTwoSigFigs(Validation[[#This Row],[Test Reading]]*Validation[[#This Row],[Mult]]+Validation[[#This Row],[Base]]) &amp;" "&amp;Validation[[#This Row],[Uncert_Units]]</f>
        <v>15 µA</v>
      </c>
      <c r="U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V67" t="b">
        <f ca="1">Validation[[#This Row],[Desired Result]]=Validation[[#This Row],[Result]]</f>
        <v>1</v>
      </c>
      <c r="W67" t="b">
        <v>1</v>
      </c>
      <c r="X67" t="b">
        <f>Validation[[#This Row],[Range1_Low]]&gt;=Validation[[#This Row],[Range1_High]]</f>
        <v>0</v>
      </c>
      <c r="Y67" s="111" t="s">
        <v>2843</v>
      </c>
    </row>
    <row r="68" spans="1:25" ht="16.5" thickTop="1" thickBot="1" x14ac:dyDescent="0.3">
      <c r="A68" t="s">
        <v>55</v>
      </c>
      <c r="B68" t="s">
        <v>46</v>
      </c>
      <c r="C68">
        <v>0</v>
      </c>
      <c r="D68">
        <v>9.9999999999999995E-8</v>
      </c>
      <c r="E68">
        <v>1E-4</v>
      </c>
      <c r="F68" t="s">
        <v>13</v>
      </c>
      <c r="G68" t="s">
        <v>70</v>
      </c>
      <c r="H68">
        <v>0</v>
      </c>
      <c r="I68">
        <v>0</v>
      </c>
      <c r="J68" t="s">
        <v>2833</v>
      </c>
      <c r="K68">
        <v>57736</v>
      </c>
      <c r="L68">
        <v>10.599</v>
      </c>
      <c r="M68">
        <v>57736</v>
      </c>
      <c r="N68">
        <v>2.8736000000000001E-2</v>
      </c>
      <c r="O68" t="s">
        <v>2833</v>
      </c>
      <c r="P68" t="s">
        <v>2833</v>
      </c>
      <c r="Q68" t="s">
        <v>2833</v>
      </c>
      <c r="R68">
        <f ca="1">RAND()*(Validation[[#This Row],[Range1_High]]-Validation[[#This Row],[Range1_Low]])+Validation[[#This Row],[Range1_Low]]</f>
        <v>8.9917567745947403E-8</v>
      </c>
      <c r="S68">
        <f>Validation[[#This Row],[Range2_High]]</f>
        <v>0</v>
      </c>
      <c r="T68" t="str" cm="1">
        <f t="array" aca="1" ref="T68" ca="1">RoundToTwoSigFigs(Validation[[#This Row],[Test Reading]]*Validation[[#This Row],[Mult]]+Validation[[#This Row],[Base]]) &amp;" "&amp;Validation[[#This Row],[Uncert_Units]]</f>
        <v>58000 nA</v>
      </c>
      <c r="U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V68" t="b">
        <f ca="1">Validation[[#This Row],[Desired Result]]=Validation[[#This Row],[Result]]</f>
        <v>1</v>
      </c>
      <c r="W68" t="b">
        <v>0</v>
      </c>
      <c r="X68" t="b">
        <f>Validation[[#This Row],[Range1_Low]]&gt;=Validation[[#This Row],[Range1_High]]</f>
        <v>0</v>
      </c>
      <c r="Y68" s="111" t="s">
        <v>2845</v>
      </c>
    </row>
    <row r="69" spans="1:25" ht="16.5" thickTop="1" thickBot="1" x14ac:dyDescent="0.3">
      <c r="A69" t="s">
        <v>54</v>
      </c>
      <c r="B69" t="s">
        <v>46</v>
      </c>
      <c r="C69" s="113">
        <v>0.33</v>
      </c>
      <c r="D69" s="113">
        <v>3.0001000000000002</v>
      </c>
      <c r="E69">
        <v>1E-3</v>
      </c>
      <c r="F69" t="s">
        <v>13</v>
      </c>
      <c r="G69" t="s">
        <v>12</v>
      </c>
      <c r="H69">
        <v>0</v>
      </c>
      <c r="I69">
        <v>0</v>
      </c>
      <c r="J69" t="s">
        <v>2833</v>
      </c>
      <c r="K69">
        <v>0.50421000000000005</v>
      </c>
      <c r="L69">
        <v>0.32729000000000003</v>
      </c>
      <c r="M69">
        <v>0.50424000000000002</v>
      </c>
      <c r="N69">
        <v>0.32695999999999997</v>
      </c>
      <c r="O69" t="s">
        <v>2833</v>
      </c>
      <c r="P69" t="s">
        <v>2833</v>
      </c>
      <c r="Q69" t="s">
        <v>2833</v>
      </c>
      <c r="R69">
        <f ca="1">RAND()*(Validation[[#This Row],[Range1_High]]-Validation[[#This Row],[Range1_Low]])+Validation[[#This Row],[Range1_Low]]</f>
        <v>0.60697375107884233</v>
      </c>
      <c r="S69">
        <f>Validation[[#This Row],[Range2_High]]</f>
        <v>0</v>
      </c>
      <c r="T69" t="str" cm="1">
        <f t="array" aca="1" ref="T69" ca="1">RoundToTwoSigFigs(Validation[[#This Row],[Test Reading]]*Validation[[#This Row],[Mult]]+Validation[[#This Row],[Base]]) &amp;" "&amp;Validation[[#This Row],[Uncert_Units]]</f>
        <v>0.7 mA</v>
      </c>
      <c r="U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V69" t="b">
        <f ca="1">Validation[[#This Row],[Desired Result]]=Validation[[#This Row],[Result]]</f>
        <v>1</v>
      </c>
      <c r="W69" t="b">
        <v>1</v>
      </c>
      <c r="X69" t="b">
        <f>Validation[[#This Row],[Range1_Low]]&gt;=Validation[[#This Row],[Range1_High]]</f>
        <v>0</v>
      </c>
      <c r="Y69" s="111" t="s">
        <v>2843</v>
      </c>
    </row>
    <row r="70" spans="1:25" ht="16.5" thickTop="1" thickBot="1" x14ac:dyDescent="0.3">
      <c r="A70" t="s">
        <v>54</v>
      </c>
      <c r="B70" t="s">
        <v>46</v>
      </c>
      <c r="C70">
        <v>20.5</v>
      </c>
      <c r="D70">
        <v>20.6</v>
      </c>
      <c r="E70">
        <v>1E-4</v>
      </c>
      <c r="F70" t="s">
        <v>13</v>
      </c>
      <c r="G70" t="s">
        <v>12</v>
      </c>
      <c r="H70">
        <v>0</v>
      </c>
      <c r="I70">
        <v>0</v>
      </c>
      <c r="J70" t="s">
        <v>2833</v>
      </c>
      <c r="K70">
        <v>2.7</v>
      </c>
      <c r="L70">
        <v>1.1000000000000001</v>
      </c>
      <c r="M70">
        <v>2.6473</v>
      </c>
      <c r="N70">
        <v>1.1008</v>
      </c>
      <c r="O70" t="s">
        <v>2833</v>
      </c>
      <c r="P70" t="s">
        <v>2833</v>
      </c>
      <c r="Q70" t="s">
        <v>2833</v>
      </c>
      <c r="R70">
        <f ca="1">RAND()*(Validation[[#This Row],[Range1_High]]-Validation[[#This Row],[Range1_Low]])+Validation[[#This Row],[Range1_Low]]</f>
        <v>20.556604857286047</v>
      </c>
      <c r="S70">
        <f>Validation[[#This Row],[Range2_High]]</f>
        <v>0</v>
      </c>
      <c r="T70" t="str" cm="1">
        <f t="array" aca="1" ref="T70" ca="1">RoundToTwoSigFigs(Validation[[#This Row],[Test Reading]]*Validation[[#This Row],[Mult]]+Validation[[#This Row],[Base]]) &amp;" "&amp;Validation[[#This Row],[Uncert_Units]]</f>
        <v>25 mA</v>
      </c>
      <c r="U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V70" t="b">
        <f ca="1">Validation[[#This Row],[Desired Result]]=Validation[[#This Row],[Result]]</f>
        <v>1</v>
      </c>
      <c r="W70" t="b">
        <v>0</v>
      </c>
      <c r="X70" t="b">
        <f>Validation[[#This Row],[Range1_Low]]&gt;=Validation[[#This Row],[Range1_High]]</f>
        <v>0</v>
      </c>
      <c r="Y70" s="111" t="s">
        <v>2845</v>
      </c>
    </row>
    <row r="71" spans="1:25" ht="16.5" thickTop="1" thickBot="1" x14ac:dyDescent="0.3">
      <c r="A71" t="s">
        <v>55</v>
      </c>
      <c r="B71" t="s">
        <v>46</v>
      </c>
      <c r="C71" s="113">
        <v>1E-4</v>
      </c>
      <c r="D71" s="113">
        <v>1E-3</v>
      </c>
      <c r="E71">
        <v>1E-8</v>
      </c>
      <c r="F71" t="s">
        <v>13</v>
      </c>
      <c r="G71" t="s">
        <v>70</v>
      </c>
      <c r="H71">
        <v>0</v>
      </c>
      <c r="I71">
        <v>0</v>
      </c>
      <c r="J71" t="s">
        <v>2833</v>
      </c>
      <c r="K71">
        <v>7.7388000000000003</v>
      </c>
      <c r="L71">
        <v>22133</v>
      </c>
      <c r="M71">
        <v>7.7351000000000001</v>
      </c>
      <c r="N71">
        <v>22126</v>
      </c>
      <c r="O71" t="s">
        <v>2833</v>
      </c>
      <c r="P71" t="s">
        <v>2833</v>
      </c>
      <c r="Q71" t="s">
        <v>2833</v>
      </c>
      <c r="R71">
        <f ca="1">RAND()*(Validation[[#This Row],[Range1_High]]-Validation[[#This Row],[Range1_Low]])+Validation[[#This Row],[Range1_Low]]</f>
        <v>5.6798289388208974E-4</v>
      </c>
      <c r="S71">
        <f>Validation[[#This Row],[Range2_High]]</f>
        <v>0</v>
      </c>
      <c r="T71" t="str" cm="1">
        <f t="array" aca="1" ref="T71" ca="1">RoundToTwoSigFigs(Validation[[#This Row],[Test Reading]]*Validation[[#This Row],[Mult]]+Validation[[#This Row],[Base]]) &amp;" "&amp;Validation[[#This Row],[Uncert_Units]]</f>
        <v>20 nA</v>
      </c>
      <c r="U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nA</v>
      </c>
      <c r="V71" t="b">
        <f ca="1">Validation[[#This Row],[Desired Result]]=Validation[[#This Row],[Result]]</f>
        <v>1</v>
      </c>
      <c r="W71" t="b">
        <v>1</v>
      </c>
      <c r="X71" t="b">
        <f>Validation[[#This Row],[Range1_Low]]&gt;=Validation[[#This Row],[Range1_High]]</f>
        <v>0</v>
      </c>
      <c r="Y71" s="111" t="s">
        <v>2843</v>
      </c>
    </row>
    <row r="72" spans="1:25" ht="16.5" thickTop="1" thickBot="1" x14ac:dyDescent="0.3">
      <c r="A72" t="s">
        <v>55</v>
      </c>
      <c r="B72" t="s">
        <v>46</v>
      </c>
      <c r="C72">
        <v>0</v>
      </c>
      <c r="D72">
        <v>9.9999999999999995E-8</v>
      </c>
      <c r="E72">
        <v>1E-3</v>
      </c>
      <c r="F72" t="s">
        <v>13</v>
      </c>
      <c r="G72" t="s">
        <v>70</v>
      </c>
      <c r="H72">
        <v>0</v>
      </c>
      <c r="I72">
        <v>0</v>
      </c>
      <c r="J72" t="s">
        <v>2833</v>
      </c>
      <c r="K72">
        <v>577360</v>
      </c>
      <c r="L72">
        <v>4.2309000000000001</v>
      </c>
      <c r="M72">
        <v>577360</v>
      </c>
      <c r="N72">
        <v>0</v>
      </c>
      <c r="O72" t="s">
        <v>2833</v>
      </c>
      <c r="P72" t="s">
        <v>2833</v>
      </c>
      <c r="Q72" t="s">
        <v>2833</v>
      </c>
      <c r="R72">
        <f ca="1">RAND()*(Validation[[#This Row],[Range1_High]]-Validation[[#This Row],[Range1_Low]])+Validation[[#This Row],[Range1_Low]]</f>
        <v>9.7049830356273682E-9</v>
      </c>
      <c r="S72">
        <f>Validation[[#This Row],[Range2_High]]</f>
        <v>0</v>
      </c>
      <c r="T72" t="str" cm="1">
        <f t="array" aca="1" ref="T72" ca="1">RoundToTwoSigFigs(Validation[[#This Row],[Test Reading]]*Validation[[#This Row],[Mult]]+Validation[[#This Row],[Base]]) &amp;" "&amp;Validation[[#This Row],[Uncert_Units]]</f>
        <v>580000 nA</v>
      </c>
      <c r="U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V72" t="b">
        <f ca="1">Validation[[#This Row],[Desired Result]]=Validation[[#This Row],[Result]]</f>
        <v>1</v>
      </c>
      <c r="W72" t="b">
        <v>0</v>
      </c>
      <c r="X72" t="b">
        <f>Validation[[#This Row],[Range1_Low]]&gt;=Validation[[#This Row],[Range1_High]]</f>
        <v>0</v>
      </c>
      <c r="Y72" s="111" t="s">
        <v>2845</v>
      </c>
    </row>
    <row r="73" spans="1:25" ht="16.5" thickTop="1" thickBot="1" x14ac:dyDescent="0.3">
      <c r="A73" t="s">
        <v>68</v>
      </c>
      <c r="B73" t="s">
        <v>46</v>
      </c>
      <c r="C73" s="113">
        <v>1</v>
      </c>
      <c r="D73" s="113">
        <v>10.199999999999999</v>
      </c>
      <c r="E73">
        <v>0.1</v>
      </c>
      <c r="F73" t="s">
        <v>13</v>
      </c>
      <c r="G73" t="s">
        <v>11</v>
      </c>
      <c r="H73">
        <v>0</v>
      </c>
      <c r="I73">
        <v>0</v>
      </c>
      <c r="J73" t="s">
        <v>2833</v>
      </c>
      <c r="K73">
        <v>57.625</v>
      </c>
      <c r="L73">
        <v>0.18253</v>
      </c>
      <c r="M73">
        <v>57.752000000000002</v>
      </c>
      <c r="N73">
        <v>5.5476999999999999E-2</v>
      </c>
      <c r="O73" t="s">
        <v>2833</v>
      </c>
      <c r="P73" t="s">
        <v>2833</v>
      </c>
      <c r="Q73" t="s">
        <v>2833</v>
      </c>
      <c r="R73">
        <f ca="1">RAND()*(Validation[[#This Row],[Range1_High]]-Validation[[#This Row],[Range1_Low]])+Validation[[#This Row],[Range1_Low]]</f>
        <v>6.8240187432548343</v>
      </c>
      <c r="S73">
        <f>Validation[[#This Row],[Range2_High]]</f>
        <v>0</v>
      </c>
      <c r="T73" t="str" cm="1">
        <f t="array" aca="1" ref="T73" ca="1">RoundToTwoSigFigs(Validation[[#This Row],[Test Reading]]*Validation[[#This Row],[Mult]]+Validation[[#This Row],[Base]]) &amp;" "&amp;Validation[[#This Row],[Uncert_Units]]</f>
        <v>59 µA</v>
      </c>
      <c r="U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V73" t="b">
        <f ca="1">Validation[[#This Row],[Desired Result]]=Validation[[#This Row],[Result]]</f>
        <v>1</v>
      </c>
      <c r="W73" t="b">
        <v>1</v>
      </c>
      <c r="X73" t="b">
        <f>Validation[[#This Row],[Range1_Low]]&gt;=Validation[[#This Row],[Range1_High]]</f>
        <v>0</v>
      </c>
      <c r="Y73" s="111" t="s">
        <v>2843</v>
      </c>
    </row>
    <row r="74" spans="1:25" ht="16.5" thickTop="1" thickBot="1" x14ac:dyDescent="0.3">
      <c r="A74" t="s">
        <v>55</v>
      </c>
      <c r="B74" t="s">
        <v>46</v>
      </c>
      <c r="C74" s="113">
        <v>1</v>
      </c>
      <c r="D74" s="113">
        <v>20</v>
      </c>
      <c r="E74">
        <v>0.01</v>
      </c>
      <c r="F74" t="s">
        <v>13</v>
      </c>
      <c r="G74" t="s">
        <v>12</v>
      </c>
      <c r="H74">
        <v>0</v>
      </c>
      <c r="I74">
        <v>0</v>
      </c>
      <c r="J74" t="s">
        <v>2833</v>
      </c>
      <c r="K74">
        <v>5.7739000000000003</v>
      </c>
      <c r="L74">
        <v>1.1677E-4</v>
      </c>
      <c r="M74">
        <v>5.7736000000000001</v>
      </c>
      <c r="N74">
        <v>7.0888000000000003E-5</v>
      </c>
      <c r="O74" t="s">
        <v>2833</v>
      </c>
      <c r="P74" t="s">
        <v>2833</v>
      </c>
      <c r="Q74" t="s">
        <v>2833</v>
      </c>
      <c r="R74">
        <f ca="1">RAND()*(Validation[[#This Row],[Range1_High]]-Validation[[#This Row],[Range1_Low]])+Validation[[#This Row],[Range1_Low]]</f>
        <v>3.1311019419389439</v>
      </c>
      <c r="S74">
        <f>Validation[[#This Row],[Range2_High]]</f>
        <v>0</v>
      </c>
      <c r="T74" t="str" cm="1">
        <f t="array" aca="1" ref="T74" ca="1">RoundToTwoSigFigs(Validation[[#This Row],[Test Reading]]*Validation[[#This Row],[Mult]]+Validation[[#This Row],[Base]]) &amp;" "&amp;Validation[[#This Row],[Uncert_Units]]</f>
        <v>5.8 mA</v>
      </c>
      <c r="U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74" t="b">
        <f ca="1">Validation[[#This Row],[Desired Result]]=Validation[[#This Row],[Result]]</f>
        <v>1</v>
      </c>
      <c r="W74" t="b">
        <v>1</v>
      </c>
      <c r="X74" t="b">
        <f>Validation[[#This Row],[Range1_Low]]&gt;=Validation[[#This Row],[Range1_High]]</f>
        <v>0</v>
      </c>
      <c r="Y74" s="111" t="s">
        <v>2843</v>
      </c>
    </row>
    <row r="75" spans="1:25" ht="15.75" thickTop="1" x14ac:dyDescent="0.25">
      <c r="A75" t="s">
        <v>54</v>
      </c>
      <c r="B75" t="s">
        <v>46</v>
      </c>
      <c r="C75">
        <v>3.3E-4</v>
      </c>
      <c r="D75">
        <v>3.3000999999999998E-3</v>
      </c>
      <c r="E75">
        <v>1E-4</v>
      </c>
      <c r="F75" t="s">
        <v>13</v>
      </c>
      <c r="G75" t="s">
        <v>11</v>
      </c>
      <c r="H75">
        <v>0</v>
      </c>
      <c r="I75">
        <v>0</v>
      </c>
      <c r="J75" t="s">
        <v>2833</v>
      </c>
      <c r="K75">
        <v>58</v>
      </c>
      <c r="L75">
        <v>0.98192000000000002</v>
      </c>
      <c r="M75">
        <v>58</v>
      </c>
      <c r="N75">
        <v>0.88327999999999995</v>
      </c>
      <c r="O75" t="s">
        <v>2833</v>
      </c>
      <c r="P75" t="s">
        <v>2833</v>
      </c>
      <c r="Q75" t="s">
        <v>2833</v>
      </c>
      <c r="R75">
        <f ca="1">RAND()*(Validation[[#This Row],[Range1_High]]-Validation[[#This Row],[Range1_Low]])+Validation[[#This Row],[Range1_Low]]</f>
        <v>2.3834350969601579E-3</v>
      </c>
      <c r="S75">
        <f>Validation[[#This Row],[Range2_High]]</f>
        <v>0</v>
      </c>
      <c r="T75" t="str" cm="1">
        <f t="array" aca="1" ref="T75" ca="1">RoundToTwoSigFigs(Validation[[#This Row],[Test Reading]]*Validation[[#This Row],[Mult]]+Validation[[#This Row],[Base]]) &amp;" "&amp;Validation[[#This Row],[Uncert_Units]]</f>
        <v>58 µA</v>
      </c>
      <c r="U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75" t="b">
        <f ca="1">Validation[[#This Row],[Desired Result]]=Validation[[#This Row],[Result]]</f>
        <v>1</v>
      </c>
      <c r="W75" t="b">
        <v>0</v>
      </c>
      <c r="X75" t="b">
        <f>Validation[[#This Row],[Range1_Low]]&gt;=Validation[[#This Row],[Range1_High]]</f>
        <v>0</v>
      </c>
      <c r="Y75" s="111" t="s">
        <v>2845</v>
      </c>
    </row>
    <row r="76" spans="1:25" x14ac:dyDescent="0.25">
      <c r="A76" t="s">
        <v>55</v>
      </c>
      <c r="B76" t="s">
        <v>46</v>
      </c>
      <c r="C76">
        <v>1.0000000000000001E-5</v>
      </c>
      <c r="D76">
        <v>1E-4</v>
      </c>
      <c r="E76">
        <v>9.9999999999999995E-7</v>
      </c>
      <c r="F76" t="s">
        <v>13</v>
      </c>
      <c r="G76" t="s">
        <v>70</v>
      </c>
      <c r="H76">
        <v>0</v>
      </c>
      <c r="I76">
        <v>0</v>
      </c>
      <c r="J76" t="s">
        <v>2833</v>
      </c>
      <c r="K76">
        <v>577.35</v>
      </c>
      <c r="L76">
        <v>61.585000000000001</v>
      </c>
      <c r="M76">
        <v>577.35</v>
      </c>
      <c r="N76">
        <v>61.585000000000001</v>
      </c>
      <c r="O76" t="s">
        <v>2833</v>
      </c>
      <c r="P76" t="s">
        <v>2833</v>
      </c>
      <c r="Q76" t="s">
        <v>2833</v>
      </c>
      <c r="R76">
        <f ca="1">RAND()*(Validation[[#This Row],[Range1_High]]-Validation[[#This Row],[Range1_Low]])+Validation[[#This Row],[Range1_Low]]</f>
        <v>5.315329700666124E-5</v>
      </c>
      <c r="S76">
        <f>Validation[[#This Row],[Range2_High]]</f>
        <v>0</v>
      </c>
      <c r="T76" t="str" cm="1">
        <f t="array" aca="1" ref="T76" ca="1">RoundToTwoSigFigs(Validation[[#This Row],[Test Reading]]*Validation[[#This Row],[Mult]]+Validation[[#This Row],[Base]]) &amp;" "&amp;Validation[[#This Row],[Uncert_Units]]</f>
        <v>580 nA</v>
      </c>
      <c r="U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V76" t="b">
        <f ca="1">Validation[[#This Row],[Desired Result]]=Validation[[#This Row],[Result]]</f>
        <v>1</v>
      </c>
      <c r="W76" t="b">
        <v>0</v>
      </c>
      <c r="X76" t="b">
        <f>Validation[[#This Row],[Range1_Low]]&gt;=Validation[[#This Row],[Range1_High]]</f>
        <v>0</v>
      </c>
      <c r="Y76" s="111" t="s">
        <v>2845</v>
      </c>
    </row>
    <row r="77" spans="1:25" ht="15.75" thickBot="1" x14ac:dyDescent="0.3">
      <c r="A77" t="s">
        <v>68</v>
      </c>
      <c r="B77" t="s">
        <v>46</v>
      </c>
      <c r="C77">
        <v>1</v>
      </c>
      <c r="D77">
        <v>10.199999999999999</v>
      </c>
      <c r="E77">
        <v>1</v>
      </c>
      <c r="F77" t="s">
        <v>13</v>
      </c>
      <c r="G77" t="s">
        <v>11</v>
      </c>
      <c r="H77">
        <v>0</v>
      </c>
      <c r="I77">
        <v>0</v>
      </c>
      <c r="J77" t="s">
        <v>2833</v>
      </c>
      <c r="K77">
        <v>577.30999999999995</v>
      </c>
      <c r="L77">
        <v>5.7402000000000002E-2</v>
      </c>
      <c r="M77">
        <v>577.36</v>
      </c>
      <c r="N77">
        <v>5.5789000000000004E-3</v>
      </c>
      <c r="O77" t="s">
        <v>2833</v>
      </c>
      <c r="P77" t="s">
        <v>2833</v>
      </c>
      <c r="Q77" t="s">
        <v>2833</v>
      </c>
      <c r="R77">
        <f ca="1">RAND()*(Validation[[#This Row],[Range1_High]]-Validation[[#This Row],[Range1_Low]])+Validation[[#This Row],[Range1_Low]]</f>
        <v>2.3209991236306386</v>
      </c>
      <c r="S77">
        <f>Validation[[#This Row],[Range2_High]]</f>
        <v>0</v>
      </c>
      <c r="T77" t="str" cm="1">
        <f t="array" aca="1" ref="T77" ca="1">RoundToTwoSigFigs(Validation[[#This Row],[Test Reading]]*Validation[[#This Row],[Mult]]+Validation[[#This Row],[Base]]) &amp;" "&amp;Validation[[#This Row],[Uncert_Units]]</f>
        <v>580 µA</v>
      </c>
      <c r="U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77" t="b">
        <f ca="1">Validation[[#This Row],[Desired Result]]=Validation[[#This Row],[Result]]</f>
        <v>1</v>
      </c>
      <c r="W77" t="b">
        <v>0</v>
      </c>
      <c r="X77" t="b">
        <f>Validation[[#This Row],[Range1_Low]]&gt;=Validation[[#This Row],[Range1_High]]</f>
        <v>0</v>
      </c>
      <c r="Y77" s="111" t="s">
        <v>2845</v>
      </c>
    </row>
    <row r="78" spans="1:25" ht="16.5" thickTop="1" thickBot="1" x14ac:dyDescent="0.3">
      <c r="A78" t="s">
        <v>54</v>
      </c>
      <c r="B78" t="s">
        <v>46</v>
      </c>
      <c r="C78" s="113">
        <v>11</v>
      </c>
      <c r="D78" s="113">
        <v>20.5</v>
      </c>
      <c r="E78">
        <v>1E-3</v>
      </c>
      <c r="F78" t="s">
        <v>13</v>
      </c>
      <c r="G78" t="s">
        <v>12</v>
      </c>
      <c r="H78">
        <v>0</v>
      </c>
      <c r="I78">
        <v>0</v>
      </c>
      <c r="J78" t="s">
        <v>2833</v>
      </c>
      <c r="K78">
        <v>2.7</v>
      </c>
      <c r="L78">
        <v>1.1006</v>
      </c>
      <c r="M78">
        <v>2.6625999999999999</v>
      </c>
      <c r="N78">
        <v>1.1004</v>
      </c>
      <c r="O78" t="s">
        <v>2833</v>
      </c>
      <c r="P78" t="s">
        <v>2833</v>
      </c>
      <c r="Q78" t="s">
        <v>2833</v>
      </c>
      <c r="R78">
        <f ca="1">RAND()*(Validation[[#This Row],[Range1_High]]-Validation[[#This Row],[Range1_Low]])+Validation[[#This Row],[Range1_Low]]</f>
        <v>20.189466664336404</v>
      </c>
      <c r="S78">
        <f>Validation[[#This Row],[Range2_High]]</f>
        <v>0</v>
      </c>
      <c r="T78" t="str" cm="1">
        <f t="array" aca="1" ref="T78" ca="1">RoundToTwoSigFigs(Validation[[#This Row],[Test Reading]]*Validation[[#This Row],[Mult]]+Validation[[#This Row],[Base]]) &amp;" "&amp;Validation[[#This Row],[Uncert_Units]]</f>
        <v>25 mA</v>
      </c>
      <c r="U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V78" t="b">
        <f ca="1">Validation[[#This Row],[Desired Result]]=Validation[[#This Row],[Result]]</f>
        <v>1</v>
      </c>
      <c r="W78" t="b">
        <v>1</v>
      </c>
      <c r="X78" t="b">
        <f>Validation[[#This Row],[Range1_Low]]&gt;=Validation[[#This Row],[Range1_High]]</f>
        <v>0</v>
      </c>
      <c r="Y78" s="111" t="s">
        <v>2843</v>
      </c>
    </row>
    <row r="79" spans="1:25" ht="16.5" thickTop="1" thickBot="1" x14ac:dyDescent="0.3">
      <c r="A79" t="s">
        <v>55</v>
      </c>
      <c r="B79" t="s">
        <v>46</v>
      </c>
      <c r="C79" s="113">
        <v>1E-4</v>
      </c>
      <c r="D79" s="113">
        <v>1E-3</v>
      </c>
      <c r="E79">
        <v>1.0000000000000001E-9</v>
      </c>
      <c r="F79" t="s">
        <v>13</v>
      </c>
      <c r="G79" t="s">
        <v>70</v>
      </c>
      <c r="H79">
        <v>0</v>
      </c>
      <c r="I79">
        <v>0</v>
      </c>
      <c r="J79" t="s">
        <v>2833</v>
      </c>
      <c r="K79">
        <v>6.3</v>
      </c>
      <c r="L79">
        <v>23340</v>
      </c>
      <c r="M79">
        <v>5.7675000000000001</v>
      </c>
      <c r="N79">
        <v>23536</v>
      </c>
      <c r="O79" t="s">
        <v>2833</v>
      </c>
      <c r="P79" t="s">
        <v>2833</v>
      </c>
      <c r="Q79" t="s">
        <v>2833</v>
      </c>
      <c r="R79">
        <f ca="1">RAND()*(Validation[[#This Row],[Range1_High]]-Validation[[#This Row],[Range1_Low]])+Validation[[#This Row],[Range1_Low]]</f>
        <v>5.6028588808123864E-4</v>
      </c>
      <c r="S79">
        <f>Validation[[#This Row],[Range2_High]]</f>
        <v>0</v>
      </c>
      <c r="T79" t="str" cm="1">
        <f t="array" aca="1" ref="T79" ca="1">RoundToTwoSigFigs(Validation[[#This Row],[Test Reading]]*Validation[[#This Row],[Mult]]+Validation[[#This Row],[Base]]) &amp;" "&amp;Validation[[#This Row],[Uncert_Units]]</f>
        <v>19 nA</v>
      </c>
      <c r="U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nA</v>
      </c>
      <c r="V79" t="b">
        <f ca="1">Validation[[#This Row],[Desired Result]]=Validation[[#This Row],[Result]]</f>
        <v>1</v>
      </c>
      <c r="W79" t="b">
        <v>1</v>
      </c>
      <c r="X79" t="b">
        <f>Validation[[#This Row],[Range1_Low]]&gt;=Validation[[#This Row],[Range1_High]]</f>
        <v>0</v>
      </c>
      <c r="Y79" s="111" t="s">
        <v>2843</v>
      </c>
    </row>
    <row r="80" spans="1:25" ht="16.5" thickTop="1" thickBot="1" x14ac:dyDescent="0.3">
      <c r="A80" t="s">
        <v>55</v>
      </c>
      <c r="B80" t="s">
        <v>46</v>
      </c>
      <c r="C80" s="113">
        <v>1</v>
      </c>
      <c r="D80" s="113">
        <v>20</v>
      </c>
      <c r="E80">
        <v>1E-4</v>
      </c>
      <c r="F80" t="s">
        <v>13</v>
      </c>
      <c r="G80" t="s">
        <v>12</v>
      </c>
      <c r="H80">
        <v>0</v>
      </c>
      <c r="I80">
        <v>0</v>
      </c>
      <c r="J80" t="s">
        <v>2833</v>
      </c>
      <c r="K80">
        <v>7.0892999999999998E-2</v>
      </c>
      <c r="L80">
        <v>3.8964999999999998E-3</v>
      </c>
      <c r="M80">
        <v>6.8928000000000003E-2</v>
      </c>
      <c r="N80">
        <v>3.8257999999999999E-3</v>
      </c>
      <c r="O80" t="s">
        <v>2833</v>
      </c>
      <c r="P80" t="s">
        <v>2833</v>
      </c>
      <c r="Q80" t="s">
        <v>2833</v>
      </c>
      <c r="R80">
        <f ca="1">RAND()*(Validation[[#This Row],[Range1_High]]-Validation[[#This Row],[Range1_Low]])+Validation[[#This Row],[Range1_Low]]</f>
        <v>11.658381279954257</v>
      </c>
      <c r="S80">
        <f>Validation[[#This Row],[Range2_High]]</f>
        <v>0</v>
      </c>
      <c r="T80" t="str" cm="1">
        <f t="array" aca="1" ref="T80" ca="1">RoundToTwoSigFigs(Validation[[#This Row],[Test Reading]]*Validation[[#This Row],[Mult]]+Validation[[#This Row],[Base]]) &amp;" "&amp;Validation[[#This Row],[Uncert_Units]]</f>
        <v>0.12 mA</v>
      </c>
      <c r="U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V80" t="b">
        <f ca="1">Validation[[#This Row],[Desired Result]]=Validation[[#This Row],[Result]]</f>
        <v>1</v>
      </c>
      <c r="W80" t="b">
        <v>1</v>
      </c>
      <c r="X80" t="b">
        <f>Validation[[#This Row],[Range1_Low]]&gt;=Validation[[#This Row],[Range1_High]]</f>
        <v>0</v>
      </c>
      <c r="Y80" s="111" t="s">
        <v>2843</v>
      </c>
    </row>
    <row r="81" spans="1:25" ht="15.75" thickTop="1" x14ac:dyDescent="0.25">
      <c r="A81" t="s">
        <v>55</v>
      </c>
      <c r="B81" t="s">
        <v>46</v>
      </c>
      <c r="C81">
        <v>0</v>
      </c>
      <c r="D81">
        <v>9.9999999999999995E-8</v>
      </c>
      <c r="E81">
        <v>0.01</v>
      </c>
      <c r="F81" t="s">
        <v>13</v>
      </c>
      <c r="G81" t="s">
        <v>70</v>
      </c>
      <c r="H81">
        <v>0</v>
      </c>
      <c r="I81">
        <v>0</v>
      </c>
      <c r="J81" t="s">
        <v>2833</v>
      </c>
      <c r="K81">
        <v>5773600</v>
      </c>
      <c r="L81">
        <v>1.6933</v>
      </c>
      <c r="M81">
        <v>5773600</v>
      </c>
      <c r="N81">
        <v>0</v>
      </c>
      <c r="O81" t="s">
        <v>2833</v>
      </c>
      <c r="P81" t="s">
        <v>2833</v>
      </c>
      <c r="Q81" t="s">
        <v>2833</v>
      </c>
      <c r="R81">
        <f ca="1">RAND()*(Validation[[#This Row],[Range1_High]]-Validation[[#This Row],[Range1_Low]])+Validation[[#This Row],[Range1_Low]]</f>
        <v>7.980450667399256E-8</v>
      </c>
      <c r="S81">
        <f>Validation[[#This Row],[Range2_High]]</f>
        <v>0</v>
      </c>
      <c r="T81" t="str" cm="1">
        <f t="array" aca="1" ref="T81" ca="1">RoundToTwoSigFigs(Validation[[#This Row],[Test Reading]]*Validation[[#This Row],[Mult]]+Validation[[#This Row],[Base]]) &amp;" "&amp;Validation[[#This Row],[Uncert_Units]]</f>
        <v>5800000 nA</v>
      </c>
      <c r="U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V81" t="b">
        <f ca="1">Validation[[#This Row],[Desired Result]]=Validation[[#This Row],[Result]]</f>
        <v>1</v>
      </c>
      <c r="W81" t="b">
        <v>0</v>
      </c>
      <c r="X81" t="b">
        <f>Validation[[#This Row],[Range1_Low]]&gt;=Validation[[#This Row],[Range1_High]]</f>
        <v>0</v>
      </c>
      <c r="Y81" s="111" t="s">
        <v>2845</v>
      </c>
    </row>
    <row r="82" spans="1:25" x14ac:dyDescent="0.25">
      <c r="A82" t="s">
        <v>55</v>
      </c>
      <c r="B82" t="s">
        <v>46</v>
      </c>
      <c r="C82">
        <v>0.01</v>
      </c>
      <c r="D82">
        <v>0.1</v>
      </c>
      <c r="E82">
        <v>1E-3</v>
      </c>
      <c r="F82" t="s">
        <v>13</v>
      </c>
      <c r="G82" t="s">
        <v>11</v>
      </c>
      <c r="H82">
        <v>0</v>
      </c>
      <c r="I82">
        <v>0</v>
      </c>
      <c r="J82" t="s">
        <v>2833</v>
      </c>
      <c r="K82">
        <v>577.35</v>
      </c>
      <c r="L82">
        <v>0.21573000000000001</v>
      </c>
      <c r="M82">
        <v>577.34</v>
      </c>
      <c r="N82">
        <v>0.19968</v>
      </c>
      <c r="O82" t="s">
        <v>2833</v>
      </c>
      <c r="P82" t="s">
        <v>2833</v>
      </c>
      <c r="Q82" t="s">
        <v>2833</v>
      </c>
      <c r="R82">
        <f ca="1">RAND()*(Validation[[#This Row],[Range1_High]]-Validation[[#This Row],[Range1_Low]])+Validation[[#This Row],[Range1_Low]]</f>
        <v>8.6419998490076505E-2</v>
      </c>
      <c r="S82">
        <f>Validation[[#This Row],[Range2_High]]</f>
        <v>0</v>
      </c>
      <c r="T82" t="str" cm="1">
        <f t="array" aca="1" ref="T82" ca="1">RoundToTwoSigFigs(Validation[[#This Row],[Test Reading]]*Validation[[#This Row],[Mult]]+Validation[[#This Row],[Base]]) &amp;" "&amp;Validation[[#This Row],[Uncert_Units]]</f>
        <v>580 µA</v>
      </c>
      <c r="U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82" t="b">
        <f ca="1">Validation[[#This Row],[Desired Result]]=Validation[[#This Row],[Result]]</f>
        <v>1</v>
      </c>
      <c r="W82" t="b">
        <v>0</v>
      </c>
      <c r="X82" t="b">
        <f>Validation[[#This Row],[Range1_Low]]&gt;=Validation[[#This Row],[Range1_High]]</f>
        <v>0</v>
      </c>
      <c r="Y82" s="111" t="s">
        <v>2845</v>
      </c>
    </row>
    <row r="83" spans="1:25" x14ac:dyDescent="0.25">
      <c r="A83" t="s">
        <v>54</v>
      </c>
      <c r="B83" t="s">
        <v>46</v>
      </c>
      <c r="C83">
        <v>20.5</v>
      </c>
      <c r="D83">
        <v>20.6</v>
      </c>
      <c r="E83">
        <v>0.1</v>
      </c>
      <c r="F83" t="s">
        <v>13</v>
      </c>
      <c r="G83" t="s">
        <v>12</v>
      </c>
      <c r="H83">
        <v>0</v>
      </c>
      <c r="I83">
        <v>0</v>
      </c>
      <c r="J83" t="s">
        <v>2833</v>
      </c>
      <c r="K83">
        <v>55.899000000000001</v>
      </c>
      <c r="L83">
        <v>0.35962</v>
      </c>
      <c r="M83">
        <v>55.915999999999997</v>
      </c>
      <c r="N83">
        <v>0.35746</v>
      </c>
      <c r="O83" t="s">
        <v>2833</v>
      </c>
      <c r="P83" t="s">
        <v>2833</v>
      </c>
      <c r="Q83" t="s">
        <v>2833</v>
      </c>
      <c r="R83">
        <f ca="1">RAND()*(Validation[[#This Row],[Range1_High]]-Validation[[#This Row],[Range1_Low]])+Validation[[#This Row],[Range1_Low]]</f>
        <v>20.588527256843122</v>
      </c>
      <c r="S83">
        <f>Validation[[#This Row],[Range2_High]]</f>
        <v>0</v>
      </c>
      <c r="T83" t="str" cm="1">
        <f t="array" aca="1" ref="T83" ca="1">RoundToTwoSigFigs(Validation[[#This Row],[Test Reading]]*Validation[[#This Row],[Mult]]+Validation[[#This Row],[Base]]) &amp;" "&amp;Validation[[#This Row],[Uncert_Units]]</f>
        <v>63 mA</v>
      </c>
      <c r="U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V83" t="b">
        <f ca="1">Validation[[#This Row],[Desired Result]]=Validation[[#This Row],[Result]]</f>
        <v>1</v>
      </c>
      <c r="W83" t="b">
        <v>0</v>
      </c>
      <c r="X83" t="b">
        <f>Validation[[#This Row],[Range1_Low]]&gt;=Validation[[#This Row],[Range1_High]]</f>
        <v>0</v>
      </c>
      <c r="Y83" s="111" t="s">
        <v>2845</v>
      </c>
    </row>
    <row r="84" spans="1:25" ht="15.75" thickBot="1" x14ac:dyDescent="0.3">
      <c r="A84" t="s">
        <v>55</v>
      </c>
      <c r="B84" t="s">
        <v>46</v>
      </c>
      <c r="C84">
        <v>9.9999999999999995E-8</v>
      </c>
      <c r="D84">
        <v>9.9999999999999995E-7</v>
      </c>
      <c r="E84">
        <v>1E-8</v>
      </c>
      <c r="F84" t="s">
        <v>13</v>
      </c>
      <c r="G84" t="s">
        <v>70</v>
      </c>
      <c r="H84">
        <v>0</v>
      </c>
      <c r="I84">
        <v>0</v>
      </c>
      <c r="J84" t="s">
        <v>2833</v>
      </c>
      <c r="K84">
        <v>5.7737999999999996</v>
      </c>
      <c r="L84">
        <v>256.81</v>
      </c>
      <c r="M84">
        <v>5.7736999999999998</v>
      </c>
      <c r="N84">
        <v>256.81</v>
      </c>
      <c r="O84" t="s">
        <v>2833</v>
      </c>
      <c r="P84" t="s">
        <v>2833</v>
      </c>
      <c r="Q84" t="s">
        <v>2833</v>
      </c>
      <c r="R84">
        <f ca="1">RAND()*(Validation[[#This Row],[Range1_High]]-Validation[[#This Row],[Range1_Low]])+Validation[[#This Row],[Range1_Low]]</f>
        <v>8.4942776612023463E-7</v>
      </c>
      <c r="S84">
        <f>Validation[[#This Row],[Range2_High]]</f>
        <v>0</v>
      </c>
      <c r="T84" t="str" cm="1">
        <f t="array" aca="1" ref="T84" ca="1">RoundToTwoSigFigs(Validation[[#This Row],[Test Reading]]*Validation[[#This Row],[Mult]]+Validation[[#This Row],[Base]]) &amp;" "&amp;Validation[[#This Row],[Uncert_Units]]</f>
        <v>5.8 nA</v>
      </c>
      <c r="U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V84" t="b">
        <f ca="1">Validation[[#This Row],[Desired Result]]=Validation[[#This Row],[Result]]</f>
        <v>1</v>
      </c>
      <c r="W84" t="b">
        <v>0</v>
      </c>
      <c r="X84" t="b">
        <f>Validation[[#This Row],[Range1_Low]]&gt;=Validation[[#This Row],[Range1_High]]</f>
        <v>0</v>
      </c>
      <c r="Y84" s="111" t="s">
        <v>2845</v>
      </c>
    </row>
    <row r="85" spans="1:25" ht="16.5" thickTop="1" thickBot="1" x14ac:dyDescent="0.3">
      <c r="A85" t="s">
        <v>55</v>
      </c>
      <c r="B85" t="s">
        <v>46</v>
      </c>
      <c r="C85" s="113">
        <v>9.9999999999999995E-8</v>
      </c>
      <c r="D85" s="113">
        <v>9.9999999999999995E-7</v>
      </c>
      <c r="E85">
        <v>9.9999999999999998E-13</v>
      </c>
      <c r="F85" t="s">
        <v>13</v>
      </c>
      <c r="G85" t="s">
        <v>70</v>
      </c>
      <c r="H85">
        <v>0</v>
      </c>
      <c r="I85">
        <v>0</v>
      </c>
      <c r="J85" t="s">
        <v>2833</v>
      </c>
      <c r="K85">
        <v>4.8000000000000001E-2</v>
      </c>
      <c r="L85">
        <v>23000</v>
      </c>
      <c r="M85">
        <v>4.6073000000000003E-2</v>
      </c>
      <c r="N85">
        <v>24826</v>
      </c>
      <c r="O85" t="s">
        <v>2833</v>
      </c>
      <c r="P85" t="s">
        <v>2833</v>
      </c>
      <c r="Q85" t="s">
        <v>2833</v>
      </c>
      <c r="R85">
        <f ca="1">RAND()*(Validation[[#This Row],[Range1_High]]-Validation[[#This Row],[Range1_Low]])+Validation[[#This Row],[Range1_Low]]</f>
        <v>7.2736525865483491E-7</v>
      </c>
      <c r="S85">
        <f>Validation[[#This Row],[Range2_High]]</f>
        <v>0</v>
      </c>
      <c r="T85" t="str" cm="1">
        <f t="array" aca="1" ref="T85" ca="1">RoundToTwoSigFigs(Validation[[#This Row],[Test Reading]]*Validation[[#This Row],[Mult]]+Validation[[#This Row],[Base]]) &amp;" "&amp;Validation[[#This Row],[Uncert_Units]]</f>
        <v>0.065 nA</v>
      </c>
      <c r="U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nA</v>
      </c>
      <c r="V85" t="b">
        <f ca="1">Validation[[#This Row],[Desired Result]]=Validation[[#This Row],[Result]]</f>
        <v>1</v>
      </c>
      <c r="W85" t="b">
        <v>1</v>
      </c>
      <c r="X85" t="b">
        <f>Validation[[#This Row],[Range1_Low]]&gt;=Validation[[#This Row],[Range1_High]]</f>
        <v>0</v>
      </c>
      <c r="Y85" s="111" t="s">
        <v>2843</v>
      </c>
    </row>
    <row r="86" spans="1:25" ht="16.5" thickTop="1" thickBot="1" x14ac:dyDescent="0.3">
      <c r="A86" t="s">
        <v>55</v>
      </c>
      <c r="B86" t="s">
        <v>46</v>
      </c>
      <c r="C86" s="113">
        <v>9.9999999999999995E-7</v>
      </c>
      <c r="D86" s="113">
        <v>1.0000000000000001E-5</v>
      </c>
      <c r="E86">
        <v>9.9999999999999994E-12</v>
      </c>
      <c r="F86" t="s">
        <v>13</v>
      </c>
      <c r="G86" t="s">
        <v>70</v>
      </c>
      <c r="H86">
        <v>0</v>
      </c>
      <c r="I86">
        <v>0</v>
      </c>
      <c r="J86" t="s">
        <v>2833</v>
      </c>
      <c r="K86">
        <v>0.13</v>
      </c>
      <c r="L86">
        <v>25119</v>
      </c>
      <c r="M86">
        <v>0.11389000000000001</v>
      </c>
      <c r="N86">
        <v>25617</v>
      </c>
      <c r="O86" t="s">
        <v>2833</v>
      </c>
      <c r="P86" t="s">
        <v>2833</v>
      </c>
      <c r="Q86" t="s">
        <v>2833</v>
      </c>
      <c r="R86">
        <f ca="1">RAND()*(Validation[[#This Row],[Range1_High]]-Validation[[#This Row],[Range1_Low]])+Validation[[#This Row],[Range1_Low]]</f>
        <v>6.8528813718709578E-6</v>
      </c>
      <c r="S86">
        <f>Validation[[#This Row],[Range2_High]]</f>
        <v>0</v>
      </c>
      <c r="T86" t="str" cm="1">
        <f t="array" aca="1" ref="T86" ca="1">RoundToTwoSigFigs(Validation[[#This Row],[Test Reading]]*Validation[[#This Row],[Mult]]+Validation[[#This Row],[Base]]) &amp;" "&amp;Validation[[#This Row],[Uncert_Units]]</f>
        <v>0.3 nA</v>
      </c>
      <c r="U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nA</v>
      </c>
      <c r="V86" t="b">
        <f ca="1">Validation[[#This Row],[Desired Result]]=Validation[[#This Row],[Result]]</f>
        <v>1</v>
      </c>
      <c r="W86" t="b">
        <v>1</v>
      </c>
      <c r="X86" t="b">
        <f>Validation[[#This Row],[Range1_Low]]&gt;=Validation[[#This Row],[Range1_High]]</f>
        <v>0</v>
      </c>
      <c r="Y86" s="111" t="s">
        <v>2843</v>
      </c>
    </row>
    <row r="87" spans="1:25" ht="16.5" thickTop="1" thickBot="1" x14ac:dyDescent="0.3">
      <c r="A87" t="s">
        <v>55</v>
      </c>
      <c r="B87" t="s">
        <v>46</v>
      </c>
      <c r="C87" s="113">
        <v>9.9999999999999995E-7</v>
      </c>
      <c r="D87" s="113">
        <v>1.0000000000000001E-5</v>
      </c>
      <c r="E87">
        <v>1E-10</v>
      </c>
      <c r="F87" t="s">
        <v>13</v>
      </c>
      <c r="G87" t="s">
        <v>70</v>
      </c>
      <c r="H87">
        <v>0</v>
      </c>
      <c r="I87">
        <v>0</v>
      </c>
      <c r="J87" t="s">
        <v>2833</v>
      </c>
      <c r="K87">
        <v>0.13</v>
      </c>
      <c r="L87">
        <v>24832</v>
      </c>
      <c r="M87">
        <v>0.12601999999999999</v>
      </c>
      <c r="N87">
        <v>24846</v>
      </c>
      <c r="O87" t="s">
        <v>2833</v>
      </c>
      <c r="P87" t="s">
        <v>2833</v>
      </c>
      <c r="Q87" t="s">
        <v>2833</v>
      </c>
      <c r="R87">
        <f ca="1">RAND()*(Validation[[#This Row],[Range1_High]]-Validation[[#This Row],[Range1_Low]])+Validation[[#This Row],[Range1_Low]]</f>
        <v>8.8388860775285388E-6</v>
      </c>
      <c r="S87">
        <f>Validation[[#This Row],[Range2_High]]</f>
        <v>0</v>
      </c>
      <c r="T87" t="str" cm="1">
        <f t="array" aca="1" ref="T87" ca="1">RoundToTwoSigFigs(Validation[[#This Row],[Test Reading]]*Validation[[#This Row],[Mult]]+Validation[[#This Row],[Base]]) &amp;" "&amp;Validation[[#This Row],[Uncert_Units]]</f>
        <v>0.35 nA</v>
      </c>
      <c r="U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nA</v>
      </c>
      <c r="V87" t="b">
        <f ca="1">Validation[[#This Row],[Desired Result]]=Validation[[#This Row],[Result]]</f>
        <v>1</v>
      </c>
      <c r="W87" t="b">
        <v>1</v>
      </c>
      <c r="X87" t="b">
        <f>Validation[[#This Row],[Range1_Low]]&gt;=Validation[[#This Row],[Range1_High]]</f>
        <v>0</v>
      </c>
      <c r="Y87" s="111" t="s">
        <v>2843</v>
      </c>
    </row>
    <row r="88" spans="1:25" ht="16.5" thickTop="1" thickBot="1" x14ac:dyDescent="0.3">
      <c r="A88" t="s">
        <v>55</v>
      </c>
      <c r="B88" t="s">
        <v>46</v>
      </c>
      <c r="C88">
        <v>9.9999999999999995E-8</v>
      </c>
      <c r="D88">
        <v>9.9999999999999995E-7</v>
      </c>
      <c r="E88">
        <v>1.0000000000000001E-9</v>
      </c>
      <c r="F88" t="s">
        <v>13</v>
      </c>
      <c r="G88" t="s">
        <v>70</v>
      </c>
      <c r="H88">
        <v>0</v>
      </c>
      <c r="I88">
        <v>0</v>
      </c>
      <c r="J88" t="s">
        <v>2833</v>
      </c>
      <c r="K88">
        <v>0.57935999999999999</v>
      </c>
      <c r="L88">
        <v>2553.1999999999998</v>
      </c>
      <c r="M88">
        <v>0.57913999999999999</v>
      </c>
      <c r="N88">
        <v>2554.1</v>
      </c>
      <c r="O88" t="s">
        <v>2833</v>
      </c>
      <c r="P88" t="s">
        <v>2833</v>
      </c>
      <c r="Q88" t="s">
        <v>2833</v>
      </c>
      <c r="R88">
        <f ca="1">RAND()*(Validation[[#This Row],[Range1_High]]-Validation[[#This Row],[Range1_Low]])+Validation[[#This Row],[Range1_Low]]</f>
        <v>1.3292991761302326E-7</v>
      </c>
      <c r="S88">
        <f>Validation[[#This Row],[Range2_High]]</f>
        <v>0</v>
      </c>
      <c r="T88" t="str" cm="1">
        <f t="array" aca="1" ref="T88" ca="1">RoundToTwoSigFigs(Validation[[#This Row],[Test Reading]]*Validation[[#This Row],[Mult]]+Validation[[#This Row],[Base]]) &amp;" "&amp;Validation[[#This Row],[Uncert_Units]]</f>
        <v>0.58 nA</v>
      </c>
      <c r="U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V88" t="b">
        <f ca="1">Validation[[#This Row],[Desired Result]]=Validation[[#This Row],[Result]]</f>
        <v>1</v>
      </c>
      <c r="W88" t="b">
        <v>0</v>
      </c>
      <c r="X88" t="b">
        <f>Validation[[#This Row],[Range1_Low]]&gt;=Validation[[#This Row],[Range1_High]]</f>
        <v>0</v>
      </c>
      <c r="Y88" s="111" t="s">
        <v>2845</v>
      </c>
    </row>
    <row r="89" spans="1:25" ht="16.5" thickTop="1" thickBot="1" x14ac:dyDescent="0.3">
      <c r="A89" t="s">
        <v>55</v>
      </c>
      <c r="B89" t="s">
        <v>46</v>
      </c>
      <c r="C89" s="113">
        <v>1E-3</v>
      </c>
      <c r="D89" s="113">
        <v>0.01</v>
      </c>
      <c r="E89">
        <v>9.9999999999999995E-7</v>
      </c>
      <c r="F89" t="s">
        <v>13</v>
      </c>
      <c r="G89" t="s">
        <v>11</v>
      </c>
      <c r="H89">
        <v>0</v>
      </c>
      <c r="I89">
        <v>0</v>
      </c>
      <c r="J89" t="s">
        <v>2833</v>
      </c>
      <c r="K89">
        <v>0.57584000000000002</v>
      </c>
      <c r="L89">
        <v>7.1948999999999996</v>
      </c>
      <c r="M89">
        <v>0.57582999999999995</v>
      </c>
      <c r="N89">
        <v>7.1763000000000003</v>
      </c>
      <c r="O89" t="s">
        <v>2833</v>
      </c>
      <c r="P89" t="s">
        <v>2833</v>
      </c>
      <c r="Q89" t="s">
        <v>2833</v>
      </c>
      <c r="R89">
        <f ca="1">RAND()*(Validation[[#This Row],[Range1_High]]-Validation[[#This Row],[Range1_Low]])+Validation[[#This Row],[Range1_Low]]</f>
        <v>2.8465073213747231E-3</v>
      </c>
      <c r="S89">
        <f>Validation[[#This Row],[Range2_High]]</f>
        <v>0</v>
      </c>
      <c r="T89" t="str" cm="1">
        <f t="array" aca="1" ref="T89" ca="1">RoundToTwoSigFigs(Validation[[#This Row],[Test Reading]]*Validation[[#This Row],[Mult]]+Validation[[#This Row],[Base]]) &amp;" "&amp;Validation[[#This Row],[Uncert_Units]]</f>
        <v>0.6 µA</v>
      </c>
      <c r="U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V89" t="b">
        <f ca="1">Validation[[#This Row],[Desired Result]]=Validation[[#This Row],[Result]]</f>
        <v>1</v>
      </c>
      <c r="W89" t="b">
        <v>1</v>
      </c>
      <c r="X89" t="b">
        <f>Validation[[#This Row],[Range1_Low]]&gt;=Validation[[#This Row],[Range1_High]]</f>
        <v>0</v>
      </c>
      <c r="Y89" s="111" t="s">
        <v>2843</v>
      </c>
    </row>
    <row r="90" spans="1:25" ht="15.75" thickTop="1" x14ac:dyDescent="0.25">
      <c r="A90" t="s">
        <v>55</v>
      </c>
      <c r="B90" t="s">
        <v>46</v>
      </c>
      <c r="C90">
        <v>0</v>
      </c>
      <c r="D90">
        <v>9.9999999999999995E-8</v>
      </c>
      <c r="E90">
        <v>1E-8</v>
      </c>
      <c r="F90" t="s">
        <v>13</v>
      </c>
      <c r="G90" t="s">
        <v>70</v>
      </c>
      <c r="H90">
        <v>0</v>
      </c>
      <c r="I90">
        <v>0</v>
      </c>
      <c r="J90" t="s">
        <v>2833</v>
      </c>
      <c r="K90">
        <v>5.7737999999999996</v>
      </c>
      <c r="L90">
        <v>700.9</v>
      </c>
      <c r="M90">
        <v>5.7736999999999998</v>
      </c>
      <c r="N90">
        <v>288.02</v>
      </c>
      <c r="O90" t="s">
        <v>2833</v>
      </c>
      <c r="P90" t="s">
        <v>2833</v>
      </c>
      <c r="Q90" t="s">
        <v>2833</v>
      </c>
      <c r="R90">
        <f ca="1">RAND()*(Validation[[#This Row],[Range1_High]]-Validation[[#This Row],[Range1_Low]])+Validation[[#This Row],[Range1_Low]]</f>
        <v>9.6800070446575406E-8</v>
      </c>
      <c r="S90">
        <f>Validation[[#This Row],[Range2_High]]</f>
        <v>0</v>
      </c>
      <c r="T90" t="str" cm="1">
        <f t="array" aca="1" ref="T90" ca="1">RoundToTwoSigFigs(Validation[[#This Row],[Test Reading]]*Validation[[#This Row],[Mult]]+Validation[[#This Row],[Base]]) &amp;" "&amp;Validation[[#This Row],[Uncert_Units]]</f>
        <v>5.8 nA</v>
      </c>
      <c r="U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V90" t="b">
        <f ca="1">Validation[[#This Row],[Desired Result]]=Validation[[#This Row],[Result]]</f>
        <v>1</v>
      </c>
      <c r="W90" t="b">
        <v>0</v>
      </c>
      <c r="X90" t="b">
        <f>Validation[[#This Row],[Range1_Low]]&gt;=Validation[[#This Row],[Range1_High]]</f>
        <v>0</v>
      </c>
      <c r="Y90" s="111" t="s">
        <v>2845</v>
      </c>
    </row>
    <row r="91" spans="1:25" ht="15.75" thickBot="1" x14ac:dyDescent="0.3">
      <c r="A91" t="s">
        <v>55</v>
      </c>
      <c r="B91" t="s">
        <v>46</v>
      </c>
      <c r="C91">
        <v>0</v>
      </c>
      <c r="D91">
        <v>9.9999999999999995E-8</v>
      </c>
      <c r="E91">
        <v>1E-10</v>
      </c>
      <c r="F91" t="s">
        <v>13</v>
      </c>
      <c r="G91" t="s">
        <v>70</v>
      </c>
      <c r="H91">
        <v>0</v>
      </c>
      <c r="I91">
        <v>0</v>
      </c>
      <c r="J91" t="s">
        <v>2833</v>
      </c>
      <c r="K91">
        <v>7.4257000000000004E-2</v>
      </c>
      <c r="L91">
        <v>24027</v>
      </c>
      <c r="M91">
        <v>7.3969999999999994E-2</v>
      </c>
      <c r="N91">
        <v>22146</v>
      </c>
      <c r="O91" t="s">
        <v>2833</v>
      </c>
      <c r="P91" t="s">
        <v>2833</v>
      </c>
      <c r="Q91" t="s">
        <v>2833</v>
      </c>
      <c r="R91">
        <f ca="1">RAND()*(Validation[[#This Row],[Range1_High]]-Validation[[#This Row],[Range1_Low]])+Validation[[#This Row],[Range1_Low]]</f>
        <v>7.1551407712941753E-8</v>
      </c>
      <c r="S91">
        <f>Validation[[#This Row],[Range2_High]]</f>
        <v>0</v>
      </c>
      <c r="T91" t="str" cm="1">
        <f t="array" aca="1" ref="T91" ca="1">RoundToTwoSigFigs(Validation[[#This Row],[Test Reading]]*Validation[[#This Row],[Mult]]+Validation[[#This Row],[Base]]) &amp;" "&amp;Validation[[#This Row],[Uncert_Units]]</f>
        <v>0.076 nA</v>
      </c>
      <c r="U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nA</v>
      </c>
      <c r="V91" t="b">
        <f ca="1">Validation[[#This Row],[Desired Result]]=Validation[[#This Row],[Result]]</f>
        <v>1</v>
      </c>
      <c r="W91" t="b">
        <v>0</v>
      </c>
      <c r="X91" t="b">
        <f>Validation[[#This Row],[Range1_Low]]&gt;=Validation[[#This Row],[Range1_High]]</f>
        <v>0</v>
      </c>
      <c r="Y91" s="111" t="s">
        <v>2845</v>
      </c>
    </row>
    <row r="92" spans="1:25" ht="16.5" thickTop="1" thickBot="1" x14ac:dyDescent="0.3">
      <c r="A92" t="s">
        <v>68</v>
      </c>
      <c r="B92" t="s">
        <v>46</v>
      </c>
      <c r="C92" s="113">
        <v>1</v>
      </c>
      <c r="D92" s="113">
        <v>10.199999999999999</v>
      </c>
      <c r="E92">
        <v>1E-3</v>
      </c>
      <c r="F92" t="s">
        <v>13</v>
      </c>
      <c r="G92" t="s">
        <v>11</v>
      </c>
      <c r="H92">
        <v>0</v>
      </c>
      <c r="I92">
        <v>0</v>
      </c>
      <c r="J92" t="s">
        <v>2833</v>
      </c>
      <c r="K92">
        <v>2.4</v>
      </c>
      <c r="L92">
        <v>0.63080999999999998</v>
      </c>
      <c r="M92">
        <v>2.3700999999999999</v>
      </c>
      <c r="N92">
        <v>0.57577999999999996</v>
      </c>
      <c r="O92" t="s">
        <v>2833</v>
      </c>
      <c r="P92" t="s">
        <v>2833</v>
      </c>
      <c r="Q92" t="s">
        <v>2833</v>
      </c>
      <c r="R92">
        <f ca="1">RAND()*(Validation[[#This Row],[Range1_High]]-Validation[[#This Row],[Range1_Low]])+Validation[[#This Row],[Range1_Low]]</f>
        <v>1.85602666159653</v>
      </c>
      <c r="S92">
        <f>Validation[[#This Row],[Range2_High]]</f>
        <v>0</v>
      </c>
      <c r="T92" t="str" cm="1">
        <f t="array" aca="1" ref="T92" ca="1">RoundToTwoSigFigs(Validation[[#This Row],[Test Reading]]*Validation[[#This Row],[Mult]]+Validation[[#This Row],[Base]]) &amp;" "&amp;Validation[[#This Row],[Uncert_Units]]</f>
        <v>3.6 µA</v>
      </c>
      <c r="U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V92" t="b">
        <f ca="1">Validation[[#This Row],[Desired Result]]=Validation[[#This Row],[Result]]</f>
        <v>1</v>
      </c>
      <c r="W92" t="b">
        <v>1</v>
      </c>
      <c r="X92" t="b">
        <f>Validation[[#This Row],[Range1_Low]]&gt;=Validation[[#This Row],[Range1_High]]</f>
        <v>0</v>
      </c>
      <c r="Y92" s="111" t="s">
        <v>2843</v>
      </c>
    </row>
    <row r="93" spans="1:25" ht="15.75" thickTop="1" x14ac:dyDescent="0.25">
      <c r="A93" t="s">
        <v>55</v>
      </c>
      <c r="B93" t="s">
        <v>46</v>
      </c>
      <c r="C93">
        <v>0</v>
      </c>
      <c r="D93">
        <v>9.9999999999999995E-8</v>
      </c>
      <c r="E93">
        <v>1.0000000000000001E-5</v>
      </c>
      <c r="F93" t="s">
        <v>13</v>
      </c>
      <c r="G93" t="s">
        <v>70</v>
      </c>
      <c r="H93">
        <v>0</v>
      </c>
      <c r="I93">
        <v>0</v>
      </c>
      <c r="J93" t="s">
        <v>2833</v>
      </c>
      <c r="K93">
        <v>5773.6</v>
      </c>
      <c r="L93">
        <v>26.713999999999999</v>
      </c>
      <c r="M93">
        <v>5773.6</v>
      </c>
      <c r="N93">
        <v>0.28803000000000001</v>
      </c>
      <c r="O93" t="s">
        <v>2833</v>
      </c>
      <c r="P93" t="s">
        <v>2833</v>
      </c>
      <c r="Q93" t="s">
        <v>2833</v>
      </c>
      <c r="R93">
        <f ca="1">RAND()*(Validation[[#This Row],[Range1_High]]-Validation[[#This Row],[Range1_Low]])+Validation[[#This Row],[Range1_Low]]</f>
        <v>6.7154286203626812E-8</v>
      </c>
      <c r="S93">
        <f>Validation[[#This Row],[Range2_High]]</f>
        <v>0</v>
      </c>
      <c r="T93" t="str" cm="1">
        <f t="array" aca="1" ref="T93" ca="1">RoundToTwoSigFigs(Validation[[#This Row],[Test Reading]]*Validation[[#This Row],[Mult]]+Validation[[#This Row],[Base]]) &amp;" "&amp;Validation[[#This Row],[Uncert_Units]]</f>
        <v>5800 nA</v>
      </c>
      <c r="U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V93" t="b">
        <f ca="1">Validation[[#This Row],[Desired Result]]=Validation[[#This Row],[Result]]</f>
        <v>1</v>
      </c>
      <c r="W93" t="b">
        <v>0</v>
      </c>
      <c r="X93" t="b">
        <f>Validation[[#This Row],[Range1_Low]]&gt;=Validation[[#This Row],[Range1_High]]</f>
        <v>0</v>
      </c>
      <c r="Y93" s="111" t="s">
        <v>2845</v>
      </c>
    </row>
    <row r="94" spans="1:25" ht="15.75" thickBot="1" x14ac:dyDescent="0.3">
      <c r="A94" t="s">
        <v>54</v>
      </c>
      <c r="B94" t="s">
        <v>46</v>
      </c>
      <c r="C94">
        <v>3</v>
      </c>
      <c r="D94">
        <v>11.000999999999999</v>
      </c>
      <c r="E94">
        <v>0.1</v>
      </c>
      <c r="F94" t="s">
        <v>13</v>
      </c>
      <c r="G94" t="s">
        <v>12</v>
      </c>
      <c r="H94">
        <v>0</v>
      </c>
      <c r="I94">
        <v>0</v>
      </c>
      <c r="J94" t="s">
        <v>2833</v>
      </c>
      <c r="K94">
        <v>57.764000000000003</v>
      </c>
      <c r="L94">
        <v>0.10059999999999999</v>
      </c>
      <c r="M94">
        <v>57.764000000000003</v>
      </c>
      <c r="N94">
        <v>9.9908999999999998E-2</v>
      </c>
      <c r="O94" t="s">
        <v>2833</v>
      </c>
      <c r="P94" t="s">
        <v>2833</v>
      </c>
      <c r="Q94" t="s">
        <v>2833</v>
      </c>
      <c r="R94">
        <f ca="1">RAND()*(Validation[[#This Row],[Range1_High]]-Validation[[#This Row],[Range1_Low]])+Validation[[#This Row],[Range1_Low]]</f>
        <v>4.8865936101842378</v>
      </c>
      <c r="S94">
        <f>Validation[[#This Row],[Range2_High]]</f>
        <v>0</v>
      </c>
      <c r="T94" t="str" cm="1">
        <f t="array" aca="1" ref="T94" ca="1">RoundToTwoSigFigs(Validation[[#This Row],[Test Reading]]*Validation[[#This Row],[Mult]]+Validation[[#This Row],[Base]]) &amp;" "&amp;Validation[[#This Row],[Uncert_Units]]</f>
        <v>58 mA</v>
      </c>
      <c r="U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94" t="b">
        <f ca="1">Validation[[#This Row],[Desired Result]]=Validation[[#This Row],[Result]]</f>
        <v>1</v>
      </c>
      <c r="W94" t="b">
        <v>0</v>
      </c>
      <c r="X94" t="b">
        <f>Validation[[#This Row],[Range1_Low]]&gt;=Validation[[#This Row],[Range1_High]]</f>
        <v>0</v>
      </c>
      <c r="Y94" s="111" t="s">
        <v>2845</v>
      </c>
    </row>
    <row r="95" spans="1:25" ht="16.5" thickTop="1" thickBot="1" x14ac:dyDescent="0.3">
      <c r="A95" t="s">
        <v>68</v>
      </c>
      <c r="B95" t="s">
        <v>46</v>
      </c>
      <c r="C95" s="113">
        <v>1E-3</v>
      </c>
      <c r="D95" s="113">
        <v>0.01</v>
      </c>
      <c r="E95">
        <v>9.9999999999999995E-7</v>
      </c>
      <c r="F95" t="s">
        <v>13</v>
      </c>
      <c r="G95" t="s">
        <v>11</v>
      </c>
      <c r="H95">
        <v>0</v>
      </c>
      <c r="I95">
        <v>0</v>
      </c>
      <c r="J95" t="s">
        <v>2833</v>
      </c>
      <c r="K95">
        <v>1.2739</v>
      </c>
      <c r="L95">
        <v>339.07</v>
      </c>
      <c r="M95">
        <v>1.2734000000000001</v>
      </c>
      <c r="N95">
        <v>339.08</v>
      </c>
      <c r="O95" t="s">
        <v>2833</v>
      </c>
      <c r="P95" t="s">
        <v>2833</v>
      </c>
      <c r="Q95" t="s">
        <v>2833</v>
      </c>
      <c r="R95">
        <f ca="1">RAND()*(Validation[[#This Row],[Range1_High]]-Validation[[#This Row],[Range1_Low]])+Validation[[#This Row],[Range1_Low]]</f>
        <v>8.0153334107457494E-3</v>
      </c>
      <c r="S95">
        <f>Validation[[#This Row],[Range2_High]]</f>
        <v>0</v>
      </c>
      <c r="T95" t="str" cm="1">
        <f t="array" aca="1" ref="T95" ca="1">RoundToTwoSigFigs(Validation[[#This Row],[Test Reading]]*Validation[[#This Row],[Mult]]+Validation[[#This Row],[Base]]) &amp;" "&amp;Validation[[#This Row],[Uncert_Units]]</f>
        <v>4 µA</v>
      </c>
      <c r="U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V95" t="b">
        <f ca="1">Validation[[#This Row],[Desired Result]]=Validation[[#This Row],[Result]]</f>
        <v>1</v>
      </c>
      <c r="W95" t="b">
        <v>1</v>
      </c>
      <c r="X95" t="b">
        <f>Validation[[#This Row],[Range1_Low]]&gt;=Validation[[#This Row],[Range1_High]]</f>
        <v>0</v>
      </c>
      <c r="Y95" s="111" t="s">
        <v>2843</v>
      </c>
    </row>
    <row r="96" spans="1:25" ht="16.5" thickTop="1" thickBot="1" x14ac:dyDescent="0.3">
      <c r="A96" t="s">
        <v>54</v>
      </c>
      <c r="B96" t="s">
        <v>46</v>
      </c>
      <c r="C96" s="113">
        <v>3.3E-4</v>
      </c>
      <c r="D96" s="113">
        <v>3.3000999999999998E-3</v>
      </c>
      <c r="E96">
        <v>9.9999999999999995E-8</v>
      </c>
      <c r="F96" t="s">
        <v>13</v>
      </c>
      <c r="G96" t="s">
        <v>11</v>
      </c>
      <c r="H96">
        <v>0</v>
      </c>
      <c r="I96">
        <v>0</v>
      </c>
      <c r="J96" t="s">
        <v>2833</v>
      </c>
      <c r="K96">
        <v>7.6187000000000005E-2</v>
      </c>
      <c r="L96">
        <v>148.47</v>
      </c>
      <c r="M96">
        <v>7.3319999999999996E-2</v>
      </c>
      <c r="N96">
        <v>149.02000000000001</v>
      </c>
      <c r="O96" t="s">
        <v>2833</v>
      </c>
      <c r="P96" t="s">
        <v>2833</v>
      </c>
      <c r="Q96" t="s">
        <v>2833</v>
      </c>
      <c r="R96">
        <f ca="1">RAND()*(Validation[[#This Row],[Range1_High]]-Validation[[#This Row],[Range1_Low]])+Validation[[#This Row],[Range1_Low]]</f>
        <v>3.1560379757712663E-3</v>
      </c>
      <c r="S96">
        <f>Validation[[#This Row],[Range2_High]]</f>
        <v>0</v>
      </c>
      <c r="T96" t="str" cm="1">
        <f t="array" aca="1" ref="T96" ca="1">RoundToTwoSigFigs(Validation[[#This Row],[Test Reading]]*Validation[[#This Row],[Mult]]+Validation[[#This Row],[Base]]) &amp;" "&amp;Validation[[#This Row],[Uncert_Units]]</f>
        <v>0.54 µA</v>
      </c>
      <c r="U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V96" t="b">
        <f ca="1">Validation[[#This Row],[Desired Result]]=Validation[[#This Row],[Result]]</f>
        <v>1</v>
      </c>
      <c r="W96" t="b">
        <v>1</v>
      </c>
      <c r="X96" t="b">
        <f>Validation[[#This Row],[Range1_Low]]&gt;=Validation[[#This Row],[Range1_High]]</f>
        <v>0</v>
      </c>
      <c r="Y96" s="111" t="s">
        <v>2843</v>
      </c>
    </row>
    <row r="97" spans="1:25" ht="16.5" thickTop="1" thickBot="1" x14ac:dyDescent="0.3">
      <c r="A97" t="s">
        <v>55</v>
      </c>
      <c r="B97" t="s">
        <v>46</v>
      </c>
      <c r="C97" s="113">
        <v>0.01</v>
      </c>
      <c r="D97" s="113">
        <v>0.1</v>
      </c>
      <c r="E97">
        <v>9.9999999999999995E-8</v>
      </c>
      <c r="F97" t="s">
        <v>13</v>
      </c>
      <c r="G97" t="s">
        <v>11</v>
      </c>
      <c r="H97">
        <v>0</v>
      </c>
      <c r="I97">
        <v>0</v>
      </c>
      <c r="J97" t="s">
        <v>2833</v>
      </c>
      <c r="K97">
        <v>0.67</v>
      </c>
      <c r="L97">
        <v>40.353999999999999</v>
      </c>
      <c r="M97">
        <v>0.57628999999999997</v>
      </c>
      <c r="N97">
        <v>40.844000000000001</v>
      </c>
      <c r="O97" t="s">
        <v>2833</v>
      </c>
      <c r="P97" t="s">
        <v>2833</v>
      </c>
      <c r="Q97" t="s">
        <v>2833</v>
      </c>
      <c r="R97">
        <f ca="1">RAND()*(Validation[[#This Row],[Range1_High]]-Validation[[#This Row],[Range1_Low]])+Validation[[#This Row],[Range1_Low]]</f>
        <v>8.7532339086933433E-2</v>
      </c>
      <c r="S97">
        <f>Validation[[#This Row],[Range2_High]]</f>
        <v>0</v>
      </c>
      <c r="T97" t="str" cm="1">
        <f t="array" aca="1" ref="T97" ca="1">RoundToTwoSigFigs(Validation[[#This Row],[Test Reading]]*Validation[[#This Row],[Mult]]+Validation[[#This Row],[Base]]) &amp;" "&amp;Validation[[#This Row],[Uncert_Units]]</f>
        <v>4.2 µA</v>
      </c>
      <c r="U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V97" t="b">
        <f ca="1">Validation[[#This Row],[Desired Result]]=Validation[[#This Row],[Result]]</f>
        <v>1</v>
      </c>
      <c r="W97" t="b">
        <v>1</v>
      </c>
      <c r="X97" t="b">
        <f>Validation[[#This Row],[Range1_Low]]&gt;=Validation[[#This Row],[Range1_High]]</f>
        <v>0</v>
      </c>
      <c r="Y97" s="111" t="s">
        <v>2843</v>
      </c>
    </row>
    <row r="98" spans="1:25" ht="15.75" thickTop="1" x14ac:dyDescent="0.25">
      <c r="A98" t="s">
        <v>54</v>
      </c>
      <c r="B98" t="s">
        <v>46</v>
      </c>
      <c r="C98">
        <v>0.33</v>
      </c>
      <c r="D98">
        <v>3.0001000000000002</v>
      </c>
      <c r="E98">
        <v>0.1</v>
      </c>
      <c r="F98" t="s">
        <v>13</v>
      </c>
      <c r="G98" t="s">
        <v>12</v>
      </c>
      <c r="H98">
        <v>0</v>
      </c>
      <c r="I98">
        <v>0</v>
      </c>
      <c r="J98" t="s">
        <v>2833</v>
      </c>
      <c r="K98">
        <v>57.997999999999998</v>
      </c>
      <c r="L98">
        <v>6.0523E-3</v>
      </c>
      <c r="M98">
        <v>57.997999999999998</v>
      </c>
      <c r="N98">
        <v>5.9106000000000002E-3</v>
      </c>
      <c r="O98" t="s">
        <v>2833</v>
      </c>
      <c r="P98" t="s">
        <v>2833</v>
      </c>
      <c r="Q98" t="s">
        <v>2833</v>
      </c>
      <c r="R98">
        <f ca="1">RAND()*(Validation[[#This Row],[Range1_High]]-Validation[[#This Row],[Range1_Low]])+Validation[[#This Row],[Range1_Low]]</f>
        <v>2.4348106012180053</v>
      </c>
      <c r="S98">
        <f>Validation[[#This Row],[Range2_High]]</f>
        <v>0</v>
      </c>
      <c r="T98" t="str" cm="1">
        <f t="array" aca="1" ref="T98" ca="1">RoundToTwoSigFigs(Validation[[#This Row],[Test Reading]]*Validation[[#This Row],[Mult]]+Validation[[#This Row],[Base]]) &amp;" "&amp;Validation[[#This Row],[Uncert_Units]]</f>
        <v>58 mA</v>
      </c>
      <c r="U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98" t="b">
        <f ca="1">Validation[[#This Row],[Desired Result]]=Validation[[#This Row],[Result]]</f>
        <v>1</v>
      </c>
      <c r="W98" t="b">
        <v>0</v>
      </c>
      <c r="X98" t="b">
        <f>Validation[[#This Row],[Range1_Low]]&gt;=Validation[[#This Row],[Range1_High]]</f>
        <v>0</v>
      </c>
      <c r="Y98" s="111" t="s">
        <v>2845</v>
      </c>
    </row>
    <row r="99" spans="1:25" ht="15.75" thickBot="1" x14ac:dyDescent="0.3">
      <c r="A99" t="s">
        <v>55</v>
      </c>
      <c r="B99" t="s">
        <v>46</v>
      </c>
      <c r="C99">
        <v>1E-4</v>
      </c>
      <c r="D99">
        <v>1E-3</v>
      </c>
      <c r="E99">
        <v>9.9999999999999995E-8</v>
      </c>
      <c r="F99" t="s">
        <v>13</v>
      </c>
      <c r="G99" t="s">
        <v>70</v>
      </c>
      <c r="H99">
        <v>0</v>
      </c>
      <c r="I99">
        <v>0</v>
      </c>
      <c r="J99" t="s">
        <v>2833</v>
      </c>
      <c r="K99">
        <v>57.585999999999999</v>
      </c>
      <c r="L99">
        <v>7177.2</v>
      </c>
      <c r="M99">
        <v>57.585000000000001</v>
      </c>
      <c r="N99">
        <v>7158.5</v>
      </c>
      <c r="O99" t="s">
        <v>2833</v>
      </c>
      <c r="P99" t="s">
        <v>2833</v>
      </c>
      <c r="Q99" t="s">
        <v>2833</v>
      </c>
      <c r="R99">
        <f ca="1">RAND()*(Validation[[#This Row],[Range1_High]]-Validation[[#This Row],[Range1_Low]])+Validation[[#This Row],[Range1_Low]]</f>
        <v>5.9910074936962525E-4</v>
      </c>
      <c r="S99">
        <f>Validation[[#This Row],[Range2_High]]</f>
        <v>0</v>
      </c>
      <c r="T99" t="str" cm="1">
        <f t="array" aca="1" ref="T99" ca="1">RoundToTwoSigFigs(Validation[[#This Row],[Test Reading]]*Validation[[#This Row],[Mult]]+Validation[[#This Row],[Base]]) &amp;" "&amp;Validation[[#This Row],[Uncert_Units]]</f>
        <v>62 nA</v>
      </c>
      <c r="U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nA</v>
      </c>
      <c r="V99" t="b">
        <f ca="1">Validation[[#This Row],[Desired Result]]=Validation[[#This Row],[Result]]</f>
        <v>1</v>
      </c>
      <c r="W99" t="b">
        <v>0</v>
      </c>
      <c r="X99" t="b">
        <f>Validation[[#This Row],[Range1_Low]]&gt;=Validation[[#This Row],[Range1_High]]</f>
        <v>0</v>
      </c>
      <c r="Y99" s="111" t="s">
        <v>2845</v>
      </c>
    </row>
    <row r="100" spans="1:25" ht="16.5" thickTop="1" thickBot="1" x14ac:dyDescent="0.3">
      <c r="A100" t="s">
        <v>55</v>
      </c>
      <c r="B100" t="s">
        <v>46</v>
      </c>
      <c r="C100" s="113">
        <v>1E-3</v>
      </c>
      <c r="D100" s="113">
        <v>0.01</v>
      </c>
      <c r="E100">
        <v>9.9999999999999995E-8</v>
      </c>
      <c r="F100" t="s">
        <v>13</v>
      </c>
      <c r="G100" t="s">
        <v>11</v>
      </c>
      <c r="H100">
        <v>0</v>
      </c>
      <c r="I100">
        <v>0</v>
      </c>
      <c r="J100" t="s">
        <v>2833</v>
      </c>
      <c r="K100">
        <v>7.7329999999999996E-2</v>
      </c>
      <c r="L100">
        <v>22.172999999999998</v>
      </c>
      <c r="M100">
        <v>7.7294000000000002E-2</v>
      </c>
      <c r="N100">
        <v>22.166</v>
      </c>
      <c r="O100" t="s">
        <v>2833</v>
      </c>
      <c r="P100" t="s">
        <v>2833</v>
      </c>
      <c r="Q100" t="s">
        <v>2833</v>
      </c>
      <c r="R100">
        <f ca="1">RAND()*(Validation[[#This Row],[Range1_High]]-Validation[[#This Row],[Range1_Low]])+Validation[[#This Row],[Range1_Low]]</f>
        <v>1.5177729496678588E-3</v>
      </c>
      <c r="S100">
        <f>Validation[[#This Row],[Range2_High]]</f>
        <v>0</v>
      </c>
      <c r="T100" t="str" cm="1">
        <f t="array" aca="1" ref="T100" ca="1">RoundToTwoSigFigs(Validation[[#This Row],[Test Reading]]*Validation[[#This Row],[Mult]]+Validation[[#This Row],[Base]]) &amp;" "&amp;Validation[[#This Row],[Uncert_Units]]</f>
        <v>0.11 µA</v>
      </c>
      <c r="U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V100" t="b">
        <f ca="1">Validation[[#This Row],[Desired Result]]=Validation[[#This Row],[Result]]</f>
        <v>1</v>
      </c>
      <c r="W100" t="b">
        <v>1</v>
      </c>
      <c r="X100" t="b">
        <f>Validation[[#This Row],[Range1_Low]]&gt;=Validation[[#This Row],[Range1_High]]</f>
        <v>0</v>
      </c>
      <c r="Y100" s="111" t="s">
        <v>2843</v>
      </c>
    </row>
    <row r="101" spans="1:25" ht="16.5" thickTop="1" thickBot="1" x14ac:dyDescent="0.3">
      <c r="A101" t="s">
        <v>55</v>
      </c>
      <c r="B101" t="s">
        <v>46</v>
      </c>
      <c r="C101" s="113">
        <v>9.9999999999999995E-8</v>
      </c>
      <c r="D101" s="113">
        <v>9.9999999999999995E-7</v>
      </c>
      <c r="E101">
        <v>9.9999999999999994E-12</v>
      </c>
      <c r="F101" t="s">
        <v>13</v>
      </c>
      <c r="G101" t="s">
        <v>70</v>
      </c>
      <c r="H101">
        <v>0</v>
      </c>
      <c r="I101">
        <v>0</v>
      </c>
      <c r="J101" t="s">
        <v>2833</v>
      </c>
      <c r="K101">
        <v>4.8000000000000001E-2</v>
      </c>
      <c r="L101">
        <v>23271</v>
      </c>
      <c r="M101">
        <v>4.6424E-2</v>
      </c>
      <c r="N101">
        <v>24708</v>
      </c>
      <c r="O101" t="s">
        <v>2833</v>
      </c>
      <c r="P101" t="s">
        <v>2833</v>
      </c>
      <c r="Q101" t="s">
        <v>2833</v>
      </c>
      <c r="R101">
        <f ca="1">RAND()*(Validation[[#This Row],[Range1_High]]-Validation[[#This Row],[Range1_Low]])+Validation[[#This Row],[Range1_Low]]</f>
        <v>6.9359757706201744E-7</v>
      </c>
      <c r="S101">
        <f>Validation[[#This Row],[Range2_High]]</f>
        <v>0</v>
      </c>
      <c r="T101" t="str" cm="1">
        <f t="array" aca="1" ref="T101" ca="1">RoundToTwoSigFigs(Validation[[#This Row],[Test Reading]]*Validation[[#This Row],[Mult]]+Validation[[#This Row],[Base]]) &amp;" "&amp;Validation[[#This Row],[Uncert_Units]]</f>
        <v>0.064 nA</v>
      </c>
      <c r="U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0.064 nA</v>
      </c>
      <c r="V101" t="b">
        <f ca="1">Validation[[#This Row],[Desired Result]]=Validation[[#This Row],[Result]]</f>
        <v>1</v>
      </c>
      <c r="W101" t="b">
        <v>1</v>
      </c>
      <c r="X101" t="b">
        <f>Validation[[#This Row],[Range1_Low]]&gt;=Validation[[#This Row],[Range1_High]]</f>
        <v>0</v>
      </c>
      <c r="Y101" s="111" t="s">
        <v>2843</v>
      </c>
    </row>
    <row r="102" spans="1:25" ht="16.5" thickTop="1" thickBot="1" x14ac:dyDescent="0.3">
      <c r="A102" t="s">
        <v>55</v>
      </c>
      <c r="B102" t="s">
        <v>46</v>
      </c>
      <c r="C102" s="113">
        <v>0.01</v>
      </c>
      <c r="D102" s="113">
        <v>0.1</v>
      </c>
      <c r="E102">
        <v>1.0000000000000001E-5</v>
      </c>
      <c r="F102" t="s">
        <v>13</v>
      </c>
      <c r="G102" t="s">
        <v>11</v>
      </c>
      <c r="H102">
        <v>0</v>
      </c>
      <c r="I102">
        <v>0</v>
      </c>
      <c r="J102" t="s">
        <v>2833</v>
      </c>
      <c r="K102">
        <v>5.6886000000000001</v>
      </c>
      <c r="L102">
        <v>17.431000000000001</v>
      </c>
      <c r="M102">
        <v>5.6829999999999998</v>
      </c>
      <c r="N102">
        <v>17.367999999999999</v>
      </c>
      <c r="O102" t="s">
        <v>2833</v>
      </c>
      <c r="P102" t="s">
        <v>2833</v>
      </c>
      <c r="Q102" t="s">
        <v>2833</v>
      </c>
      <c r="R102">
        <f ca="1">RAND()*(Validation[[#This Row],[Range1_High]]-Validation[[#This Row],[Range1_Low]])+Validation[[#This Row],[Range1_Low]]</f>
        <v>7.9965526755592292E-2</v>
      </c>
      <c r="S102">
        <f>Validation[[#This Row],[Range2_High]]</f>
        <v>0</v>
      </c>
      <c r="T102" t="str" cm="1">
        <f t="array" aca="1" ref="T102" ca="1">RoundToTwoSigFigs(Validation[[#This Row],[Test Reading]]*Validation[[#This Row],[Mult]]+Validation[[#This Row],[Base]]) &amp;" "&amp;Validation[[#This Row],[Uncert_Units]]</f>
        <v>7.1 µA</v>
      </c>
      <c r="U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V102" t="b">
        <f ca="1">Validation[[#This Row],[Desired Result]]=Validation[[#This Row],[Result]]</f>
        <v>1</v>
      </c>
      <c r="W102" t="b">
        <v>1</v>
      </c>
      <c r="X102" t="b">
        <f>Validation[[#This Row],[Range1_Low]]&gt;=Validation[[#This Row],[Range1_High]]</f>
        <v>0</v>
      </c>
      <c r="Y102" s="111" t="s">
        <v>2843</v>
      </c>
    </row>
    <row r="103" spans="1:25" ht="16.5" thickTop="1" thickBot="1" x14ac:dyDescent="0.3">
      <c r="A103" t="s">
        <v>55</v>
      </c>
      <c r="B103" t="s">
        <v>46</v>
      </c>
      <c r="C103" s="113">
        <v>1E-4</v>
      </c>
      <c r="D103" s="113">
        <v>1E-3</v>
      </c>
      <c r="E103">
        <v>1E-10</v>
      </c>
      <c r="F103" t="s">
        <v>13</v>
      </c>
      <c r="G103" t="s">
        <v>70</v>
      </c>
      <c r="H103">
        <v>0</v>
      </c>
      <c r="I103">
        <v>0</v>
      </c>
      <c r="J103" t="s">
        <v>2833</v>
      </c>
      <c r="K103">
        <v>6.3</v>
      </c>
      <c r="L103">
        <v>23000</v>
      </c>
      <c r="M103">
        <v>5.7455999999999996</v>
      </c>
      <c r="N103">
        <v>23552</v>
      </c>
      <c r="O103" t="s">
        <v>2833</v>
      </c>
      <c r="P103" t="s">
        <v>2833</v>
      </c>
      <c r="Q103" t="s">
        <v>2833</v>
      </c>
      <c r="R103">
        <f ca="1">RAND()*(Validation[[#This Row],[Range1_High]]-Validation[[#This Row],[Range1_Low]])+Validation[[#This Row],[Range1_Low]]</f>
        <v>3.7566923309844194E-4</v>
      </c>
      <c r="S103">
        <f>Validation[[#This Row],[Range2_High]]</f>
        <v>0</v>
      </c>
      <c r="T103" t="str" cm="1">
        <f t="array" aca="1" ref="T103" ca="1">RoundToTwoSigFigs(Validation[[#This Row],[Test Reading]]*Validation[[#This Row],[Mult]]+Validation[[#This Row],[Base]]) &amp;" "&amp;Validation[[#This Row],[Uncert_Units]]</f>
        <v>15 nA</v>
      </c>
      <c r="U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nA</v>
      </c>
      <c r="V103" t="b">
        <f ca="1">Validation[[#This Row],[Desired Result]]=Validation[[#This Row],[Result]]</f>
        <v>1</v>
      </c>
      <c r="W103" t="b">
        <v>1</v>
      </c>
      <c r="X103" t="b">
        <f>Validation[[#This Row],[Range1_Low]]&gt;=Validation[[#This Row],[Range1_High]]</f>
        <v>0</v>
      </c>
      <c r="Y103" s="111" t="s">
        <v>2843</v>
      </c>
    </row>
    <row r="104" spans="1:25" ht="16.5" thickTop="1" thickBot="1" x14ac:dyDescent="0.3">
      <c r="A104" t="s">
        <v>55</v>
      </c>
      <c r="B104" t="s">
        <v>46</v>
      </c>
      <c r="C104" s="113">
        <v>1E-3</v>
      </c>
      <c r="D104" s="113">
        <v>0.01</v>
      </c>
      <c r="E104">
        <v>1.0000000000000001E-5</v>
      </c>
      <c r="F104" t="s">
        <v>13</v>
      </c>
      <c r="G104" t="s">
        <v>11</v>
      </c>
      <c r="H104">
        <v>0</v>
      </c>
      <c r="I104">
        <v>0</v>
      </c>
      <c r="J104" t="s">
        <v>2833</v>
      </c>
      <c r="K104">
        <v>5.7733999999999996</v>
      </c>
      <c r="L104">
        <v>0.77276999999999996</v>
      </c>
      <c r="M104">
        <v>5.7733999999999996</v>
      </c>
      <c r="N104">
        <v>0.76426000000000005</v>
      </c>
      <c r="O104" t="s">
        <v>2833</v>
      </c>
      <c r="P104" t="s">
        <v>2833</v>
      </c>
      <c r="Q104" t="s">
        <v>2833</v>
      </c>
      <c r="R104">
        <f ca="1">RAND()*(Validation[[#This Row],[Range1_High]]-Validation[[#This Row],[Range1_Low]])+Validation[[#This Row],[Range1_Low]]</f>
        <v>5.4748636688282176E-3</v>
      </c>
      <c r="S104">
        <f>Validation[[#This Row],[Range2_High]]</f>
        <v>0</v>
      </c>
      <c r="T104" t="str" cm="1">
        <f t="array" aca="1" ref="T104" ca="1">RoundToTwoSigFigs(Validation[[#This Row],[Test Reading]]*Validation[[#This Row],[Mult]]+Validation[[#This Row],[Base]]) &amp;" "&amp;Validation[[#This Row],[Uncert_Units]]</f>
        <v>5.8 µA</v>
      </c>
      <c r="U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04" t="b">
        <f ca="1">Validation[[#This Row],[Desired Result]]=Validation[[#This Row],[Result]]</f>
        <v>1</v>
      </c>
      <c r="W104" t="b">
        <v>1</v>
      </c>
      <c r="X104" t="b">
        <f>Validation[[#This Row],[Range1_Low]]&gt;=Validation[[#This Row],[Range1_High]]</f>
        <v>0</v>
      </c>
      <c r="Y104" s="111" t="s">
        <v>2843</v>
      </c>
    </row>
    <row r="105" spans="1:25" ht="15.75" thickTop="1" x14ac:dyDescent="0.25">
      <c r="A105" t="s">
        <v>54</v>
      </c>
      <c r="B105" t="s">
        <v>46</v>
      </c>
      <c r="C105">
        <v>3.3000000000000002E-2</v>
      </c>
      <c r="D105">
        <v>0.33001000000000003</v>
      </c>
      <c r="E105">
        <v>0.01</v>
      </c>
      <c r="F105" t="s">
        <v>13</v>
      </c>
      <c r="G105" t="s">
        <v>11</v>
      </c>
      <c r="H105">
        <v>0</v>
      </c>
      <c r="I105">
        <v>0</v>
      </c>
      <c r="J105" t="s">
        <v>2833</v>
      </c>
      <c r="K105">
        <v>5800</v>
      </c>
      <c r="L105">
        <v>0.48270000000000002</v>
      </c>
      <c r="M105">
        <v>5800</v>
      </c>
      <c r="N105">
        <v>0.47471000000000002</v>
      </c>
      <c r="O105" t="s">
        <v>2833</v>
      </c>
      <c r="P105" t="s">
        <v>2833</v>
      </c>
      <c r="Q105" t="s">
        <v>2833</v>
      </c>
      <c r="R105">
        <f ca="1">RAND()*(Validation[[#This Row],[Range1_High]]-Validation[[#This Row],[Range1_Low]])+Validation[[#This Row],[Range1_Low]]</f>
        <v>4.5114589033037104E-2</v>
      </c>
      <c r="S105">
        <f>Validation[[#This Row],[Range2_High]]</f>
        <v>0</v>
      </c>
      <c r="T105" t="str" cm="1">
        <f t="array" aca="1" ref="T105" ca="1">RoundToTwoSigFigs(Validation[[#This Row],[Test Reading]]*Validation[[#This Row],[Mult]]+Validation[[#This Row],[Base]]) &amp;" "&amp;Validation[[#This Row],[Uncert_Units]]</f>
        <v>5800 µA</v>
      </c>
      <c r="U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05" t="b">
        <f ca="1">Validation[[#This Row],[Desired Result]]=Validation[[#This Row],[Result]]</f>
        <v>1</v>
      </c>
      <c r="W105" t="b">
        <v>0</v>
      </c>
      <c r="X105" t="b">
        <f>Validation[[#This Row],[Range1_Low]]&gt;=Validation[[#This Row],[Range1_High]]</f>
        <v>0</v>
      </c>
      <c r="Y105" s="111" t="s">
        <v>2845</v>
      </c>
    </row>
    <row r="106" spans="1:25" x14ac:dyDescent="0.25">
      <c r="A106" t="s">
        <v>54</v>
      </c>
      <c r="B106" t="s">
        <v>58</v>
      </c>
      <c r="C106">
        <v>11</v>
      </c>
      <c r="D106">
        <v>30.001000000000001</v>
      </c>
      <c r="E106">
        <v>1</v>
      </c>
      <c r="F106" t="s">
        <v>13</v>
      </c>
      <c r="G106" t="s">
        <v>12</v>
      </c>
      <c r="H106">
        <v>0</v>
      </c>
      <c r="I106">
        <v>0</v>
      </c>
      <c r="J106" t="s">
        <v>2833</v>
      </c>
      <c r="K106">
        <v>576.16999999999996</v>
      </c>
      <c r="L106">
        <v>0.15057999999999999</v>
      </c>
      <c r="M106">
        <v>576.16</v>
      </c>
      <c r="N106">
        <v>0.14877000000000001</v>
      </c>
      <c r="O106" t="s">
        <v>2833</v>
      </c>
      <c r="P106" t="s">
        <v>157</v>
      </c>
      <c r="Q106" t="s">
        <v>2833</v>
      </c>
      <c r="R106">
        <f ca="1">RAND()*(Validation[[#This Row],[Range1_High]]-Validation[[#This Row],[Range1_Low]])+Validation[[#This Row],[Range1_Low]]</f>
        <v>23.808936462842979</v>
      </c>
      <c r="S106">
        <f>Validation[[#This Row],[Range2_High]]</f>
        <v>0</v>
      </c>
      <c r="T106" t="str" cm="1">
        <f t="array" aca="1" ref="T106" ca="1">RoundToTwoSigFigs(Validation[[#This Row],[Test Reading]]*Validation[[#This Row],[Mult]]+Validation[[#This Row],[Base]]) &amp;" "&amp;Validation[[#This Row],[Uncert_Units]]</f>
        <v>580 mA</v>
      </c>
      <c r="U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106" t="b">
        <f ca="1">Validation[[#This Row],[Desired Result]]=Validation[[#This Row],[Result]]</f>
        <v>1</v>
      </c>
      <c r="W106" t="b">
        <v>0</v>
      </c>
      <c r="X106" t="b">
        <f>Validation[[#This Row],[Range1_Low]]&gt;=Validation[[#This Row],[Range1_High]]</f>
        <v>0</v>
      </c>
      <c r="Y106" s="111" t="s">
        <v>2845</v>
      </c>
    </row>
    <row r="107" spans="1:25" x14ac:dyDescent="0.25">
      <c r="A107" t="s">
        <v>54</v>
      </c>
      <c r="B107" t="s">
        <v>58</v>
      </c>
      <c r="C107">
        <v>11</v>
      </c>
      <c r="D107">
        <v>30.001000000000001</v>
      </c>
      <c r="E107">
        <v>100</v>
      </c>
      <c r="F107" t="s">
        <v>13</v>
      </c>
      <c r="G107" t="s">
        <v>12</v>
      </c>
      <c r="H107">
        <v>0</v>
      </c>
      <c r="I107">
        <v>0</v>
      </c>
      <c r="J107" t="s">
        <v>2833</v>
      </c>
      <c r="K107">
        <v>57736</v>
      </c>
      <c r="L107">
        <v>1.7851E-3</v>
      </c>
      <c r="M107">
        <v>57735</v>
      </c>
      <c r="N107">
        <v>1.4924999999999999E-3</v>
      </c>
      <c r="O107" t="s">
        <v>2833</v>
      </c>
      <c r="P107" t="s">
        <v>157</v>
      </c>
      <c r="Q107" t="s">
        <v>2833</v>
      </c>
      <c r="R107">
        <f ca="1">RAND()*(Validation[[#This Row],[Range1_High]]-Validation[[#This Row],[Range1_Low]])+Validation[[#This Row],[Range1_Low]]</f>
        <v>28.243537088680931</v>
      </c>
      <c r="S107">
        <f>Validation[[#This Row],[Range2_High]]</f>
        <v>0</v>
      </c>
      <c r="T107" t="str" cm="1">
        <f t="array" aca="1" ref="T107" ca="1">RoundToTwoSigFigs(Validation[[#This Row],[Test Reading]]*Validation[[#This Row],[Mult]]+Validation[[#This Row],[Base]]) &amp;" "&amp;Validation[[#This Row],[Uncert_Units]]</f>
        <v>58000 mA</v>
      </c>
      <c r="U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07" t="b">
        <f ca="1">Validation[[#This Row],[Desired Result]]=Validation[[#This Row],[Result]]</f>
        <v>1</v>
      </c>
      <c r="W107" t="b">
        <v>0</v>
      </c>
      <c r="X107" t="b">
        <f>Validation[[#This Row],[Range1_Low]]&gt;=Validation[[#This Row],[Range1_High]]</f>
        <v>0</v>
      </c>
      <c r="Y107" s="111" t="s">
        <v>2845</v>
      </c>
    </row>
    <row r="108" spans="1:25" x14ac:dyDescent="0.25">
      <c r="A108" t="s">
        <v>54</v>
      </c>
      <c r="B108" t="s">
        <v>58</v>
      </c>
      <c r="C108">
        <v>205</v>
      </c>
      <c r="D108">
        <v>206</v>
      </c>
      <c r="E108">
        <v>1</v>
      </c>
      <c r="F108" t="s">
        <v>13</v>
      </c>
      <c r="G108" t="s">
        <v>12</v>
      </c>
      <c r="H108">
        <v>0</v>
      </c>
      <c r="I108">
        <v>0</v>
      </c>
      <c r="J108" t="s">
        <v>2833</v>
      </c>
      <c r="K108">
        <v>497.21</v>
      </c>
      <c r="L108">
        <v>1.2323999999999999</v>
      </c>
      <c r="M108">
        <v>497.26</v>
      </c>
      <c r="N108">
        <v>1.2301</v>
      </c>
      <c r="O108" t="s">
        <v>2833</v>
      </c>
      <c r="P108" t="s">
        <v>157</v>
      </c>
      <c r="Q108" t="s">
        <v>2833</v>
      </c>
      <c r="R108">
        <f ca="1">RAND()*(Validation[[#This Row],[Range1_High]]-Validation[[#This Row],[Range1_Low]])+Validation[[#This Row],[Range1_Low]]</f>
        <v>205.15117218444308</v>
      </c>
      <c r="S108">
        <f>Validation[[#This Row],[Range2_High]]</f>
        <v>0</v>
      </c>
      <c r="T108" t="str" cm="1">
        <f t="array" aca="1" ref="T108" ca="1">RoundToTwoSigFigs(Validation[[#This Row],[Test Reading]]*Validation[[#This Row],[Mult]]+Validation[[#This Row],[Base]]) &amp;" "&amp;Validation[[#This Row],[Uncert_Units]]</f>
        <v>750 mA</v>
      </c>
      <c r="U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V108" t="b">
        <f ca="1">Validation[[#This Row],[Desired Result]]=Validation[[#This Row],[Result]]</f>
        <v>1</v>
      </c>
      <c r="W108" t="b">
        <v>0</v>
      </c>
      <c r="X108" t="b">
        <f>Validation[[#This Row],[Range1_Low]]&gt;=Validation[[#This Row],[Range1_High]]</f>
        <v>0</v>
      </c>
      <c r="Y108" s="111" t="s">
        <v>2845</v>
      </c>
    </row>
    <row r="109" spans="1:25" x14ac:dyDescent="0.25">
      <c r="A109" t="s">
        <v>68</v>
      </c>
      <c r="B109" t="s">
        <v>58</v>
      </c>
      <c r="C109">
        <v>10</v>
      </c>
      <c r="D109">
        <v>102</v>
      </c>
      <c r="E109">
        <v>0.1</v>
      </c>
      <c r="F109" t="s">
        <v>13</v>
      </c>
      <c r="G109" t="s">
        <v>12</v>
      </c>
      <c r="H109">
        <v>0</v>
      </c>
      <c r="I109">
        <v>0</v>
      </c>
      <c r="J109" t="s">
        <v>2833</v>
      </c>
      <c r="K109">
        <v>574.15</v>
      </c>
      <c r="L109">
        <v>0.42863000000000001</v>
      </c>
      <c r="M109">
        <v>574.14</v>
      </c>
      <c r="N109">
        <v>0.42836000000000002</v>
      </c>
      <c r="O109" t="s">
        <v>2833</v>
      </c>
      <c r="P109" t="s">
        <v>157</v>
      </c>
      <c r="Q109" t="s">
        <v>2833</v>
      </c>
      <c r="R109">
        <f ca="1">RAND()*(Validation[[#This Row],[Range1_High]]-Validation[[#This Row],[Range1_Low]])+Validation[[#This Row],[Range1_Low]]</f>
        <v>31.03034420782657</v>
      </c>
      <c r="S109">
        <f>Validation[[#This Row],[Range2_High]]</f>
        <v>0</v>
      </c>
      <c r="T109" t="str" cm="1">
        <f t="array" aca="1" ref="T109" ca="1">RoundToTwoSigFigs(Validation[[#This Row],[Test Reading]]*Validation[[#This Row],[Mult]]+Validation[[#This Row],[Base]]) &amp;" "&amp;Validation[[#This Row],[Uncert_Units]]</f>
        <v>590 mA</v>
      </c>
      <c r="U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V109" t="b">
        <f ca="1">Validation[[#This Row],[Desired Result]]=Validation[[#This Row],[Result]]</f>
        <v>1</v>
      </c>
      <c r="W109" t="b">
        <v>0</v>
      </c>
      <c r="X109" t="b">
        <f>Validation[[#This Row],[Range1_Low]]&gt;=Validation[[#This Row],[Range1_High]]</f>
        <v>0</v>
      </c>
      <c r="Y109" s="111" t="s">
        <v>2845</v>
      </c>
    </row>
    <row r="110" spans="1:25" x14ac:dyDescent="0.25">
      <c r="A110" t="s">
        <v>54</v>
      </c>
      <c r="B110" t="s">
        <v>58</v>
      </c>
      <c r="C110">
        <v>205</v>
      </c>
      <c r="D110">
        <v>206</v>
      </c>
      <c r="E110">
        <v>0.1</v>
      </c>
      <c r="F110" t="s">
        <v>13</v>
      </c>
      <c r="G110" t="s">
        <v>12</v>
      </c>
      <c r="H110">
        <v>0</v>
      </c>
      <c r="I110">
        <v>0</v>
      </c>
      <c r="J110" t="s">
        <v>2833</v>
      </c>
      <c r="K110">
        <v>14.301</v>
      </c>
      <c r="L110">
        <v>2.2787999999999999</v>
      </c>
      <c r="M110">
        <v>14.221</v>
      </c>
      <c r="N110">
        <v>2.2784</v>
      </c>
      <c r="O110" t="s">
        <v>2833</v>
      </c>
      <c r="P110" t="s">
        <v>157</v>
      </c>
      <c r="Q110" t="s">
        <v>2833</v>
      </c>
      <c r="R110">
        <f ca="1">RAND()*(Validation[[#This Row],[Range1_High]]-Validation[[#This Row],[Range1_Low]])+Validation[[#This Row],[Range1_Low]]</f>
        <v>205.59424842374241</v>
      </c>
      <c r="S110">
        <f>Validation[[#This Row],[Range2_High]]</f>
        <v>0</v>
      </c>
      <c r="T110" t="str" cm="1">
        <f t="array" aca="1" ref="T110" ca="1">RoundToTwoSigFigs(Validation[[#This Row],[Test Reading]]*Validation[[#This Row],[Mult]]+Validation[[#This Row],[Base]]) &amp;" "&amp;Validation[[#This Row],[Uncert_Units]]</f>
        <v>480 mA</v>
      </c>
      <c r="U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V110" t="b">
        <f ca="1">Validation[[#This Row],[Desired Result]]=Validation[[#This Row],[Result]]</f>
        <v>1</v>
      </c>
      <c r="W110" t="b">
        <v>0</v>
      </c>
      <c r="X110" t="b">
        <f>Validation[[#This Row],[Range1_Low]]&gt;=Validation[[#This Row],[Range1_High]]</f>
        <v>0</v>
      </c>
      <c r="Y110" s="111" t="s">
        <v>2845</v>
      </c>
    </row>
    <row r="111" spans="1:25" x14ac:dyDescent="0.25">
      <c r="A111" t="s">
        <v>54</v>
      </c>
      <c r="B111" t="s">
        <v>58</v>
      </c>
      <c r="C111">
        <v>1</v>
      </c>
      <c r="D111">
        <v>11.000999999999999</v>
      </c>
      <c r="E111">
        <v>0.1</v>
      </c>
      <c r="F111" t="s">
        <v>13</v>
      </c>
      <c r="G111" t="s">
        <v>12</v>
      </c>
      <c r="H111">
        <v>0</v>
      </c>
      <c r="I111">
        <v>0</v>
      </c>
      <c r="J111" t="s">
        <v>2833</v>
      </c>
      <c r="K111">
        <v>57.372</v>
      </c>
      <c r="L111">
        <v>0.40227000000000002</v>
      </c>
      <c r="M111">
        <v>57.371000000000002</v>
      </c>
      <c r="N111">
        <v>0.40201999999999999</v>
      </c>
      <c r="O111" t="s">
        <v>2833</v>
      </c>
      <c r="P111" t="s">
        <v>157</v>
      </c>
      <c r="Q111" t="s">
        <v>2833</v>
      </c>
      <c r="R111">
        <f ca="1">RAND()*(Validation[[#This Row],[Range1_High]]-Validation[[#This Row],[Range1_Low]])+Validation[[#This Row],[Range1_Low]]</f>
        <v>8.0635242359804771</v>
      </c>
      <c r="S111">
        <f>Validation[[#This Row],[Range2_High]]</f>
        <v>0</v>
      </c>
      <c r="T111" t="str" cm="1">
        <f t="array" aca="1" ref="T111" ca="1">RoundToTwoSigFigs(Validation[[#This Row],[Test Reading]]*Validation[[#This Row],[Mult]]+Validation[[#This Row],[Base]]) &amp;" "&amp;Validation[[#This Row],[Uncert_Units]]</f>
        <v>61 mA</v>
      </c>
      <c r="U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V111" t="b">
        <f ca="1">Validation[[#This Row],[Desired Result]]=Validation[[#This Row],[Result]]</f>
        <v>1</v>
      </c>
      <c r="W111" t="b">
        <v>0</v>
      </c>
      <c r="X111" t="b">
        <f>Validation[[#This Row],[Range1_Low]]&gt;=Validation[[#This Row],[Range1_High]]</f>
        <v>0</v>
      </c>
      <c r="Y111" s="111" t="s">
        <v>2845</v>
      </c>
    </row>
    <row r="112" spans="1:25" x14ac:dyDescent="0.25">
      <c r="A112" t="s">
        <v>54</v>
      </c>
      <c r="B112" t="s">
        <v>58</v>
      </c>
      <c r="C112">
        <v>11</v>
      </c>
      <c r="D112">
        <v>30.001000000000001</v>
      </c>
      <c r="E112">
        <v>0.1</v>
      </c>
      <c r="F112" t="s">
        <v>13</v>
      </c>
      <c r="G112" t="s">
        <v>12</v>
      </c>
      <c r="H112">
        <v>0</v>
      </c>
      <c r="I112">
        <v>0</v>
      </c>
      <c r="J112" t="s">
        <v>2833</v>
      </c>
      <c r="K112">
        <v>49.094000000000001</v>
      </c>
      <c r="L112">
        <v>1.1796</v>
      </c>
      <c r="M112">
        <v>49.066000000000003</v>
      </c>
      <c r="N112">
        <v>1.1772</v>
      </c>
      <c r="O112" t="s">
        <v>2833</v>
      </c>
      <c r="P112" t="s">
        <v>157</v>
      </c>
      <c r="Q112" t="s">
        <v>2833</v>
      </c>
      <c r="R112">
        <f ca="1">RAND()*(Validation[[#This Row],[Range1_High]]-Validation[[#This Row],[Range1_Low]])+Validation[[#This Row],[Range1_Low]]</f>
        <v>29.551715889825715</v>
      </c>
      <c r="S112">
        <f>Validation[[#This Row],[Range2_High]]</f>
        <v>0</v>
      </c>
      <c r="T112" t="str" cm="1">
        <f t="array" aca="1" ref="T112" ca="1">RoundToTwoSigFigs(Validation[[#This Row],[Test Reading]]*Validation[[#This Row],[Mult]]+Validation[[#This Row],[Base]]) &amp;" "&amp;Validation[[#This Row],[Uncert_Units]]</f>
        <v>84 mA</v>
      </c>
      <c r="U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V112" t="b">
        <f ca="1">Validation[[#This Row],[Desired Result]]=Validation[[#This Row],[Result]]</f>
        <v>1</v>
      </c>
      <c r="W112" t="b">
        <v>0</v>
      </c>
      <c r="X112" t="b">
        <f>Validation[[#This Row],[Range1_Low]]&gt;=Validation[[#This Row],[Range1_High]]</f>
        <v>0</v>
      </c>
      <c r="Y112" s="111" t="s">
        <v>2845</v>
      </c>
    </row>
    <row r="113" spans="1:25" x14ac:dyDescent="0.25">
      <c r="A113" t="s">
        <v>54</v>
      </c>
      <c r="B113" t="s">
        <v>58</v>
      </c>
      <c r="C113">
        <v>30</v>
      </c>
      <c r="D113">
        <v>110.01</v>
      </c>
      <c r="E113">
        <v>10</v>
      </c>
      <c r="F113" t="s">
        <v>13</v>
      </c>
      <c r="G113" t="s">
        <v>12</v>
      </c>
      <c r="H113">
        <v>0</v>
      </c>
      <c r="I113">
        <v>0</v>
      </c>
      <c r="J113" t="s">
        <v>2833</v>
      </c>
      <c r="K113">
        <v>5772.3</v>
      </c>
      <c r="L113">
        <v>5.5474999999999997E-2</v>
      </c>
      <c r="M113">
        <v>5772.3</v>
      </c>
      <c r="N113">
        <v>5.4984999999999999E-2</v>
      </c>
      <c r="O113" t="s">
        <v>2833</v>
      </c>
      <c r="P113" t="s">
        <v>157</v>
      </c>
      <c r="Q113" t="s">
        <v>2833</v>
      </c>
      <c r="R113">
        <f ca="1">RAND()*(Validation[[#This Row],[Range1_High]]-Validation[[#This Row],[Range1_Low]])+Validation[[#This Row],[Range1_Low]]</f>
        <v>104.10169017765172</v>
      </c>
      <c r="S113">
        <f>Validation[[#This Row],[Range2_High]]</f>
        <v>0</v>
      </c>
      <c r="T113" t="str" cm="1">
        <f t="array" aca="1" ref="T113" ca="1">RoundToTwoSigFigs(Validation[[#This Row],[Test Reading]]*Validation[[#This Row],[Mult]]+Validation[[#This Row],[Base]]) &amp;" "&amp;Validation[[#This Row],[Uncert_Units]]</f>
        <v>5800 mA</v>
      </c>
      <c r="U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13" t="b">
        <f ca="1">Validation[[#This Row],[Desired Result]]=Validation[[#This Row],[Result]]</f>
        <v>1</v>
      </c>
      <c r="W113" t="b">
        <v>0</v>
      </c>
      <c r="X113" t="b">
        <f>Validation[[#This Row],[Range1_Low]]&gt;=Validation[[#This Row],[Range1_High]]</f>
        <v>0</v>
      </c>
      <c r="Y113" s="111" t="s">
        <v>2845</v>
      </c>
    </row>
    <row r="114" spans="1:25" x14ac:dyDescent="0.25">
      <c r="A114" t="s">
        <v>68</v>
      </c>
      <c r="B114" t="s">
        <v>58</v>
      </c>
      <c r="C114">
        <v>10</v>
      </c>
      <c r="D114">
        <v>102</v>
      </c>
      <c r="E114">
        <v>0.01</v>
      </c>
      <c r="F114" t="s">
        <v>13</v>
      </c>
      <c r="G114" t="s">
        <v>12</v>
      </c>
      <c r="H114">
        <v>0</v>
      </c>
      <c r="I114">
        <v>0</v>
      </c>
      <c r="J114" t="s">
        <v>2833</v>
      </c>
      <c r="K114">
        <v>50.243000000000002</v>
      </c>
      <c r="L114">
        <v>1.7371000000000001</v>
      </c>
      <c r="M114">
        <v>50.216000000000001</v>
      </c>
      <c r="N114">
        <v>1.7371000000000001</v>
      </c>
      <c r="O114" t="s">
        <v>2833</v>
      </c>
      <c r="P114" t="s">
        <v>157</v>
      </c>
      <c r="Q114" t="s">
        <v>2833</v>
      </c>
      <c r="R114">
        <f ca="1">RAND()*(Validation[[#This Row],[Range1_High]]-Validation[[#This Row],[Range1_Low]])+Validation[[#This Row],[Range1_Low]]</f>
        <v>84.648836143380464</v>
      </c>
      <c r="S114">
        <f>Validation[[#This Row],[Range2_High]]</f>
        <v>0</v>
      </c>
      <c r="T114" t="str" cm="1">
        <f t="array" aca="1" ref="T114" ca="1">RoundToTwoSigFigs(Validation[[#This Row],[Test Reading]]*Validation[[#This Row],[Mult]]+Validation[[#This Row],[Base]]) &amp;" "&amp;Validation[[#This Row],[Uncert_Units]]</f>
        <v>200 mA</v>
      </c>
      <c r="U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V114" t="b">
        <f ca="1">Validation[[#This Row],[Desired Result]]=Validation[[#This Row],[Result]]</f>
        <v>1</v>
      </c>
      <c r="W114" t="b">
        <v>0</v>
      </c>
      <c r="X114" t="b">
        <f>Validation[[#This Row],[Range1_Low]]&gt;=Validation[[#This Row],[Range1_High]]</f>
        <v>0</v>
      </c>
      <c r="Y114" s="111" t="s">
        <v>2845</v>
      </c>
    </row>
    <row r="115" spans="1:25" x14ac:dyDescent="0.25">
      <c r="A115" t="s">
        <v>54</v>
      </c>
      <c r="B115" t="s">
        <v>58</v>
      </c>
      <c r="C115">
        <v>205</v>
      </c>
      <c r="D115">
        <v>206</v>
      </c>
      <c r="E115">
        <v>0.01</v>
      </c>
      <c r="F115" t="s">
        <v>13</v>
      </c>
      <c r="G115" t="s">
        <v>12</v>
      </c>
      <c r="H115">
        <v>0</v>
      </c>
      <c r="I115">
        <v>0</v>
      </c>
      <c r="J115" t="s">
        <v>2833</v>
      </c>
      <c r="K115">
        <v>6.5</v>
      </c>
      <c r="L115">
        <v>2.2999999999999998</v>
      </c>
      <c r="M115">
        <v>4.5922000000000001</v>
      </c>
      <c r="N115">
        <v>2.3086000000000002</v>
      </c>
      <c r="O115" t="s">
        <v>2833</v>
      </c>
      <c r="P115" t="s">
        <v>157</v>
      </c>
      <c r="Q115" t="s">
        <v>2833</v>
      </c>
      <c r="R115">
        <f ca="1">RAND()*(Validation[[#This Row],[Range1_High]]-Validation[[#This Row],[Range1_Low]])+Validation[[#This Row],[Range1_Low]]</f>
        <v>205.11402930609836</v>
      </c>
      <c r="S115">
        <f>Validation[[#This Row],[Range2_High]]</f>
        <v>0</v>
      </c>
      <c r="T115" t="str" cm="1">
        <f t="array" aca="1" ref="T115" ca="1">RoundToTwoSigFigs(Validation[[#This Row],[Test Reading]]*Validation[[#This Row],[Mult]]+Validation[[#This Row],[Base]]) &amp;" "&amp;Validation[[#This Row],[Uncert_Units]]</f>
        <v>480 mA</v>
      </c>
      <c r="U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V115" t="b">
        <f ca="1">Validation[[#This Row],[Desired Result]]=Validation[[#This Row],[Result]]</f>
        <v>1</v>
      </c>
      <c r="W115" t="b">
        <v>0</v>
      </c>
      <c r="X115" t="b">
        <f>Validation[[#This Row],[Range1_Low]]&gt;=Validation[[#This Row],[Range1_High]]</f>
        <v>0</v>
      </c>
      <c r="Y115" s="111" t="s">
        <v>2845</v>
      </c>
    </row>
    <row r="116" spans="1:25" x14ac:dyDescent="0.25">
      <c r="A116" t="s">
        <v>68</v>
      </c>
      <c r="B116" t="s">
        <v>58</v>
      </c>
      <c r="C116">
        <v>10</v>
      </c>
      <c r="D116">
        <v>102</v>
      </c>
      <c r="E116">
        <v>1E-4</v>
      </c>
      <c r="F116" t="s">
        <v>13</v>
      </c>
      <c r="G116" t="s">
        <v>12</v>
      </c>
      <c r="H116">
        <v>0</v>
      </c>
      <c r="I116">
        <v>0</v>
      </c>
      <c r="J116" t="s">
        <v>2833</v>
      </c>
      <c r="K116">
        <v>16</v>
      </c>
      <c r="L116">
        <v>2</v>
      </c>
      <c r="M116">
        <v>15.052</v>
      </c>
      <c r="N116">
        <v>2.0087999999999999</v>
      </c>
      <c r="O116" t="s">
        <v>2833</v>
      </c>
      <c r="P116" t="s">
        <v>157</v>
      </c>
      <c r="Q116" t="s">
        <v>2833</v>
      </c>
      <c r="R116">
        <f ca="1">RAND()*(Validation[[#This Row],[Range1_High]]-Validation[[#This Row],[Range1_Low]])+Validation[[#This Row],[Range1_Low]]</f>
        <v>43.204786443294196</v>
      </c>
      <c r="S116">
        <f>Validation[[#This Row],[Range2_High]]</f>
        <v>0</v>
      </c>
      <c r="T116" t="str" cm="1">
        <f t="array" aca="1" ref="T116" ca="1">RoundToTwoSigFigs(Validation[[#This Row],[Test Reading]]*Validation[[#This Row],[Mult]]+Validation[[#This Row],[Base]]) &amp;" "&amp;Validation[[#This Row],[Uncert_Units]]</f>
        <v>100 mA</v>
      </c>
      <c r="U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V116" t="b">
        <f ca="1">Validation[[#This Row],[Desired Result]]=Validation[[#This Row],[Result]]</f>
        <v>1</v>
      </c>
      <c r="W116" t="b">
        <v>0</v>
      </c>
      <c r="X116" t="b">
        <f>Validation[[#This Row],[Range1_Low]]&gt;=Validation[[#This Row],[Range1_High]]</f>
        <v>0</v>
      </c>
      <c r="Y116" s="111" t="s">
        <v>2845</v>
      </c>
    </row>
    <row r="117" spans="1:25" ht="15.75" thickBot="1" x14ac:dyDescent="0.3">
      <c r="A117" t="s">
        <v>54</v>
      </c>
      <c r="B117" t="s">
        <v>58</v>
      </c>
      <c r="C117">
        <v>205</v>
      </c>
      <c r="D117">
        <v>206</v>
      </c>
      <c r="E117">
        <v>100</v>
      </c>
      <c r="F117" t="s">
        <v>13</v>
      </c>
      <c r="G117" t="s">
        <v>12</v>
      </c>
      <c r="H117">
        <v>0</v>
      </c>
      <c r="I117">
        <v>0</v>
      </c>
      <c r="J117" t="s">
        <v>2833</v>
      </c>
      <c r="K117">
        <v>57734</v>
      </c>
      <c r="L117">
        <v>1.5259999999999999E-2</v>
      </c>
      <c r="M117">
        <v>57734</v>
      </c>
      <c r="N117">
        <v>1.4722000000000001E-2</v>
      </c>
      <c r="O117" t="s">
        <v>2833</v>
      </c>
      <c r="P117" t="s">
        <v>157</v>
      </c>
      <c r="Q117" t="s">
        <v>2833</v>
      </c>
      <c r="R117">
        <f ca="1">RAND()*(Validation[[#This Row],[Range1_High]]-Validation[[#This Row],[Range1_Low]])+Validation[[#This Row],[Range1_Low]]</f>
        <v>205.26645937364984</v>
      </c>
      <c r="S117">
        <f>Validation[[#This Row],[Range2_High]]</f>
        <v>0</v>
      </c>
      <c r="T117" t="str" cm="1">
        <f t="array" aca="1" ref="T117" ca="1">RoundToTwoSigFigs(Validation[[#This Row],[Test Reading]]*Validation[[#This Row],[Mult]]+Validation[[#This Row],[Base]]) &amp;" "&amp;Validation[[#This Row],[Uncert_Units]]</f>
        <v>58000 mA</v>
      </c>
      <c r="U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17" t="b">
        <f ca="1">Validation[[#This Row],[Desired Result]]=Validation[[#This Row],[Result]]</f>
        <v>1</v>
      </c>
      <c r="W117" t="b">
        <v>0</v>
      </c>
      <c r="X117" t="b">
        <f>Validation[[#This Row],[Range1_Low]]&gt;=Validation[[#This Row],[Range1_High]]</f>
        <v>0</v>
      </c>
      <c r="Y117" s="111" t="s">
        <v>2845</v>
      </c>
    </row>
    <row r="118" spans="1:25" ht="16.5" thickTop="1" thickBot="1" x14ac:dyDescent="0.3">
      <c r="A118" t="s">
        <v>54</v>
      </c>
      <c r="B118" t="s">
        <v>58</v>
      </c>
      <c r="C118" s="113">
        <v>110</v>
      </c>
      <c r="D118" s="113">
        <v>205</v>
      </c>
      <c r="E118">
        <v>1</v>
      </c>
      <c r="F118" t="s">
        <v>13</v>
      </c>
      <c r="G118" t="s">
        <v>12</v>
      </c>
      <c r="H118">
        <v>0</v>
      </c>
      <c r="I118">
        <v>0</v>
      </c>
      <c r="J118" t="s">
        <v>2833</v>
      </c>
      <c r="K118">
        <v>497.21</v>
      </c>
      <c r="L118">
        <v>1.2323999999999999</v>
      </c>
      <c r="M118">
        <v>497.26</v>
      </c>
      <c r="N118">
        <v>1.2301</v>
      </c>
      <c r="O118" t="s">
        <v>2833</v>
      </c>
      <c r="P118" t="s">
        <v>157</v>
      </c>
      <c r="Q118" t="s">
        <v>2833</v>
      </c>
      <c r="R118">
        <f ca="1">RAND()*(Validation[[#This Row],[Range1_High]]-Validation[[#This Row],[Range1_Low]])+Validation[[#This Row],[Range1_Low]]</f>
        <v>193.06228664249304</v>
      </c>
      <c r="S118">
        <f>Validation[[#This Row],[Range2_High]]</f>
        <v>0</v>
      </c>
      <c r="T118" t="str" cm="1">
        <f t="array" aca="1" ref="T118" ca="1">RoundToTwoSigFigs(Validation[[#This Row],[Test Reading]]*Validation[[#This Row],[Mult]]+Validation[[#This Row],[Base]]) &amp;" "&amp;Validation[[#This Row],[Uncert_Units]]</f>
        <v>740 mA</v>
      </c>
      <c r="U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V118" t="b">
        <f ca="1">Validation[[#This Row],[Desired Result]]=Validation[[#This Row],[Result]]</f>
        <v>1</v>
      </c>
      <c r="W118" t="b">
        <v>1</v>
      </c>
      <c r="X118" t="b">
        <f>Validation[[#This Row],[Range1_Low]]&gt;=Validation[[#This Row],[Range1_High]]</f>
        <v>0</v>
      </c>
      <c r="Y118" s="111" t="s">
        <v>2843</v>
      </c>
    </row>
    <row r="119" spans="1:25" ht="16.5" thickTop="1" thickBot="1" x14ac:dyDescent="0.3">
      <c r="A119" t="s">
        <v>54</v>
      </c>
      <c r="B119" t="s">
        <v>59</v>
      </c>
      <c r="C119" s="113">
        <v>220</v>
      </c>
      <c r="D119" s="113">
        <v>410</v>
      </c>
      <c r="E119">
        <v>1</v>
      </c>
      <c r="F119" t="s">
        <v>13</v>
      </c>
      <c r="G119" t="s">
        <v>12</v>
      </c>
      <c r="H119">
        <v>0</v>
      </c>
      <c r="I119">
        <v>0</v>
      </c>
      <c r="J119" t="s">
        <v>2833</v>
      </c>
      <c r="K119">
        <v>379.54</v>
      </c>
      <c r="L119">
        <v>1.7988999999999999</v>
      </c>
      <c r="M119">
        <v>379.5</v>
      </c>
      <c r="N119">
        <v>1.7976000000000001</v>
      </c>
      <c r="O119" t="s">
        <v>2833</v>
      </c>
      <c r="P119" t="s">
        <v>158</v>
      </c>
      <c r="Q119" t="s">
        <v>2833</v>
      </c>
      <c r="R119">
        <f ca="1">RAND()*(Validation[[#This Row],[Range1_High]]-Validation[[#This Row],[Range1_Low]])+Validation[[#This Row],[Range1_Low]]</f>
        <v>340.2919997950429</v>
      </c>
      <c r="S119">
        <f>Validation[[#This Row],[Range2_High]]</f>
        <v>0</v>
      </c>
      <c r="T119" t="str" cm="1">
        <f t="array" aca="1" ref="T119" ca="1">RoundToTwoSigFigs(Validation[[#This Row],[Test Reading]]*Validation[[#This Row],[Mult]]+Validation[[#This Row],[Base]]) &amp;" "&amp;Validation[[#This Row],[Uncert_Units]]</f>
        <v>990 mA</v>
      </c>
      <c r="U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mA</v>
      </c>
      <c r="V119" t="b">
        <f ca="1">Validation[[#This Row],[Desired Result]]=Validation[[#This Row],[Result]]</f>
        <v>1</v>
      </c>
      <c r="W119" t="b">
        <v>1</v>
      </c>
      <c r="X119" t="b">
        <f>Validation[[#This Row],[Range1_Low]]&gt;=Validation[[#This Row],[Range1_High]]</f>
        <v>0</v>
      </c>
      <c r="Y119" s="111" t="s">
        <v>2843</v>
      </c>
    </row>
    <row r="120" spans="1:25" ht="16.5" thickTop="1" thickBot="1" x14ac:dyDescent="0.3">
      <c r="A120" t="s">
        <v>54</v>
      </c>
      <c r="B120" t="s">
        <v>59</v>
      </c>
      <c r="C120" s="113">
        <v>60</v>
      </c>
      <c r="D120" s="113">
        <v>220.01</v>
      </c>
      <c r="E120">
        <v>0.1</v>
      </c>
      <c r="F120" t="s">
        <v>13</v>
      </c>
      <c r="G120" t="s">
        <v>12</v>
      </c>
      <c r="H120">
        <v>0</v>
      </c>
      <c r="I120">
        <v>0</v>
      </c>
      <c r="J120" t="s">
        <v>2833</v>
      </c>
      <c r="K120">
        <v>535.04</v>
      </c>
      <c r="L120">
        <v>0.95226</v>
      </c>
      <c r="M120">
        <v>535.04</v>
      </c>
      <c r="N120">
        <v>0.95071000000000006</v>
      </c>
      <c r="O120" t="s">
        <v>2833</v>
      </c>
      <c r="P120" t="s">
        <v>158</v>
      </c>
      <c r="Q120" t="s">
        <v>2833</v>
      </c>
      <c r="R120">
        <f ca="1">RAND()*(Validation[[#This Row],[Range1_High]]-Validation[[#This Row],[Range1_Low]])+Validation[[#This Row],[Range1_Low]]</f>
        <v>82.583351301790728</v>
      </c>
      <c r="S120">
        <f>Validation[[#This Row],[Range2_High]]</f>
        <v>0</v>
      </c>
      <c r="T120" t="str" cm="1">
        <f t="array" aca="1" ref="T120" ca="1">RoundToTwoSigFigs(Validation[[#This Row],[Test Reading]]*Validation[[#This Row],[Mult]]+Validation[[#This Row],[Base]]) &amp;" "&amp;Validation[[#This Row],[Uncert_Units]]</f>
        <v>610 mA</v>
      </c>
      <c r="U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V120" t="b">
        <f ca="1">Validation[[#This Row],[Desired Result]]=Validation[[#This Row],[Result]]</f>
        <v>1</v>
      </c>
      <c r="W120" t="b">
        <v>1</v>
      </c>
      <c r="X120" t="b">
        <f>Validation[[#This Row],[Range1_Low]]&gt;=Validation[[#This Row],[Range1_High]]</f>
        <v>0</v>
      </c>
      <c r="Y120" s="111" t="s">
        <v>2843</v>
      </c>
    </row>
    <row r="121" spans="1:25" ht="15.75" thickTop="1" x14ac:dyDescent="0.25">
      <c r="A121" t="s">
        <v>54</v>
      </c>
      <c r="B121" t="s">
        <v>59</v>
      </c>
      <c r="C121">
        <v>20</v>
      </c>
      <c r="D121">
        <v>60.01</v>
      </c>
      <c r="E121">
        <v>100</v>
      </c>
      <c r="F121" t="s">
        <v>13</v>
      </c>
      <c r="G121" t="s">
        <v>12</v>
      </c>
      <c r="H121">
        <v>0</v>
      </c>
      <c r="I121">
        <v>0</v>
      </c>
      <c r="J121" t="s">
        <v>2833</v>
      </c>
      <c r="K121">
        <v>57735</v>
      </c>
      <c r="L121">
        <v>3.0514000000000001E-3</v>
      </c>
      <c r="M121">
        <v>57735</v>
      </c>
      <c r="N121">
        <v>2.9123999999999999E-3</v>
      </c>
      <c r="O121" t="s">
        <v>2833</v>
      </c>
      <c r="P121" t="s">
        <v>158</v>
      </c>
      <c r="Q121" t="s">
        <v>2833</v>
      </c>
      <c r="R121">
        <f ca="1">RAND()*(Validation[[#This Row],[Range1_High]]-Validation[[#This Row],[Range1_Low]])+Validation[[#This Row],[Range1_Low]]</f>
        <v>31.575410548905275</v>
      </c>
      <c r="S121">
        <f>Validation[[#This Row],[Range2_High]]</f>
        <v>0</v>
      </c>
      <c r="T121" t="str" cm="1">
        <f t="array" aca="1" ref="T121" ca="1">RoundToTwoSigFigs(Validation[[#This Row],[Test Reading]]*Validation[[#This Row],[Mult]]+Validation[[#This Row],[Base]]) &amp;" "&amp;Validation[[#This Row],[Uncert_Units]]</f>
        <v>58000 mA</v>
      </c>
      <c r="U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21" t="b">
        <f ca="1">Validation[[#This Row],[Desired Result]]=Validation[[#This Row],[Result]]</f>
        <v>1</v>
      </c>
      <c r="W121" t="b">
        <v>0</v>
      </c>
      <c r="X121" t="b">
        <f>Validation[[#This Row],[Range1_Low]]&gt;=Validation[[#This Row],[Range1_High]]</f>
        <v>0</v>
      </c>
      <c r="Y121" s="111" t="s">
        <v>2845</v>
      </c>
    </row>
    <row r="122" spans="1:25" x14ac:dyDescent="0.25">
      <c r="A122" t="s">
        <v>54</v>
      </c>
      <c r="B122" t="s">
        <v>59</v>
      </c>
      <c r="C122">
        <v>20</v>
      </c>
      <c r="D122">
        <v>60.01</v>
      </c>
      <c r="E122">
        <v>0.01</v>
      </c>
      <c r="F122" t="s">
        <v>13</v>
      </c>
      <c r="G122" t="s">
        <v>12</v>
      </c>
      <c r="H122">
        <v>0</v>
      </c>
      <c r="I122">
        <v>0</v>
      </c>
      <c r="J122" t="s">
        <v>2833</v>
      </c>
      <c r="K122">
        <v>3.9</v>
      </c>
      <c r="L122">
        <v>2.1</v>
      </c>
      <c r="M122">
        <v>0.76998</v>
      </c>
      <c r="N122">
        <v>2.0407000000000002</v>
      </c>
      <c r="O122" t="s">
        <v>2833</v>
      </c>
      <c r="P122" t="s">
        <v>158</v>
      </c>
      <c r="Q122" t="s">
        <v>2833</v>
      </c>
      <c r="R122">
        <f ca="1">RAND()*(Validation[[#This Row],[Range1_High]]-Validation[[#This Row],[Range1_Low]])+Validation[[#This Row],[Range1_Low]]</f>
        <v>38.353234935447482</v>
      </c>
      <c r="S122">
        <f>Validation[[#This Row],[Range2_High]]</f>
        <v>0</v>
      </c>
      <c r="T122" t="str" cm="1">
        <f t="array" aca="1" ref="T122" ca="1">RoundToTwoSigFigs(Validation[[#This Row],[Test Reading]]*Validation[[#This Row],[Mult]]+Validation[[#This Row],[Base]]) &amp;" "&amp;Validation[[#This Row],[Uncert_Units]]</f>
        <v>84 mA</v>
      </c>
      <c r="U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V122" t="b">
        <f ca="1">Validation[[#This Row],[Desired Result]]=Validation[[#This Row],[Result]]</f>
        <v>1</v>
      </c>
      <c r="W122" t="b">
        <v>0</v>
      </c>
      <c r="X122" t="b">
        <f>Validation[[#This Row],[Range1_Low]]&gt;=Validation[[#This Row],[Range1_High]]</f>
        <v>0</v>
      </c>
      <c r="Y122" s="111" t="s">
        <v>2845</v>
      </c>
    </row>
    <row r="123" spans="1:25" ht="15.75" thickBot="1" x14ac:dyDescent="0.3">
      <c r="A123" t="s">
        <v>54</v>
      </c>
      <c r="B123" t="s">
        <v>59</v>
      </c>
      <c r="C123">
        <v>410</v>
      </c>
      <c r="D123">
        <v>411</v>
      </c>
      <c r="E123">
        <v>100</v>
      </c>
      <c r="F123" t="s">
        <v>13</v>
      </c>
      <c r="G123" t="s">
        <v>12</v>
      </c>
      <c r="H123">
        <v>0</v>
      </c>
      <c r="I123">
        <v>0</v>
      </c>
      <c r="J123" t="s">
        <v>2833</v>
      </c>
      <c r="K123">
        <v>57731</v>
      </c>
      <c r="L123">
        <v>3.0030000000000001E-2</v>
      </c>
      <c r="M123">
        <v>57731</v>
      </c>
      <c r="N123">
        <v>2.9441999999999999E-2</v>
      </c>
      <c r="O123" t="s">
        <v>2833</v>
      </c>
      <c r="P123" t="s">
        <v>158</v>
      </c>
      <c r="Q123" t="s">
        <v>2833</v>
      </c>
      <c r="R123">
        <f ca="1">RAND()*(Validation[[#This Row],[Range1_High]]-Validation[[#This Row],[Range1_Low]])+Validation[[#This Row],[Range1_Low]]</f>
        <v>410.64624084928727</v>
      </c>
      <c r="S123">
        <f>Validation[[#This Row],[Range2_High]]</f>
        <v>0</v>
      </c>
      <c r="T123" t="str" cm="1">
        <f t="array" aca="1" ref="T123" ca="1">RoundToTwoSigFigs(Validation[[#This Row],[Test Reading]]*Validation[[#This Row],[Mult]]+Validation[[#This Row],[Base]]) &amp;" "&amp;Validation[[#This Row],[Uncert_Units]]</f>
        <v>58000 mA</v>
      </c>
      <c r="U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23" t="b">
        <f ca="1">Validation[[#This Row],[Desired Result]]=Validation[[#This Row],[Result]]</f>
        <v>1</v>
      </c>
      <c r="W123" t="b">
        <v>0</v>
      </c>
      <c r="X123" t="b">
        <f>Validation[[#This Row],[Range1_Low]]&gt;=Validation[[#This Row],[Range1_High]]</f>
        <v>0</v>
      </c>
      <c r="Y123" s="111" t="s">
        <v>2845</v>
      </c>
    </row>
    <row r="124" spans="1:25" ht="16.5" thickTop="1" thickBot="1" x14ac:dyDescent="0.3">
      <c r="A124" t="s">
        <v>54</v>
      </c>
      <c r="B124" t="s">
        <v>59</v>
      </c>
      <c r="C124" s="113">
        <v>220</v>
      </c>
      <c r="D124" s="113">
        <v>410</v>
      </c>
      <c r="E124">
        <v>0.1</v>
      </c>
      <c r="F124" t="s">
        <v>13</v>
      </c>
      <c r="G124" t="s">
        <v>12</v>
      </c>
      <c r="H124">
        <v>0</v>
      </c>
      <c r="I124">
        <v>0</v>
      </c>
      <c r="J124" t="s">
        <v>2833</v>
      </c>
      <c r="K124">
        <v>13.978</v>
      </c>
      <c r="L124">
        <v>2.3014000000000001</v>
      </c>
      <c r="M124">
        <v>13.925000000000001</v>
      </c>
      <c r="N124">
        <v>2.3010999999999999</v>
      </c>
      <c r="O124" t="s">
        <v>2833</v>
      </c>
      <c r="P124" t="s">
        <v>158</v>
      </c>
      <c r="Q124" t="s">
        <v>2833</v>
      </c>
      <c r="R124">
        <f ca="1">RAND()*(Validation[[#This Row],[Range1_High]]-Validation[[#This Row],[Range1_Low]])+Validation[[#This Row],[Range1_Low]]</f>
        <v>337.46643737056655</v>
      </c>
      <c r="S124">
        <f>Validation[[#This Row],[Range2_High]]</f>
        <v>0</v>
      </c>
      <c r="T124" t="str" cm="1">
        <f t="array" aca="1" ref="T124" ca="1">RoundToTwoSigFigs(Validation[[#This Row],[Test Reading]]*Validation[[#This Row],[Mult]]+Validation[[#This Row],[Base]]) &amp;" "&amp;Validation[[#This Row],[Uncert_Units]]</f>
        <v>790 mA</v>
      </c>
      <c r="U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V124" t="b">
        <f ca="1">Validation[[#This Row],[Desired Result]]=Validation[[#This Row],[Result]]</f>
        <v>1</v>
      </c>
      <c r="W124" t="b">
        <v>1</v>
      </c>
      <c r="X124" t="b">
        <f>Validation[[#This Row],[Range1_Low]]&gt;=Validation[[#This Row],[Range1_High]]</f>
        <v>0</v>
      </c>
      <c r="Y124" s="111" t="s">
        <v>2843</v>
      </c>
    </row>
    <row r="125" spans="1:25" ht="15.75" thickTop="1" x14ac:dyDescent="0.25">
      <c r="A125" t="s">
        <v>54</v>
      </c>
      <c r="B125" t="s">
        <v>59</v>
      </c>
      <c r="C125">
        <v>20</v>
      </c>
      <c r="D125">
        <v>60.01</v>
      </c>
      <c r="E125">
        <v>1</v>
      </c>
      <c r="F125" t="s">
        <v>13</v>
      </c>
      <c r="G125" t="s">
        <v>12</v>
      </c>
      <c r="H125">
        <v>0</v>
      </c>
      <c r="I125">
        <v>0</v>
      </c>
      <c r="J125" t="s">
        <v>2833</v>
      </c>
      <c r="K125">
        <v>573.08000000000004</v>
      </c>
      <c r="L125">
        <v>0.28848000000000001</v>
      </c>
      <c r="M125">
        <v>573.07000000000005</v>
      </c>
      <c r="N125">
        <v>0.28764000000000001</v>
      </c>
      <c r="O125" t="s">
        <v>2833</v>
      </c>
      <c r="P125" t="s">
        <v>158</v>
      </c>
      <c r="Q125" t="s">
        <v>2833</v>
      </c>
      <c r="R125">
        <f ca="1">RAND()*(Validation[[#This Row],[Range1_High]]-Validation[[#This Row],[Range1_Low]])+Validation[[#This Row],[Range1_Low]]</f>
        <v>51.37873680067608</v>
      </c>
      <c r="S125">
        <f>Validation[[#This Row],[Range2_High]]</f>
        <v>0</v>
      </c>
      <c r="T125" t="str" cm="1">
        <f t="array" aca="1" ref="T125" ca="1">RoundToTwoSigFigs(Validation[[#This Row],[Test Reading]]*Validation[[#This Row],[Mult]]+Validation[[#This Row],[Base]]) &amp;" "&amp;Validation[[#This Row],[Uncert_Units]]</f>
        <v>590 mA</v>
      </c>
      <c r="U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V125" t="b">
        <f ca="1">Validation[[#This Row],[Desired Result]]=Validation[[#This Row],[Result]]</f>
        <v>1</v>
      </c>
      <c r="W125" t="b">
        <v>0</v>
      </c>
      <c r="X125" t="b">
        <f>Validation[[#This Row],[Range1_Low]]&gt;=Validation[[#This Row],[Range1_High]]</f>
        <v>0</v>
      </c>
      <c r="Y125" s="111" t="s">
        <v>2845</v>
      </c>
    </row>
    <row r="126" spans="1:25" ht="15.75" thickBot="1" x14ac:dyDescent="0.3">
      <c r="A126" t="s">
        <v>54</v>
      </c>
      <c r="B126" t="s">
        <v>59</v>
      </c>
      <c r="C126">
        <v>410</v>
      </c>
      <c r="D126">
        <v>411</v>
      </c>
      <c r="E126">
        <v>1</v>
      </c>
      <c r="F126" t="s">
        <v>13</v>
      </c>
      <c r="G126" t="s">
        <v>12</v>
      </c>
      <c r="H126">
        <v>0</v>
      </c>
      <c r="I126">
        <v>0</v>
      </c>
      <c r="J126" t="s">
        <v>2833</v>
      </c>
      <c r="K126">
        <v>379.54</v>
      </c>
      <c r="L126">
        <v>1.7988999999999999</v>
      </c>
      <c r="M126">
        <v>379.5</v>
      </c>
      <c r="N126">
        <v>1.7976000000000001</v>
      </c>
      <c r="O126" t="s">
        <v>2833</v>
      </c>
      <c r="P126" t="s">
        <v>158</v>
      </c>
      <c r="Q126" t="s">
        <v>2833</v>
      </c>
      <c r="R126">
        <f ca="1">RAND()*(Validation[[#This Row],[Range1_High]]-Validation[[#This Row],[Range1_Low]])+Validation[[#This Row],[Range1_Low]]</f>
        <v>410.77521708627728</v>
      </c>
      <c r="S126">
        <f>Validation[[#This Row],[Range2_High]]</f>
        <v>0</v>
      </c>
      <c r="T126" t="str" cm="1">
        <f t="array" aca="1" ref="T126" ca="1">RoundToTwoSigFigs(Validation[[#This Row],[Test Reading]]*Validation[[#This Row],[Mult]]+Validation[[#This Row],[Base]]) &amp;" "&amp;Validation[[#This Row],[Uncert_Units]]</f>
        <v>1100 mA</v>
      </c>
      <c r="U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V126" t="b">
        <f ca="1">Validation[[#This Row],[Desired Result]]=Validation[[#This Row],[Result]]</f>
        <v>1</v>
      </c>
      <c r="W126" t="b">
        <v>0</v>
      </c>
      <c r="X126" t="b">
        <f>Validation[[#This Row],[Range1_Low]]&gt;=Validation[[#This Row],[Range1_High]]</f>
        <v>0</v>
      </c>
      <c r="Y126" s="111" t="s">
        <v>2845</v>
      </c>
    </row>
    <row r="127" spans="1:25" ht="16.5" thickTop="1" thickBot="1" x14ac:dyDescent="0.3">
      <c r="A127" t="s">
        <v>54</v>
      </c>
      <c r="B127" t="s">
        <v>59</v>
      </c>
      <c r="C127" s="113">
        <v>60</v>
      </c>
      <c r="D127" s="113">
        <v>220.01</v>
      </c>
      <c r="E127">
        <v>1E-3</v>
      </c>
      <c r="F127" t="s">
        <v>13</v>
      </c>
      <c r="G127" t="s">
        <v>12</v>
      </c>
      <c r="H127">
        <v>0</v>
      </c>
      <c r="I127">
        <v>0</v>
      </c>
      <c r="J127" t="s">
        <v>2833</v>
      </c>
      <c r="K127">
        <v>19</v>
      </c>
      <c r="L127">
        <v>2.2000000000000002</v>
      </c>
      <c r="M127">
        <v>4.5221</v>
      </c>
      <c r="N127">
        <v>2.1139999999999999</v>
      </c>
      <c r="O127" t="s">
        <v>2833</v>
      </c>
      <c r="P127" t="s">
        <v>158</v>
      </c>
      <c r="Q127" t="s">
        <v>2833</v>
      </c>
      <c r="R127">
        <f ca="1">RAND()*(Validation[[#This Row],[Range1_High]]-Validation[[#This Row],[Range1_Low]])+Validation[[#This Row],[Range1_Low]]</f>
        <v>77.366967646624659</v>
      </c>
      <c r="S127">
        <f>Validation[[#This Row],[Range2_High]]</f>
        <v>0</v>
      </c>
      <c r="T127" t="str" cm="1">
        <f t="array" aca="1" ref="T127" ca="1">RoundToTwoSigFigs(Validation[[#This Row],[Test Reading]]*Validation[[#This Row],[Mult]]+Validation[[#This Row],[Base]]) &amp;" "&amp;Validation[[#This Row],[Uncert_Units]]</f>
        <v>190 mA</v>
      </c>
      <c r="U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V127" t="b">
        <f ca="1">Validation[[#This Row],[Desired Result]]=Validation[[#This Row],[Result]]</f>
        <v>1</v>
      </c>
      <c r="W127" t="b">
        <v>1</v>
      </c>
      <c r="X127" t="b">
        <f>Validation[[#This Row],[Range1_Low]]&gt;=Validation[[#This Row],[Range1_High]]</f>
        <v>0</v>
      </c>
      <c r="Y127" s="111" t="s">
        <v>2843</v>
      </c>
    </row>
    <row r="128" spans="1:25" ht="15.75" thickTop="1" x14ac:dyDescent="0.25">
      <c r="A128" t="s">
        <v>54</v>
      </c>
      <c r="B128" t="s">
        <v>60</v>
      </c>
      <c r="C128">
        <v>55</v>
      </c>
      <c r="D128">
        <v>150.01</v>
      </c>
      <c r="E128">
        <v>0.01</v>
      </c>
      <c r="F128" t="s">
        <v>13</v>
      </c>
      <c r="G128" t="s">
        <v>12</v>
      </c>
      <c r="H128">
        <v>0</v>
      </c>
      <c r="I128">
        <v>0</v>
      </c>
      <c r="J128" t="s">
        <v>2833</v>
      </c>
      <c r="K128">
        <v>7.7</v>
      </c>
      <c r="L128">
        <v>2.0005999999999999</v>
      </c>
      <c r="M128">
        <v>0.78383999999999998</v>
      </c>
      <c r="N128">
        <v>2.0464000000000002</v>
      </c>
      <c r="O128" t="s">
        <v>2833</v>
      </c>
      <c r="P128" t="s">
        <v>159</v>
      </c>
      <c r="Q128" t="s">
        <v>2833</v>
      </c>
      <c r="R128">
        <f ca="1">RAND()*(Validation[[#This Row],[Range1_High]]-Validation[[#This Row],[Range1_Low]])+Validation[[#This Row],[Range1_Low]]</f>
        <v>105.829595215475</v>
      </c>
      <c r="S128">
        <f>Validation[[#This Row],[Range2_High]]</f>
        <v>0</v>
      </c>
      <c r="T128" t="str" cm="1">
        <f t="array" aca="1" ref="T128" ca="1">RoundToTwoSigFigs(Validation[[#This Row],[Test Reading]]*Validation[[#This Row],[Mult]]+Validation[[#This Row],[Base]]) &amp;" "&amp;Validation[[#This Row],[Uncert_Units]]</f>
        <v>220 mA</v>
      </c>
      <c r="U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V128" t="b">
        <f ca="1">Validation[[#This Row],[Desired Result]]=Validation[[#This Row],[Result]]</f>
        <v>1</v>
      </c>
      <c r="W128" t="b">
        <v>0</v>
      </c>
      <c r="X128" t="b">
        <f>Validation[[#This Row],[Range1_Low]]&gt;=Validation[[#This Row],[Range1_High]]</f>
        <v>0</v>
      </c>
      <c r="Y128" s="111" t="s">
        <v>2845</v>
      </c>
    </row>
    <row r="129" spans="1:25" x14ac:dyDescent="0.25">
      <c r="A129" t="s">
        <v>68</v>
      </c>
      <c r="B129" t="s">
        <v>60</v>
      </c>
      <c r="C129">
        <v>5</v>
      </c>
      <c r="D129">
        <v>51</v>
      </c>
      <c r="E129">
        <v>1</v>
      </c>
      <c r="F129" t="s">
        <v>13</v>
      </c>
      <c r="G129" t="s">
        <v>12</v>
      </c>
      <c r="H129">
        <v>0</v>
      </c>
      <c r="I129">
        <v>0</v>
      </c>
      <c r="J129" t="s">
        <v>2833</v>
      </c>
      <c r="K129">
        <v>576.55999999999995</v>
      </c>
      <c r="L129">
        <v>0.20649000000000001</v>
      </c>
      <c r="M129">
        <v>576.52</v>
      </c>
      <c r="N129">
        <v>0.20416999999999999</v>
      </c>
      <c r="O129" t="s">
        <v>2833</v>
      </c>
      <c r="P129" t="s">
        <v>159</v>
      </c>
      <c r="Q129" t="s">
        <v>2833</v>
      </c>
      <c r="R129">
        <f ca="1">RAND()*(Validation[[#This Row],[Range1_High]]-Validation[[#This Row],[Range1_Low]])+Validation[[#This Row],[Range1_Low]]</f>
        <v>11.702479683700417</v>
      </c>
      <c r="S129">
        <f>Validation[[#This Row],[Range2_High]]</f>
        <v>0</v>
      </c>
      <c r="T129" t="str" cm="1">
        <f t="array" aca="1" ref="T129" ca="1">RoundToTwoSigFigs(Validation[[#This Row],[Test Reading]]*Validation[[#This Row],[Mult]]+Validation[[#This Row],[Base]]) &amp;" "&amp;Validation[[#This Row],[Uncert_Units]]</f>
        <v>580 mA</v>
      </c>
      <c r="U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129" t="b">
        <f ca="1">Validation[[#This Row],[Desired Result]]=Validation[[#This Row],[Result]]</f>
        <v>1</v>
      </c>
      <c r="W129" t="b">
        <v>0</v>
      </c>
      <c r="X129" t="b">
        <f>Validation[[#This Row],[Range1_Low]]&gt;=Validation[[#This Row],[Range1_High]]</f>
        <v>0</v>
      </c>
      <c r="Y129" s="111" t="s">
        <v>2845</v>
      </c>
    </row>
    <row r="130" spans="1:25" ht="15.75" thickBot="1" x14ac:dyDescent="0.3">
      <c r="A130" t="s">
        <v>68</v>
      </c>
      <c r="B130" t="s">
        <v>60</v>
      </c>
      <c r="C130">
        <v>5</v>
      </c>
      <c r="D130">
        <v>51</v>
      </c>
      <c r="E130">
        <v>1E-3</v>
      </c>
      <c r="F130" t="s">
        <v>13</v>
      </c>
      <c r="G130" t="s">
        <v>12</v>
      </c>
      <c r="H130">
        <v>0</v>
      </c>
      <c r="I130">
        <v>0</v>
      </c>
      <c r="J130" t="s">
        <v>2833</v>
      </c>
      <c r="K130">
        <v>4.7</v>
      </c>
      <c r="L130">
        <v>2</v>
      </c>
      <c r="M130">
        <v>4.5993000000000004</v>
      </c>
      <c r="N130">
        <v>1.98</v>
      </c>
      <c r="O130" t="s">
        <v>2833</v>
      </c>
      <c r="P130" t="s">
        <v>159</v>
      </c>
      <c r="Q130" t="s">
        <v>2833</v>
      </c>
      <c r="R130">
        <f ca="1">RAND()*(Validation[[#This Row],[Range1_High]]-Validation[[#This Row],[Range1_Low]])+Validation[[#This Row],[Range1_Low]]</f>
        <v>36.525931780911378</v>
      </c>
      <c r="S130">
        <f>Validation[[#This Row],[Range2_High]]</f>
        <v>0</v>
      </c>
      <c r="T130" t="str" cm="1">
        <f t="array" aca="1" ref="T130" ca="1">RoundToTwoSigFigs(Validation[[#This Row],[Test Reading]]*Validation[[#This Row],[Mult]]+Validation[[#This Row],[Base]]) &amp;" "&amp;Validation[[#This Row],[Uncert_Units]]</f>
        <v>78 mA</v>
      </c>
      <c r="U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mA</v>
      </c>
      <c r="V130" t="b">
        <f ca="1">Validation[[#This Row],[Desired Result]]=Validation[[#This Row],[Result]]</f>
        <v>1</v>
      </c>
      <c r="W130" t="b">
        <v>0</v>
      </c>
      <c r="X130" t="b">
        <f>Validation[[#This Row],[Range1_Low]]&gt;=Validation[[#This Row],[Range1_High]]</f>
        <v>0</v>
      </c>
      <c r="Y130" s="111" t="s">
        <v>2845</v>
      </c>
    </row>
    <row r="131" spans="1:25" ht="16.5" thickTop="1" thickBot="1" x14ac:dyDescent="0.3">
      <c r="A131" t="s">
        <v>54</v>
      </c>
      <c r="B131" t="s">
        <v>60</v>
      </c>
      <c r="C131" s="113">
        <v>150</v>
      </c>
      <c r="D131" s="113">
        <v>550.01</v>
      </c>
      <c r="E131">
        <v>0.1</v>
      </c>
      <c r="F131" t="s">
        <v>13</v>
      </c>
      <c r="G131" t="s">
        <v>12</v>
      </c>
      <c r="H131">
        <v>0</v>
      </c>
      <c r="I131">
        <v>0</v>
      </c>
      <c r="J131" t="s">
        <v>2833</v>
      </c>
      <c r="K131">
        <v>19</v>
      </c>
      <c r="L131">
        <v>2.2000000000000002</v>
      </c>
      <c r="M131">
        <v>-10.260999999999999</v>
      </c>
      <c r="N131">
        <v>2.1556000000000002</v>
      </c>
      <c r="O131" t="s">
        <v>2833</v>
      </c>
      <c r="P131" t="s">
        <v>159</v>
      </c>
      <c r="Q131" t="s">
        <v>2833</v>
      </c>
      <c r="R131">
        <f ca="1">RAND()*(Validation[[#This Row],[Range1_High]]-Validation[[#This Row],[Range1_Low]])+Validation[[#This Row],[Range1_Low]]</f>
        <v>165.30932909796917</v>
      </c>
      <c r="S131">
        <f>Validation[[#This Row],[Range2_High]]</f>
        <v>0</v>
      </c>
      <c r="T131" t="str" cm="1">
        <f t="array" aca="1" ref="T131" ca="1">RoundToTwoSigFigs(Validation[[#This Row],[Test Reading]]*Validation[[#This Row],[Mult]]+Validation[[#This Row],[Base]]) &amp;" "&amp;Validation[[#This Row],[Uncert_Units]]</f>
        <v>380 mA</v>
      </c>
      <c r="U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V131" t="b">
        <f ca="1">Validation[[#This Row],[Desired Result]]=Validation[[#This Row],[Result]]</f>
        <v>1</v>
      </c>
      <c r="W131" t="b">
        <v>1</v>
      </c>
      <c r="X131" t="b">
        <f>Validation[[#This Row],[Range1_Low]]&gt;=Validation[[#This Row],[Range1_High]]</f>
        <v>0</v>
      </c>
      <c r="Y131" s="111" t="s">
        <v>2843</v>
      </c>
    </row>
    <row r="132" spans="1:25" ht="16.5" thickTop="1" thickBot="1" x14ac:dyDescent="0.3">
      <c r="A132" t="s">
        <v>54</v>
      </c>
      <c r="B132" t="s">
        <v>60</v>
      </c>
      <c r="C132">
        <v>55</v>
      </c>
      <c r="D132">
        <v>150.01</v>
      </c>
      <c r="E132">
        <v>100</v>
      </c>
      <c r="F132" t="s">
        <v>13</v>
      </c>
      <c r="G132" t="s">
        <v>12</v>
      </c>
      <c r="H132">
        <v>0</v>
      </c>
      <c r="I132">
        <v>0</v>
      </c>
      <c r="J132" t="s">
        <v>2833</v>
      </c>
      <c r="K132">
        <v>57735</v>
      </c>
      <c r="L132">
        <v>7.5814999999999997E-3</v>
      </c>
      <c r="M132">
        <v>57732</v>
      </c>
      <c r="N132">
        <v>7.4625000000000004E-3</v>
      </c>
      <c r="O132" t="s">
        <v>2833</v>
      </c>
      <c r="P132" t="s">
        <v>159</v>
      </c>
      <c r="Q132" t="s">
        <v>2833</v>
      </c>
      <c r="R132">
        <f ca="1">RAND()*(Validation[[#This Row],[Range1_High]]-Validation[[#This Row],[Range1_Low]])+Validation[[#This Row],[Range1_Low]]</f>
        <v>87.84320250086374</v>
      </c>
      <c r="S132">
        <f>Validation[[#This Row],[Range2_High]]</f>
        <v>0</v>
      </c>
      <c r="T132" t="str" cm="1">
        <f t="array" aca="1" ref="T132" ca="1">RoundToTwoSigFigs(Validation[[#This Row],[Test Reading]]*Validation[[#This Row],[Mult]]+Validation[[#This Row],[Base]]) &amp;" "&amp;Validation[[#This Row],[Uncert_Units]]</f>
        <v>58000 mA</v>
      </c>
      <c r="U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32" t="b">
        <f ca="1">Validation[[#This Row],[Desired Result]]=Validation[[#This Row],[Result]]</f>
        <v>1</v>
      </c>
      <c r="W132" t="b">
        <v>0</v>
      </c>
      <c r="X132" t="b">
        <f>Validation[[#This Row],[Range1_Low]]&gt;=Validation[[#This Row],[Range1_High]]</f>
        <v>0</v>
      </c>
      <c r="Y132" s="111" t="s">
        <v>2845</v>
      </c>
    </row>
    <row r="133" spans="1:25" ht="16.5" thickTop="1" thickBot="1" x14ac:dyDescent="0.3">
      <c r="A133" t="s">
        <v>54</v>
      </c>
      <c r="B133" t="s">
        <v>60</v>
      </c>
      <c r="C133" s="113">
        <v>550</v>
      </c>
      <c r="D133" s="113">
        <v>1025</v>
      </c>
      <c r="E133">
        <v>0.1</v>
      </c>
      <c r="F133" t="s">
        <v>13</v>
      </c>
      <c r="G133" t="s">
        <v>12</v>
      </c>
      <c r="H133">
        <v>0</v>
      </c>
      <c r="I133">
        <v>0</v>
      </c>
      <c r="J133" t="s">
        <v>2833</v>
      </c>
      <c r="K133">
        <v>32</v>
      </c>
      <c r="L133">
        <v>2.3014000000000001</v>
      </c>
      <c r="M133">
        <v>24.491</v>
      </c>
      <c r="N133">
        <v>2.3075999999999999</v>
      </c>
      <c r="O133" t="s">
        <v>2833</v>
      </c>
      <c r="P133" t="s">
        <v>159</v>
      </c>
      <c r="Q133" t="s">
        <v>2833</v>
      </c>
      <c r="R133">
        <f ca="1">RAND()*(Validation[[#This Row],[Range1_High]]-Validation[[#This Row],[Range1_Low]])+Validation[[#This Row],[Range1_Low]]</f>
        <v>621.21446802532625</v>
      </c>
      <c r="S133">
        <f>Validation[[#This Row],[Range2_High]]</f>
        <v>0</v>
      </c>
      <c r="T133" t="str" cm="1">
        <f t="array" aca="1" ref="T133" ca="1">RoundToTwoSigFigs(Validation[[#This Row],[Test Reading]]*Validation[[#This Row],[Mult]]+Validation[[#This Row],[Base]]) &amp;" "&amp;Validation[[#This Row],[Uncert_Units]]</f>
        <v>1500 mA</v>
      </c>
      <c r="U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V133" t="b">
        <f ca="1">Validation[[#This Row],[Desired Result]]=Validation[[#This Row],[Result]]</f>
        <v>1</v>
      </c>
      <c r="W133" t="b">
        <v>1</v>
      </c>
      <c r="X133" t="b">
        <f>Validation[[#This Row],[Range1_Low]]&gt;=Validation[[#This Row],[Range1_High]]</f>
        <v>0</v>
      </c>
      <c r="Y133" s="111" t="s">
        <v>2843</v>
      </c>
    </row>
    <row r="134" spans="1:25" ht="16.5" thickTop="1" thickBot="1" x14ac:dyDescent="0.3">
      <c r="A134" t="s">
        <v>68</v>
      </c>
      <c r="B134" t="s">
        <v>60</v>
      </c>
      <c r="C134" s="113">
        <v>50</v>
      </c>
      <c r="D134" s="113">
        <v>510</v>
      </c>
      <c r="E134">
        <v>0.01</v>
      </c>
      <c r="F134" t="s">
        <v>13</v>
      </c>
      <c r="G134" t="s">
        <v>12</v>
      </c>
      <c r="H134">
        <v>0</v>
      </c>
      <c r="I134">
        <v>0</v>
      </c>
      <c r="J134" t="s">
        <v>2833</v>
      </c>
      <c r="K134">
        <v>80</v>
      </c>
      <c r="L134">
        <v>2.0085999999999999</v>
      </c>
      <c r="M134">
        <v>75.317999999999998</v>
      </c>
      <c r="N134">
        <v>2.0087000000000002</v>
      </c>
      <c r="O134" t="s">
        <v>2833</v>
      </c>
      <c r="P134" t="s">
        <v>159</v>
      </c>
      <c r="Q134" t="s">
        <v>2833</v>
      </c>
      <c r="R134">
        <f ca="1">RAND()*(Validation[[#This Row],[Range1_High]]-Validation[[#This Row],[Range1_Low]])+Validation[[#This Row],[Range1_Low]]</f>
        <v>172.85792188550377</v>
      </c>
      <c r="S134">
        <f>Validation[[#This Row],[Range2_High]]</f>
        <v>0</v>
      </c>
      <c r="T134" t="str" cm="1">
        <f t="array" aca="1" ref="T134" ca="1">RoundToTwoSigFigs(Validation[[#This Row],[Test Reading]]*Validation[[#This Row],[Mult]]+Validation[[#This Row],[Base]]) &amp;" "&amp;Validation[[#This Row],[Uncert_Units]]</f>
        <v>430 mA</v>
      </c>
      <c r="U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V134" t="b">
        <f ca="1">Validation[[#This Row],[Desired Result]]=Validation[[#This Row],[Result]]</f>
        <v>1</v>
      </c>
      <c r="W134" t="b">
        <v>1</v>
      </c>
      <c r="X134" t="b">
        <f>Validation[[#This Row],[Range1_Low]]&gt;=Validation[[#This Row],[Range1_High]]</f>
        <v>0</v>
      </c>
      <c r="Y134" s="111" t="s">
        <v>2843</v>
      </c>
    </row>
    <row r="135" spans="1:25" ht="16.5" thickTop="1" thickBot="1" x14ac:dyDescent="0.3">
      <c r="A135" t="s">
        <v>54</v>
      </c>
      <c r="B135" t="s">
        <v>60</v>
      </c>
      <c r="C135">
        <v>1025</v>
      </c>
      <c r="D135">
        <v>1026</v>
      </c>
      <c r="E135">
        <v>1</v>
      </c>
      <c r="F135" t="s">
        <v>13</v>
      </c>
      <c r="G135" t="s">
        <v>12</v>
      </c>
      <c r="H135">
        <v>0</v>
      </c>
      <c r="I135">
        <v>0</v>
      </c>
      <c r="J135" t="s">
        <v>2833</v>
      </c>
      <c r="K135">
        <v>209.6</v>
      </c>
      <c r="L135">
        <v>2.1949000000000001</v>
      </c>
      <c r="M135">
        <v>208.5</v>
      </c>
      <c r="N135">
        <v>2.1945000000000001</v>
      </c>
      <c r="O135" t="s">
        <v>2833</v>
      </c>
      <c r="P135" t="s">
        <v>159</v>
      </c>
      <c r="Q135" t="s">
        <v>2833</v>
      </c>
      <c r="R135">
        <f ca="1">RAND()*(Validation[[#This Row],[Range1_High]]-Validation[[#This Row],[Range1_Low]])+Validation[[#This Row],[Range1_Low]]</f>
        <v>1025.898063138613</v>
      </c>
      <c r="S135">
        <f>Validation[[#This Row],[Range2_High]]</f>
        <v>0</v>
      </c>
      <c r="T135" t="str" cm="1">
        <f t="array" aca="1" ref="T135" ca="1">RoundToTwoSigFigs(Validation[[#This Row],[Test Reading]]*Validation[[#This Row],[Mult]]+Validation[[#This Row],[Base]]) &amp;" "&amp;Validation[[#This Row],[Uncert_Units]]</f>
        <v>2500 mA</v>
      </c>
      <c r="U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V135" t="b">
        <f ca="1">Validation[[#This Row],[Desired Result]]=Validation[[#This Row],[Result]]</f>
        <v>1</v>
      </c>
      <c r="W135" t="b">
        <v>0</v>
      </c>
      <c r="X135" t="b">
        <f>Validation[[#This Row],[Range1_Low]]&gt;=Validation[[#This Row],[Range1_High]]</f>
        <v>0</v>
      </c>
      <c r="Y135" s="111" t="s">
        <v>2845</v>
      </c>
    </row>
    <row r="136" spans="1:25" ht="16.5" thickTop="1" thickBot="1" x14ac:dyDescent="0.3">
      <c r="A136" t="s">
        <v>54</v>
      </c>
      <c r="B136" t="s">
        <v>60</v>
      </c>
      <c r="C136" s="113">
        <v>550</v>
      </c>
      <c r="D136" s="113">
        <v>1025</v>
      </c>
      <c r="E136">
        <v>0.01</v>
      </c>
      <c r="F136" t="s">
        <v>13</v>
      </c>
      <c r="G136" t="s">
        <v>12</v>
      </c>
      <c r="H136">
        <v>0</v>
      </c>
      <c r="I136">
        <v>0</v>
      </c>
      <c r="J136" t="s">
        <v>2833</v>
      </c>
      <c r="K136">
        <v>32</v>
      </c>
      <c r="L136">
        <v>2.2999999999999998</v>
      </c>
      <c r="M136">
        <v>22.486999999999998</v>
      </c>
      <c r="N136">
        <v>2.3089</v>
      </c>
      <c r="O136" t="s">
        <v>2833</v>
      </c>
      <c r="P136" t="s">
        <v>159</v>
      </c>
      <c r="Q136" t="s">
        <v>2833</v>
      </c>
      <c r="R136">
        <f ca="1">RAND()*(Validation[[#This Row],[Range1_High]]-Validation[[#This Row],[Range1_Low]])+Validation[[#This Row],[Range1_Low]]</f>
        <v>621.69783946624511</v>
      </c>
      <c r="S136">
        <f>Validation[[#This Row],[Range2_High]]</f>
        <v>0</v>
      </c>
      <c r="T136" t="str" cm="1">
        <f t="array" aca="1" ref="T136" ca="1">RoundToTwoSigFigs(Validation[[#This Row],[Test Reading]]*Validation[[#This Row],[Mult]]+Validation[[#This Row],[Base]]) &amp;" "&amp;Validation[[#This Row],[Uncert_Units]]</f>
        <v>1500 mA</v>
      </c>
      <c r="U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V136" t="b">
        <f ca="1">Validation[[#This Row],[Desired Result]]=Validation[[#This Row],[Result]]</f>
        <v>1</v>
      </c>
      <c r="W136" t="b">
        <v>1</v>
      </c>
      <c r="X136" t="b">
        <f>Validation[[#This Row],[Range1_Low]]&gt;=Validation[[#This Row],[Range1_High]]</f>
        <v>0</v>
      </c>
      <c r="Y136" s="111" t="s">
        <v>2843</v>
      </c>
    </row>
    <row r="137" spans="1:25" ht="15.75" thickTop="1" x14ac:dyDescent="0.25">
      <c r="A137" t="s">
        <v>54</v>
      </c>
      <c r="B137" t="s">
        <v>60</v>
      </c>
      <c r="C137">
        <v>1025</v>
      </c>
      <c r="D137">
        <v>1026</v>
      </c>
      <c r="E137">
        <v>0.1</v>
      </c>
      <c r="F137" t="s">
        <v>13</v>
      </c>
      <c r="G137" t="s">
        <v>12</v>
      </c>
      <c r="H137">
        <v>0</v>
      </c>
      <c r="I137">
        <v>0</v>
      </c>
      <c r="J137" t="s">
        <v>2833</v>
      </c>
      <c r="K137">
        <v>32</v>
      </c>
      <c r="L137">
        <v>2.3014000000000001</v>
      </c>
      <c r="M137">
        <v>24.491</v>
      </c>
      <c r="N137">
        <v>2.3075999999999999</v>
      </c>
      <c r="O137" t="s">
        <v>2833</v>
      </c>
      <c r="P137" t="s">
        <v>159</v>
      </c>
      <c r="Q137" t="s">
        <v>2833</v>
      </c>
      <c r="R137">
        <f ca="1">RAND()*(Validation[[#This Row],[Range1_High]]-Validation[[#This Row],[Range1_Low]])+Validation[[#This Row],[Range1_Low]]</f>
        <v>1025.2109500272263</v>
      </c>
      <c r="S137">
        <f>Validation[[#This Row],[Range2_High]]</f>
        <v>0</v>
      </c>
      <c r="T137" t="str" cm="1">
        <f t="array" aca="1" ref="T137" ca="1">RoundToTwoSigFigs(Validation[[#This Row],[Test Reading]]*Validation[[#This Row],[Mult]]+Validation[[#This Row],[Base]]) &amp;" "&amp;Validation[[#This Row],[Uncert_Units]]</f>
        <v>2400 mA</v>
      </c>
      <c r="U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V137" t="b">
        <f ca="1">Validation[[#This Row],[Desired Result]]=Validation[[#This Row],[Result]]</f>
        <v>1</v>
      </c>
      <c r="W137" t="b">
        <v>0</v>
      </c>
      <c r="X137" t="b">
        <f>Validation[[#This Row],[Range1_Low]]&gt;=Validation[[#This Row],[Range1_High]]</f>
        <v>0</v>
      </c>
      <c r="Y137" s="111" t="s">
        <v>2845</v>
      </c>
    </row>
    <row r="138" spans="1:25" x14ac:dyDescent="0.25">
      <c r="A138" t="s">
        <v>68</v>
      </c>
      <c r="B138" t="s">
        <v>60</v>
      </c>
      <c r="C138">
        <v>5</v>
      </c>
      <c r="D138">
        <v>51</v>
      </c>
      <c r="E138">
        <v>0.1</v>
      </c>
      <c r="F138" t="s">
        <v>13</v>
      </c>
      <c r="G138" t="s">
        <v>12</v>
      </c>
      <c r="H138">
        <v>0</v>
      </c>
      <c r="I138">
        <v>0</v>
      </c>
      <c r="J138" t="s">
        <v>2833</v>
      </c>
      <c r="K138">
        <v>53.039000000000001</v>
      </c>
      <c r="L138">
        <v>1.3232999999999999</v>
      </c>
      <c r="M138">
        <v>52.915999999999997</v>
      </c>
      <c r="N138">
        <v>1.3219000000000001</v>
      </c>
      <c r="O138" t="s">
        <v>2833</v>
      </c>
      <c r="P138" t="s">
        <v>159</v>
      </c>
      <c r="Q138" t="s">
        <v>2833</v>
      </c>
      <c r="R138">
        <f ca="1">RAND()*(Validation[[#This Row],[Range1_High]]-Validation[[#This Row],[Range1_Low]])+Validation[[#This Row],[Range1_Low]]</f>
        <v>6.9756205174984824</v>
      </c>
      <c r="S138">
        <f>Validation[[#This Row],[Range2_High]]</f>
        <v>0</v>
      </c>
      <c r="T138" t="str" cm="1">
        <f t="array" aca="1" ref="T138" ca="1">RoundToTwoSigFigs(Validation[[#This Row],[Test Reading]]*Validation[[#This Row],[Mult]]+Validation[[#This Row],[Base]]) &amp;" "&amp;Validation[[#This Row],[Uncert_Units]]</f>
        <v>62 mA</v>
      </c>
      <c r="U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V138" t="b">
        <f ca="1">Validation[[#This Row],[Desired Result]]=Validation[[#This Row],[Result]]</f>
        <v>1</v>
      </c>
      <c r="W138" t="b">
        <v>0</v>
      </c>
      <c r="X138" t="b">
        <f>Validation[[#This Row],[Range1_Low]]&gt;=Validation[[#This Row],[Range1_High]]</f>
        <v>0</v>
      </c>
      <c r="Y138" s="111" t="s">
        <v>2845</v>
      </c>
    </row>
    <row r="139" spans="1:25" ht="15.75" thickBot="1" x14ac:dyDescent="0.3">
      <c r="A139" t="s">
        <v>54</v>
      </c>
      <c r="B139" t="s">
        <v>60</v>
      </c>
      <c r="C139">
        <v>55</v>
      </c>
      <c r="D139">
        <v>150.01</v>
      </c>
      <c r="E139">
        <v>1E-3</v>
      </c>
      <c r="F139" t="s">
        <v>13</v>
      </c>
      <c r="G139" t="s">
        <v>12</v>
      </c>
      <c r="H139">
        <v>0</v>
      </c>
      <c r="I139">
        <v>0</v>
      </c>
      <c r="J139" t="s">
        <v>2833</v>
      </c>
      <c r="K139">
        <v>7.7</v>
      </c>
      <c r="L139">
        <v>2</v>
      </c>
      <c r="M139">
        <v>0.58265</v>
      </c>
      <c r="N139">
        <v>2.0474000000000001</v>
      </c>
      <c r="O139" t="s">
        <v>2833</v>
      </c>
      <c r="P139" t="s">
        <v>159</v>
      </c>
      <c r="Q139" t="s">
        <v>2833</v>
      </c>
      <c r="R139">
        <f ca="1">RAND()*(Validation[[#This Row],[Range1_High]]-Validation[[#This Row],[Range1_Low]])+Validation[[#This Row],[Range1_Low]]</f>
        <v>137.6810183232401</v>
      </c>
      <c r="S139">
        <f>Validation[[#This Row],[Range2_High]]</f>
        <v>0</v>
      </c>
      <c r="T139" t="str" cm="1">
        <f t="array" aca="1" ref="T139" ca="1">RoundToTwoSigFigs(Validation[[#This Row],[Test Reading]]*Validation[[#This Row],[Mult]]+Validation[[#This Row],[Base]]) &amp;" "&amp;Validation[[#This Row],[Uncert_Units]]</f>
        <v>280 mA</v>
      </c>
      <c r="U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V139" t="b">
        <f ca="1">Validation[[#This Row],[Desired Result]]=Validation[[#This Row],[Result]]</f>
        <v>1</v>
      </c>
      <c r="W139" t="b">
        <v>0</v>
      </c>
      <c r="X139" t="b">
        <f>Validation[[#This Row],[Range1_Low]]&gt;=Validation[[#This Row],[Range1_High]]</f>
        <v>0</v>
      </c>
      <c r="Y139" s="111" t="s">
        <v>2845</v>
      </c>
    </row>
    <row r="140" spans="1:25" ht="16.5" thickTop="1" thickBot="1" x14ac:dyDescent="0.3">
      <c r="A140" t="s">
        <v>68</v>
      </c>
      <c r="B140" t="s">
        <v>60</v>
      </c>
      <c r="C140" s="113">
        <v>50</v>
      </c>
      <c r="D140" s="113">
        <v>510</v>
      </c>
      <c r="E140">
        <v>1</v>
      </c>
      <c r="F140" t="s">
        <v>13</v>
      </c>
      <c r="G140" t="s">
        <v>12</v>
      </c>
      <c r="H140">
        <v>0</v>
      </c>
      <c r="I140">
        <v>0</v>
      </c>
      <c r="J140" t="s">
        <v>2833</v>
      </c>
      <c r="K140">
        <v>534.37</v>
      </c>
      <c r="L140">
        <v>1.3886000000000001</v>
      </c>
      <c r="M140">
        <v>534.07000000000005</v>
      </c>
      <c r="N140">
        <v>1.3883000000000001</v>
      </c>
      <c r="O140" t="s">
        <v>2833</v>
      </c>
      <c r="P140" t="s">
        <v>159</v>
      </c>
      <c r="Q140" t="s">
        <v>2833</v>
      </c>
      <c r="R140">
        <f ca="1">RAND()*(Validation[[#This Row],[Range1_High]]-Validation[[#This Row],[Range1_Low]])+Validation[[#This Row],[Range1_Low]]</f>
        <v>373.97521236022283</v>
      </c>
      <c r="S140">
        <f>Validation[[#This Row],[Range2_High]]</f>
        <v>0</v>
      </c>
      <c r="T140" t="str" cm="1">
        <f t="array" aca="1" ref="T140" ca="1">RoundToTwoSigFigs(Validation[[#This Row],[Test Reading]]*Validation[[#This Row],[Mult]]+Validation[[#This Row],[Base]]) &amp;" "&amp;Validation[[#This Row],[Uncert_Units]]</f>
        <v>1100 mA</v>
      </c>
      <c r="U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V140" t="b">
        <f ca="1">Validation[[#This Row],[Desired Result]]=Validation[[#This Row],[Result]]</f>
        <v>1</v>
      </c>
      <c r="W140" t="b">
        <v>1</v>
      </c>
      <c r="X140" t="b">
        <f>Validation[[#This Row],[Range1_Low]]&gt;=Validation[[#This Row],[Range1_High]]</f>
        <v>0</v>
      </c>
      <c r="Y140" s="111" t="s">
        <v>2843</v>
      </c>
    </row>
    <row r="141" spans="1:25" ht="16.5" thickTop="1" thickBot="1" x14ac:dyDescent="0.3">
      <c r="A141" t="s">
        <v>55</v>
      </c>
      <c r="B141" t="s">
        <v>7</v>
      </c>
      <c r="C141">
        <v>0</v>
      </c>
      <c r="D141">
        <v>10</v>
      </c>
      <c r="E141">
        <v>100000</v>
      </c>
      <c r="F141" t="s">
        <v>102</v>
      </c>
      <c r="G141" t="s">
        <v>22</v>
      </c>
      <c r="H141">
        <v>0</v>
      </c>
      <c r="I141">
        <v>0</v>
      </c>
      <c r="J141" t="s">
        <v>2833</v>
      </c>
      <c r="K141">
        <v>57736000000</v>
      </c>
      <c r="L141">
        <v>8.4771000000000005E-6</v>
      </c>
      <c r="M141">
        <v>57736000000</v>
      </c>
      <c r="N141">
        <v>0</v>
      </c>
      <c r="O141" t="s">
        <v>2833</v>
      </c>
      <c r="P141" t="s">
        <v>2833</v>
      </c>
      <c r="Q141" t="s">
        <v>2833</v>
      </c>
      <c r="R141">
        <f ca="1">RAND()*(Validation[[#This Row],[Range1_High]]-Validation[[#This Row],[Range1_Low]])+Validation[[#This Row],[Range1_Low]]</f>
        <v>3.6727542557415829</v>
      </c>
      <c r="S141">
        <f>Validation[[#This Row],[Range2_High]]</f>
        <v>0</v>
      </c>
      <c r="T141" t="str" cm="1">
        <f t="array" aca="1" ref="T141" ca="1">RoundToTwoSigFigs(Validation[[#This Row],[Test Reading]]*Validation[[#This Row],[Mult]]+Validation[[#This Row],[Base]]) &amp;" "&amp;Validation[[#This Row],[Uncert_Units]]</f>
        <v>58000000000 µΩ</v>
      </c>
      <c r="U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V141" t="b">
        <f ca="1">Validation[[#This Row],[Desired Result]]=Validation[[#This Row],[Result]]</f>
        <v>1</v>
      </c>
      <c r="W141" t="b">
        <v>0</v>
      </c>
      <c r="X141" t="b">
        <f>Validation[[#This Row],[Range1_Low]]&gt;=Validation[[#This Row],[Range1_High]]</f>
        <v>0</v>
      </c>
      <c r="Y141" s="111" t="s">
        <v>2845</v>
      </c>
    </row>
    <row r="142" spans="1:25" ht="16.5" thickTop="1" thickBot="1" x14ac:dyDescent="0.3">
      <c r="A142" t="s">
        <v>55</v>
      </c>
      <c r="B142" t="s">
        <v>7</v>
      </c>
      <c r="C142" s="113">
        <v>100000</v>
      </c>
      <c r="D142" s="113">
        <v>1000000</v>
      </c>
      <c r="E142">
        <v>1</v>
      </c>
      <c r="F142" t="s">
        <v>102</v>
      </c>
      <c r="G142" t="s">
        <v>49</v>
      </c>
      <c r="H142">
        <v>0</v>
      </c>
      <c r="I142">
        <v>0</v>
      </c>
      <c r="J142" t="s">
        <v>2833</v>
      </c>
      <c r="K142">
        <v>2.2999999999999998</v>
      </c>
      <c r="L142">
        <v>1.8E-5</v>
      </c>
      <c r="M142">
        <v>2.3129</v>
      </c>
      <c r="N142">
        <v>1.7835000000000001E-5</v>
      </c>
      <c r="O142" t="s">
        <v>2833</v>
      </c>
      <c r="P142" t="s">
        <v>2833</v>
      </c>
      <c r="Q142" t="s">
        <v>2833</v>
      </c>
      <c r="R142">
        <f ca="1">RAND()*(Validation[[#This Row],[Range1_High]]-Validation[[#This Row],[Range1_Low]])+Validation[[#This Row],[Range1_Low]]</f>
        <v>458670.59435258358</v>
      </c>
      <c r="S142">
        <f>Validation[[#This Row],[Range2_High]]</f>
        <v>0</v>
      </c>
      <c r="T142" t="str" cm="1">
        <f t="array" aca="1" ref="T142" ca="1">RoundToTwoSigFigs(Validation[[#This Row],[Test Reading]]*Validation[[#This Row],[Mult]]+Validation[[#This Row],[Base]]) &amp;" "&amp;Validation[[#This Row],[Uncert_Units]]</f>
        <v>11 Ω</v>
      </c>
      <c r="U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Ω</v>
      </c>
      <c r="V142" t="b">
        <f ca="1">Validation[[#This Row],[Desired Result]]=Validation[[#This Row],[Result]]</f>
        <v>1</v>
      </c>
      <c r="W142" t="b">
        <v>1</v>
      </c>
      <c r="X142" t="b">
        <f>Validation[[#This Row],[Range1_Low]]&gt;=Validation[[#This Row],[Range1_High]]</f>
        <v>0</v>
      </c>
      <c r="Y142" s="111" t="s">
        <v>2843</v>
      </c>
    </row>
    <row r="143" spans="1:25" ht="16.5" thickTop="1" thickBot="1" x14ac:dyDescent="0.3">
      <c r="A143" t="s">
        <v>54</v>
      </c>
      <c r="B143" t="s">
        <v>7</v>
      </c>
      <c r="C143" s="113">
        <v>33000000</v>
      </c>
      <c r="D143" s="113">
        <v>110010000</v>
      </c>
      <c r="E143">
        <v>1000</v>
      </c>
      <c r="F143" t="s">
        <v>102</v>
      </c>
      <c r="G143" t="s">
        <v>50</v>
      </c>
      <c r="H143">
        <v>0</v>
      </c>
      <c r="I143">
        <v>0</v>
      </c>
      <c r="J143" t="s">
        <v>2833</v>
      </c>
      <c r="K143">
        <v>3.5</v>
      </c>
      <c r="L143">
        <v>5.8000000000000004E-6</v>
      </c>
      <c r="M143">
        <v>3.4662999999999999</v>
      </c>
      <c r="N143">
        <v>5.7734999999999999E-6</v>
      </c>
      <c r="O143" t="s">
        <v>2833</v>
      </c>
      <c r="P143" t="s">
        <v>2833</v>
      </c>
      <c r="Q143" t="s">
        <v>2833</v>
      </c>
      <c r="R143">
        <f ca="1">RAND()*(Validation[[#This Row],[Range1_High]]-Validation[[#This Row],[Range1_Low]])+Validation[[#This Row],[Range1_Low]]</f>
        <v>103399997.01999742</v>
      </c>
      <c r="S143">
        <f>Validation[[#This Row],[Range2_High]]</f>
        <v>0</v>
      </c>
      <c r="T143" t="str" cm="1">
        <f t="array" aca="1" ref="T143" ca="1">RoundToTwoSigFigs(Validation[[#This Row],[Test Reading]]*Validation[[#This Row],[Mult]]+Validation[[#This Row],[Base]]) &amp;" "&amp;Validation[[#This Row],[Uncert_Units]]</f>
        <v>600 kΩ</v>
      </c>
      <c r="U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kΩ</v>
      </c>
      <c r="V143" t="b">
        <f ca="1">Validation[[#This Row],[Desired Result]]=Validation[[#This Row],[Result]]</f>
        <v>1</v>
      </c>
      <c r="W143" t="b">
        <v>1</v>
      </c>
      <c r="X143" t="b">
        <f>Validation[[#This Row],[Range1_Low]]&gt;=Validation[[#This Row],[Range1_High]]</f>
        <v>0</v>
      </c>
      <c r="Y143" s="111" t="s">
        <v>2843</v>
      </c>
    </row>
    <row r="144" spans="1:25" ht="16.5" thickTop="1" thickBot="1" x14ac:dyDescent="0.3">
      <c r="A144" t="s">
        <v>55</v>
      </c>
      <c r="B144" t="s">
        <v>7</v>
      </c>
      <c r="C144">
        <v>0</v>
      </c>
      <c r="D144">
        <v>10</v>
      </c>
      <c r="E144">
        <v>1000000</v>
      </c>
      <c r="F144" t="s">
        <v>102</v>
      </c>
      <c r="G144" t="s">
        <v>22</v>
      </c>
      <c r="H144">
        <v>0</v>
      </c>
      <c r="I144">
        <v>0</v>
      </c>
      <c r="J144" t="s">
        <v>2833</v>
      </c>
      <c r="K144">
        <v>577360000000</v>
      </c>
      <c r="L144">
        <v>0</v>
      </c>
      <c r="M144">
        <v>577360000000</v>
      </c>
      <c r="N144">
        <v>0</v>
      </c>
      <c r="O144" t="s">
        <v>2833</v>
      </c>
      <c r="P144" t="s">
        <v>2833</v>
      </c>
      <c r="Q144" t="s">
        <v>2833</v>
      </c>
      <c r="R144">
        <f ca="1">RAND()*(Validation[[#This Row],[Range1_High]]-Validation[[#This Row],[Range1_Low]])+Validation[[#This Row],[Range1_Low]]</f>
        <v>8.0918040285011781</v>
      </c>
      <c r="S144">
        <f>Validation[[#This Row],[Range2_High]]</f>
        <v>0</v>
      </c>
      <c r="T144" t="str" cm="1">
        <f t="array" aca="1" ref="T144" ca="1">RoundToTwoSigFigs(Validation[[#This Row],[Test Reading]]*Validation[[#This Row],[Mult]]+Validation[[#This Row],[Base]]) &amp;" "&amp;Validation[[#This Row],[Uncert_Units]]</f>
        <v>580000000000 µΩ</v>
      </c>
      <c r="U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V144" t="b">
        <f ca="1">Validation[[#This Row],[Desired Result]]=Validation[[#This Row],[Result]]</f>
        <v>1</v>
      </c>
      <c r="W144" t="b">
        <v>0</v>
      </c>
      <c r="X144" t="b">
        <f>Validation[[#This Row],[Range1_Low]]&gt;=Validation[[#This Row],[Range1_High]]</f>
        <v>0</v>
      </c>
      <c r="Y144" s="111" t="s">
        <v>2845</v>
      </c>
    </row>
    <row r="145" spans="1:25" ht="16.5" thickTop="1" thickBot="1" x14ac:dyDescent="0.3">
      <c r="A145" t="s">
        <v>56</v>
      </c>
      <c r="B145" t="s">
        <v>7</v>
      </c>
      <c r="C145" s="115">
        <v>100000</v>
      </c>
      <c r="D145" s="115">
        <v>1000</v>
      </c>
      <c r="E145">
        <v>10000</v>
      </c>
      <c r="F145" t="s">
        <v>102</v>
      </c>
      <c r="G145" t="s">
        <v>49</v>
      </c>
      <c r="H145">
        <v>0</v>
      </c>
      <c r="I145">
        <v>0</v>
      </c>
      <c r="J145" t="s">
        <v>2833</v>
      </c>
      <c r="K145">
        <v>5.8513470999999999</v>
      </c>
      <c r="L145">
        <v>2.47889E-7</v>
      </c>
      <c r="M145">
        <v>5.7999590999999997</v>
      </c>
      <c r="N145">
        <v>4.8299999999999999E-10</v>
      </c>
      <c r="O145" t="s">
        <v>2833</v>
      </c>
      <c r="P145" t="s">
        <v>2833</v>
      </c>
      <c r="Q145" t="s">
        <v>2833</v>
      </c>
      <c r="R145" s="100">
        <f ca="1">RAND()*(Validation[[#This Row],[Range1_High]]-Validation[[#This Row],[Range1_Low]])+Validation[[#This Row],[Range1_Low]]</f>
        <v>6941.5012430472125</v>
      </c>
      <c r="S145">
        <f>Validation[[#This Row],[Range2_High]]</f>
        <v>0</v>
      </c>
      <c r="T145" t="str" cm="1">
        <f t="array" aca="1" ref="T145" ca="1">RoundToTwoSigFigs(Validation[[#This Row],[Test Reading]]*Validation[[#This Row],[Mult]]+Validation[[#This Row],[Base]]) &amp;" "&amp;Validation[[#This Row],[Uncert_Units]]</f>
        <v>5.9 Ω</v>
      </c>
      <c r="U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V145" t="b">
        <f ca="1">Validation[[#This Row],[Desired Result]]=Validation[[#This Row],[Result]]</f>
        <v>0</v>
      </c>
      <c r="W145" t="b">
        <v>1</v>
      </c>
      <c r="X145" t="b">
        <f>Validation[[#This Row],[Range1_Low]]&gt;=Validation[[#This Row],[Range1_High]]</f>
        <v>1</v>
      </c>
      <c r="Y145" s="111" t="s">
        <v>2842</v>
      </c>
    </row>
    <row r="146" spans="1:25" ht="16.5" thickTop="1" thickBot="1" x14ac:dyDescent="0.3">
      <c r="A146" t="s">
        <v>54</v>
      </c>
      <c r="B146" t="s">
        <v>7</v>
      </c>
      <c r="C146" s="113">
        <v>110</v>
      </c>
      <c r="D146" s="113">
        <v>330.01</v>
      </c>
      <c r="E146">
        <v>1E-3</v>
      </c>
      <c r="F146" t="s">
        <v>102</v>
      </c>
      <c r="G146" t="s">
        <v>48</v>
      </c>
      <c r="H146">
        <v>0</v>
      </c>
      <c r="I146">
        <v>0</v>
      </c>
      <c r="J146" t="s">
        <v>2833</v>
      </c>
      <c r="K146">
        <v>25</v>
      </c>
      <c r="L146">
        <v>0.3</v>
      </c>
      <c r="M146">
        <v>24.812000000000001</v>
      </c>
      <c r="N146">
        <v>0.29687000000000002</v>
      </c>
      <c r="O146" t="s">
        <v>2833</v>
      </c>
      <c r="P146" t="s">
        <v>2833</v>
      </c>
      <c r="Q146" t="s">
        <v>2833</v>
      </c>
      <c r="R146">
        <f ca="1">RAND()*(Validation[[#This Row],[Range1_High]]-Validation[[#This Row],[Range1_Low]])+Validation[[#This Row],[Range1_Low]]</f>
        <v>174.14639191157158</v>
      </c>
      <c r="S146">
        <f>Validation[[#This Row],[Range2_High]]</f>
        <v>0</v>
      </c>
      <c r="T146" t="str" cm="1">
        <f t="array" aca="1" ref="T146" ca="1">RoundToTwoSigFigs(Validation[[#This Row],[Test Reading]]*Validation[[#This Row],[Mult]]+Validation[[#This Row],[Base]]) &amp;" "&amp;Validation[[#This Row],[Uncert_Units]]</f>
        <v>77 mΩ</v>
      </c>
      <c r="U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mΩ</v>
      </c>
      <c r="V146" t="b">
        <f ca="1">Validation[[#This Row],[Desired Result]]=Validation[[#This Row],[Result]]</f>
        <v>1</v>
      </c>
      <c r="W146" t="b">
        <v>1</v>
      </c>
      <c r="X146" t="b">
        <f>Validation[[#This Row],[Range1_Low]]&gt;=Validation[[#This Row],[Range1_High]]</f>
        <v>0</v>
      </c>
      <c r="Y146" s="111" t="s">
        <v>2843</v>
      </c>
    </row>
    <row r="147" spans="1:25" ht="15.75" thickTop="1" x14ac:dyDescent="0.25">
      <c r="A147" t="s">
        <v>55</v>
      </c>
      <c r="B147" t="s">
        <v>7</v>
      </c>
      <c r="C147">
        <v>0</v>
      </c>
      <c r="D147">
        <v>10</v>
      </c>
      <c r="E147">
        <v>1E-3</v>
      </c>
      <c r="F147" t="s">
        <v>102</v>
      </c>
      <c r="G147" t="s">
        <v>22</v>
      </c>
      <c r="H147">
        <v>0</v>
      </c>
      <c r="I147">
        <v>0</v>
      </c>
      <c r="J147" t="s">
        <v>2833</v>
      </c>
      <c r="K147">
        <v>578.24</v>
      </c>
      <c r="L147">
        <v>4.5206999999999997</v>
      </c>
      <c r="M147">
        <v>578.20000000000005</v>
      </c>
      <c r="N147">
        <v>4.5079000000000002</v>
      </c>
      <c r="O147" t="s">
        <v>2833</v>
      </c>
      <c r="P147" t="s">
        <v>2833</v>
      </c>
      <c r="Q147" t="s">
        <v>2833</v>
      </c>
      <c r="R147">
        <f ca="1">RAND()*(Validation[[#This Row],[Range1_High]]-Validation[[#This Row],[Range1_Low]])+Validation[[#This Row],[Range1_Low]]</f>
        <v>7.8128692660559036</v>
      </c>
      <c r="S147">
        <f>Validation[[#This Row],[Range2_High]]</f>
        <v>0</v>
      </c>
      <c r="T147" t="str" cm="1">
        <f t="array" aca="1" ref="T147" ca="1">RoundToTwoSigFigs(Validation[[#This Row],[Test Reading]]*Validation[[#This Row],[Mult]]+Validation[[#This Row],[Base]]) &amp;" "&amp;Validation[[#This Row],[Uncert_Units]]</f>
        <v>610 µΩ</v>
      </c>
      <c r="U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µΩ</v>
      </c>
      <c r="V147" t="b">
        <f ca="1">Validation[[#This Row],[Desired Result]]=Validation[[#This Row],[Result]]</f>
        <v>1</v>
      </c>
      <c r="W147" t="b">
        <v>0</v>
      </c>
      <c r="X147" t="b">
        <f>Validation[[#This Row],[Range1_Low]]&gt;=Validation[[#This Row],[Range1_High]]</f>
        <v>0</v>
      </c>
      <c r="Y147" s="111" t="s">
        <v>2845</v>
      </c>
    </row>
    <row r="148" spans="1:25" x14ac:dyDescent="0.25">
      <c r="A148" t="s">
        <v>54</v>
      </c>
      <c r="B148" t="s">
        <v>7</v>
      </c>
      <c r="C148">
        <v>330000000</v>
      </c>
      <c r="D148">
        <v>1100010000</v>
      </c>
      <c r="E148">
        <v>10000000</v>
      </c>
      <c r="F148" t="s">
        <v>102</v>
      </c>
      <c r="G148" t="s">
        <v>50</v>
      </c>
      <c r="H148">
        <v>0</v>
      </c>
      <c r="I148">
        <v>0</v>
      </c>
      <c r="J148" t="s">
        <v>2833</v>
      </c>
      <c r="K148">
        <v>3454.2</v>
      </c>
      <c r="L148">
        <v>1.5468000000000002E-5</v>
      </c>
      <c r="M148">
        <v>3454.1</v>
      </c>
      <c r="N148">
        <v>1.5468000000000002E-5</v>
      </c>
      <c r="O148" t="s">
        <v>2833</v>
      </c>
      <c r="P148" t="s">
        <v>2833</v>
      </c>
      <c r="Q148" t="s">
        <v>2833</v>
      </c>
      <c r="R148">
        <f ca="1">RAND()*(Validation[[#This Row],[Range1_High]]-Validation[[#This Row],[Range1_Low]])+Validation[[#This Row],[Range1_Low]]</f>
        <v>838391943.74605513</v>
      </c>
      <c r="S148">
        <f>Validation[[#This Row],[Range2_High]]</f>
        <v>0</v>
      </c>
      <c r="T148" t="str" cm="1">
        <f t="array" aca="1" ref="T148" ca="1">RoundToTwoSigFigs(Validation[[#This Row],[Test Reading]]*Validation[[#This Row],[Mult]]+Validation[[#This Row],[Base]]) &amp;" "&amp;Validation[[#This Row],[Uncert_Units]]</f>
        <v>16000 kΩ</v>
      </c>
      <c r="U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V148" t="b">
        <f ca="1">Validation[[#This Row],[Desired Result]]=Validation[[#This Row],[Result]]</f>
        <v>1</v>
      </c>
      <c r="W148" t="b">
        <v>0</v>
      </c>
      <c r="X148" t="b">
        <f>Validation[[#This Row],[Range1_Low]]&gt;=Validation[[#This Row],[Range1_High]]</f>
        <v>0</v>
      </c>
      <c r="Y148" s="111" t="s">
        <v>2845</v>
      </c>
    </row>
    <row r="149" spans="1:25" ht="15.75" thickBot="1" x14ac:dyDescent="0.3">
      <c r="A149" t="s">
        <v>55</v>
      </c>
      <c r="B149" t="s">
        <v>7</v>
      </c>
      <c r="C149">
        <v>0</v>
      </c>
      <c r="D149">
        <v>10</v>
      </c>
      <c r="E149">
        <v>100</v>
      </c>
      <c r="F149" t="s">
        <v>102</v>
      </c>
      <c r="G149" t="s">
        <v>22</v>
      </c>
      <c r="H149">
        <v>0</v>
      </c>
      <c r="I149">
        <v>0</v>
      </c>
      <c r="J149" t="s">
        <v>2833</v>
      </c>
      <c r="K149">
        <v>57736000</v>
      </c>
      <c r="L149">
        <v>1.9242E-4</v>
      </c>
      <c r="M149">
        <v>57736000</v>
      </c>
      <c r="N149">
        <v>4.7080000000000003E-5</v>
      </c>
      <c r="O149" t="s">
        <v>2833</v>
      </c>
      <c r="P149" t="s">
        <v>2833</v>
      </c>
      <c r="Q149" t="s">
        <v>2833</v>
      </c>
      <c r="R149">
        <f ca="1">RAND()*(Validation[[#This Row],[Range1_High]]-Validation[[#This Row],[Range1_Low]])+Validation[[#This Row],[Range1_Low]]</f>
        <v>3.0923852913160674</v>
      </c>
      <c r="S149">
        <f>Validation[[#This Row],[Range2_High]]</f>
        <v>0</v>
      </c>
      <c r="T149" t="str" cm="1">
        <f t="array" aca="1" ref="T149" ca="1">RoundToTwoSigFigs(Validation[[#This Row],[Test Reading]]*Validation[[#This Row],[Mult]]+Validation[[#This Row],[Base]]) &amp;" "&amp;Validation[[#This Row],[Uncert_Units]]</f>
        <v>58000000 µΩ</v>
      </c>
      <c r="U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V149" t="b">
        <f ca="1">Validation[[#This Row],[Desired Result]]=Validation[[#This Row],[Result]]</f>
        <v>1</v>
      </c>
      <c r="W149" t="b">
        <v>0</v>
      </c>
      <c r="X149" t="b">
        <f>Validation[[#This Row],[Range1_Low]]&gt;=Validation[[#This Row],[Range1_High]]</f>
        <v>0</v>
      </c>
      <c r="Y149" s="111" t="s">
        <v>2845</v>
      </c>
    </row>
    <row r="150" spans="1:25" ht="16.5" thickTop="1" thickBot="1" x14ac:dyDescent="0.3">
      <c r="A150" t="s">
        <v>55</v>
      </c>
      <c r="B150" t="s">
        <v>7</v>
      </c>
      <c r="C150" s="113">
        <v>10000</v>
      </c>
      <c r="D150" s="113">
        <v>100000</v>
      </c>
      <c r="E150">
        <v>0.1</v>
      </c>
      <c r="F150" t="s">
        <v>102</v>
      </c>
      <c r="G150" t="s">
        <v>48</v>
      </c>
      <c r="H150">
        <v>0</v>
      </c>
      <c r="I150">
        <v>0</v>
      </c>
      <c r="J150" t="s">
        <v>2833</v>
      </c>
      <c r="K150">
        <v>64.108000000000004</v>
      </c>
      <c r="L150">
        <v>1.1939E-2</v>
      </c>
      <c r="M150">
        <v>63.985999999999997</v>
      </c>
      <c r="N150">
        <v>1.1939E-2</v>
      </c>
      <c r="O150" t="s">
        <v>2833</v>
      </c>
      <c r="P150" t="s">
        <v>2833</v>
      </c>
      <c r="Q150" t="s">
        <v>2833</v>
      </c>
      <c r="R150">
        <f ca="1">RAND()*(Validation[[#This Row],[Range1_High]]-Validation[[#This Row],[Range1_Low]])+Validation[[#This Row],[Range1_Low]]</f>
        <v>50198.463521927086</v>
      </c>
      <c r="S150">
        <f>Validation[[#This Row],[Range2_High]]</f>
        <v>0</v>
      </c>
      <c r="T150" t="str" cm="1">
        <f t="array" aca="1" ref="T150" ca="1">RoundToTwoSigFigs(Validation[[#This Row],[Test Reading]]*Validation[[#This Row],[Mult]]+Validation[[#This Row],[Base]]) &amp;" "&amp;Validation[[#This Row],[Uncert_Units]]</f>
        <v>660 mΩ</v>
      </c>
      <c r="U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mΩ</v>
      </c>
      <c r="V150" t="b">
        <f ca="1">Validation[[#This Row],[Desired Result]]=Validation[[#This Row],[Result]]</f>
        <v>1</v>
      </c>
      <c r="W150" t="b">
        <v>1</v>
      </c>
      <c r="X150" t="b">
        <f>Validation[[#This Row],[Range1_Low]]&gt;=Validation[[#This Row],[Range1_High]]</f>
        <v>0</v>
      </c>
      <c r="Y150" s="111" t="s">
        <v>2843</v>
      </c>
    </row>
    <row r="151" spans="1:25" ht="15.75" thickTop="1" x14ac:dyDescent="0.25">
      <c r="A151" t="s">
        <v>55</v>
      </c>
      <c r="B151" t="s">
        <v>7</v>
      </c>
      <c r="C151">
        <v>0</v>
      </c>
      <c r="D151">
        <v>10</v>
      </c>
      <c r="E151">
        <v>0.1</v>
      </c>
      <c r="F151" t="s">
        <v>102</v>
      </c>
      <c r="G151" t="s">
        <v>22</v>
      </c>
      <c r="H151">
        <v>0</v>
      </c>
      <c r="I151">
        <v>0</v>
      </c>
      <c r="J151" t="s">
        <v>2833</v>
      </c>
      <c r="K151">
        <v>57736</v>
      </c>
      <c r="L151">
        <v>4.9352E-2</v>
      </c>
      <c r="M151">
        <v>57736</v>
      </c>
      <c r="N151">
        <v>4.7080999999999998E-2</v>
      </c>
      <c r="O151" t="s">
        <v>2833</v>
      </c>
      <c r="P151" t="s">
        <v>2833</v>
      </c>
      <c r="Q151" t="s">
        <v>2833</v>
      </c>
      <c r="R151">
        <f ca="1">RAND()*(Validation[[#This Row],[Range1_High]]-Validation[[#This Row],[Range1_Low]])+Validation[[#This Row],[Range1_Low]]</f>
        <v>4.6667519969144822</v>
      </c>
      <c r="S151">
        <f>Validation[[#This Row],[Range2_High]]</f>
        <v>0</v>
      </c>
      <c r="T151" t="str" cm="1">
        <f t="array" aca="1" ref="T151" ca="1">RoundToTwoSigFigs(Validation[[#This Row],[Test Reading]]*Validation[[#This Row],[Mult]]+Validation[[#This Row],[Base]]) &amp;" "&amp;Validation[[#This Row],[Uncert_Units]]</f>
        <v>58000 µΩ</v>
      </c>
      <c r="U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V151" t="b">
        <f ca="1">Validation[[#This Row],[Desired Result]]=Validation[[#This Row],[Result]]</f>
        <v>1</v>
      </c>
      <c r="W151" t="b">
        <v>0</v>
      </c>
      <c r="X151" t="b">
        <f>Validation[[#This Row],[Range1_Low]]&gt;=Validation[[#This Row],[Range1_High]]</f>
        <v>0</v>
      </c>
      <c r="Y151" s="111" t="s">
        <v>2845</v>
      </c>
    </row>
    <row r="152" spans="1:25" ht="15.75" thickBot="1" x14ac:dyDescent="0.3">
      <c r="A152" t="s">
        <v>55</v>
      </c>
      <c r="B152" t="s">
        <v>7</v>
      </c>
      <c r="C152">
        <v>0</v>
      </c>
      <c r="D152">
        <v>10</v>
      </c>
      <c r="E152">
        <v>10000</v>
      </c>
      <c r="F152" t="s">
        <v>102</v>
      </c>
      <c r="G152" t="s">
        <v>22</v>
      </c>
      <c r="H152">
        <v>0</v>
      </c>
      <c r="I152">
        <v>0</v>
      </c>
      <c r="J152" t="s">
        <v>2833</v>
      </c>
      <c r="K152">
        <v>5773600000</v>
      </c>
      <c r="L152">
        <v>2.3736000000000001E-5</v>
      </c>
      <c r="M152">
        <v>5773600000</v>
      </c>
      <c r="N152">
        <v>0</v>
      </c>
      <c r="O152" t="s">
        <v>2833</v>
      </c>
      <c r="P152" t="s">
        <v>2833</v>
      </c>
      <c r="Q152" t="s">
        <v>2833</v>
      </c>
      <c r="R152">
        <f ca="1">RAND()*(Validation[[#This Row],[Range1_High]]-Validation[[#This Row],[Range1_Low]])+Validation[[#This Row],[Range1_Low]]</f>
        <v>9.380531800172184</v>
      </c>
      <c r="S152">
        <f>Validation[[#This Row],[Range2_High]]</f>
        <v>0</v>
      </c>
      <c r="T152" t="str" cm="1">
        <f t="array" aca="1" ref="T152" ca="1">RoundToTwoSigFigs(Validation[[#This Row],[Test Reading]]*Validation[[#This Row],[Mult]]+Validation[[#This Row],[Base]]) &amp;" "&amp;Validation[[#This Row],[Uncert_Units]]</f>
        <v>5800000000 µΩ</v>
      </c>
      <c r="U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V152" t="b">
        <f ca="1">Validation[[#This Row],[Desired Result]]=Validation[[#This Row],[Result]]</f>
        <v>1</v>
      </c>
      <c r="W152" t="b">
        <v>0</v>
      </c>
      <c r="X152" t="b">
        <f>Validation[[#This Row],[Range1_Low]]&gt;=Validation[[#This Row],[Range1_High]]</f>
        <v>0</v>
      </c>
      <c r="Y152" s="111" t="s">
        <v>2845</v>
      </c>
    </row>
    <row r="153" spans="1:25" ht="16.5" thickTop="1" thickBot="1" x14ac:dyDescent="0.3">
      <c r="A153" t="s">
        <v>56</v>
      </c>
      <c r="B153" t="s">
        <v>7</v>
      </c>
      <c r="C153" s="115">
        <v>100000</v>
      </c>
      <c r="D153" s="115">
        <v>1000</v>
      </c>
      <c r="E153">
        <v>100</v>
      </c>
      <c r="F153" t="s">
        <v>102</v>
      </c>
      <c r="G153" t="s">
        <v>48</v>
      </c>
      <c r="H153">
        <v>0</v>
      </c>
      <c r="I153">
        <v>0</v>
      </c>
      <c r="J153" t="s">
        <v>2833</v>
      </c>
      <c r="K153">
        <v>64.321470000000005</v>
      </c>
      <c r="L153">
        <v>5.4750999999999998E-5</v>
      </c>
      <c r="M153">
        <v>55.019219999999997</v>
      </c>
      <c r="N153">
        <v>3.7117999999999999E-5</v>
      </c>
      <c r="O153" t="s">
        <v>2833</v>
      </c>
      <c r="P153" t="s">
        <v>2833</v>
      </c>
      <c r="Q153" t="s">
        <v>2833</v>
      </c>
      <c r="R153" s="100">
        <f ca="1">RAND()*(Validation[[#This Row],[Range1_High]]-Validation[[#This Row],[Range1_Low]])+Validation[[#This Row],[Range1_Low]]</f>
        <v>27764.40547439536</v>
      </c>
      <c r="S153">
        <f>Validation[[#This Row],[Range2_High]]</f>
        <v>0</v>
      </c>
      <c r="T153" t="str" cm="1">
        <f t="array" aca="1" ref="T153" ca="1">RoundToTwoSigFigs(Validation[[#This Row],[Test Reading]]*Validation[[#This Row],[Mult]]+Validation[[#This Row],[Base]]) &amp;" "&amp;Validation[[#This Row],[Uncert_Units]]</f>
        <v>66 mΩ</v>
      </c>
      <c r="U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V153" t="b">
        <f ca="1">Validation[[#This Row],[Desired Result]]=Validation[[#This Row],[Result]]</f>
        <v>0</v>
      </c>
      <c r="W153" t="b">
        <v>1</v>
      </c>
      <c r="X153" t="b">
        <f>Validation[[#This Row],[Range1_Low]]&gt;=Validation[[#This Row],[Range1_High]]</f>
        <v>1</v>
      </c>
      <c r="Y153" s="111" t="s">
        <v>2842</v>
      </c>
    </row>
    <row r="154" spans="1:25" ht="16.5" thickTop="1" thickBot="1" x14ac:dyDescent="0.3">
      <c r="A154" t="s">
        <v>55</v>
      </c>
      <c r="B154" t="s">
        <v>7</v>
      </c>
      <c r="C154">
        <v>1000</v>
      </c>
      <c r="D154">
        <v>10000</v>
      </c>
      <c r="E154">
        <v>100</v>
      </c>
      <c r="F154" t="s">
        <v>102</v>
      </c>
      <c r="G154" t="s">
        <v>48</v>
      </c>
      <c r="H154">
        <v>0</v>
      </c>
      <c r="I154">
        <v>0</v>
      </c>
      <c r="J154" t="s">
        <v>2833</v>
      </c>
      <c r="K154">
        <v>57736</v>
      </c>
      <c r="L154">
        <v>1.4357E-5</v>
      </c>
      <c r="M154">
        <v>57735</v>
      </c>
      <c r="N154">
        <v>1.4097000000000001E-5</v>
      </c>
      <c r="O154" t="s">
        <v>2833</v>
      </c>
      <c r="P154" t="s">
        <v>2833</v>
      </c>
      <c r="Q154" t="s">
        <v>2833</v>
      </c>
      <c r="R154">
        <f ca="1">RAND()*(Validation[[#This Row],[Range1_High]]-Validation[[#This Row],[Range1_Low]])+Validation[[#This Row],[Range1_Low]]</f>
        <v>4181.1787503938349</v>
      </c>
      <c r="S154">
        <f>Validation[[#This Row],[Range2_High]]</f>
        <v>0</v>
      </c>
      <c r="T154" t="str" cm="1">
        <f t="array" aca="1" ref="T154" ca="1">RoundToTwoSigFigs(Validation[[#This Row],[Test Reading]]*Validation[[#This Row],[Mult]]+Validation[[#This Row],[Base]]) &amp;" "&amp;Validation[[#This Row],[Uncert_Units]]</f>
        <v>58000 mΩ</v>
      </c>
      <c r="U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V154" t="b">
        <f ca="1">Validation[[#This Row],[Desired Result]]=Validation[[#This Row],[Result]]</f>
        <v>1</v>
      </c>
      <c r="W154" t="b">
        <v>0</v>
      </c>
      <c r="X154" t="b">
        <f>Validation[[#This Row],[Range1_Low]]&gt;=Validation[[#This Row],[Range1_High]]</f>
        <v>0</v>
      </c>
      <c r="Y154" s="111" t="s">
        <v>2845</v>
      </c>
    </row>
    <row r="155" spans="1:25" ht="16.5" thickTop="1" thickBot="1" x14ac:dyDescent="0.3">
      <c r="A155" t="s">
        <v>55</v>
      </c>
      <c r="B155" t="s">
        <v>7</v>
      </c>
      <c r="C155" s="113">
        <v>10000000</v>
      </c>
      <c r="D155" s="113">
        <v>100000000</v>
      </c>
      <c r="E155">
        <v>10000</v>
      </c>
      <c r="F155" t="s">
        <v>102</v>
      </c>
      <c r="G155" t="s">
        <v>176</v>
      </c>
      <c r="H155">
        <v>0</v>
      </c>
      <c r="I155">
        <v>0</v>
      </c>
      <c r="J155" t="s">
        <v>2833</v>
      </c>
      <c r="K155">
        <v>3.4529000000000001</v>
      </c>
      <c r="L155">
        <v>5.5767999999999995E-7</v>
      </c>
      <c r="M155">
        <v>3.4420000000000002</v>
      </c>
      <c r="N155">
        <v>5.5771000000000004E-7</v>
      </c>
      <c r="O155" t="s">
        <v>2833</v>
      </c>
      <c r="P155" t="s">
        <v>2833</v>
      </c>
      <c r="Q155" t="s">
        <v>2833</v>
      </c>
      <c r="R155">
        <f ca="1">RAND()*(Validation[[#This Row],[Range1_High]]-Validation[[#This Row],[Range1_Low]])+Validation[[#This Row],[Range1_Low]]</f>
        <v>10830081.05517929</v>
      </c>
      <c r="S155">
        <f>Validation[[#This Row],[Range2_High]]</f>
        <v>0</v>
      </c>
      <c r="T155" t="str" cm="1">
        <f t="array" aca="1" ref="T155" ca="1">RoundToTwoSigFigs(Validation[[#This Row],[Test Reading]]*Validation[[#This Row],[Mult]]+Validation[[#This Row],[Base]]) &amp;" "&amp;Validation[[#This Row],[Uncert_Units]]</f>
        <v>9.5 kΩ</v>
      </c>
      <c r="U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kΩ</v>
      </c>
      <c r="V155" t="b">
        <f ca="1">Validation[[#This Row],[Desired Result]]=Validation[[#This Row],[Result]]</f>
        <v>1</v>
      </c>
      <c r="W155" t="b">
        <v>1</v>
      </c>
      <c r="X155" t="b">
        <f>Validation[[#This Row],[Range1_Low]]&gt;=Validation[[#This Row],[Range1_High]]</f>
        <v>0</v>
      </c>
      <c r="Y155" s="111" t="s">
        <v>2843</v>
      </c>
    </row>
    <row r="156" spans="1:25" ht="16.5" thickTop="1" thickBot="1" x14ac:dyDescent="0.3">
      <c r="A156" t="s">
        <v>56</v>
      </c>
      <c r="B156" t="s">
        <v>7</v>
      </c>
      <c r="C156">
        <v>10000</v>
      </c>
      <c r="D156">
        <v>100000</v>
      </c>
      <c r="E156">
        <v>0.01</v>
      </c>
      <c r="F156" t="s">
        <v>102</v>
      </c>
      <c r="G156" t="s">
        <v>48</v>
      </c>
      <c r="H156">
        <v>0</v>
      </c>
      <c r="I156">
        <v>0</v>
      </c>
      <c r="J156" t="s">
        <v>2833</v>
      </c>
      <c r="K156">
        <v>6.4321469999999996</v>
      </c>
      <c r="L156">
        <v>5.4750999999999998E-5</v>
      </c>
      <c r="M156">
        <v>5.5019220000000004</v>
      </c>
      <c r="N156">
        <v>3.7117999999999999E-5</v>
      </c>
      <c r="O156" t="s">
        <v>2833</v>
      </c>
      <c r="P156" t="s">
        <v>2833</v>
      </c>
      <c r="Q156" t="s">
        <v>2833</v>
      </c>
      <c r="R156">
        <f ca="1">RAND()*(Validation[[#This Row],[Range1_High]]-Validation[[#This Row],[Range1_Low]])+Validation[[#This Row],[Range1_Low]]</f>
        <v>65388.203621264402</v>
      </c>
      <c r="S156">
        <f>Validation[[#This Row],[Range2_High]]</f>
        <v>0</v>
      </c>
      <c r="T156" t="str" cm="1">
        <f t="array" aca="1" ref="T156" ca="1">RoundToTwoSigFigs(Validation[[#This Row],[Test Reading]]*Validation[[#This Row],[Mult]]+Validation[[#This Row],[Base]]) &amp;" "&amp;Validation[[#This Row],[Uncert_Units]]</f>
        <v>10 mΩ</v>
      </c>
      <c r="U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mΩ</v>
      </c>
      <c r="V156" t="b">
        <f ca="1">Validation[[#This Row],[Desired Result]]=Validation[[#This Row],[Result]]</f>
        <v>1</v>
      </c>
      <c r="W156" t="b">
        <v>0</v>
      </c>
      <c r="X156" t="b">
        <f>Validation[[#This Row],[Range1_Low]]&gt;=Validation[[#This Row],[Range1_High]]</f>
        <v>0</v>
      </c>
      <c r="Y156" s="111" t="s">
        <v>2845</v>
      </c>
    </row>
    <row r="157" spans="1:25" ht="16.5" thickTop="1" thickBot="1" x14ac:dyDescent="0.3">
      <c r="A157" t="s">
        <v>56</v>
      </c>
      <c r="B157" t="s">
        <v>7</v>
      </c>
      <c r="C157" s="115">
        <v>100000</v>
      </c>
      <c r="D157" s="115">
        <v>1000</v>
      </c>
      <c r="E157">
        <v>1</v>
      </c>
      <c r="F157" t="s">
        <v>102</v>
      </c>
      <c r="G157" t="s">
        <v>48</v>
      </c>
      <c r="H157">
        <v>0</v>
      </c>
      <c r="I157">
        <v>0</v>
      </c>
      <c r="J157" t="s">
        <v>2833</v>
      </c>
      <c r="K157">
        <v>2.4035060000000001</v>
      </c>
      <c r="L157">
        <v>6.9214000000000005E-5</v>
      </c>
      <c r="M157">
        <v>2.3295499999999998</v>
      </c>
      <c r="N157">
        <v>6.9264000000000006E-5</v>
      </c>
      <c r="O157" t="s">
        <v>2833</v>
      </c>
      <c r="P157" t="s">
        <v>2833</v>
      </c>
      <c r="Q157" t="s">
        <v>2833</v>
      </c>
      <c r="R157" s="100">
        <f ca="1">RAND()*(Validation[[#This Row],[Range1_High]]-Validation[[#This Row],[Range1_Low]])+Validation[[#This Row],[Range1_Low]]</f>
        <v>92765.060386848985</v>
      </c>
      <c r="S157">
        <f>Validation[[#This Row],[Range2_High]]</f>
        <v>0</v>
      </c>
      <c r="T157" t="str" cm="1">
        <f t="array" aca="1" ref="T157" ca="1">RoundToTwoSigFigs(Validation[[#This Row],[Test Reading]]*Validation[[#This Row],[Mult]]+Validation[[#This Row],[Base]]) &amp;" "&amp;Validation[[#This Row],[Uncert_Units]]</f>
        <v>8.8 mΩ</v>
      </c>
      <c r="U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mΩ</v>
      </c>
      <c r="V157" t="b">
        <f ca="1">Validation[[#This Row],[Desired Result]]=Validation[[#This Row],[Result]]</f>
        <v>0</v>
      </c>
      <c r="W157" t="b">
        <v>1</v>
      </c>
      <c r="X157" t="b">
        <f>Validation[[#This Row],[Range1_Low]]&gt;=Validation[[#This Row],[Range1_High]]</f>
        <v>1</v>
      </c>
      <c r="Y157" s="111" t="s">
        <v>2842</v>
      </c>
    </row>
    <row r="158" spans="1:25" ht="15.75" thickTop="1" x14ac:dyDescent="0.25">
      <c r="A158" t="s">
        <v>54</v>
      </c>
      <c r="B158" t="s">
        <v>7</v>
      </c>
      <c r="C158">
        <v>0</v>
      </c>
      <c r="D158">
        <v>11.000999999999999</v>
      </c>
      <c r="E158">
        <v>1000000</v>
      </c>
      <c r="F158" t="s">
        <v>102</v>
      </c>
      <c r="G158" t="s">
        <v>48</v>
      </c>
      <c r="H158">
        <v>0</v>
      </c>
      <c r="I158">
        <v>0</v>
      </c>
      <c r="J158" t="s">
        <v>2833</v>
      </c>
      <c r="K158">
        <v>580000000</v>
      </c>
      <c r="L158">
        <v>9.5148999999999995E-7</v>
      </c>
      <c r="M158">
        <v>580000000</v>
      </c>
      <c r="N158">
        <v>0</v>
      </c>
      <c r="O158" t="s">
        <v>2833</v>
      </c>
      <c r="P158" t="s">
        <v>2833</v>
      </c>
      <c r="Q158" t="s">
        <v>2833</v>
      </c>
      <c r="R158">
        <f ca="1">RAND()*(Validation[[#This Row],[Range1_High]]-Validation[[#This Row],[Range1_Low]])+Validation[[#This Row],[Range1_Low]]</f>
        <v>9.1268422626656385</v>
      </c>
      <c r="S158">
        <f>Validation[[#This Row],[Range2_High]]</f>
        <v>0</v>
      </c>
      <c r="T158" t="str" cm="1">
        <f t="array" aca="1" ref="T158" ca="1">RoundToTwoSigFigs(Validation[[#This Row],[Test Reading]]*Validation[[#This Row],[Mult]]+Validation[[#This Row],[Base]]) &amp;" "&amp;Validation[[#This Row],[Uncert_Units]]</f>
        <v>580000000 mΩ</v>
      </c>
      <c r="U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V158" t="b">
        <f ca="1">Validation[[#This Row],[Desired Result]]=Validation[[#This Row],[Result]]</f>
        <v>1</v>
      </c>
      <c r="W158" t="b">
        <v>0</v>
      </c>
      <c r="X158" t="b">
        <f>Validation[[#This Row],[Range1_Low]]&gt;=Validation[[#This Row],[Range1_High]]</f>
        <v>0</v>
      </c>
      <c r="Y158" s="111" t="s">
        <v>2845</v>
      </c>
    </row>
    <row r="159" spans="1:25" ht="15.75" thickBot="1" x14ac:dyDescent="0.3">
      <c r="A159" t="s">
        <v>55</v>
      </c>
      <c r="B159" t="s">
        <v>7</v>
      </c>
      <c r="C159">
        <v>100000</v>
      </c>
      <c r="D159">
        <v>1000000</v>
      </c>
      <c r="E159">
        <v>10000</v>
      </c>
      <c r="F159" t="s">
        <v>102</v>
      </c>
      <c r="G159" t="s">
        <v>49</v>
      </c>
      <c r="H159">
        <v>0</v>
      </c>
      <c r="I159">
        <v>0</v>
      </c>
      <c r="J159" t="s">
        <v>2833</v>
      </c>
      <c r="K159">
        <v>5773.6</v>
      </c>
      <c r="L159">
        <v>3.8047999999999998E-8</v>
      </c>
      <c r="M159">
        <v>5773.5</v>
      </c>
      <c r="N159">
        <v>3.7445000000000002E-8</v>
      </c>
      <c r="O159" t="s">
        <v>2833</v>
      </c>
      <c r="P159" t="s">
        <v>2833</v>
      </c>
      <c r="Q159" t="s">
        <v>2833</v>
      </c>
      <c r="R159">
        <f ca="1">RAND()*(Validation[[#This Row],[Range1_High]]-Validation[[#This Row],[Range1_Low]])+Validation[[#This Row],[Range1_Low]]</f>
        <v>111166.50529743201</v>
      </c>
      <c r="S159">
        <f>Validation[[#This Row],[Range2_High]]</f>
        <v>0</v>
      </c>
      <c r="T159" t="str" cm="1">
        <f t="array" aca="1" ref="T159" ca="1">RoundToTwoSigFigs(Validation[[#This Row],[Test Reading]]*Validation[[#This Row],[Mult]]+Validation[[#This Row],[Base]]) &amp;" "&amp;Validation[[#This Row],[Uncert_Units]]</f>
        <v>5800 Ω</v>
      </c>
      <c r="U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V159" t="b">
        <f ca="1">Validation[[#This Row],[Desired Result]]=Validation[[#This Row],[Result]]</f>
        <v>1</v>
      </c>
      <c r="W159" t="b">
        <v>0</v>
      </c>
      <c r="X159" t="b">
        <f>Validation[[#This Row],[Range1_Low]]&gt;=Validation[[#This Row],[Range1_High]]</f>
        <v>0</v>
      </c>
      <c r="Y159" s="111" t="s">
        <v>2845</v>
      </c>
    </row>
    <row r="160" spans="1:25" ht="16.5" thickTop="1" thickBot="1" x14ac:dyDescent="0.3">
      <c r="A160" t="s">
        <v>54</v>
      </c>
      <c r="B160" t="s">
        <v>7</v>
      </c>
      <c r="C160" s="113">
        <v>330000</v>
      </c>
      <c r="D160" s="113">
        <v>1100010</v>
      </c>
      <c r="E160">
        <v>10</v>
      </c>
      <c r="F160" t="s">
        <v>102</v>
      </c>
      <c r="G160" t="s">
        <v>49</v>
      </c>
      <c r="H160">
        <v>0</v>
      </c>
      <c r="I160">
        <v>0</v>
      </c>
      <c r="J160" t="s">
        <v>2833</v>
      </c>
      <c r="K160">
        <v>16</v>
      </c>
      <c r="L160">
        <v>1.7000000000000001E-4</v>
      </c>
      <c r="M160">
        <v>12.340999999999999</v>
      </c>
      <c r="N160">
        <v>1.7274E-4</v>
      </c>
      <c r="O160" t="s">
        <v>2833</v>
      </c>
      <c r="P160" t="s">
        <v>2833</v>
      </c>
      <c r="Q160" t="s">
        <v>2833</v>
      </c>
      <c r="R160">
        <f ca="1">RAND()*(Validation[[#This Row],[Range1_High]]-Validation[[#This Row],[Range1_Low]])+Validation[[#This Row],[Range1_Low]]</f>
        <v>483128.88083897729</v>
      </c>
      <c r="S160">
        <f>Validation[[#This Row],[Range2_High]]</f>
        <v>0</v>
      </c>
      <c r="T160" t="str" cm="1">
        <f t="array" aca="1" ref="T160" ca="1">RoundToTwoSigFigs(Validation[[#This Row],[Test Reading]]*Validation[[#This Row],[Mult]]+Validation[[#This Row],[Base]]) &amp;" "&amp;Validation[[#This Row],[Uncert_Units]]</f>
        <v>98 Ω</v>
      </c>
      <c r="U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Ω</v>
      </c>
      <c r="V160" t="b">
        <f ca="1">Validation[[#This Row],[Desired Result]]=Validation[[#This Row],[Result]]</f>
        <v>1</v>
      </c>
      <c r="W160" t="b">
        <v>1</v>
      </c>
      <c r="X160" t="b">
        <f>Validation[[#This Row],[Range1_Low]]&gt;=Validation[[#This Row],[Range1_High]]</f>
        <v>0</v>
      </c>
      <c r="Y160" s="111" t="s">
        <v>2843</v>
      </c>
    </row>
    <row r="161" spans="1:25" ht="16.5" thickTop="1" thickBot="1" x14ac:dyDescent="0.3">
      <c r="A161" t="s">
        <v>56</v>
      </c>
      <c r="B161" t="s">
        <v>7</v>
      </c>
      <c r="C161" s="115">
        <v>100000</v>
      </c>
      <c r="D161" s="115">
        <v>1000</v>
      </c>
      <c r="E161">
        <v>100000000</v>
      </c>
      <c r="F161" t="s">
        <v>102</v>
      </c>
      <c r="G161" t="s">
        <v>49</v>
      </c>
      <c r="H161">
        <v>0</v>
      </c>
      <c r="I161">
        <v>0</v>
      </c>
      <c r="J161" t="s">
        <v>2833</v>
      </c>
      <c r="K161">
        <v>63.945030000000003</v>
      </c>
      <c r="L161">
        <v>6.3899999999999996E-8</v>
      </c>
      <c r="M161">
        <v>54.496929999999999</v>
      </c>
      <c r="N161">
        <v>4.88E-8</v>
      </c>
      <c r="O161" t="s">
        <v>2833</v>
      </c>
      <c r="P161" t="s">
        <v>2833</v>
      </c>
      <c r="Q161" t="s">
        <v>2833</v>
      </c>
      <c r="R161" s="100">
        <f ca="1">RAND()*(Validation[[#This Row],[Range1_High]]-Validation[[#This Row],[Range1_Low]])+Validation[[#This Row],[Range1_Low]]</f>
        <v>67421.700276412477</v>
      </c>
      <c r="S161">
        <f>Validation[[#This Row],[Range2_High]]</f>
        <v>0</v>
      </c>
      <c r="T161" t="str" cm="1">
        <f t="array" aca="1" ref="T161" ca="1">RoundToTwoSigFigs(Validation[[#This Row],[Test Reading]]*Validation[[#This Row],[Mult]]+Validation[[#This Row],[Base]]) &amp;" "&amp;Validation[[#This Row],[Uncert_Units]]</f>
        <v>64 Ω</v>
      </c>
      <c r="U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161" t="b">
        <f ca="1">Validation[[#This Row],[Desired Result]]=Validation[[#This Row],[Result]]</f>
        <v>0</v>
      </c>
      <c r="W161" t="b">
        <v>1</v>
      </c>
      <c r="X161" t="b">
        <f>Validation[[#This Row],[Range1_Low]]&gt;=Validation[[#This Row],[Range1_High]]</f>
        <v>1</v>
      </c>
      <c r="Y161" s="111" t="s">
        <v>2842</v>
      </c>
    </row>
    <row r="162" spans="1:25" ht="15.75" thickTop="1" x14ac:dyDescent="0.25">
      <c r="A162" t="s">
        <v>55</v>
      </c>
      <c r="B162" t="s">
        <v>7</v>
      </c>
      <c r="C162">
        <v>100</v>
      </c>
      <c r="D162">
        <v>1000</v>
      </c>
      <c r="E162">
        <v>1</v>
      </c>
      <c r="F162" t="s">
        <v>102</v>
      </c>
      <c r="G162" t="s">
        <v>22</v>
      </c>
      <c r="H162">
        <v>0</v>
      </c>
      <c r="I162">
        <v>0</v>
      </c>
      <c r="J162" t="s">
        <v>2833</v>
      </c>
      <c r="K162">
        <v>577340</v>
      </c>
      <c r="L162">
        <v>0.14501</v>
      </c>
      <c r="M162">
        <v>577340</v>
      </c>
      <c r="N162">
        <v>0.14451</v>
      </c>
      <c r="O162" t="s">
        <v>2833</v>
      </c>
      <c r="P162" t="s">
        <v>2833</v>
      </c>
      <c r="Q162" t="s">
        <v>2833</v>
      </c>
      <c r="R162">
        <f ca="1">RAND()*(Validation[[#This Row],[Range1_High]]-Validation[[#This Row],[Range1_Low]])+Validation[[#This Row],[Range1_Low]]</f>
        <v>181.1968715264176</v>
      </c>
      <c r="S162">
        <f>Validation[[#This Row],[Range2_High]]</f>
        <v>0</v>
      </c>
      <c r="T162" t="str" cm="1">
        <f t="array" aca="1" ref="T162" ca="1">RoundToTwoSigFigs(Validation[[#This Row],[Test Reading]]*Validation[[#This Row],[Mult]]+Validation[[#This Row],[Base]]) &amp;" "&amp;Validation[[#This Row],[Uncert_Units]]</f>
        <v>580000 µΩ</v>
      </c>
      <c r="U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V162" t="b">
        <f ca="1">Validation[[#This Row],[Desired Result]]=Validation[[#This Row],[Result]]</f>
        <v>1</v>
      </c>
      <c r="W162" t="b">
        <v>0</v>
      </c>
      <c r="X162" t="b">
        <f>Validation[[#This Row],[Range1_Low]]&gt;=Validation[[#This Row],[Range1_High]]</f>
        <v>0</v>
      </c>
      <c r="Y162" s="111" t="s">
        <v>2845</v>
      </c>
    </row>
    <row r="163" spans="1:25" ht="15.75" thickBot="1" x14ac:dyDescent="0.3">
      <c r="A163" t="s">
        <v>54</v>
      </c>
      <c r="B163" t="s">
        <v>7</v>
      </c>
      <c r="C163">
        <v>330</v>
      </c>
      <c r="D163">
        <v>1100.01</v>
      </c>
      <c r="E163">
        <v>10</v>
      </c>
      <c r="F163" t="s">
        <v>102</v>
      </c>
      <c r="G163" t="s">
        <v>48</v>
      </c>
      <c r="H163">
        <v>0</v>
      </c>
      <c r="I163">
        <v>0</v>
      </c>
      <c r="J163" t="s">
        <v>2833</v>
      </c>
      <c r="K163">
        <v>5799.7</v>
      </c>
      <c r="L163">
        <v>1.8247999999999999E-3</v>
      </c>
      <c r="M163">
        <v>5799.7</v>
      </c>
      <c r="N163">
        <v>1.75E-3</v>
      </c>
      <c r="O163" t="s">
        <v>2833</v>
      </c>
      <c r="P163" t="s">
        <v>2833</v>
      </c>
      <c r="Q163" t="s">
        <v>2833</v>
      </c>
      <c r="R163">
        <f ca="1">RAND()*(Validation[[#This Row],[Range1_High]]-Validation[[#This Row],[Range1_Low]])+Validation[[#This Row],[Range1_Low]]</f>
        <v>670.18190660086225</v>
      </c>
      <c r="S163">
        <f>Validation[[#This Row],[Range2_High]]</f>
        <v>0</v>
      </c>
      <c r="T163" t="str" cm="1">
        <f t="array" aca="1" ref="T163" ca="1">RoundToTwoSigFigs(Validation[[#This Row],[Test Reading]]*Validation[[#This Row],[Mult]]+Validation[[#This Row],[Base]]) &amp;" "&amp;Validation[[#This Row],[Uncert_Units]]</f>
        <v>5800 mΩ</v>
      </c>
      <c r="U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V163" t="b">
        <f ca="1">Validation[[#This Row],[Desired Result]]=Validation[[#This Row],[Result]]</f>
        <v>1</v>
      </c>
      <c r="W163" t="b">
        <v>0</v>
      </c>
      <c r="X163" t="b">
        <f>Validation[[#This Row],[Range1_Low]]&gt;=Validation[[#This Row],[Range1_High]]</f>
        <v>0</v>
      </c>
      <c r="Y163" s="111" t="s">
        <v>2845</v>
      </c>
    </row>
    <row r="164" spans="1:25" ht="16.5" thickTop="1" thickBot="1" x14ac:dyDescent="0.3">
      <c r="A164" t="s">
        <v>54</v>
      </c>
      <c r="B164" t="s">
        <v>7</v>
      </c>
      <c r="C164" s="113">
        <v>11</v>
      </c>
      <c r="D164" s="113">
        <v>33.000999999999998</v>
      </c>
      <c r="E164">
        <v>0.1</v>
      </c>
      <c r="F164" t="s">
        <v>102</v>
      </c>
      <c r="G164" t="s">
        <v>48</v>
      </c>
      <c r="H164">
        <v>0</v>
      </c>
      <c r="I164">
        <v>0</v>
      </c>
      <c r="J164" t="s">
        <v>2833</v>
      </c>
      <c r="K164">
        <v>60.487000000000002</v>
      </c>
      <c r="L164">
        <v>4.6303999999999998E-2</v>
      </c>
      <c r="M164">
        <v>60.481000000000002</v>
      </c>
      <c r="N164">
        <v>4.6039999999999998E-2</v>
      </c>
      <c r="O164" t="s">
        <v>2833</v>
      </c>
      <c r="P164" t="s">
        <v>2833</v>
      </c>
      <c r="Q164" t="s">
        <v>2833</v>
      </c>
      <c r="R164">
        <f ca="1">RAND()*(Validation[[#This Row],[Range1_High]]-Validation[[#This Row],[Range1_Low]])+Validation[[#This Row],[Range1_Low]]</f>
        <v>17.985920473759499</v>
      </c>
      <c r="S164">
        <f>Validation[[#This Row],[Range2_High]]</f>
        <v>0</v>
      </c>
      <c r="T164" t="str" cm="1">
        <f t="array" aca="1" ref="T164" ca="1">RoundToTwoSigFigs(Validation[[#This Row],[Test Reading]]*Validation[[#This Row],[Mult]]+Validation[[#This Row],[Base]]) &amp;" "&amp;Validation[[#This Row],[Uncert_Units]]</f>
        <v>61 mΩ</v>
      </c>
      <c r="U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mΩ</v>
      </c>
      <c r="V164" t="b">
        <f ca="1">Validation[[#This Row],[Desired Result]]=Validation[[#This Row],[Result]]</f>
        <v>1</v>
      </c>
      <c r="W164" t="b">
        <v>1</v>
      </c>
      <c r="X164" t="b">
        <f>Validation[[#This Row],[Range1_Low]]&gt;=Validation[[#This Row],[Range1_High]]</f>
        <v>0</v>
      </c>
      <c r="Y164" s="111" t="s">
        <v>2843</v>
      </c>
    </row>
    <row r="165" spans="1:25" ht="16.5" thickTop="1" thickBot="1" x14ac:dyDescent="0.3">
      <c r="A165" t="s">
        <v>55</v>
      </c>
      <c r="B165" t="s">
        <v>7</v>
      </c>
      <c r="C165" s="113">
        <v>10</v>
      </c>
      <c r="D165" s="113">
        <v>100</v>
      </c>
      <c r="E165">
        <v>1E-4</v>
      </c>
      <c r="F165" t="s">
        <v>102</v>
      </c>
      <c r="G165" t="s">
        <v>22</v>
      </c>
      <c r="H165">
        <v>0</v>
      </c>
      <c r="I165">
        <v>0</v>
      </c>
      <c r="J165" t="s">
        <v>2833</v>
      </c>
      <c r="K165">
        <v>580</v>
      </c>
      <c r="L165">
        <v>13.975</v>
      </c>
      <c r="M165">
        <v>579.78</v>
      </c>
      <c r="N165">
        <v>13.975</v>
      </c>
      <c r="O165" t="s">
        <v>2833</v>
      </c>
      <c r="P165" t="s">
        <v>2833</v>
      </c>
      <c r="Q165" t="s">
        <v>2833</v>
      </c>
      <c r="R165">
        <f ca="1">RAND()*(Validation[[#This Row],[Range1_High]]-Validation[[#This Row],[Range1_Low]])+Validation[[#This Row],[Range1_Low]]</f>
        <v>20.334051298274233</v>
      </c>
      <c r="S165">
        <f>Validation[[#This Row],[Range2_High]]</f>
        <v>0</v>
      </c>
      <c r="T165" t="str" cm="1">
        <f t="array" aca="1" ref="T165" ca="1">RoundToTwoSigFigs(Validation[[#This Row],[Test Reading]]*Validation[[#This Row],[Mult]]+Validation[[#This Row],[Base]]) &amp;" "&amp;Validation[[#This Row],[Uncert_Units]]</f>
        <v>860 µΩ</v>
      </c>
      <c r="U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µΩ</v>
      </c>
      <c r="V165" t="b">
        <f ca="1">Validation[[#This Row],[Desired Result]]=Validation[[#This Row],[Result]]</f>
        <v>1</v>
      </c>
      <c r="W165" t="b">
        <v>1</v>
      </c>
      <c r="X165" t="b">
        <f>Validation[[#This Row],[Range1_Low]]&gt;=Validation[[#This Row],[Range1_High]]</f>
        <v>0</v>
      </c>
      <c r="Y165" s="111" t="s">
        <v>2843</v>
      </c>
    </row>
    <row r="166" spans="1:25" ht="16.5" thickTop="1" thickBot="1" x14ac:dyDescent="0.3">
      <c r="A166" t="s">
        <v>54</v>
      </c>
      <c r="B166" t="s">
        <v>7</v>
      </c>
      <c r="C166">
        <v>110</v>
      </c>
      <c r="D166">
        <v>330.01</v>
      </c>
      <c r="E166">
        <v>1</v>
      </c>
      <c r="F166" t="s">
        <v>102</v>
      </c>
      <c r="G166" t="s">
        <v>48</v>
      </c>
      <c r="H166">
        <v>0</v>
      </c>
      <c r="I166">
        <v>0</v>
      </c>
      <c r="J166" t="s">
        <v>2833</v>
      </c>
      <c r="K166">
        <v>580.25</v>
      </c>
      <c r="L166">
        <v>2.4237000000000002E-2</v>
      </c>
      <c r="M166">
        <v>580.25</v>
      </c>
      <c r="N166">
        <v>2.3449000000000001E-2</v>
      </c>
      <c r="O166" t="s">
        <v>2833</v>
      </c>
      <c r="P166" t="s">
        <v>2833</v>
      </c>
      <c r="Q166" t="s">
        <v>2833</v>
      </c>
      <c r="R166">
        <f ca="1">RAND()*(Validation[[#This Row],[Range1_High]]-Validation[[#This Row],[Range1_Low]])+Validation[[#This Row],[Range1_Low]]</f>
        <v>145.35928832247745</v>
      </c>
      <c r="S166">
        <f>Validation[[#This Row],[Range2_High]]</f>
        <v>0</v>
      </c>
      <c r="T166" t="str" cm="1">
        <f t="array" aca="1" ref="T166" ca="1">RoundToTwoSigFigs(Validation[[#This Row],[Test Reading]]*Validation[[#This Row],[Mult]]+Validation[[#This Row],[Base]]) &amp;" "&amp;Validation[[#This Row],[Uncert_Units]]</f>
        <v>580 mΩ</v>
      </c>
      <c r="U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V166" t="b">
        <f ca="1">Validation[[#This Row],[Desired Result]]=Validation[[#This Row],[Result]]</f>
        <v>1</v>
      </c>
      <c r="W166" t="b">
        <v>0</v>
      </c>
      <c r="X166" t="b">
        <f>Validation[[#This Row],[Range1_Low]]&gt;=Validation[[#This Row],[Range1_High]]</f>
        <v>0</v>
      </c>
      <c r="Y166" s="111" t="s">
        <v>2845</v>
      </c>
    </row>
    <row r="167" spans="1:25" ht="16.5" thickTop="1" thickBot="1" x14ac:dyDescent="0.3">
      <c r="A167" t="s">
        <v>55</v>
      </c>
      <c r="B167" t="s">
        <v>7</v>
      </c>
      <c r="C167" s="113">
        <v>10000000</v>
      </c>
      <c r="D167" s="113">
        <v>100000000</v>
      </c>
      <c r="E167">
        <v>100000</v>
      </c>
      <c r="F167" t="s">
        <v>102</v>
      </c>
      <c r="G167" t="s">
        <v>176</v>
      </c>
      <c r="H167">
        <v>0</v>
      </c>
      <c r="I167">
        <v>0</v>
      </c>
      <c r="J167" t="s">
        <v>2833</v>
      </c>
      <c r="K167">
        <v>55.448999999999998</v>
      </c>
      <c r="L167">
        <v>2.7074E-7</v>
      </c>
      <c r="M167">
        <v>55.444000000000003</v>
      </c>
      <c r="N167">
        <v>2.7056000000000001E-7</v>
      </c>
      <c r="O167" t="s">
        <v>2833</v>
      </c>
      <c r="P167" t="s">
        <v>2833</v>
      </c>
      <c r="Q167" t="s">
        <v>2833</v>
      </c>
      <c r="R167">
        <f ca="1">RAND()*(Validation[[#This Row],[Range1_High]]-Validation[[#This Row],[Range1_Low]])+Validation[[#This Row],[Range1_Low]]</f>
        <v>10876979.037192421</v>
      </c>
      <c r="S167">
        <f>Validation[[#This Row],[Range2_High]]</f>
        <v>0</v>
      </c>
      <c r="T167" t="str" cm="1">
        <f t="array" aca="1" ref="T167" ca="1">RoundToTwoSigFigs(Validation[[#This Row],[Test Reading]]*Validation[[#This Row],[Mult]]+Validation[[#This Row],[Base]]) &amp;" "&amp;Validation[[#This Row],[Uncert_Units]]</f>
        <v>58 kΩ</v>
      </c>
      <c r="U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V167" t="b">
        <f ca="1">Validation[[#This Row],[Desired Result]]=Validation[[#This Row],[Result]]</f>
        <v>1</v>
      </c>
      <c r="W167" t="b">
        <v>1</v>
      </c>
      <c r="X167" t="b">
        <f>Validation[[#This Row],[Range1_Low]]&gt;=Validation[[#This Row],[Range1_High]]</f>
        <v>0</v>
      </c>
      <c r="Y167" s="111" t="s">
        <v>2843</v>
      </c>
    </row>
    <row r="168" spans="1:25" ht="16.5" thickTop="1" thickBot="1" x14ac:dyDescent="0.3">
      <c r="A168" t="s">
        <v>55</v>
      </c>
      <c r="B168" t="s">
        <v>7</v>
      </c>
      <c r="C168" s="113">
        <v>1000</v>
      </c>
      <c r="D168" s="113">
        <v>10000</v>
      </c>
      <c r="E168">
        <v>0.01</v>
      </c>
      <c r="F168" t="s">
        <v>102</v>
      </c>
      <c r="G168" t="s">
        <v>48</v>
      </c>
      <c r="H168">
        <v>0</v>
      </c>
      <c r="I168">
        <v>0</v>
      </c>
      <c r="J168" t="s">
        <v>2833</v>
      </c>
      <c r="K168">
        <v>6.5110999999999999</v>
      </c>
      <c r="L168">
        <v>1.1939E-2</v>
      </c>
      <c r="M168">
        <v>6.8826999999999998</v>
      </c>
      <c r="N168">
        <v>1.1554999999999999E-2</v>
      </c>
      <c r="O168" t="s">
        <v>2833</v>
      </c>
      <c r="P168" t="s">
        <v>2833</v>
      </c>
      <c r="Q168" t="s">
        <v>2833</v>
      </c>
      <c r="R168">
        <f ca="1">RAND()*(Validation[[#This Row],[Range1_High]]-Validation[[#This Row],[Range1_Low]])+Validation[[#This Row],[Range1_Low]]</f>
        <v>1892.7482013184726</v>
      </c>
      <c r="S168">
        <f>Validation[[#This Row],[Range2_High]]</f>
        <v>0</v>
      </c>
      <c r="T168" t="str" cm="1">
        <f t="array" aca="1" ref="T168" ca="1">RoundToTwoSigFigs(Validation[[#This Row],[Test Reading]]*Validation[[#This Row],[Mult]]+Validation[[#This Row],[Base]]) &amp;" "&amp;Validation[[#This Row],[Uncert_Units]]</f>
        <v>29 mΩ</v>
      </c>
      <c r="U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mΩ</v>
      </c>
      <c r="V168" t="b">
        <f ca="1">Validation[[#This Row],[Desired Result]]=Validation[[#This Row],[Result]]</f>
        <v>1</v>
      </c>
      <c r="W168" t="b">
        <v>1</v>
      </c>
      <c r="X168" t="b">
        <f>Validation[[#This Row],[Range1_Low]]&gt;=Validation[[#This Row],[Range1_High]]</f>
        <v>0</v>
      </c>
      <c r="Y168" s="111" t="s">
        <v>2843</v>
      </c>
    </row>
    <row r="169" spans="1:25" ht="16.5" thickTop="1" thickBot="1" x14ac:dyDescent="0.3">
      <c r="A169" t="s">
        <v>54</v>
      </c>
      <c r="B169" t="s">
        <v>7</v>
      </c>
      <c r="C169" s="113">
        <v>110000</v>
      </c>
      <c r="D169" s="113">
        <v>330010</v>
      </c>
      <c r="E169">
        <v>10</v>
      </c>
      <c r="F169" t="s">
        <v>102</v>
      </c>
      <c r="G169" t="s">
        <v>49</v>
      </c>
      <c r="H169">
        <v>0</v>
      </c>
      <c r="I169">
        <v>0</v>
      </c>
      <c r="J169" t="s">
        <v>2833</v>
      </c>
      <c r="K169">
        <v>12.289</v>
      </c>
      <c r="L169">
        <v>1.3783999999999999E-4</v>
      </c>
      <c r="M169">
        <v>12.284000000000001</v>
      </c>
      <c r="N169">
        <v>1.3782000000000001E-4</v>
      </c>
      <c r="O169" t="s">
        <v>2833</v>
      </c>
      <c r="P169" t="s">
        <v>2833</v>
      </c>
      <c r="Q169" t="s">
        <v>2833</v>
      </c>
      <c r="R169">
        <f ca="1">RAND()*(Validation[[#This Row],[Range1_High]]-Validation[[#This Row],[Range1_Low]])+Validation[[#This Row],[Range1_Low]]</f>
        <v>204854.8621850661</v>
      </c>
      <c r="S169">
        <f>Validation[[#This Row],[Range2_High]]</f>
        <v>0</v>
      </c>
      <c r="T169" t="str" cm="1">
        <f t="array" aca="1" ref="T169" ca="1">RoundToTwoSigFigs(Validation[[#This Row],[Test Reading]]*Validation[[#This Row],[Mult]]+Validation[[#This Row],[Base]]) &amp;" "&amp;Validation[[#This Row],[Uncert_Units]]</f>
        <v>41 Ω</v>
      </c>
      <c r="U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Ω</v>
      </c>
      <c r="V169" t="b">
        <f ca="1">Validation[[#This Row],[Desired Result]]=Validation[[#This Row],[Result]]</f>
        <v>1</v>
      </c>
      <c r="W169" t="b">
        <v>1</v>
      </c>
      <c r="X169" t="b">
        <f>Validation[[#This Row],[Range1_Low]]&gt;=Validation[[#This Row],[Range1_High]]</f>
        <v>0</v>
      </c>
      <c r="Y169" s="111" t="s">
        <v>2843</v>
      </c>
    </row>
    <row r="170" spans="1:25" ht="16.5" thickTop="1" thickBot="1" x14ac:dyDescent="0.3">
      <c r="A170" t="s">
        <v>55</v>
      </c>
      <c r="B170" t="s">
        <v>7</v>
      </c>
      <c r="C170">
        <v>10000000</v>
      </c>
      <c r="D170">
        <v>100000000</v>
      </c>
      <c r="E170">
        <v>10000000</v>
      </c>
      <c r="F170" t="s">
        <v>102</v>
      </c>
      <c r="G170" t="s">
        <v>176</v>
      </c>
      <c r="H170">
        <v>0</v>
      </c>
      <c r="I170">
        <v>0</v>
      </c>
      <c r="J170" t="s">
        <v>2833</v>
      </c>
      <c r="K170">
        <v>5773.5</v>
      </c>
      <c r="L170">
        <v>3.3069999999999999E-9</v>
      </c>
      <c r="M170">
        <v>5770.9</v>
      </c>
      <c r="N170">
        <v>3.2960000000000002E-9</v>
      </c>
      <c r="O170" t="s">
        <v>2833</v>
      </c>
      <c r="P170" t="s">
        <v>2833</v>
      </c>
      <c r="Q170" t="s">
        <v>2833</v>
      </c>
      <c r="R170">
        <f ca="1">RAND()*(Validation[[#This Row],[Range1_High]]-Validation[[#This Row],[Range1_Low]])+Validation[[#This Row],[Range1_Low]]</f>
        <v>97013907.983694673</v>
      </c>
      <c r="S170">
        <f>Validation[[#This Row],[Range2_High]]</f>
        <v>0</v>
      </c>
      <c r="T170" t="str" cm="1">
        <f t="array" aca="1" ref="T170" ca="1">RoundToTwoSigFigs(Validation[[#This Row],[Test Reading]]*Validation[[#This Row],[Mult]]+Validation[[#This Row],[Base]]) &amp;" "&amp;Validation[[#This Row],[Uncert_Units]]</f>
        <v>5800 kΩ</v>
      </c>
      <c r="U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V170" t="b">
        <f ca="1">Validation[[#This Row],[Desired Result]]=Validation[[#This Row],[Result]]</f>
        <v>1</v>
      </c>
      <c r="W170" t="b">
        <v>0</v>
      </c>
      <c r="X170" t="b">
        <f>Validation[[#This Row],[Range1_Low]]&gt;=Validation[[#This Row],[Range1_High]]</f>
        <v>0</v>
      </c>
      <c r="Y170" s="111" t="s">
        <v>2845</v>
      </c>
    </row>
    <row r="171" spans="1:25" ht="16.5" thickTop="1" thickBot="1" x14ac:dyDescent="0.3">
      <c r="A171" t="s">
        <v>55</v>
      </c>
      <c r="B171" t="s">
        <v>7</v>
      </c>
      <c r="C171" s="113">
        <v>1000000</v>
      </c>
      <c r="D171" s="113">
        <v>10000000</v>
      </c>
      <c r="E171">
        <v>10</v>
      </c>
      <c r="F171" t="s">
        <v>102</v>
      </c>
      <c r="G171" t="s">
        <v>49</v>
      </c>
      <c r="H171">
        <v>0</v>
      </c>
      <c r="I171">
        <v>0</v>
      </c>
      <c r="J171" t="s">
        <v>2833</v>
      </c>
      <c r="K171">
        <v>120</v>
      </c>
      <c r="L171">
        <v>5.8999999999999998E-5</v>
      </c>
      <c r="M171">
        <v>115.61</v>
      </c>
      <c r="N171">
        <v>5.7731E-5</v>
      </c>
      <c r="O171" t="s">
        <v>2833</v>
      </c>
      <c r="P171" t="s">
        <v>2833</v>
      </c>
      <c r="Q171" t="s">
        <v>2833</v>
      </c>
      <c r="R171">
        <f ca="1">RAND()*(Validation[[#This Row],[Range1_High]]-Validation[[#This Row],[Range1_Low]])+Validation[[#This Row],[Range1_Low]]</f>
        <v>9766784.4355056286</v>
      </c>
      <c r="S171">
        <f>Validation[[#This Row],[Range2_High]]</f>
        <v>0</v>
      </c>
      <c r="T171" t="str" cm="1">
        <f t="array" aca="1" ref="T171" ca="1">RoundToTwoSigFigs(Validation[[#This Row],[Test Reading]]*Validation[[#This Row],[Mult]]+Validation[[#This Row],[Base]]) &amp;" "&amp;Validation[[#This Row],[Uncert_Units]]</f>
        <v>700 Ω</v>
      </c>
      <c r="U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Ω</v>
      </c>
      <c r="V171" t="b">
        <f ca="1">Validation[[#This Row],[Desired Result]]=Validation[[#This Row],[Result]]</f>
        <v>1</v>
      </c>
      <c r="W171" t="b">
        <v>1</v>
      </c>
      <c r="X171" t="b">
        <f>Validation[[#This Row],[Range1_Low]]&gt;=Validation[[#This Row],[Range1_High]]</f>
        <v>0</v>
      </c>
      <c r="Y171" s="111" t="s">
        <v>2843</v>
      </c>
    </row>
    <row r="172" spans="1:25" ht="15.75" thickTop="1" x14ac:dyDescent="0.25">
      <c r="A172" t="s">
        <v>55</v>
      </c>
      <c r="B172" t="s">
        <v>7</v>
      </c>
      <c r="C172">
        <v>1000000</v>
      </c>
      <c r="D172">
        <v>10000000</v>
      </c>
      <c r="E172">
        <v>10000</v>
      </c>
      <c r="F172" t="s">
        <v>102</v>
      </c>
      <c r="G172" t="s">
        <v>49</v>
      </c>
      <c r="H172">
        <v>0</v>
      </c>
      <c r="I172">
        <v>0</v>
      </c>
      <c r="J172" t="s">
        <v>2833</v>
      </c>
      <c r="K172">
        <v>5771.9</v>
      </c>
      <c r="L172">
        <v>4.3707999999999997E-6</v>
      </c>
      <c r="M172">
        <v>5771.8</v>
      </c>
      <c r="N172">
        <v>4.3144999999999999E-6</v>
      </c>
      <c r="O172" t="s">
        <v>2833</v>
      </c>
      <c r="P172" t="s">
        <v>2833</v>
      </c>
      <c r="Q172" t="s">
        <v>2833</v>
      </c>
      <c r="R172">
        <f ca="1">RAND()*(Validation[[#This Row],[Range1_High]]-Validation[[#This Row],[Range1_Low]])+Validation[[#This Row],[Range1_Low]]</f>
        <v>7321835.4798780177</v>
      </c>
      <c r="S172">
        <f>Validation[[#This Row],[Range2_High]]</f>
        <v>0</v>
      </c>
      <c r="T172" t="str" cm="1">
        <f t="array" aca="1" ref="T172" ca="1">RoundToTwoSigFigs(Validation[[#This Row],[Test Reading]]*Validation[[#This Row],[Mult]]+Validation[[#This Row],[Base]]) &amp;" "&amp;Validation[[#This Row],[Uncert_Units]]</f>
        <v>5800 Ω</v>
      </c>
      <c r="U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V172" t="b">
        <f ca="1">Validation[[#This Row],[Desired Result]]=Validation[[#This Row],[Result]]</f>
        <v>1</v>
      </c>
      <c r="W172" t="b">
        <v>0</v>
      </c>
      <c r="X172" t="b">
        <f>Validation[[#This Row],[Range1_Low]]&gt;=Validation[[#This Row],[Range1_High]]</f>
        <v>0</v>
      </c>
      <c r="Y172" s="111" t="s">
        <v>2845</v>
      </c>
    </row>
    <row r="173" spans="1:25" x14ac:dyDescent="0.25">
      <c r="A173" t="s">
        <v>54</v>
      </c>
      <c r="B173" t="s">
        <v>7</v>
      </c>
      <c r="C173">
        <v>33</v>
      </c>
      <c r="D173">
        <v>110.01</v>
      </c>
      <c r="E173">
        <v>0.1</v>
      </c>
      <c r="F173" t="s">
        <v>102</v>
      </c>
      <c r="G173" t="s">
        <v>48</v>
      </c>
      <c r="H173">
        <v>0</v>
      </c>
      <c r="I173">
        <v>0</v>
      </c>
      <c r="J173" t="s">
        <v>2833</v>
      </c>
      <c r="K173">
        <v>60.259</v>
      </c>
      <c r="L173">
        <v>4.1284000000000001E-2</v>
      </c>
      <c r="M173">
        <v>60.259</v>
      </c>
      <c r="N173">
        <v>4.0820000000000002E-2</v>
      </c>
      <c r="O173" t="s">
        <v>2833</v>
      </c>
      <c r="P173" t="s">
        <v>2833</v>
      </c>
      <c r="Q173" t="s">
        <v>2833</v>
      </c>
      <c r="R173">
        <f ca="1">RAND()*(Validation[[#This Row],[Range1_High]]-Validation[[#This Row],[Range1_Low]])+Validation[[#This Row],[Range1_Low]]</f>
        <v>86.881443827313092</v>
      </c>
      <c r="S173">
        <f>Validation[[#This Row],[Range2_High]]</f>
        <v>0</v>
      </c>
      <c r="T173" t="str" cm="1">
        <f t="array" aca="1" ref="T173" ca="1">RoundToTwoSigFigs(Validation[[#This Row],[Test Reading]]*Validation[[#This Row],[Mult]]+Validation[[#This Row],[Base]]) &amp;" "&amp;Validation[[#This Row],[Uncert_Units]]</f>
        <v>64 mΩ</v>
      </c>
      <c r="U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mΩ</v>
      </c>
      <c r="V173" t="b">
        <f ca="1">Validation[[#This Row],[Desired Result]]=Validation[[#This Row],[Result]]</f>
        <v>1</v>
      </c>
      <c r="W173" t="b">
        <v>0</v>
      </c>
      <c r="X173" t="b">
        <f>Validation[[#This Row],[Range1_Low]]&gt;=Validation[[#This Row],[Range1_High]]</f>
        <v>0</v>
      </c>
      <c r="Y173" s="111" t="s">
        <v>2845</v>
      </c>
    </row>
    <row r="174" spans="1:25" ht="15.75" thickBot="1" x14ac:dyDescent="0.3">
      <c r="A174" t="s">
        <v>54</v>
      </c>
      <c r="B174" t="s">
        <v>7</v>
      </c>
      <c r="C174">
        <v>33</v>
      </c>
      <c r="D174">
        <v>110.01</v>
      </c>
      <c r="E174">
        <v>1</v>
      </c>
      <c r="F174" t="s">
        <v>102</v>
      </c>
      <c r="G174" t="s">
        <v>48</v>
      </c>
      <c r="H174">
        <v>0</v>
      </c>
      <c r="I174">
        <v>0</v>
      </c>
      <c r="J174" t="s">
        <v>2833</v>
      </c>
      <c r="K174">
        <v>580.23</v>
      </c>
      <c r="L174">
        <v>4.6533E-3</v>
      </c>
      <c r="M174">
        <v>580.23</v>
      </c>
      <c r="N174">
        <v>4.4422000000000003E-3</v>
      </c>
      <c r="O174" t="s">
        <v>2833</v>
      </c>
      <c r="P174" t="s">
        <v>2833</v>
      </c>
      <c r="Q174" t="s">
        <v>2833</v>
      </c>
      <c r="R174">
        <f ca="1">RAND()*(Validation[[#This Row],[Range1_High]]-Validation[[#This Row],[Range1_Low]])+Validation[[#This Row],[Range1_Low]]</f>
        <v>61.377732629903811</v>
      </c>
      <c r="S174">
        <f>Validation[[#This Row],[Range2_High]]</f>
        <v>0</v>
      </c>
      <c r="T174" t="str" cm="1">
        <f t="array" aca="1" ref="T174" ca="1">RoundToTwoSigFigs(Validation[[#This Row],[Test Reading]]*Validation[[#This Row],[Mult]]+Validation[[#This Row],[Base]]) &amp;" "&amp;Validation[[#This Row],[Uncert_Units]]</f>
        <v>580 mΩ</v>
      </c>
      <c r="U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V174" t="b">
        <f ca="1">Validation[[#This Row],[Desired Result]]=Validation[[#This Row],[Result]]</f>
        <v>1</v>
      </c>
      <c r="W174" t="b">
        <v>0</v>
      </c>
      <c r="X174" t="b">
        <f>Validation[[#This Row],[Range1_Low]]&gt;=Validation[[#This Row],[Range1_High]]</f>
        <v>0</v>
      </c>
      <c r="Y174" s="111" t="s">
        <v>2845</v>
      </c>
    </row>
    <row r="175" spans="1:25" ht="16.5" thickTop="1" thickBot="1" x14ac:dyDescent="0.3">
      <c r="A175" t="s">
        <v>55</v>
      </c>
      <c r="B175" t="s">
        <v>7</v>
      </c>
      <c r="C175" s="113">
        <v>100</v>
      </c>
      <c r="D175" s="113">
        <v>1000</v>
      </c>
      <c r="E175">
        <v>1E-4</v>
      </c>
      <c r="F175" t="s">
        <v>102</v>
      </c>
      <c r="G175" t="s">
        <v>22</v>
      </c>
      <c r="H175">
        <v>0</v>
      </c>
      <c r="I175">
        <v>0</v>
      </c>
      <c r="J175" t="s">
        <v>2833</v>
      </c>
      <c r="K175">
        <v>590</v>
      </c>
      <c r="L175">
        <v>12</v>
      </c>
      <c r="M175">
        <v>568.01</v>
      </c>
      <c r="N175">
        <v>11.811999999999999</v>
      </c>
      <c r="O175" t="s">
        <v>2833</v>
      </c>
      <c r="P175" t="s">
        <v>2833</v>
      </c>
      <c r="Q175" t="s">
        <v>2833</v>
      </c>
      <c r="R175">
        <f ca="1">RAND()*(Validation[[#This Row],[Range1_High]]-Validation[[#This Row],[Range1_Low]])+Validation[[#This Row],[Range1_Low]]</f>
        <v>464.76329508138758</v>
      </c>
      <c r="S175">
        <f>Validation[[#This Row],[Range2_High]]</f>
        <v>0</v>
      </c>
      <c r="T175" t="str" cm="1">
        <f t="array" aca="1" ref="T175" ca="1">RoundToTwoSigFigs(Validation[[#This Row],[Test Reading]]*Validation[[#This Row],[Mult]]+Validation[[#This Row],[Base]]) &amp;" "&amp;Validation[[#This Row],[Uncert_Units]]</f>
        <v>6200 µΩ</v>
      </c>
      <c r="U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µΩ</v>
      </c>
      <c r="V175" t="b">
        <f ca="1">Validation[[#This Row],[Desired Result]]=Validation[[#This Row],[Result]]</f>
        <v>1</v>
      </c>
      <c r="W175" t="b">
        <v>1</v>
      </c>
      <c r="X175" t="b">
        <f>Validation[[#This Row],[Range1_Low]]&gt;=Validation[[#This Row],[Range1_High]]</f>
        <v>0</v>
      </c>
      <c r="Y175" s="111" t="s">
        <v>2843</v>
      </c>
    </row>
    <row r="176" spans="1:25" ht="16.5" thickTop="1" thickBot="1" x14ac:dyDescent="0.3">
      <c r="A176" t="s">
        <v>54</v>
      </c>
      <c r="B176" t="s">
        <v>7</v>
      </c>
      <c r="C176">
        <v>1100000000</v>
      </c>
      <c r="D176">
        <v>1101000000</v>
      </c>
      <c r="E176">
        <v>10000000</v>
      </c>
      <c r="F176" t="s">
        <v>102</v>
      </c>
      <c r="G176" t="s">
        <v>50</v>
      </c>
      <c r="H176">
        <v>0</v>
      </c>
      <c r="I176">
        <v>0</v>
      </c>
      <c r="J176" t="s">
        <v>2833</v>
      </c>
      <c r="K176">
        <v>3454.2</v>
      </c>
      <c r="L176">
        <v>1.5468000000000002E-5</v>
      </c>
      <c r="M176">
        <v>3454.1</v>
      </c>
      <c r="N176">
        <v>1.5468000000000002E-5</v>
      </c>
      <c r="O176" t="s">
        <v>2833</v>
      </c>
      <c r="P176" t="s">
        <v>2833</v>
      </c>
      <c r="Q176" t="s">
        <v>2833</v>
      </c>
      <c r="R176">
        <f ca="1">RAND()*(Validation[[#This Row],[Range1_High]]-Validation[[#This Row],[Range1_Low]])+Validation[[#This Row],[Range1_Low]]</f>
        <v>1100706714.6344383</v>
      </c>
      <c r="S176">
        <f>Validation[[#This Row],[Range2_High]]</f>
        <v>0</v>
      </c>
      <c r="T176" t="str" cm="1">
        <f t="array" aca="1" ref="T176" ca="1">RoundToTwoSigFigs(Validation[[#This Row],[Test Reading]]*Validation[[#This Row],[Mult]]+Validation[[#This Row],[Base]]) &amp;" "&amp;Validation[[#This Row],[Uncert_Units]]</f>
        <v>20000 kΩ</v>
      </c>
      <c r="U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V176" t="b">
        <f ca="1">Validation[[#This Row],[Desired Result]]=Validation[[#This Row],[Result]]</f>
        <v>1</v>
      </c>
      <c r="W176" t="b">
        <v>0</v>
      </c>
      <c r="X176" t="b">
        <f>Validation[[#This Row],[Range1_Low]]&gt;=Validation[[#This Row],[Range1_High]]</f>
        <v>0</v>
      </c>
      <c r="Y176" s="111" t="s">
        <v>2845</v>
      </c>
    </row>
    <row r="177" spans="1:25" ht="16.5" thickTop="1" thickBot="1" x14ac:dyDescent="0.3">
      <c r="A177" t="s">
        <v>55</v>
      </c>
      <c r="B177" t="s">
        <v>7</v>
      </c>
      <c r="C177" s="113">
        <v>100000</v>
      </c>
      <c r="D177" s="113">
        <v>1000000</v>
      </c>
      <c r="E177">
        <v>100</v>
      </c>
      <c r="F177" t="s">
        <v>102</v>
      </c>
      <c r="G177" t="s">
        <v>49</v>
      </c>
      <c r="H177">
        <v>0</v>
      </c>
      <c r="I177">
        <v>0</v>
      </c>
      <c r="J177" t="s">
        <v>2833</v>
      </c>
      <c r="K177">
        <v>57.515999999999998</v>
      </c>
      <c r="L177">
        <v>3.6360999999999998E-6</v>
      </c>
      <c r="M177">
        <v>57.515000000000001</v>
      </c>
      <c r="N177">
        <v>3.6327E-6</v>
      </c>
      <c r="O177" t="s">
        <v>2833</v>
      </c>
      <c r="P177" t="s">
        <v>2833</v>
      </c>
      <c r="Q177" t="s">
        <v>2833</v>
      </c>
      <c r="R177">
        <f ca="1">RAND()*(Validation[[#This Row],[Range1_High]]-Validation[[#This Row],[Range1_Low]])+Validation[[#This Row],[Range1_Low]]</f>
        <v>448721.13526323199</v>
      </c>
      <c r="S177">
        <f>Validation[[#This Row],[Range2_High]]</f>
        <v>0</v>
      </c>
      <c r="T177" t="str" cm="1">
        <f t="array" aca="1" ref="T177" ca="1">RoundToTwoSigFigs(Validation[[#This Row],[Test Reading]]*Validation[[#This Row],[Mult]]+Validation[[#This Row],[Base]]) &amp;" "&amp;Validation[[#This Row],[Uncert_Units]]</f>
        <v>59 Ω</v>
      </c>
      <c r="U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V177" t="b">
        <f ca="1">Validation[[#This Row],[Desired Result]]=Validation[[#This Row],[Result]]</f>
        <v>1</v>
      </c>
      <c r="W177" t="b">
        <v>1</v>
      </c>
      <c r="X177" t="b">
        <f>Validation[[#This Row],[Range1_Low]]&gt;=Validation[[#This Row],[Range1_High]]</f>
        <v>0</v>
      </c>
      <c r="Y177" s="111" t="s">
        <v>2843</v>
      </c>
    </row>
    <row r="178" spans="1:25" ht="16.5" thickTop="1" thickBot="1" x14ac:dyDescent="0.3">
      <c r="A178" t="s">
        <v>56</v>
      </c>
      <c r="B178" t="s">
        <v>7</v>
      </c>
      <c r="C178" s="115">
        <v>100000</v>
      </c>
      <c r="D178" s="115">
        <v>1000</v>
      </c>
      <c r="E178">
        <v>10</v>
      </c>
      <c r="F178" t="s">
        <v>102</v>
      </c>
      <c r="G178" t="s">
        <v>48</v>
      </c>
      <c r="H178">
        <v>0</v>
      </c>
      <c r="I178">
        <v>0</v>
      </c>
      <c r="J178" t="s">
        <v>2833</v>
      </c>
      <c r="K178">
        <v>6.6558580000000003</v>
      </c>
      <c r="L178">
        <v>6.6056000000000006E-5</v>
      </c>
      <c r="M178">
        <v>4.1389360000000002</v>
      </c>
      <c r="N178">
        <v>6.7687000000000004E-5</v>
      </c>
      <c r="O178" t="s">
        <v>2833</v>
      </c>
      <c r="P178" t="s">
        <v>2833</v>
      </c>
      <c r="Q178" t="s">
        <v>2833</v>
      </c>
      <c r="R178" s="100">
        <f ca="1">RAND()*(Validation[[#This Row],[Range1_High]]-Validation[[#This Row],[Range1_Low]])+Validation[[#This Row],[Range1_Low]]</f>
        <v>67221.235121507067</v>
      </c>
      <c r="S178">
        <f>Validation[[#This Row],[Range2_High]]</f>
        <v>0</v>
      </c>
      <c r="T178" t="str" cm="1">
        <f t="array" aca="1" ref="T178" ca="1">RoundToTwoSigFigs(Validation[[#This Row],[Test Reading]]*Validation[[#This Row],[Mult]]+Validation[[#This Row],[Base]]) &amp;" "&amp;Validation[[#This Row],[Uncert_Units]]</f>
        <v>11 mΩ</v>
      </c>
      <c r="U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178" t="b">
        <f ca="1">Validation[[#This Row],[Desired Result]]=Validation[[#This Row],[Result]]</f>
        <v>0</v>
      </c>
      <c r="W178" t="b">
        <v>1</v>
      </c>
      <c r="X178" t="b">
        <f>Validation[[#This Row],[Range1_Low]]&gt;=Validation[[#This Row],[Range1_High]]</f>
        <v>1</v>
      </c>
      <c r="Y178" s="111" t="s">
        <v>2842</v>
      </c>
    </row>
    <row r="179" spans="1:25" ht="16.5" thickTop="1" thickBot="1" x14ac:dyDescent="0.3">
      <c r="A179" t="s">
        <v>54</v>
      </c>
      <c r="B179" t="s">
        <v>7</v>
      </c>
      <c r="C179" s="113">
        <v>11000</v>
      </c>
      <c r="D179" s="113">
        <v>33001</v>
      </c>
      <c r="E179">
        <v>1</v>
      </c>
      <c r="F179" t="s">
        <v>102</v>
      </c>
      <c r="G179" t="s">
        <v>49</v>
      </c>
      <c r="H179">
        <v>0</v>
      </c>
      <c r="I179">
        <v>0</v>
      </c>
      <c r="J179" t="s">
        <v>2833</v>
      </c>
      <c r="K179">
        <v>1.3</v>
      </c>
      <c r="L179">
        <v>1.0253E-4</v>
      </c>
      <c r="M179">
        <v>1.2442</v>
      </c>
      <c r="N179">
        <v>1.0252E-4</v>
      </c>
      <c r="O179" t="s">
        <v>2833</v>
      </c>
      <c r="P179" t="s">
        <v>2833</v>
      </c>
      <c r="Q179" t="s">
        <v>2833</v>
      </c>
      <c r="R179">
        <f ca="1">RAND()*(Validation[[#This Row],[Range1_High]]-Validation[[#This Row],[Range1_Low]])+Validation[[#This Row],[Range1_Low]]</f>
        <v>28635.827388542712</v>
      </c>
      <c r="S179">
        <f>Validation[[#This Row],[Range2_High]]</f>
        <v>0</v>
      </c>
      <c r="T179" t="str" cm="1">
        <f t="array" aca="1" ref="T179" ca="1">RoundToTwoSigFigs(Validation[[#This Row],[Test Reading]]*Validation[[#This Row],[Mult]]+Validation[[#This Row],[Base]]) &amp;" "&amp;Validation[[#This Row],[Uncert_Units]]</f>
        <v>4.2 Ω</v>
      </c>
      <c r="U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Ω</v>
      </c>
      <c r="V179" t="b">
        <f ca="1">Validation[[#This Row],[Desired Result]]=Validation[[#This Row],[Result]]</f>
        <v>1</v>
      </c>
      <c r="W179" t="b">
        <v>1</v>
      </c>
      <c r="X179" t="b">
        <f>Validation[[#This Row],[Range1_Low]]&gt;=Validation[[#This Row],[Range1_High]]</f>
        <v>0</v>
      </c>
      <c r="Y179" s="111" t="s">
        <v>2843</v>
      </c>
    </row>
    <row r="180" spans="1:25" ht="15.75" thickTop="1" x14ac:dyDescent="0.25">
      <c r="A180" t="s">
        <v>56</v>
      </c>
      <c r="B180" t="s">
        <v>7</v>
      </c>
      <c r="C180">
        <v>1000</v>
      </c>
      <c r="D180">
        <v>10000</v>
      </c>
      <c r="E180">
        <v>0.01</v>
      </c>
      <c r="F180" t="s">
        <v>102</v>
      </c>
      <c r="G180" t="s">
        <v>48</v>
      </c>
      <c r="H180">
        <v>0</v>
      </c>
      <c r="I180">
        <v>0</v>
      </c>
      <c r="J180" t="s">
        <v>2833</v>
      </c>
      <c r="K180">
        <v>6.0044399999999998</v>
      </c>
      <c r="L180">
        <v>9.5075599999999995E-5</v>
      </c>
      <c r="M180">
        <v>5.7959269999999998</v>
      </c>
      <c r="N180">
        <v>4.8090299999999996E-6</v>
      </c>
      <c r="O180" t="s">
        <v>2833</v>
      </c>
      <c r="P180" t="s">
        <v>2833</v>
      </c>
      <c r="Q180" t="s">
        <v>2833</v>
      </c>
      <c r="R180">
        <f ca="1">RAND()*(Validation[[#This Row],[Range1_High]]-Validation[[#This Row],[Range1_Low]])+Validation[[#This Row],[Range1_Low]]</f>
        <v>2399.0093435118447</v>
      </c>
      <c r="S180">
        <f>Validation[[#This Row],[Range2_High]]</f>
        <v>0</v>
      </c>
      <c r="T180" t="str" cm="1">
        <f t="array" aca="1" ref="T180" ca="1">RoundToTwoSigFigs(Validation[[#This Row],[Test Reading]]*Validation[[#This Row],[Mult]]+Validation[[#This Row],[Base]]) &amp;" "&amp;Validation[[#This Row],[Uncert_Units]]</f>
        <v>6.2 mΩ</v>
      </c>
      <c r="U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mΩ</v>
      </c>
      <c r="V180" t="b">
        <f ca="1">Validation[[#This Row],[Desired Result]]=Validation[[#This Row],[Result]]</f>
        <v>1</v>
      </c>
      <c r="W180" t="b">
        <v>0</v>
      </c>
      <c r="X180" t="b">
        <f>Validation[[#This Row],[Range1_Low]]&gt;=Validation[[#This Row],[Range1_High]]</f>
        <v>0</v>
      </c>
      <c r="Y180" s="111" t="s">
        <v>2845</v>
      </c>
    </row>
    <row r="181" spans="1:25" x14ac:dyDescent="0.25">
      <c r="A181" t="s">
        <v>54</v>
      </c>
      <c r="B181" t="s">
        <v>7</v>
      </c>
      <c r="C181">
        <v>3300</v>
      </c>
      <c r="D181">
        <v>11001</v>
      </c>
      <c r="E181">
        <v>10</v>
      </c>
      <c r="F181" t="s">
        <v>102</v>
      </c>
      <c r="G181" t="s">
        <v>49</v>
      </c>
      <c r="H181">
        <v>0</v>
      </c>
      <c r="I181">
        <v>0</v>
      </c>
      <c r="J181" t="s">
        <v>2833</v>
      </c>
      <c r="K181">
        <v>5.7682000000000002</v>
      </c>
      <c r="L181">
        <v>1.5398000000000001E-5</v>
      </c>
      <c r="M181">
        <v>5.7682000000000002</v>
      </c>
      <c r="N181">
        <v>1.5238E-5</v>
      </c>
      <c r="O181" t="s">
        <v>2833</v>
      </c>
      <c r="P181" t="s">
        <v>2833</v>
      </c>
      <c r="Q181" t="s">
        <v>2833</v>
      </c>
      <c r="R181">
        <f ca="1">RAND()*(Validation[[#This Row],[Range1_High]]-Validation[[#This Row],[Range1_Low]])+Validation[[#This Row],[Range1_Low]]</f>
        <v>9912.1835043060164</v>
      </c>
      <c r="S181">
        <f>Validation[[#This Row],[Range2_High]]</f>
        <v>0</v>
      </c>
      <c r="T181" t="str" cm="1">
        <f t="array" aca="1" ref="T181" ca="1">RoundToTwoSigFigs(Validation[[#This Row],[Test Reading]]*Validation[[#This Row],[Mult]]+Validation[[#This Row],[Base]]) &amp;" "&amp;Validation[[#This Row],[Uncert_Units]]</f>
        <v>5.9 Ω</v>
      </c>
      <c r="U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V181" t="b">
        <f ca="1">Validation[[#This Row],[Desired Result]]=Validation[[#This Row],[Result]]</f>
        <v>1</v>
      </c>
      <c r="W181" t="b">
        <v>0</v>
      </c>
      <c r="X181" t="b">
        <f>Validation[[#This Row],[Range1_Low]]&gt;=Validation[[#This Row],[Range1_High]]</f>
        <v>0</v>
      </c>
      <c r="Y181" s="111" t="s">
        <v>2845</v>
      </c>
    </row>
    <row r="182" spans="1:25" x14ac:dyDescent="0.25">
      <c r="A182" t="s">
        <v>56</v>
      </c>
      <c r="B182" t="s">
        <v>7</v>
      </c>
      <c r="C182">
        <v>0</v>
      </c>
      <c r="D182">
        <v>1000</v>
      </c>
      <c r="E182">
        <v>0.01</v>
      </c>
      <c r="F182" t="s">
        <v>102</v>
      </c>
      <c r="G182" t="s">
        <v>48</v>
      </c>
      <c r="H182">
        <v>0</v>
      </c>
      <c r="I182">
        <v>0</v>
      </c>
      <c r="J182" t="s">
        <v>2833</v>
      </c>
      <c r="K182">
        <v>5.8513330000000003</v>
      </c>
      <c r="L182">
        <v>2.4804999999999998E-4</v>
      </c>
      <c r="M182">
        <v>5.799944</v>
      </c>
      <c r="N182">
        <v>6.5168999999999998E-7</v>
      </c>
      <c r="O182" t="s">
        <v>2833</v>
      </c>
      <c r="P182" t="s">
        <v>2833</v>
      </c>
      <c r="Q182" t="s">
        <v>2833</v>
      </c>
      <c r="R182">
        <f ca="1">RAND()*(Validation[[#This Row],[Range1_High]]-Validation[[#This Row],[Range1_Low]])+Validation[[#This Row],[Range1_Low]]</f>
        <v>951.26232483708645</v>
      </c>
      <c r="S182">
        <f>Validation[[#This Row],[Range2_High]]</f>
        <v>0</v>
      </c>
      <c r="T182" t="str" cm="1">
        <f t="array" aca="1" ref="T182" ca="1">RoundToTwoSigFigs(Validation[[#This Row],[Test Reading]]*Validation[[#This Row],[Mult]]+Validation[[#This Row],[Base]]) &amp;" "&amp;Validation[[#This Row],[Uncert_Units]]</f>
        <v>6.1 mΩ</v>
      </c>
      <c r="U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mΩ</v>
      </c>
      <c r="V182" t="b">
        <f ca="1">Validation[[#This Row],[Desired Result]]=Validation[[#This Row],[Result]]</f>
        <v>1</v>
      </c>
      <c r="W182" t="b">
        <v>0</v>
      </c>
      <c r="X182" t="b">
        <f>Validation[[#This Row],[Range1_Low]]&gt;=Validation[[#This Row],[Range1_High]]</f>
        <v>0</v>
      </c>
      <c r="Y182" s="111" t="s">
        <v>2845</v>
      </c>
    </row>
    <row r="183" spans="1:25" x14ac:dyDescent="0.25">
      <c r="A183" t="s">
        <v>54</v>
      </c>
      <c r="B183" t="s">
        <v>7</v>
      </c>
      <c r="C183">
        <v>330000</v>
      </c>
      <c r="D183">
        <v>1100010</v>
      </c>
      <c r="E183">
        <v>1000</v>
      </c>
      <c r="F183" t="s">
        <v>102</v>
      </c>
      <c r="G183" t="s">
        <v>49</v>
      </c>
      <c r="H183">
        <v>0</v>
      </c>
      <c r="I183">
        <v>0</v>
      </c>
      <c r="J183" t="s">
        <v>2833</v>
      </c>
      <c r="K183">
        <v>571.17999999999995</v>
      </c>
      <c r="L183">
        <v>3.9240999999999999E-5</v>
      </c>
      <c r="M183">
        <v>571.17999999999995</v>
      </c>
      <c r="N183">
        <v>3.9165000000000002E-5</v>
      </c>
      <c r="O183" t="s">
        <v>2833</v>
      </c>
      <c r="P183" t="s">
        <v>2833</v>
      </c>
      <c r="Q183" t="s">
        <v>2833</v>
      </c>
      <c r="R183">
        <f ca="1">RAND()*(Validation[[#This Row],[Range1_High]]-Validation[[#This Row],[Range1_Low]])+Validation[[#This Row],[Range1_Low]]</f>
        <v>912681.6965603478</v>
      </c>
      <c r="S183">
        <f>Validation[[#This Row],[Range2_High]]</f>
        <v>0</v>
      </c>
      <c r="T183" t="str" cm="1">
        <f t="array" aca="1" ref="T183" ca="1">RoundToTwoSigFigs(Validation[[#This Row],[Test Reading]]*Validation[[#This Row],[Mult]]+Validation[[#This Row],[Base]]) &amp;" "&amp;Validation[[#This Row],[Uncert_Units]]</f>
        <v>610 Ω</v>
      </c>
      <c r="U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Ω</v>
      </c>
      <c r="V183" t="b">
        <f ca="1">Validation[[#This Row],[Desired Result]]=Validation[[#This Row],[Result]]</f>
        <v>1</v>
      </c>
      <c r="W183" t="b">
        <v>0</v>
      </c>
      <c r="X183" t="b">
        <f>Validation[[#This Row],[Range1_Low]]&gt;=Validation[[#This Row],[Range1_High]]</f>
        <v>0</v>
      </c>
      <c r="Y183" s="111" t="s">
        <v>2845</v>
      </c>
    </row>
    <row r="184" spans="1:25" ht="15.75" thickBot="1" x14ac:dyDescent="0.3">
      <c r="A184" t="s">
        <v>54</v>
      </c>
      <c r="B184" t="s">
        <v>7</v>
      </c>
      <c r="C184">
        <v>33000</v>
      </c>
      <c r="D184">
        <v>110010</v>
      </c>
      <c r="E184">
        <v>1000</v>
      </c>
      <c r="F184" t="s">
        <v>102</v>
      </c>
      <c r="G184" t="s">
        <v>49</v>
      </c>
      <c r="H184">
        <v>0</v>
      </c>
      <c r="I184">
        <v>0</v>
      </c>
      <c r="J184" t="s">
        <v>2833</v>
      </c>
      <c r="K184">
        <v>579.95000000000005</v>
      </c>
      <c r="L184">
        <v>2.2971E-6</v>
      </c>
      <c r="M184">
        <v>579.95000000000005</v>
      </c>
      <c r="N184">
        <v>2.2465E-6</v>
      </c>
      <c r="O184" t="s">
        <v>2833</v>
      </c>
      <c r="P184" t="s">
        <v>2833</v>
      </c>
      <c r="Q184" t="s">
        <v>2833</v>
      </c>
      <c r="R184">
        <f ca="1">RAND()*(Validation[[#This Row],[Range1_High]]-Validation[[#This Row],[Range1_Low]])+Validation[[#This Row],[Range1_Low]]</f>
        <v>39705.425555615016</v>
      </c>
      <c r="S184">
        <f>Validation[[#This Row],[Range2_High]]</f>
        <v>0</v>
      </c>
      <c r="T184" t="str" cm="1">
        <f t="array" aca="1" ref="T184" ca="1">RoundToTwoSigFigs(Validation[[#This Row],[Test Reading]]*Validation[[#This Row],[Mult]]+Validation[[#This Row],[Base]]) &amp;" "&amp;Validation[[#This Row],[Uncert_Units]]</f>
        <v>580 Ω</v>
      </c>
      <c r="U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V184" t="b">
        <f ca="1">Validation[[#This Row],[Desired Result]]=Validation[[#This Row],[Result]]</f>
        <v>1</v>
      </c>
      <c r="W184" t="b">
        <v>0</v>
      </c>
      <c r="X184" t="b">
        <f>Validation[[#This Row],[Range1_Low]]&gt;=Validation[[#This Row],[Range1_High]]</f>
        <v>0</v>
      </c>
      <c r="Y184" s="111" t="s">
        <v>2845</v>
      </c>
    </row>
    <row r="185" spans="1:25" ht="16.5" thickTop="1" thickBot="1" x14ac:dyDescent="0.3">
      <c r="A185" t="s">
        <v>54</v>
      </c>
      <c r="B185" t="s">
        <v>7</v>
      </c>
      <c r="C185" s="113">
        <v>33</v>
      </c>
      <c r="D185" s="113">
        <v>110.01</v>
      </c>
      <c r="E185">
        <v>1E-3</v>
      </c>
      <c r="F185" t="s">
        <v>102</v>
      </c>
      <c r="G185" t="s">
        <v>48</v>
      </c>
      <c r="H185">
        <v>0</v>
      </c>
      <c r="I185">
        <v>0</v>
      </c>
      <c r="J185" t="s">
        <v>2833</v>
      </c>
      <c r="K185">
        <v>18</v>
      </c>
      <c r="L185">
        <v>0.1</v>
      </c>
      <c r="M185">
        <v>17.341999999999999</v>
      </c>
      <c r="N185">
        <v>0.10406</v>
      </c>
      <c r="O185" t="s">
        <v>2833</v>
      </c>
      <c r="P185" t="s">
        <v>2833</v>
      </c>
      <c r="Q185" t="s">
        <v>2833</v>
      </c>
      <c r="R185">
        <f ca="1">RAND()*(Validation[[#This Row],[Range1_High]]-Validation[[#This Row],[Range1_Low]])+Validation[[#This Row],[Range1_Low]]</f>
        <v>75.972212867095351</v>
      </c>
      <c r="S185">
        <f>Validation[[#This Row],[Range2_High]]</f>
        <v>0</v>
      </c>
      <c r="T185" t="str" cm="1">
        <f t="array" aca="1" ref="T185" ca="1">RoundToTwoSigFigs(Validation[[#This Row],[Test Reading]]*Validation[[#This Row],[Mult]]+Validation[[#This Row],[Base]]) &amp;" "&amp;Validation[[#This Row],[Uncert_Units]]</f>
        <v>26 mΩ</v>
      </c>
      <c r="U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mΩ</v>
      </c>
      <c r="V185" t="b">
        <f ca="1">Validation[[#This Row],[Desired Result]]=Validation[[#This Row],[Result]]</f>
        <v>1</v>
      </c>
      <c r="W185" t="b">
        <v>1</v>
      </c>
      <c r="X185" t="b">
        <f>Validation[[#This Row],[Range1_Low]]&gt;=Validation[[#This Row],[Range1_High]]</f>
        <v>0</v>
      </c>
      <c r="Y185" s="111" t="s">
        <v>2843</v>
      </c>
    </row>
    <row r="186" spans="1:25" ht="16.5" thickTop="1" thickBot="1" x14ac:dyDescent="0.3">
      <c r="A186" t="s">
        <v>55</v>
      </c>
      <c r="B186" t="s">
        <v>7</v>
      </c>
      <c r="C186">
        <v>0</v>
      </c>
      <c r="D186">
        <v>10</v>
      </c>
      <c r="E186">
        <v>1000</v>
      </c>
      <c r="F186" t="s">
        <v>102</v>
      </c>
      <c r="G186" t="s">
        <v>22</v>
      </c>
      <c r="H186">
        <v>0</v>
      </c>
      <c r="I186">
        <v>0</v>
      </c>
      <c r="J186" t="s">
        <v>2833</v>
      </c>
      <c r="K186">
        <v>577360000</v>
      </c>
      <c r="L186">
        <v>6.2849999999999996E-5</v>
      </c>
      <c r="M186">
        <v>577360000</v>
      </c>
      <c r="N186">
        <v>4.7021000000000003E-6</v>
      </c>
      <c r="O186" t="s">
        <v>2833</v>
      </c>
      <c r="P186" t="s">
        <v>2833</v>
      </c>
      <c r="Q186" t="s">
        <v>2833</v>
      </c>
      <c r="R186">
        <f ca="1">RAND()*(Validation[[#This Row],[Range1_High]]-Validation[[#This Row],[Range1_Low]])+Validation[[#This Row],[Range1_Low]]</f>
        <v>0.49958792455939594</v>
      </c>
      <c r="S186">
        <f>Validation[[#This Row],[Range2_High]]</f>
        <v>0</v>
      </c>
      <c r="T186" t="str" cm="1">
        <f t="array" aca="1" ref="T186" ca="1">RoundToTwoSigFigs(Validation[[#This Row],[Test Reading]]*Validation[[#This Row],[Mult]]+Validation[[#This Row],[Base]]) &amp;" "&amp;Validation[[#This Row],[Uncert_Units]]</f>
        <v>580000000 µΩ</v>
      </c>
      <c r="U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V186" t="b">
        <f ca="1">Validation[[#This Row],[Desired Result]]=Validation[[#This Row],[Result]]</f>
        <v>1</v>
      </c>
      <c r="W186" t="b">
        <v>0</v>
      </c>
      <c r="X186" t="b">
        <f>Validation[[#This Row],[Range1_Low]]&gt;=Validation[[#This Row],[Range1_High]]</f>
        <v>0</v>
      </c>
      <c r="Y186" s="111" t="s">
        <v>2845</v>
      </c>
    </row>
    <row r="187" spans="1:25" ht="16.5" thickTop="1" thickBot="1" x14ac:dyDescent="0.3">
      <c r="A187" t="s">
        <v>55</v>
      </c>
      <c r="B187" t="s">
        <v>7</v>
      </c>
      <c r="C187" s="113">
        <v>1000000</v>
      </c>
      <c r="D187" s="113">
        <v>10000000</v>
      </c>
      <c r="E187">
        <v>1000</v>
      </c>
      <c r="F187" t="s">
        <v>102</v>
      </c>
      <c r="G187" t="s">
        <v>49</v>
      </c>
      <c r="H187">
        <v>0</v>
      </c>
      <c r="I187">
        <v>0</v>
      </c>
      <c r="J187" t="s">
        <v>2833</v>
      </c>
      <c r="K187">
        <v>569.84</v>
      </c>
      <c r="L187">
        <v>3.3312999999999998E-5</v>
      </c>
      <c r="M187">
        <v>569.54999999999995</v>
      </c>
      <c r="N187">
        <v>3.3235999999999998E-5</v>
      </c>
      <c r="O187" t="s">
        <v>2833</v>
      </c>
      <c r="P187" t="s">
        <v>2833</v>
      </c>
      <c r="Q187" t="s">
        <v>2833</v>
      </c>
      <c r="R187">
        <f ca="1">RAND()*(Validation[[#This Row],[Range1_High]]-Validation[[#This Row],[Range1_Low]])+Validation[[#This Row],[Range1_Low]]</f>
        <v>5736679.8587784953</v>
      </c>
      <c r="S187">
        <f>Validation[[#This Row],[Range2_High]]</f>
        <v>0</v>
      </c>
      <c r="T187" t="str" cm="1">
        <f t="array" aca="1" ref="T187" ca="1">RoundToTwoSigFigs(Validation[[#This Row],[Test Reading]]*Validation[[#This Row],[Mult]]+Validation[[#This Row],[Base]]) &amp;" "&amp;Validation[[#This Row],[Uncert_Units]]</f>
        <v>760 Ω</v>
      </c>
      <c r="U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Ω</v>
      </c>
      <c r="V187" t="b">
        <f ca="1">Validation[[#This Row],[Desired Result]]=Validation[[#This Row],[Result]]</f>
        <v>1</v>
      </c>
      <c r="W187" t="b">
        <v>1</v>
      </c>
      <c r="X187" t="b">
        <f>Validation[[#This Row],[Range1_Low]]&gt;=Validation[[#This Row],[Range1_High]]</f>
        <v>0</v>
      </c>
      <c r="Y187" s="111" t="s">
        <v>2843</v>
      </c>
    </row>
    <row r="188" spans="1:25" ht="16.5" thickTop="1" thickBot="1" x14ac:dyDescent="0.3">
      <c r="A188" t="s">
        <v>54</v>
      </c>
      <c r="B188" t="s">
        <v>7</v>
      </c>
      <c r="C188" s="113">
        <v>330</v>
      </c>
      <c r="D188" s="113">
        <v>1100.01</v>
      </c>
      <c r="E188">
        <v>1</v>
      </c>
      <c r="F188" t="s">
        <v>102</v>
      </c>
      <c r="G188" t="s">
        <v>48</v>
      </c>
      <c r="H188">
        <v>0</v>
      </c>
      <c r="I188">
        <v>0</v>
      </c>
      <c r="J188" t="s">
        <v>2833</v>
      </c>
      <c r="K188">
        <v>577.20000000000005</v>
      </c>
      <c r="L188">
        <v>1.7401E-2</v>
      </c>
      <c r="M188">
        <v>577.17999999999995</v>
      </c>
      <c r="N188">
        <v>1.7221E-2</v>
      </c>
      <c r="O188" t="s">
        <v>2833</v>
      </c>
      <c r="P188" t="s">
        <v>2833</v>
      </c>
      <c r="Q188" t="s">
        <v>2833</v>
      </c>
      <c r="R188">
        <f ca="1">RAND()*(Validation[[#This Row],[Range1_High]]-Validation[[#This Row],[Range1_Low]])+Validation[[#This Row],[Range1_Low]]</f>
        <v>950.92343584667378</v>
      </c>
      <c r="S188">
        <f>Validation[[#This Row],[Range2_High]]</f>
        <v>0</v>
      </c>
      <c r="T188" t="str" cm="1">
        <f t="array" aca="1" ref="T188" ca="1">RoundToTwoSigFigs(Validation[[#This Row],[Test Reading]]*Validation[[#This Row],[Mult]]+Validation[[#This Row],[Base]]) &amp;" "&amp;Validation[[#This Row],[Uncert_Units]]</f>
        <v>590 mΩ</v>
      </c>
      <c r="U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V188" t="b">
        <f ca="1">Validation[[#This Row],[Desired Result]]=Validation[[#This Row],[Result]]</f>
        <v>1</v>
      </c>
      <c r="W188" t="b">
        <v>1</v>
      </c>
      <c r="X188" t="b">
        <f>Validation[[#This Row],[Range1_Low]]&gt;=Validation[[#This Row],[Range1_High]]</f>
        <v>0</v>
      </c>
      <c r="Y188" s="111" t="s">
        <v>2843</v>
      </c>
    </row>
    <row r="189" spans="1:25" ht="16.5" thickTop="1" thickBot="1" x14ac:dyDescent="0.3">
      <c r="A189" t="s">
        <v>54</v>
      </c>
      <c r="B189" t="s">
        <v>7</v>
      </c>
      <c r="C189" s="113">
        <v>3300000</v>
      </c>
      <c r="D189" s="113">
        <v>11001000</v>
      </c>
      <c r="E189">
        <v>1000</v>
      </c>
      <c r="F189" t="s">
        <v>102</v>
      </c>
      <c r="G189" t="s">
        <v>50</v>
      </c>
      <c r="H189">
        <v>0</v>
      </c>
      <c r="I189">
        <v>0</v>
      </c>
      <c r="J189" t="s">
        <v>2833</v>
      </c>
      <c r="K189">
        <v>0.37289</v>
      </c>
      <c r="L189">
        <v>6.8714999999999996E-7</v>
      </c>
      <c r="M189">
        <v>0.37252000000000002</v>
      </c>
      <c r="N189">
        <v>6.8716000000000002E-7</v>
      </c>
      <c r="O189" t="s">
        <v>2833</v>
      </c>
      <c r="P189" t="s">
        <v>2833</v>
      </c>
      <c r="Q189" t="s">
        <v>2833</v>
      </c>
      <c r="R189">
        <f ca="1">RAND()*(Validation[[#This Row],[Range1_High]]-Validation[[#This Row],[Range1_Low]])+Validation[[#This Row],[Range1_Low]]</f>
        <v>8313882.129216996</v>
      </c>
      <c r="S189">
        <f>Validation[[#This Row],[Range2_High]]</f>
        <v>0</v>
      </c>
      <c r="T189" t="str" cm="1">
        <f t="array" aca="1" ref="T189" ca="1">RoundToTwoSigFigs(Validation[[#This Row],[Test Reading]]*Validation[[#This Row],[Mult]]+Validation[[#This Row],[Base]]) &amp;" "&amp;Validation[[#This Row],[Uncert_Units]]</f>
        <v>6.1 kΩ</v>
      </c>
      <c r="U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kΩ</v>
      </c>
      <c r="V189" t="b">
        <f ca="1">Validation[[#This Row],[Desired Result]]=Validation[[#This Row],[Result]]</f>
        <v>1</v>
      </c>
      <c r="W189" t="b">
        <v>1</v>
      </c>
      <c r="X189" t="b">
        <f>Validation[[#This Row],[Range1_Low]]&gt;=Validation[[#This Row],[Range1_High]]</f>
        <v>0</v>
      </c>
      <c r="Y189" s="111" t="s">
        <v>2843</v>
      </c>
    </row>
    <row r="190" spans="1:25" ht="16.5" thickTop="1" thickBot="1" x14ac:dyDescent="0.3">
      <c r="A190" t="s">
        <v>54</v>
      </c>
      <c r="B190" t="s">
        <v>7</v>
      </c>
      <c r="C190" s="113">
        <v>110000000</v>
      </c>
      <c r="D190" s="113">
        <v>330010000</v>
      </c>
      <c r="E190">
        <v>10000</v>
      </c>
      <c r="F190" t="s">
        <v>102</v>
      </c>
      <c r="G190" t="s">
        <v>50</v>
      </c>
      <c r="H190">
        <v>0</v>
      </c>
      <c r="I190">
        <v>0</v>
      </c>
      <c r="J190" t="s">
        <v>2833</v>
      </c>
      <c r="K190">
        <v>120</v>
      </c>
      <c r="L190">
        <v>5.7733999999999996E-6</v>
      </c>
      <c r="M190">
        <v>115.52</v>
      </c>
      <c r="N190">
        <v>5.7733999999999996E-6</v>
      </c>
      <c r="O190" t="s">
        <v>2833</v>
      </c>
      <c r="P190" t="s">
        <v>2833</v>
      </c>
      <c r="Q190" t="s">
        <v>2833</v>
      </c>
      <c r="R190">
        <f ca="1">RAND()*(Validation[[#This Row],[Range1_High]]-Validation[[#This Row],[Range1_Low]])+Validation[[#This Row],[Range1_Low]]</f>
        <v>254992325.0716581</v>
      </c>
      <c r="S190">
        <f>Validation[[#This Row],[Range2_High]]</f>
        <v>0</v>
      </c>
      <c r="T190" t="str" cm="1">
        <f t="array" aca="1" ref="T190" ca="1">RoundToTwoSigFigs(Validation[[#This Row],[Test Reading]]*Validation[[#This Row],[Mult]]+Validation[[#This Row],[Base]]) &amp;" "&amp;Validation[[#This Row],[Uncert_Units]]</f>
        <v>1600 kΩ</v>
      </c>
      <c r="U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V190" t="b">
        <f ca="1">Validation[[#This Row],[Desired Result]]=Validation[[#This Row],[Result]]</f>
        <v>1</v>
      </c>
      <c r="W190" t="b">
        <v>1</v>
      </c>
      <c r="X190" t="b">
        <f>Validation[[#This Row],[Range1_Low]]&gt;=Validation[[#This Row],[Range1_High]]</f>
        <v>0</v>
      </c>
      <c r="Y190" s="111" t="s">
        <v>2843</v>
      </c>
    </row>
    <row r="191" spans="1:25" ht="16.5" thickTop="1" thickBot="1" x14ac:dyDescent="0.3">
      <c r="A191" t="s">
        <v>54</v>
      </c>
      <c r="B191" t="s">
        <v>7</v>
      </c>
      <c r="C191" s="113">
        <v>110</v>
      </c>
      <c r="D191" s="113">
        <v>330.01</v>
      </c>
      <c r="E191">
        <v>0.01</v>
      </c>
      <c r="F191" t="s">
        <v>102</v>
      </c>
      <c r="G191" t="s">
        <v>48</v>
      </c>
      <c r="H191">
        <v>0</v>
      </c>
      <c r="I191">
        <v>0</v>
      </c>
      <c r="J191" t="s">
        <v>2833</v>
      </c>
      <c r="K191">
        <v>25.358000000000001</v>
      </c>
      <c r="L191">
        <v>0.29479</v>
      </c>
      <c r="M191">
        <v>25.35</v>
      </c>
      <c r="N191">
        <v>0.29441000000000001</v>
      </c>
      <c r="O191" t="s">
        <v>2833</v>
      </c>
      <c r="P191" t="s">
        <v>2833</v>
      </c>
      <c r="Q191" t="s">
        <v>2833</v>
      </c>
      <c r="R191">
        <f ca="1">RAND()*(Validation[[#This Row],[Range1_High]]-Validation[[#This Row],[Range1_Low]])+Validation[[#This Row],[Range1_Low]]</f>
        <v>257.43018929272563</v>
      </c>
      <c r="S191">
        <f>Validation[[#This Row],[Range2_High]]</f>
        <v>0</v>
      </c>
      <c r="T191" t="str" cm="1">
        <f t="array" aca="1" ref="T191" ca="1">RoundToTwoSigFigs(Validation[[#This Row],[Test Reading]]*Validation[[#This Row],[Mult]]+Validation[[#This Row],[Base]]) &amp;" "&amp;Validation[[#This Row],[Uncert_Units]]</f>
        <v>100 mΩ</v>
      </c>
      <c r="U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mΩ</v>
      </c>
      <c r="V191" t="b">
        <f ca="1">Validation[[#This Row],[Desired Result]]=Validation[[#This Row],[Result]]</f>
        <v>1</v>
      </c>
      <c r="W191" t="b">
        <v>1</v>
      </c>
      <c r="X191" t="b">
        <f>Validation[[#This Row],[Range1_Low]]&gt;=Validation[[#This Row],[Range1_High]]</f>
        <v>0</v>
      </c>
      <c r="Y191" s="111" t="s">
        <v>2843</v>
      </c>
    </row>
    <row r="192" spans="1:25" ht="15.75" thickTop="1" x14ac:dyDescent="0.25">
      <c r="A192" t="s">
        <v>55</v>
      </c>
      <c r="B192" t="s">
        <v>7</v>
      </c>
      <c r="C192">
        <v>10000</v>
      </c>
      <c r="D192">
        <v>100000</v>
      </c>
      <c r="E192">
        <v>1000</v>
      </c>
      <c r="F192" t="s">
        <v>102</v>
      </c>
      <c r="G192" t="s">
        <v>48</v>
      </c>
      <c r="H192">
        <v>0</v>
      </c>
      <c r="I192">
        <v>0</v>
      </c>
      <c r="J192" t="s">
        <v>2833</v>
      </c>
      <c r="K192">
        <v>577360</v>
      </c>
      <c r="L192">
        <v>1.5162E-5</v>
      </c>
      <c r="M192">
        <v>577350</v>
      </c>
      <c r="N192">
        <v>1.4902000000000001E-5</v>
      </c>
      <c r="O192" t="s">
        <v>2833</v>
      </c>
      <c r="P192" t="s">
        <v>2833</v>
      </c>
      <c r="Q192" t="s">
        <v>2833</v>
      </c>
      <c r="R192">
        <f ca="1">RAND()*(Validation[[#This Row],[Range1_High]]-Validation[[#This Row],[Range1_Low]])+Validation[[#This Row],[Range1_Low]]</f>
        <v>98037.730694320999</v>
      </c>
      <c r="S192">
        <f>Validation[[#This Row],[Range2_High]]</f>
        <v>0</v>
      </c>
      <c r="T192" t="str" cm="1">
        <f t="array" aca="1" ref="T192" ca="1">RoundToTwoSigFigs(Validation[[#This Row],[Test Reading]]*Validation[[#This Row],[Mult]]+Validation[[#This Row],[Base]]) &amp;" "&amp;Validation[[#This Row],[Uncert_Units]]</f>
        <v>580000 mΩ</v>
      </c>
      <c r="U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V192" t="b">
        <f ca="1">Validation[[#This Row],[Desired Result]]=Validation[[#This Row],[Result]]</f>
        <v>1</v>
      </c>
      <c r="W192" t="b">
        <v>0</v>
      </c>
      <c r="X192" t="b">
        <f>Validation[[#This Row],[Range1_Low]]&gt;=Validation[[#This Row],[Range1_High]]</f>
        <v>0</v>
      </c>
      <c r="Y192" s="111" t="s">
        <v>2845</v>
      </c>
    </row>
    <row r="193" spans="1:25" ht="15.75" thickBot="1" x14ac:dyDescent="0.3">
      <c r="A193" t="s">
        <v>54</v>
      </c>
      <c r="B193" t="s">
        <v>7</v>
      </c>
      <c r="C193">
        <v>11000</v>
      </c>
      <c r="D193">
        <v>33001</v>
      </c>
      <c r="E193">
        <v>100</v>
      </c>
      <c r="F193" t="s">
        <v>102</v>
      </c>
      <c r="G193" t="s">
        <v>49</v>
      </c>
      <c r="H193">
        <v>0</v>
      </c>
      <c r="I193">
        <v>0</v>
      </c>
      <c r="J193" t="s">
        <v>2833</v>
      </c>
      <c r="K193">
        <v>57.978000000000002</v>
      </c>
      <c r="L193">
        <v>6.2175000000000002E-6</v>
      </c>
      <c r="M193">
        <v>57.978000000000002</v>
      </c>
      <c r="N193">
        <v>6.1738000000000001E-6</v>
      </c>
      <c r="O193" t="s">
        <v>2833</v>
      </c>
      <c r="P193" t="s">
        <v>2833</v>
      </c>
      <c r="Q193" t="s">
        <v>2833</v>
      </c>
      <c r="R193">
        <f ca="1">RAND()*(Validation[[#This Row],[Range1_High]]-Validation[[#This Row],[Range1_Low]])+Validation[[#This Row],[Range1_Low]]</f>
        <v>29785.546000127466</v>
      </c>
      <c r="S193">
        <f>Validation[[#This Row],[Range2_High]]</f>
        <v>0</v>
      </c>
      <c r="T193" t="str" cm="1">
        <f t="array" aca="1" ref="T193" ca="1">RoundToTwoSigFigs(Validation[[#This Row],[Test Reading]]*Validation[[#This Row],[Mult]]+Validation[[#This Row],[Base]]) &amp;" "&amp;Validation[[#This Row],[Uncert_Units]]</f>
        <v>58 Ω</v>
      </c>
      <c r="U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V193" t="b">
        <f ca="1">Validation[[#This Row],[Desired Result]]=Validation[[#This Row],[Result]]</f>
        <v>1</v>
      </c>
      <c r="W193" t="b">
        <v>0</v>
      </c>
      <c r="X193" t="b">
        <f>Validation[[#This Row],[Range1_Low]]&gt;=Validation[[#This Row],[Range1_High]]</f>
        <v>0</v>
      </c>
      <c r="Y193" s="111" t="s">
        <v>2845</v>
      </c>
    </row>
    <row r="194" spans="1:25" ht="16.5" thickTop="1" thickBot="1" x14ac:dyDescent="0.3">
      <c r="A194" t="s">
        <v>56</v>
      </c>
      <c r="B194" t="s">
        <v>7</v>
      </c>
      <c r="C194" s="113">
        <v>10000</v>
      </c>
      <c r="D194" s="113">
        <v>100000</v>
      </c>
      <c r="E194">
        <v>1E-4</v>
      </c>
      <c r="F194" t="s">
        <v>102</v>
      </c>
      <c r="G194" t="s">
        <v>48</v>
      </c>
      <c r="H194">
        <v>0</v>
      </c>
      <c r="I194">
        <v>0</v>
      </c>
      <c r="J194" t="s">
        <v>2833</v>
      </c>
      <c r="K194">
        <v>0.24035100000000001</v>
      </c>
      <c r="L194">
        <v>6.9214000000000005E-5</v>
      </c>
      <c r="M194">
        <v>0.232955</v>
      </c>
      <c r="N194">
        <v>6.9264000000000006E-5</v>
      </c>
      <c r="O194" t="s">
        <v>2833</v>
      </c>
      <c r="P194" t="s">
        <v>2833</v>
      </c>
      <c r="Q194" t="s">
        <v>2833</v>
      </c>
      <c r="R194">
        <f ca="1">RAND()*(Validation[[#This Row],[Range1_High]]-Validation[[#This Row],[Range1_Low]])+Validation[[#This Row],[Range1_Low]]</f>
        <v>89922.504622832479</v>
      </c>
      <c r="S194">
        <f>Validation[[#This Row],[Range2_High]]</f>
        <v>0</v>
      </c>
      <c r="T194" t="str" cm="1">
        <f t="array" aca="1" ref="T194" ca="1">RoundToTwoSigFigs(Validation[[#This Row],[Test Reading]]*Validation[[#This Row],[Mult]]+Validation[[#This Row],[Base]]) &amp;" "&amp;Validation[[#This Row],[Uncert_Units]]</f>
        <v>6.5 mΩ</v>
      </c>
      <c r="U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mΩ</v>
      </c>
      <c r="V194" t="b">
        <f ca="1">Validation[[#This Row],[Desired Result]]=Validation[[#This Row],[Result]]</f>
        <v>1</v>
      </c>
      <c r="W194" t="b">
        <v>1</v>
      </c>
      <c r="X194" t="b">
        <f>Validation[[#This Row],[Range1_Low]]&gt;=Validation[[#This Row],[Range1_High]]</f>
        <v>0</v>
      </c>
      <c r="Y194" s="111" t="s">
        <v>2843</v>
      </c>
    </row>
    <row r="195" spans="1:25" ht="16.5" thickTop="1" thickBot="1" x14ac:dyDescent="0.3">
      <c r="A195" t="s">
        <v>54</v>
      </c>
      <c r="B195" t="s">
        <v>7</v>
      </c>
      <c r="C195" s="113">
        <v>110000000</v>
      </c>
      <c r="D195" s="113">
        <v>330010000</v>
      </c>
      <c r="E195">
        <v>1000000</v>
      </c>
      <c r="F195" t="s">
        <v>102</v>
      </c>
      <c r="G195" t="s">
        <v>50</v>
      </c>
      <c r="H195">
        <v>0</v>
      </c>
      <c r="I195">
        <v>0</v>
      </c>
      <c r="J195" t="s">
        <v>2833</v>
      </c>
      <c r="K195">
        <v>371.66</v>
      </c>
      <c r="L195">
        <v>5.2445000000000004E-6</v>
      </c>
      <c r="M195">
        <v>371.67</v>
      </c>
      <c r="N195">
        <v>5.2444000000000001E-6</v>
      </c>
      <c r="O195" t="s">
        <v>2833</v>
      </c>
      <c r="P195" t="s">
        <v>2833</v>
      </c>
      <c r="Q195" t="s">
        <v>2833</v>
      </c>
      <c r="R195">
        <f ca="1">RAND()*(Validation[[#This Row],[Range1_High]]-Validation[[#This Row],[Range1_Low]])+Validation[[#This Row],[Range1_Low]]</f>
        <v>243813394.50972331</v>
      </c>
      <c r="S195">
        <f>Validation[[#This Row],[Range2_High]]</f>
        <v>0</v>
      </c>
      <c r="T195" t="str" cm="1">
        <f t="array" aca="1" ref="T195" ca="1">RoundToTwoSigFigs(Validation[[#This Row],[Test Reading]]*Validation[[#This Row],[Mult]]+Validation[[#This Row],[Base]]) &amp;" "&amp;Validation[[#This Row],[Uncert_Units]]</f>
        <v>1700 kΩ</v>
      </c>
      <c r="U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V195" t="b">
        <f ca="1">Validation[[#This Row],[Desired Result]]=Validation[[#This Row],[Result]]</f>
        <v>1</v>
      </c>
      <c r="W195" t="b">
        <v>1</v>
      </c>
      <c r="X195" t="b">
        <f>Validation[[#This Row],[Range1_Low]]&gt;=Validation[[#This Row],[Range1_High]]</f>
        <v>0</v>
      </c>
      <c r="Y195" s="111" t="s">
        <v>2843</v>
      </c>
    </row>
    <row r="196" spans="1:25" ht="16.5" thickTop="1" thickBot="1" x14ac:dyDescent="0.3">
      <c r="A196" t="s">
        <v>55</v>
      </c>
      <c r="B196" t="s">
        <v>7</v>
      </c>
      <c r="C196">
        <v>0</v>
      </c>
      <c r="D196">
        <v>10</v>
      </c>
      <c r="E196">
        <v>0.01</v>
      </c>
      <c r="F196" t="s">
        <v>102</v>
      </c>
      <c r="G196" t="s">
        <v>22</v>
      </c>
      <c r="H196">
        <v>0</v>
      </c>
      <c r="I196">
        <v>0</v>
      </c>
      <c r="J196" t="s">
        <v>2833</v>
      </c>
      <c r="K196">
        <v>5773.6</v>
      </c>
      <c r="L196">
        <v>0.47627000000000003</v>
      </c>
      <c r="M196">
        <v>5773.6</v>
      </c>
      <c r="N196">
        <v>0.47059000000000001</v>
      </c>
      <c r="O196" t="s">
        <v>2833</v>
      </c>
      <c r="P196" t="s">
        <v>2833</v>
      </c>
      <c r="Q196" t="s">
        <v>2833</v>
      </c>
      <c r="R196">
        <f ca="1">RAND()*(Validation[[#This Row],[Range1_High]]-Validation[[#This Row],[Range1_Low]])+Validation[[#This Row],[Range1_Low]]</f>
        <v>6.1413936289122297</v>
      </c>
      <c r="S196">
        <f>Validation[[#This Row],[Range2_High]]</f>
        <v>0</v>
      </c>
      <c r="T196" t="str" cm="1">
        <f t="array" aca="1" ref="T196" ca="1">RoundToTwoSigFigs(Validation[[#This Row],[Test Reading]]*Validation[[#This Row],[Mult]]+Validation[[#This Row],[Base]]) &amp;" "&amp;Validation[[#This Row],[Uncert_Units]]</f>
        <v>5800 µΩ</v>
      </c>
      <c r="U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V196" t="b">
        <f ca="1">Validation[[#This Row],[Desired Result]]=Validation[[#This Row],[Result]]</f>
        <v>1</v>
      </c>
      <c r="W196" t="b">
        <v>0</v>
      </c>
      <c r="X196" t="b">
        <f>Validation[[#This Row],[Range1_Low]]&gt;=Validation[[#This Row],[Range1_High]]</f>
        <v>0</v>
      </c>
      <c r="Y196" s="111" t="s">
        <v>2845</v>
      </c>
    </row>
    <row r="197" spans="1:25" ht="16.5" thickTop="1" thickBot="1" x14ac:dyDescent="0.3">
      <c r="A197" t="s">
        <v>54</v>
      </c>
      <c r="B197" t="s">
        <v>7</v>
      </c>
      <c r="C197" s="113">
        <v>11</v>
      </c>
      <c r="D197" s="113">
        <v>33.000999999999998</v>
      </c>
      <c r="E197">
        <v>0.01</v>
      </c>
      <c r="F197" t="s">
        <v>102</v>
      </c>
      <c r="G197" t="s">
        <v>48</v>
      </c>
      <c r="H197">
        <v>0</v>
      </c>
      <c r="I197">
        <v>0</v>
      </c>
      <c r="J197" t="s">
        <v>2833</v>
      </c>
      <c r="K197">
        <v>18.263000000000002</v>
      </c>
      <c r="L197">
        <v>0.13372000000000001</v>
      </c>
      <c r="M197">
        <v>18.257999999999999</v>
      </c>
      <c r="N197">
        <v>0.13356999999999999</v>
      </c>
      <c r="O197" t="s">
        <v>2833</v>
      </c>
      <c r="P197" t="s">
        <v>2833</v>
      </c>
      <c r="Q197" t="s">
        <v>2833</v>
      </c>
      <c r="R197">
        <f ca="1">RAND()*(Validation[[#This Row],[Range1_High]]-Validation[[#This Row],[Range1_Low]])+Validation[[#This Row],[Range1_Low]]</f>
        <v>19.671564963864213</v>
      </c>
      <c r="S197">
        <f>Validation[[#This Row],[Range2_High]]</f>
        <v>0</v>
      </c>
      <c r="T197" t="str" cm="1">
        <f t="array" aca="1" ref="T197" ca="1">RoundToTwoSigFigs(Validation[[#This Row],[Test Reading]]*Validation[[#This Row],[Mult]]+Validation[[#This Row],[Base]]) &amp;" "&amp;Validation[[#This Row],[Uncert_Units]]</f>
        <v>21 mΩ</v>
      </c>
      <c r="U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V197" t="b">
        <f ca="1">Validation[[#This Row],[Desired Result]]=Validation[[#This Row],[Result]]</f>
        <v>1</v>
      </c>
      <c r="W197" t="b">
        <v>1</v>
      </c>
      <c r="X197" t="b">
        <f>Validation[[#This Row],[Range1_Low]]&gt;=Validation[[#This Row],[Range1_High]]</f>
        <v>0</v>
      </c>
      <c r="Y197" s="111" t="s">
        <v>2843</v>
      </c>
    </row>
    <row r="198" spans="1:25" ht="16.5" thickTop="1" thickBot="1" x14ac:dyDescent="0.3">
      <c r="A198" t="s">
        <v>56</v>
      </c>
      <c r="B198" t="s">
        <v>7</v>
      </c>
      <c r="C198" s="113">
        <v>10000</v>
      </c>
      <c r="D198" s="113">
        <v>100000</v>
      </c>
      <c r="E198">
        <v>1E-3</v>
      </c>
      <c r="F198" t="s">
        <v>102</v>
      </c>
      <c r="G198" t="s">
        <v>48</v>
      </c>
      <c r="H198">
        <v>0</v>
      </c>
      <c r="I198">
        <v>0</v>
      </c>
      <c r="J198" t="s">
        <v>2833</v>
      </c>
      <c r="K198">
        <v>0.66558600000000001</v>
      </c>
      <c r="L198">
        <v>6.6056000000000006E-5</v>
      </c>
      <c r="M198">
        <v>0.41389399999999998</v>
      </c>
      <c r="N198">
        <v>6.7687000000000004E-5</v>
      </c>
      <c r="O198" t="s">
        <v>2833</v>
      </c>
      <c r="P198" t="s">
        <v>2833</v>
      </c>
      <c r="Q198" t="s">
        <v>2833</v>
      </c>
      <c r="R198">
        <f ca="1">RAND()*(Validation[[#This Row],[Range1_High]]-Validation[[#This Row],[Range1_Low]])+Validation[[#This Row],[Range1_Low]]</f>
        <v>21787.254934517008</v>
      </c>
      <c r="S198">
        <f>Validation[[#This Row],[Range2_High]]</f>
        <v>0</v>
      </c>
      <c r="T198" t="str" cm="1">
        <f t="array" aca="1" ref="T198" ca="1">RoundToTwoSigFigs(Validation[[#This Row],[Test Reading]]*Validation[[#This Row],[Mult]]+Validation[[#This Row],[Base]]) &amp;" "&amp;Validation[[#This Row],[Uncert_Units]]</f>
        <v>2.1 mΩ</v>
      </c>
      <c r="U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mΩ</v>
      </c>
      <c r="V198" t="b">
        <f ca="1">Validation[[#This Row],[Desired Result]]=Validation[[#This Row],[Result]]</f>
        <v>1</v>
      </c>
      <c r="W198" t="b">
        <v>1</v>
      </c>
      <c r="X198" t="b">
        <f>Validation[[#This Row],[Range1_Low]]&gt;=Validation[[#This Row],[Range1_High]]</f>
        <v>0</v>
      </c>
      <c r="Y198" s="111" t="s">
        <v>2843</v>
      </c>
    </row>
    <row r="199" spans="1:25" ht="16.5" thickTop="1" thickBot="1" x14ac:dyDescent="0.3">
      <c r="A199" t="s">
        <v>54</v>
      </c>
      <c r="B199" t="s">
        <v>7</v>
      </c>
      <c r="C199" s="113">
        <v>33000</v>
      </c>
      <c r="D199" s="113">
        <v>110010</v>
      </c>
      <c r="E199">
        <v>10</v>
      </c>
      <c r="F199" t="s">
        <v>102</v>
      </c>
      <c r="G199" t="s">
        <v>49</v>
      </c>
      <c r="H199">
        <v>0</v>
      </c>
      <c r="I199">
        <v>0</v>
      </c>
      <c r="J199" t="s">
        <v>2833</v>
      </c>
      <c r="K199">
        <v>4.3529999999999998</v>
      </c>
      <c r="L199">
        <v>1.0805E-4</v>
      </c>
      <c r="M199">
        <v>4.3501000000000003</v>
      </c>
      <c r="N199">
        <v>1.0797E-4</v>
      </c>
      <c r="O199" t="s">
        <v>2833</v>
      </c>
      <c r="P199" t="s">
        <v>2833</v>
      </c>
      <c r="Q199" t="s">
        <v>2833</v>
      </c>
      <c r="R199">
        <f ca="1">RAND()*(Validation[[#This Row],[Range1_High]]-Validation[[#This Row],[Range1_Low]])+Validation[[#This Row],[Range1_Low]]</f>
        <v>52585.839285778173</v>
      </c>
      <c r="S199">
        <f>Validation[[#This Row],[Range2_High]]</f>
        <v>0</v>
      </c>
      <c r="T199" t="str" cm="1">
        <f t="array" aca="1" ref="T199" ca="1">RoundToTwoSigFigs(Validation[[#This Row],[Test Reading]]*Validation[[#This Row],[Mult]]+Validation[[#This Row],[Base]]) &amp;" "&amp;Validation[[#This Row],[Uncert_Units]]</f>
        <v>10 Ω</v>
      </c>
      <c r="U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Ω</v>
      </c>
      <c r="V199" t="b">
        <f ca="1">Validation[[#This Row],[Desired Result]]=Validation[[#This Row],[Result]]</f>
        <v>1</v>
      </c>
      <c r="W199" t="b">
        <v>1</v>
      </c>
      <c r="X199" t="b">
        <f>Validation[[#This Row],[Range1_Low]]&gt;=Validation[[#This Row],[Range1_High]]</f>
        <v>0</v>
      </c>
      <c r="Y199" s="111" t="s">
        <v>2843</v>
      </c>
    </row>
    <row r="200" spans="1:25" ht="16.5" thickTop="1" thickBot="1" x14ac:dyDescent="0.3">
      <c r="A200" t="s">
        <v>56</v>
      </c>
      <c r="B200" t="s">
        <v>7</v>
      </c>
      <c r="C200" s="113">
        <v>10000</v>
      </c>
      <c r="D200" s="113">
        <v>100000</v>
      </c>
      <c r="E200">
        <v>1000</v>
      </c>
      <c r="F200" t="s">
        <v>102</v>
      </c>
      <c r="G200" t="s">
        <v>49</v>
      </c>
      <c r="H200">
        <v>0</v>
      </c>
      <c r="I200">
        <v>0</v>
      </c>
      <c r="J200" t="s">
        <v>2833</v>
      </c>
      <c r="K200">
        <v>0.82927600000000001</v>
      </c>
      <c r="L200">
        <v>6.6699999999999995E-8</v>
      </c>
      <c r="M200">
        <v>0.61212599999999995</v>
      </c>
      <c r="N200">
        <v>6.8099999999999994E-8</v>
      </c>
      <c r="O200" t="s">
        <v>2833</v>
      </c>
      <c r="P200" t="s">
        <v>2833</v>
      </c>
      <c r="Q200" t="s">
        <v>2833</v>
      </c>
      <c r="R200">
        <f ca="1">RAND()*(Validation[[#This Row],[Range1_High]]-Validation[[#This Row],[Range1_Low]])+Validation[[#This Row],[Range1_Low]]</f>
        <v>15412.466868515521</v>
      </c>
      <c r="S200">
        <f>Validation[[#This Row],[Range2_High]]</f>
        <v>0</v>
      </c>
      <c r="T200" t="str" cm="1">
        <f t="array" aca="1" ref="T200" ca="1">RoundToTwoSigFigs(Validation[[#This Row],[Test Reading]]*Validation[[#This Row],[Mult]]+Validation[[#This Row],[Base]]) &amp;" "&amp;Validation[[#This Row],[Uncert_Units]]</f>
        <v>0.83 Ω</v>
      </c>
      <c r="U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V200" t="b">
        <f ca="1">Validation[[#This Row],[Desired Result]]=Validation[[#This Row],[Result]]</f>
        <v>1</v>
      </c>
      <c r="W200" t="b">
        <v>1</v>
      </c>
      <c r="X200" t="b">
        <f>Validation[[#This Row],[Range1_Low]]&gt;=Validation[[#This Row],[Range1_High]]</f>
        <v>0</v>
      </c>
      <c r="Y200" s="111" t="s">
        <v>2843</v>
      </c>
    </row>
    <row r="201" spans="1:25" ht="16.5" thickTop="1" thickBot="1" x14ac:dyDescent="0.3">
      <c r="A201" t="s">
        <v>55</v>
      </c>
      <c r="B201" t="s">
        <v>7</v>
      </c>
      <c r="C201" s="113">
        <v>10</v>
      </c>
      <c r="D201" s="113">
        <v>100</v>
      </c>
      <c r="E201">
        <v>1E-3</v>
      </c>
      <c r="F201" t="s">
        <v>102</v>
      </c>
      <c r="G201" t="s">
        <v>22</v>
      </c>
      <c r="H201">
        <v>0</v>
      </c>
      <c r="I201">
        <v>0</v>
      </c>
      <c r="J201" t="s">
        <v>2833</v>
      </c>
      <c r="K201">
        <v>794.35</v>
      </c>
      <c r="L201">
        <v>12.648</v>
      </c>
      <c r="M201">
        <v>794.24</v>
      </c>
      <c r="N201">
        <v>12.648</v>
      </c>
      <c r="O201" t="s">
        <v>2833</v>
      </c>
      <c r="P201" t="s">
        <v>2833</v>
      </c>
      <c r="Q201" t="s">
        <v>2833</v>
      </c>
      <c r="R201">
        <f ca="1">RAND()*(Validation[[#This Row],[Range1_High]]-Validation[[#This Row],[Range1_Low]])+Validation[[#This Row],[Range1_Low]]</f>
        <v>74.401098779575136</v>
      </c>
      <c r="S201">
        <f>Validation[[#This Row],[Range2_High]]</f>
        <v>0</v>
      </c>
      <c r="T201" t="str" cm="1">
        <f t="array" aca="1" ref="T201" ca="1">RoundToTwoSigFigs(Validation[[#This Row],[Test Reading]]*Validation[[#This Row],[Mult]]+Validation[[#This Row],[Base]]) &amp;" "&amp;Validation[[#This Row],[Uncert_Units]]</f>
        <v>1700 µΩ</v>
      </c>
      <c r="U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µΩ</v>
      </c>
      <c r="V201" t="b">
        <f ca="1">Validation[[#This Row],[Desired Result]]=Validation[[#This Row],[Result]]</f>
        <v>1</v>
      </c>
      <c r="W201" t="b">
        <v>1</v>
      </c>
      <c r="X201" t="b">
        <f>Validation[[#This Row],[Range1_Low]]&gt;=Validation[[#This Row],[Range1_High]]</f>
        <v>0</v>
      </c>
      <c r="Y201" s="111" t="s">
        <v>2843</v>
      </c>
    </row>
    <row r="202" spans="1:25" ht="16.5" thickTop="1" thickBot="1" x14ac:dyDescent="0.3">
      <c r="A202" t="s">
        <v>54</v>
      </c>
      <c r="B202" t="s">
        <v>7</v>
      </c>
      <c r="C202" s="113">
        <v>1100000</v>
      </c>
      <c r="D202" s="113">
        <v>3301000</v>
      </c>
      <c r="E202">
        <v>1000</v>
      </c>
      <c r="F202" t="s">
        <v>102</v>
      </c>
      <c r="G202" t="s">
        <v>50</v>
      </c>
      <c r="H202">
        <v>0</v>
      </c>
      <c r="I202">
        <v>0</v>
      </c>
      <c r="J202" t="s">
        <v>2833</v>
      </c>
      <c r="K202">
        <v>0.55515999999999999</v>
      </c>
      <c r="L202">
        <v>1.1804E-7</v>
      </c>
      <c r="M202">
        <v>0.55501</v>
      </c>
      <c r="N202">
        <v>1.1789000000000001E-7</v>
      </c>
      <c r="O202" t="s">
        <v>2833</v>
      </c>
      <c r="P202" t="s">
        <v>2833</v>
      </c>
      <c r="Q202" t="s">
        <v>2833</v>
      </c>
      <c r="R202">
        <f ca="1">RAND()*(Validation[[#This Row],[Range1_High]]-Validation[[#This Row],[Range1_Low]])+Validation[[#This Row],[Range1_Low]]</f>
        <v>1788072.7992991386</v>
      </c>
      <c r="S202">
        <f>Validation[[#This Row],[Range2_High]]</f>
        <v>0</v>
      </c>
      <c r="T202" t="str" cm="1">
        <f t="array" aca="1" ref="T202" ca="1">RoundToTwoSigFigs(Validation[[#This Row],[Test Reading]]*Validation[[#This Row],[Mult]]+Validation[[#This Row],[Base]]) &amp;" "&amp;Validation[[#This Row],[Uncert_Units]]</f>
        <v>0.77 kΩ</v>
      </c>
      <c r="U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kΩ</v>
      </c>
      <c r="V202" t="b">
        <f ca="1">Validation[[#This Row],[Desired Result]]=Validation[[#This Row],[Result]]</f>
        <v>1</v>
      </c>
      <c r="W202" t="b">
        <v>1</v>
      </c>
      <c r="X202" t="b">
        <f>Validation[[#This Row],[Range1_Low]]&gt;=Validation[[#This Row],[Range1_High]]</f>
        <v>0</v>
      </c>
      <c r="Y202" s="111" t="s">
        <v>2843</v>
      </c>
    </row>
    <row r="203" spans="1:25" ht="15.75" thickTop="1" x14ac:dyDescent="0.25">
      <c r="A203" t="s">
        <v>56</v>
      </c>
      <c r="B203" t="s">
        <v>7</v>
      </c>
      <c r="C203">
        <v>10000</v>
      </c>
      <c r="D203">
        <v>100000</v>
      </c>
      <c r="E203">
        <v>1000000</v>
      </c>
      <c r="F203" t="s">
        <v>102</v>
      </c>
      <c r="G203" t="s">
        <v>49</v>
      </c>
      <c r="H203">
        <v>0</v>
      </c>
      <c r="I203">
        <v>0</v>
      </c>
      <c r="J203" t="s">
        <v>2833</v>
      </c>
      <c r="K203">
        <v>585.13490000000002</v>
      </c>
      <c r="L203">
        <v>2.48E-7</v>
      </c>
      <c r="M203">
        <v>579.99599999999998</v>
      </c>
      <c r="N203">
        <v>5.1E-10</v>
      </c>
      <c r="O203" t="s">
        <v>2833</v>
      </c>
      <c r="P203" t="s">
        <v>2833</v>
      </c>
      <c r="Q203" t="s">
        <v>2833</v>
      </c>
      <c r="R203">
        <f ca="1">RAND()*(Validation[[#This Row],[Range1_High]]-Validation[[#This Row],[Range1_Low]])+Validation[[#This Row],[Range1_Low]]</f>
        <v>61050.200266620144</v>
      </c>
      <c r="S203">
        <f>Validation[[#This Row],[Range2_High]]</f>
        <v>0</v>
      </c>
      <c r="T203" t="str" cm="1">
        <f t="array" aca="1" ref="T203" ca="1">RoundToTwoSigFigs(Validation[[#This Row],[Test Reading]]*Validation[[#This Row],[Mult]]+Validation[[#This Row],[Base]]) &amp;" "&amp;Validation[[#This Row],[Uncert_Units]]</f>
        <v>590 Ω</v>
      </c>
      <c r="U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V203" t="b">
        <f ca="1">Validation[[#This Row],[Desired Result]]=Validation[[#This Row],[Result]]</f>
        <v>1</v>
      </c>
      <c r="W203" t="b">
        <v>0</v>
      </c>
      <c r="X203" t="b">
        <f>Validation[[#This Row],[Range1_Low]]&gt;=Validation[[#This Row],[Range1_High]]</f>
        <v>0</v>
      </c>
      <c r="Y203" s="111" t="s">
        <v>2845</v>
      </c>
    </row>
    <row r="204" spans="1:25" x14ac:dyDescent="0.25">
      <c r="A204" t="s">
        <v>55</v>
      </c>
      <c r="B204" t="s">
        <v>7</v>
      </c>
      <c r="C204">
        <v>1000000</v>
      </c>
      <c r="D204">
        <v>10000000</v>
      </c>
      <c r="E204">
        <v>100000</v>
      </c>
      <c r="F204" t="s">
        <v>102</v>
      </c>
      <c r="G204" t="s">
        <v>49</v>
      </c>
      <c r="H204">
        <v>0</v>
      </c>
      <c r="I204">
        <v>0</v>
      </c>
      <c r="J204" t="s">
        <v>2833</v>
      </c>
      <c r="K204">
        <v>57735</v>
      </c>
      <c r="L204">
        <v>4.5578999999999998E-7</v>
      </c>
      <c r="M204">
        <v>57731</v>
      </c>
      <c r="N204">
        <v>4.3308000000000001E-7</v>
      </c>
      <c r="O204" t="s">
        <v>2833</v>
      </c>
      <c r="P204" t="s">
        <v>2833</v>
      </c>
      <c r="Q204" t="s">
        <v>2833</v>
      </c>
      <c r="R204">
        <f ca="1">RAND()*(Validation[[#This Row],[Range1_High]]-Validation[[#This Row],[Range1_Low]])+Validation[[#This Row],[Range1_Low]]</f>
        <v>3440655.8041868932</v>
      </c>
      <c r="S204">
        <f>Validation[[#This Row],[Range2_High]]</f>
        <v>0</v>
      </c>
      <c r="T204" t="str" cm="1">
        <f t="array" aca="1" ref="T204" ca="1">RoundToTwoSigFigs(Validation[[#This Row],[Test Reading]]*Validation[[#This Row],[Mult]]+Validation[[#This Row],[Base]]) &amp;" "&amp;Validation[[#This Row],[Uncert_Units]]</f>
        <v>58000 Ω</v>
      </c>
      <c r="U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V204" t="b">
        <f ca="1">Validation[[#This Row],[Desired Result]]=Validation[[#This Row],[Result]]</f>
        <v>1</v>
      </c>
      <c r="W204" t="b">
        <v>0</v>
      </c>
      <c r="X204" t="b">
        <f>Validation[[#This Row],[Range1_Low]]&gt;=Validation[[#This Row],[Range1_High]]</f>
        <v>0</v>
      </c>
      <c r="Y204" s="111" t="s">
        <v>2845</v>
      </c>
    </row>
    <row r="205" spans="1:25" ht="15.75" thickBot="1" x14ac:dyDescent="0.3">
      <c r="A205" t="s">
        <v>55</v>
      </c>
      <c r="B205" t="s">
        <v>7</v>
      </c>
      <c r="C205">
        <v>10</v>
      </c>
      <c r="D205">
        <v>100</v>
      </c>
      <c r="E205">
        <v>0.1</v>
      </c>
      <c r="F205" t="s">
        <v>102</v>
      </c>
      <c r="G205" t="s">
        <v>22</v>
      </c>
      <c r="H205">
        <v>0</v>
      </c>
      <c r="I205">
        <v>0</v>
      </c>
      <c r="J205" t="s">
        <v>2833</v>
      </c>
      <c r="K205">
        <v>57737</v>
      </c>
      <c r="L205">
        <v>0.32668999999999998</v>
      </c>
      <c r="M205">
        <v>57737</v>
      </c>
      <c r="N205">
        <v>0.32628000000000001</v>
      </c>
      <c r="O205" t="s">
        <v>2833</v>
      </c>
      <c r="P205" t="s">
        <v>2833</v>
      </c>
      <c r="Q205" t="s">
        <v>2833</v>
      </c>
      <c r="R205">
        <f ca="1">RAND()*(Validation[[#This Row],[Range1_High]]-Validation[[#This Row],[Range1_Low]])+Validation[[#This Row],[Range1_Low]]</f>
        <v>63.466474053130177</v>
      </c>
      <c r="S205">
        <f>Validation[[#This Row],[Range2_High]]</f>
        <v>0</v>
      </c>
      <c r="T205" t="str" cm="1">
        <f t="array" aca="1" ref="T205" ca="1">RoundToTwoSigFigs(Validation[[#This Row],[Test Reading]]*Validation[[#This Row],[Mult]]+Validation[[#This Row],[Base]]) &amp;" "&amp;Validation[[#This Row],[Uncert_Units]]</f>
        <v>58000 µΩ</v>
      </c>
      <c r="U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V205" t="b">
        <f ca="1">Validation[[#This Row],[Desired Result]]=Validation[[#This Row],[Result]]</f>
        <v>1</v>
      </c>
      <c r="W205" t="b">
        <v>0</v>
      </c>
      <c r="X205" t="b">
        <f>Validation[[#This Row],[Range1_Low]]&gt;=Validation[[#This Row],[Range1_High]]</f>
        <v>0</v>
      </c>
      <c r="Y205" s="111" t="s">
        <v>2845</v>
      </c>
    </row>
    <row r="206" spans="1:25" ht="16.5" thickTop="1" thickBot="1" x14ac:dyDescent="0.3">
      <c r="A206" t="s">
        <v>54</v>
      </c>
      <c r="B206" t="s">
        <v>7</v>
      </c>
      <c r="C206" s="113">
        <v>330</v>
      </c>
      <c r="D206" s="113">
        <v>1100.01</v>
      </c>
      <c r="E206">
        <v>0.01</v>
      </c>
      <c r="F206" t="s">
        <v>102</v>
      </c>
      <c r="G206" t="s">
        <v>48</v>
      </c>
      <c r="H206">
        <v>0</v>
      </c>
      <c r="I206">
        <v>0</v>
      </c>
      <c r="J206" t="s">
        <v>2833</v>
      </c>
      <c r="K206">
        <v>28</v>
      </c>
      <c r="L206">
        <v>0.1</v>
      </c>
      <c r="M206">
        <v>23.818000000000001</v>
      </c>
      <c r="N206">
        <v>0.10366</v>
      </c>
      <c r="O206" t="s">
        <v>2833</v>
      </c>
      <c r="P206" t="s">
        <v>2833</v>
      </c>
      <c r="Q206" t="s">
        <v>2833</v>
      </c>
      <c r="R206">
        <f ca="1">RAND()*(Validation[[#This Row],[Range1_High]]-Validation[[#This Row],[Range1_Low]])+Validation[[#This Row],[Range1_Low]]</f>
        <v>861.96090965619851</v>
      </c>
      <c r="S206">
        <f>Validation[[#This Row],[Range2_High]]</f>
        <v>0</v>
      </c>
      <c r="T206" t="str" cm="1">
        <f t="array" aca="1" ref="T206" ca="1">RoundToTwoSigFigs(Validation[[#This Row],[Test Reading]]*Validation[[#This Row],[Mult]]+Validation[[#This Row],[Base]]) &amp;" "&amp;Validation[[#This Row],[Uncert_Units]]</f>
        <v>110 mΩ</v>
      </c>
      <c r="U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V206" t="b">
        <f ca="1">Validation[[#This Row],[Desired Result]]=Validation[[#This Row],[Result]]</f>
        <v>1</v>
      </c>
      <c r="W206" t="b">
        <v>1</v>
      </c>
      <c r="X206" t="b">
        <f>Validation[[#This Row],[Range1_Low]]&gt;=Validation[[#This Row],[Range1_High]]</f>
        <v>0</v>
      </c>
      <c r="Y206" s="111" t="s">
        <v>2843</v>
      </c>
    </row>
    <row r="207" spans="1:25" ht="16.5" thickTop="1" thickBot="1" x14ac:dyDescent="0.3">
      <c r="A207" t="s">
        <v>56</v>
      </c>
      <c r="B207" t="s">
        <v>7</v>
      </c>
      <c r="C207" s="113">
        <v>1000</v>
      </c>
      <c r="D207" s="113">
        <v>10000</v>
      </c>
      <c r="E207">
        <v>1.0000000000000001E-5</v>
      </c>
      <c r="F207" t="s">
        <v>102</v>
      </c>
      <c r="G207" t="s">
        <v>71</v>
      </c>
      <c r="H207">
        <v>0</v>
      </c>
      <c r="I207">
        <v>0</v>
      </c>
      <c r="J207" t="s">
        <v>2833</v>
      </c>
      <c r="K207">
        <v>24.035060000000001</v>
      </c>
      <c r="L207">
        <v>6.9213540000000004E-2</v>
      </c>
      <c r="M207">
        <v>23.295500000000001</v>
      </c>
      <c r="N207">
        <v>6.9264220000000001E-2</v>
      </c>
      <c r="O207" t="s">
        <v>2833</v>
      </c>
      <c r="P207" t="s">
        <v>2833</v>
      </c>
      <c r="Q207" t="s">
        <v>2833</v>
      </c>
      <c r="R207">
        <f ca="1">RAND()*(Validation[[#This Row],[Range1_High]]-Validation[[#This Row],[Range1_Low]])+Validation[[#This Row],[Range1_Low]]</f>
        <v>4086.6935460211075</v>
      </c>
      <c r="S207">
        <f>Validation[[#This Row],[Range2_High]]</f>
        <v>0</v>
      </c>
      <c r="T207" t="str" cm="1">
        <f t="array" aca="1" ref="T207" ca="1">RoundToTwoSigFigs(Validation[[#This Row],[Test Reading]]*Validation[[#This Row],[Mult]]+Validation[[#This Row],[Base]]) &amp;" "&amp;Validation[[#This Row],[Uncert_Units]]</f>
        <v>310 µΩ</v>
      </c>
      <c r="U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µΩ</v>
      </c>
      <c r="V207" t="b">
        <f ca="1">Validation[[#This Row],[Desired Result]]=Validation[[#This Row],[Result]]</f>
        <v>1</v>
      </c>
      <c r="W207" t="b">
        <v>1</v>
      </c>
      <c r="X207" t="b">
        <f>Validation[[#This Row],[Range1_Low]]&gt;=Validation[[#This Row],[Range1_High]]</f>
        <v>0</v>
      </c>
      <c r="Y207" s="111" t="s">
        <v>2843</v>
      </c>
    </row>
    <row r="208" spans="1:25" ht="16.5" thickTop="1" thickBot="1" x14ac:dyDescent="0.3">
      <c r="A208" t="s">
        <v>55</v>
      </c>
      <c r="B208" t="s">
        <v>7</v>
      </c>
      <c r="C208">
        <v>0</v>
      </c>
      <c r="D208">
        <v>10</v>
      </c>
      <c r="E208">
        <v>1E-4</v>
      </c>
      <c r="F208" t="s">
        <v>102</v>
      </c>
      <c r="G208" t="s">
        <v>22</v>
      </c>
      <c r="H208">
        <v>0</v>
      </c>
      <c r="I208">
        <v>0</v>
      </c>
      <c r="J208" t="s">
        <v>2833</v>
      </c>
      <c r="K208">
        <v>81.733999999999995</v>
      </c>
      <c r="L208">
        <v>16.018000000000001</v>
      </c>
      <c r="M208">
        <v>81.655000000000001</v>
      </c>
      <c r="N208">
        <v>16.015000000000001</v>
      </c>
      <c r="O208" t="s">
        <v>2833</v>
      </c>
      <c r="P208" t="s">
        <v>2833</v>
      </c>
      <c r="Q208" t="s">
        <v>2833</v>
      </c>
      <c r="R208">
        <f ca="1">RAND()*(Validation[[#This Row],[Range1_High]]-Validation[[#This Row],[Range1_Low]])+Validation[[#This Row],[Range1_Low]]</f>
        <v>2.9437311942278344</v>
      </c>
      <c r="S208">
        <f>Validation[[#This Row],[Range2_High]]</f>
        <v>0</v>
      </c>
      <c r="T208" t="str" cm="1">
        <f t="array" aca="1" ref="T208" ca="1">RoundToTwoSigFigs(Validation[[#This Row],[Test Reading]]*Validation[[#This Row],[Mult]]+Validation[[#This Row],[Base]]) &amp;" "&amp;Validation[[#This Row],[Uncert_Units]]</f>
        <v>130 µΩ</v>
      </c>
      <c r="U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µΩ</v>
      </c>
      <c r="V208" t="b">
        <f ca="1">Validation[[#This Row],[Desired Result]]=Validation[[#This Row],[Result]]</f>
        <v>1</v>
      </c>
      <c r="W208" t="b">
        <v>0</v>
      </c>
      <c r="X208" t="b">
        <f>Validation[[#This Row],[Range1_Low]]&gt;=Validation[[#This Row],[Range1_High]]</f>
        <v>0</v>
      </c>
      <c r="Y208" s="111" t="s">
        <v>2845</v>
      </c>
    </row>
    <row r="209" spans="1:25" ht="16.5" thickTop="1" thickBot="1" x14ac:dyDescent="0.3">
      <c r="A209" t="s">
        <v>54</v>
      </c>
      <c r="B209" t="s">
        <v>7</v>
      </c>
      <c r="C209" s="113">
        <v>3300</v>
      </c>
      <c r="D209" s="113">
        <v>11001</v>
      </c>
      <c r="E209">
        <v>1</v>
      </c>
      <c r="F209" t="s">
        <v>102</v>
      </c>
      <c r="G209" t="s">
        <v>49</v>
      </c>
      <c r="H209">
        <v>0</v>
      </c>
      <c r="I209">
        <v>0</v>
      </c>
      <c r="J209" t="s">
        <v>2833</v>
      </c>
      <c r="K209">
        <v>0.46536</v>
      </c>
      <c r="L209">
        <v>8.4151000000000001E-5</v>
      </c>
      <c r="M209">
        <v>0.46464</v>
      </c>
      <c r="N209">
        <v>8.4043999999999997E-5</v>
      </c>
      <c r="O209" t="s">
        <v>2833</v>
      </c>
      <c r="P209" t="s">
        <v>2833</v>
      </c>
      <c r="Q209" t="s">
        <v>2833</v>
      </c>
      <c r="R209">
        <f ca="1">RAND()*(Validation[[#This Row],[Range1_High]]-Validation[[#This Row],[Range1_Low]])+Validation[[#This Row],[Range1_Low]]</f>
        <v>9711.0613325659015</v>
      </c>
      <c r="S209">
        <f>Validation[[#This Row],[Range2_High]]</f>
        <v>0</v>
      </c>
      <c r="T209" t="str" cm="1">
        <f t="array" aca="1" ref="T209" ca="1">RoundToTwoSigFigs(Validation[[#This Row],[Test Reading]]*Validation[[#This Row],[Mult]]+Validation[[#This Row],[Base]]) &amp;" "&amp;Validation[[#This Row],[Uncert_Units]]</f>
        <v>1.3 Ω</v>
      </c>
      <c r="U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Ω</v>
      </c>
      <c r="V209" t="b">
        <f ca="1">Validation[[#This Row],[Desired Result]]=Validation[[#This Row],[Result]]</f>
        <v>1</v>
      </c>
      <c r="W209" t="b">
        <v>1</v>
      </c>
      <c r="X209" t="b">
        <f>Validation[[#This Row],[Range1_Low]]&gt;=Validation[[#This Row],[Range1_High]]</f>
        <v>0</v>
      </c>
      <c r="Y209" s="111" t="s">
        <v>2843</v>
      </c>
    </row>
    <row r="210" spans="1:25" ht="16.5" thickTop="1" thickBot="1" x14ac:dyDescent="0.3">
      <c r="A210" t="s">
        <v>55</v>
      </c>
      <c r="B210" t="s">
        <v>7</v>
      </c>
      <c r="C210" s="113">
        <v>100000000</v>
      </c>
      <c r="D210" s="113">
        <v>1000000000</v>
      </c>
      <c r="E210">
        <v>10000</v>
      </c>
      <c r="F210" t="s">
        <v>102</v>
      </c>
      <c r="G210" t="s">
        <v>176</v>
      </c>
      <c r="H210">
        <v>0</v>
      </c>
      <c r="I210">
        <v>0</v>
      </c>
      <c r="J210" t="s">
        <v>2833</v>
      </c>
      <c r="K210">
        <v>12</v>
      </c>
      <c r="L210">
        <v>5.8000000000000004E-6</v>
      </c>
      <c r="M210">
        <v>11.595000000000001</v>
      </c>
      <c r="N210">
        <v>5.7706999999999997E-6</v>
      </c>
      <c r="O210" t="s">
        <v>2833</v>
      </c>
      <c r="P210" t="s">
        <v>2833</v>
      </c>
      <c r="Q210" t="s">
        <v>2833</v>
      </c>
      <c r="R210">
        <f ca="1">RAND()*(Validation[[#This Row],[Range1_High]]-Validation[[#This Row],[Range1_Low]])+Validation[[#This Row],[Range1_Low]]</f>
        <v>207266178.29571319</v>
      </c>
      <c r="S210">
        <f>Validation[[#This Row],[Range2_High]]</f>
        <v>0</v>
      </c>
      <c r="T210" t="str" cm="1">
        <f t="array" aca="1" ref="T210" ca="1">RoundToTwoSigFigs(Validation[[#This Row],[Test Reading]]*Validation[[#This Row],[Mult]]+Validation[[#This Row],[Base]]) &amp;" "&amp;Validation[[#This Row],[Uncert_Units]]</f>
        <v>1200 kΩ</v>
      </c>
      <c r="U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V210" t="b">
        <f ca="1">Validation[[#This Row],[Desired Result]]=Validation[[#This Row],[Result]]</f>
        <v>1</v>
      </c>
      <c r="W210" t="b">
        <v>1</v>
      </c>
      <c r="X210" t="b">
        <f>Validation[[#This Row],[Range1_Low]]&gt;=Validation[[#This Row],[Range1_High]]</f>
        <v>0</v>
      </c>
      <c r="Y210" s="111" t="s">
        <v>2843</v>
      </c>
    </row>
    <row r="211" spans="1:25" ht="16.5" thickTop="1" thickBot="1" x14ac:dyDescent="0.3">
      <c r="A211" t="s">
        <v>54</v>
      </c>
      <c r="B211" t="s">
        <v>7</v>
      </c>
      <c r="C211" s="113">
        <v>33</v>
      </c>
      <c r="D211" s="113">
        <v>110.01</v>
      </c>
      <c r="E211">
        <v>0.01</v>
      </c>
      <c r="F211" t="s">
        <v>102</v>
      </c>
      <c r="G211" t="s">
        <v>48</v>
      </c>
      <c r="H211">
        <v>0</v>
      </c>
      <c r="I211">
        <v>0</v>
      </c>
      <c r="J211" t="s">
        <v>2833</v>
      </c>
      <c r="K211">
        <v>18.224</v>
      </c>
      <c r="L211">
        <v>0.10151</v>
      </c>
      <c r="M211">
        <v>18.221</v>
      </c>
      <c r="N211">
        <v>0.10128</v>
      </c>
      <c r="O211" t="s">
        <v>2833</v>
      </c>
      <c r="P211" t="s">
        <v>2833</v>
      </c>
      <c r="Q211" t="s">
        <v>2833</v>
      </c>
      <c r="R211">
        <f ca="1">RAND()*(Validation[[#This Row],[Range1_High]]-Validation[[#This Row],[Range1_Low]])+Validation[[#This Row],[Range1_Low]]</f>
        <v>81.99249244000481</v>
      </c>
      <c r="S211">
        <f>Validation[[#This Row],[Range2_High]]</f>
        <v>0</v>
      </c>
      <c r="T211" t="str" cm="1">
        <f t="array" aca="1" ref="T211" ca="1">RoundToTwoSigFigs(Validation[[#This Row],[Test Reading]]*Validation[[#This Row],[Mult]]+Validation[[#This Row],[Base]]) &amp;" "&amp;Validation[[#This Row],[Uncert_Units]]</f>
        <v>27 mΩ</v>
      </c>
      <c r="U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mΩ</v>
      </c>
      <c r="V211" t="b">
        <f ca="1">Validation[[#This Row],[Desired Result]]=Validation[[#This Row],[Result]]</f>
        <v>1</v>
      </c>
      <c r="W211" t="b">
        <v>1</v>
      </c>
      <c r="X211" t="b">
        <f>Validation[[#This Row],[Range1_Low]]&gt;=Validation[[#This Row],[Range1_High]]</f>
        <v>0</v>
      </c>
      <c r="Y211" s="111" t="s">
        <v>2843</v>
      </c>
    </row>
    <row r="212" spans="1:25" ht="16.5" thickTop="1" thickBot="1" x14ac:dyDescent="0.3">
      <c r="A212" t="s">
        <v>54</v>
      </c>
      <c r="B212" t="s">
        <v>7</v>
      </c>
      <c r="C212" s="113">
        <v>3300000</v>
      </c>
      <c r="D212" s="113">
        <v>11001000</v>
      </c>
      <c r="E212">
        <v>100</v>
      </c>
      <c r="F212" t="s">
        <v>102</v>
      </c>
      <c r="G212" t="s">
        <v>50</v>
      </c>
      <c r="H212">
        <v>0</v>
      </c>
      <c r="I212">
        <v>0</v>
      </c>
      <c r="J212" t="s">
        <v>2833</v>
      </c>
      <c r="K212">
        <v>0.33</v>
      </c>
      <c r="L212">
        <v>6.8999999999999996E-7</v>
      </c>
      <c r="M212">
        <v>0.29032999999999998</v>
      </c>
      <c r="N212">
        <v>6.9271999999999997E-7</v>
      </c>
      <c r="O212" t="s">
        <v>2833</v>
      </c>
      <c r="P212" t="s">
        <v>2833</v>
      </c>
      <c r="Q212" t="s">
        <v>2833</v>
      </c>
      <c r="R212">
        <f ca="1">RAND()*(Validation[[#This Row],[Range1_High]]-Validation[[#This Row],[Range1_Low]])+Validation[[#This Row],[Range1_Low]]</f>
        <v>8329408.2258931473</v>
      </c>
      <c r="S212">
        <f>Validation[[#This Row],[Range2_High]]</f>
        <v>0</v>
      </c>
      <c r="T212" t="str" cm="1">
        <f t="array" aca="1" ref="T212" ca="1">RoundToTwoSigFigs(Validation[[#This Row],[Test Reading]]*Validation[[#This Row],[Mult]]+Validation[[#This Row],[Base]]) &amp;" "&amp;Validation[[#This Row],[Uncert_Units]]</f>
        <v>6.1 kΩ</v>
      </c>
      <c r="U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kΩ</v>
      </c>
      <c r="V212" t="b">
        <f ca="1">Validation[[#This Row],[Desired Result]]=Validation[[#This Row],[Result]]</f>
        <v>1</v>
      </c>
      <c r="W212" t="b">
        <v>1</v>
      </c>
      <c r="X212" t="b">
        <f>Validation[[#This Row],[Range1_Low]]&gt;=Validation[[#This Row],[Range1_High]]</f>
        <v>0</v>
      </c>
      <c r="Y212" s="111" t="s">
        <v>2843</v>
      </c>
    </row>
    <row r="213" spans="1:25" ht="15.75" thickTop="1" x14ac:dyDescent="0.25">
      <c r="A213" t="s">
        <v>54</v>
      </c>
      <c r="B213" t="s">
        <v>7</v>
      </c>
      <c r="C213">
        <v>0</v>
      </c>
      <c r="D213">
        <v>11.000999999999999</v>
      </c>
      <c r="E213">
        <v>0.1</v>
      </c>
      <c r="F213" t="s">
        <v>102</v>
      </c>
      <c r="G213" t="s">
        <v>48</v>
      </c>
      <c r="H213">
        <v>0</v>
      </c>
      <c r="I213">
        <v>0</v>
      </c>
      <c r="J213" t="s">
        <v>2833</v>
      </c>
      <c r="K213">
        <v>59.143999999999998</v>
      </c>
      <c r="L213">
        <v>2.9356E-2</v>
      </c>
      <c r="M213">
        <v>59.140999999999998</v>
      </c>
      <c r="N213">
        <v>2.8788000000000001E-2</v>
      </c>
      <c r="O213" t="s">
        <v>2833</v>
      </c>
      <c r="P213" t="s">
        <v>2833</v>
      </c>
      <c r="Q213" t="s">
        <v>2833</v>
      </c>
      <c r="R213">
        <f ca="1">RAND()*(Validation[[#This Row],[Range1_High]]-Validation[[#This Row],[Range1_Low]])+Validation[[#This Row],[Range1_Low]]</f>
        <v>8.558523735010704</v>
      </c>
      <c r="S213">
        <f>Validation[[#This Row],[Range2_High]]</f>
        <v>0</v>
      </c>
      <c r="T213" t="str" cm="1">
        <f t="array" aca="1" ref="T213" ca="1">RoundToTwoSigFigs(Validation[[#This Row],[Test Reading]]*Validation[[#This Row],[Mult]]+Validation[[#This Row],[Base]]) &amp;" "&amp;Validation[[#This Row],[Uncert_Units]]</f>
        <v>59 mΩ</v>
      </c>
      <c r="U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V213" t="b">
        <f ca="1">Validation[[#This Row],[Desired Result]]=Validation[[#This Row],[Result]]</f>
        <v>1</v>
      </c>
      <c r="W213" t="b">
        <v>0</v>
      </c>
      <c r="X213" t="b">
        <f>Validation[[#This Row],[Range1_Low]]&gt;=Validation[[#This Row],[Range1_High]]</f>
        <v>0</v>
      </c>
      <c r="Y213" s="111" t="s">
        <v>2845</v>
      </c>
    </row>
    <row r="214" spans="1:25" ht="15.75" thickBot="1" x14ac:dyDescent="0.3">
      <c r="A214" t="s">
        <v>54</v>
      </c>
      <c r="B214" t="s">
        <v>7</v>
      </c>
      <c r="C214">
        <v>330000</v>
      </c>
      <c r="D214">
        <v>1100010</v>
      </c>
      <c r="E214">
        <v>10000</v>
      </c>
      <c r="F214" t="s">
        <v>102</v>
      </c>
      <c r="G214" t="s">
        <v>49</v>
      </c>
      <c r="H214">
        <v>0</v>
      </c>
      <c r="I214">
        <v>0</v>
      </c>
      <c r="J214" t="s">
        <v>2833</v>
      </c>
      <c r="K214">
        <v>5799.1</v>
      </c>
      <c r="L214">
        <v>4.0775999999999997E-6</v>
      </c>
      <c r="M214">
        <v>5799.1</v>
      </c>
      <c r="N214">
        <v>4.0446000000000002E-6</v>
      </c>
      <c r="O214" t="s">
        <v>2833</v>
      </c>
      <c r="P214" t="s">
        <v>2833</v>
      </c>
      <c r="Q214" t="s">
        <v>2833</v>
      </c>
      <c r="R214">
        <f ca="1">RAND()*(Validation[[#This Row],[Range1_High]]-Validation[[#This Row],[Range1_Low]])+Validation[[#This Row],[Range1_Low]]</f>
        <v>790204.95471765799</v>
      </c>
      <c r="S214">
        <f>Validation[[#This Row],[Range2_High]]</f>
        <v>0</v>
      </c>
      <c r="T214" t="str" cm="1">
        <f t="array" aca="1" ref="T214" ca="1">RoundToTwoSigFigs(Validation[[#This Row],[Test Reading]]*Validation[[#This Row],[Mult]]+Validation[[#This Row],[Base]]) &amp;" "&amp;Validation[[#This Row],[Uncert_Units]]</f>
        <v>5800 Ω</v>
      </c>
      <c r="U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V214" t="b">
        <f ca="1">Validation[[#This Row],[Desired Result]]=Validation[[#This Row],[Result]]</f>
        <v>1</v>
      </c>
      <c r="W214" t="b">
        <v>0</v>
      </c>
      <c r="X214" t="b">
        <f>Validation[[#This Row],[Range1_Low]]&gt;=Validation[[#This Row],[Range1_High]]</f>
        <v>0</v>
      </c>
      <c r="Y214" s="111" t="s">
        <v>2845</v>
      </c>
    </row>
    <row r="215" spans="1:25" ht="16.5" thickTop="1" thickBot="1" x14ac:dyDescent="0.3">
      <c r="A215" t="s">
        <v>54</v>
      </c>
      <c r="B215" t="s">
        <v>7</v>
      </c>
      <c r="C215" s="113">
        <v>330000000</v>
      </c>
      <c r="D215" s="113">
        <v>1100010000</v>
      </c>
      <c r="E215">
        <v>1000000</v>
      </c>
      <c r="F215" t="s">
        <v>102</v>
      </c>
      <c r="G215" t="s">
        <v>50</v>
      </c>
      <c r="H215">
        <v>0</v>
      </c>
      <c r="I215">
        <v>0</v>
      </c>
      <c r="J215" t="s">
        <v>2833</v>
      </c>
      <c r="K215">
        <v>930</v>
      </c>
      <c r="L215">
        <v>1.7297000000000001E-5</v>
      </c>
      <c r="M215">
        <v>611.79</v>
      </c>
      <c r="N215">
        <v>1.7297000000000001E-5</v>
      </c>
      <c r="O215" t="s">
        <v>2833</v>
      </c>
      <c r="P215" t="s">
        <v>2833</v>
      </c>
      <c r="Q215" t="s">
        <v>2833</v>
      </c>
      <c r="R215">
        <f ca="1">RAND()*(Validation[[#This Row],[Range1_High]]-Validation[[#This Row],[Range1_Low]])+Validation[[#This Row],[Range1_Low]]</f>
        <v>943364843.45225108</v>
      </c>
      <c r="S215">
        <f>Validation[[#This Row],[Range2_High]]</f>
        <v>0</v>
      </c>
      <c r="T215" t="str" cm="1">
        <f t="array" aca="1" ref="T215" ca="1">RoundToTwoSigFigs(Validation[[#This Row],[Test Reading]]*Validation[[#This Row],[Mult]]+Validation[[#This Row],[Base]]) &amp;" "&amp;Validation[[#This Row],[Uncert_Units]]</f>
        <v>17000 kΩ</v>
      </c>
      <c r="U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kΩ</v>
      </c>
      <c r="V215" t="b">
        <f ca="1">Validation[[#This Row],[Desired Result]]=Validation[[#This Row],[Result]]</f>
        <v>1</v>
      </c>
      <c r="W215" t="b">
        <v>1</v>
      </c>
      <c r="X215" t="b">
        <f>Validation[[#This Row],[Range1_Low]]&gt;=Validation[[#This Row],[Range1_High]]</f>
        <v>0</v>
      </c>
      <c r="Y215" s="111" t="s">
        <v>2843</v>
      </c>
    </row>
    <row r="216" spans="1:25" ht="16.5" thickTop="1" thickBot="1" x14ac:dyDescent="0.3">
      <c r="A216" t="s">
        <v>54</v>
      </c>
      <c r="B216" t="s">
        <v>7</v>
      </c>
      <c r="C216" s="113">
        <v>330000</v>
      </c>
      <c r="D216" s="113">
        <v>1100010</v>
      </c>
      <c r="E216">
        <v>100</v>
      </c>
      <c r="F216" t="s">
        <v>102</v>
      </c>
      <c r="G216" t="s">
        <v>49</v>
      </c>
      <c r="H216">
        <v>0</v>
      </c>
      <c r="I216">
        <v>0</v>
      </c>
      <c r="J216" t="s">
        <v>2833</v>
      </c>
      <c r="K216">
        <v>38.744</v>
      </c>
      <c r="L216">
        <v>1.5613000000000001E-4</v>
      </c>
      <c r="M216">
        <v>38.701999999999998</v>
      </c>
      <c r="N216">
        <v>1.5610999999999999E-4</v>
      </c>
      <c r="O216" t="s">
        <v>2833</v>
      </c>
      <c r="P216" t="s">
        <v>2833</v>
      </c>
      <c r="Q216" t="s">
        <v>2833</v>
      </c>
      <c r="R216">
        <f ca="1">RAND()*(Validation[[#This Row],[Range1_High]]-Validation[[#This Row],[Range1_Low]])+Validation[[#This Row],[Range1_Low]]</f>
        <v>687866.66209614847</v>
      </c>
      <c r="S216">
        <f>Validation[[#This Row],[Range2_High]]</f>
        <v>0</v>
      </c>
      <c r="T216" t="str" cm="1">
        <f t="array" aca="1" ref="T216" ca="1">RoundToTwoSigFigs(Validation[[#This Row],[Test Reading]]*Validation[[#This Row],[Mult]]+Validation[[#This Row],[Base]]) &amp;" "&amp;Validation[[#This Row],[Uncert_Units]]</f>
        <v>150 Ω</v>
      </c>
      <c r="U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Ω</v>
      </c>
      <c r="V216" t="b">
        <f ca="1">Validation[[#This Row],[Desired Result]]=Validation[[#This Row],[Result]]</f>
        <v>1</v>
      </c>
      <c r="W216" t="b">
        <v>1</v>
      </c>
      <c r="X216" t="b">
        <f>Validation[[#This Row],[Range1_Low]]&gt;=Validation[[#This Row],[Range1_High]]</f>
        <v>0</v>
      </c>
      <c r="Y216" s="111" t="s">
        <v>2843</v>
      </c>
    </row>
    <row r="217" spans="1:25" ht="16.5" thickTop="1" thickBot="1" x14ac:dyDescent="0.3">
      <c r="A217" t="s">
        <v>54</v>
      </c>
      <c r="B217" t="s">
        <v>8</v>
      </c>
      <c r="C217" s="113">
        <v>0.33</v>
      </c>
      <c r="D217" s="113">
        <v>3.3001</v>
      </c>
      <c r="E217">
        <v>1.0000000000000001E-5</v>
      </c>
      <c r="F217" t="s">
        <v>6</v>
      </c>
      <c r="G217" t="s">
        <v>4</v>
      </c>
      <c r="H217">
        <v>10</v>
      </c>
      <c r="I217">
        <v>20.010000000000002</v>
      </c>
      <c r="J217" t="s">
        <v>10</v>
      </c>
      <c r="K217">
        <v>7.0000000000000007E-2</v>
      </c>
      <c r="L217">
        <v>0.81</v>
      </c>
      <c r="M217">
        <v>6.9434999999999997E-2</v>
      </c>
      <c r="N217">
        <v>0.80878000000000005</v>
      </c>
      <c r="O217" t="s">
        <v>2833</v>
      </c>
      <c r="P217" t="s">
        <v>2833</v>
      </c>
      <c r="Q217" t="s">
        <v>2833</v>
      </c>
      <c r="R217">
        <f ca="1">RAND()*(Validation[[#This Row],[Range1_High]]-Validation[[#This Row],[Range1_Low]])+Validation[[#This Row],[Range1_Low]]</f>
        <v>3.2136723705995927</v>
      </c>
      <c r="S217">
        <f>Validation[[#This Row],[Range2_High]]</f>
        <v>20.010000000000002</v>
      </c>
      <c r="T217" t="str" cm="1">
        <f t="array" aca="1" ref="T217" ca="1">RoundToTwoSigFigs(Validation[[#This Row],[Test Reading]]*Validation[[#This Row],[Mult]]+Validation[[#This Row],[Base]]) &amp;" "&amp;Validation[[#This Row],[Uncert_Units]]</f>
        <v>2.7 mV</v>
      </c>
      <c r="U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V217" t="b">
        <f ca="1">Validation[[#This Row],[Desired Result]]=Validation[[#This Row],[Result]]</f>
        <v>1</v>
      </c>
      <c r="W217" t="b">
        <v>1</v>
      </c>
      <c r="X217" t="b">
        <f>Validation[[#This Row],[Range1_Low]]&gt;=Validation[[#This Row],[Range1_High]]</f>
        <v>0</v>
      </c>
      <c r="Y217" s="111" t="s">
        <v>2843</v>
      </c>
    </row>
    <row r="218" spans="1:25" ht="15.75" thickTop="1" x14ac:dyDescent="0.25">
      <c r="A218" t="s">
        <v>54</v>
      </c>
      <c r="B218" t="s">
        <v>8</v>
      </c>
      <c r="C218">
        <v>0</v>
      </c>
      <c r="D218">
        <v>3.3009999999999998E-2</v>
      </c>
      <c r="E218">
        <v>1E-3</v>
      </c>
      <c r="F218" t="s">
        <v>6</v>
      </c>
      <c r="G218" t="s">
        <v>5</v>
      </c>
      <c r="H218">
        <v>4.4999999999999998E-2</v>
      </c>
      <c r="I218">
        <v>10.00001</v>
      </c>
      <c r="J218" t="s">
        <v>10</v>
      </c>
      <c r="K218">
        <v>580.42999999999995</v>
      </c>
      <c r="L218">
        <v>86.247</v>
      </c>
      <c r="M218">
        <v>580.42999999999995</v>
      </c>
      <c r="N218">
        <v>85.036000000000001</v>
      </c>
      <c r="O218" t="s">
        <v>2833</v>
      </c>
      <c r="P218" t="s">
        <v>2833</v>
      </c>
      <c r="Q218" t="s">
        <v>2833</v>
      </c>
      <c r="R218">
        <f ca="1">RAND()*(Validation[[#This Row],[Range1_High]]-Validation[[#This Row],[Range1_Low]])+Validation[[#This Row],[Range1_Low]]</f>
        <v>1.9090160382489911E-3</v>
      </c>
      <c r="S218">
        <f>Validation[[#This Row],[Range2_High]]</f>
        <v>10.00001</v>
      </c>
      <c r="T218" t="str" cm="1">
        <f t="array" aca="1" ref="T218" ca="1">RoundToTwoSigFigs(Validation[[#This Row],[Test Reading]]*Validation[[#This Row],[Mult]]+Validation[[#This Row],[Base]]) &amp;" "&amp;Validation[[#This Row],[Uncert_Units]]</f>
        <v>580 µV</v>
      </c>
      <c r="U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18" t="b">
        <f ca="1">Validation[[#This Row],[Desired Result]]=Validation[[#This Row],[Result]]</f>
        <v>1</v>
      </c>
      <c r="W218" t="b">
        <v>0</v>
      </c>
      <c r="X218" t="b">
        <f>Validation[[#This Row],[Range1_Low]]&gt;=Validation[[#This Row],[Range1_High]]</f>
        <v>0</v>
      </c>
      <c r="Y218" s="111" t="s">
        <v>2845</v>
      </c>
    </row>
    <row r="219" spans="1:25" ht="15.75" thickBot="1" x14ac:dyDescent="0.3">
      <c r="A219" t="s">
        <v>54</v>
      </c>
      <c r="B219" t="s">
        <v>8</v>
      </c>
      <c r="C219">
        <v>3.3000000000000002E-2</v>
      </c>
      <c r="D219">
        <v>0.33001000000000003</v>
      </c>
      <c r="E219">
        <v>0.01</v>
      </c>
      <c r="F219" t="s">
        <v>6</v>
      </c>
      <c r="G219" t="s">
        <v>5</v>
      </c>
      <c r="H219">
        <v>50</v>
      </c>
      <c r="I219">
        <v>100.01</v>
      </c>
      <c r="J219" t="s">
        <v>10</v>
      </c>
      <c r="K219">
        <v>5796.8</v>
      </c>
      <c r="L219">
        <v>308.19</v>
      </c>
      <c r="M219">
        <v>5796.8</v>
      </c>
      <c r="N219">
        <v>308.02</v>
      </c>
      <c r="O219" t="s">
        <v>2833</v>
      </c>
      <c r="P219" t="s">
        <v>2833</v>
      </c>
      <c r="Q219" t="s">
        <v>2833</v>
      </c>
      <c r="R219">
        <f ca="1">RAND()*(Validation[[#This Row],[Range1_High]]-Validation[[#This Row],[Range1_Low]])+Validation[[#This Row],[Range1_Low]]</f>
        <v>0.16572043193479133</v>
      </c>
      <c r="S219">
        <f>Validation[[#This Row],[Range2_High]]</f>
        <v>100.01</v>
      </c>
      <c r="T219" t="str" cm="1">
        <f t="array" aca="1" ref="T219" ca="1">RoundToTwoSigFigs(Validation[[#This Row],[Test Reading]]*Validation[[#This Row],[Mult]]+Validation[[#This Row],[Base]]) &amp;" "&amp;Validation[[#This Row],[Uncert_Units]]</f>
        <v>5800 µV</v>
      </c>
      <c r="U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19" t="b">
        <f ca="1">Validation[[#This Row],[Desired Result]]=Validation[[#This Row],[Result]]</f>
        <v>1</v>
      </c>
      <c r="W219" t="b">
        <v>0</v>
      </c>
      <c r="X219" t="b">
        <f>Validation[[#This Row],[Range1_Low]]&gt;=Validation[[#This Row],[Range1_High]]</f>
        <v>0</v>
      </c>
      <c r="Y219" s="111" t="s">
        <v>2845</v>
      </c>
    </row>
    <row r="220" spans="1:25" ht="16.5" thickTop="1" thickBot="1" x14ac:dyDescent="0.3">
      <c r="A220" t="s">
        <v>55</v>
      </c>
      <c r="B220" t="s">
        <v>8</v>
      </c>
      <c r="C220" s="113">
        <v>100</v>
      </c>
      <c r="D220" s="113">
        <v>1000</v>
      </c>
      <c r="E220">
        <v>0.1</v>
      </c>
      <c r="F220" t="s">
        <v>6</v>
      </c>
      <c r="G220" t="s">
        <v>4</v>
      </c>
      <c r="H220">
        <v>1</v>
      </c>
      <c r="I220">
        <v>20</v>
      </c>
      <c r="J220" t="s">
        <v>10</v>
      </c>
      <c r="K220">
        <v>40.883000000000003</v>
      </c>
      <c r="L220">
        <v>0.68211999999999995</v>
      </c>
      <c r="M220">
        <v>41.185000000000002</v>
      </c>
      <c r="N220">
        <v>0.67806</v>
      </c>
      <c r="O220" t="s">
        <v>2833</v>
      </c>
      <c r="P220" t="s">
        <v>2833</v>
      </c>
      <c r="Q220" t="s">
        <v>2833</v>
      </c>
      <c r="R220">
        <f ca="1">RAND()*(Validation[[#This Row],[Range1_High]]-Validation[[#This Row],[Range1_Low]])+Validation[[#This Row],[Range1_Low]]</f>
        <v>483.11108788305279</v>
      </c>
      <c r="S220">
        <f>Validation[[#This Row],[Range2_High]]</f>
        <v>20</v>
      </c>
      <c r="T220" t="str" cm="1">
        <f t="array" aca="1" ref="T220" ca="1">RoundToTwoSigFigs(Validation[[#This Row],[Test Reading]]*Validation[[#This Row],[Mult]]+Validation[[#This Row],[Base]]) &amp;" "&amp;Validation[[#This Row],[Uncert_Units]]</f>
        <v>370 mV</v>
      </c>
      <c r="U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V220" t="b">
        <f ca="1">Validation[[#This Row],[Desired Result]]=Validation[[#This Row],[Result]]</f>
        <v>0</v>
      </c>
      <c r="W220" t="b">
        <v>1</v>
      </c>
      <c r="X220" t="b">
        <f>Validation[[#This Row],[Range1_Low]]&gt;=Validation[[#This Row],[Range1_High]]</f>
        <v>0</v>
      </c>
      <c r="Y220" s="111" t="s">
        <v>2843</v>
      </c>
    </row>
    <row r="221" spans="1:25" ht="15.75" thickTop="1" x14ac:dyDescent="0.25">
      <c r="A221" t="s">
        <v>54</v>
      </c>
      <c r="B221" t="s">
        <v>8</v>
      </c>
      <c r="C221">
        <v>33</v>
      </c>
      <c r="D221">
        <v>330.01</v>
      </c>
      <c r="E221">
        <v>1</v>
      </c>
      <c r="F221" t="s">
        <v>6</v>
      </c>
      <c r="G221" t="s">
        <v>4</v>
      </c>
      <c r="H221">
        <v>10</v>
      </c>
      <c r="I221">
        <v>20.010000000000002</v>
      </c>
      <c r="J221" t="s">
        <v>10</v>
      </c>
      <c r="K221">
        <v>570.91999999999996</v>
      </c>
      <c r="L221">
        <v>0.32863999999999999</v>
      </c>
      <c r="M221">
        <v>570.88</v>
      </c>
      <c r="N221">
        <v>0.32847999999999999</v>
      </c>
      <c r="O221" t="s">
        <v>2833</v>
      </c>
      <c r="P221" t="s">
        <v>2833</v>
      </c>
      <c r="Q221" t="s">
        <v>2833</v>
      </c>
      <c r="R221">
        <f ca="1">RAND()*(Validation[[#This Row],[Range1_High]]-Validation[[#This Row],[Range1_Low]])+Validation[[#This Row],[Range1_Low]]</f>
        <v>184.73628785209101</v>
      </c>
      <c r="S221">
        <f>Validation[[#This Row],[Range2_High]]</f>
        <v>20.010000000000002</v>
      </c>
      <c r="T221" t="str" cm="1">
        <f t="array" aca="1" ref="T221" ca="1">RoundToTwoSigFigs(Validation[[#This Row],[Test Reading]]*Validation[[#This Row],[Mult]]+Validation[[#This Row],[Base]]) &amp;" "&amp;Validation[[#This Row],[Uncert_Units]]</f>
        <v>630 mV</v>
      </c>
      <c r="U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V221" t="b">
        <f ca="1">Validation[[#This Row],[Desired Result]]=Validation[[#This Row],[Result]]</f>
        <v>1</v>
      </c>
      <c r="W221" t="b">
        <v>0</v>
      </c>
      <c r="X221" t="b">
        <f>Validation[[#This Row],[Range1_Low]]&gt;=Validation[[#This Row],[Range1_High]]</f>
        <v>0</v>
      </c>
      <c r="Y221" s="111" t="s">
        <v>2845</v>
      </c>
    </row>
    <row r="222" spans="1:25" ht="15.75" thickBot="1" x14ac:dyDescent="0.3">
      <c r="A222" t="s">
        <v>54</v>
      </c>
      <c r="B222" t="s">
        <v>8</v>
      </c>
      <c r="C222">
        <v>0</v>
      </c>
      <c r="D222">
        <v>3.3009999999999998E-2</v>
      </c>
      <c r="E222">
        <v>10</v>
      </c>
      <c r="F222" t="s">
        <v>6</v>
      </c>
      <c r="G222" t="s">
        <v>5</v>
      </c>
      <c r="H222">
        <v>4.4999999999999998E-2</v>
      </c>
      <c r="I222">
        <v>10.00001</v>
      </c>
      <c r="J222" t="s">
        <v>10</v>
      </c>
      <c r="K222">
        <v>5800000</v>
      </c>
      <c r="L222">
        <v>3.9727999999999999E-2</v>
      </c>
      <c r="M222">
        <v>5800000</v>
      </c>
      <c r="N222">
        <v>8.5310000000000004E-3</v>
      </c>
      <c r="O222" t="s">
        <v>2833</v>
      </c>
      <c r="P222" t="s">
        <v>2833</v>
      </c>
      <c r="Q222" t="s">
        <v>2833</v>
      </c>
      <c r="R222">
        <f ca="1">RAND()*(Validation[[#This Row],[Range1_High]]-Validation[[#This Row],[Range1_Low]])+Validation[[#This Row],[Range1_Low]]</f>
        <v>1.5579732125046174E-2</v>
      </c>
      <c r="S222">
        <f>Validation[[#This Row],[Range2_High]]</f>
        <v>10.00001</v>
      </c>
      <c r="T222" t="str" cm="1">
        <f t="array" aca="1" ref="T222" ca="1">RoundToTwoSigFigs(Validation[[#This Row],[Test Reading]]*Validation[[#This Row],[Mult]]+Validation[[#This Row],[Base]]) &amp;" "&amp;Validation[[#This Row],[Uncert_Units]]</f>
        <v>5800000 µV</v>
      </c>
      <c r="U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V222" t="b">
        <f ca="1">Validation[[#This Row],[Desired Result]]=Validation[[#This Row],[Result]]</f>
        <v>1</v>
      </c>
      <c r="W222" t="b">
        <v>0</v>
      </c>
      <c r="X222" t="b">
        <f>Validation[[#This Row],[Range1_Low]]&gt;=Validation[[#This Row],[Range1_High]]</f>
        <v>0</v>
      </c>
      <c r="Y222" s="111" t="s">
        <v>2845</v>
      </c>
    </row>
    <row r="223" spans="1:25" ht="16.5" thickTop="1" thickBot="1" x14ac:dyDescent="0.3">
      <c r="A223" t="s">
        <v>55</v>
      </c>
      <c r="B223" t="s">
        <v>8</v>
      </c>
      <c r="C223" s="113">
        <v>1</v>
      </c>
      <c r="D223" s="113">
        <v>10</v>
      </c>
      <c r="E223">
        <v>1E-4</v>
      </c>
      <c r="F223" t="s">
        <v>6</v>
      </c>
      <c r="G223" t="s">
        <v>4</v>
      </c>
      <c r="H223">
        <v>2000</v>
      </c>
      <c r="I223">
        <v>4000</v>
      </c>
      <c r="J223" t="s">
        <v>10</v>
      </c>
      <c r="K223">
        <v>12</v>
      </c>
      <c r="L223">
        <v>46.037999999999997</v>
      </c>
      <c r="M223">
        <v>8.06</v>
      </c>
      <c r="N223">
        <v>46.328000000000003</v>
      </c>
      <c r="O223" t="s">
        <v>2833</v>
      </c>
      <c r="P223" t="s">
        <v>2833</v>
      </c>
      <c r="Q223" t="s">
        <v>2833</v>
      </c>
      <c r="R223">
        <f ca="1">RAND()*(Validation[[#This Row],[Range1_High]]-Validation[[#This Row],[Range1_Low]])+Validation[[#This Row],[Range1_Low]]</f>
        <v>2.1161486539001593</v>
      </c>
      <c r="S223">
        <f>Validation[[#This Row],[Range2_High]]</f>
        <v>4000</v>
      </c>
      <c r="T223" t="str" cm="1">
        <f t="array" aca="1" ref="T223" ca="1">RoundToTwoSigFigs(Validation[[#This Row],[Test Reading]]*Validation[[#This Row],[Mult]]+Validation[[#This Row],[Base]]) &amp;" "&amp;Validation[[#This Row],[Uncert_Units]]</f>
        <v>110 mV</v>
      </c>
      <c r="U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V223" t="b">
        <f ca="1">Validation[[#This Row],[Desired Result]]=Validation[[#This Row],[Result]]</f>
        <v>1</v>
      </c>
      <c r="W223" t="b">
        <v>1</v>
      </c>
      <c r="X223" t="b">
        <f>Validation[[#This Row],[Range1_Low]]&gt;=Validation[[#This Row],[Range1_High]]</f>
        <v>0</v>
      </c>
      <c r="Y223" s="111" t="s">
        <v>2843</v>
      </c>
    </row>
    <row r="224" spans="1:25" ht="16.5" thickTop="1" thickBot="1" x14ac:dyDescent="0.3">
      <c r="A224" t="s">
        <v>54</v>
      </c>
      <c r="B224" t="s">
        <v>8</v>
      </c>
      <c r="C224">
        <v>0</v>
      </c>
      <c r="D224">
        <v>3.3009999999999998E-2</v>
      </c>
      <c r="E224">
        <v>1</v>
      </c>
      <c r="F224" t="s">
        <v>6</v>
      </c>
      <c r="G224" t="s">
        <v>5</v>
      </c>
      <c r="H224">
        <v>10</v>
      </c>
      <c r="I224">
        <v>20.010000000000002</v>
      </c>
      <c r="J224" t="s">
        <v>10</v>
      </c>
      <c r="K224">
        <v>580000</v>
      </c>
      <c r="L224">
        <v>0.23513999999999999</v>
      </c>
      <c r="M224">
        <v>580000</v>
      </c>
      <c r="N224">
        <v>0.15715000000000001</v>
      </c>
      <c r="O224" t="s">
        <v>2833</v>
      </c>
      <c r="P224" t="s">
        <v>2833</v>
      </c>
      <c r="Q224" t="s">
        <v>2833</v>
      </c>
      <c r="R224">
        <f ca="1">RAND()*(Validation[[#This Row],[Range1_High]]-Validation[[#This Row],[Range1_Low]])+Validation[[#This Row],[Range1_Low]]</f>
        <v>2.4998301001066071E-2</v>
      </c>
      <c r="S224">
        <f>Validation[[#This Row],[Range2_High]]</f>
        <v>20.010000000000002</v>
      </c>
      <c r="T224" t="str" cm="1">
        <f t="array" aca="1" ref="T224" ca="1">RoundToTwoSigFigs(Validation[[#This Row],[Test Reading]]*Validation[[#This Row],[Mult]]+Validation[[#This Row],[Base]]) &amp;" "&amp;Validation[[#This Row],[Uncert_Units]]</f>
        <v>580000 µV</v>
      </c>
      <c r="U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224" t="b">
        <f ca="1">Validation[[#This Row],[Desired Result]]=Validation[[#This Row],[Result]]</f>
        <v>1</v>
      </c>
      <c r="W224" t="b">
        <v>0</v>
      </c>
      <c r="X224" t="b">
        <f>Validation[[#This Row],[Range1_Low]]&gt;=Validation[[#This Row],[Range1_High]]</f>
        <v>0</v>
      </c>
      <c r="Y224" s="111" t="s">
        <v>2845</v>
      </c>
    </row>
    <row r="225" spans="1:25" ht="16.5" thickTop="1" thickBot="1" x14ac:dyDescent="0.3">
      <c r="A225" t="s">
        <v>54</v>
      </c>
      <c r="B225" t="s">
        <v>8</v>
      </c>
      <c r="C225" s="113">
        <v>33</v>
      </c>
      <c r="D225" s="113">
        <v>330.01</v>
      </c>
      <c r="E225">
        <v>0.01</v>
      </c>
      <c r="F225" t="s">
        <v>6</v>
      </c>
      <c r="G225" t="s">
        <v>4</v>
      </c>
      <c r="H225">
        <v>0.01</v>
      </c>
      <c r="I225">
        <v>4.5010000000000001E-2</v>
      </c>
      <c r="J225" t="s">
        <v>10</v>
      </c>
      <c r="K225">
        <v>4.2872000000000003</v>
      </c>
      <c r="L225">
        <v>0.57647000000000004</v>
      </c>
      <c r="M225">
        <v>4.2606000000000002</v>
      </c>
      <c r="N225">
        <v>0.57652000000000003</v>
      </c>
      <c r="O225" t="s">
        <v>2833</v>
      </c>
      <c r="P225" t="s">
        <v>2833</v>
      </c>
      <c r="Q225" t="s">
        <v>2833</v>
      </c>
      <c r="R225">
        <f ca="1">RAND()*(Validation[[#This Row],[Range1_High]]-Validation[[#This Row],[Range1_Low]])+Validation[[#This Row],[Range1_Low]]</f>
        <v>251.91504652789644</v>
      </c>
      <c r="S225">
        <f>Validation[[#This Row],[Range2_High]]</f>
        <v>4.5010000000000001E-2</v>
      </c>
      <c r="T225" t="str" cm="1">
        <f t="array" aca="1" ref="T225" ca="1">RoundToTwoSigFigs(Validation[[#This Row],[Test Reading]]*Validation[[#This Row],[Mult]]+Validation[[#This Row],[Base]]) &amp;" "&amp;Validation[[#This Row],[Uncert_Units]]</f>
        <v>150 mV</v>
      </c>
      <c r="U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V225" t="b">
        <f ca="1">Validation[[#This Row],[Desired Result]]=Validation[[#This Row],[Result]]</f>
        <v>0</v>
      </c>
      <c r="W225" t="b">
        <v>1</v>
      </c>
      <c r="X225" t="b">
        <f>Validation[[#This Row],[Range1_Low]]&gt;=Validation[[#This Row],[Range1_High]]</f>
        <v>0</v>
      </c>
      <c r="Y225" s="111" t="s">
        <v>2843</v>
      </c>
    </row>
    <row r="226" spans="1:25" ht="16.5" thickTop="1" thickBot="1" x14ac:dyDescent="0.3">
      <c r="A226" t="s">
        <v>54</v>
      </c>
      <c r="B226" t="s">
        <v>8</v>
      </c>
      <c r="C226">
        <v>0</v>
      </c>
      <c r="D226">
        <v>3.3009999999999998E-2</v>
      </c>
      <c r="E226">
        <v>1.0000000000000001E-5</v>
      </c>
      <c r="F226" t="s">
        <v>6</v>
      </c>
      <c r="G226" t="s">
        <v>5</v>
      </c>
      <c r="H226">
        <v>100</v>
      </c>
      <c r="I226">
        <v>500</v>
      </c>
      <c r="J226" t="s">
        <v>10</v>
      </c>
      <c r="K226">
        <v>89</v>
      </c>
      <c r="L226">
        <v>11468</v>
      </c>
      <c r="M226">
        <v>73.063000000000002</v>
      </c>
      <c r="N226">
        <v>11468</v>
      </c>
      <c r="O226" t="s">
        <v>2833</v>
      </c>
      <c r="P226" t="s">
        <v>2833</v>
      </c>
      <c r="Q226" t="s">
        <v>2833</v>
      </c>
      <c r="R226">
        <f ca="1">RAND()*(Validation[[#This Row],[Range1_High]]-Validation[[#This Row],[Range1_Low]])+Validation[[#This Row],[Range1_Low]]</f>
        <v>2.2511693357190048E-2</v>
      </c>
      <c r="S226">
        <f>Validation[[#This Row],[Range2_High]]</f>
        <v>500</v>
      </c>
      <c r="T226" t="str" cm="1">
        <f t="array" aca="1" ref="T226" ca="1">RoundToTwoSigFigs(Validation[[#This Row],[Test Reading]]*Validation[[#This Row],[Mult]]+Validation[[#This Row],[Base]]) &amp;" "&amp;Validation[[#This Row],[Uncert_Units]]</f>
        <v>350 µV</v>
      </c>
      <c r="U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V226" t="b">
        <f ca="1">Validation[[#This Row],[Desired Result]]=Validation[[#This Row],[Result]]</f>
        <v>1</v>
      </c>
      <c r="W226" t="b">
        <v>1</v>
      </c>
      <c r="X226" t="b">
        <f>Validation[[#This Row],[Range1_Low]]&gt;=Validation[[#This Row],[Range1_High]]</f>
        <v>0</v>
      </c>
      <c r="Y226" s="111" t="s">
        <v>2845</v>
      </c>
    </row>
    <row r="227" spans="1:25" ht="16.5" thickTop="1" thickBot="1" x14ac:dyDescent="0.3">
      <c r="A227" t="s">
        <v>54</v>
      </c>
      <c r="B227" t="s">
        <v>8</v>
      </c>
      <c r="C227" s="113">
        <v>3.3</v>
      </c>
      <c r="D227" s="113">
        <v>33.000999999999998</v>
      </c>
      <c r="E227">
        <v>0.01</v>
      </c>
      <c r="F227" t="s">
        <v>6</v>
      </c>
      <c r="G227" t="s">
        <v>4</v>
      </c>
      <c r="H227">
        <v>0.01</v>
      </c>
      <c r="I227">
        <v>4.5010000000000001E-2</v>
      </c>
      <c r="J227" t="s">
        <v>10</v>
      </c>
      <c r="K227">
        <v>4.8574000000000002</v>
      </c>
      <c r="L227">
        <v>0.48407</v>
      </c>
      <c r="M227">
        <v>4.8564999999999996</v>
      </c>
      <c r="N227">
        <v>0.48405999999999999</v>
      </c>
      <c r="O227" t="s">
        <v>2833</v>
      </c>
      <c r="P227" t="s">
        <v>2833</v>
      </c>
      <c r="Q227" t="s">
        <v>2833</v>
      </c>
      <c r="R227">
        <f ca="1">RAND()*(Validation[[#This Row],[Range1_High]]-Validation[[#This Row],[Range1_Low]])+Validation[[#This Row],[Range1_Low]]</f>
        <v>23.579658638305858</v>
      </c>
      <c r="S227">
        <f>Validation[[#This Row],[Range2_High]]</f>
        <v>4.5010000000000001E-2</v>
      </c>
      <c r="T227" t="str" cm="1">
        <f t="array" aca="1" ref="T227" ca="1">RoundToTwoSigFigs(Validation[[#This Row],[Test Reading]]*Validation[[#This Row],[Mult]]+Validation[[#This Row],[Base]]) &amp;" "&amp;Validation[[#This Row],[Uncert_Units]]</f>
        <v>16 mV</v>
      </c>
      <c r="U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V227" t="b">
        <f ca="1">Validation[[#This Row],[Desired Result]]=Validation[[#This Row],[Result]]</f>
        <v>0</v>
      </c>
      <c r="W227" t="b">
        <v>1</v>
      </c>
      <c r="X227" t="b">
        <f>Validation[[#This Row],[Range1_Low]]&gt;=Validation[[#This Row],[Range1_High]]</f>
        <v>0</v>
      </c>
      <c r="Y227" s="111" t="s">
        <v>2843</v>
      </c>
    </row>
    <row r="228" spans="1:25" ht="16.5" thickTop="1" thickBot="1" x14ac:dyDescent="0.3">
      <c r="A228" t="s">
        <v>55</v>
      </c>
      <c r="B228" t="s">
        <v>8</v>
      </c>
      <c r="C228" s="113">
        <v>10</v>
      </c>
      <c r="D228" s="113">
        <v>20</v>
      </c>
      <c r="E228">
        <v>1.0000000000000001E-5</v>
      </c>
      <c r="F228" t="s">
        <v>6</v>
      </c>
      <c r="G228" t="s">
        <v>4</v>
      </c>
      <c r="H228">
        <v>1</v>
      </c>
      <c r="I228">
        <v>20</v>
      </c>
      <c r="J228" t="s">
        <v>10</v>
      </c>
      <c r="K228">
        <v>2.4</v>
      </c>
      <c r="L228">
        <v>0.23</v>
      </c>
      <c r="M228">
        <v>2.298</v>
      </c>
      <c r="N228">
        <v>0.23305999999999999</v>
      </c>
      <c r="O228" t="s">
        <v>2833</v>
      </c>
      <c r="P228" t="s">
        <v>2833</v>
      </c>
      <c r="Q228" t="s">
        <v>2833</v>
      </c>
      <c r="R228">
        <f ca="1">RAND()*(Validation[[#This Row],[Range1_High]]-Validation[[#This Row],[Range1_Low]])+Validation[[#This Row],[Range1_Low]]</f>
        <v>19.39936437026282</v>
      </c>
      <c r="S228">
        <f>Validation[[#This Row],[Range2_High]]</f>
        <v>20</v>
      </c>
      <c r="T228" t="str" cm="1">
        <f t="array" aca="1" ref="T228" ca="1">RoundToTwoSigFigs(Validation[[#This Row],[Test Reading]]*Validation[[#This Row],[Mult]]+Validation[[#This Row],[Base]]) &amp;" "&amp;Validation[[#This Row],[Uncert_Units]]</f>
        <v>6.9 mV</v>
      </c>
      <c r="U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V228" t="b">
        <f ca="1">Validation[[#This Row],[Desired Result]]=Validation[[#This Row],[Result]]</f>
        <v>1</v>
      </c>
      <c r="W228" t="b">
        <v>1</v>
      </c>
      <c r="X228" t="b">
        <f>Validation[[#This Row],[Range1_Low]]&gt;=Validation[[#This Row],[Range1_High]]</f>
        <v>0</v>
      </c>
      <c r="Y228" s="111" t="s">
        <v>2843</v>
      </c>
    </row>
    <row r="229" spans="1:25" ht="15.75" thickTop="1" x14ac:dyDescent="0.25">
      <c r="A229" t="s">
        <v>55</v>
      </c>
      <c r="B229" t="s">
        <v>8</v>
      </c>
      <c r="C229">
        <v>0</v>
      </c>
      <c r="D229">
        <v>0.01</v>
      </c>
      <c r="E229">
        <v>1E-3</v>
      </c>
      <c r="F229" t="s">
        <v>6</v>
      </c>
      <c r="G229" t="s">
        <v>5</v>
      </c>
      <c r="H229">
        <v>1</v>
      </c>
      <c r="I229">
        <v>20</v>
      </c>
      <c r="J229" t="s">
        <v>10</v>
      </c>
      <c r="K229">
        <v>577.36</v>
      </c>
      <c r="L229">
        <v>2.1354000000000002</v>
      </c>
      <c r="M229">
        <v>577.36</v>
      </c>
      <c r="N229">
        <v>1.9097</v>
      </c>
      <c r="O229" t="s">
        <v>2833</v>
      </c>
      <c r="P229" t="s">
        <v>2833</v>
      </c>
      <c r="Q229" t="s">
        <v>2833</v>
      </c>
      <c r="R229">
        <f ca="1">RAND()*(Validation[[#This Row],[Range1_High]]-Validation[[#This Row],[Range1_Low]])+Validation[[#This Row],[Range1_Low]]</f>
        <v>2.9428752235151645E-3</v>
      </c>
      <c r="S229">
        <f>Validation[[#This Row],[Range2_High]]</f>
        <v>20</v>
      </c>
      <c r="T229" t="str" cm="1">
        <f t="array" aca="1" ref="T229" ca="1">RoundToTwoSigFigs(Validation[[#This Row],[Test Reading]]*Validation[[#This Row],[Mult]]+Validation[[#This Row],[Base]]) &amp;" "&amp;Validation[[#This Row],[Uncert_Units]]</f>
        <v>580 µV</v>
      </c>
      <c r="U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29" t="b">
        <f ca="1">Validation[[#This Row],[Desired Result]]=Validation[[#This Row],[Result]]</f>
        <v>1</v>
      </c>
      <c r="W229" t="b">
        <v>0</v>
      </c>
      <c r="X229" t="b">
        <f>Validation[[#This Row],[Range1_Low]]&gt;=Validation[[#This Row],[Range1_High]]</f>
        <v>0</v>
      </c>
      <c r="Y229" s="111" t="s">
        <v>2845</v>
      </c>
    </row>
    <row r="230" spans="1:25" x14ac:dyDescent="0.25">
      <c r="A230" t="s">
        <v>55</v>
      </c>
      <c r="B230" t="s">
        <v>8</v>
      </c>
      <c r="C230">
        <v>0</v>
      </c>
      <c r="D230">
        <v>0.01</v>
      </c>
      <c r="E230">
        <v>1E-8</v>
      </c>
      <c r="F230" t="s">
        <v>6</v>
      </c>
      <c r="G230" t="s">
        <v>5</v>
      </c>
      <c r="H230">
        <v>20</v>
      </c>
      <c r="I230">
        <v>50</v>
      </c>
      <c r="J230" t="s">
        <v>10</v>
      </c>
      <c r="K230">
        <v>5.6</v>
      </c>
      <c r="L230">
        <v>840</v>
      </c>
      <c r="M230">
        <v>5.5358000000000001</v>
      </c>
      <c r="N230">
        <v>839.05</v>
      </c>
      <c r="O230" t="s">
        <v>2833</v>
      </c>
      <c r="P230" t="s">
        <v>2833</v>
      </c>
      <c r="Q230" t="s">
        <v>2833</v>
      </c>
      <c r="R230">
        <f ca="1">RAND()*(Validation[[#This Row],[Range1_High]]-Validation[[#This Row],[Range1_Low]])+Validation[[#This Row],[Range1_Low]]</f>
        <v>7.0443233825650932E-3</v>
      </c>
      <c r="S230">
        <f>Validation[[#This Row],[Range2_High]]</f>
        <v>50</v>
      </c>
      <c r="T230" t="str" cm="1">
        <f t="array" aca="1" ref="T230" ca="1">RoundToTwoSigFigs(Validation[[#This Row],[Test Reading]]*Validation[[#This Row],[Mult]]+Validation[[#This Row],[Base]]) &amp;" "&amp;Validation[[#This Row],[Uncert_Units]]</f>
        <v>12 µV</v>
      </c>
      <c r="U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V230" t="b">
        <f ca="1">Validation[[#This Row],[Desired Result]]=Validation[[#This Row],[Result]]</f>
        <v>1</v>
      </c>
      <c r="W230" t="b">
        <v>1</v>
      </c>
      <c r="X230" t="b">
        <f>Validation[[#This Row],[Range1_Low]]&gt;=Validation[[#This Row],[Range1_High]]</f>
        <v>0</v>
      </c>
      <c r="Y230" s="111" t="s">
        <v>2845</v>
      </c>
    </row>
    <row r="231" spans="1:25" x14ac:dyDescent="0.25">
      <c r="A231" t="s">
        <v>55</v>
      </c>
      <c r="B231" t="s">
        <v>8</v>
      </c>
      <c r="C231">
        <v>0.01</v>
      </c>
      <c r="D231">
        <v>0.1</v>
      </c>
      <c r="E231">
        <v>9.9999999999999995E-8</v>
      </c>
      <c r="F231" t="s">
        <v>6</v>
      </c>
      <c r="G231" t="s">
        <v>5</v>
      </c>
      <c r="H231">
        <v>8000</v>
      </c>
      <c r="I231">
        <v>10000</v>
      </c>
      <c r="J231" t="s">
        <v>10</v>
      </c>
      <c r="K231">
        <v>450</v>
      </c>
      <c r="L231">
        <v>170030</v>
      </c>
      <c r="M231">
        <v>115.4</v>
      </c>
      <c r="N231">
        <v>173280</v>
      </c>
      <c r="O231" t="s">
        <v>2833</v>
      </c>
      <c r="P231" t="s">
        <v>2833</v>
      </c>
      <c r="Q231" t="s">
        <v>2833</v>
      </c>
      <c r="R231">
        <f ca="1">RAND()*(Validation[[#This Row],[Range1_High]]-Validation[[#This Row],[Range1_Low]])+Validation[[#This Row],[Range1_Low]]</f>
        <v>3.0260967202206425E-2</v>
      </c>
      <c r="S231">
        <f>Validation[[#This Row],[Range2_High]]</f>
        <v>10000</v>
      </c>
      <c r="T231" t="str" cm="1">
        <f t="array" aca="1" ref="T231" ca="1">RoundToTwoSigFigs(Validation[[#This Row],[Test Reading]]*Validation[[#This Row],[Mult]]+Validation[[#This Row],[Base]]) &amp;" "&amp;Validation[[#This Row],[Uncert_Units]]</f>
        <v>5600 µV</v>
      </c>
      <c r="U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5600 µV</v>
      </c>
      <c r="V231" t="b">
        <f ca="1">Validation[[#This Row],[Desired Result]]=Validation[[#This Row],[Result]]</f>
        <v>1</v>
      </c>
      <c r="W231" t="b">
        <v>1</v>
      </c>
      <c r="X231" t="b">
        <f>Validation[[#This Row],[Range1_Low]]&gt;=Validation[[#This Row],[Range1_High]]</f>
        <v>0</v>
      </c>
      <c r="Y231" s="111" t="s">
        <v>2845</v>
      </c>
    </row>
    <row r="232" spans="1:25" ht="15.75" thickBot="1" x14ac:dyDescent="0.3">
      <c r="A232" t="s">
        <v>55</v>
      </c>
      <c r="B232" t="s">
        <v>8</v>
      </c>
      <c r="C232">
        <v>0.1</v>
      </c>
      <c r="D232">
        <v>1</v>
      </c>
      <c r="E232">
        <v>0.01</v>
      </c>
      <c r="F232" t="s">
        <v>6</v>
      </c>
      <c r="G232" t="s">
        <v>5</v>
      </c>
      <c r="H232">
        <v>20</v>
      </c>
      <c r="I232">
        <v>50</v>
      </c>
      <c r="J232" t="s">
        <v>10</v>
      </c>
      <c r="K232">
        <v>5772.6</v>
      </c>
      <c r="L232">
        <v>12.94</v>
      </c>
      <c r="M232">
        <v>5762.2</v>
      </c>
      <c r="N232">
        <v>12.802</v>
      </c>
      <c r="O232" t="s">
        <v>2833</v>
      </c>
      <c r="P232" t="s">
        <v>2833</v>
      </c>
      <c r="Q232" t="s">
        <v>2833</v>
      </c>
      <c r="R232">
        <f ca="1">RAND()*(Validation[[#This Row],[Range1_High]]-Validation[[#This Row],[Range1_Low]])+Validation[[#This Row],[Range1_Low]]</f>
        <v>0.69547198828089563</v>
      </c>
      <c r="S232">
        <f>Validation[[#This Row],[Range2_High]]</f>
        <v>50</v>
      </c>
      <c r="T232" t="str" cm="1">
        <f t="array" aca="1" ref="T232" ca="1">RoundToTwoSigFigs(Validation[[#This Row],[Test Reading]]*Validation[[#This Row],[Mult]]+Validation[[#This Row],[Base]]) &amp;" "&amp;Validation[[#This Row],[Uncert_Units]]</f>
        <v>5800 µV</v>
      </c>
      <c r="U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32" t="b">
        <f ca="1">Validation[[#This Row],[Desired Result]]=Validation[[#This Row],[Result]]</f>
        <v>1</v>
      </c>
      <c r="W232" t="b">
        <v>0</v>
      </c>
      <c r="X232" t="b">
        <f>Validation[[#This Row],[Range1_Low]]&gt;=Validation[[#This Row],[Range1_High]]</f>
        <v>0</v>
      </c>
      <c r="Y232" s="111" t="s">
        <v>2845</v>
      </c>
    </row>
    <row r="233" spans="1:25" ht="16.5" thickTop="1" thickBot="1" x14ac:dyDescent="0.3">
      <c r="A233" t="s">
        <v>54</v>
      </c>
      <c r="B233" t="s">
        <v>8</v>
      </c>
      <c r="C233" s="113">
        <v>33</v>
      </c>
      <c r="D233" s="113">
        <v>330.01</v>
      </c>
      <c r="E233">
        <v>1</v>
      </c>
      <c r="F233" t="s">
        <v>6</v>
      </c>
      <c r="G233" t="s">
        <v>4</v>
      </c>
      <c r="H233">
        <v>50</v>
      </c>
      <c r="I233">
        <v>100</v>
      </c>
      <c r="J233" t="s">
        <v>10</v>
      </c>
      <c r="K233">
        <v>546.63</v>
      </c>
      <c r="L233">
        <v>1.8765000000000001</v>
      </c>
      <c r="M233">
        <v>546.54</v>
      </c>
      <c r="N233">
        <v>1.8763000000000001</v>
      </c>
      <c r="O233" t="s">
        <v>2833</v>
      </c>
      <c r="P233" t="s">
        <v>2833</v>
      </c>
      <c r="Q233" t="s">
        <v>2833</v>
      </c>
      <c r="R233">
        <f ca="1">RAND()*(Validation[[#This Row],[Range1_High]]-Validation[[#This Row],[Range1_Low]])+Validation[[#This Row],[Range1_Low]]</f>
        <v>38.142568811707612</v>
      </c>
      <c r="S233">
        <f>Validation[[#This Row],[Range2_High]]</f>
        <v>100</v>
      </c>
      <c r="T233" t="str" cm="1">
        <f t="array" aca="1" ref="T233" ca="1">RoundToTwoSigFigs(Validation[[#This Row],[Test Reading]]*Validation[[#This Row],[Mult]]+Validation[[#This Row],[Base]]) &amp;" "&amp;Validation[[#This Row],[Uncert_Units]]</f>
        <v>620 mV</v>
      </c>
      <c r="U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V233" t="b">
        <f ca="1">Validation[[#This Row],[Desired Result]]=Validation[[#This Row],[Result]]</f>
        <v>1</v>
      </c>
      <c r="W233" t="b">
        <v>1</v>
      </c>
      <c r="X233" t="b">
        <f>Validation[[#This Row],[Range1_Low]]&gt;=Validation[[#This Row],[Range1_High]]</f>
        <v>0</v>
      </c>
      <c r="Y233" s="111" t="s">
        <v>2843</v>
      </c>
    </row>
    <row r="234" spans="1:25" ht="16.5" thickTop="1" thickBot="1" x14ac:dyDescent="0.3">
      <c r="A234" t="s">
        <v>68</v>
      </c>
      <c r="B234" t="s">
        <v>8</v>
      </c>
      <c r="C234">
        <v>0</v>
      </c>
      <c r="D234">
        <v>0.1</v>
      </c>
      <c r="E234">
        <v>0.01</v>
      </c>
      <c r="F234" t="s">
        <v>6</v>
      </c>
      <c r="G234" t="s">
        <v>5</v>
      </c>
      <c r="H234">
        <v>0.01</v>
      </c>
      <c r="I234">
        <v>2</v>
      </c>
      <c r="J234" t="s">
        <v>10</v>
      </c>
      <c r="K234">
        <v>5773.7</v>
      </c>
      <c r="L234">
        <v>13.414999999999999</v>
      </c>
      <c r="M234">
        <v>5773.6</v>
      </c>
      <c r="N234">
        <v>13.317</v>
      </c>
      <c r="O234" t="s">
        <v>2833</v>
      </c>
      <c r="P234" t="s">
        <v>2833</v>
      </c>
      <c r="Q234" t="s">
        <v>2833</v>
      </c>
      <c r="R234">
        <f ca="1">RAND()*(Validation[[#This Row],[Range1_High]]-Validation[[#This Row],[Range1_Low]])+Validation[[#This Row],[Range1_Low]]</f>
        <v>6.2305437265002817E-2</v>
      </c>
      <c r="S234">
        <f>Validation[[#This Row],[Range2_High]]</f>
        <v>2</v>
      </c>
      <c r="T234" t="str" cm="1">
        <f t="array" aca="1" ref="T234" ca="1">RoundToTwoSigFigs(Validation[[#This Row],[Test Reading]]*Validation[[#This Row],[Mult]]+Validation[[#This Row],[Base]]) &amp;" "&amp;Validation[[#This Row],[Uncert_Units]]</f>
        <v>5800 µV</v>
      </c>
      <c r="U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34" t="b">
        <f ca="1">Validation[[#This Row],[Desired Result]]=Validation[[#This Row],[Result]]</f>
        <v>1</v>
      </c>
      <c r="W234" t="b">
        <v>0</v>
      </c>
      <c r="X234" t="b">
        <f>Validation[[#This Row],[Range1_Low]]&gt;=Validation[[#This Row],[Range1_High]]</f>
        <v>0</v>
      </c>
      <c r="Y234" s="111" t="s">
        <v>2845</v>
      </c>
    </row>
    <row r="235" spans="1:25" ht="16.5" thickTop="1" thickBot="1" x14ac:dyDescent="0.3">
      <c r="A235" t="s">
        <v>54</v>
      </c>
      <c r="B235" t="s">
        <v>8</v>
      </c>
      <c r="C235" s="113">
        <v>3.3</v>
      </c>
      <c r="D235" s="113">
        <v>33.000999999999998</v>
      </c>
      <c r="E235">
        <v>1E-4</v>
      </c>
      <c r="F235" t="s">
        <v>6</v>
      </c>
      <c r="G235" t="s">
        <v>4</v>
      </c>
      <c r="H235">
        <v>20</v>
      </c>
      <c r="I235">
        <v>50.01</v>
      </c>
      <c r="J235" t="s">
        <v>10</v>
      </c>
      <c r="K235">
        <v>0.7</v>
      </c>
      <c r="L235">
        <v>1.2</v>
      </c>
      <c r="M235">
        <v>0.69121999999999995</v>
      </c>
      <c r="N235">
        <v>1.1565000000000001</v>
      </c>
      <c r="O235" t="s">
        <v>2833</v>
      </c>
      <c r="P235" t="s">
        <v>2833</v>
      </c>
      <c r="Q235" t="s">
        <v>2833</v>
      </c>
      <c r="R235">
        <f ca="1">RAND()*(Validation[[#This Row],[Range1_High]]-Validation[[#This Row],[Range1_Low]])+Validation[[#This Row],[Range1_Low]]</f>
        <v>13.496282207187203</v>
      </c>
      <c r="S235">
        <f>Validation[[#This Row],[Range2_High]]</f>
        <v>50.01</v>
      </c>
      <c r="T235" t="str" cm="1">
        <f t="array" aca="1" ref="T235" ca="1">RoundToTwoSigFigs(Validation[[#This Row],[Test Reading]]*Validation[[#This Row],[Mult]]+Validation[[#This Row],[Base]]) &amp;" "&amp;Validation[[#This Row],[Uncert_Units]]</f>
        <v>17 mV</v>
      </c>
      <c r="U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V235" t="b">
        <f ca="1">Validation[[#This Row],[Desired Result]]=Validation[[#This Row],[Result]]</f>
        <v>1</v>
      </c>
      <c r="W235" t="b">
        <v>1</v>
      </c>
      <c r="X235" t="b">
        <f>Validation[[#This Row],[Range1_Low]]&gt;=Validation[[#This Row],[Range1_High]]</f>
        <v>0</v>
      </c>
      <c r="Y235" s="111" t="s">
        <v>2843</v>
      </c>
    </row>
    <row r="236" spans="1:25" ht="16.5" thickTop="1" thickBot="1" x14ac:dyDescent="0.3">
      <c r="A236" t="s">
        <v>54</v>
      </c>
      <c r="B236" t="s">
        <v>8</v>
      </c>
      <c r="C236">
        <v>3.3</v>
      </c>
      <c r="D236">
        <v>33.000999999999998</v>
      </c>
      <c r="E236">
        <v>0.1</v>
      </c>
      <c r="F236" t="s">
        <v>6</v>
      </c>
      <c r="G236" t="s">
        <v>4</v>
      </c>
      <c r="H236">
        <v>4.4999999999999998E-2</v>
      </c>
      <c r="I236">
        <v>10.00001</v>
      </c>
      <c r="J236" t="s">
        <v>10</v>
      </c>
      <c r="K236">
        <v>57.892000000000003</v>
      </c>
      <c r="L236">
        <v>4.1619999999999997E-2</v>
      </c>
      <c r="M236">
        <v>57.892000000000003</v>
      </c>
      <c r="N236">
        <v>4.1575000000000001E-2</v>
      </c>
      <c r="O236" t="s">
        <v>2833</v>
      </c>
      <c r="P236" t="s">
        <v>2833</v>
      </c>
      <c r="Q236" t="s">
        <v>2833</v>
      </c>
      <c r="R236">
        <f ca="1">RAND()*(Validation[[#This Row],[Range1_High]]-Validation[[#This Row],[Range1_Low]])+Validation[[#This Row],[Range1_Low]]</f>
        <v>23.71428746551517</v>
      </c>
      <c r="S236">
        <f>Validation[[#This Row],[Range2_High]]</f>
        <v>10.00001</v>
      </c>
      <c r="T236" t="str" cm="1">
        <f t="array" aca="1" ref="T236" ca="1">RoundToTwoSigFigs(Validation[[#This Row],[Test Reading]]*Validation[[#This Row],[Mult]]+Validation[[#This Row],[Base]]) &amp;" "&amp;Validation[[#This Row],[Uncert_Units]]</f>
        <v>59 mV</v>
      </c>
      <c r="U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V236" t="b">
        <f ca="1">Validation[[#This Row],[Desired Result]]=Validation[[#This Row],[Result]]</f>
        <v>0</v>
      </c>
      <c r="W236" t="b">
        <v>1</v>
      </c>
      <c r="X236" t="b">
        <f>Validation[[#This Row],[Range1_Low]]&gt;=Validation[[#This Row],[Range1_High]]</f>
        <v>0</v>
      </c>
      <c r="Y236" s="111" t="s">
        <v>2845</v>
      </c>
    </row>
    <row r="237" spans="1:25" ht="16.5" thickTop="1" thickBot="1" x14ac:dyDescent="0.3">
      <c r="A237" t="s">
        <v>55</v>
      </c>
      <c r="B237" t="s">
        <v>8</v>
      </c>
      <c r="C237" s="113">
        <v>0.1</v>
      </c>
      <c r="D237" s="113">
        <v>1</v>
      </c>
      <c r="E237">
        <v>1E-4</v>
      </c>
      <c r="F237" t="s">
        <v>6</v>
      </c>
      <c r="G237" t="s">
        <v>5</v>
      </c>
      <c r="H237">
        <v>50</v>
      </c>
      <c r="I237">
        <v>100</v>
      </c>
      <c r="J237" t="s">
        <v>10</v>
      </c>
      <c r="K237">
        <v>38.506</v>
      </c>
      <c r="L237">
        <v>925.39</v>
      </c>
      <c r="M237">
        <v>37.912999999999997</v>
      </c>
      <c r="N237">
        <v>925.82</v>
      </c>
      <c r="O237" t="s">
        <v>2833</v>
      </c>
      <c r="P237" t="s">
        <v>2833</v>
      </c>
      <c r="Q237" t="s">
        <v>2833</v>
      </c>
      <c r="R237">
        <f ca="1">RAND()*(Validation[[#This Row],[Range1_High]]-Validation[[#This Row],[Range1_Low]])+Validation[[#This Row],[Range1_Low]]</f>
        <v>0.28593409009905768</v>
      </c>
      <c r="S237">
        <f>Validation[[#This Row],[Range2_High]]</f>
        <v>100</v>
      </c>
      <c r="T237" t="str" cm="1">
        <f t="array" aca="1" ref="T237" ca="1">RoundToTwoSigFigs(Validation[[#This Row],[Test Reading]]*Validation[[#This Row],[Mult]]+Validation[[#This Row],[Base]]) &amp;" "&amp;Validation[[#This Row],[Uncert_Units]]</f>
        <v>300 µV</v>
      </c>
      <c r="U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V237" t="b">
        <f ca="1">Validation[[#This Row],[Desired Result]]=Validation[[#This Row],[Result]]</f>
        <v>0</v>
      </c>
      <c r="W237" t="b">
        <v>1</v>
      </c>
      <c r="X237" t="b">
        <f>Validation[[#This Row],[Range1_Low]]&gt;=Validation[[#This Row],[Range1_High]]</f>
        <v>0</v>
      </c>
      <c r="Y237" s="111" t="s">
        <v>2843</v>
      </c>
    </row>
    <row r="238" spans="1:25" ht="16.5" thickTop="1" thickBot="1" x14ac:dyDescent="0.3">
      <c r="A238" t="s">
        <v>55</v>
      </c>
      <c r="B238" t="s">
        <v>8</v>
      </c>
      <c r="C238" s="113">
        <v>1</v>
      </c>
      <c r="D238" s="113">
        <v>10</v>
      </c>
      <c r="E238">
        <v>1E-4</v>
      </c>
      <c r="F238" t="s">
        <v>6</v>
      </c>
      <c r="G238" t="s">
        <v>4</v>
      </c>
      <c r="H238">
        <v>300</v>
      </c>
      <c r="I238">
        <v>1000</v>
      </c>
      <c r="J238" t="s">
        <v>10</v>
      </c>
      <c r="K238">
        <v>0.83</v>
      </c>
      <c r="L238">
        <v>11.988</v>
      </c>
      <c r="M238">
        <v>1.1272</v>
      </c>
      <c r="N238">
        <v>11.688000000000001</v>
      </c>
      <c r="O238" t="s">
        <v>2833</v>
      </c>
      <c r="P238" t="s">
        <v>2833</v>
      </c>
      <c r="Q238" t="s">
        <v>2833</v>
      </c>
      <c r="R238">
        <f ca="1">RAND()*(Validation[[#This Row],[Range1_High]]-Validation[[#This Row],[Range1_Low]])+Validation[[#This Row],[Range1_Low]]</f>
        <v>1.246987594569108</v>
      </c>
      <c r="S238">
        <f>Validation[[#This Row],[Range2_High]]</f>
        <v>1000</v>
      </c>
      <c r="T238" t="str" cm="1">
        <f t="array" aca="1" ref="T238" ca="1">RoundToTwoSigFigs(Validation[[#This Row],[Test Reading]]*Validation[[#This Row],[Mult]]+Validation[[#This Row],[Base]]) &amp;" "&amp;Validation[[#This Row],[Uncert_Units]]</f>
        <v>16 mV</v>
      </c>
      <c r="U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V238" t="b">
        <f ca="1">Validation[[#This Row],[Desired Result]]=Validation[[#This Row],[Result]]</f>
        <v>0</v>
      </c>
      <c r="W238" t="b">
        <v>1</v>
      </c>
      <c r="X238" t="b">
        <f>Validation[[#This Row],[Range1_Low]]&gt;=Validation[[#This Row],[Range1_High]]</f>
        <v>0</v>
      </c>
      <c r="Y238" s="111" t="s">
        <v>2843</v>
      </c>
    </row>
    <row r="239" spans="1:25" ht="15.75" thickTop="1" x14ac:dyDescent="0.25">
      <c r="A239" t="s">
        <v>55</v>
      </c>
      <c r="B239" t="s">
        <v>8</v>
      </c>
      <c r="C239">
        <v>0</v>
      </c>
      <c r="D239">
        <v>0.01</v>
      </c>
      <c r="E239">
        <v>1E-8</v>
      </c>
      <c r="F239" t="s">
        <v>6</v>
      </c>
      <c r="G239" t="s">
        <v>5</v>
      </c>
      <c r="H239">
        <v>1E-3</v>
      </c>
      <c r="I239">
        <v>0.04</v>
      </c>
      <c r="J239" t="s">
        <v>10</v>
      </c>
      <c r="K239">
        <v>4.5</v>
      </c>
      <c r="L239">
        <v>310</v>
      </c>
      <c r="M239">
        <v>4.3849</v>
      </c>
      <c r="N239">
        <v>312.12</v>
      </c>
      <c r="O239" t="s">
        <v>2833</v>
      </c>
      <c r="P239" t="s">
        <v>2833</v>
      </c>
      <c r="Q239" t="s">
        <v>2833</v>
      </c>
      <c r="R239">
        <f ca="1">RAND()*(Validation[[#This Row],[Range1_High]]-Validation[[#This Row],[Range1_Low]])+Validation[[#This Row],[Range1_Low]]</f>
        <v>2.9399602652766953E-3</v>
      </c>
      <c r="S239">
        <f>Validation[[#This Row],[Range2_High]]</f>
        <v>0.04</v>
      </c>
      <c r="T239" t="str" cm="1">
        <f t="array" aca="1" ref="T239" ca="1">RoundToTwoSigFigs(Validation[[#This Row],[Test Reading]]*Validation[[#This Row],[Mult]]+Validation[[#This Row],[Base]]) &amp;" "&amp;Validation[[#This Row],[Uncert_Units]]</f>
        <v>5.4 µV</v>
      </c>
      <c r="U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µV</v>
      </c>
      <c r="V239" t="b">
        <f ca="1">Validation[[#This Row],[Desired Result]]=Validation[[#This Row],[Result]]</f>
        <v>1</v>
      </c>
      <c r="W239" t="b">
        <v>0</v>
      </c>
      <c r="X239" t="b">
        <f>Validation[[#This Row],[Range1_Low]]&gt;=Validation[[#This Row],[Range1_High]]</f>
        <v>0</v>
      </c>
      <c r="Y239" s="111" t="s">
        <v>2845</v>
      </c>
    </row>
    <row r="240" spans="1:25" x14ac:dyDescent="0.25">
      <c r="A240" t="s">
        <v>55</v>
      </c>
      <c r="B240" t="s">
        <v>8</v>
      </c>
      <c r="C240">
        <v>0</v>
      </c>
      <c r="D240">
        <v>0.01</v>
      </c>
      <c r="E240">
        <v>1E-3</v>
      </c>
      <c r="F240" t="s">
        <v>6</v>
      </c>
      <c r="G240" t="s">
        <v>5</v>
      </c>
      <c r="H240">
        <v>300</v>
      </c>
      <c r="I240">
        <v>1000</v>
      </c>
      <c r="J240" t="s">
        <v>10</v>
      </c>
      <c r="K240">
        <v>575.97</v>
      </c>
      <c r="L240">
        <v>16722</v>
      </c>
      <c r="M240">
        <v>573.47</v>
      </c>
      <c r="N240">
        <v>16718</v>
      </c>
      <c r="O240" t="s">
        <v>2833</v>
      </c>
      <c r="P240" t="s">
        <v>2833</v>
      </c>
      <c r="Q240" t="s">
        <v>2833</v>
      </c>
      <c r="R240">
        <f ca="1">RAND()*(Validation[[#This Row],[Range1_High]]-Validation[[#This Row],[Range1_Low]])+Validation[[#This Row],[Range1_Low]]</f>
        <v>6.7126101809802689E-3</v>
      </c>
      <c r="S240">
        <f>Validation[[#This Row],[Range2_High]]</f>
        <v>1000</v>
      </c>
      <c r="T240" t="str" cm="1">
        <f t="array" aca="1" ref="T240" ca="1">RoundToTwoSigFigs(Validation[[#This Row],[Test Reading]]*Validation[[#This Row],[Mult]]+Validation[[#This Row],[Base]]) &amp;" "&amp;Validation[[#This Row],[Uncert_Units]]</f>
        <v>690 µV</v>
      </c>
      <c r="U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V240" t="b">
        <f ca="1">Validation[[#This Row],[Desired Result]]=Validation[[#This Row],[Result]]</f>
        <v>1</v>
      </c>
      <c r="W240" t="b">
        <v>0</v>
      </c>
      <c r="X240" t="b">
        <f>Validation[[#This Row],[Range1_Low]]&gt;=Validation[[#This Row],[Range1_High]]</f>
        <v>0</v>
      </c>
      <c r="Y240" s="111" t="s">
        <v>2845</v>
      </c>
    </row>
    <row r="241" spans="1:25" ht="15.75" thickBot="1" x14ac:dyDescent="0.3">
      <c r="A241" t="s">
        <v>55</v>
      </c>
      <c r="B241" t="s">
        <v>8</v>
      </c>
      <c r="C241">
        <v>0</v>
      </c>
      <c r="D241">
        <v>0.01</v>
      </c>
      <c r="E241">
        <v>1E-3</v>
      </c>
      <c r="F241" t="s">
        <v>6</v>
      </c>
      <c r="G241" t="s">
        <v>5</v>
      </c>
      <c r="H241">
        <v>0.04</v>
      </c>
      <c r="I241">
        <v>1</v>
      </c>
      <c r="J241" t="s">
        <v>10</v>
      </c>
      <c r="K241">
        <v>577.36</v>
      </c>
      <c r="L241">
        <v>1.2948</v>
      </c>
      <c r="M241">
        <v>577.36</v>
      </c>
      <c r="N241">
        <v>1.0690999999999999</v>
      </c>
      <c r="O241" t="s">
        <v>2833</v>
      </c>
      <c r="P241" t="s">
        <v>2833</v>
      </c>
      <c r="Q241" t="s">
        <v>2833</v>
      </c>
      <c r="R241">
        <f ca="1">RAND()*(Validation[[#This Row],[Range1_High]]-Validation[[#This Row],[Range1_Low]])+Validation[[#This Row],[Range1_Low]]</f>
        <v>2.8435340531315846E-3</v>
      </c>
      <c r="S241">
        <f>Validation[[#This Row],[Range2_High]]</f>
        <v>1</v>
      </c>
      <c r="T241" t="str" cm="1">
        <f t="array" aca="1" ref="T241" ca="1">RoundToTwoSigFigs(Validation[[#This Row],[Test Reading]]*Validation[[#This Row],[Mult]]+Validation[[#This Row],[Base]]) &amp;" "&amp;Validation[[#This Row],[Uncert_Units]]</f>
        <v>580 µV</v>
      </c>
      <c r="U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41" t="b">
        <f ca="1">Validation[[#This Row],[Desired Result]]=Validation[[#This Row],[Result]]</f>
        <v>1</v>
      </c>
      <c r="W241" t="b">
        <v>0</v>
      </c>
      <c r="X241" t="b">
        <f>Validation[[#This Row],[Range1_Low]]&gt;=Validation[[#This Row],[Range1_High]]</f>
        <v>0</v>
      </c>
      <c r="Y241" s="111" t="s">
        <v>2845</v>
      </c>
    </row>
    <row r="242" spans="1:25" ht="16.5" thickTop="1" thickBot="1" x14ac:dyDescent="0.3">
      <c r="A242" t="s">
        <v>55</v>
      </c>
      <c r="B242" t="s">
        <v>8</v>
      </c>
      <c r="C242" s="113">
        <v>10</v>
      </c>
      <c r="D242" s="113">
        <v>100</v>
      </c>
      <c r="E242">
        <v>1.0000000000000001E-5</v>
      </c>
      <c r="F242" t="s">
        <v>6</v>
      </c>
      <c r="G242" t="s">
        <v>4</v>
      </c>
      <c r="H242">
        <v>100</v>
      </c>
      <c r="I242">
        <v>300</v>
      </c>
      <c r="J242" t="s">
        <v>10</v>
      </c>
      <c r="K242">
        <v>15</v>
      </c>
      <c r="L242">
        <v>4.5999999999999996</v>
      </c>
      <c r="M242">
        <v>11.574999999999999</v>
      </c>
      <c r="N242">
        <v>4.6268000000000002</v>
      </c>
      <c r="O242" t="s">
        <v>2833</v>
      </c>
      <c r="P242" t="s">
        <v>2833</v>
      </c>
      <c r="Q242" t="s">
        <v>2833</v>
      </c>
      <c r="R242">
        <f ca="1">RAND()*(Validation[[#This Row],[Range1_High]]-Validation[[#This Row],[Range1_Low]])+Validation[[#This Row],[Range1_Low]]</f>
        <v>15.731128181809211</v>
      </c>
      <c r="S242">
        <f>Validation[[#This Row],[Range2_High]]</f>
        <v>300</v>
      </c>
      <c r="T242" t="str" cm="1">
        <f t="array" aca="1" ref="T242" ca="1">RoundToTwoSigFigs(Validation[[#This Row],[Test Reading]]*Validation[[#This Row],[Mult]]+Validation[[#This Row],[Base]]) &amp;" "&amp;Validation[[#This Row],[Uncert_Units]]</f>
        <v>87 mV</v>
      </c>
      <c r="U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V242" t="b">
        <f ca="1">Validation[[#This Row],[Desired Result]]=Validation[[#This Row],[Result]]</f>
        <v>0</v>
      </c>
      <c r="W242" t="b">
        <v>1</v>
      </c>
      <c r="X242" t="b">
        <f>Validation[[#This Row],[Range1_Low]]&gt;=Validation[[#This Row],[Range1_High]]</f>
        <v>0</v>
      </c>
      <c r="Y242" s="111" t="s">
        <v>2843</v>
      </c>
    </row>
    <row r="243" spans="1:25" ht="16.5" thickTop="1" thickBot="1" x14ac:dyDescent="0.3">
      <c r="A243" t="s">
        <v>55</v>
      </c>
      <c r="B243" t="s">
        <v>8</v>
      </c>
      <c r="C243" s="113">
        <v>0.01</v>
      </c>
      <c r="D243" s="113">
        <v>0.1</v>
      </c>
      <c r="E243">
        <v>9.9999999999999995E-8</v>
      </c>
      <c r="F243" t="s">
        <v>6</v>
      </c>
      <c r="G243" t="s">
        <v>5</v>
      </c>
      <c r="H243">
        <v>20</v>
      </c>
      <c r="I243">
        <v>50</v>
      </c>
      <c r="J243" t="s">
        <v>10</v>
      </c>
      <c r="K243">
        <v>4.7</v>
      </c>
      <c r="L243">
        <v>327.36</v>
      </c>
      <c r="M243">
        <v>4.6691000000000003</v>
      </c>
      <c r="N243">
        <v>326.81</v>
      </c>
      <c r="O243" t="s">
        <v>2833</v>
      </c>
      <c r="P243" t="s">
        <v>2833</v>
      </c>
      <c r="Q243" t="s">
        <v>2833</v>
      </c>
      <c r="R243">
        <f ca="1">RAND()*(Validation[[#This Row],[Range1_High]]-Validation[[#This Row],[Range1_Low]])+Validation[[#This Row],[Range1_Low]]</f>
        <v>9.9548393178636493E-2</v>
      </c>
      <c r="S243">
        <f>Validation[[#This Row],[Range2_High]]</f>
        <v>50</v>
      </c>
      <c r="T243" t="str" cm="1">
        <f t="array" aca="1" ref="T243" ca="1">RoundToTwoSigFigs(Validation[[#This Row],[Test Reading]]*Validation[[#This Row],[Mult]]+Validation[[#This Row],[Base]]) &amp;" "&amp;Validation[[#This Row],[Uncert_Units]]</f>
        <v>37 µV</v>
      </c>
      <c r="U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V243" t="b">
        <f ca="1">Validation[[#This Row],[Desired Result]]=Validation[[#This Row],[Result]]</f>
        <v>0</v>
      </c>
      <c r="W243" t="b">
        <v>1</v>
      </c>
      <c r="X243" t="b">
        <f>Validation[[#This Row],[Range1_Low]]&gt;=Validation[[#This Row],[Range1_High]]</f>
        <v>0</v>
      </c>
      <c r="Y243" s="111" t="s">
        <v>2843</v>
      </c>
    </row>
    <row r="244" spans="1:25" ht="16.5" thickTop="1" thickBot="1" x14ac:dyDescent="0.3">
      <c r="A244" t="s">
        <v>68</v>
      </c>
      <c r="B244" t="s">
        <v>8</v>
      </c>
      <c r="C244" s="113">
        <v>100</v>
      </c>
      <c r="D244" s="113">
        <v>1020</v>
      </c>
      <c r="E244">
        <v>0.01</v>
      </c>
      <c r="F244" t="s">
        <v>6</v>
      </c>
      <c r="G244" t="s">
        <v>4</v>
      </c>
      <c r="H244">
        <v>0.04</v>
      </c>
      <c r="I244">
        <v>1</v>
      </c>
      <c r="J244" t="s">
        <v>10</v>
      </c>
      <c r="K244">
        <v>360</v>
      </c>
      <c r="L244">
        <v>1.1000000000000001</v>
      </c>
      <c r="M244">
        <v>337.15</v>
      </c>
      <c r="N244">
        <v>1.1167</v>
      </c>
      <c r="O244" t="s">
        <v>2833</v>
      </c>
      <c r="P244" t="s">
        <v>2833</v>
      </c>
      <c r="Q244" t="s">
        <v>2833</v>
      </c>
      <c r="R244">
        <f ca="1">RAND()*(Validation[[#This Row],[Range1_High]]-Validation[[#This Row],[Range1_Low]])+Validation[[#This Row],[Range1_Low]]</f>
        <v>360.04746056182194</v>
      </c>
      <c r="S244">
        <f>Validation[[#This Row],[Range2_High]]</f>
        <v>1</v>
      </c>
      <c r="T244" t="str" cm="1">
        <f t="array" aca="1" ref="T244" ca="1">RoundToTwoSigFigs(Validation[[#This Row],[Test Reading]]*Validation[[#This Row],[Mult]]+Validation[[#This Row],[Base]]) &amp;" "&amp;Validation[[#This Row],[Uncert_Units]]</f>
        <v>760 mV</v>
      </c>
      <c r="U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mV</v>
      </c>
      <c r="V244" t="b">
        <f ca="1">Validation[[#This Row],[Desired Result]]=Validation[[#This Row],[Result]]</f>
        <v>1</v>
      </c>
      <c r="W244" t="b">
        <v>1</v>
      </c>
      <c r="X244" t="b">
        <f>Validation[[#This Row],[Range1_Low]]&gt;=Validation[[#This Row],[Range1_High]]</f>
        <v>0</v>
      </c>
      <c r="Y244" s="111" t="s">
        <v>2843</v>
      </c>
    </row>
    <row r="245" spans="1:25" ht="16.5" thickTop="1" thickBot="1" x14ac:dyDescent="0.3">
      <c r="A245" t="s">
        <v>55</v>
      </c>
      <c r="B245" t="s">
        <v>8</v>
      </c>
      <c r="C245" s="113">
        <v>0.01</v>
      </c>
      <c r="D245" s="113">
        <v>0.1</v>
      </c>
      <c r="E245">
        <v>1E-3</v>
      </c>
      <c r="F245" t="s">
        <v>6</v>
      </c>
      <c r="G245" t="s">
        <v>5</v>
      </c>
      <c r="H245">
        <v>4000</v>
      </c>
      <c r="I245">
        <v>8000</v>
      </c>
      <c r="J245" t="s">
        <v>10</v>
      </c>
      <c r="K245">
        <v>363.53</v>
      </c>
      <c r="L245">
        <v>43909</v>
      </c>
      <c r="M245">
        <v>338.44</v>
      </c>
      <c r="N245">
        <v>43920</v>
      </c>
      <c r="O245" t="s">
        <v>2833</v>
      </c>
      <c r="P245" t="s">
        <v>2833</v>
      </c>
      <c r="Q245" t="s">
        <v>2833</v>
      </c>
      <c r="R245">
        <f ca="1">RAND()*(Validation[[#This Row],[Range1_High]]-Validation[[#This Row],[Range1_Low]])+Validation[[#This Row],[Range1_Low]]</f>
        <v>2.6249022019721471E-2</v>
      </c>
      <c r="S245">
        <f>Validation[[#This Row],[Range2_High]]</f>
        <v>8000</v>
      </c>
      <c r="T245" t="str" cm="1">
        <f t="array" aca="1" ref="T245" ca="1">RoundToTwoSigFigs(Validation[[#This Row],[Test Reading]]*Validation[[#This Row],[Mult]]+Validation[[#This Row],[Base]]) &amp;" "&amp;Validation[[#This Row],[Uncert_Units]]</f>
        <v>1500 µV</v>
      </c>
      <c r="U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µV</v>
      </c>
      <c r="V245" t="b">
        <f ca="1">Validation[[#This Row],[Desired Result]]=Validation[[#This Row],[Result]]</f>
        <v>0</v>
      </c>
      <c r="W245" t="b">
        <v>1</v>
      </c>
      <c r="X245" t="b">
        <f>Validation[[#This Row],[Range1_Low]]&gt;=Validation[[#This Row],[Range1_High]]</f>
        <v>0</v>
      </c>
      <c r="Y245" s="111" t="s">
        <v>2843</v>
      </c>
    </row>
    <row r="246" spans="1:25" ht="16.5" thickTop="1" thickBot="1" x14ac:dyDescent="0.3">
      <c r="A246" t="s">
        <v>54</v>
      </c>
      <c r="B246" t="s">
        <v>8</v>
      </c>
      <c r="C246" s="113">
        <v>3.3</v>
      </c>
      <c r="D246" s="113">
        <v>33.000999999999998</v>
      </c>
      <c r="E246">
        <v>1E-4</v>
      </c>
      <c r="F246" t="s">
        <v>6</v>
      </c>
      <c r="G246" t="s">
        <v>4</v>
      </c>
      <c r="H246">
        <v>4.4999999999999998E-2</v>
      </c>
      <c r="I246">
        <v>10.00001</v>
      </c>
      <c r="J246" t="s">
        <v>10</v>
      </c>
      <c r="K246">
        <v>0.7</v>
      </c>
      <c r="L246">
        <v>0.35</v>
      </c>
      <c r="M246">
        <v>0.69218000000000002</v>
      </c>
      <c r="N246">
        <v>0.34794999999999998</v>
      </c>
      <c r="O246" t="s">
        <v>2833</v>
      </c>
      <c r="P246" t="s">
        <v>2833</v>
      </c>
      <c r="Q246" t="s">
        <v>2833</v>
      </c>
      <c r="R246">
        <f ca="1">RAND()*(Validation[[#This Row],[Range1_High]]-Validation[[#This Row],[Range1_Low]])+Validation[[#This Row],[Range1_Low]]</f>
        <v>7.8693544841582206</v>
      </c>
      <c r="S246">
        <f>Validation[[#This Row],[Range2_High]]</f>
        <v>10.00001</v>
      </c>
      <c r="T246" t="str" cm="1">
        <f t="array" aca="1" ref="T246" ca="1">RoundToTwoSigFigs(Validation[[#This Row],[Test Reading]]*Validation[[#This Row],[Mult]]+Validation[[#This Row],[Base]]) &amp;" "&amp;Validation[[#This Row],[Uncert_Units]]</f>
        <v>3.5 mV</v>
      </c>
      <c r="U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mV</v>
      </c>
      <c r="V246" t="b">
        <f ca="1">Validation[[#This Row],[Desired Result]]=Validation[[#This Row],[Result]]</f>
        <v>1</v>
      </c>
      <c r="W246" t="b">
        <v>1</v>
      </c>
      <c r="X246" t="b">
        <f>Validation[[#This Row],[Range1_Low]]&gt;=Validation[[#This Row],[Range1_High]]</f>
        <v>0</v>
      </c>
      <c r="Y246" s="111" t="s">
        <v>2843</v>
      </c>
    </row>
    <row r="247" spans="1:25" ht="16.5" thickTop="1" thickBot="1" x14ac:dyDescent="0.3">
      <c r="A247" t="s">
        <v>54</v>
      </c>
      <c r="B247" t="s">
        <v>8</v>
      </c>
      <c r="C247" s="113">
        <v>0.33</v>
      </c>
      <c r="D247" s="113">
        <v>3.3001</v>
      </c>
      <c r="E247">
        <v>1E-3</v>
      </c>
      <c r="F247" t="s">
        <v>6</v>
      </c>
      <c r="G247" t="s">
        <v>4</v>
      </c>
      <c r="H247">
        <v>20</v>
      </c>
      <c r="I247">
        <v>50.01</v>
      </c>
      <c r="J247" t="s">
        <v>10</v>
      </c>
      <c r="K247">
        <v>0.38064999999999999</v>
      </c>
      <c r="L247">
        <v>1.0748</v>
      </c>
      <c r="M247">
        <v>0.37986999999999999</v>
      </c>
      <c r="N247">
        <v>1.0749</v>
      </c>
      <c r="O247" t="s">
        <v>2833</v>
      </c>
      <c r="P247" t="s">
        <v>2833</v>
      </c>
      <c r="Q247" t="s">
        <v>2833</v>
      </c>
      <c r="R247">
        <f ca="1">RAND()*(Validation[[#This Row],[Range1_High]]-Validation[[#This Row],[Range1_Low]])+Validation[[#This Row],[Range1_Low]]</f>
        <v>0.40998657531346433</v>
      </c>
      <c r="S247">
        <f>Validation[[#This Row],[Range2_High]]</f>
        <v>50.01</v>
      </c>
      <c r="T247" t="str" cm="1">
        <f t="array" aca="1" ref="T247" ca="1">RoundToTwoSigFigs(Validation[[#This Row],[Test Reading]]*Validation[[#This Row],[Mult]]+Validation[[#This Row],[Base]]) &amp;" "&amp;Validation[[#This Row],[Uncert_Units]]</f>
        <v>0.82 mV</v>
      </c>
      <c r="U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V247" t="b">
        <f ca="1">Validation[[#This Row],[Desired Result]]=Validation[[#This Row],[Result]]</f>
        <v>0</v>
      </c>
      <c r="W247" t="b">
        <v>1</v>
      </c>
      <c r="X247" t="b">
        <f>Validation[[#This Row],[Range1_Low]]&gt;=Validation[[#This Row],[Range1_High]]</f>
        <v>0</v>
      </c>
      <c r="Y247" s="111" t="s">
        <v>2843</v>
      </c>
    </row>
    <row r="248" spans="1:25" ht="15.75" thickTop="1" x14ac:dyDescent="0.25">
      <c r="A248" t="s">
        <v>55</v>
      </c>
      <c r="B248" t="s">
        <v>8</v>
      </c>
      <c r="C248">
        <v>0</v>
      </c>
      <c r="D248">
        <v>0.01</v>
      </c>
      <c r="E248">
        <v>1.0000000000000001E-5</v>
      </c>
      <c r="F248" t="s">
        <v>6</v>
      </c>
      <c r="G248" t="s">
        <v>5</v>
      </c>
      <c r="H248">
        <v>4000</v>
      </c>
      <c r="I248">
        <v>8000</v>
      </c>
      <c r="J248" t="s">
        <v>10</v>
      </c>
      <c r="K248">
        <v>31</v>
      </c>
      <c r="L248">
        <v>228940</v>
      </c>
      <c r="M248">
        <v>30.434000000000001</v>
      </c>
      <c r="N248">
        <v>228860</v>
      </c>
      <c r="O248" t="s">
        <v>2833</v>
      </c>
      <c r="P248" t="s">
        <v>2833</v>
      </c>
      <c r="Q248" t="s">
        <v>2833</v>
      </c>
      <c r="R248">
        <f ca="1">RAND()*(Validation[[#This Row],[Range1_High]]-Validation[[#This Row],[Range1_Low]])+Validation[[#This Row],[Range1_Low]]</f>
        <v>4.2035630691277456E-3</v>
      </c>
      <c r="S248">
        <f>Validation[[#This Row],[Range2_High]]</f>
        <v>8000</v>
      </c>
      <c r="T248" t="str" cm="1">
        <f t="array" aca="1" ref="T248" ca="1">RoundToTwoSigFigs(Validation[[#This Row],[Test Reading]]*Validation[[#This Row],[Mult]]+Validation[[#This Row],[Base]]) &amp;" "&amp;Validation[[#This Row],[Uncert_Units]]</f>
        <v>990 µV</v>
      </c>
      <c r="U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µV</v>
      </c>
      <c r="V248" t="b">
        <f ca="1">Validation[[#This Row],[Desired Result]]=Validation[[#This Row],[Result]]</f>
        <v>1</v>
      </c>
      <c r="W248" t="b">
        <v>0</v>
      </c>
      <c r="X248" t="b">
        <f>Validation[[#This Row],[Range1_Low]]&gt;=Validation[[#This Row],[Range1_High]]</f>
        <v>0</v>
      </c>
      <c r="Y248" s="111" t="s">
        <v>2845</v>
      </c>
    </row>
    <row r="249" spans="1:25" ht="15.75" thickBot="1" x14ac:dyDescent="0.3">
      <c r="A249" t="s">
        <v>55</v>
      </c>
      <c r="B249" t="s">
        <v>8</v>
      </c>
      <c r="C249">
        <v>20</v>
      </c>
      <c r="D249">
        <v>100</v>
      </c>
      <c r="E249">
        <v>0.1</v>
      </c>
      <c r="F249" t="s">
        <v>6</v>
      </c>
      <c r="G249" t="s">
        <v>4</v>
      </c>
      <c r="H249">
        <v>0.04</v>
      </c>
      <c r="I249">
        <v>1</v>
      </c>
      <c r="J249" t="s">
        <v>10</v>
      </c>
      <c r="K249">
        <v>56.896000000000001</v>
      </c>
      <c r="L249">
        <v>6.2831999999999999E-2</v>
      </c>
      <c r="M249">
        <v>56.895000000000003</v>
      </c>
      <c r="N249">
        <v>6.2796000000000005E-2</v>
      </c>
      <c r="O249" t="s">
        <v>2833</v>
      </c>
      <c r="P249" t="s">
        <v>2833</v>
      </c>
      <c r="Q249" t="s">
        <v>2833</v>
      </c>
      <c r="R249">
        <f ca="1">RAND()*(Validation[[#This Row],[Range1_High]]-Validation[[#This Row],[Range1_Low]])+Validation[[#This Row],[Range1_Low]]</f>
        <v>73.971679760706309</v>
      </c>
      <c r="S249">
        <f>Validation[[#This Row],[Range2_High]]</f>
        <v>1</v>
      </c>
      <c r="T249" t="str" cm="1">
        <f t="array" aca="1" ref="T249" ca="1">RoundToTwoSigFigs(Validation[[#This Row],[Test Reading]]*Validation[[#This Row],[Mult]]+Validation[[#This Row],[Base]]) &amp;" "&amp;Validation[[#This Row],[Uncert_Units]]</f>
        <v>62 mV</v>
      </c>
      <c r="U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V249" t="b">
        <f ca="1">Validation[[#This Row],[Desired Result]]=Validation[[#This Row],[Result]]</f>
        <v>1</v>
      </c>
      <c r="W249" t="b">
        <v>0</v>
      </c>
      <c r="X249" t="b">
        <f>Validation[[#This Row],[Range1_Low]]&gt;=Validation[[#This Row],[Range1_High]]</f>
        <v>0</v>
      </c>
      <c r="Y249" s="111" t="s">
        <v>2845</v>
      </c>
    </row>
    <row r="250" spans="1:25" ht="16.5" thickTop="1" thickBot="1" x14ac:dyDescent="0.3">
      <c r="A250" t="s">
        <v>54</v>
      </c>
      <c r="B250" t="s">
        <v>8</v>
      </c>
      <c r="C250" s="113">
        <v>3.3000000000000002E-2</v>
      </c>
      <c r="D250" s="113">
        <v>0.33001000000000003</v>
      </c>
      <c r="E250">
        <v>1E-3</v>
      </c>
      <c r="F250" t="s">
        <v>6</v>
      </c>
      <c r="G250" t="s">
        <v>5</v>
      </c>
      <c r="H250">
        <v>100</v>
      </c>
      <c r="I250">
        <v>500</v>
      </c>
      <c r="J250" t="s">
        <v>10</v>
      </c>
      <c r="K250">
        <v>643.30999999999995</v>
      </c>
      <c r="L250">
        <v>5206.3999999999996</v>
      </c>
      <c r="M250">
        <v>643.12</v>
      </c>
      <c r="N250">
        <v>5206.6000000000004</v>
      </c>
      <c r="O250" t="s">
        <v>2833</v>
      </c>
      <c r="P250" t="s">
        <v>2833</v>
      </c>
      <c r="Q250" t="s">
        <v>2833</v>
      </c>
      <c r="R250">
        <f ca="1">RAND()*(Validation[[#This Row],[Range1_High]]-Validation[[#This Row],[Range1_Low]])+Validation[[#This Row],[Range1_Low]]</f>
        <v>6.5919180273745853E-2</v>
      </c>
      <c r="S250">
        <f>Validation[[#This Row],[Range2_High]]</f>
        <v>500</v>
      </c>
      <c r="T250" t="str" cm="1">
        <f t="array" aca="1" ref="T250" ca="1">RoundToTwoSigFigs(Validation[[#This Row],[Test Reading]]*Validation[[#This Row],[Mult]]+Validation[[#This Row],[Base]]) &amp;" "&amp;Validation[[#This Row],[Uncert_Units]]</f>
        <v>990 µV</v>
      </c>
      <c r="U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µV</v>
      </c>
      <c r="V250" t="b">
        <f ca="1">Validation[[#This Row],[Desired Result]]=Validation[[#This Row],[Result]]</f>
        <v>1</v>
      </c>
      <c r="W250" t="b">
        <v>1</v>
      </c>
      <c r="X250" t="b">
        <f>Validation[[#This Row],[Range1_Low]]&gt;=Validation[[#This Row],[Range1_High]]</f>
        <v>0</v>
      </c>
      <c r="Y250" s="111" t="s">
        <v>2843</v>
      </c>
    </row>
    <row r="251" spans="1:25" ht="15.75" thickTop="1" x14ac:dyDescent="0.25">
      <c r="A251" t="s">
        <v>68</v>
      </c>
      <c r="B251" t="s">
        <v>8</v>
      </c>
      <c r="C251">
        <v>100</v>
      </c>
      <c r="D251">
        <v>1020</v>
      </c>
      <c r="E251">
        <v>10</v>
      </c>
      <c r="F251" t="s">
        <v>6</v>
      </c>
      <c r="G251" t="s">
        <v>4</v>
      </c>
      <c r="H251">
        <v>0.04</v>
      </c>
      <c r="I251">
        <v>1</v>
      </c>
      <c r="J251" t="s">
        <v>10</v>
      </c>
      <c r="K251">
        <v>5773</v>
      </c>
      <c r="L251">
        <v>0.18489</v>
      </c>
      <c r="M251">
        <v>5772.7</v>
      </c>
      <c r="N251">
        <v>0.18293999999999999</v>
      </c>
      <c r="O251" t="s">
        <v>2833</v>
      </c>
      <c r="P251" t="s">
        <v>2833</v>
      </c>
      <c r="Q251" t="s">
        <v>2833</v>
      </c>
      <c r="R251">
        <f ca="1">RAND()*(Validation[[#This Row],[Range1_High]]-Validation[[#This Row],[Range1_Low]])+Validation[[#This Row],[Range1_Low]]</f>
        <v>501.96635712104546</v>
      </c>
      <c r="S251">
        <f>Validation[[#This Row],[Range2_High]]</f>
        <v>1</v>
      </c>
      <c r="T251" t="str" cm="1">
        <f t="array" aca="1" ref="T251" ca="1">RoundToTwoSigFigs(Validation[[#This Row],[Test Reading]]*Validation[[#This Row],[Mult]]+Validation[[#This Row],[Base]]) &amp;" "&amp;Validation[[#This Row],[Uncert_Units]]</f>
        <v>5900 mV</v>
      </c>
      <c r="U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V251" t="b">
        <f ca="1">Validation[[#This Row],[Desired Result]]=Validation[[#This Row],[Result]]</f>
        <v>1</v>
      </c>
      <c r="W251" t="b">
        <v>0</v>
      </c>
      <c r="X251" t="b">
        <f>Validation[[#This Row],[Range1_Low]]&gt;=Validation[[#This Row],[Range1_High]]</f>
        <v>0</v>
      </c>
      <c r="Y251" s="111" t="s">
        <v>2845</v>
      </c>
    </row>
    <row r="252" spans="1:25" x14ac:dyDescent="0.25">
      <c r="A252" t="s">
        <v>54</v>
      </c>
      <c r="B252" t="s">
        <v>8</v>
      </c>
      <c r="C252">
        <v>0</v>
      </c>
      <c r="D252">
        <v>3.3009999999999998E-2</v>
      </c>
      <c r="E252">
        <v>0.1</v>
      </c>
      <c r="F252" t="s">
        <v>6</v>
      </c>
      <c r="G252" t="s">
        <v>5</v>
      </c>
      <c r="H252">
        <v>100</v>
      </c>
      <c r="I252">
        <v>500</v>
      </c>
      <c r="J252" t="s">
        <v>10</v>
      </c>
      <c r="K252">
        <v>58000</v>
      </c>
      <c r="L252">
        <v>53.658999999999999</v>
      </c>
      <c r="M252">
        <v>58000</v>
      </c>
      <c r="N252">
        <v>52.994</v>
      </c>
      <c r="O252" t="s">
        <v>2833</v>
      </c>
      <c r="P252" t="s">
        <v>2833</v>
      </c>
      <c r="Q252" t="s">
        <v>2833</v>
      </c>
      <c r="R252">
        <f ca="1">RAND()*(Validation[[#This Row],[Range1_High]]-Validation[[#This Row],[Range1_Low]])+Validation[[#This Row],[Range1_Low]]</f>
        <v>3.0978264433490429E-2</v>
      </c>
      <c r="S252">
        <f>Validation[[#This Row],[Range2_High]]</f>
        <v>500</v>
      </c>
      <c r="T252" t="str" cm="1">
        <f t="array" aca="1" ref="T252" ca="1">RoundToTwoSigFigs(Validation[[#This Row],[Test Reading]]*Validation[[#This Row],[Mult]]+Validation[[#This Row],[Base]]) &amp;" "&amp;Validation[[#This Row],[Uncert_Units]]</f>
        <v>58000 µV</v>
      </c>
      <c r="U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252" t="b">
        <f ca="1">Validation[[#This Row],[Desired Result]]=Validation[[#This Row],[Result]]</f>
        <v>1</v>
      </c>
      <c r="W252" t="b">
        <v>0</v>
      </c>
      <c r="X252" t="b">
        <f>Validation[[#This Row],[Range1_Low]]&gt;=Validation[[#This Row],[Range1_High]]</f>
        <v>0</v>
      </c>
      <c r="Y252" s="111" t="s">
        <v>2845</v>
      </c>
    </row>
    <row r="253" spans="1:25" ht="15.75" thickBot="1" x14ac:dyDescent="0.3">
      <c r="A253" t="s">
        <v>55</v>
      </c>
      <c r="B253" t="s">
        <v>8</v>
      </c>
      <c r="C253">
        <v>330</v>
      </c>
      <c r="D253">
        <v>1000</v>
      </c>
      <c r="E253">
        <v>0.1</v>
      </c>
      <c r="F253" t="s">
        <v>6</v>
      </c>
      <c r="G253" t="s">
        <v>4</v>
      </c>
      <c r="H253">
        <v>1E-3</v>
      </c>
      <c r="I253">
        <v>0.04</v>
      </c>
      <c r="J253" t="s">
        <v>10</v>
      </c>
      <c r="K253">
        <v>64.183999999999997</v>
      </c>
      <c r="L253">
        <v>0.4486</v>
      </c>
      <c r="M253">
        <v>64.129000000000005</v>
      </c>
      <c r="N253">
        <v>0.44862000000000002</v>
      </c>
      <c r="O253" t="s">
        <v>2833</v>
      </c>
      <c r="P253" t="s">
        <v>2833</v>
      </c>
      <c r="Q253" t="s">
        <v>2833</v>
      </c>
      <c r="R253">
        <f ca="1">RAND()*(Validation[[#This Row],[Range1_High]]-Validation[[#This Row],[Range1_Low]])+Validation[[#This Row],[Range1_Low]]</f>
        <v>883.65100247306975</v>
      </c>
      <c r="S253">
        <f>Validation[[#This Row],[Range2_High]]</f>
        <v>0.04</v>
      </c>
      <c r="T253" t="str" cm="1">
        <f t="array" aca="1" ref="T253" ca="1">RoundToTwoSigFigs(Validation[[#This Row],[Test Reading]]*Validation[[#This Row],[Mult]]+Validation[[#This Row],[Base]]) &amp;" "&amp;Validation[[#This Row],[Uncert_Units]]</f>
        <v>460 mV</v>
      </c>
      <c r="U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V253" t="b">
        <f ca="1">Validation[[#This Row],[Desired Result]]=Validation[[#This Row],[Result]]</f>
        <v>0</v>
      </c>
      <c r="W253" t="b">
        <v>1</v>
      </c>
      <c r="X253" t="b">
        <f>Validation[[#This Row],[Range1_Low]]&gt;=Validation[[#This Row],[Range1_High]]</f>
        <v>0</v>
      </c>
      <c r="Y253" s="111" t="s">
        <v>2845</v>
      </c>
    </row>
    <row r="254" spans="1:25" ht="16.5" thickTop="1" thickBot="1" x14ac:dyDescent="0.3">
      <c r="A254" t="s">
        <v>55</v>
      </c>
      <c r="B254" t="s">
        <v>8</v>
      </c>
      <c r="C254" s="113">
        <v>0.1</v>
      </c>
      <c r="D254" s="113">
        <v>1</v>
      </c>
      <c r="E254">
        <v>1E-4</v>
      </c>
      <c r="F254" t="s">
        <v>6</v>
      </c>
      <c r="G254" t="s">
        <v>4</v>
      </c>
      <c r="H254">
        <v>8000</v>
      </c>
      <c r="I254">
        <v>10000</v>
      </c>
      <c r="J254" t="s">
        <v>10</v>
      </c>
      <c r="K254">
        <v>4.5999999999999996</v>
      </c>
      <c r="L254">
        <v>170.12</v>
      </c>
      <c r="M254">
        <v>1.1460999999999999</v>
      </c>
      <c r="N254">
        <v>173.36</v>
      </c>
      <c r="O254" t="s">
        <v>2833</v>
      </c>
      <c r="P254" t="s">
        <v>2833</v>
      </c>
      <c r="Q254" t="s">
        <v>2833</v>
      </c>
      <c r="R254">
        <f ca="1">RAND()*(Validation[[#This Row],[Range1_High]]-Validation[[#This Row],[Range1_Low]])+Validation[[#This Row],[Range1_Low]]</f>
        <v>0.33526618435274591</v>
      </c>
      <c r="S254">
        <f>Validation[[#This Row],[Range2_High]]</f>
        <v>10000</v>
      </c>
      <c r="T254" t="str" cm="1">
        <f t="array" aca="1" ref="T254" ca="1">RoundToTwoSigFigs(Validation[[#This Row],[Test Reading]]*Validation[[#This Row],[Mult]]+Validation[[#This Row],[Base]]) &amp;" "&amp;Validation[[#This Row],[Uncert_Units]]</f>
        <v>62 mV</v>
      </c>
      <c r="U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V254" t="b">
        <f ca="1">Validation[[#This Row],[Desired Result]]=Validation[[#This Row],[Result]]</f>
        <v>1</v>
      </c>
      <c r="W254" t="b">
        <v>1</v>
      </c>
      <c r="X254" t="b">
        <f>Validation[[#This Row],[Range1_Low]]&gt;=Validation[[#This Row],[Range1_High]]</f>
        <v>0</v>
      </c>
      <c r="Y254" s="111" t="s">
        <v>2843</v>
      </c>
    </row>
    <row r="255" spans="1:25" ht="16.5" thickTop="1" thickBot="1" x14ac:dyDescent="0.3">
      <c r="A255" t="s">
        <v>54</v>
      </c>
      <c r="B255" t="s">
        <v>8</v>
      </c>
      <c r="C255" s="113">
        <v>3.3000000000000002E-2</v>
      </c>
      <c r="D255" s="113">
        <v>0.33001000000000003</v>
      </c>
      <c r="E255">
        <v>1E-4</v>
      </c>
      <c r="F255" t="s">
        <v>6</v>
      </c>
      <c r="G255" t="s">
        <v>5</v>
      </c>
      <c r="H255">
        <v>100</v>
      </c>
      <c r="I255">
        <v>500</v>
      </c>
      <c r="J255" t="s">
        <v>10</v>
      </c>
      <c r="K255">
        <v>390</v>
      </c>
      <c r="L255">
        <v>5771.9</v>
      </c>
      <c r="M255">
        <v>384.93</v>
      </c>
      <c r="N255">
        <v>5772</v>
      </c>
      <c r="O255" t="s">
        <v>2833</v>
      </c>
      <c r="P255" t="s">
        <v>2833</v>
      </c>
      <c r="Q255" t="s">
        <v>2833</v>
      </c>
      <c r="R255">
        <f ca="1">RAND()*(Validation[[#This Row],[Range1_High]]-Validation[[#This Row],[Range1_Low]])+Validation[[#This Row],[Range1_Low]]</f>
        <v>0.1151298464156337</v>
      </c>
      <c r="S255">
        <f>Validation[[#This Row],[Range2_High]]</f>
        <v>500</v>
      </c>
      <c r="T255" t="str" cm="1">
        <f t="array" aca="1" ref="T255" ca="1">RoundToTwoSigFigs(Validation[[#This Row],[Test Reading]]*Validation[[#This Row],[Mult]]+Validation[[#This Row],[Base]]) &amp;" "&amp;Validation[[#This Row],[Uncert_Units]]</f>
        <v>1100 µV</v>
      </c>
      <c r="U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V255" t="b">
        <f ca="1">Validation[[#This Row],[Desired Result]]=Validation[[#This Row],[Result]]</f>
        <v>1</v>
      </c>
      <c r="W255" t="b">
        <v>1</v>
      </c>
      <c r="X255" t="b">
        <f>Validation[[#This Row],[Range1_Low]]&gt;=Validation[[#This Row],[Range1_High]]</f>
        <v>0</v>
      </c>
      <c r="Y255" s="111" t="s">
        <v>2843</v>
      </c>
    </row>
    <row r="256" spans="1:25" ht="16.5" thickTop="1" thickBot="1" x14ac:dyDescent="0.3">
      <c r="A256" t="s">
        <v>55</v>
      </c>
      <c r="B256" t="s">
        <v>8</v>
      </c>
      <c r="C256" s="113">
        <v>0.01</v>
      </c>
      <c r="D256" s="113">
        <v>0.1</v>
      </c>
      <c r="E256">
        <v>1E-4</v>
      </c>
      <c r="F256" t="s">
        <v>6</v>
      </c>
      <c r="G256" t="s">
        <v>5</v>
      </c>
      <c r="H256">
        <v>2000</v>
      </c>
      <c r="I256">
        <v>4000</v>
      </c>
      <c r="J256" t="s">
        <v>10</v>
      </c>
      <c r="K256">
        <v>110</v>
      </c>
      <c r="L256">
        <v>46000</v>
      </c>
      <c r="M256">
        <v>84.138999999999996</v>
      </c>
      <c r="N256">
        <v>46193</v>
      </c>
      <c r="O256" t="s">
        <v>2833</v>
      </c>
      <c r="P256" t="s">
        <v>2833</v>
      </c>
      <c r="Q256" t="s">
        <v>2833</v>
      </c>
      <c r="R256">
        <f ca="1">RAND()*(Validation[[#This Row],[Range1_High]]-Validation[[#This Row],[Range1_Low]])+Validation[[#This Row],[Range1_Low]]</f>
        <v>6.3769224281706352E-2</v>
      </c>
      <c r="S256">
        <f>Validation[[#This Row],[Range2_High]]</f>
        <v>4000</v>
      </c>
      <c r="T256" t="str" cm="1">
        <f t="array" aca="1" ref="T256" ca="1">RoundToTwoSigFigs(Validation[[#This Row],[Test Reading]]*Validation[[#This Row],[Mult]]+Validation[[#This Row],[Base]]) &amp;" "&amp;Validation[[#This Row],[Uncert_Units]]</f>
        <v>3000 µV</v>
      </c>
      <c r="U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µV</v>
      </c>
      <c r="V256" t="b">
        <f ca="1">Validation[[#This Row],[Desired Result]]=Validation[[#This Row],[Result]]</f>
        <v>1</v>
      </c>
      <c r="W256" t="b">
        <v>1</v>
      </c>
      <c r="X256" t="b">
        <f>Validation[[#This Row],[Range1_Low]]&gt;=Validation[[#This Row],[Range1_High]]</f>
        <v>0</v>
      </c>
      <c r="Y256" s="111" t="s">
        <v>2843</v>
      </c>
    </row>
    <row r="257" spans="1:25" ht="16.5" thickTop="1" thickBot="1" x14ac:dyDescent="0.3">
      <c r="A257" t="s">
        <v>55</v>
      </c>
      <c r="B257" t="s">
        <v>8</v>
      </c>
      <c r="C257" s="113">
        <v>20</v>
      </c>
      <c r="D257" s="113">
        <v>100</v>
      </c>
      <c r="E257">
        <v>1E-3</v>
      </c>
      <c r="F257" t="s">
        <v>6</v>
      </c>
      <c r="G257" t="s">
        <v>4</v>
      </c>
      <c r="H257">
        <v>1E-3</v>
      </c>
      <c r="I257">
        <v>0.04</v>
      </c>
      <c r="J257" t="s">
        <v>10</v>
      </c>
      <c r="K257">
        <v>5</v>
      </c>
      <c r="L257">
        <v>0.23175000000000001</v>
      </c>
      <c r="M257">
        <v>4.6195000000000004</v>
      </c>
      <c r="N257">
        <v>0.23336000000000001</v>
      </c>
      <c r="O257" t="s">
        <v>2833</v>
      </c>
      <c r="P257" t="s">
        <v>2833</v>
      </c>
      <c r="Q257" t="s">
        <v>2833</v>
      </c>
      <c r="R257">
        <f ca="1">RAND()*(Validation[[#This Row],[Range1_High]]-Validation[[#This Row],[Range1_Low]])+Validation[[#This Row],[Range1_Low]]</f>
        <v>27.033305591429048</v>
      </c>
      <c r="S257">
        <f>Validation[[#This Row],[Range2_High]]</f>
        <v>0.04</v>
      </c>
      <c r="T257" t="str" cm="1">
        <f t="array" aca="1" ref="T257" ca="1">RoundToTwoSigFigs(Validation[[#This Row],[Test Reading]]*Validation[[#This Row],[Mult]]+Validation[[#This Row],[Base]]) &amp;" "&amp;Validation[[#This Row],[Uncert_Units]]</f>
        <v>11 mV</v>
      </c>
      <c r="U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mV</v>
      </c>
      <c r="V257" t="b">
        <f ca="1">Validation[[#This Row],[Desired Result]]=Validation[[#This Row],[Result]]</f>
        <v>0</v>
      </c>
      <c r="W257" t="b">
        <v>1</v>
      </c>
      <c r="X257" t="b">
        <f>Validation[[#This Row],[Range1_Low]]&gt;=Validation[[#This Row],[Range1_High]]</f>
        <v>0</v>
      </c>
      <c r="Y257" s="111" t="s">
        <v>2843</v>
      </c>
    </row>
    <row r="258" spans="1:25" ht="16.5" thickTop="1" thickBot="1" x14ac:dyDescent="0.3">
      <c r="A258" t="s">
        <v>54</v>
      </c>
      <c r="B258" t="s">
        <v>8</v>
      </c>
      <c r="C258" s="113">
        <v>330</v>
      </c>
      <c r="D258" s="113">
        <v>1020.01</v>
      </c>
      <c r="E258">
        <v>0.01</v>
      </c>
      <c r="F258" t="s">
        <v>6</v>
      </c>
      <c r="G258" t="s">
        <v>4</v>
      </c>
      <c r="H258">
        <v>10</v>
      </c>
      <c r="I258">
        <v>10.01</v>
      </c>
      <c r="J258" t="s">
        <v>10</v>
      </c>
      <c r="K258">
        <v>64</v>
      </c>
      <c r="L258">
        <v>1.0355000000000001</v>
      </c>
      <c r="M258">
        <v>29.164999999999999</v>
      </c>
      <c r="N258">
        <v>1.0355000000000001</v>
      </c>
      <c r="O258" t="s">
        <v>2833</v>
      </c>
      <c r="P258" t="s">
        <v>2833</v>
      </c>
      <c r="Q258" t="s">
        <v>2833</v>
      </c>
      <c r="R258">
        <f ca="1">RAND()*(Validation[[#This Row],[Range1_High]]-Validation[[#This Row],[Range1_Low]])+Validation[[#This Row],[Range1_Low]]</f>
        <v>999.5325072311964</v>
      </c>
      <c r="S258">
        <f>Validation[[#This Row],[Range2_High]]</f>
        <v>10.01</v>
      </c>
      <c r="T258" t="str" cm="1">
        <f t="array" aca="1" ref="T258" ca="1">RoundToTwoSigFigs(Validation[[#This Row],[Test Reading]]*Validation[[#This Row],[Mult]]+Validation[[#This Row],[Base]]) &amp;" "&amp;Validation[[#This Row],[Uncert_Units]]</f>
        <v>1100 mV</v>
      </c>
      <c r="U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V258" t="b">
        <f ca="1">Validation[[#This Row],[Desired Result]]=Validation[[#This Row],[Result]]</f>
        <v>1</v>
      </c>
      <c r="W258" t="b">
        <v>1</v>
      </c>
      <c r="X258" t="b">
        <f>Validation[[#This Row],[Range1_Low]]&gt;=Validation[[#This Row],[Range1_High]]</f>
        <v>0</v>
      </c>
      <c r="Y258" s="111" t="s">
        <v>2843</v>
      </c>
    </row>
    <row r="259" spans="1:25" ht="16.5" thickTop="1" thickBot="1" x14ac:dyDescent="0.3">
      <c r="A259" t="s">
        <v>55</v>
      </c>
      <c r="B259" t="s">
        <v>8</v>
      </c>
      <c r="C259" s="113">
        <v>0.01</v>
      </c>
      <c r="D259" s="113">
        <v>0.1</v>
      </c>
      <c r="E259">
        <v>1.0000000000000001E-5</v>
      </c>
      <c r="F259" t="s">
        <v>6</v>
      </c>
      <c r="G259" t="s">
        <v>5</v>
      </c>
      <c r="H259">
        <v>1E-3</v>
      </c>
      <c r="I259">
        <v>0.04</v>
      </c>
      <c r="J259" t="s">
        <v>10</v>
      </c>
      <c r="K259">
        <v>7.7286000000000001</v>
      </c>
      <c r="L259">
        <v>70.834999999999994</v>
      </c>
      <c r="M259">
        <v>7.7257999999999996</v>
      </c>
      <c r="N259">
        <v>70.789000000000001</v>
      </c>
      <c r="O259" t="s">
        <v>2833</v>
      </c>
      <c r="P259" t="s">
        <v>2833</v>
      </c>
      <c r="Q259" t="s">
        <v>2833</v>
      </c>
      <c r="R259">
        <f ca="1">RAND()*(Validation[[#This Row],[Range1_High]]-Validation[[#This Row],[Range1_Low]])+Validation[[#This Row],[Range1_Low]]</f>
        <v>4.9938368947295975E-2</v>
      </c>
      <c r="S259">
        <f>Validation[[#This Row],[Range2_High]]</f>
        <v>0.04</v>
      </c>
      <c r="T259" t="str" cm="1">
        <f t="array" aca="1" ref="T259" ca="1">RoundToTwoSigFigs(Validation[[#This Row],[Test Reading]]*Validation[[#This Row],[Mult]]+Validation[[#This Row],[Base]]) &amp;" "&amp;Validation[[#This Row],[Uncert_Units]]</f>
        <v>11 µV</v>
      </c>
      <c r="U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V259" t="b">
        <f ca="1">Validation[[#This Row],[Desired Result]]=Validation[[#This Row],[Result]]</f>
        <v>1</v>
      </c>
      <c r="W259" t="b">
        <v>1</v>
      </c>
      <c r="X259" t="b">
        <f>Validation[[#This Row],[Range1_Low]]&gt;=Validation[[#This Row],[Range1_High]]</f>
        <v>0</v>
      </c>
      <c r="Y259" s="111" t="s">
        <v>2843</v>
      </c>
    </row>
    <row r="260" spans="1:25" ht="16.5" thickTop="1" thickBot="1" x14ac:dyDescent="0.3">
      <c r="A260" t="s">
        <v>55</v>
      </c>
      <c r="B260" t="s">
        <v>8</v>
      </c>
      <c r="C260" s="113">
        <v>100</v>
      </c>
      <c r="D260" s="113">
        <v>330</v>
      </c>
      <c r="E260">
        <v>1E-3</v>
      </c>
      <c r="F260" t="s">
        <v>6</v>
      </c>
      <c r="G260" t="s">
        <v>4</v>
      </c>
      <c r="H260">
        <v>0.04</v>
      </c>
      <c r="I260">
        <v>1</v>
      </c>
      <c r="J260" t="s">
        <v>10</v>
      </c>
      <c r="K260">
        <v>25</v>
      </c>
      <c r="L260">
        <v>0.46067000000000002</v>
      </c>
      <c r="M260">
        <v>23.036999999999999</v>
      </c>
      <c r="N260">
        <v>0.46337</v>
      </c>
      <c r="O260" t="s">
        <v>2833</v>
      </c>
      <c r="P260" t="s">
        <v>2833</v>
      </c>
      <c r="Q260" t="s">
        <v>2833</v>
      </c>
      <c r="R260">
        <f ca="1">RAND()*(Validation[[#This Row],[Range1_High]]-Validation[[#This Row],[Range1_Low]])+Validation[[#This Row],[Range1_Low]]</f>
        <v>158.26984481142733</v>
      </c>
      <c r="S260">
        <f>Validation[[#This Row],[Range2_High]]</f>
        <v>1</v>
      </c>
      <c r="T260" t="str" cm="1">
        <f t="array" aca="1" ref="T260" ca="1">RoundToTwoSigFigs(Validation[[#This Row],[Test Reading]]*Validation[[#This Row],[Mult]]+Validation[[#This Row],[Base]]) &amp;" "&amp;Validation[[#This Row],[Uncert_Units]]</f>
        <v>98 mV</v>
      </c>
      <c r="U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260" t="b">
        <f ca="1">Validation[[#This Row],[Desired Result]]=Validation[[#This Row],[Result]]</f>
        <v>0</v>
      </c>
      <c r="W260" t="b">
        <v>1</v>
      </c>
      <c r="X260" t="b">
        <f>Validation[[#This Row],[Range1_Low]]&gt;=Validation[[#This Row],[Range1_High]]</f>
        <v>0</v>
      </c>
      <c r="Y260" s="111" t="s">
        <v>2843</v>
      </c>
    </row>
    <row r="261" spans="1:25" ht="16.5" thickTop="1" thickBot="1" x14ac:dyDescent="0.3">
      <c r="A261" t="s">
        <v>55</v>
      </c>
      <c r="B261" t="s">
        <v>8</v>
      </c>
      <c r="C261" s="113">
        <v>1</v>
      </c>
      <c r="D261" s="113">
        <v>10</v>
      </c>
      <c r="E261">
        <v>9.9999999999999995E-7</v>
      </c>
      <c r="F261" t="s">
        <v>6</v>
      </c>
      <c r="G261" t="s">
        <v>4</v>
      </c>
      <c r="H261">
        <v>1000</v>
      </c>
      <c r="I261">
        <v>2000</v>
      </c>
      <c r="J261" t="s">
        <v>10</v>
      </c>
      <c r="K261">
        <v>6.1</v>
      </c>
      <c r="L261">
        <v>17</v>
      </c>
      <c r="M261">
        <v>1.1337999999999999</v>
      </c>
      <c r="N261">
        <v>17.486999999999998</v>
      </c>
      <c r="O261" t="s">
        <v>2833</v>
      </c>
      <c r="P261" t="s">
        <v>2833</v>
      </c>
      <c r="Q261" t="s">
        <v>2833</v>
      </c>
      <c r="R261">
        <f ca="1">RAND()*(Validation[[#This Row],[Range1_High]]-Validation[[#This Row],[Range1_Low]])+Validation[[#This Row],[Range1_Low]]</f>
        <v>9.3504079950386387</v>
      </c>
      <c r="S261">
        <f>Validation[[#This Row],[Range2_High]]</f>
        <v>2000</v>
      </c>
      <c r="T261" t="str" cm="1">
        <f t="array" aca="1" ref="T261" ca="1">RoundToTwoSigFigs(Validation[[#This Row],[Test Reading]]*Validation[[#This Row],[Mult]]+Validation[[#This Row],[Base]]) &amp;" "&amp;Validation[[#This Row],[Uncert_Units]]</f>
        <v>170 mV</v>
      </c>
      <c r="U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V261" t="b">
        <f ca="1">Validation[[#This Row],[Desired Result]]=Validation[[#This Row],[Result]]</f>
        <v>1</v>
      </c>
      <c r="W261" t="b">
        <v>1</v>
      </c>
      <c r="X261" t="b">
        <f>Validation[[#This Row],[Range1_Low]]&gt;=Validation[[#This Row],[Range1_High]]</f>
        <v>0</v>
      </c>
      <c r="Y261" s="111" t="s">
        <v>2843</v>
      </c>
    </row>
    <row r="262" spans="1:25" ht="15.75" thickTop="1" x14ac:dyDescent="0.25">
      <c r="A262" t="s">
        <v>54</v>
      </c>
      <c r="B262" t="s">
        <v>8</v>
      </c>
      <c r="C262">
        <v>3.3000000000000002E-2</v>
      </c>
      <c r="D262">
        <v>0.33001000000000003</v>
      </c>
      <c r="E262">
        <v>1E-3</v>
      </c>
      <c r="F262" t="s">
        <v>6</v>
      </c>
      <c r="G262" t="s">
        <v>5</v>
      </c>
      <c r="H262">
        <v>4.4999999999999998E-2</v>
      </c>
      <c r="I262">
        <v>10.00001</v>
      </c>
      <c r="J262" t="s">
        <v>10</v>
      </c>
      <c r="K262">
        <v>579.4</v>
      </c>
      <c r="L262">
        <v>50.965000000000003</v>
      </c>
      <c r="M262">
        <v>579.36</v>
      </c>
      <c r="N262">
        <v>50.969000000000001</v>
      </c>
      <c r="O262" t="s">
        <v>2833</v>
      </c>
      <c r="P262" t="s">
        <v>2833</v>
      </c>
      <c r="Q262" t="s">
        <v>2833</v>
      </c>
      <c r="R262">
        <f ca="1">RAND()*(Validation[[#This Row],[Range1_High]]-Validation[[#This Row],[Range1_Low]])+Validation[[#This Row],[Range1_Low]]</f>
        <v>0.10700521708095662</v>
      </c>
      <c r="S262">
        <f>Validation[[#This Row],[Range2_High]]</f>
        <v>10.00001</v>
      </c>
      <c r="T262" t="str" cm="1">
        <f t="array" aca="1" ref="T262" ca="1">RoundToTwoSigFigs(Validation[[#This Row],[Test Reading]]*Validation[[#This Row],[Mult]]+Validation[[#This Row],[Base]]) &amp;" "&amp;Validation[[#This Row],[Uncert_Units]]</f>
        <v>580 µV</v>
      </c>
      <c r="U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62" t="b">
        <f ca="1">Validation[[#This Row],[Desired Result]]=Validation[[#This Row],[Result]]</f>
        <v>1</v>
      </c>
      <c r="W262" t="b">
        <v>1</v>
      </c>
      <c r="X262" t="b">
        <f>Validation[[#This Row],[Range1_Low]]&gt;=Validation[[#This Row],[Range1_High]]</f>
        <v>0</v>
      </c>
      <c r="Y262" s="111" t="s">
        <v>2845</v>
      </c>
    </row>
    <row r="263" spans="1:25" x14ac:dyDescent="0.25">
      <c r="A263" t="s">
        <v>55</v>
      </c>
      <c r="B263" t="s">
        <v>8</v>
      </c>
      <c r="C263">
        <v>0.1</v>
      </c>
      <c r="D263">
        <v>1</v>
      </c>
      <c r="E263">
        <v>0.01</v>
      </c>
      <c r="F263" t="s">
        <v>6</v>
      </c>
      <c r="G263" t="s">
        <v>5</v>
      </c>
      <c r="H263">
        <v>1E-3</v>
      </c>
      <c r="I263">
        <v>0.04</v>
      </c>
      <c r="J263" t="s">
        <v>10</v>
      </c>
      <c r="K263">
        <v>5773.7</v>
      </c>
      <c r="L263">
        <v>1.2830999999999999</v>
      </c>
      <c r="M263">
        <v>1.2674000000000001</v>
      </c>
      <c r="N263">
        <v>1.2674000000000001</v>
      </c>
      <c r="O263" t="s">
        <v>2833</v>
      </c>
      <c r="P263" t="s">
        <v>2833</v>
      </c>
      <c r="Q263" t="s">
        <v>2833</v>
      </c>
      <c r="R263">
        <f ca="1">RAND()*(Validation[[#This Row],[Range1_High]]-Validation[[#This Row],[Range1_Low]])+Validation[[#This Row],[Range1_Low]]</f>
        <v>0.80171478995066392</v>
      </c>
      <c r="S263">
        <f>Validation[[#This Row],[Range2_High]]</f>
        <v>0.04</v>
      </c>
      <c r="T263" t="str" cm="1">
        <f t="array" aca="1" ref="T263" ca="1">RoundToTwoSigFigs(Validation[[#This Row],[Test Reading]]*Validation[[#This Row],[Mult]]+Validation[[#This Row],[Base]]) &amp;" "&amp;Validation[[#This Row],[Uncert_Units]]</f>
        <v>5800 µV</v>
      </c>
      <c r="U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63" t="b">
        <f ca="1">Validation[[#This Row],[Desired Result]]=Validation[[#This Row],[Result]]</f>
        <v>1</v>
      </c>
      <c r="W263" t="b">
        <v>0</v>
      </c>
      <c r="X263" t="b">
        <f>Validation[[#This Row],[Range1_Low]]&gt;=Validation[[#This Row],[Range1_High]]</f>
        <v>0</v>
      </c>
      <c r="Y263" s="111" t="s">
        <v>2845</v>
      </c>
    </row>
    <row r="264" spans="1:25" ht="15.75" thickBot="1" x14ac:dyDescent="0.3">
      <c r="A264" t="s">
        <v>54</v>
      </c>
      <c r="B264" t="s">
        <v>8</v>
      </c>
      <c r="C264">
        <v>3.3</v>
      </c>
      <c r="D264">
        <v>33.000999999999998</v>
      </c>
      <c r="E264">
        <v>1</v>
      </c>
      <c r="F264" t="s">
        <v>6</v>
      </c>
      <c r="G264" t="s">
        <v>4</v>
      </c>
      <c r="H264">
        <v>100</v>
      </c>
      <c r="I264">
        <v>500</v>
      </c>
      <c r="J264" t="s">
        <v>10</v>
      </c>
      <c r="K264">
        <v>579.33000000000004</v>
      </c>
      <c r="L264">
        <v>0.23723</v>
      </c>
      <c r="M264">
        <v>579.33000000000004</v>
      </c>
      <c r="N264">
        <v>0.23716999999999999</v>
      </c>
      <c r="O264" t="s">
        <v>2833</v>
      </c>
      <c r="P264" t="s">
        <v>2833</v>
      </c>
      <c r="Q264" t="s">
        <v>2833</v>
      </c>
      <c r="R264">
        <f ca="1">RAND()*(Validation[[#This Row],[Range1_High]]-Validation[[#This Row],[Range1_Low]])+Validation[[#This Row],[Range1_Low]]</f>
        <v>13.288633415042405</v>
      </c>
      <c r="S264">
        <f>Validation[[#This Row],[Range2_High]]</f>
        <v>500</v>
      </c>
      <c r="T264" t="str" cm="1">
        <f t="array" aca="1" ref="T264" ca="1">RoundToTwoSigFigs(Validation[[#This Row],[Test Reading]]*Validation[[#This Row],[Mult]]+Validation[[#This Row],[Base]]) &amp;" "&amp;Validation[[#This Row],[Uncert_Units]]</f>
        <v>580 mV</v>
      </c>
      <c r="U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264" t="b">
        <f ca="1">Validation[[#This Row],[Desired Result]]=Validation[[#This Row],[Result]]</f>
        <v>1</v>
      </c>
      <c r="W264" t="b">
        <v>0</v>
      </c>
      <c r="X264" t="b">
        <f>Validation[[#This Row],[Range1_Low]]&gt;=Validation[[#This Row],[Range1_High]]</f>
        <v>0</v>
      </c>
      <c r="Y264" s="111" t="s">
        <v>2845</v>
      </c>
    </row>
    <row r="265" spans="1:25" ht="16.5" thickTop="1" thickBot="1" x14ac:dyDescent="0.3">
      <c r="A265" t="s">
        <v>55</v>
      </c>
      <c r="B265" t="s">
        <v>8</v>
      </c>
      <c r="C265" s="113">
        <v>0.1</v>
      </c>
      <c r="D265" s="113">
        <v>1</v>
      </c>
      <c r="E265">
        <v>9.9999999999999995E-8</v>
      </c>
      <c r="F265" t="s">
        <v>6</v>
      </c>
      <c r="G265" t="s">
        <v>5</v>
      </c>
      <c r="H265">
        <v>1000</v>
      </c>
      <c r="I265">
        <v>2000</v>
      </c>
      <c r="J265" t="s">
        <v>10</v>
      </c>
      <c r="K265">
        <v>590</v>
      </c>
      <c r="L265">
        <v>17000</v>
      </c>
      <c r="M265">
        <v>108.37</v>
      </c>
      <c r="N265">
        <v>17479</v>
      </c>
      <c r="O265" t="s">
        <v>2833</v>
      </c>
      <c r="P265" t="s">
        <v>2833</v>
      </c>
      <c r="Q265" t="s">
        <v>2833</v>
      </c>
      <c r="R265">
        <f ca="1">RAND()*(Validation[[#This Row],[Range1_High]]-Validation[[#This Row],[Range1_Low]])+Validation[[#This Row],[Range1_Low]]</f>
        <v>0.84236433357553997</v>
      </c>
      <c r="S265">
        <f>Validation[[#This Row],[Range2_High]]</f>
        <v>2000</v>
      </c>
      <c r="T265" t="str" cm="1">
        <f t="array" aca="1" ref="T265" ca="1">RoundToTwoSigFigs(Validation[[#This Row],[Test Reading]]*Validation[[#This Row],[Mult]]+Validation[[#This Row],[Base]]) &amp;" "&amp;Validation[[#This Row],[Uncert_Units]]</f>
        <v>15000 µV</v>
      </c>
      <c r="U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V265" t="b">
        <f ca="1">Validation[[#This Row],[Desired Result]]=Validation[[#This Row],[Result]]</f>
        <v>0</v>
      </c>
      <c r="W265" t="b">
        <v>1</v>
      </c>
      <c r="X265" t="b">
        <f>Validation[[#This Row],[Range1_Low]]&gt;=Validation[[#This Row],[Range1_High]]</f>
        <v>0</v>
      </c>
      <c r="Y265" s="111" t="s">
        <v>2843</v>
      </c>
    </row>
    <row r="266" spans="1:25" ht="16.5" thickTop="1" thickBot="1" x14ac:dyDescent="0.3">
      <c r="A266" t="s">
        <v>54</v>
      </c>
      <c r="B266" t="s">
        <v>8</v>
      </c>
      <c r="C266" s="113">
        <v>3.3000000000000002E-2</v>
      </c>
      <c r="D266" s="113">
        <v>0.33001000000000003</v>
      </c>
      <c r="E266">
        <v>1E-4</v>
      </c>
      <c r="F266" t="s">
        <v>6</v>
      </c>
      <c r="G266" t="s">
        <v>5</v>
      </c>
      <c r="H266">
        <v>0.01</v>
      </c>
      <c r="I266">
        <v>4.5010000000000001E-2</v>
      </c>
      <c r="J266" t="s">
        <v>10</v>
      </c>
      <c r="K266">
        <v>55.234000000000002</v>
      </c>
      <c r="L266">
        <v>504.47</v>
      </c>
      <c r="M266">
        <v>55.134999999999998</v>
      </c>
      <c r="N266">
        <v>504.68</v>
      </c>
      <c r="O266" t="s">
        <v>2833</v>
      </c>
      <c r="P266" t="s">
        <v>2833</v>
      </c>
      <c r="Q266" t="s">
        <v>2833</v>
      </c>
      <c r="R266">
        <f ca="1">RAND()*(Validation[[#This Row],[Range1_High]]-Validation[[#This Row],[Range1_Low]])+Validation[[#This Row],[Range1_Low]]</f>
        <v>4.007437727246526E-2</v>
      </c>
      <c r="S266">
        <f>Validation[[#This Row],[Range2_High]]</f>
        <v>4.5010000000000001E-2</v>
      </c>
      <c r="T266" t="str" cm="1">
        <f t="array" aca="1" ref="T266" ca="1">RoundToTwoSigFigs(Validation[[#This Row],[Test Reading]]*Validation[[#This Row],[Mult]]+Validation[[#This Row],[Base]]) &amp;" "&amp;Validation[[#This Row],[Uncert_Units]]</f>
        <v>75 µV</v>
      </c>
      <c r="U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V266" t="b">
        <f ca="1">Validation[[#This Row],[Desired Result]]=Validation[[#This Row],[Result]]</f>
        <v>1</v>
      </c>
      <c r="W266" t="b">
        <v>1</v>
      </c>
      <c r="X266" t="b">
        <f>Validation[[#This Row],[Range1_Low]]&gt;=Validation[[#This Row],[Range1_High]]</f>
        <v>0</v>
      </c>
      <c r="Y266" s="111" t="s">
        <v>2843</v>
      </c>
    </row>
    <row r="267" spans="1:25" ht="16.5" thickTop="1" thickBot="1" x14ac:dyDescent="0.3">
      <c r="A267" t="s">
        <v>55</v>
      </c>
      <c r="B267" t="s">
        <v>8</v>
      </c>
      <c r="C267">
        <v>0</v>
      </c>
      <c r="D267">
        <v>0.01</v>
      </c>
      <c r="E267">
        <v>0.01</v>
      </c>
      <c r="F267" t="s">
        <v>6</v>
      </c>
      <c r="G267" t="s">
        <v>5</v>
      </c>
      <c r="H267">
        <v>1000</v>
      </c>
      <c r="I267">
        <v>4000</v>
      </c>
      <c r="J267" t="s">
        <v>10</v>
      </c>
      <c r="K267">
        <v>5773.1</v>
      </c>
      <c r="L267">
        <v>5803.4</v>
      </c>
      <c r="M267">
        <v>5766</v>
      </c>
      <c r="N267">
        <v>5798.9</v>
      </c>
      <c r="O267" t="s">
        <v>2833</v>
      </c>
      <c r="P267" t="s">
        <v>2833</v>
      </c>
      <c r="Q267" t="s">
        <v>2833</v>
      </c>
      <c r="R267">
        <f ca="1">RAND()*(Validation[[#This Row],[Range1_High]]-Validation[[#This Row],[Range1_Low]])+Validation[[#This Row],[Range1_Low]]</f>
        <v>4.4012559011726293E-3</v>
      </c>
      <c r="S267">
        <f>Validation[[#This Row],[Range2_High]]</f>
        <v>4000</v>
      </c>
      <c r="T267" t="str" cm="1">
        <f t="array" aca="1" ref="T267" ca="1">RoundToTwoSigFigs(Validation[[#This Row],[Test Reading]]*Validation[[#This Row],[Mult]]+Validation[[#This Row],[Base]]) &amp;" "&amp;Validation[[#This Row],[Uncert_Units]]</f>
        <v>5800 µV</v>
      </c>
      <c r="U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67" t="b">
        <f ca="1">Validation[[#This Row],[Desired Result]]=Validation[[#This Row],[Result]]</f>
        <v>1</v>
      </c>
      <c r="W267" t="b">
        <v>0</v>
      </c>
      <c r="X267" t="b">
        <f>Validation[[#This Row],[Range1_Low]]&gt;=Validation[[#This Row],[Range1_High]]</f>
        <v>0</v>
      </c>
      <c r="Y267" s="111" t="s">
        <v>2845</v>
      </c>
    </row>
    <row r="268" spans="1:25" ht="16.5" thickTop="1" thickBot="1" x14ac:dyDescent="0.3">
      <c r="A268" t="s">
        <v>54</v>
      </c>
      <c r="B268" t="s">
        <v>8</v>
      </c>
      <c r="C268" s="113">
        <v>0.33</v>
      </c>
      <c r="D268" s="113">
        <v>3.3001</v>
      </c>
      <c r="E268">
        <v>0.01</v>
      </c>
      <c r="F268" t="s">
        <v>6</v>
      </c>
      <c r="G268" t="s">
        <v>4</v>
      </c>
      <c r="H268">
        <v>100</v>
      </c>
      <c r="I268">
        <v>500</v>
      </c>
      <c r="J268" t="s">
        <v>10</v>
      </c>
      <c r="K268">
        <v>4.9001000000000001</v>
      </c>
      <c r="L268">
        <v>4.8711000000000002</v>
      </c>
      <c r="M268">
        <v>4.8981000000000003</v>
      </c>
      <c r="N268">
        <v>4.8712999999999997</v>
      </c>
      <c r="O268" t="s">
        <v>2833</v>
      </c>
      <c r="P268" t="s">
        <v>2833</v>
      </c>
      <c r="Q268" t="s">
        <v>2833</v>
      </c>
      <c r="R268">
        <f ca="1">RAND()*(Validation[[#This Row],[Range1_High]]-Validation[[#This Row],[Range1_Low]])+Validation[[#This Row],[Range1_Low]]</f>
        <v>1.0971495989154201</v>
      </c>
      <c r="S268">
        <f>Validation[[#This Row],[Range2_High]]</f>
        <v>500</v>
      </c>
      <c r="T268" t="str" cm="1">
        <f t="array" aca="1" ref="T268" ca="1">RoundToTwoSigFigs(Validation[[#This Row],[Test Reading]]*Validation[[#This Row],[Mult]]+Validation[[#This Row],[Base]]) &amp;" "&amp;Validation[[#This Row],[Uncert_Units]]</f>
        <v>10 mV</v>
      </c>
      <c r="U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V268" t="b">
        <f ca="1">Validation[[#This Row],[Desired Result]]=Validation[[#This Row],[Result]]</f>
        <v>1</v>
      </c>
      <c r="W268" t="b">
        <v>1</v>
      </c>
      <c r="X268" t="b">
        <f>Validation[[#This Row],[Range1_Low]]&gt;=Validation[[#This Row],[Range1_High]]</f>
        <v>0</v>
      </c>
      <c r="Y268" s="111" t="s">
        <v>2843</v>
      </c>
    </row>
    <row r="269" spans="1:25" ht="16.5" thickTop="1" thickBot="1" x14ac:dyDescent="0.3">
      <c r="A269" t="s">
        <v>55</v>
      </c>
      <c r="B269" t="s">
        <v>8</v>
      </c>
      <c r="C269">
        <v>330</v>
      </c>
      <c r="D269">
        <v>1000</v>
      </c>
      <c r="E269">
        <v>1</v>
      </c>
      <c r="F269" t="s">
        <v>6</v>
      </c>
      <c r="G269" t="s">
        <v>4</v>
      </c>
      <c r="H269">
        <v>1</v>
      </c>
      <c r="I269">
        <v>10</v>
      </c>
      <c r="J269" t="s">
        <v>10</v>
      </c>
      <c r="K269">
        <v>547.47</v>
      </c>
      <c r="L269">
        <v>0.37317</v>
      </c>
      <c r="M269">
        <v>547.4</v>
      </c>
      <c r="N269">
        <v>0.37309999999999999</v>
      </c>
      <c r="O269" t="s">
        <v>2833</v>
      </c>
      <c r="P269" t="s">
        <v>2833</v>
      </c>
      <c r="Q269" t="s">
        <v>2833</v>
      </c>
      <c r="R269">
        <f ca="1">RAND()*(Validation[[#This Row],[Range1_High]]-Validation[[#This Row],[Range1_Low]])+Validation[[#This Row],[Range1_Low]]</f>
        <v>873.60974333279205</v>
      </c>
      <c r="S269">
        <f>Validation[[#This Row],[Range2_High]]</f>
        <v>10</v>
      </c>
      <c r="T269" t="str" cm="1">
        <f t="array" aca="1" ref="T269" ca="1">RoundToTwoSigFigs(Validation[[#This Row],[Test Reading]]*Validation[[#This Row],[Mult]]+Validation[[#This Row],[Base]]) &amp;" "&amp;Validation[[#This Row],[Uncert_Units]]</f>
        <v>870 mV</v>
      </c>
      <c r="U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mV</v>
      </c>
      <c r="V269" t="b">
        <f ca="1">Validation[[#This Row],[Desired Result]]=Validation[[#This Row],[Result]]</f>
        <v>1</v>
      </c>
      <c r="W269" t="b">
        <v>0</v>
      </c>
      <c r="X269" t="b">
        <f>Validation[[#This Row],[Range1_Low]]&gt;=Validation[[#This Row],[Range1_High]]</f>
        <v>0</v>
      </c>
      <c r="Y269" s="111" t="s">
        <v>2845</v>
      </c>
    </row>
    <row r="270" spans="1:25" ht="16.5" thickTop="1" thickBot="1" x14ac:dyDescent="0.3">
      <c r="A270" t="s">
        <v>54</v>
      </c>
      <c r="B270" t="s">
        <v>8</v>
      </c>
      <c r="C270" s="113">
        <v>330</v>
      </c>
      <c r="D270" s="113">
        <v>1020.01</v>
      </c>
      <c r="E270">
        <v>0.1</v>
      </c>
      <c r="F270" t="s">
        <v>6</v>
      </c>
      <c r="G270" t="s">
        <v>4</v>
      </c>
      <c r="H270">
        <v>10</v>
      </c>
      <c r="I270">
        <v>10.01</v>
      </c>
      <c r="J270" t="s">
        <v>10</v>
      </c>
      <c r="K270">
        <v>426.17</v>
      </c>
      <c r="L270">
        <v>0.78768000000000005</v>
      </c>
      <c r="M270">
        <v>426.19</v>
      </c>
      <c r="N270">
        <v>0.7873</v>
      </c>
      <c r="O270" t="s">
        <v>2833</v>
      </c>
      <c r="P270" t="s">
        <v>2833</v>
      </c>
      <c r="Q270" t="s">
        <v>2833</v>
      </c>
      <c r="R270">
        <f ca="1">RAND()*(Validation[[#This Row],[Range1_High]]-Validation[[#This Row],[Range1_Low]])+Validation[[#This Row],[Range1_Low]]</f>
        <v>712.41435600434193</v>
      </c>
      <c r="S270">
        <f>Validation[[#This Row],[Range2_High]]</f>
        <v>10.01</v>
      </c>
      <c r="T270" t="str" cm="1">
        <f t="array" aca="1" ref="T270" ca="1">RoundToTwoSigFigs(Validation[[#This Row],[Test Reading]]*Validation[[#This Row],[Mult]]+Validation[[#This Row],[Base]]) &amp;" "&amp;Validation[[#This Row],[Uncert_Units]]</f>
        <v>990 mV</v>
      </c>
      <c r="U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mV</v>
      </c>
      <c r="V270" t="b">
        <f ca="1">Validation[[#This Row],[Desired Result]]=Validation[[#This Row],[Result]]</f>
        <v>1</v>
      </c>
      <c r="W270" t="b">
        <v>1</v>
      </c>
      <c r="X270" t="b">
        <f>Validation[[#This Row],[Range1_Low]]&gt;=Validation[[#This Row],[Range1_High]]</f>
        <v>0</v>
      </c>
      <c r="Y270" s="111" t="s">
        <v>2843</v>
      </c>
    </row>
    <row r="271" spans="1:25" ht="16.5" thickTop="1" thickBot="1" x14ac:dyDescent="0.3">
      <c r="A271" t="s">
        <v>55</v>
      </c>
      <c r="B271" t="s">
        <v>8</v>
      </c>
      <c r="C271" s="113">
        <v>0.1</v>
      </c>
      <c r="D271" s="113">
        <v>1</v>
      </c>
      <c r="E271">
        <v>1E-4</v>
      </c>
      <c r="F271" t="s">
        <v>6</v>
      </c>
      <c r="G271" t="s">
        <v>4</v>
      </c>
      <c r="H271">
        <v>2000</v>
      </c>
      <c r="I271">
        <v>4000</v>
      </c>
      <c r="J271" t="s">
        <v>10</v>
      </c>
      <c r="K271">
        <v>1.2</v>
      </c>
      <c r="L271">
        <v>46.03</v>
      </c>
      <c r="M271">
        <v>0.80149999999999999</v>
      </c>
      <c r="N271">
        <v>46.325000000000003</v>
      </c>
      <c r="O271" t="s">
        <v>2833</v>
      </c>
      <c r="P271" t="s">
        <v>2833</v>
      </c>
      <c r="Q271" t="s">
        <v>2833</v>
      </c>
      <c r="R271">
        <f ca="1">RAND()*(Validation[[#This Row],[Range1_High]]-Validation[[#This Row],[Range1_Low]])+Validation[[#This Row],[Range1_Low]]</f>
        <v>0.48034922686926296</v>
      </c>
      <c r="S271">
        <f>Validation[[#This Row],[Range2_High]]</f>
        <v>4000</v>
      </c>
      <c r="T271" t="str" cm="1">
        <f t="array" aca="1" ref="T271" ca="1">RoundToTwoSigFigs(Validation[[#This Row],[Test Reading]]*Validation[[#This Row],[Mult]]+Validation[[#This Row],[Base]]) &amp;" "&amp;Validation[[#This Row],[Uncert_Units]]</f>
        <v>23 mV</v>
      </c>
      <c r="U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V271" t="b">
        <f ca="1">Validation[[#This Row],[Desired Result]]=Validation[[#This Row],[Result]]</f>
        <v>1</v>
      </c>
      <c r="W271" t="b">
        <v>1</v>
      </c>
      <c r="X271" t="b">
        <f>Validation[[#This Row],[Range1_Low]]&gt;=Validation[[#This Row],[Range1_High]]</f>
        <v>0</v>
      </c>
      <c r="Y271" s="111" t="s">
        <v>2843</v>
      </c>
    </row>
    <row r="272" spans="1:25" ht="16.5" thickTop="1" thickBot="1" x14ac:dyDescent="0.3">
      <c r="A272" t="s">
        <v>54</v>
      </c>
      <c r="B272" t="s">
        <v>8</v>
      </c>
      <c r="C272" s="113">
        <v>33</v>
      </c>
      <c r="D272" s="113">
        <v>330.01</v>
      </c>
      <c r="E272">
        <v>0.01</v>
      </c>
      <c r="F272" t="s">
        <v>6</v>
      </c>
      <c r="G272" t="s">
        <v>4</v>
      </c>
      <c r="H272">
        <v>100</v>
      </c>
      <c r="I272">
        <v>100.1</v>
      </c>
      <c r="J272" t="s">
        <v>10</v>
      </c>
      <c r="K272">
        <v>92.063000000000002</v>
      </c>
      <c r="L272">
        <v>2.7852999999999999</v>
      </c>
      <c r="M272">
        <v>92.033000000000001</v>
      </c>
      <c r="N272">
        <v>2.7854000000000001</v>
      </c>
      <c r="O272" t="s">
        <v>2833</v>
      </c>
      <c r="P272" t="s">
        <v>2833</v>
      </c>
      <c r="Q272" t="s">
        <v>2833</v>
      </c>
      <c r="R272">
        <f ca="1">RAND()*(Validation[[#This Row],[Range1_High]]-Validation[[#This Row],[Range1_Low]])+Validation[[#This Row],[Range1_Low]]</f>
        <v>220.79641443791448</v>
      </c>
      <c r="S272">
        <f>Validation[[#This Row],[Range2_High]]</f>
        <v>100.1</v>
      </c>
      <c r="T272" t="str" cm="1">
        <f t="array" aca="1" ref="T272" ca="1">RoundToTwoSigFigs(Validation[[#This Row],[Test Reading]]*Validation[[#This Row],[Mult]]+Validation[[#This Row],[Base]]) &amp;" "&amp;Validation[[#This Row],[Uncert_Units]]</f>
        <v>710 mV</v>
      </c>
      <c r="U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V272" t="b">
        <f ca="1">Validation[[#This Row],[Desired Result]]=Validation[[#This Row],[Result]]</f>
        <v>1</v>
      </c>
      <c r="W272" t="b">
        <v>1</v>
      </c>
      <c r="X272" t="b">
        <f>Validation[[#This Row],[Range1_Low]]&gt;=Validation[[#This Row],[Range1_High]]</f>
        <v>0</v>
      </c>
      <c r="Y272" s="111" t="s">
        <v>2843</v>
      </c>
    </row>
    <row r="273" spans="1:25" ht="16.5" thickTop="1" thickBot="1" x14ac:dyDescent="0.3">
      <c r="A273" t="s">
        <v>55</v>
      </c>
      <c r="B273" t="s">
        <v>8</v>
      </c>
      <c r="C273" s="113">
        <v>20</v>
      </c>
      <c r="D273" s="113">
        <v>100</v>
      </c>
      <c r="E273">
        <v>1E-4</v>
      </c>
      <c r="F273" t="s">
        <v>6</v>
      </c>
      <c r="G273" t="s">
        <v>4</v>
      </c>
      <c r="H273">
        <v>1</v>
      </c>
      <c r="I273">
        <v>20</v>
      </c>
      <c r="J273" t="s">
        <v>10</v>
      </c>
      <c r="K273">
        <v>4.9000000000000004</v>
      </c>
      <c r="L273">
        <v>0.21</v>
      </c>
      <c r="M273">
        <v>4.8564999999999996</v>
      </c>
      <c r="N273">
        <v>0.20787</v>
      </c>
      <c r="O273" t="s">
        <v>2833</v>
      </c>
      <c r="P273" t="s">
        <v>2833</v>
      </c>
      <c r="Q273" t="s">
        <v>2833</v>
      </c>
      <c r="R273">
        <f ca="1">RAND()*(Validation[[#This Row],[Range1_High]]-Validation[[#This Row],[Range1_Low]])+Validation[[#This Row],[Range1_Low]]</f>
        <v>24.306114200230382</v>
      </c>
      <c r="S273">
        <f>Validation[[#This Row],[Range2_High]]</f>
        <v>20</v>
      </c>
      <c r="T273" t="str" cm="1">
        <f t="array" aca="1" ref="T273" ca="1">RoundToTwoSigFigs(Validation[[#This Row],[Test Reading]]*Validation[[#This Row],[Mult]]+Validation[[#This Row],[Base]]) &amp;" "&amp;Validation[[#This Row],[Uncert_Units]]</f>
        <v>10 mV</v>
      </c>
      <c r="U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V273" t="b">
        <f ca="1">Validation[[#This Row],[Desired Result]]=Validation[[#This Row],[Result]]</f>
        <v>0</v>
      </c>
      <c r="W273" t="b">
        <v>1</v>
      </c>
      <c r="X273" t="b">
        <f>Validation[[#This Row],[Range1_Low]]&gt;=Validation[[#This Row],[Range1_High]]</f>
        <v>0</v>
      </c>
      <c r="Y273" s="111" t="s">
        <v>2843</v>
      </c>
    </row>
    <row r="274" spans="1:25" ht="15.75" thickTop="1" x14ac:dyDescent="0.25">
      <c r="A274" t="s">
        <v>55</v>
      </c>
      <c r="B274" t="s">
        <v>8</v>
      </c>
      <c r="C274">
        <v>0.1</v>
      </c>
      <c r="D274">
        <v>1</v>
      </c>
      <c r="E274">
        <v>1E-3</v>
      </c>
      <c r="F274" t="s">
        <v>6</v>
      </c>
      <c r="G274" t="s">
        <v>5</v>
      </c>
      <c r="H274">
        <v>20</v>
      </c>
      <c r="I274">
        <v>50</v>
      </c>
      <c r="J274" t="s">
        <v>10</v>
      </c>
      <c r="K274">
        <v>568.73</v>
      </c>
      <c r="L274">
        <v>117.17</v>
      </c>
      <c r="M274">
        <v>568.57000000000005</v>
      </c>
      <c r="N274">
        <v>116.91</v>
      </c>
      <c r="O274" t="s">
        <v>2833</v>
      </c>
      <c r="P274" t="s">
        <v>2833</v>
      </c>
      <c r="Q274" t="s">
        <v>2833</v>
      </c>
      <c r="R274">
        <f ca="1">RAND()*(Validation[[#This Row],[Range1_High]]-Validation[[#This Row],[Range1_Low]])+Validation[[#This Row],[Range1_Low]]</f>
        <v>0.96225879914268919</v>
      </c>
      <c r="S274">
        <f>Validation[[#This Row],[Range2_High]]</f>
        <v>50</v>
      </c>
      <c r="T274" t="str" cm="1">
        <f t="array" aca="1" ref="T274" ca="1">RoundToTwoSigFigs(Validation[[#This Row],[Test Reading]]*Validation[[#This Row],[Mult]]+Validation[[#This Row],[Base]]) &amp;" "&amp;Validation[[#This Row],[Uncert_Units]]</f>
        <v>680 µV</v>
      </c>
      <c r="U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V274" t="b">
        <f ca="1">Validation[[#This Row],[Desired Result]]=Validation[[#This Row],[Result]]</f>
        <v>1</v>
      </c>
      <c r="W274" t="b">
        <v>0</v>
      </c>
      <c r="X274" t="b">
        <f>Validation[[#This Row],[Range1_Low]]&gt;=Validation[[#This Row],[Range1_High]]</f>
        <v>0</v>
      </c>
      <c r="Y274" s="111" t="s">
        <v>2845</v>
      </c>
    </row>
    <row r="275" spans="1:25" ht="15.75" thickBot="1" x14ac:dyDescent="0.3">
      <c r="A275" t="s">
        <v>55</v>
      </c>
      <c r="B275" t="s">
        <v>8</v>
      </c>
      <c r="C275">
        <v>0</v>
      </c>
      <c r="D275">
        <v>0.01</v>
      </c>
      <c r="E275">
        <v>9.9999999999999995E-8</v>
      </c>
      <c r="F275" t="s">
        <v>6</v>
      </c>
      <c r="G275" t="s">
        <v>5</v>
      </c>
      <c r="H275">
        <v>0.04</v>
      </c>
      <c r="I275">
        <v>1</v>
      </c>
      <c r="J275" t="s">
        <v>10</v>
      </c>
      <c r="K275">
        <v>3</v>
      </c>
      <c r="L275">
        <v>162.76</v>
      </c>
      <c r="M275">
        <v>2.9731000000000001</v>
      </c>
      <c r="N275">
        <v>162.66999999999999</v>
      </c>
      <c r="O275" t="s">
        <v>2833</v>
      </c>
      <c r="P275" t="s">
        <v>2833</v>
      </c>
      <c r="Q275" t="s">
        <v>2833</v>
      </c>
      <c r="R275">
        <f ca="1">RAND()*(Validation[[#This Row],[Range1_High]]-Validation[[#This Row],[Range1_Low]])+Validation[[#This Row],[Range1_Low]]</f>
        <v>6.77923945653986E-3</v>
      </c>
      <c r="S275">
        <f>Validation[[#This Row],[Range2_High]]</f>
        <v>1</v>
      </c>
      <c r="T275" t="str" cm="1">
        <f t="array" aca="1" ref="T275" ca="1">RoundToTwoSigFigs(Validation[[#This Row],[Test Reading]]*Validation[[#This Row],[Mult]]+Validation[[#This Row],[Base]]) &amp;" "&amp;Validation[[#This Row],[Uncert_Units]]</f>
        <v>4.1 µV</v>
      </c>
      <c r="U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µV</v>
      </c>
      <c r="V275" t="b">
        <f ca="1">Validation[[#This Row],[Desired Result]]=Validation[[#This Row],[Result]]</f>
        <v>1</v>
      </c>
      <c r="W275" t="b">
        <v>0</v>
      </c>
      <c r="X275" t="b">
        <f>Validation[[#This Row],[Range1_Low]]&gt;=Validation[[#This Row],[Range1_High]]</f>
        <v>0</v>
      </c>
      <c r="Y275" s="111" t="s">
        <v>2845</v>
      </c>
    </row>
    <row r="276" spans="1:25" ht="16.5" thickTop="1" thickBot="1" x14ac:dyDescent="0.3">
      <c r="A276" t="s">
        <v>68</v>
      </c>
      <c r="B276" t="s">
        <v>8</v>
      </c>
      <c r="C276" s="113">
        <v>1</v>
      </c>
      <c r="D276" s="113">
        <v>10</v>
      </c>
      <c r="E276">
        <v>0.01</v>
      </c>
      <c r="F276" t="s">
        <v>6</v>
      </c>
      <c r="G276" t="s">
        <v>4</v>
      </c>
      <c r="H276">
        <v>0.01</v>
      </c>
      <c r="I276">
        <v>2</v>
      </c>
      <c r="J276" t="s">
        <v>10</v>
      </c>
      <c r="K276">
        <v>6.5091000000000001</v>
      </c>
      <c r="L276">
        <v>0.75829999999999997</v>
      </c>
      <c r="M276">
        <v>6.5065999999999997</v>
      </c>
      <c r="N276">
        <v>0.75746000000000002</v>
      </c>
      <c r="O276" t="s">
        <v>2833</v>
      </c>
      <c r="P276" t="s">
        <v>2833</v>
      </c>
      <c r="Q276" t="s">
        <v>2833</v>
      </c>
      <c r="R276">
        <f ca="1">RAND()*(Validation[[#This Row],[Range1_High]]-Validation[[#This Row],[Range1_Low]])+Validation[[#This Row],[Range1_Low]]</f>
        <v>8.9503554472234832</v>
      </c>
      <c r="S276">
        <f>Validation[[#This Row],[Range2_High]]</f>
        <v>2</v>
      </c>
      <c r="T276" t="str" cm="1">
        <f t="array" aca="1" ref="T276" ca="1">RoundToTwoSigFigs(Validation[[#This Row],[Test Reading]]*Validation[[#This Row],[Mult]]+Validation[[#This Row],[Base]]) &amp;" "&amp;Validation[[#This Row],[Uncert_Units]]</f>
        <v>13 mV</v>
      </c>
      <c r="U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V276" t="b">
        <f ca="1">Validation[[#This Row],[Desired Result]]=Validation[[#This Row],[Result]]</f>
        <v>0</v>
      </c>
      <c r="W276" t="b">
        <v>1</v>
      </c>
      <c r="X276" t="b">
        <f>Validation[[#This Row],[Range1_Low]]&gt;=Validation[[#This Row],[Range1_High]]</f>
        <v>0</v>
      </c>
      <c r="Y276" s="111" t="s">
        <v>2843</v>
      </c>
    </row>
    <row r="277" spans="1:25" ht="16.5" thickTop="1" thickBot="1" x14ac:dyDescent="0.3">
      <c r="A277" t="s">
        <v>55</v>
      </c>
      <c r="B277" t="s">
        <v>8</v>
      </c>
      <c r="C277">
        <v>0.1</v>
      </c>
      <c r="D277">
        <v>1</v>
      </c>
      <c r="E277">
        <v>0.01</v>
      </c>
      <c r="F277" t="s">
        <v>6</v>
      </c>
      <c r="G277" t="s">
        <v>5</v>
      </c>
      <c r="H277">
        <v>1</v>
      </c>
      <c r="I277">
        <v>20</v>
      </c>
      <c r="J277" t="s">
        <v>10</v>
      </c>
      <c r="K277">
        <v>5773.4</v>
      </c>
      <c r="L277">
        <v>3.1917</v>
      </c>
      <c r="M277">
        <v>5770.6</v>
      </c>
      <c r="N277">
        <v>0.31602999999999998</v>
      </c>
      <c r="O277" t="s">
        <v>2833</v>
      </c>
      <c r="P277" t="s">
        <v>2833</v>
      </c>
      <c r="Q277" t="s">
        <v>2833</v>
      </c>
      <c r="R277">
        <f ca="1">RAND()*(Validation[[#This Row],[Range1_High]]-Validation[[#This Row],[Range1_Low]])+Validation[[#This Row],[Range1_Low]]</f>
        <v>0.78255438908421993</v>
      </c>
      <c r="S277">
        <f>Validation[[#This Row],[Range2_High]]</f>
        <v>20</v>
      </c>
      <c r="T277" t="str" cm="1">
        <f t="array" aca="1" ref="T277" ca="1">RoundToTwoSigFigs(Validation[[#This Row],[Test Reading]]*Validation[[#This Row],[Mult]]+Validation[[#This Row],[Base]]) &amp;" "&amp;Validation[[#This Row],[Uncert_Units]]</f>
        <v>5800 µV</v>
      </c>
      <c r="U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77" t="b">
        <f ca="1">Validation[[#This Row],[Desired Result]]=Validation[[#This Row],[Result]]</f>
        <v>1</v>
      </c>
      <c r="W277" t="b">
        <v>0</v>
      </c>
      <c r="X277" t="b">
        <f>Validation[[#This Row],[Range1_Low]]&gt;=Validation[[#This Row],[Range1_High]]</f>
        <v>0</v>
      </c>
      <c r="Y277" s="111" t="s">
        <v>2845</v>
      </c>
    </row>
    <row r="278" spans="1:25" ht="16.5" thickTop="1" thickBot="1" x14ac:dyDescent="0.3">
      <c r="A278" t="s">
        <v>55</v>
      </c>
      <c r="B278" t="s">
        <v>8</v>
      </c>
      <c r="C278" s="113">
        <v>1</v>
      </c>
      <c r="D278" s="113">
        <v>10</v>
      </c>
      <c r="E278">
        <v>1.0000000000000001E-5</v>
      </c>
      <c r="F278" t="s">
        <v>6</v>
      </c>
      <c r="G278" t="s">
        <v>4</v>
      </c>
      <c r="H278">
        <v>20</v>
      </c>
      <c r="I278">
        <v>50</v>
      </c>
      <c r="J278" t="s">
        <v>10</v>
      </c>
      <c r="K278">
        <v>0.24</v>
      </c>
      <c r="L278">
        <v>0.35</v>
      </c>
      <c r="M278">
        <v>0.22972999999999999</v>
      </c>
      <c r="N278">
        <v>0.34775</v>
      </c>
      <c r="O278" t="s">
        <v>2833</v>
      </c>
      <c r="P278" t="s">
        <v>2833</v>
      </c>
      <c r="Q278" t="s">
        <v>2833</v>
      </c>
      <c r="R278">
        <f ca="1">RAND()*(Validation[[#This Row],[Range1_High]]-Validation[[#This Row],[Range1_Low]])+Validation[[#This Row],[Range1_Low]]</f>
        <v>7.5869135866332131</v>
      </c>
      <c r="S278">
        <f>Validation[[#This Row],[Range2_High]]</f>
        <v>50</v>
      </c>
      <c r="T278" t="str" cm="1">
        <f t="array" aca="1" ref="T278" ca="1">RoundToTwoSigFigs(Validation[[#This Row],[Test Reading]]*Validation[[#This Row],[Mult]]+Validation[[#This Row],[Base]]) &amp;" "&amp;Validation[[#This Row],[Uncert_Units]]</f>
        <v>2.9 mV</v>
      </c>
      <c r="U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mV</v>
      </c>
      <c r="V278" t="b">
        <f ca="1">Validation[[#This Row],[Desired Result]]=Validation[[#This Row],[Result]]</f>
        <v>1</v>
      </c>
      <c r="W278" t="b">
        <v>1</v>
      </c>
      <c r="X278" t="b">
        <f>Validation[[#This Row],[Range1_Low]]&gt;=Validation[[#This Row],[Range1_High]]</f>
        <v>0</v>
      </c>
      <c r="Y278" s="111" t="s">
        <v>2843</v>
      </c>
    </row>
    <row r="279" spans="1:25" ht="15.75" thickTop="1" x14ac:dyDescent="0.25">
      <c r="A279" t="s">
        <v>55</v>
      </c>
      <c r="B279" t="s">
        <v>8</v>
      </c>
      <c r="C279">
        <v>0</v>
      </c>
      <c r="D279">
        <v>0.01</v>
      </c>
      <c r="E279">
        <v>1E-8</v>
      </c>
      <c r="F279" t="s">
        <v>6</v>
      </c>
      <c r="G279" t="s">
        <v>5</v>
      </c>
      <c r="H279">
        <v>50</v>
      </c>
      <c r="I279">
        <v>100</v>
      </c>
      <c r="J279" t="s">
        <v>10</v>
      </c>
      <c r="K279">
        <v>8.8000000000000007</v>
      </c>
      <c r="L279">
        <v>5100</v>
      </c>
      <c r="M279">
        <v>8.3102999999999998</v>
      </c>
      <c r="N279">
        <v>5147.5</v>
      </c>
      <c r="O279" t="s">
        <v>2833</v>
      </c>
      <c r="P279" t="s">
        <v>2833</v>
      </c>
      <c r="Q279" t="s">
        <v>2833</v>
      </c>
      <c r="R279">
        <f ca="1">RAND()*(Validation[[#This Row],[Range1_High]]-Validation[[#This Row],[Range1_Low]])+Validation[[#This Row],[Range1_Low]]</f>
        <v>9.4947881348414684E-3</v>
      </c>
      <c r="S279">
        <f>Validation[[#This Row],[Range2_High]]</f>
        <v>100</v>
      </c>
      <c r="T279" t="str" cm="1">
        <f t="array" aca="1" ref="T279" ca="1">RoundToTwoSigFigs(Validation[[#This Row],[Test Reading]]*Validation[[#This Row],[Mult]]+Validation[[#This Row],[Base]]) &amp;" "&amp;Validation[[#This Row],[Uncert_Units]]</f>
        <v>57 µV</v>
      </c>
      <c r="U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V279" t="b">
        <f ca="1">Validation[[#This Row],[Desired Result]]=Validation[[#This Row],[Result]]</f>
        <v>0</v>
      </c>
      <c r="W279" t="b">
        <v>1</v>
      </c>
      <c r="X279" t="b">
        <f>Validation[[#This Row],[Range1_Low]]&gt;=Validation[[#This Row],[Range1_High]]</f>
        <v>0</v>
      </c>
      <c r="Y279" s="111" t="s">
        <v>2845</v>
      </c>
    </row>
    <row r="280" spans="1:25" x14ac:dyDescent="0.25">
      <c r="A280" t="s">
        <v>54</v>
      </c>
      <c r="B280" t="s">
        <v>8</v>
      </c>
      <c r="C280">
        <v>0</v>
      </c>
      <c r="D280">
        <v>3.3009999999999998E-2</v>
      </c>
      <c r="E280">
        <v>1.0000000000000001E-5</v>
      </c>
      <c r="F280" t="s">
        <v>6</v>
      </c>
      <c r="G280" t="s">
        <v>5</v>
      </c>
      <c r="H280">
        <v>20</v>
      </c>
      <c r="I280">
        <v>50.01</v>
      </c>
      <c r="J280" t="s">
        <v>10</v>
      </c>
      <c r="K280">
        <v>24.224</v>
      </c>
      <c r="L280">
        <v>2286.5</v>
      </c>
      <c r="M280">
        <v>24.216000000000001</v>
      </c>
      <c r="N280">
        <v>2286.3000000000002</v>
      </c>
      <c r="O280" t="s">
        <v>2833</v>
      </c>
      <c r="P280" t="s">
        <v>2833</v>
      </c>
      <c r="Q280" t="s">
        <v>2833</v>
      </c>
      <c r="R280">
        <f ca="1">RAND()*(Validation[[#This Row],[Range1_High]]-Validation[[#This Row],[Range1_Low]])+Validation[[#This Row],[Range1_Low]]</f>
        <v>3.0660733121804835E-4</v>
      </c>
      <c r="S280">
        <f>Validation[[#This Row],[Range2_High]]</f>
        <v>50.01</v>
      </c>
      <c r="T280" t="str" cm="1">
        <f t="array" aca="1" ref="T280" ca="1">RoundToTwoSigFigs(Validation[[#This Row],[Test Reading]]*Validation[[#This Row],[Mult]]+Validation[[#This Row],[Base]]) &amp;" "&amp;Validation[[#This Row],[Uncert_Units]]</f>
        <v>25 µV</v>
      </c>
      <c r="U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V280" t="b">
        <f ca="1">Validation[[#This Row],[Desired Result]]=Validation[[#This Row],[Result]]</f>
        <v>0</v>
      </c>
      <c r="W280" t="b">
        <v>1</v>
      </c>
      <c r="X280" t="b">
        <f>Validation[[#This Row],[Range1_Low]]&gt;=Validation[[#This Row],[Range1_High]]</f>
        <v>0</v>
      </c>
      <c r="Y280" s="111" t="s">
        <v>2845</v>
      </c>
    </row>
    <row r="281" spans="1:25" ht="15.75" thickBot="1" x14ac:dyDescent="0.3">
      <c r="A281" t="s">
        <v>55</v>
      </c>
      <c r="B281" t="s">
        <v>8</v>
      </c>
      <c r="C281">
        <v>0</v>
      </c>
      <c r="D281">
        <v>0.01</v>
      </c>
      <c r="E281">
        <v>9.9999999999999995E-8</v>
      </c>
      <c r="F281" t="s">
        <v>6</v>
      </c>
      <c r="G281" t="s">
        <v>5</v>
      </c>
      <c r="H281">
        <v>1000</v>
      </c>
      <c r="I281">
        <v>4000</v>
      </c>
      <c r="J281" t="s">
        <v>10</v>
      </c>
      <c r="K281">
        <v>23</v>
      </c>
      <c r="L281">
        <v>79583</v>
      </c>
      <c r="M281">
        <v>22.678999999999998</v>
      </c>
      <c r="N281">
        <v>79411</v>
      </c>
      <c r="O281" t="s">
        <v>2833</v>
      </c>
      <c r="P281" t="s">
        <v>2833</v>
      </c>
      <c r="Q281" t="s">
        <v>2833</v>
      </c>
      <c r="R281">
        <f ca="1">RAND()*(Validation[[#This Row],[Range1_High]]-Validation[[#This Row],[Range1_Low]])+Validation[[#This Row],[Range1_Low]]</f>
        <v>2.1173449094569641E-4</v>
      </c>
      <c r="S281">
        <f>Validation[[#This Row],[Range2_High]]</f>
        <v>4000</v>
      </c>
      <c r="T281" t="str" cm="1">
        <f t="array" aca="1" ref="T281" ca="1">RoundToTwoSigFigs(Validation[[#This Row],[Test Reading]]*Validation[[#This Row],[Mult]]+Validation[[#This Row],[Base]]) &amp;" "&amp;Validation[[#This Row],[Uncert_Units]]</f>
        <v>40 µV</v>
      </c>
      <c r="U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µV</v>
      </c>
      <c r="V281" t="b">
        <f ca="1">Validation[[#This Row],[Desired Result]]=Validation[[#This Row],[Result]]</f>
        <v>1</v>
      </c>
      <c r="W281" t="b">
        <v>1</v>
      </c>
      <c r="X281" t="b">
        <f>Validation[[#This Row],[Range1_Low]]&gt;=Validation[[#This Row],[Range1_High]]</f>
        <v>0</v>
      </c>
      <c r="Y281" s="111" t="s">
        <v>2845</v>
      </c>
    </row>
    <row r="282" spans="1:25" ht="16.5" thickTop="1" thickBot="1" x14ac:dyDescent="0.3">
      <c r="A282" t="s">
        <v>55</v>
      </c>
      <c r="B282" t="s">
        <v>8</v>
      </c>
      <c r="C282" s="113">
        <v>10</v>
      </c>
      <c r="D282" s="113">
        <v>20</v>
      </c>
      <c r="E282">
        <v>1.0000000000000001E-5</v>
      </c>
      <c r="F282" t="s">
        <v>6</v>
      </c>
      <c r="G282" t="s">
        <v>4</v>
      </c>
      <c r="H282">
        <v>300</v>
      </c>
      <c r="I282">
        <v>1000</v>
      </c>
      <c r="J282" t="s">
        <v>10</v>
      </c>
      <c r="K282">
        <v>19</v>
      </c>
      <c r="L282">
        <v>17</v>
      </c>
      <c r="M282">
        <v>12.388</v>
      </c>
      <c r="N282">
        <v>17.324000000000002</v>
      </c>
      <c r="O282" t="s">
        <v>2833</v>
      </c>
      <c r="P282" t="s">
        <v>2833</v>
      </c>
      <c r="Q282" t="s">
        <v>2833</v>
      </c>
      <c r="R282" s="100">
        <f ca="1">RAND()*(Validation[[#This Row],[Range1_High]]-Validation[[#This Row],[Range1_Low]])+Validation[[#This Row],[Range1_Low]]</f>
        <v>14.328938021942649</v>
      </c>
      <c r="S282">
        <f>Validation[[#This Row],[Range2_High]]</f>
        <v>1000</v>
      </c>
      <c r="T282" t="str" cm="1">
        <f t="array" aca="1" ref="T282" ca="1">RoundToTwoSigFigs(Validation[[#This Row],[Test Reading]]*Validation[[#This Row],[Mult]]+Validation[[#This Row],[Base]]) &amp;" "&amp;Validation[[#This Row],[Uncert_Units]]</f>
        <v>260 mV</v>
      </c>
      <c r="U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V282" t="b">
        <f ca="1">Validation[[#This Row],[Desired Result]]=Validation[[#This Row],[Result]]</f>
        <v>0</v>
      </c>
      <c r="W282" t="b">
        <v>1</v>
      </c>
      <c r="X282" t="b">
        <f>Validation[[#This Row],[Range1_Low]]&gt;=Validation[[#This Row],[Range1_High]]</f>
        <v>0</v>
      </c>
      <c r="Y282" s="111" t="s">
        <v>2844</v>
      </c>
    </row>
    <row r="283" spans="1:25" ht="16.5" thickTop="1" thickBot="1" x14ac:dyDescent="0.3">
      <c r="A283" t="s">
        <v>55</v>
      </c>
      <c r="B283" t="s">
        <v>8</v>
      </c>
      <c r="C283" s="113">
        <v>0.01</v>
      </c>
      <c r="D283" s="113">
        <v>0.1</v>
      </c>
      <c r="E283">
        <v>9.9999999999999995E-7</v>
      </c>
      <c r="F283" t="s">
        <v>6</v>
      </c>
      <c r="G283" t="s">
        <v>5</v>
      </c>
      <c r="H283">
        <v>100</v>
      </c>
      <c r="I283">
        <v>300</v>
      </c>
      <c r="J283" t="s">
        <v>10</v>
      </c>
      <c r="K283">
        <v>12</v>
      </c>
      <c r="L283">
        <v>3500</v>
      </c>
      <c r="M283">
        <v>11.522</v>
      </c>
      <c r="N283">
        <v>3476.1</v>
      </c>
      <c r="O283" t="s">
        <v>2833</v>
      </c>
      <c r="P283" t="s">
        <v>2833</v>
      </c>
      <c r="Q283" t="s">
        <v>2833</v>
      </c>
      <c r="R283">
        <f ca="1">RAND()*(Validation[[#This Row],[Range1_High]]-Validation[[#This Row],[Range1_Low]])+Validation[[#This Row],[Range1_Low]]</f>
        <v>8.9323323895596843E-2</v>
      </c>
      <c r="S283">
        <f>Validation[[#This Row],[Range2_High]]</f>
        <v>300</v>
      </c>
      <c r="T283" t="str" cm="1">
        <f t="array" aca="1" ref="T283" ca="1">RoundToTwoSigFigs(Validation[[#This Row],[Test Reading]]*Validation[[#This Row],[Mult]]+Validation[[#This Row],[Base]]) &amp;" "&amp;Validation[[#This Row],[Uncert_Units]]</f>
        <v>320 µV</v>
      </c>
      <c r="U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V283" t="b">
        <f ca="1">Validation[[#This Row],[Desired Result]]=Validation[[#This Row],[Result]]</f>
        <v>0</v>
      </c>
      <c r="W283" t="b">
        <v>1</v>
      </c>
      <c r="X283" t="b">
        <f>Validation[[#This Row],[Range1_Low]]&gt;=Validation[[#This Row],[Range1_High]]</f>
        <v>0</v>
      </c>
      <c r="Y283" s="111" t="s">
        <v>2843</v>
      </c>
    </row>
    <row r="284" spans="1:25" ht="16.5" thickTop="1" thickBot="1" x14ac:dyDescent="0.3">
      <c r="A284" t="s">
        <v>54</v>
      </c>
      <c r="B284" t="s">
        <v>8</v>
      </c>
      <c r="C284" s="113">
        <v>33</v>
      </c>
      <c r="D284" s="113">
        <v>330.01</v>
      </c>
      <c r="E284">
        <v>1E-3</v>
      </c>
      <c r="F284" t="s">
        <v>6</v>
      </c>
      <c r="G284" t="s">
        <v>4</v>
      </c>
      <c r="H284">
        <v>50</v>
      </c>
      <c r="I284">
        <v>100</v>
      </c>
      <c r="J284" t="s">
        <v>10</v>
      </c>
      <c r="K284">
        <v>92</v>
      </c>
      <c r="L284">
        <v>2.8</v>
      </c>
      <c r="M284">
        <v>91.936999999999998</v>
      </c>
      <c r="N284">
        <v>2.7856000000000001</v>
      </c>
      <c r="O284" t="s">
        <v>2833</v>
      </c>
      <c r="P284" t="s">
        <v>2833</v>
      </c>
      <c r="Q284" t="s">
        <v>2833</v>
      </c>
      <c r="R284">
        <f ca="1">RAND()*(Validation[[#This Row],[Range1_High]]-Validation[[#This Row],[Range1_Low]])+Validation[[#This Row],[Range1_Low]]</f>
        <v>92.742939682459578</v>
      </c>
      <c r="S284">
        <f>Validation[[#This Row],[Range2_High]]</f>
        <v>100</v>
      </c>
      <c r="T284" t="str" cm="1">
        <f t="array" aca="1" ref="T284" ca="1">RoundToTwoSigFigs(Validation[[#This Row],[Test Reading]]*Validation[[#This Row],[Mult]]+Validation[[#This Row],[Base]]) &amp;" "&amp;Validation[[#This Row],[Uncert_Units]]</f>
        <v>350 mV</v>
      </c>
      <c r="U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V284" t="b">
        <f ca="1">Validation[[#This Row],[Desired Result]]=Validation[[#This Row],[Result]]</f>
        <v>1</v>
      </c>
      <c r="W284" t="b">
        <v>1</v>
      </c>
      <c r="X284" t="b">
        <f>Validation[[#This Row],[Range1_Low]]&gt;=Validation[[#This Row],[Range1_High]]</f>
        <v>0</v>
      </c>
      <c r="Y284" s="111" t="s">
        <v>2843</v>
      </c>
    </row>
    <row r="285" spans="1:25" ht="16.5" thickTop="1" thickBot="1" x14ac:dyDescent="0.3">
      <c r="A285" t="s">
        <v>54</v>
      </c>
      <c r="B285" t="s">
        <v>8</v>
      </c>
      <c r="C285" s="113">
        <v>3.3</v>
      </c>
      <c r="D285" s="113">
        <v>33.000999999999998</v>
      </c>
      <c r="E285">
        <v>1E-3</v>
      </c>
      <c r="F285" t="s">
        <v>6</v>
      </c>
      <c r="G285" t="s">
        <v>4</v>
      </c>
      <c r="H285">
        <v>20</v>
      </c>
      <c r="I285">
        <v>50.01</v>
      </c>
      <c r="J285" t="s">
        <v>10</v>
      </c>
      <c r="K285">
        <v>0.73465999999999998</v>
      </c>
      <c r="L285">
        <v>1.1553</v>
      </c>
      <c r="M285">
        <v>0.73165000000000002</v>
      </c>
      <c r="N285">
        <v>1.1554</v>
      </c>
      <c r="O285" t="s">
        <v>2833</v>
      </c>
      <c r="P285" t="s">
        <v>2833</v>
      </c>
      <c r="Q285" t="s">
        <v>2833</v>
      </c>
      <c r="R285">
        <f ca="1">RAND()*(Validation[[#This Row],[Range1_High]]-Validation[[#This Row],[Range1_Low]])+Validation[[#This Row],[Range1_Low]]</f>
        <v>18.222516252105091</v>
      </c>
      <c r="S285">
        <f>Validation[[#This Row],[Range2_High]]</f>
        <v>50.01</v>
      </c>
      <c r="T285" t="str" cm="1">
        <f t="array" aca="1" ref="T285" ca="1">RoundToTwoSigFigs(Validation[[#This Row],[Test Reading]]*Validation[[#This Row],[Mult]]+Validation[[#This Row],[Base]]) &amp;" "&amp;Validation[[#This Row],[Uncert_Units]]</f>
        <v>22 mV</v>
      </c>
      <c r="U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mV</v>
      </c>
      <c r="V285" t="b">
        <f ca="1">Validation[[#This Row],[Desired Result]]=Validation[[#This Row],[Result]]</f>
        <v>0</v>
      </c>
      <c r="W285" t="b">
        <v>1</v>
      </c>
      <c r="X285" t="b">
        <f>Validation[[#This Row],[Range1_Low]]&gt;=Validation[[#This Row],[Range1_High]]</f>
        <v>0</v>
      </c>
      <c r="Y285" s="111" t="s">
        <v>2843</v>
      </c>
    </row>
    <row r="286" spans="1:25" ht="16.5" thickTop="1" thickBot="1" x14ac:dyDescent="0.3">
      <c r="A286" t="s">
        <v>55</v>
      </c>
      <c r="B286" t="s">
        <v>8</v>
      </c>
      <c r="C286" s="113">
        <v>0.01</v>
      </c>
      <c r="D286" s="113">
        <v>0.1</v>
      </c>
      <c r="E286">
        <v>9.9999999999999995E-7</v>
      </c>
      <c r="F286" t="s">
        <v>6</v>
      </c>
      <c r="G286" t="s">
        <v>5</v>
      </c>
      <c r="H286">
        <v>1000</v>
      </c>
      <c r="I286">
        <v>2000</v>
      </c>
      <c r="J286" t="s">
        <v>10</v>
      </c>
      <c r="K286">
        <v>53</v>
      </c>
      <c r="L286">
        <v>17054</v>
      </c>
      <c r="M286">
        <v>11.489000000000001</v>
      </c>
      <c r="N286">
        <v>17414</v>
      </c>
      <c r="O286" t="s">
        <v>2833</v>
      </c>
      <c r="P286" t="s">
        <v>2833</v>
      </c>
      <c r="Q286" t="s">
        <v>2833</v>
      </c>
      <c r="R286">
        <f ca="1">RAND()*(Validation[[#This Row],[Range1_High]]-Validation[[#This Row],[Range1_Low]])+Validation[[#This Row],[Range1_Low]]</f>
        <v>7.1327479638379904E-2</v>
      </c>
      <c r="S286">
        <f>Validation[[#This Row],[Range2_High]]</f>
        <v>2000</v>
      </c>
      <c r="T286" t="str" cm="1">
        <f t="array" aca="1" ref="T286" ca="1">RoundToTwoSigFigs(Validation[[#This Row],[Test Reading]]*Validation[[#This Row],[Mult]]+Validation[[#This Row],[Base]]) &amp;" "&amp;Validation[[#This Row],[Uncert_Units]]</f>
        <v>1300 µV</v>
      </c>
      <c r="U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V286" t="b">
        <f ca="1">Validation[[#This Row],[Desired Result]]=Validation[[#This Row],[Result]]</f>
        <v>1</v>
      </c>
      <c r="W286" t="b">
        <v>1</v>
      </c>
      <c r="X286" t="b">
        <f>Validation[[#This Row],[Range1_Low]]&gt;=Validation[[#This Row],[Range1_High]]</f>
        <v>0</v>
      </c>
      <c r="Y286" s="111" t="s">
        <v>2843</v>
      </c>
    </row>
    <row r="287" spans="1:25" ht="16.5" thickTop="1" thickBot="1" x14ac:dyDescent="0.3">
      <c r="A287" t="s">
        <v>55</v>
      </c>
      <c r="B287" t="s">
        <v>8</v>
      </c>
      <c r="C287" s="113">
        <v>1</v>
      </c>
      <c r="D287" s="113">
        <v>10</v>
      </c>
      <c r="E287">
        <v>9.9999999999999995E-7</v>
      </c>
      <c r="F287" t="s">
        <v>6</v>
      </c>
      <c r="G287" t="s">
        <v>4</v>
      </c>
      <c r="H287">
        <v>4000</v>
      </c>
      <c r="I287">
        <v>8000</v>
      </c>
      <c r="J287" t="s">
        <v>10</v>
      </c>
      <c r="K287">
        <v>15</v>
      </c>
      <c r="L287">
        <v>46</v>
      </c>
      <c r="M287">
        <v>9.1631999999999998</v>
      </c>
      <c r="N287">
        <v>46.576000000000001</v>
      </c>
      <c r="O287" t="s">
        <v>2833</v>
      </c>
      <c r="P287" t="s">
        <v>2833</v>
      </c>
      <c r="Q287" t="s">
        <v>2833</v>
      </c>
      <c r="R287">
        <f ca="1">RAND()*(Validation[[#This Row],[Range1_High]]-Validation[[#This Row],[Range1_Low]])+Validation[[#This Row],[Range1_Low]]</f>
        <v>8.1844929244182971</v>
      </c>
      <c r="S287">
        <f>Validation[[#This Row],[Range2_High]]</f>
        <v>8000</v>
      </c>
      <c r="T287" t="str" cm="1">
        <f t="array" aca="1" ref="T287" ca="1">RoundToTwoSigFigs(Validation[[#This Row],[Test Reading]]*Validation[[#This Row],[Mult]]+Validation[[#This Row],[Base]]) &amp;" "&amp;Validation[[#This Row],[Uncert_Units]]</f>
        <v>390 mV</v>
      </c>
      <c r="U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V287" t="b">
        <f ca="1">Validation[[#This Row],[Desired Result]]=Validation[[#This Row],[Result]]</f>
        <v>0</v>
      </c>
      <c r="W287" t="b">
        <v>1</v>
      </c>
      <c r="X287" t="b">
        <f>Validation[[#This Row],[Range1_Low]]&gt;=Validation[[#This Row],[Range1_High]]</f>
        <v>0</v>
      </c>
      <c r="Y287" s="111" t="s">
        <v>2843</v>
      </c>
    </row>
    <row r="288" spans="1:25" ht="16.5" thickTop="1" thickBot="1" x14ac:dyDescent="0.3">
      <c r="A288" t="s">
        <v>55</v>
      </c>
      <c r="B288" t="s">
        <v>8</v>
      </c>
      <c r="C288" s="113">
        <v>100</v>
      </c>
      <c r="D288" s="113">
        <v>330</v>
      </c>
      <c r="E288">
        <v>0.01</v>
      </c>
      <c r="F288" t="s">
        <v>6</v>
      </c>
      <c r="G288" t="s">
        <v>4</v>
      </c>
      <c r="H288">
        <v>50</v>
      </c>
      <c r="I288">
        <v>100</v>
      </c>
      <c r="J288" t="s">
        <v>10</v>
      </c>
      <c r="K288">
        <v>23</v>
      </c>
      <c r="L288">
        <v>3.5</v>
      </c>
      <c r="M288">
        <v>23.164000000000001</v>
      </c>
      <c r="N288">
        <v>3.4655</v>
      </c>
      <c r="O288" t="s">
        <v>2833</v>
      </c>
      <c r="P288" t="s">
        <v>2833</v>
      </c>
      <c r="Q288" t="s">
        <v>2833</v>
      </c>
      <c r="R288">
        <f ca="1">RAND()*(Validation[[#This Row],[Range1_High]]-Validation[[#This Row],[Range1_Low]])+Validation[[#This Row],[Range1_Low]]</f>
        <v>260.09675508713133</v>
      </c>
      <c r="S288">
        <f>Validation[[#This Row],[Range2_High]]</f>
        <v>100</v>
      </c>
      <c r="T288" t="str" cm="1">
        <f t="array" aca="1" ref="T288" ca="1">RoundToTwoSigFigs(Validation[[#This Row],[Test Reading]]*Validation[[#This Row],[Mult]]+Validation[[#This Row],[Base]]) &amp;" "&amp;Validation[[#This Row],[Uncert_Units]]</f>
        <v>930 mV</v>
      </c>
      <c r="U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mV</v>
      </c>
      <c r="V288" t="b">
        <f ca="1">Validation[[#This Row],[Desired Result]]=Validation[[#This Row],[Result]]</f>
        <v>1</v>
      </c>
      <c r="W288" t="b">
        <v>1</v>
      </c>
      <c r="X288" t="b">
        <f>Validation[[#This Row],[Range1_Low]]&gt;=Validation[[#This Row],[Range1_High]]</f>
        <v>0</v>
      </c>
      <c r="Y288" s="111" t="s">
        <v>2843</v>
      </c>
    </row>
    <row r="289" spans="1:25" ht="16.5" thickTop="1" thickBot="1" x14ac:dyDescent="0.3">
      <c r="A289" t="s">
        <v>55</v>
      </c>
      <c r="B289" t="s">
        <v>8</v>
      </c>
      <c r="C289">
        <v>0.01</v>
      </c>
      <c r="D289">
        <v>0.1</v>
      </c>
      <c r="E289">
        <v>9.9999999999999995E-7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170040</v>
      </c>
      <c r="M289">
        <v>115.4</v>
      </c>
      <c r="N289">
        <v>173280</v>
      </c>
      <c r="O289" t="s">
        <v>2833</v>
      </c>
      <c r="P289" t="s">
        <v>2833</v>
      </c>
      <c r="Q289" t="s">
        <v>2833</v>
      </c>
      <c r="R289">
        <f ca="1">RAND()*(Validation[[#This Row],[Range1_High]]-Validation[[#This Row],[Range1_Low]])+Validation[[#This Row],[Range1_Low]]</f>
        <v>8.7543269597367246E-2</v>
      </c>
      <c r="S289">
        <f>Validation[[#This Row],[Range2_High]]</f>
        <v>10000</v>
      </c>
      <c r="T289" t="str" cm="1">
        <f t="array" aca="1" ref="T289" ca="1">RoundToTwoSigFigs(Validation[[#This Row],[Test Reading]]*Validation[[#This Row],[Mult]]+Validation[[#This Row],[Base]]) &amp;" "&amp;Validation[[#This Row],[Uncert_Units]]</f>
        <v>15000 µV</v>
      </c>
      <c r="U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µV</v>
      </c>
      <c r="V289" t="b">
        <f ca="1">Validation[[#This Row],[Desired Result]]=Validation[[#This Row],[Result]]</f>
        <v>1</v>
      </c>
      <c r="W289" t="b">
        <v>0</v>
      </c>
      <c r="X289" t="b">
        <f>Validation[[#This Row],[Range1_Low]]&gt;=Validation[[#This Row],[Range1_High]]</f>
        <v>0</v>
      </c>
      <c r="Y289" s="111" t="s">
        <v>2845</v>
      </c>
    </row>
    <row r="290" spans="1:25" ht="16.5" thickTop="1" thickBot="1" x14ac:dyDescent="0.3">
      <c r="A290" t="s">
        <v>68</v>
      </c>
      <c r="B290" t="s">
        <v>8</v>
      </c>
      <c r="C290" s="113">
        <v>10</v>
      </c>
      <c r="D290" s="113">
        <v>100</v>
      </c>
      <c r="E290">
        <v>1E-3</v>
      </c>
      <c r="F290" t="s">
        <v>6</v>
      </c>
      <c r="G290" t="s">
        <v>4</v>
      </c>
      <c r="H290">
        <v>0.04</v>
      </c>
      <c r="I290">
        <v>1</v>
      </c>
      <c r="J290" t="s">
        <v>10</v>
      </c>
      <c r="K290">
        <v>35</v>
      </c>
      <c r="L290">
        <v>0.95</v>
      </c>
      <c r="M290">
        <v>34.942999999999998</v>
      </c>
      <c r="N290">
        <v>0.94799</v>
      </c>
      <c r="O290" t="s">
        <v>2833</v>
      </c>
      <c r="P290" t="s">
        <v>2833</v>
      </c>
      <c r="Q290" t="s">
        <v>2833</v>
      </c>
      <c r="R290">
        <f ca="1">RAND()*(Validation[[#This Row],[Range1_High]]-Validation[[#This Row],[Range1_Low]])+Validation[[#This Row],[Range1_Low]]</f>
        <v>26.50773278011928</v>
      </c>
      <c r="S290">
        <f>Validation[[#This Row],[Range2_High]]</f>
        <v>1</v>
      </c>
      <c r="T290" t="str" cm="1">
        <f t="array" aca="1" ref="T290" ca="1">RoundToTwoSigFigs(Validation[[#This Row],[Test Reading]]*Validation[[#This Row],[Mult]]+Validation[[#This Row],[Base]]) &amp;" "&amp;Validation[[#This Row],[Uncert_Units]]</f>
        <v>60 mV</v>
      </c>
      <c r="U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V290" t="b">
        <f ca="1">Validation[[#This Row],[Desired Result]]=Validation[[#This Row],[Result]]</f>
        <v>1</v>
      </c>
      <c r="W290" t="b">
        <v>1</v>
      </c>
      <c r="X290" t="b">
        <f>Validation[[#This Row],[Range1_Low]]&gt;=Validation[[#This Row],[Range1_High]]</f>
        <v>0</v>
      </c>
      <c r="Y290" s="111" t="s">
        <v>2843</v>
      </c>
    </row>
    <row r="291" spans="1:25" ht="16.5" thickTop="1" thickBot="1" x14ac:dyDescent="0.3">
      <c r="A291" t="s">
        <v>55</v>
      </c>
      <c r="B291" t="s">
        <v>8</v>
      </c>
      <c r="C291" s="113">
        <v>330</v>
      </c>
      <c r="D291" s="113">
        <v>1000</v>
      </c>
      <c r="E291">
        <v>0.1</v>
      </c>
      <c r="F291" t="s">
        <v>6</v>
      </c>
      <c r="G291" t="s">
        <v>4</v>
      </c>
      <c r="H291">
        <v>1</v>
      </c>
      <c r="I291">
        <v>10</v>
      </c>
      <c r="J291" t="s">
        <v>10</v>
      </c>
      <c r="K291">
        <v>40.883000000000003</v>
      </c>
      <c r="L291">
        <v>0.68211999999999995</v>
      </c>
      <c r="M291">
        <v>41.185000000000002</v>
      </c>
      <c r="N291">
        <v>0.67806</v>
      </c>
      <c r="O291" t="s">
        <v>2833</v>
      </c>
      <c r="P291" t="s">
        <v>2833</v>
      </c>
      <c r="Q291" t="s">
        <v>2833</v>
      </c>
      <c r="R291">
        <f ca="1">RAND()*(Validation[[#This Row],[Range1_High]]-Validation[[#This Row],[Range1_Low]])+Validation[[#This Row],[Range1_Low]]</f>
        <v>368.40051203107379</v>
      </c>
      <c r="S291">
        <f>Validation[[#This Row],[Range2_High]]</f>
        <v>10</v>
      </c>
      <c r="T291" t="str" cm="1">
        <f t="array" aca="1" ref="T291" ca="1">RoundToTwoSigFigs(Validation[[#This Row],[Test Reading]]*Validation[[#This Row],[Mult]]+Validation[[#This Row],[Base]]) &amp;" "&amp;Validation[[#This Row],[Uncert_Units]]</f>
        <v>290 mV</v>
      </c>
      <c r="U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V291" t="b">
        <f ca="1">Validation[[#This Row],[Desired Result]]=Validation[[#This Row],[Result]]</f>
        <v>1</v>
      </c>
      <c r="W291" t="b">
        <v>1</v>
      </c>
      <c r="X291" t="b">
        <f>Validation[[#This Row],[Range1_Low]]&gt;=Validation[[#This Row],[Range1_High]]</f>
        <v>0</v>
      </c>
      <c r="Y291" s="111" t="s">
        <v>2843</v>
      </c>
    </row>
    <row r="292" spans="1:25" ht="16.5" thickTop="1" thickBot="1" x14ac:dyDescent="0.3">
      <c r="A292" t="s">
        <v>55</v>
      </c>
      <c r="B292" t="s">
        <v>8</v>
      </c>
      <c r="C292" s="113">
        <v>1</v>
      </c>
      <c r="D292" s="113">
        <v>10</v>
      </c>
      <c r="E292">
        <v>9.9999999999999995E-7</v>
      </c>
      <c r="F292" t="s">
        <v>6</v>
      </c>
      <c r="G292" t="s">
        <v>4</v>
      </c>
      <c r="H292">
        <v>100</v>
      </c>
      <c r="I292">
        <v>300</v>
      </c>
      <c r="J292" t="s">
        <v>10</v>
      </c>
      <c r="K292">
        <v>1.2</v>
      </c>
      <c r="L292">
        <v>3.5</v>
      </c>
      <c r="M292">
        <v>1.1358999999999999</v>
      </c>
      <c r="N292">
        <v>3.4830999999999999</v>
      </c>
      <c r="O292" t="s">
        <v>2833</v>
      </c>
      <c r="P292" t="s">
        <v>2833</v>
      </c>
      <c r="Q292" t="s">
        <v>2833</v>
      </c>
      <c r="R292">
        <f ca="1">RAND()*(Validation[[#This Row],[Range1_High]]-Validation[[#This Row],[Range1_Low]])+Validation[[#This Row],[Range1_Low]]</f>
        <v>9.236842295000411</v>
      </c>
      <c r="S292">
        <f>Validation[[#This Row],[Range2_High]]</f>
        <v>300</v>
      </c>
      <c r="T292" t="str" cm="1">
        <f t="array" aca="1" ref="T292" ca="1">RoundToTwoSigFigs(Validation[[#This Row],[Test Reading]]*Validation[[#This Row],[Mult]]+Validation[[#This Row],[Base]]) &amp;" "&amp;Validation[[#This Row],[Uncert_Units]]</f>
        <v>34 mV</v>
      </c>
      <c r="U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mV</v>
      </c>
      <c r="V292" t="b">
        <f ca="1">Validation[[#This Row],[Desired Result]]=Validation[[#This Row],[Result]]</f>
        <v>1</v>
      </c>
      <c r="W292" t="b">
        <v>1</v>
      </c>
      <c r="X292" t="b">
        <f>Validation[[#This Row],[Range1_Low]]&gt;=Validation[[#This Row],[Range1_High]]</f>
        <v>0</v>
      </c>
      <c r="Y292" s="111" t="s">
        <v>2843</v>
      </c>
    </row>
    <row r="293" spans="1:25" ht="16.5" thickTop="1" thickBot="1" x14ac:dyDescent="0.3">
      <c r="A293" t="s">
        <v>55</v>
      </c>
      <c r="B293" t="s">
        <v>8</v>
      </c>
      <c r="C293" s="113">
        <v>10</v>
      </c>
      <c r="D293" s="113">
        <v>20</v>
      </c>
      <c r="E293">
        <v>1E-3</v>
      </c>
      <c r="F293" t="s">
        <v>6</v>
      </c>
      <c r="G293" t="s">
        <v>4</v>
      </c>
      <c r="H293">
        <v>20</v>
      </c>
      <c r="I293">
        <v>50</v>
      </c>
      <c r="J293" t="s">
        <v>10</v>
      </c>
      <c r="K293">
        <v>2.4</v>
      </c>
      <c r="L293">
        <v>0.41</v>
      </c>
      <c r="M293">
        <v>2.302</v>
      </c>
      <c r="N293">
        <v>0.40822000000000003</v>
      </c>
      <c r="O293" t="s">
        <v>2833</v>
      </c>
      <c r="P293" t="s">
        <v>2833</v>
      </c>
      <c r="Q293" t="s">
        <v>2833</v>
      </c>
      <c r="R293">
        <f ca="1">RAND()*(Validation[[#This Row],[Range1_High]]-Validation[[#This Row],[Range1_Low]])+Validation[[#This Row],[Range1_Low]]</f>
        <v>11.062764518887565</v>
      </c>
      <c r="S293">
        <f>Validation[[#This Row],[Range2_High]]</f>
        <v>50</v>
      </c>
      <c r="T293" t="str" cm="1">
        <f t="array" aca="1" ref="T293" ca="1">RoundToTwoSigFigs(Validation[[#This Row],[Test Reading]]*Validation[[#This Row],[Mult]]+Validation[[#This Row],[Base]]) &amp;" "&amp;Validation[[#This Row],[Uncert_Units]]</f>
        <v>6.9 mV</v>
      </c>
      <c r="U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V293" t="b">
        <f ca="1">Validation[[#This Row],[Desired Result]]=Validation[[#This Row],[Result]]</f>
        <v>1</v>
      </c>
      <c r="W293" t="b">
        <v>1</v>
      </c>
      <c r="X293" t="b">
        <f>Validation[[#This Row],[Range1_Low]]&gt;=Validation[[#This Row],[Range1_High]]</f>
        <v>0</v>
      </c>
      <c r="Y293" s="111" t="s">
        <v>2843</v>
      </c>
    </row>
    <row r="294" spans="1:25" ht="16.5" thickTop="1" thickBot="1" x14ac:dyDescent="0.3">
      <c r="A294" t="s">
        <v>55</v>
      </c>
      <c r="B294" t="s">
        <v>8</v>
      </c>
      <c r="C294" s="113">
        <v>10</v>
      </c>
      <c r="D294" s="113">
        <v>20</v>
      </c>
      <c r="E294">
        <v>1.0000000000000001E-5</v>
      </c>
      <c r="F294" t="s">
        <v>6</v>
      </c>
      <c r="G294" t="s">
        <v>4</v>
      </c>
      <c r="H294">
        <v>0.04</v>
      </c>
      <c r="I294">
        <v>1</v>
      </c>
      <c r="J294" t="s">
        <v>10</v>
      </c>
      <c r="K294">
        <v>2.4</v>
      </c>
      <c r="L294">
        <v>0.23</v>
      </c>
      <c r="M294">
        <v>2.298</v>
      </c>
      <c r="N294">
        <v>0.23305999999999999</v>
      </c>
      <c r="O294" t="s">
        <v>2833</v>
      </c>
      <c r="P294" t="s">
        <v>2833</v>
      </c>
      <c r="Q294" t="s">
        <v>2833</v>
      </c>
      <c r="R294">
        <f ca="1">RAND()*(Validation[[#This Row],[Range1_High]]-Validation[[#This Row],[Range1_Low]])+Validation[[#This Row],[Range1_Low]]</f>
        <v>12.677677347466044</v>
      </c>
      <c r="S294">
        <f>Validation[[#This Row],[Range2_High]]</f>
        <v>1</v>
      </c>
      <c r="T294" t="str" cm="1">
        <f t="array" aca="1" ref="T294" ca="1">RoundToTwoSigFigs(Validation[[#This Row],[Test Reading]]*Validation[[#This Row],[Mult]]+Validation[[#This Row],[Base]]) &amp;" "&amp;Validation[[#This Row],[Uncert_Units]]</f>
        <v>5.3 mV</v>
      </c>
      <c r="U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V294" t="b">
        <f ca="1">Validation[[#This Row],[Desired Result]]=Validation[[#This Row],[Result]]</f>
        <v>1</v>
      </c>
      <c r="W294" t="b">
        <v>1</v>
      </c>
      <c r="X294" t="b">
        <f>Validation[[#This Row],[Range1_Low]]&gt;=Validation[[#This Row],[Range1_High]]</f>
        <v>0</v>
      </c>
      <c r="Y294" s="111" t="s">
        <v>2843</v>
      </c>
    </row>
    <row r="295" spans="1:25" ht="16.5" thickTop="1" thickBot="1" x14ac:dyDescent="0.3">
      <c r="A295" t="s">
        <v>55</v>
      </c>
      <c r="B295" t="s">
        <v>8</v>
      </c>
      <c r="C295" s="113">
        <v>100</v>
      </c>
      <c r="D295" s="113">
        <v>1000</v>
      </c>
      <c r="E295">
        <v>1E-3</v>
      </c>
      <c r="F295" t="s">
        <v>6</v>
      </c>
      <c r="G295" t="s">
        <v>4</v>
      </c>
      <c r="H295">
        <v>20</v>
      </c>
      <c r="I295">
        <v>50</v>
      </c>
      <c r="J295" t="s">
        <v>10</v>
      </c>
      <c r="K295">
        <v>23</v>
      </c>
      <c r="L295">
        <v>1.4</v>
      </c>
      <c r="M295">
        <v>22.896000000000001</v>
      </c>
      <c r="N295">
        <v>1.3895999999999999</v>
      </c>
      <c r="O295" t="s">
        <v>2833</v>
      </c>
      <c r="P295" t="s">
        <v>2833</v>
      </c>
      <c r="Q295" t="s">
        <v>2833</v>
      </c>
      <c r="R295">
        <f ca="1">RAND()*(Validation[[#This Row],[Range1_High]]-Validation[[#This Row],[Range1_Low]])+Validation[[#This Row],[Range1_Low]]</f>
        <v>687.09833593772396</v>
      </c>
      <c r="S295">
        <f>Validation[[#This Row],[Range2_High]]</f>
        <v>50</v>
      </c>
      <c r="T295" t="str" cm="1">
        <f t="array" aca="1" ref="T295" ca="1">RoundToTwoSigFigs(Validation[[#This Row],[Test Reading]]*Validation[[#This Row],[Mult]]+Validation[[#This Row],[Base]]) &amp;" "&amp;Validation[[#This Row],[Uncert_Units]]</f>
        <v>980 mV</v>
      </c>
      <c r="U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mV</v>
      </c>
      <c r="V295" t="b">
        <f ca="1">Validation[[#This Row],[Desired Result]]=Validation[[#This Row],[Result]]</f>
        <v>0</v>
      </c>
      <c r="W295" t="b">
        <v>1</v>
      </c>
      <c r="X295" t="b">
        <f>Validation[[#This Row],[Range1_Low]]&gt;=Validation[[#This Row],[Range1_High]]</f>
        <v>0</v>
      </c>
      <c r="Y295" s="111" t="s">
        <v>2843</v>
      </c>
    </row>
    <row r="296" spans="1:25" ht="16.5" thickTop="1" thickBot="1" x14ac:dyDescent="0.3">
      <c r="A296" t="s">
        <v>54</v>
      </c>
      <c r="B296" t="s">
        <v>8</v>
      </c>
      <c r="C296" s="113">
        <v>3.3000000000000002E-2</v>
      </c>
      <c r="D296" s="113">
        <v>0.33001000000000003</v>
      </c>
      <c r="E296">
        <v>9.9999999999999995E-7</v>
      </c>
      <c r="F296" t="s">
        <v>6</v>
      </c>
      <c r="G296" t="s">
        <v>5</v>
      </c>
      <c r="H296">
        <v>0.01</v>
      </c>
      <c r="I296">
        <v>4.5010000000000001E-2</v>
      </c>
      <c r="J296" t="s">
        <v>10</v>
      </c>
      <c r="K296">
        <v>33</v>
      </c>
      <c r="L296">
        <v>550</v>
      </c>
      <c r="M296">
        <v>23.236000000000001</v>
      </c>
      <c r="N296">
        <v>577.95000000000005</v>
      </c>
      <c r="O296" t="s">
        <v>2833</v>
      </c>
      <c r="P296" t="s">
        <v>2833</v>
      </c>
      <c r="Q296" t="s">
        <v>2833</v>
      </c>
      <c r="R296">
        <f ca="1">RAND()*(Validation[[#This Row],[Range1_High]]-Validation[[#This Row],[Range1_Low]])+Validation[[#This Row],[Range1_Low]]</f>
        <v>4.319500824856342E-2</v>
      </c>
      <c r="S296">
        <f>Validation[[#This Row],[Range2_High]]</f>
        <v>4.5010000000000001E-2</v>
      </c>
      <c r="T296" t="str" cm="1">
        <f t="array" aca="1" ref="T296" ca="1">RoundToTwoSigFigs(Validation[[#This Row],[Test Reading]]*Validation[[#This Row],[Mult]]+Validation[[#This Row],[Base]]) &amp;" "&amp;Validation[[#This Row],[Uncert_Units]]</f>
        <v>57 µV</v>
      </c>
      <c r="U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µV</v>
      </c>
      <c r="V296" t="b">
        <f ca="1">Validation[[#This Row],[Desired Result]]=Validation[[#This Row],[Result]]</f>
        <v>0</v>
      </c>
      <c r="W296" t="b">
        <v>1</v>
      </c>
      <c r="X296" t="b">
        <f>Validation[[#This Row],[Range1_Low]]&gt;=Validation[[#This Row],[Range1_High]]</f>
        <v>0</v>
      </c>
      <c r="Y296" s="111" t="s">
        <v>2843</v>
      </c>
    </row>
    <row r="297" spans="1:25" ht="15.75" thickTop="1" x14ac:dyDescent="0.25">
      <c r="A297" t="s">
        <v>55</v>
      </c>
      <c r="B297" t="s">
        <v>8</v>
      </c>
      <c r="C297">
        <v>0.1</v>
      </c>
      <c r="D297">
        <v>1</v>
      </c>
      <c r="E297">
        <v>0.01</v>
      </c>
      <c r="F297" t="s">
        <v>6</v>
      </c>
      <c r="G297" t="s">
        <v>5</v>
      </c>
      <c r="H297">
        <v>1000</v>
      </c>
      <c r="I297">
        <v>2000</v>
      </c>
      <c r="J297" t="s">
        <v>10</v>
      </c>
      <c r="K297">
        <v>4683.3999999999996</v>
      </c>
      <c r="L297">
        <v>13828</v>
      </c>
      <c r="M297">
        <v>4325.3999999999996</v>
      </c>
      <c r="N297">
        <v>13829</v>
      </c>
      <c r="O297" t="s">
        <v>2833</v>
      </c>
      <c r="P297" t="s">
        <v>2833</v>
      </c>
      <c r="Q297" t="s">
        <v>2833</v>
      </c>
      <c r="R297">
        <f ca="1">RAND()*(Validation[[#This Row],[Range1_High]]-Validation[[#This Row],[Range1_Low]])+Validation[[#This Row],[Range1_Low]]</f>
        <v>0.32608769243811175</v>
      </c>
      <c r="S297">
        <f>Validation[[#This Row],[Range2_High]]</f>
        <v>2000</v>
      </c>
      <c r="T297" t="str" cm="1">
        <f t="array" aca="1" ref="T297" ca="1">RoundToTwoSigFigs(Validation[[#This Row],[Test Reading]]*Validation[[#This Row],[Mult]]+Validation[[#This Row],[Base]]) &amp;" "&amp;Validation[[#This Row],[Uncert_Units]]</f>
        <v>9200 µV</v>
      </c>
      <c r="U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V297" t="b">
        <f ca="1">Validation[[#This Row],[Desired Result]]=Validation[[#This Row],[Result]]</f>
        <v>0</v>
      </c>
      <c r="W297" t="b">
        <v>1</v>
      </c>
      <c r="X297" t="b">
        <f>Validation[[#This Row],[Range1_Low]]&gt;=Validation[[#This Row],[Range1_High]]</f>
        <v>0</v>
      </c>
      <c r="Y297" s="111" t="s">
        <v>2845</v>
      </c>
    </row>
    <row r="298" spans="1:25" ht="15.75" thickBot="1" x14ac:dyDescent="0.3">
      <c r="A298" t="s">
        <v>54</v>
      </c>
      <c r="B298" t="s">
        <v>8</v>
      </c>
      <c r="C298">
        <v>0</v>
      </c>
      <c r="D298">
        <v>3.3009999999999998E-2</v>
      </c>
      <c r="E298">
        <v>0.01</v>
      </c>
      <c r="F298" t="s">
        <v>6</v>
      </c>
      <c r="G298" t="s">
        <v>5</v>
      </c>
      <c r="H298">
        <v>500</v>
      </c>
      <c r="I298">
        <v>501</v>
      </c>
      <c r="J298" t="s">
        <v>10</v>
      </c>
      <c r="K298">
        <v>5800.1</v>
      </c>
      <c r="L298">
        <v>530.77</v>
      </c>
      <c r="M298">
        <v>5800.1</v>
      </c>
      <c r="N298">
        <v>529.12</v>
      </c>
      <c r="O298" t="s">
        <v>2833</v>
      </c>
      <c r="P298" t="s">
        <v>2833</v>
      </c>
      <c r="Q298" t="s">
        <v>2833</v>
      </c>
      <c r="R298">
        <f ca="1">RAND()*(Validation[[#This Row],[Range1_High]]-Validation[[#This Row],[Range1_Low]])+Validation[[#This Row],[Range1_Low]]</f>
        <v>1.4851963289260282E-2</v>
      </c>
      <c r="S298">
        <f>Validation[[#This Row],[Range2_High]]</f>
        <v>501</v>
      </c>
      <c r="T298" t="str" cm="1">
        <f t="array" aca="1" ref="T298" ca="1">RoundToTwoSigFigs(Validation[[#This Row],[Test Reading]]*Validation[[#This Row],[Mult]]+Validation[[#This Row],[Base]]) &amp;" "&amp;Validation[[#This Row],[Uncert_Units]]</f>
        <v>5800 µV</v>
      </c>
      <c r="U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98" t="b">
        <f ca="1">Validation[[#This Row],[Desired Result]]=Validation[[#This Row],[Result]]</f>
        <v>1</v>
      </c>
      <c r="W298" t="b">
        <v>0</v>
      </c>
      <c r="X298" t="b">
        <f>Validation[[#This Row],[Range1_Low]]&gt;=Validation[[#This Row],[Range1_High]]</f>
        <v>0</v>
      </c>
      <c r="Y298" s="111" t="s">
        <v>2845</v>
      </c>
    </row>
    <row r="299" spans="1:25" ht="16.5" thickTop="1" thickBot="1" x14ac:dyDescent="0.3">
      <c r="A299" t="s">
        <v>68</v>
      </c>
      <c r="B299" t="s">
        <v>8</v>
      </c>
      <c r="C299" s="113">
        <v>100</v>
      </c>
      <c r="D299" s="113">
        <v>1020</v>
      </c>
      <c r="E299">
        <v>0.1</v>
      </c>
      <c r="F299" t="s">
        <v>6</v>
      </c>
      <c r="G299" t="s">
        <v>4</v>
      </c>
      <c r="H299">
        <v>0.04</v>
      </c>
      <c r="I299">
        <v>1</v>
      </c>
      <c r="J299" t="s">
        <v>10</v>
      </c>
      <c r="K299">
        <v>360</v>
      </c>
      <c r="L299">
        <v>1.1141000000000001</v>
      </c>
      <c r="M299">
        <v>341.11</v>
      </c>
      <c r="N299">
        <v>1.1138999999999999</v>
      </c>
      <c r="O299" t="s">
        <v>2833</v>
      </c>
      <c r="P299" t="s">
        <v>2833</v>
      </c>
      <c r="Q299" t="s">
        <v>2833</v>
      </c>
      <c r="R299">
        <f ca="1">RAND()*(Validation[[#This Row],[Range1_High]]-Validation[[#This Row],[Range1_Low]])+Validation[[#This Row],[Range1_Low]]</f>
        <v>521.48332751787211</v>
      </c>
      <c r="S299">
        <f>Validation[[#This Row],[Range2_High]]</f>
        <v>1</v>
      </c>
      <c r="T299" t="str" cm="1">
        <f t="array" aca="1" ref="T299" ca="1">RoundToTwoSigFigs(Validation[[#This Row],[Test Reading]]*Validation[[#This Row],[Mult]]+Validation[[#This Row],[Base]]) &amp;" "&amp;Validation[[#This Row],[Uncert_Units]]</f>
        <v>940 mV</v>
      </c>
      <c r="U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mV</v>
      </c>
      <c r="V299" t="b">
        <f ca="1">Validation[[#This Row],[Desired Result]]=Validation[[#This Row],[Result]]</f>
        <v>1</v>
      </c>
      <c r="W299" t="b">
        <v>1</v>
      </c>
      <c r="X299" t="b">
        <f>Validation[[#This Row],[Range1_Low]]&gt;=Validation[[#This Row],[Range1_High]]</f>
        <v>0</v>
      </c>
      <c r="Y299" s="111" t="s">
        <v>2843</v>
      </c>
    </row>
    <row r="300" spans="1:25" ht="16.5" thickTop="1" thickBot="1" x14ac:dyDescent="0.3">
      <c r="A300" t="s">
        <v>54</v>
      </c>
      <c r="B300" t="s">
        <v>8</v>
      </c>
      <c r="C300">
        <v>0</v>
      </c>
      <c r="D300">
        <v>3.3009999999999998E-2</v>
      </c>
      <c r="E300">
        <v>9.9999999999999995E-7</v>
      </c>
      <c r="F300" t="s">
        <v>6</v>
      </c>
      <c r="G300" t="s">
        <v>5</v>
      </c>
      <c r="H300">
        <v>4.4999999999999998E-2</v>
      </c>
      <c r="I300">
        <v>10.00001</v>
      </c>
      <c r="J300" t="s">
        <v>10</v>
      </c>
      <c r="K300">
        <v>24</v>
      </c>
      <c r="L300">
        <v>1200</v>
      </c>
      <c r="M300">
        <v>23.184999999999999</v>
      </c>
      <c r="N300">
        <v>1155.4000000000001</v>
      </c>
      <c r="O300" t="s">
        <v>2833</v>
      </c>
      <c r="P300" t="s">
        <v>2833</v>
      </c>
      <c r="Q300" t="s">
        <v>2833</v>
      </c>
      <c r="R300">
        <f ca="1">RAND()*(Validation[[#This Row],[Range1_High]]-Validation[[#This Row],[Range1_Low]])+Validation[[#This Row],[Range1_Low]]</f>
        <v>2.1328831402182329E-2</v>
      </c>
      <c r="S300">
        <f>Validation[[#This Row],[Range2_High]]</f>
        <v>10.00001</v>
      </c>
      <c r="T300" t="str" cm="1">
        <f t="array" aca="1" ref="T300" ca="1">RoundToTwoSigFigs(Validation[[#This Row],[Test Reading]]*Validation[[#This Row],[Mult]]+Validation[[#This Row],[Base]]) &amp;" "&amp;Validation[[#This Row],[Uncert_Units]]</f>
        <v>50 µV</v>
      </c>
      <c r="U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µV</v>
      </c>
      <c r="V300" t="b">
        <f ca="1">Validation[[#This Row],[Desired Result]]=Validation[[#This Row],[Result]]</f>
        <v>1</v>
      </c>
      <c r="W300" t="b">
        <v>0</v>
      </c>
      <c r="X300" t="b">
        <f>Validation[[#This Row],[Range1_Low]]&gt;=Validation[[#This Row],[Range1_High]]</f>
        <v>0</v>
      </c>
      <c r="Y300" s="111" t="s">
        <v>2845</v>
      </c>
    </row>
    <row r="301" spans="1:25" ht="16.5" thickTop="1" thickBot="1" x14ac:dyDescent="0.3">
      <c r="A301" t="s">
        <v>55</v>
      </c>
      <c r="B301" t="s">
        <v>8</v>
      </c>
      <c r="C301" s="113">
        <v>0.01</v>
      </c>
      <c r="D301" s="113">
        <v>0.1</v>
      </c>
      <c r="E301">
        <v>9.9999999999999995E-8</v>
      </c>
      <c r="F301" t="s">
        <v>6</v>
      </c>
      <c r="G301" t="s">
        <v>5</v>
      </c>
      <c r="H301">
        <v>1000</v>
      </c>
      <c r="I301">
        <v>2000</v>
      </c>
      <c r="J301" t="s">
        <v>10</v>
      </c>
      <c r="K301">
        <v>53</v>
      </c>
      <c r="L301">
        <v>17054</v>
      </c>
      <c r="M301">
        <v>11.488</v>
      </c>
      <c r="N301">
        <v>17414</v>
      </c>
      <c r="O301" t="s">
        <v>2833</v>
      </c>
      <c r="P301" t="s">
        <v>2833</v>
      </c>
      <c r="Q301" t="s">
        <v>2833</v>
      </c>
      <c r="R301">
        <f ca="1">RAND()*(Validation[[#This Row],[Range1_High]]-Validation[[#This Row],[Range1_Low]])+Validation[[#This Row],[Range1_Low]]</f>
        <v>6.0406264185353706E-2</v>
      </c>
      <c r="S301">
        <f>Validation[[#This Row],[Range2_High]]</f>
        <v>2000</v>
      </c>
      <c r="T301" t="str" cm="1">
        <f t="array" aca="1" ref="T301" ca="1">RoundToTwoSigFigs(Validation[[#This Row],[Test Reading]]*Validation[[#This Row],[Mult]]+Validation[[#This Row],[Base]]) &amp;" "&amp;Validation[[#This Row],[Uncert_Units]]</f>
        <v>1100 µV</v>
      </c>
      <c r="U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V301" t="b">
        <f ca="1">Validation[[#This Row],[Desired Result]]=Validation[[#This Row],[Result]]</f>
        <v>1</v>
      </c>
      <c r="W301" t="b">
        <v>1</v>
      </c>
      <c r="X301" t="b">
        <f>Validation[[#This Row],[Range1_Low]]&gt;=Validation[[#This Row],[Range1_High]]</f>
        <v>0</v>
      </c>
      <c r="Y301" s="111" t="s">
        <v>2843</v>
      </c>
    </row>
    <row r="302" spans="1:25" ht="16.5" thickTop="1" thickBot="1" x14ac:dyDescent="0.3">
      <c r="A302" t="s">
        <v>55</v>
      </c>
      <c r="B302" t="s">
        <v>8</v>
      </c>
      <c r="C302" s="113">
        <v>10</v>
      </c>
      <c r="D302" s="113">
        <v>100</v>
      </c>
      <c r="E302">
        <v>0.01</v>
      </c>
      <c r="F302" t="s">
        <v>6</v>
      </c>
      <c r="G302" t="s">
        <v>4</v>
      </c>
      <c r="H302">
        <v>300</v>
      </c>
      <c r="I302">
        <v>1000</v>
      </c>
      <c r="J302" t="s">
        <v>10</v>
      </c>
      <c r="K302">
        <v>46</v>
      </c>
      <c r="L302">
        <v>17.018999999999998</v>
      </c>
      <c r="M302">
        <v>12.427</v>
      </c>
      <c r="N302">
        <v>17.332999999999998</v>
      </c>
      <c r="O302" t="s">
        <v>2833</v>
      </c>
      <c r="P302" t="s">
        <v>2833</v>
      </c>
      <c r="Q302" t="s">
        <v>2833</v>
      </c>
      <c r="R302">
        <f ca="1">RAND()*(Validation[[#This Row],[Range1_High]]-Validation[[#This Row],[Range1_Low]])+Validation[[#This Row],[Range1_Low]]</f>
        <v>18.771766106009686</v>
      </c>
      <c r="S302">
        <f>Validation[[#This Row],[Range2_High]]</f>
        <v>1000</v>
      </c>
      <c r="T302" t="str" cm="1">
        <f t="array" aca="1" ref="T302" ca="1">RoundToTwoSigFigs(Validation[[#This Row],[Test Reading]]*Validation[[#This Row],[Mult]]+Validation[[#This Row],[Base]]) &amp;" "&amp;Validation[[#This Row],[Uncert_Units]]</f>
        <v>370 mV</v>
      </c>
      <c r="U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V302" t="b">
        <f ca="1">Validation[[#This Row],[Desired Result]]=Validation[[#This Row],[Result]]</f>
        <v>0</v>
      </c>
      <c r="W302" t="b">
        <v>1</v>
      </c>
      <c r="X302" t="b">
        <f>Validation[[#This Row],[Range1_Low]]&gt;=Validation[[#This Row],[Range1_High]]</f>
        <v>0</v>
      </c>
      <c r="Y302" s="111" t="s">
        <v>2843</v>
      </c>
    </row>
    <row r="303" spans="1:25" ht="16.5" thickTop="1" thickBot="1" x14ac:dyDescent="0.3">
      <c r="A303" t="s">
        <v>55</v>
      </c>
      <c r="B303" t="s">
        <v>8</v>
      </c>
      <c r="C303" s="113">
        <v>100</v>
      </c>
      <c r="D303" s="113">
        <v>330</v>
      </c>
      <c r="E303">
        <v>1E-4</v>
      </c>
      <c r="F303" t="s">
        <v>6</v>
      </c>
      <c r="G303" t="s">
        <v>4</v>
      </c>
      <c r="H303">
        <v>1</v>
      </c>
      <c r="I303">
        <v>20</v>
      </c>
      <c r="J303" t="s">
        <v>10</v>
      </c>
      <c r="K303">
        <v>23</v>
      </c>
      <c r="L303">
        <v>0.7</v>
      </c>
      <c r="M303">
        <v>23.059000000000001</v>
      </c>
      <c r="N303">
        <v>0.69384000000000001</v>
      </c>
      <c r="O303" t="s">
        <v>2833</v>
      </c>
      <c r="P303" t="s">
        <v>2833</v>
      </c>
      <c r="Q303" t="s">
        <v>2833</v>
      </c>
      <c r="R303">
        <f ca="1">RAND()*(Validation[[#This Row],[Range1_High]]-Validation[[#This Row],[Range1_Low]])+Validation[[#This Row],[Range1_Low]]</f>
        <v>270.92790359248954</v>
      </c>
      <c r="S303">
        <f>Validation[[#This Row],[Range2_High]]</f>
        <v>20</v>
      </c>
      <c r="T303" t="str" cm="1">
        <f t="array" aca="1" ref="T303" ca="1">RoundToTwoSigFigs(Validation[[#This Row],[Test Reading]]*Validation[[#This Row],[Mult]]+Validation[[#This Row],[Base]]) &amp;" "&amp;Validation[[#This Row],[Uncert_Units]]</f>
        <v>210 mV</v>
      </c>
      <c r="U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V303" t="b">
        <f ca="1">Validation[[#This Row],[Desired Result]]=Validation[[#This Row],[Result]]</f>
        <v>1</v>
      </c>
      <c r="W303" t="b">
        <v>1</v>
      </c>
      <c r="X303" t="b">
        <f>Validation[[#This Row],[Range1_Low]]&gt;=Validation[[#This Row],[Range1_High]]</f>
        <v>0</v>
      </c>
      <c r="Y303" s="111" t="s">
        <v>2843</v>
      </c>
    </row>
    <row r="304" spans="1:25" ht="15.75" thickTop="1" x14ac:dyDescent="0.25">
      <c r="A304" t="s">
        <v>55</v>
      </c>
      <c r="B304" t="s">
        <v>8</v>
      </c>
      <c r="C304">
        <v>0.1</v>
      </c>
      <c r="D304">
        <v>1</v>
      </c>
      <c r="E304">
        <v>0.01</v>
      </c>
      <c r="F304" t="s">
        <v>6</v>
      </c>
      <c r="G304" t="s">
        <v>4</v>
      </c>
      <c r="H304">
        <v>2000</v>
      </c>
      <c r="I304">
        <v>4000</v>
      </c>
      <c r="J304" t="s">
        <v>10</v>
      </c>
      <c r="K304">
        <v>3.5375000000000001</v>
      </c>
      <c r="L304">
        <v>43.944000000000003</v>
      </c>
      <c r="M304">
        <v>3.2985000000000002</v>
      </c>
      <c r="N304">
        <v>43.945</v>
      </c>
      <c r="O304" t="s">
        <v>2833</v>
      </c>
      <c r="P304" t="s">
        <v>2833</v>
      </c>
      <c r="Q304" t="s">
        <v>2833</v>
      </c>
      <c r="R304">
        <f ca="1">RAND()*(Validation[[#This Row],[Range1_High]]-Validation[[#This Row],[Range1_Low]])+Validation[[#This Row],[Range1_Low]]</f>
        <v>0.55777394786540568</v>
      </c>
      <c r="S304">
        <f>Validation[[#This Row],[Range2_High]]</f>
        <v>4000</v>
      </c>
      <c r="T304" t="str" cm="1">
        <f t="array" aca="1" ref="T304" ca="1">RoundToTwoSigFigs(Validation[[#This Row],[Test Reading]]*Validation[[#This Row],[Mult]]+Validation[[#This Row],[Base]]) &amp;" "&amp;Validation[[#This Row],[Uncert_Units]]</f>
        <v>28 mV</v>
      </c>
      <c r="U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V304" t="b">
        <f ca="1">Validation[[#This Row],[Desired Result]]=Validation[[#This Row],[Result]]</f>
        <v>1</v>
      </c>
      <c r="W304" t="b">
        <v>0</v>
      </c>
      <c r="X304" t="b">
        <f>Validation[[#This Row],[Range1_Low]]&gt;=Validation[[#This Row],[Range1_High]]</f>
        <v>0</v>
      </c>
      <c r="Y304" s="111" t="s">
        <v>2845</v>
      </c>
    </row>
    <row r="305" spans="1:25" x14ac:dyDescent="0.25">
      <c r="A305" t="s">
        <v>54</v>
      </c>
      <c r="B305" t="s">
        <v>8</v>
      </c>
      <c r="C305">
        <v>0</v>
      </c>
      <c r="D305">
        <v>3.3009999999999998E-2</v>
      </c>
      <c r="E305">
        <v>9.9999999999999995E-7</v>
      </c>
      <c r="F305" t="s">
        <v>6</v>
      </c>
      <c r="G305" t="s">
        <v>5</v>
      </c>
      <c r="H305">
        <v>20</v>
      </c>
      <c r="I305">
        <v>50.01</v>
      </c>
      <c r="J305" t="s">
        <v>10</v>
      </c>
      <c r="K305">
        <v>24</v>
      </c>
      <c r="L305">
        <v>2300</v>
      </c>
      <c r="M305">
        <v>23.565000000000001</v>
      </c>
      <c r="N305">
        <v>2300.9</v>
      </c>
      <c r="O305" t="s">
        <v>2833</v>
      </c>
      <c r="P305" t="s">
        <v>2833</v>
      </c>
      <c r="Q305" t="s">
        <v>2833</v>
      </c>
      <c r="R305">
        <f ca="1">RAND()*(Validation[[#This Row],[Range1_High]]-Validation[[#This Row],[Range1_Low]])+Validation[[#This Row],[Range1_Low]]</f>
        <v>1.3967963170214927E-2</v>
      </c>
      <c r="S305">
        <f>Validation[[#This Row],[Range2_High]]</f>
        <v>50.01</v>
      </c>
      <c r="T305" t="str" cm="1">
        <f t="array" aca="1" ref="T305" ca="1">RoundToTwoSigFigs(Validation[[#This Row],[Test Reading]]*Validation[[#This Row],[Mult]]+Validation[[#This Row],[Base]]) &amp;" "&amp;Validation[[#This Row],[Uncert_Units]]</f>
        <v>56 µV</v>
      </c>
      <c r="U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V305" t="b">
        <f ca="1">Validation[[#This Row],[Desired Result]]=Validation[[#This Row],[Result]]</f>
        <v>0</v>
      </c>
      <c r="W305" t="b">
        <v>1</v>
      </c>
      <c r="X305" t="b">
        <f>Validation[[#This Row],[Range1_Low]]&gt;=Validation[[#This Row],[Range1_High]]</f>
        <v>0</v>
      </c>
      <c r="Y305" s="111" t="s">
        <v>2845</v>
      </c>
    </row>
    <row r="306" spans="1:25" x14ac:dyDescent="0.25">
      <c r="A306" t="s">
        <v>55</v>
      </c>
      <c r="B306" t="s">
        <v>8</v>
      </c>
      <c r="C306">
        <v>330</v>
      </c>
      <c r="D306">
        <v>1000</v>
      </c>
      <c r="E306">
        <v>1E-3</v>
      </c>
      <c r="F306" t="s">
        <v>6</v>
      </c>
      <c r="G306" t="s">
        <v>4</v>
      </c>
      <c r="H306">
        <v>1E-3</v>
      </c>
      <c r="I306">
        <v>0.04</v>
      </c>
      <c r="J306" t="s">
        <v>10</v>
      </c>
      <c r="K306">
        <v>50</v>
      </c>
      <c r="L306">
        <v>0.46054</v>
      </c>
      <c r="M306">
        <v>46.107999999999997</v>
      </c>
      <c r="N306">
        <v>0.46338000000000001</v>
      </c>
      <c r="O306" t="s">
        <v>2833</v>
      </c>
      <c r="P306" t="s">
        <v>2833</v>
      </c>
      <c r="Q306" t="s">
        <v>2833</v>
      </c>
      <c r="R306">
        <f ca="1">RAND()*(Validation[[#This Row],[Range1_High]]-Validation[[#This Row],[Range1_Low]])+Validation[[#This Row],[Range1_Low]]</f>
        <v>343.86768212634428</v>
      </c>
      <c r="S306">
        <f>Validation[[#This Row],[Range2_High]]</f>
        <v>0.04</v>
      </c>
      <c r="T306" t="str" cm="1">
        <f t="array" aca="1" ref="T306" ca="1">RoundToTwoSigFigs(Validation[[#This Row],[Test Reading]]*Validation[[#This Row],[Mult]]+Validation[[#This Row],[Base]]) &amp;" "&amp;Validation[[#This Row],[Uncert_Units]]</f>
        <v>210 mV</v>
      </c>
      <c r="U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V306" t="b">
        <f ca="1">Validation[[#This Row],[Desired Result]]=Validation[[#This Row],[Result]]</f>
        <v>1</v>
      </c>
      <c r="W306" t="b">
        <v>0</v>
      </c>
      <c r="X306" t="b">
        <f>Validation[[#This Row],[Range1_Low]]&gt;=Validation[[#This Row],[Range1_High]]</f>
        <v>0</v>
      </c>
      <c r="Y306" s="111" t="s">
        <v>2845</v>
      </c>
    </row>
    <row r="307" spans="1:25" ht="15.75" thickBot="1" x14ac:dyDescent="0.3">
      <c r="A307" t="s">
        <v>54</v>
      </c>
      <c r="B307" t="s">
        <v>8</v>
      </c>
      <c r="C307">
        <v>3.3000000000000002E-2</v>
      </c>
      <c r="D307">
        <v>0.33001000000000003</v>
      </c>
      <c r="E307">
        <v>0.01</v>
      </c>
      <c r="F307" t="s">
        <v>6</v>
      </c>
      <c r="G307" t="s">
        <v>5</v>
      </c>
      <c r="H307">
        <v>100</v>
      </c>
      <c r="I307">
        <v>500</v>
      </c>
      <c r="J307" t="s">
        <v>10</v>
      </c>
      <c r="K307">
        <v>5783</v>
      </c>
      <c r="L307">
        <v>1371.2</v>
      </c>
      <c r="M307">
        <v>5783</v>
      </c>
      <c r="N307">
        <v>1370.9</v>
      </c>
      <c r="O307" t="s">
        <v>2833</v>
      </c>
      <c r="P307" t="s">
        <v>2833</v>
      </c>
      <c r="Q307" t="s">
        <v>2833</v>
      </c>
      <c r="R307">
        <f ca="1">RAND()*(Validation[[#This Row],[Range1_High]]-Validation[[#This Row],[Range1_Low]])+Validation[[#This Row],[Range1_Low]]</f>
        <v>0.2819577505217119</v>
      </c>
      <c r="S307">
        <f>Validation[[#This Row],[Range2_High]]</f>
        <v>500</v>
      </c>
      <c r="T307" t="str" cm="1">
        <f t="array" aca="1" ref="T307" ca="1">RoundToTwoSigFigs(Validation[[#This Row],[Test Reading]]*Validation[[#This Row],[Mult]]+Validation[[#This Row],[Base]]) &amp;" "&amp;Validation[[#This Row],[Uncert_Units]]</f>
        <v>6200 µV</v>
      </c>
      <c r="U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V307" t="b">
        <f ca="1">Validation[[#This Row],[Desired Result]]=Validation[[#This Row],[Result]]</f>
        <v>1</v>
      </c>
      <c r="W307" t="b">
        <v>1</v>
      </c>
      <c r="X307" t="b">
        <f>Validation[[#This Row],[Range1_Low]]&gt;=Validation[[#This Row],[Range1_High]]</f>
        <v>0</v>
      </c>
      <c r="Y307" s="111" t="s">
        <v>2845</v>
      </c>
    </row>
    <row r="308" spans="1:25" ht="16.5" thickTop="1" thickBot="1" x14ac:dyDescent="0.3">
      <c r="A308" t="s">
        <v>55</v>
      </c>
      <c r="B308" t="s">
        <v>8</v>
      </c>
      <c r="C308" s="113">
        <v>10</v>
      </c>
      <c r="D308" s="113">
        <v>20</v>
      </c>
      <c r="E308">
        <v>0.01</v>
      </c>
      <c r="F308" t="s">
        <v>6</v>
      </c>
      <c r="G308" t="s">
        <v>4</v>
      </c>
      <c r="H308">
        <v>1E-3</v>
      </c>
      <c r="I308">
        <v>0.04</v>
      </c>
      <c r="J308" t="s">
        <v>10</v>
      </c>
      <c r="K308">
        <v>7.1398999999999999</v>
      </c>
      <c r="L308">
        <v>0.18969</v>
      </c>
      <c r="M308">
        <v>7.1402999999999999</v>
      </c>
      <c r="N308">
        <v>0.18931999999999999</v>
      </c>
      <c r="O308" t="s">
        <v>2833</v>
      </c>
      <c r="P308" t="s">
        <v>2833</v>
      </c>
      <c r="Q308" t="s">
        <v>2833</v>
      </c>
      <c r="R308">
        <f ca="1">RAND()*(Validation[[#This Row],[Range1_High]]-Validation[[#This Row],[Range1_Low]])+Validation[[#This Row],[Range1_Low]]</f>
        <v>13.823909137973466</v>
      </c>
      <c r="S308">
        <f>Validation[[#This Row],[Range2_High]]</f>
        <v>0.04</v>
      </c>
      <c r="T308" t="str" cm="1">
        <f t="array" aca="1" ref="T308" ca="1">RoundToTwoSigFigs(Validation[[#This Row],[Test Reading]]*Validation[[#This Row],[Mult]]+Validation[[#This Row],[Base]]) &amp;" "&amp;Validation[[#This Row],[Uncert_Units]]</f>
        <v>9.8 mV</v>
      </c>
      <c r="U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mV</v>
      </c>
      <c r="V308" t="b">
        <f ca="1">Validation[[#This Row],[Desired Result]]=Validation[[#This Row],[Result]]</f>
        <v>1</v>
      </c>
      <c r="W308" t="b">
        <v>1</v>
      </c>
      <c r="X308" t="b">
        <f>Validation[[#This Row],[Range1_Low]]&gt;=Validation[[#This Row],[Range1_High]]</f>
        <v>0</v>
      </c>
      <c r="Y308" s="111" t="s">
        <v>2843</v>
      </c>
    </row>
    <row r="309" spans="1:25" ht="16.5" thickTop="1" thickBot="1" x14ac:dyDescent="0.3">
      <c r="A309" t="s">
        <v>55</v>
      </c>
      <c r="B309" t="s">
        <v>8</v>
      </c>
      <c r="C309" s="113">
        <v>0.1</v>
      </c>
      <c r="D309" s="113">
        <v>1</v>
      </c>
      <c r="E309">
        <v>9.9999999999999995E-7</v>
      </c>
      <c r="F309" t="s">
        <v>6</v>
      </c>
      <c r="G309" t="s">
        <v>5</v>
      </c>
      <c r="H309">
        <v>20</v>
      </c>
      <c r="I309">
        <v>50</v>
      </c>
      <c r="J309" t="s">
        <v>10</v>
      </c>
      <c r="K309">
        <v>24</v>
      </c>
      <c r="L309">
        <v>350</v>
      </c>
      <c r="M309">
        <v>23.382999999999999</v>
      </c>
      <c r="N309">
        <v>346.14</v>
      </c>
      <c r="O309" t="s">
        <v>2833</v>
      </c>
      <c r="P309" t="s">
        <v>2833</v>
      </c>
      <c r="Q309" t="s">
        <v>2833</v>
      </c>
      <c r="R309">
        <f ca="1">RAND()*(Validation[[#This Row],[Range1_High]]-Validation[[#This Row],[Range1_Low]])+Validation[[#This Row],[Range1_Low]]</f>
        <v>0.45173895505567252</v>
      </c>
      <c r="S309">
        <f>Validation[[#This Row],[Range2_High]]</f>
        <v>50</v>
      </c>
      <c r="T309" t="str" cm="1">
        <f t="array" aca="1" ref="T309" ca="1">RoundToTwoSigFigs(Validation[[#This Row],[Test Reading]]*Validation[[#This Row],[Mult]]+Validation[[#This Row],[Base]]) &amp;" "&amp;Validation[[#This Row],[Uncert_Units]]</f>
        <v>180 µV</v>
      </c>
      <c r="U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V309" t="b">
        <f ca="1">Validation[[#This Row],[Desired Result]]=Validation[[#This Row],[Result]]</f>
        <v>1</v>
      </c>
      <c r="W309" t="b">
        <v>1</v>
      </c>
      <c r="X309" t="b">
        <f>Validation[[#This Row],[Range1_Low]]&gt;=Validation[[#This Row],[Range1_High]]</f>
        <v>0</v>
      </c>
      <c r="Y309" s="111" t="s">
        <v>2843</v>
      </c>
    </row>
    <row r="310" spans="1:25" ht="16.5" thickTop="1" thickBot="1" x14ac:dyDescent="0.3">
      <c r="A310" t="s">
        <v>55</v>
      </c>
      <c r="B310" t="s">
        <v>8</v>
      </c>
      <c r="C310" s="113">
        <v>0.01</v>
      </c>
      <c r="D310" s="113">
        <v>0.1</v>
      </c>
      <c r="E310">
        <v>1.0000000000000001E-5</v>
      </c>
      <c r="F310" t="s">
        <v>6</v>
      </c>
      <c r="G310" t="s">
        <v>5</v>
      </c>
      <c r="H310">
        <v>100</v>
      </c>
      <c r="I310">
        <v>300</v>
      </c>
      <c r="J310" t="s">
        <v>10</v>
      </c>
      <c r="K310">
        <v>12</v>
      </c>
      <c r="L310">
        <v>3500</v>
      </c>
      <c r="M310">
        <v>11.911</v>
      </c>
      <c r="N310">
        <v>3472.7</v>
      </c>
      <c r="O310" t="s">
        <v>2833</v>
      </c>
      <c r="P310" t="s">
        <v>2833</v>
      </c>
      <c r="Q310" t="s">
        <v>2833</v>
      </c>
      <c r="R310">
        <f ca="1">RAND()*(Validation[[#This Row],[Range1_High]]-Validation[[#This Row],[Range1_Low]])+Validation[[#This Row],[Range1_Low]]</f>
        <v>1.2130272050092969E-2</v>
      </c>
      <c r="S310">
        <f>Validation[[#This Row],[Range2_High]]</f>
        <v>300</v>
      </c>
      <c r="T310" t="str" cm="1">
        <f t="array" aca="1" ref="T310" ca="1">RoundToTwoSigFigs(Validation[[#This Row],[Test Reading]]*Validation[[#This Row],[Mult]]+Validation[[#This Row],[Base]]) &amp;" "&amp;Validation[[#This Row],[Uncert_Units]]</f>
        <v>54 µV</v>
      </c>
      <c r="U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V310" t="b">
        <f ca="1">Validation[[#This Row],[Desired Result]]=Validation[[#This Row],[Result]]</f>
        <v>0</v>
      </c>
      <c r="W310" t="b">
        <v>1</v>
      </c>
      <c r="X310" t="b">
        <f>Validation[[#This Row],[Range1_Low]]&gt;=Validation[[#This Row],[Range1_High]]</f>
        <v>0</v>
      </c>
      <c r="Y310" s="111" t="s">
        <v>2843</v>
      </c>
    </row>
    <row r="311" spans="1:25" ht="16.5" thickTop="1" thickBot="1" x14ac:dyDescent="0.3">
      <c r="A311" t="s">
        <v>68</v>
      </c>
      <c r="B311" t="s">
        <v>8</v>
      </c>
      <c r="C311">
        <v>10</v>
      </c>
      <c r="D311">
        <v>100</v>
      </c>
      <c r="E311">
        <v>1</v>
      </c>
      <c r="F311" t="s">
        <v>6</v>
      </c>
      <c r="G311" t="s">
        <v>4</v>
      </c>
      <c r="H311">
        <v>0.04</v>
      </c>
      <c r="I311">
        <v>1</v>
      </c>
      <c r="J311" t="s">
        <v>10</v>
      </c>
      <c r="K311">
        <v>577.66</v>
      </c>
      <c r="L311">
        <v>0.14257</v>
      </c>
      <c r="M311">
        <v>577.63</v>
      </c>
      <c r="N311">
        <v>0.14057</v>
      </c>
      <c r="O311" t="s">
        <v>2833</v>
      </c>
      <c r="P311" t="s">
        <v>2833</v>
      </c>
      <c r="Q311" t="s">
        <v>2833</v>
      </c>
      <c r="R311">
        <f ca="1">RAND()*(Validation[[#This Row],[Range1_High]]-Validation[[#This Row],[Range1_Low]])+Validation[[#This Row],[Range1_Low]]</f>
        <v>58.041570610710821</v>
      </c>
      <c r="S311">
        <f>Validation[[#This Row],[Range2_High]]</f>
        <v>1</v>
      </c>
      <c r="T311" t="str" cm="1">
        <f t="array" aca="1" ref="T311" ca="1">RoundToTwoSigFigs(Validation[[#This Row],[Test Reading]]*Validation[[#This Row],[Mult]]+Validation[[#This Row],[Base]]) &amp;" "&amp;Validation[[#This Row],[Uncert_Units]]</f>
        <v>590 mV</v>
      </c>
      <c r="U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V311" t="b">
        <f ca="1">Validation[[#This Row],[Desired Result]]=Validation[[#This Row],[Result]]</f>
        <v>1</v>
      </c>
      <c r="W311" t="b">
        <v>0</v>
      </c>
      <c r="X311" t="b">
        <f>Validation[[#This Row],[Range1_Low]]&gt;=Validation[[#This Row],[Range1_High]]</f>
        <v>0</v>
      </c>
      <c r="Y311" s="111" t="s">
        <v>2845</v>
      </c>
    </row>
    <row r="312" spans="1:25" ht="16.5" thickTop="1" thickBot="1" x14ac:dyDescent="0.3">
      <c r="A312" t="s">
        <v>54</v>
      </c>
      <c r="B312" t="s">
        <v>8</v>
      </c>
      <c r="C312" s="113">
        <v>3.3</v>
      </c>
      <c r="D312" s="113">
        <v>33.000999999999998</v>
      </c>
      <c r="E312">
        <v>0.01</v>
      </c>
      <c r="F312" t="s">
        <v>6</v>
      </c>
      <c r="G312" t="s">
        <v>4</v>
      </c>
      <c r="H312">
        <v>4.4999999999999998E-2</v>
      </c>
      <c r="I312">
        <v>10.00001</v>
      </c>
      <c r="J312" t="s">
        <v>10</v>
      </c>
      <c r="K312">
        <v>5.2633000000000001</v>
      </c>
      <c r="L312">
        <v>0.24920999999999999</v>
      </c>
      <c r="M312">
        <v>5.2624000000000004</v>
      </c>
      <c r="N312">
        <v>0.24918000000000001</v>
      </c>
      <c r="O312" t="s">
        <v>2833</v>
      </c>
      <c r="P312" t="s">
        <v>2833</v>
      </c>
      <c r="Q312" t="s">
        <v>2833</v>
      </c>
      <c r="R312">
        <f ca="1">RAND()*(Validation[[#This Row],[Range1_High]]-Validation[[#This Row],[Range1_Low]])+Validation[[#This Row],[Range1_Low]]</f>
        <v>15.935816900311337</v>
      </c>
      <c r="S312">
        <f>Validation[[#This Row],[Range2_High]]</f>
        <v>10.00001</v>
      </c>
      <c r="T312" t="str" cm="1">
        <f t="array" aca="1" ref="T312" ca="1">RoundToTwoSigFigs(Validation[[#This Row],[Test Reading]]*Validation[[#This Row],[Mult]]+Validation[[#This Row],[Base]]) &amp;" "&amp;Validation[[#This Row],[Uncert_Units]]</f>
        <v>9.2 mV</v>
      </c>
      <c r="U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mV</v>
      </c>
      <c r="V312" t="b">
        <f ca="1">Validation[[#This Row],[Desired Result]]=Validation[[#This Row],[Result]]</f>
        <v>1</v>
      </c>
      <c r="W312" t="b">
        <v>1</v>
      </c>
      <c r="X312" t="b">
        <f>Validation[[#This Row],[Range1_Low]]&gt;=Validation[[#This Row],[Range1_High]]</f>
        <v>0</v>
      </c>
      <c r="Y312" s="111" t="s">
        <v>2843</v>
      </c>
    </row>
    <row r="313" spans="1:25" ht="16.5" thickTop="1" thickBot="1" x14ac:dyDescent="0.3">
      <c r="A313" t="s">
        <v>54</v>
      </c>
      <c r="B313" t="s">
        <v>8</v>
      </c>
      <c r="C313" s="113">
        <v>330</v>
      </c>
      <c r="D313" s="113">
        <v>1020.01</v>
      </c>
      <c r="E313">
        <v>1</v>
      </c>
      <c r="F313" t="s">
        <v>6</v>
      </c>
      <c r="G313" t="s">
        <v>4</v>
      </c>
      <c r="H313">
        <v>1</v>
      </c>
      <c r="I313">
        <v>5.01</v>
      </c>
      <c r="J313" t="s">
        <v>10</v>
      </c>
      <c r="K313">
        <v>5775.4</v>
      </c>
      <c r="L313">
        <v>0.10274</v>
      </c>
      <c r="M313">
        <v>5775.5</v>
      </c>
      <c r="N313">
        <v>0.10236000000000001</v>
      </c>
      <c r="O313" t="s">
        <v>2833</v>
      </c>
      <c r="P313" t="s">
        <v>2833</v>
      </c>
      <c r="Q313" t="s">
        <v>2833</v>
      </c>
      <c r="R313">
        <f ca="1">RAND()*(Validation[[#This Row],[Range1_High]]-Validation[[#This Row],[Range1_Low]])+Validation[[#This Row],[Range1_Low]]</f>
        <v>802.3440886430667</v>
      </c>
      <c r="S313">
        <f>Validation[[#This Row],[Range2_High]]</f>
        <v>5.01</v>
      </c>
      <c r="T313" t="str" cm="1">
        <f t="array" aca="1" ref="T313" ca="1">RoundToTwoSigFigs(Validation[[#This Row],[Test Reading]]*Validation[[#This Row],[Mult]]+Validation[[#This Row],[Base]]) &amp;" "&amp;Validation[[#This Row],[Uncert_Units]]</f>
        <v>5900 mV</v>
      </c>
      <c r="U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V313" t="b">
        <f ca="1">Validation[[#This Row],[Desired Result]]=Validation[[#This Row],[Result]]</f>
        <v>1</v>
      </c>
      <c r="W313" t="b">
        <v>1</v>
      </c>
      <c r="X313" t="b">
        <f>Validation[[#This Row],[Range1_Low]]&gt;=Validation[[#This Row],[Range1_High]]</f>
        <v>0</v>
      </c>
      <c r="Y313" s="111" t="s">
        <v>2843</v>
      </c>
    </row>
    <row r="314" spans="1:25" ht="16.5" thickTop="1" thickBot="1" x14ac:dyDescent="0.3">
      <c r="A314" t="s">
        <v>55</v>
      </c>
      <c r="B314" t="s">
        <v>8</v>
      </c>
      <c r="C314" s="113">
        <v>0.1</v>
      </c>
      <c r="D314" s="113">
        <v>1</v>
      </c>
      <c r="E314">
        <v>1E-3</v>
      </c>
      <c r="F314" t="s">
        <v>6</v>
      </c>
      <c r="G314" t="s">
        <v>5</v>
      </c>
      <c r="H314">
        <v>1000</v>
      </c>
      <c r="I314">
        <v>2000</v>
      </c>
      <c r="J314" t="s">
        <v>10</v>
      </c>
      <c r="K314">
        <v>590</v>
      </c>
      <c r="L314">
        <v>17163</v>
      </c>
      <c r="M314">
        <v>204.79</v>
      </c>
      <c r="N314">
        <v>17392</v>
      </c>
      <c r="O314" t="s">
        <v>2833</v>
      </c>
      <c r="P314" t="s">
        <v>2833</v>
      </c>
      <c r="Q314" t="s">
        <v>2833</v>
      </c>
      <c r="R314">
        <f ca="1">RAND()*(Validation[[#This Row],[Range1_High]]-Validation[[#This Row],[Range1_Low]])+Validation[[#This Row],[Range1_Low]]</f>
        <v>0.88928171000920098</v>
      </c>
      <c r="S314">
        <f>Validation[[#This Row],[Range2_High]]</f>
        <v>2000</v>
      </c>
      <c r="T314" t="str" cm="1">
        <f t="array" aca="1" ref="T314" ca="1">RoundToTwoSigFigs(Validation[[#This Row],[Test Reading]]*Validation[[#This Row],[Mult]]+Validation[[#This Row],[Base]]) &amp;" "&amp;Validation[[#This Row],[Uncert_Units]]</f>
        <v>16000 µV</v>
      </c>
      <c r="U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V314" t="b">
        <f ca="1">Validation[[#This Row],[Desired Result]]=Validation[[#This Row],[Result]]</f>
        <v>1</v>
      </c>
      <c r="W314" t="b">
        <v>1</v>
      </c>
      <c r="X314" t="b">
        <f>Validation[[#This Row],[Range1_Low]]&gt;=Validation[[#This Row],[Range1_High]]</f>
        <v>0</v>
      </c>
      <c r="Y314" s="111" t="s">
        <v>2843</v>
      </c>
    </row>
    <row r="315" spans="1:25" ht="16.5" thickTop="1" thickBot="1" x14ac:dyDescent="0.3">
      <c r="A315" t="s">
        <v>68</v>
      </c>
      <c r="B315" t="s">
        <v>8</v>
      </c>
      <c r="C315">
        <v>0</v>
      </c>
      <c r="D315">
        <v>0.1</v>
      </c>
      <c r="E315">
        <v>1E-3</v>
      </c>
      <c r="F315" t="s">
        <v>6</v>
      </c>
      <c r="G315" t="s">
        <v>5</v>
      </c>
      <c r="H315">
        <v>2</v>
      </c>
      <c r="I315">
        <v>20</v>
      </c>
      <c r="J315" t="s">
        <v>10</v>
      </c>
      <c r="K315">
        <v>578.33000000000004</v>
      </c>
      <c r="L315">
        <v>129.33000000000001</v>
      </c>
      <c r="M315">
        <v>578.32000000000005</v>
      </c>
      <c r="N315">
        <v>129.1</v>
      </c>
      <c r="O315" t="s">
        <v>2833</v>
      </c>
      <c r="P315" t="s">
        <v>2833</v>
      </c>
      <c r="Q315" t="s">
        <v>2833</v>
      </c>
      <c r="R315">
        <f ca="1">RAND()*(Validation[[#This Row],[Range1_High]]-Validation[[#This Row],[Range1_Low]])+Validation[[#This Row],[Range1_Low]]</f>
        <v>2.0654854009489822E-2</v>
      </c>
      <c r="S315">
        <f>Validation[[#This Row],[Range2_High]]</f>
        <v>20</v>
      </c>
      <c r="T315" t="str" cm="1">
        <f t="array" aca="1" ref="T315" ca="1">RoundToTwoSigFigs(Validation[[#This Row],[Test Reading]]*Validation[[#This Row],[Mult]]+Validation[[#This Row],[Base]]) &amp;" "&amp;Validation[[#This Row],[Uncert_Units]]</f>
        <v>580 µV</v>
      </c>
      <c r="U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315" t="b">
        <f ca="1">Validation[[#This Row],[Desired Result]]=Validation[[#This Row],[Result]]</f>
        <v>1</v>
      </c>
      <c r="W315" t="b">
        <v>0</v>
      </c>
      <c r="X315" t="b">
        <f>Validation[[#This Row],[Range1_Low]]&gt;=Validation[[#This Row],[Range1_High]]</f>
        <v>0</v>
      </c>
      <c r="Y315" s="111" t="s">
        <v>2845</v>
      </c>
    </row>
    <row r="316" spans="1:25" ht="16.5" thickTop="1" thickBot="1" x14ac:dyDescent="0.3">
      <c r="A316" t="s">
        <v>54</v>
      </c>
      <c r="B316" t="s">
        <v>8</v>
      </c>
      <c r="C316" s="113">
        <v>33</v>
      </c>
      <c r="D316" s="113">
        <v>330.01</v>
      </c>
      <c r="E316">
        <v>1</v>
      </c>
      <c r="F316" t="s">
        <v>6</v>
      </c>
      <c r="G316" t="s">
        <v>4</v>
      </c>
      <c r="H316">
        <v>100</v>
      </c>
      <c r="I316">
        <v>100.1</v>
      </c>
      <c r="J316" t="s">
        <v>10</v>
      </c>
      <c r="K316">
        <v>546.63</v>
      </c>
      <c r="L316">
        <v>1.8765000000000001</v>
      </c>
      <c r="M316">
        <v>546.54</v>
      </c>
      <c r="N316">
        <v>1.8763000000000001</v>
      </c>
      <c r="O316" t="s">
        <v>2833</v>
      </c>
      <c r="P316" t="s">
        <v>2833</v>
      </c>
      <c r="Q316" t="s">
        <v>2833</v>
      </c>
      <c r="R316">
        <f ca="1">RAND()*(Validation[[#This Row],[Range1_High]]-Validation[[#This Row],[Range1_Low]])+Validation[[#This Row],[Range1_Low]]</f>
        <v>235.72803086242482</v>
      </c>
      <c r="S316">
        <f>Validation[[#This Row],[Range2_High]]</f>
        <v>100.1</v>
      </c>
      <c r="T316" t="str" cm="1">
        <f t="array" aca="1" ref="T316" ca="1">RoundToTwoSigFigs(Validation[[#This Row],[Test Reading]]*Validation[[#This Row],[Mult]]+Validation[[#This Row],[Base]]) &amp;" "&amp;Validation[[#This Row],[Uncert_Units]]</f>
        <v>990 mV</v>
      </c>
      <c r="U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mV</v>
      </c>
      <c r="V316" t="b">
        <f ca="1">Validation[[#This Row],[Desired Result]]=Validation[[#This Row],[Result]]</f>
        <v>1</v>
      </c>
      <c r="W316" t="b">
        <v>1</v>
      </c>
      <c r="X316" t="b">
        <f>Validation[[#This Row],[Range1_Low]]&gt;=Validation[[#This Row],[Range1_High]]</f>
        <v>0</v>
      </c>
      <c r="Y316" s="111" t="s">
        <v>2843</v>
      </c>
    </row>
    <row r="317" spans="1:25" ht="16.5" thickTop="1" thickBot="1" x14ac:dyDescent="0.3">
      <c r="A317" t="s">
        <v>55</v>
      </c>
      <c r="B317" t="s">
        <v>8</v>
      </c>
      <c r="C317" s="113">
        <v>10</v>
      </c>
      <c r="D317" s="113">
        <v>100</v>
      </c>
      <c r="E317">
        <v>1.0000000000000001E-5</v>
      </c>
      <c r="F317" t="s">
        <v>6</v>
      </c>
      <c r="G317" t="s">
        <v>4</v>
      </c>
      <c r="H317">
        <v>300</v>
      </c>
      <c r="I317">
        <v>1000</v>
      </c>
      <c r="J317" t="s">
        <v>10</v>
      </c>
      <c r="K317">
        <v>46</v>
      </c>
      <c r="L317">
        <v>17</v>
      </c>
      <c r="M317">
        <v>12.317</v>
      </c>
      <c r="N317">
        <v>17.334</v>
      </c>
      <c r="O317" t="s">
        <v>2833</v>
      </c>
      <c r="P317" t="s">
        <v>2833</v>
      </c>
      <c r="Q317" t="s">
        <v>2833</v>
      </c>
      <c r="R317">
        <f ca="1">RAND()*(Validation[[#This Row],[Range1_High]]-Validation[[#This Row],[Range1_Low]])+Validation[[#This Row],[Range1_Low]]</f>
        <v>70.310929356714738</v>
      </c>
      <c r="S317">
        <f>Validation[[#This Row],[Range2_High]]</f>
        <v>1000</v>
      </c>
      <c r="T317" t="str" cm="1">
        <f t="array" aca="1" ref="T317" ca="1">RoundToTwoSigFigs(Validation[[#This Row],[Test Reading]]*Validation[[#This Row],[Mult]]+Validation[[#This Row],[Base]]) &amp;" "&amp;Validation[[#This Row],[Uncert_Units]]</f>
        <v>1200 mV</v>
      </c>
      <c r="U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V317" t="b">
        <f ca="1">Validation[[#This Row],[Desired Result]]=Validation[[#This Row],[Result]]</f>
        <v>1</v>
      </c>
      <c r="W317" t="b">
        <v>1</v>
      </c>
      <c r="X317" t="b">
        <f>Validation[[#This Row],[Range1_Low]]&gt;=Validation[[#This Row],[Range1_High]]</f>
        <v>0</v>
      </c>
      <c r="Y317" s="111" t="s">
        <v>2843</v>
      </c>
    </row>
    <row r="318" spans="1:25" ht="16.5" thickTop="1" thickBot="1" x14ac:dyDescent="0.3">
      <c r="A318" t="s">
        <v>55</v>
      </c>
      <c r="B318" t="s">
        <v>8</v>
      </c>
      <c r="C318" s="113">
        <v>0.1</v>
      </c>
      <c r="D318" s="113">
        <v>1</v>
      </c>
      <c r="E318">
        <v>9.9999999999999995E-7</v>
      </c>
      <c r="F318" t="s">
        <v>6</v>
      </c>
      <c r="G318" t="s">
        <v>4</v>
      </c>
      <c r="H318">
        <v>4000</v>
      </c>
      <c r="I318">
        <v>8000</v>
      </c>
      <c r="J318" t="s">
        <v>10</v>
      </c>
      <c r="K318">
        <v>1.3</v>
      </c>
      <c r="L318">
        <v>46.045999999999999</v>
      </c>
      <c r="M318">
        <v>0.91605999999999999</v>
      </c>
      <c r="N318">
        <v>46.326000000000001</v>
      </c>
      <c r="O318" t="s">
        <v>2833</v>
      </c>
      <c r="P318" t="s">
        <v>2833</v>
      </c>
      <c r="Q318" t="s">
        <v>2833</v>
      </c>
      <c r="R318">
        <f ca="1">RAND()*(Validation[[#This Row],[Range1_High]]-Validation[[#This Row],[Range1_Low]])+Validation[[#This Row],[Range1_Low]]</f>
        <v>0.48188498654350542</v>
      </c>
      <c r="S318">
        <f>Validation[[#This Row],[Range2_High]]</f>
        <v>8000</v>
      </c>
      <c r="T318" t="str" cm="1">
        <f t="array" aca="1" ref="T318" ca="1">RoundToTwoSigFigs(Validation[[#This Row],[Test Reading]]*Validation[[#This Row],[Mult]]+Validation[[#This Row],[Base]]) &amp;" "&amp;Validation[[#This Row],[Uncert_Units]]</f>
        <v>23 mV</v>
      </c>
      <c r="U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V318" t="b">
        <f ca="1">Validation[[#This Row],[Desired Result]]=Validation[[#This Row],[Result]]</f>
        <v>0</v>
      </c>
      <c r="W318" t="b">
        <v>1</v>
      </c>
      <c r="X318" t="b">
        <f>Validation[[#This Row],[Range1_Low]]&gt;=Validation[[#This Row],[Range1_High]]</f>
        <v>0</v>
      </c>
      <c r="Y318" s="111" t="s">
        <v>2843</v>
      </c>
    </row>
    <row r="319" spans="1:25" ht="16.5" thickTop="1" thickBot="1" x14ac:dyDescent="0.3">
      <c r="A319" t="s">
        <v>55</v>
      </c>
      <c r="B319" t="s">
        <v>8</v>
      </c>
      <c r="C319" s="113">
        <v>0.01</v>
      </c>
      <c r="D319" s="113">
        <v>0.1</v>
      </c>
      <c r="E319">
        <v>1.0000000000000001E-5</v>
      </c>
      <c r="F319" t="s">
        <v>6</v>
      </c>
      <c r="G319" t="s">
        <v>5</v>
      </c>
      <c r="H319">
        <v>1000</v>
      </c>
      <c r="I319">
        <v>2000</v>
      </c>
      <c r="J319" t="s">
        <v>10</v>
      </c>
      <c r="K319">
        <v>53</v>
      </c>
      <c r="L319">
        <v>17054</v>
      </c>
      <c r="M319">
        <v>11.587999999999999</v>
      </c>
      <c r="N319">
        <v>17413</v>
      </c>
      <c r="O319" t="s">
        <v>2833</v>
      </c>
      <c r="P319" t="s">
        <v>2833</v>
      </c>
      <c r="Q319" t="s">
        <v>2833</v>
      </c>
      <c r="R319">
        <f ca="1">RAND()*(Validation[[#This Row],[Range1_High]]-Validation[[#This Row],[Range1_Low]])+Validation[[#This Row],[Range1_Low]]</f>
        <v>4.8779127426740558E-2</v>
      </c>
      <c r="S319">
        <f>Validation[[#This Row],[Range2_High]]</f>
        <v>2000</v>
      </c>
      <c r="T319" t="str" cm="1">
        <f t="array" aca="1" ref="T319" ca="1">RoundToTwoSigFigs(Validation[[#This Row],[Test Reading]]*Validation[[#This Row],[Mult]]+Validation[[#This Row],[Base]]) &amp;" "&amp;Validation[[#This Row],[Uncert_Units]]</f>
        <v>880 µV</v>
      </c>
      <c r="U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µV</v>
      </c>
      <c r="V319" t="b">
        <f ca="1">Validation[[#This Row],[Desired Result]]=Validation[[#This Row],[Result]]</f>
        <v>1</v>
      </c>
      <c r="W319" t="b">
        <v>1</v>
      </c>
      <c r="X319" t="b">
        <f>Validation[[#This Row],[Range1_Low]]&gt;=Validation[[#This Row],[Range1_High]]</f>
        <v>0</v>
      </c>
      <c r="Y319" s="111" t="s">
        <v>2843</v>
      </c>
    </row>
    <row r="320" spans="1:25" ht="16.5" thickTop="1" thickBot="1" x14ac:dyDescent="0.3">
      <c r="A320" t="s">
        <v>55</v>
      </c>
      <c r="B320" t="s">
        <v>8</v>
      </c>
      <c r="C320">
        <v>20</v>
      </c>
      <c r="D320">
        <v>100</v>
      </c>
      <c r="E320">
        <v>1</v>
      </c>
      <c r="F320" t="s">
        <v>6</v>
      </c>
      <c r="G320" t="s">
        <v>4</v>
      </c>
      <c r="H320">
        <v>1</v>
      </c>
      <c r="I320">
        <v>20</v>
      </c>
      <c r="J320" t="s">
        <v>10</v>
      </c>
      <c r="K320">
        <v>577.34</v>
      </c>
      <c r="L320">
        <v>5.8763000000000001E-3</v>
      </c>
      <c r="M320">
        <v>576.84</v>
      </c>
      <c r="N320">
        <v>5.8618000000000003E-3</v>
      </c>
      <c r="O320" t="s">
        <v>2833</v>
      </c>
      <c r="P320" t="s">
        <v>2833</v>
      </c>
      <c r="Q320" t="s">
        <v>2833</v>
      </c>
      <c r="R320">
        <f ca="1">RAND()*(Validation[[#This Row],[Range1_High]]-Validation[[#This Row],[Range1_Low]])+Validation[[#This Row],[Range1_Low]]</f>
        <v>47.870483870487313</v>
      </c>
      <c r="S320">
        <f>Validation[[#This Row],[Range2_High]]</f>
        <v>20</v>
      </c>
      <c r="T320" t="str" cm="1">
        <f t="array" aca="1" ref="T320" ca="1">RoundToTwoSigFigs(Validation[[#This Row],[Test Reading]]*Validation[[#This Row],[Mult]]+Validation[[#This Row],[Base]]) &amp;" "&amp;Validation[[#This Row],[Uncert_Units]]</f>
        <v>580 mV</v>
      </c>
      <c r="U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320" t="b">
        <f ca="1">Validation[[#This Row],[Desired Result]]=Validation[[#This Row],[Result]]</f>
        <v>1</v>
      </c>
      <c r="W320" t="b">
        <v>0</v>
      </c>
      <c r="X320" t="b">
        <f>Validation[[#This Row],[Range1_Low]]&gt;=Validation[[#This Row],[Range1_High]]</f>
        <v>0</v>
      </c>
      <c r="Y320" s="111" t="s">
        <v>2845</v>
      </c>
    </row>
    <row r="321" spans="1:25" ht="16.5" thickTop="1" thickBot="1" x14ac:dyDescent="0.3">
      <c r="A321" t="s">
        <v>54</v>
      </c>
      <c r="B321" t="s">
        <v>8</v>
      </c>
      <c r="C321" s="113">
        <v>330</v>
      </c>
      <c r="D321" s="113">
        <v>1020.01</v>
      </c>
      <c r="E321">
        <v>1</v>
      </c>
      <c r="F321" t="s">
        <v>6</v>
      </c>
      <c r="G321" t="s">
        <v>4</v>
      </c>
      <c r="H321">
        <v>4.4999999999999998E-2</v>
      </c>
      <c r="I321">
        <v>1.0000100000000001</v>
      </c>
      <c r="J321" t="s">
        <v>10</v>
      </c>
      <c r="K321">
        <v>5790.3</v>
      </c>
      <c r="L321">
        <v>4.1506000000000001E-2</v>
      </c>
      <c r="M321">
        <v>5790.4</v>
      </c>
      <c r="N321">
        <v>4.1123E-2</v>
      </c>
      <c r="O321" t="s">
        <v>2833</v>
      </c>
      <c r="P321" t="s">
        <v>2833</v>
      </c>
      <c r="Q321" t="s">
        <v>2833</v>
      </c>
      <c r="R321">
        <f ca="1">RAND()*(Validation[[#This Row],[Range1_High]]-Validation[[#This Row],[Range1_Low]])+Validation[[#This Row],[Range1_Low]]</f>
        <v>946.28238669209327</v>
      </c>
      <c r="S321">
        <f>Validation[[#This Row],[Range2_High]]</f>
        <v>1.0000100000000001</v>
      </c>
      <c r="T321" t="str" cm="1">
        <f t="array" aca="1" ref="T321" ca="1">RoundToTwoSigFigs(Validation[[#This Row],[Test Reading]]*Validation[[#This Row],[Mult]]+Validation[[#This Row],[Base]]) &amp;" "&amp;Validation[[#This Row],[Uncert_Units]]</f>
        <v>5800 mV</v>
      </c>
      <c r="U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321" t="b">
        <f ca="1">Validation[[#This Row],[Desired Result]]=Validation[[#This Row],[Result]]</f>
        <v>1</v>
      </c>
      <c r="W321" t="b">
        <v>1</v>
      </c>
      <c r="X321" t="b">
        <f>Validation[[#This Row],[Range1_Low]]&gt;=Validation[[#This Row],[Range1_High]]</f>
        <v>0</v>
      </c>
      <c r="Y321" s="111" t="s">
        <v>2843</v>
      </c>
    </row>
    <row r="322" spans="1:25" ht="15.75" thickTop="1" x14ac:dyDescent="0.25">
      <c r="A322" t="s">
        <v>55</v>
      </c>
      <c r="B322" t="s">
        <v>8</v>
      </c>
      <c r="C322">
        <v>0</v>
      </c>
      <c r="D322">
        <v>0.01</v>
      </c>
      <c r="E322">
        <v>1.0000000000000001E-5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4.9503000000000004</v>
      </c>
      <c r="L322">
        <v>45929</v>
      </c>
      <c r="M322">
        <v>4.8762999999999996</v>
      </c>
      <c r="N322">
        <v>45936</v>
      </c>
      <c r="O322" t="s">
        <v>2833</v>
      </c>
      <c r="P322" t="s">
        <v>2833</v>
      </c>
      <c r="Q322" t="s">
        <v>2833</v>
      </c>
      <c r="R322">
        <f ca="1">RAND()*(Validation[[#This Row],[Range1_High]]-Validation[[#This Row],[Range1_Low]])+Validation[[#This Row],[Range1_Low]]</f>
        <v>4.784279379801794E-3</v>
      </c>
      <c r="S322">
        <f>Validation[[#This Row],[Range2_High]]</f>
        <v>300</v>
      </c>
      <c r="T322" t="str" cm="1">
        <f t="array" aca="1" ref="T322" ca="1">RoundToTwoSigFigs(Validation[[#This Row],[Test Reading]]*Validation[[#This Row],[Mult]]+Validation[[#This Row],[Base]]) &amp;" "&amp;Validation[[#This Row],[Uncert_Units]]</f>
        <v>220 µV</v>
      </c>
      <c r="U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V322" t="b">
        <f ca="1">Validation[[#This Row],[Desired Result]]=Validation[[#This Row],[Result]]</f>
        <v>0</v>
      </c>
      <c r="W322" t="b">
        <v>1</v>
      </c>
      <c r="X322" t="b">
        <f>Validation[[#This Row],[Range1_Low]]&gt;=Validation[[#This Row],[Range1_High]]</f>
        <v>0</v>
      </c>
      <c r="Y322" s="111" t="s">
        <v>2845</v>
      </c>
    </row>
    <row r="323" spans="1:25" ht="15.75" thickBot="1" x14ac:dyDescent="0.3">
      <c r="A323" t="s">
        <v>55</v>
      </c>
      <c r="B323" t="s">
        <v>8</v>
      </c>
      <c r="C323">
        <v>0.01</v>
      </c>
      <c r="D323">
        <v>0.1</v>
      </c>
      <c r="E323">
        <v>1.0000000000000001E-5</v>
      </c>
      <c r="F323" t="s">
        <v>6</v>
      </c>
      <c r="G323" t="s">
        <v>5</v>
      </c>
      <c r="H323">
        <v>8000</v>
      </c>
      <c r="I323">
        <v>10000</v>
      </c>
      <c r="J323" t="s">
        <v>10</v>
      </c>
      <c r="K323">
        <v>450</v>
      </c>
      <c r="L323">
        <v>170040</v>
      </c>
      <c r="M323">
        <v>115.41</v>
      </c>
      <c r="N323">
        <v>173280</v>
      </c>
      <c r="O323" t="s">
        <v>2833</v>
      </c>
      <c r="P323" t="s">
        <v>2833</v>
      </c>
      <c r="Q323" t="s">
        <v>2833</v>
      </c>
      <c r="R323">
        <f ca="1">RAND()*(Validation[[#This Row],[Range1_High]]-Validation[[#This Row],[Range1_Low]])+Validation[[#This Row],[Range1_Low]]</f>
        <v>3.6125944996039133E-2</v>
      </c>
      <c r="S323">
        <f>Validation[[#This Row],[Range2_High]]</f>
        <v>10000</v>
      </c>
      <c r="T323" t="str" cm="1">
        <f t="array" aca="1" ref="T323" ca="1">RoundToTwoSigFigs(Validation[[#This Row],[Test Reading]]*Validation[[#This Row],[Mult]]+Validation[[#This Row],[Base]]) &amp;" "&amp;Validation[[#This Row],[Uncert_Units]]</f>
        <v>6600 µV</v>
      </c>
      <c r="U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µV</v>
      </c>
      <c r="V323" t="b">
        <f ca="1">Validation[[#This Row],[Desired Result]]=Validation[[#This Row],[Result]]</f>
        <v>1</v>
      </c>
      <c r="W323" t="b">
        <v>0</v>
      </c>
      <c r="X323" t="b">
        <f>Validation[[#This Row],[Range1_Low]]&gt;=Validation[[#This Row],[Range1_High]]</f>
        <v>0</v>
      </c>
      <c r="Y323" s="111" t="s">
        <v>2845</v>
      </c>
    </row>
    <row r="324" spans="1:25" ht="16.5" thickTop="1" thickBot="1" x14ac:dyDescent="0.3">
      <c r="A324" t="s">
        <v>55</v>
      </c>
      <c r="B324" t="s">
        <v>8</v>
      </c>
      <c r="C324" s="113">
        <v>0.1</v>
      </c>
      <c r="D324" s="113">
        <v>1</v>
      </c>
      <c r="E324">
        <v>1.0000000000000001E-5</v>
      </c>
      <c r="F324" t="s">
        <v>6</v>
      </c>
      <c r="G324" t="s">
        <v>4</v>
      </c>
      <c r="H324">
        <v>4000</v>
      </c>
      <c r="I324">
        <v>8000</v>
      </c>
      <c r="J324" t="s">
        <v>10</v>
      </c>
      <c r="K324">
        <v>1.3</v>
      </c>
      <c r="L324">
        <v>46.045999999999999</v>
      </c>
      <c r="M324">
        <v>0.91607000000000005</v>
      </c>
      <c r="N324">
        <v>46.326000000000001</v>
      </c>
      <c r="O324" t="s">
        <v>2833</v>
      </c>
      <c r="P324" t="s">
        <v>2833</v>
      </c>
      <c r="Q324" t="s">
        <v>2833</v>
      </c>
      <c r="R324">
        <f ca="1">RAND()*(Validation[[#This Row],[Range1_High]]-Validation[[#This Row],[Range1_Low]])+Validation[[#This Row],[Range1_Low]]</f>
        <v>0.70845683755288291</v>
      </c>
      <c r="S324">
        <f>Validation[[#This Row],[Range2_High]]</f>
        <v>8000</v>
      </c>
      <c r="T324" t="str" cm="1">
        <f t="array" aca="1" ref="T324" ca="1">RoundToTwoSigFigs(Validation[[#This Row],[Test Reading]]*Validation[[#This Row],[Mult]]+Validation[[#This Row],[Base]]) &amp;" "&amp;Validation[[#This Row],[Uncert_Units]]</f>
        <v>34 mV</v>
      </c>
      <c r="U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324" t="b">
        <f ca="1">Validation[[#This Row],[Desired Result]]=Validation[[#This Row],[Result]]</f>
        <v>0</v>
      </c>
      <c r="W324" t="b">
        <v>1</v>
      </c>
      <c r="X324" t="b">
        <f>Validation[[#This Row],[Range1_Low]]&gt;=Validation[[#This Row],[Range1_High]]</f>
        <v>0</v>
      </c>
      <c r="Y324" s="111" t="s">
        <v>2843</v>
      </c>
    </row>
    <row r="325" spans="1:25" ht="16.5" thickTop="1" thickBot="1" x14ac:dyDescent="0.3">
      <c r="A325" t="s">
        <v>55</v>
      </c>
      <c r="B325" t="s">
        <v>8</v>
      </c>
      <c r="C325">
        <v>0</v>
      </c>
      <c r="D325">
        <v>0.01</v>
      </c>
      <c r="E325">
        <v>0.01</v>
      </c>
      <c r="F325" t="s">
        <v>6</v>
      </c>
      <c r="G325" t="s">
        <v>5</v>
      </c>
      <c r="H325">
        <v>4000</v>
      </c>
      <c r="I325">
        <v>8000</v>
      </c>
      <c r="J325" t="s">
        <v>10</v>
      </c>
      <c r="K325">
        <v>5769.3</v>
      </c>
      <c r="L325">
        <v>45269</v>
      </c>
      <c r="M325">
        <v>5751.2</v>
      </c>
      <c r="N325">
        <v>45261</v>
      </c>
      <c r="O325" t="s">
        <v>2833</v>
      </c>
      <c r="P325" t="s">
        <v>2833</v>
      </c>
      <c r="Q325" t="s">
        <v>2833</v>
      </c>
      <c r="R325">
        <f ca="1">RAND()*(Validation[[#This Row],[Range1_High]]-Validation[[#This Row],[Range1_Low]])+Validation[[#This Row],[Range1_Low]]</f>
        <v>4.8518926956640394E-3</v>
      </c>
      <c r="S325">
        <f>Validation[[#This Row],[Range2_High]]</f>
        <v>8000</v>
      </c>
      <c r="T325" t="str" cm="1">
        <f t="array" aca="1" ref="T325" ca="1">RoundToTwoSigFigs(Validation[[#This Row],[Test Reading]]*Validation[[#This Row],[Mult]]+Validation[[#This Row],[Base]]) &amp;" "&amp;Validation[[#This Row],[Uncert_Units]]</f>
        <v>6000 µV</v>
      </c>
      <c r="U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V325" t="b">
        <f ca="1">Validation[[#This Row],[Desired Result]]=Validation[[#This Row],[Result]]</f>
        <v>1</v>
      </c>
      <c r="W325" t="b">
        <v>1</v>
      </c>
      <c r="X325" t="b">
        <f>Validation[[#This Row],[Range1_Low]]&gt;=Validation[[#This Row],[Range1_High]]</f>
        <v>0</v>
      </c>
      <c r="Y325" s="111" t="s">
        <v>2845</v>
      </c>
    </row>
    <row r="326" spans="1:25" ht="16.5" thickTop="1" thickBot="1" x14ac:dyDescent="0.3">
      <c r="A326" t="s">
        <v>55</v>
      </c>
      <c r="B326" t="s">
        <v>8</v>
      </c>
      <c r="C326" s="113">
        <v>0.1</v>
      </c>
      <c r="D326" s="113">
        <v>1</v>
      </c>
      <c r="E326">
        <v>1.0000000000000001E-5</v>
      </c>
      <c r="F326" t="s">
        <v>6</v>
      </c>
      <c r="G326" t="s">
        <v>5</v>
      </c>
      <c r="H326">
        <v>50</v>
      </c>
      <c r="I326">
        <v>100</v>
      </c>
      <c r="J326" t="s">
        <v>10</v>
      </c>
      <c r="K326">
        <v>27</v>
      </c>
      <c r="L326">
        <v>935.62</v>
      </c>
      <c r="M326">
        <v>23.297999999999998</v>
      </c>
      <c r="N326">
        <v>938.72</v>
      </c>
      <c r="O326" t="s">
        <v>2833</v>
      </c>
      <c r="P326" t="s">
        <v>2833</v>
      </c>
      <c r="Q326" t="s">
        <v>2833</v>
      </c>
      <c r="R326">
        <f ca="1">RAND()*(Validation[[#This Row],[Range1_High]]-Validation[[#This Row],[Range1_Low]])+Validation[[#This Row],[Range1_Low]]</f>
        <v>0.23718864378204715</v>
      </c>
      <c r="S326">
        <f>Validation[[#This Row],[Range2_High]]</f>
        <v>100</v>
      </c>
      <c r="T326" t="str" cm="1">
        <f t="array" aca="1" ref="T326" ca="1">RoundToTwoSigFigs(Validation[[#This Row],[Test Reading]]*Validation[[#This Row],[Mult]]+Validation[[#This Row],[Base]]) &amp;" "&amp;Validation[[#This Row],[Uncert_Units]]</f>
        <v>250 µV</v>
      </c>
      <c r="U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V326" t="b">
        <f ca="1">Validation[[#This Row],[Desired Result]]=Validation[[#This Row],[Result]]</f>
        <v>1</v>
      </c>
      <c r="W326" t="b">
        <v>1</v>
      </c>
      <c r="X326" t="b">
        <f>Validation[[#This Row],[Range1_Low]]&gt;=Validation[[#This Row],[Range1_High]]</f>
        <v>0</v>
      </c>
      <c r="Y326" s="111" t="s">
        <v>2843</v>
      </c>
    </row>
    <row r="327" spans="1:25" ht="16.5" thickTop="1" thickBot="1" x14ac:dyDescent="0.3">
      <c r="A327" t="s">
        <v>55</v>
      </c>
      <c r="B327" t="s">
        <v>8</v>
      </c>
      <c r="C327">
        <v>330</v>
      </c>
      <c r="D327">
        <v>1000</v>
      </c>
      <c r="E327">
        <v>0.01</v>
      </c>
      <c r="F327" t="s">
        <v>6</v>
      </c>
      <c r="G327" t="s">
        <v>4</v>
      </c>
      <c r="H327">
        <v>0.04</v>
      </c>
      <c r="I327">
        <v>1</v>
      </c>
      <c r="J327" t="s">
        <v>10</v>
      </c>
      <c r="K327">
        <v>27</v>
      </c>
      <c r="L327">
        <v>0.46056000000000002</v>
      </c>
      <c r="M327">
        <v>23.29</v>
      </c>
      <c r="N327">
        <v>0.46321000000000001</v>
      </c>
      <c r="O327" t="s">
        <v>2833</v>
      </c>
      <c r="P327" t="s">
        <v>2833</v>
      </c>
      <c r="Q327" t="s">
        <v>2833</v>
      </c>
      <c r="R327">
        <f ca="1">RAND()*(Validation[[#This Row],[Range1_High]]-Validation[[#This Row],[Range1_Low]])+Validation[[#This Row],[Range1_Low]]</f>
        <v>695.90652117004493</v>
      </c>
      <c r="S327">
        <f>Validation[[#This Row],[Range2_High]]</f>
        <v>1</v>
      </c>
      <c r="T327" t="str" cm="1">
        <f t="array" aca="1" ref="T327" ca="1">RoundToTwoSigFigs(Validation[[#This Row],[Test Reading]]*Validation[[#This Row],[Mult]]+Validation[[#This Row],[Base]]) &amp;" "&amp;Validation[[#This Row],[Uncert_Units]]</f>
        <v>350 mV</v>
      </c>
      <c r="U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mV</v>
      </c>
      <c r="V327" t="b">
        <f ca="1">Validation[[#This Row],[Desired Result]]=Validation[[#This Row],[Result]]</f>
        <v>0</v>
      </c>
      <c r="W327" t="b">
        <v>1</v>
      </c>
      <c r="X327" t="b">
        <f>Validation[[#This Row],[Range1_Low]]&gt;=Validation[[#This Row],[Range1_High]]</f>
        <v>0</v>
      </c>
      <c r="Y327" s="111" t="s">
        <v>2845</v>
      </c>
    </row>
    <row r="328" spans="1:25" ht="16.5" thickTop="1" thickBot="1" x14ac:dyDescent="0.3">
      <c r="A328" t="s">
        <v>68</v>
      </c>
      <c r="B328" t="s">
        <v>8</v>
      </c>
      <c r="C328" s="113">
        <v>1</v>
      </c>
      <c r="D328" s="113">
        <v>10</v>
      </c>
      <c r="E328">
        <v>0.01</v>
      </c>
      <c r="F328" t="s">
        <v>6</v>
      </c>
      <c r="G328" t="s">
        <v>4</v>
      </c>
      <c r="H328">
        <v>2</v>
      </c>
      <c r="I328">
        <v>20</v>
      </c>
      <c r="J328" t="s">
        <v>10</v>
      </c>
      <c r="K328">
        <v>9.8125999999999998</v>
      </c>
      <c r="L328">
        <v>1.6513</v>
      </c>
      <c r="M328">
        <v>9.7989999999999995</v>
      </c>
      <c r="N328">
        <v>1.6514</v>
      </c>
      <c r="O328" t="s">
        <v>2833</v>
      </c>
      <c r="P328" t="s">
        <v>2833</v>
      </c>
      <c r="Q328" t="s">
        <v>2833</v>
      </c>
      <c r="R328">
        <f ca="1">RAND()*(Validation[[#This Row],[Range1_High]]-Validation[[#This Row],[Range1_Low]])+Validation[[#This Row],[Range1_Low]]</f>
        <v>2.3534925579399211</v>
      </c>
      <c r="S328">
        <f>Validation[[#This Row],[Range2_High]]</f>
        <v>20</v>
      </c>
      <c r="T328" t="str" cm="1">
        <f t="array" aca="1" ref="T328" ca="1">RoundToTwoSigFigs(Validation[[#This Row],[Test Reading]]*Validation[[#This Row],[Mult]]+Validation[[#This Row],[Base]]) &amp;" "&amp;Validation[[#This Row],[Uncert_Units]]</f>
        <v>14 mV</v>
      </c>
      <c r="U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V328" t="b">
        <f ca="1">Validation[[#This Row],[Desired Result]]=Validation[[#This Row],[Result]]</f>
        <v>1</v>
      </c>
      <c r="W328" t="b">
        <v>1</v>
      </c>
      <c r="X328" t="b">
        <f>Validation[[#This Row],[Range1_Low]]&gt;=Validation[[#This Row],[Range1_High]]</f>
        <v>0</v>
      </c>
      <c r="Y328" s="111" t="s">
        <v>2843</v>
      </c>
    </row>
    <row r="329" spans="1:25" ht="16.5" thickTop="1" thickBot="1" x14ac:dyDescent="0.3">
      <c r="A329" t="s">
        <v>54</v>
      </c>
      <c r="B329" t="s">
        <v>8</v>
      </c>
      <c r="C329" s="113">
        <v>330</v>
      </c>
      <c r="D329" s="113">
        <v>1020.01</v>
      </c>
      <c r="E329">
        <v>0.01</v>
      </c>
      <c r="F329" t="s">
        <v>6</v>
      </c>
      <c r="G329" t="s">
        <v>4</v>
      </c>
      <c r="H329">
        <v>4.4999999999999998E-2</v>
      </c>
      <c r="I329">
        <v>1.0000100000000001</v>
      </c>
      <c r="J329" t="s">
        <v>10</v>
      </c>
      <c r="K329">
        <v>33.353999999999999</v>
      </c>
      <c r="L329">
        <v>0.57133999999999996</v>
      </c>
      <c r="M329">
        <v>33.320999999999998</v>
      </c>
      <c r="N329">
        <v>0.57118999999999998</v>
      </c>
      <c r="O329" t="s">
        <v>2833</v>
      </c>
      <c r="P329" t="s">
        <v>2833</v>
      </c>
      <c r="Q329" t="s">
        <v>2833</v>
      </c>
      <c r="R329">
        <f ca="1">RAND()*(Validation[[#This Row],[Range1_High]]-Validation[[#This Row],[Range1_Low]])+Validation[[#This Row],[Range1_Low]]</f>
        <v>393.39828592730106</v>
      </c>
      <c r="S329">
        <f>Validation[[#This Row],[Range2_High]]</f>
        <v>1.0000100000000001</v>
      </c>
      <c r="T329" t="str" cm="1">
        <f t="array" aca="1" ref="T329" ca="1">RoundToTwoSigFigs(Validation[[#This Row],[Test Reading]]*Validation[[#This Row],[Mult]]+Validation[[#This Row],[Base]]) &amp;" "&amp;Validation[[#This Row],[Uncert_Units]]</f>
        <v>260 mV</v>
      </c>
      <c r="U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V329" t="b">
        <f ca="1">Validation[[#This Row],[Desired Result]]=Validation[[#This Row],[Result]]</f>
        <v>0</v>
      </c>
      <c r="W329" t="b">
        <v>1</v>
      </c>
      <c r="X329" t="b">
        <f>Validation[[#This Row],[Range1_Low]]&gt;=Validation[[#This Row],[Range1_High]]</f>
        <v>0</v>
      </c>
      <c r="Y329" s="111" t="s">
        <v>2843</v>
      </c>
    </row>
    <row r="330" spans="1:25" ht="16.5" thickTop="1" thickBot="1" x14ac:dyDescent="0.3">
      <c r="A330" t="s">
        <v>54</v>
      </c>
      <c r="B330" t="s">
        <v>8</v>
      </c>
      <c r="C330">
        <v>0.33</v>
      </c>
      <c r="D330">
        <v>3.3001</v>
      </c>
      <c r="E330">
        <v>0.1</v>
      </c>
      <c r="F330" t="s">
        <v>6</v>
      </c>
      <c r="G330" t="s">
        <v>4</v>
      </c>
      <c r="H330">
        <v>50</v>
      </c>
      <c r="I330">
        <v>100.01</v>
      </c>
      <c r="J330" t="s">
        <v>10</v>
      </c>
      <c r="K330">
        <v>57.935000000000002</v>
      </c>
      <c r="L330">
        <v>0.23028999999999999</v>
      </c>
      <c r="M330">
        <v>57.935000000000002</v>
      </c>
      <c r="N330">
        <v>0.23011999999999999</v>
      </c>
      <c r="O330" t="s">
        <v>2833</v>
      </c>
      <c r="P330" t="s">
        <v>2833</v>
      </c>
      <c r="Q330" t="s">
        <v>2833</v>
      </c>
      <c r="R330">
        <f ca="1">RAND()*(Validation[[#This Row],[Range1_High]]-Validation[[#This Row],[Range1_Low]])+Validation[[#This Row],[Range1_Low]]</f>
        <v>2.7643575961751945</v>
      </c>
      <c r="S330">
        <f>Validation[[#This Row],[Range2_High]]</f>
        <v>100.01</v>
      </c>
      <c r="T330" t="str" cm="1">
        <f t="array" aca="1" ref="T330" ca="1">RoundToTwoSigFigs(Validation[[#This Row],[Test Reading]]*Validation[[#This Row],[Mult]]+Validation[[#This Row],[Base]]) &amp;" "&amp;Validation[[#This Row],[Uncert_Units]]</f>
        <v>59 mV</v>
      </c>
      <c r="U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V330" t="b">
        <f ca="1">Validation[[#This Row],[Desired Result]]=Validation[[#This Row],[Result]]</f>
        <v>0</v>
      </c>
      <c r="W330" t="b">
        <v>1</v>
      </c>
      <c r="X330" t="b">
        <f>Validation[[#This Row],[Range1_Low]]&gt;=Validation[[#This Row],[Range1_High]]</f>
        <v>0</v>
      </c>
      <c r="Y330" s="111" t="s">
        <v>2845</v>
      </c>
    </row>
    <row r="331" spans="1:25" ht="16.5" thickTop="1" thickBot="1" x14ac:dyDescent="0.3">
      <c r="A331" t="s">
        <v>55</v>
      </c>
      <c r="B331" t="s">
        <v>8</v>
      </c>
      <c r="C331" s="113">
        <v>20</v>
      </c>
      <c r="D331" s="113">
        <v>100</v>
      </c>
      <c r="E331">
        <v>1.0000000000000001E-5</v>
      </c>
      <c r="F331" t="s">
        <v>6</v>
      </c>
      <c r="G331" t="s">
        <v>4</v>
      </c>
      <c r="H331">
        <v>1</v>
      </c>
      <c r="I331">
        <v>20</v>
      </c>
      <c r="J331" t="s">
        <v>10</v>
      </c>
      <c r="K331">
        <v>4.9000000000000004</v>
      </c>
      <c r="L331">
        <v>0.21</v>
      </c>
      <c r="M331">
        <v>4.8563999999999998</v>
      </c>
      <c r="N331">
        <v>0.20787</v>
      </c>
      <c r="O331" t="s">
        <v>2833</v>
      </c>
      <c r="P331" t="s">
        <v>2833</v>
      </c>
      <c r="Q331" t="s">
        <v>2833</v>
      </c>
      <c r="R331">
        <f ca="1">RAND()*(Validation[[#This Row],[Range1_High]]-Validation[[#This Row],[Range1_Low]])+Validation[[#This Row],[Range1_Low]]</f>
        <v>27.783078707972273</v>
      </c>
      <c r="S331">
        <f>Validation[[#This Row],[Range2_High]]</f>
        <v>20</v>
      </c>
      <c r="T331" t="str" cm="1">
        <f t="array" aca="1" ref="T331" ca="1">RoundToTwoSigFigs(Validation[[#This Row],[Test Reading]]*Validation[[#This Row],[Mult]]+Validation[[#This Row],[Base]]) &amp;" "&amp;Validation[[#This Row],[Uncert_Units]]</f>
        <v>11 mV</v>
      </c>
      <c r="U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V331" t="b">
        <f ca="1">Validation[[#This Row],[Desired Result]]=Validation[[#This Row],[Result]]</f>
        <v>0</v>
      </c>
      <c r="W331" t="b">
        <v>1</v>
      </c>
      <c r="X331" t="b">
        <f>Validation[[#This Row],[Range1_Low]]&gt;=Validation[[#This Row],[Range1_High]]</f>
        <v>0</v>
      </c>
      <c r="Y331" s="111" t="s">
        <v>2843</v>
      </c>
    </row>
    <row r="332" spans="1:25" ht="15.75" thickTop="1" x14ac:dyDescent="0.25">
      <c r="A332" t="s">
        <v>55</v>
      </c>
      <c r="B332" t="s">
        <v>8</v>
      </c>
      <c r="C332">
        <v>0</v>
      </c>
      <c r="D332">
        <v>0.01</v>
      </c>
      <c r="E332">
        <v>1E-8</v>
      </c>
      <c r="F332" t="s">
        <v>6</v>
      </c>
      <c r="G332" t="s">
        <v>5</v>
      </c>
      <c r="H332">
        <v>0.04</v>
      </c>
      <c r="I332">
        <v>1</v>
      </c>
      <c r="J332" t="s">
        <v>10</v>
      </c>
      <c r="K332">
        <v>3</v>
      </c>
      <c r="L332">
        <v>160</v>
      </c>
      <c r="M332">
        <v>2.9725000000000001</v>
      </c>
      <c r="N332">
        <v>162.69</v>
      </c>
      <c r="O332" t="s">
        <v>2833</v>
      </c>
      <c r="P332" t="s">
        <v>2833</v>
      </c>
      <c r="Q332" t="s">
        <v>2833</v>
      </c>
      <c r="R332">
        <f ca="1">RAND()*(Validation[[#This Row],[Range1_High]]-Validation[[#This Row],[Range1_Low]])+Validation[[#This Row],[Range1_Low]]</f>
        <v>4.4304799537306372E-4</v>
      </c>
      <c r="S332">
        <f>Validation[[#This Row],[Range2_High]]</f>
        <v>1</v>
      </c>
      <c r="T332" t="str" cm="1">
        <f t="array" aca="1" ref="T332" ca="1">RoundToTwoSigFigs(Validation[[#This Row],[Test Reading]]*Validation[[#This Row],[Mult]]+Validation[[#This Row],[Base]]) &amp;" "&amp;Validation[[#This Row],[Uncert_Units]]</f>
        <v>3.1 µV</v>
      </c>
      <c r="U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µV</v>
      </c>
      <c r="V332" t="b">
        <f ca="1">Validation[[#This Row],[Desired Result]]=Validation[[#This Row],[Result]]</f>
        <v>0</v>
      </c>
      <c r="W332" t="b">
        <v>1</v>
      </c>
      <c r="X332" t="b">
        <f>Validation[[#This Row],[Range1_Low]]&gt;=Validation[[#This Row],[Range1_High]]</f>
        <v>0</v>
      </c>
      <c r="Y332" s="111" t="s">
        <v>2845</v>
      </c>
    </row>
    <row r="333" spans="1:25" x14ac:dyDescent="0.25">
      <c r="A333" t="s">
        <v>68</v>
      </c>
      <c r="B333" t="s">
        <v>8</v>
      </c>
      <c r="C333">
        <v>0</v>
      </c>
      <c r="D333">
        <v>0.1</v>
      </c>
      <c r="E333">
        <v>9.9999999999999995E-7</v>
      </c>
      <c r="F333" t="s">
        <v>6</v>
      </c>
      <c r="G333" t="s">
        <v>5</v>
      </c>
      <c r="H333">
        <v>0.01</v>
      </c>
      <c r="I333">
        <v>2</v>
      </c>
      <c r="J333" t="s">
        <v>10</v>
      </c>
      <c r="K333">
        <v>35</v>
      </c>
      <c r="L333">
        <v>940</v>
      </c>
      <c r="M333">
        <v>34.74</v>
      </c>
      <c r="N333">
        <v>937.4</v>
      </c>
      <c r="O333" t="s">
        <v>2833</v>
      </c>
      <c r="P333" t="s">
        <v>2833</v>
      </c>
      <c r="Q333" t="s">
        <v>2833</v>
      </c>
      <c r="R333">
        <f ca="1">RAND()*(Validation[[#This Row],[Range1_High]]-Validation[[#This Row],[Range1_Low]])+Validation[[#This Row],[Range1_Low]]</f>
        <v>9.0553151380248623E-2</v>
      </c>
      <c r="S333">
        <f>Validation[[#This Row],[Range2_High]]</f>
        <v>2</v>
      </c>
      <c r="T333" t="str" cm="1">
        <f t="array" aca="1" ref="T333" ca="1">RoundToTwoSigFigs(Validation[[#This Row],[Test Reading]]*Validation[[#This Row],[Mult]]+Validation[[#This Row],[Base]]) &amp;" "&amp;Validation[[#This Row],[Uncert_Units]]</f>
        <v>120 µV</v>
      </c>
      <c r="U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V333" t="b">
        <f ca="1">Validation[[#This Row],[Desired Result]]=Validation[[#This Row],[Result]]</f>
        <v>1</v>
      </c>
      <c r="W333" t="b">
        <v>0</v>
      </c>
      <c r="X333" t="b">
        <f>Validation[[#This Row],[Range1_Low]]&gt;=Validation[[#This Row],[Range1_High]]</f>
        <v>0</v>
      </c>
      <c r="Y333" s="111" t="s">
        <v>2845</v>
      </c>
    </row>
    <row r="334" spans="1:25" ht="15.75" thickBot="1" x14ac:dyDescent="0.3">
      <c r="A334" t="s">
        <v>55</v>
      </c>
      <c r="B334" t="s">
        <v>8</v>
      </c>
      <c r="C334">
        <v>0</v>
      </c>
      <c r="D334">
        <v>0.01</v>
      </c>
      <c r="E334">
        <v>9.9999999999999995E-7</v>
      </c>
      <c r="F334" t="s">
        <v>6</v>
      </c>
      <c r="G334" t="s">
        <v>5</v>
      </c>
      <c r="H334">
        <v>300</v>
      </c>
      <c r="I334">
        <v>1000</v>
      </c>
      <c r="J334" t="s">
        <v>10</v>
      </c>
      <c r="K334">
        <v>18</v>
      </c>
      <c r="L334">
        <v>45495</v>
      </c>
      <c r="M334">
        <v>12.914999999999999</v>
      </c>
      <c r="N334">
        <v>45495</v>
      </c>
      <c r="O334" t="s">
        <v>2833</v>
      </c>
      <c r="P334" t="s">
        <v>2833</v>
      </c>
      <c r="Q334" t="s">
        <v>2833</v>
      </c>
      <c r="R334">
        <f ca="1">RAND()*(Validation[[#This Row],[Range1_High]]-Validation[[#This Row],[Range1_Low]])+Validation[[#This Row],[Range1_Low]]</f>
        <v>5.5672635764930549E-3</v>
      </c>
      <c r="S334">
        <f>Validation[[#This Row],[Range2_High]]</f>
        <v>1000</v>
      </c>
      <c r="T334" t="str" cm="1">
        <f t="array" aca="1" ref="T334" ca="1">RoundToTwoSigFigs(Validation[[#This Row],[Test Reading]]*Validation[[#This Row],[Mult]]+Validation[[#This Row],[Base]]) &amp;" "&amp;Validation[[#This Row],[Uncert_Units]]</f>
        <v>270 µV</v>
      </c>
      <c r="U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V334" t="b">
        <f ca="1">Validation[[#This Row],[Desired Result]]=Validation[[#This Row],[Result]]</f>
        <v>1</v>
      </c>
      <c r="W334" t="b">
        <v>1</v>
      </c>
      <c r="X334" t="b">
        <f>Validation[[#This Row],[Range1_Low]]&gt;=Validation[[#This Row],[Range1_High]]</f>
        <v>0</v>
      </c>
      <c r="Y334" s="111" t="s">
        <v>2845</v>
      </c>
    </row>
    <row r="335" spans="1:25" ht="16.5" thickTop="1" thickBot="1" x14ac:dyDescent="0.3">
      <c r="A335" t="s">
        <v>55</v>
      </c>
      <c r="B335" t="s">
        <v>8</v>
      </c>
      <c r="C335" s="113">
        <v>100</v>
      </c>
      <c r="D335" s="113">
        <v>330</v>
      </c>
      <c r="E335">
        <v>0.1</v>
      </c>
      <c r="F335" t="s">
        <v>6</v>
      </c>
      <c r="G335" t="s">
        <v>4</v>
      </c>
      <c r="H335">
        <v>1E-3</v>
      </c>
      <c r="I335">
        <v>0.04</v>
      </c>
      <c r="J335" t="s">
        <v>10</v>
      </c>
      <c r="K335">
        <v>66.331999999999994</v>
      </c>
      <c r="L335">
        <v>0.42712</v>
      </c>
      <c r="M335">
        <v>66.293999999999997</v>
      </c>
      <c r="N335">
        <v>0.42698000000000003</v>
      </c>
      <c r="O335" t="s">
        <v>2833</v>
      </c>
      <c r="P335" t="s">
        <v>2833</v>
      </c>
      <c r="Q335" t="s">
        <v>2833</v>
      </c>
      <c r="R335">
        <f ca="1">RAND()*(Validation[[#This Row],[Range1_High]]-Validation[[#This Row],[Range1_Low]])+Validation[[#This Row],[Range1_Low]]</f>
        <v>218.04701543941039</v>
      </c>
      <c r="S335">
        <f>Validation[[#This Row],[Range2_High]]</f>
        <v>0.04</v>
      </c>
      <c r="T335" t="str" cm="1">
        <f t="array" aca="1" ref="T335" ca="1">RoundToTwoSigFigs(Validation[[#This Row],[Test Reading]]*Validation[[#This Row],[Mult]]+Validation[[#This Row],[Base]]) &amp;" "&amp;Validation[[#This Row],[Uncert_Units]]</f>
        <v>160 mV</v>
      </c>
      <c r="U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V335" t="b">
        <f ca="1">Validation[[#This Row],[Desired Result]]=Validation[[#This Row],[Result]]</f>
        <v>0</v>
      </c>
      <c r="W335" t="b">
        <v>1</v>
      </c>
      <c r="X335" t="b">
        <f>Validation[[#This Row],[Range1_Low]]&gt;=Validation[[#This Row],[Range1_High]]</f>
        <v>0</v>
      </c>
      <c r="Y335" s="111" t="s">
        <v>2843</v>
      </c>
    </row>
    <row r="336" spans="1:25" ht="16.5" thickTop="1" thickBot="1" x14ac:dyDescent="0.3">
      <c r="A336" t="s">
        <v>55</v>
      </c>
      <c r="B336" t="s">
        <v>8</v>
      </c>
      <c r="C336" s="113">
        <v>0.01</v>
      </c>
      <c r="D336" s="113">
        <v>0.1</v>
      </c>
      <c r="E336">
        <v>9.9999999999999995E-7</v>
      </c>
      <c r="F336" t="s">
        <v>6</v>
      </c>
      <c r="G336" t="s">
        <v>5</v>
      </c>
      <c r="H336">
        <v>20</v>
      </c>
      <c r="I336">
        <v>50</v>
      </c>
      <c r="J336" t="s">
        <v>10</v>
      </c>
      <c r="K336">
        <v>4.7</v>
      </c>
      <c r="L336">
        <v>327.10000000000002</v>
      </c>
      <c r="M336">
        <v>4.6916000000000002</v>
      </c>
      <c r="N336">
        <v>326.63</v>
      </c>
      <c r="O336" t="s">
        <v>2833</v>
      </c>
      <c r="P336" t="s">
        <v>2833</v>
      </c>
      <c r="Q336" t="s">
        <v>2833</v>
      </c>
      <c r="R336">
        <f ca="1">RAND()*(Validation[[#This Row],[Range1_High]]-Validation[[#This Row],[Range1_Low]])+Validation[[#This Row],[Range1_Low]]</f>
        <v>6.3100485504083398E-2</v>
      </c>
      <c r="S336">
        <f>Validation[[#This Row],[Range2_High]]</f>
        <v>50</v>
      </c>
      <c r="T336" t="str" cm="1">
        <f t="array" aca="1" ref="T336" ca="1">RoundToTwoSigFigs(Validation[[#This Row],[Test Reading]]*Validation[[#This Row],[Mult]]+Validation[[#This Row],[Base]]) &amp;" "&amp;Validation[[#This Row],[Uncert_Units]]</f>
        <v>25 µV</v>
      </c>
      <c r="U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µV</v>
      </c>
      <c r="V336" t="b">
        <f ca="1">Validation[[#This Row],[Desired Result]]=Validation[[#This Row],[Result]]</f>
        <v>0</v>
      </c>
      <c r="W336" t="b">
        <v>1</v>
      </c>
      <c r="X336" t="b">
        <f>Validation[[#This Row],[Range1_Low]]&gt;=Validation[[#This Row],[Range1_High]]</f>
        <v>0</v>
      </c>
      <c r="Y336" s="111" t="s">
        <v>2843</v>
      </c>
    </row>
    <row r="337" spans="1:25" ht="16.5" thickTop="1" thickBot="1" x14ac:dyDescent="0.3">
      <c r="A337" t="s">
        <v>55</v>
      </c>
      <c r="B337" t="s">
        <v>8</v>
      </c>
      <c r="C337">
        <v>0.1</v>
      </c>
      <c r="D337">
        <v>1</v>
      </c>
      <c r="E337">
        <v>1E-3</v>
      </c>
      <c r="F337" t="s">
        <v>6</v>
      </c>
      <c r="G337" t="s">
        <v>5</v>
      </c>
      <c r="H337">
        <v>50</v>
      </c>
      <c r="I337">
        <v>100</v>
      </c>
      <c r="J337" t="s">
        <v>10</v>
      </c>
      <c r="K337">
        <v>530.37</v>
      </c>
      <c r="L337">
        <v>592.16</v>
      </c>
      <c r="M337">
        <v>529.89</v>
      </c>
      <c r="N337">
        <v>592.07000000000005</v>
      </c>
      <c r="O337" t="s">
        <v>2833</v>
      </c>
      <c r="P337" t="s">
        <v>2833</v>
      </c>
      <c r="Q337" t="s">
        <v>2833</v>
      </c>
      <c r="R337">
        <f ca="1">RAND()*(Validation[[#This Row],[Range1_High]]-Validation[[#This Row],[Range1_Low]])+Validation[[#This Row],[Range1_Low]]</f>
        <v>0.91611224267389357</v>
      </c>
      <c r="S337">
        <f>Validation[[#This Row],[Range2_High]]</f>
        <v>100</v>
      </c>
      <c r="T337" t="str" cm="1">
        <f t="array" aca="1" ref="T337" ca="1">RoundToTwoSigFigs(Validation[[#This Row],[Test Reading]]*Validation[[#This Row],[Mult]]+Validation[[#This Row],[Base]]) &amp;" "&amp;Validation[[#This Row],[Uncert_Units]]</f>
        <v>1100 µV</v>
      </c>
      <c r="U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µV</v>
      </c>
      <c r="V337" t="b">
        <f ca="1">Validation[[#This Row],[Desired Result]]=Validation[[#This Row],[Result]]</f>
        <v>0</v>
      </c>
      <c r="W337" t="b">
        <v>1</v>
      </c>
      <c r="X337" t="b">
        <f>Validation[[#This Row],[Range1_Low]]&gt;=Validation[[#This Row],[Range1_High]]</f>
        <v>0</v>
      </c>
      <c r="Y337" s="111" t="s">
        <v>2845</v>
      </c>
    </row>
    <row r="338" spans="1:25" ht="16.5" thickTop="1" thickBot="1" x14ac:dyDescent="0.3">
      <c r="A338" t="s">
        <v>55</v>
      </c>
      <c r="B338" t="s">
        <v>8</v>
      </c>
      <c r="C338" s="113">
        <v>100</v>
      </c>
      <c r="D338" s="113">
        <v>330</v>
      </c>
      <c r="E338">
        <v>0.01</v>
      </c>
      <c r="F338" t="s">
        <v>6</v>
      </c>
      <c r="G338" t="s">
        <v>4</v>
      </c>
      <c r="H338">
        <v>1E-3</v>
      </c>
      <c r="I338">
        <v>0.04</v>
      </c>
      <c r="J338" t="s">
        <v>10</v>
      </c>
      <c r="K338">
        <v>48</v>
      </c>
      <c r="L338">
        <v>0.46128999999999998</v>
      </c>
      <c r="M338">
        <v>46.341000000000001</v>
      </c>
      <c r="N338">
        <v>0.46283000000000002</v>
      </c>
      <c r="O338" t="s">
        <v>2833</v>
      </c>
      <c r="P338" t="s">
        <v>2833</v>
      </c>
      <c r="Q338" t="s">
        <v>2833</v>
      </c>
      <c r="R338">
        <f ca="1">RAND()*(Validation[[#This Row],[Range1_High]]-Validation[[#This Row],[Range1_Low]])+Validation[[#This Row],[Range1_Low]]</f>
        <v>266.35168815340478</v>
      </c>
      <c r="S338">
        <f>Validation[[#This Row],[Range2_High]]</f>
        <v>0.04</v>
      </c>
      <c r="T338" t="str" cm="1">
        <f t="array" aca="1" ref="T338" ca="1">RoundToTwoSigFigs(Validation[[#This Row],[Test Reading]]*Validation[[#This Row],[Mult]]+Validation[[#This Row],[Base]]) &amp;" "&amp;Validation[[#This Row],[Uncert_Units]]</f>
        <v>170 mV</v>
      </c>
      <c r="U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V338" t="b">
        <f ca="1">Validation[[#This Row],[Desired Result]]=Validation[[#This Row],[Result]]</f>
        <v>1</v>
      </c>
      <c r="W338" t="b">
        <v>1</v>
      </c>
      <c r="X338" t="b">
        <f>Validation[[#This Row],[Range1_Low]]&gt;=Validation[[#This Row],[Range1_High]]</f>
        <v>0</v>
      </c>
      <c r="Y338" s="111" t="s">
        <v>2843</v>
      </c>
    </row>
    <row r="339" spans="1:25" ht="16.5" thickTop="1" thickBot="1" x14ac:dyDescent="0.3">
      <c r="A339" t="s">
        <v>55</v>
      </c>
      <c r="B339" t="s">
        <v>8</v>
      </c>
      <c r="C339" s="113">
        <v>0.1</v>
      </c>
      <c r="D339" s="113">
        <v>1</v>
      </c>
      <c r="E339">
        <v>9.9999999999999995E-8</v>
      </c>
      <c r="F339" t="s">
        <v>6</v>
      </c>
      <c r="G339" t="s">
        <v>5</v>
      </c>
      <c r="H339">
        <v>100</v>
      </c>
      <c r="I339">
        <v>300</v>
      </c>
      <c r="J339" t="s">
        <v>10</v>
      </c>
      <c r="K339">
        <v>120</v>
      </c>
      <c r="L339">
        <v>3500</v>
      </c>
      <c r="M339">
        <v>116.46</v>
      </c>
      <c r="N339">
        <v>3463.3</v>
      </c>
      <c r="O339" t="s">
        <v>2833</v>
      </c>
      <c r="P339" t="s">
        <v>2833</v>
      </c>
      <c r="Q339" t="s">
        <v>2833</v>
      </c>
      <c r="R339">
        <f ca="1">RAND()*(Validation[[#This Row],[Range1_High]]-Validation[[#This Row],[Range1_Low]])+Validation[[#This Row],[Range1_Low]]</f>
        <v>0.40945451825009227</v>
      </c>
      <c r="S339">
        <f>Validation[[#This Row],[Range2_High]]</f>
        <v>300</v>
      </c>
      <c r="T339" t="str" cm="1">
        <f t="array" aca="1" ref="T339" ca="1">RoundToTwoSigFigs(Validation[[#This Row],[Test Reading]]*Validation[[#This Row],[Mult]]+Validation[[#This Row],[Base]]) &amp;" "&amp;Validation[[#This Row],[Uncert_Units]]</f>
        <v>1600 µV</v>
      </c>
      <c r="U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V339" t="b">
        <f ca="1">Validation[[#This Row],[Desired Result]]=Validation[[#This Row],[Result]]</f>
        <v>1</v>
      </c>
      <c r="W339" t="b">
        <v>1</v>
      </c>
      <c r="X339" t="b">
        <f>Validation[[#This Row],[Range1_Low]]&gt;=Validation[[#This Row],[Range1_High]]</f>
        <v>0</v>
      </c>
      <c r="Y339" s="111" t="s">
        <v>2843</v>
      </c>
    </row>
    <row r="340" spans="1:25" ht="16.5" thickTop="1" thickBot="1" x14ac:dyDescent="0.3">
      <c r="A340" t="s">
        <v>55</v>
      </c>
      <c r="B340" t="s">
        <v>8</v>
      </c>
      <c r="C340">
        <v>0.1</v>
      </c>
      <c r="D340">
        <v>1</v>
      </c>
      <c r="E340">
        <v>0.01</v>
      </c>
      <c r="F340" t="s">
        <v>6</v>
      </c>
      <c r="G340" t="s">
        <v>5</v>
      </c>
      <c r="H340">
        <v>100</v>
      </c>
      <c r="I340">
        <v>300</v>
      </c>
      <c r="J340" t="s">
        <v>10</v>
      </c>
      <c r="K340">
        <v>5681.4</v>
      </c>
      <c r="L340">
        <v>1112.8</v>
      </c>
      <c r="M340">
        <v>5471.4</v>
      </c>
      <c r="N340">
        <v>1112.4000000000001</v>
      </c>
      <c r="O340" t="s">
        <v>2833</v>
      </c>
      <c r="P340" t="s">
        <v>2833</v>
      </c>
      <c r="Q340" t="s">
        <v>2833</v>
      </c>
      <c r="R340">
        <f ca="1">RAND()*(Validation[[#This Row],[Range1_High]]-Validation[[#This Row],[Range1_Low]])+Validation[[#This Row],[Range1_Low]]</f>
        <v>0.96638118388827465</v>
      </c>
      <c r="S340">
        <f>Validation[[#This Row],[Range2_High]]</f>
        <v>300</v>
      </c>
      <c r="T340" t="str" cm="1">
        <f t="array" aca="1" ref="T340" ca="1">RoundToTwoSigFigs(Validation[[#This Row],[Test Reading]]*Validation[[#This Row],[Mult]]+Validation[[#This Row],[Base]]) &amp;" "&amp;Validation[[#This Row],[Uncert_Units]]</f>
        <v>6800 µV</v>
      </c>
      <c r="U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V340" t="b">
        <f ca="1">Validation[[#This Row],[Desired Result]]=Validation[[#This Row],[Result]]</f>
        <v>0</v>
      </c>
      <c r="W340" t="b">
        <v>1</v>
      </c>
      <c r="X340" t="b">
        <f>Validation[[#This Row],[Range1_Low]]&gt;=Validation[[#This Row],[Range1_High]]</f>
        <v>0</v>
      </c>
      <c r="Y340" s="111" t="s">
        <v>2845</v>
      </c>
    </row>
    <row r="341" spans="1:25" ht="16.5" thickTop="1" thickBot="1" x14ac:dyDescent="0.3">
      <c r="A341" t="s">
        <v>54</v>
      </c>
      <c r="B341" t="s">
        <v>8</v>
      </c>
      <c r="C341" s="113">
        <v>0.33</v>
      </c>
      <c r="D341" s="113">
        <v>3.3001</v>
      </c>
      <c r="E341">
        <v>1E-3</v>
      </c>
      <c r="F341" t="s">
        <v>6</v>
      </c>
      <c r="G341" t="s">
        <v>4</v>
      </c>
      <c r="H341">
        <v>10</v>
      </c>
      <c r="I341">
        <v>20.010000000000002</v>
      </c>
      <c r="J341" t="s">
        <v>10</v>
      </c>
      <c r="K341">
        <v>0.43426999999999999</v>
      </c>
      <c r="L341">
        <v>0.71669000000000005</v>
      </c>
      <c r="M341">
        <v>0.43391000000000002</v>
      </c>
      <c r="N341">
        <v>0.71674000000000004</v>
      </c>
      <c r="O341" t="s">
        <v>2833</v>
      </c>
      <c r="P341" t="s">
        <v>2833</v>
      </c>
      <c r="Q341" t="s">
        <v>2833</v>
      </c>
      <c r="R341">
        <f ca="1">RAND()*(Validation[[#This Row],[Range1_High]]-Validation[[#This Row],[Range1_Low]])+Validation[[#This Row],[Range1_Low]]</f>
        <v>2.7028596688878128</v>
      </c>
      <c r="S341">
        <f>Validation[[#This Row],[Range2_High]]</f>
        <v>20.010000000000002</v>
      </c>
      <c r="T341" t="str" cm="1">
        <f t="array" aca="1" ref="T341" ca="1">RoundToTwoSigFigs(Validation[[#This Row],[Test Reading]]*Validation[[#This Row],[Mult]]+Validation[[#This Row],[Base]]) &amp;" "&amp;Validation[[#This Row],[Uncert_Units]]</f>
        <v>2.4 mV</v>
      </c>
      <c r="U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mV</v>
      </c>
      <c r="V341" t="b">
        <f ca="1">Validation[[#This Row],[Desired Result]]=Validation[[#This Row],[Result]]</f>
        <v>1</v>
      </c>
      <c r="W341" t="b">
        <v>1</v>
      </c>
      <c r="X341" t="b">
        <f>Validation[[#This Row],[Range1_Low]]&gt;=Validation[[#This Row],[Range1_High]]</f>
        <v>0</v>
      </c>
      <c r="Y341" s="111" t="s">
        <v>2843</v>
      </c>
    </row>
    <row r="342" spans="1:25" ht="16.5" thickTop="1" thickBot="1" x14ac:dyDescent="0.3">
      <c r="A342" t="s">
        <v>55</v>
      </c>
      <c r="B342" t="s">
        <v>8</v>
      </c>
      <c r="C342">
        <v>0</v>
      </c>
      <c r="D342">
        <v>0.01</v>
      </c>
      <c r="E342">
        <v>9.9999999999999995E-8</v>
      </c>
      <c r="F342" t="s">
        <v>6</v>
      </c>
      <c r="G342" t="s">
        <v>5</v>
      </c>
      <c r="H342">
        <v>100</v>
      </c>
      <c r="I342">
        <v>300</v>
      </c>
      <c r="J342" t="s">
        <v>10</v>
      </c>
      <c r="K342">
        <v>4.2</v>
      </c>
      <c r="L342">
        <v>46000</v>
      </c>
      <c r="M342">
        <v>2.8935</v>
      </c>
      <c r="N342">
        <v>46131</v>
      </c>
      <c r="O342" t="s">
        <v>2833</v>
      </c>
      <c r="P342" t="s">
        <v>2833</v>
      </c>
      <c r="Q342" t="s">
        <v>2833</v>
      </c>
      <c r="R342">
        <f ca="1">RAND()*(Validation[[#This Row],[Range1_High]]-Validation[[#This Row],[Range1_Low]])+Validation[[#This Row],[Range1_Low]]</f>
        <v>5.9070805351598569E-3</v>
      </c>
      <c r="S342">
        <f>Validation[[#This Row],[Range2_High]]</f>
        <v>300</v>
      </c>
      <c r="T342" t="str" cm="1">
        <f t="array" aca="1" ref="T342" ca="1">RoundToTwoSigFigs(Validation[[#This Row],[Test Reading]]*Validation[[#This Row],[Mult]]+Validation[[#This Row],[Base]]) &amp;" "&amp;Validation[[#This Row],[Uncert_Units]]</f>
        <v>280 µV</v>
      </c>
      <c r="U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V342" t="b">
        <f ca="1">Validation[[#This Row],[Desired Result]]=Validation[[#This Row],[Result]]</f>
        <v>1</v>
      </c>
      <c r="W342" t="b">
        <v>0</v>
      </c>
      <c r="X342" t="b">
        <f>Validation[[#This Row],[Range1_Low]]&gt;=Validation[[#This Row],[Range1_High]]</f>
        <v>0</v>
      </c>
      <c r="Y342" s="111" t="s">
        <v>2845</v>
      </c>
    </row>
    <row r="343" spans="1:25" ht="16.5" thickTop="1" thickBot="1" x14ac:dyDescent="0.3">
      <c r="A343" t="s">
        <v>54</v>
      </c>
      <c r="B343" t="s">
        <v>8</v>
      </c>
      <c r="C343" s="113">
        <v>33</v>
      </c>
      <c r="D343" s="113">
        <v>330.01</v>
      </c>
      <c r="E343">
        <v>1E-3</v>
      </c>
      <c r="F343" t="s">
        <v>6</v>
      </c>
      <c r="G343" t="s">
        <v>4</v>
      </c>
      <c r="H343">
        <v>10</v>
      </c>
      <c r="I343">
        <v>20.010000000000002</v>
      </c>
      <c r="J343" t="s">
        <v>10</v>
      </c>
      <c r="K343">
        <v>24</v>
      </c>
      <c r="L343">
        <v>1</v>
      </c>
      <c r="M343">
        <v>10.388</v>
      </c>
      <c r="N343">
        <v>1.04</v>
      </c>
      <c r="O343" t="s">
        <v>2833</v>
      </c>
      <c r="P343" t="s">
        <v>2833</v>
      </c>
      <c r="Q343" t="s">
        <v>2833</v>
      </c>
      <c r="R343">
        <f ca="1">RAND()*(Validation[[#This Row],[Range1_High]]-Validation[[#This Row],[Range1_Low]])+Validation[[#This Row],[Range1_Low]]</f>
        <v>181.1443385536997</v>
      </c>
      <c r="S343">
        <f>Validation[[#This Row],[Range2_High]]</f>
        <v>20.010000000000002</v>
      </c>
      <c r="T343" t="str" cm="1">
        <f t="array" aca="1" ref="T343" ca="1">RoundToTwoSigFigs(Validation[[#This Row],[Test Reading]]*Validation[[#This Row],[Mult]]+Validation[[#This Row],[Base]]) &amp;" "&amp;Validation[[#This Row],[Uncert_Units]]</f>
        <v>210 mV</v>
      </c>
      <c r="U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V343" t="b">
        <f ca="1">Validation[[#This Row],[Desired Result]]=Validation[[#This Row],[Result]]</f>
        <v>1</v>
      </c>
      <c r="W343" t="b">
        <v>1</v>
      </c>
      <c r="X343" t="b">
        <f>Validation[[#This Row],[Range1_Low]]&gt;=Validation[[#This Row],[Range1_High]]</f>
        <v>0</v>
      </c>
      <c r="Y343" s="111" t="s">
        <v>2843</v>
      </c>
    </row>
    <row r="344" spans="1:25" ht="16.5" thickTop="1" thickBot="1" x14ac:dyDescent="0.3">
      <c r="A344" t="s">
        <v>55</v>
      </c>
      <c r="B344" t="s">
        <v>8</v>
      </c>
      <c r="C344" s="113">
        <v>100</v>
      </c>
      <c r="D344" s="113">
        <v>330</v>
      </c>
      <c r="E344">
        <v>1E-3</v>
      </c>
      <c r="F344" t="s">
        <v>6</v>
      </c>
      <c r="G344" t="s">
        <v>4</v>
      </c>
      <c r="H344">
        <v>50</v>
      </c>
      <c r="I344">
        <v>100</v>
      </c>
      <c r="J344" t="s">
        <v>10</v>
      </c>
      <c r="K344">
        <v>23</v>
      </c>
      <c r="L344">
        <v>3.5</v>
      </c>
      <c r="M344">
        <v>23.111000000000001</v>
      </c>
      <c r="N344">
        <v>3.4655999999999998</v>
      </c>
      <c r="O344" t="s">
        <v>2833</v>
      </c>
      <c r="P344" t="s">
        <v>2833</v>
      </c>
      <c r="Q344" t="s">
        <v>2833</v>
      </c>
      <c r="R344">
        <f ca="1">RAND()*(Validation[[#This Row],[Range1_High]]-Validation[[#This Row],[Range1_Low]])+Validation[[#This Row],[Range1_Low]]</f>
        <v>277.38288719861634</v>
      </c>
      <c r="S344">
        <f>Validation[[#This Row],[Range2_High]]</f>
        <v>100</v>
      </c>
      <c r="T344" t="str" cm="1">
        <f t="array" aca="1" ref="T344" ca="1">RoundToTwoSigFigs(Validation[[#This Row],[Test Reading]]*Validation[[#This Row],[Mult]]+Validation[[#This Row],[Base]]) &amp;" "&amp;Validation[[#This Row],[Uncert_Units]]</f>
        <v>990 mV</v>
      </c>
      <c r="U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mV</v>
      </c>
      <c r="V344" t="b">
        <f ca="1">Validation[[#This Row],[Desired Result]]=Validation[[#This Row],[Result]]</f>
        <v>1</v>
      </c>
      <c r="W344" t="b">
        <v>1</v>
      </c>
      <c r="X344" t="b">
        <f>Validation[[#This Row],[Range1_Low]]&gt;=Validation[[#This Row],[Range1_High]]</f>
        <v>0</v>
      </c>
      <c r="Y344" s="111" t="s">
        <v>2843</v>
      </c>
    </row>
    <row r="345" spans="1:25" ht="16.5" thickTop="1" thickBot="1" x14ac:dyDescent="0.3">
      <c r="A345" t="s">
        <v>55</v>
      </c>
      <c r="B345" t="s">
        <v>8</v>
      </c>
      <c r="C345">
        <v>0</v>
      </c>
      <c r="D345">
        <v>0.01</v>
      </c>
      <c r="E345">
        <v>1E-4</v>
      </c>
      <c r="F345" t="s">
        <v>6</v>
      </c>
      <c r="G345" t="s">
        <v>5</v>
      </c>
      <c r="H345">
        <v>50</v>
      </c>
      <c r="I345">
        <v>100</v>
      </c>
      <c r="J345" t="s">
        <v>10</v>
      </c>
      <c r="K345">
        <v>58.167999999999999</v>
      </c>
      <c r="L345">
        <v>2497.6999999999998</v>
      </c>
      <c r="M345">
        <v>58.156999999999996</v>
      </c>
      <c r="N345">
        <v>2495.6</v>
      </c>
      <c r="O345" t="s">
        <v>2833</v>
      </c>
      <c r="P345" t="s">
        <v>2833</v>
      </c>
      <c r="Q345" t="s">
        <v>2833</v>
      </c>
      <c r="R345">
        <f ca="1">RAND()*(Validation[[#This Row],[Range1_High]]-Validation[[#This Row],[Range1_Low]])+Validation[[#This Row],[Range1_Low]]</f>
        <v>2.6687094887028885E-3</v>
      </c>
      <c r="S345">
        <f>Validation[[#This Row],[Range2_High]]</f>
        <v>100</v>
      </c>
      <c r="T345" t="str" cm="1">
        <f t="array" aca="1" ref="T345" ca="1">RoundToTwoSigFigs(Validation[[#This Row],[Test Reading]]*Validation[[#This Row],[Mult]]+Validation[[#This Row],[Base]]) &amp;" "&amp;Validation[[#This Row],[Uncert_Units]]</f>
        <v>65 µV</v>
      </c>
      <c r="U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V345" t="b">
        <f ca="1">Validation[[#This Row],[Desired Result]]=Validation[[#This Row],[Result]]</f>
        <v>1</v>
      </c>
      <c r="W345" t="b">
        <v>0</v>
      </c>
      <c r="X345" t="b">
        <f>Validation[[#This Row],[Range1_Low]]&gt;=Validation[[#This Row],[Range1_High]]</f>
        <v>0</v>
      </c>
      <c r="Y345" s="111" t="s">
        <v>2845</v>
      </c>
    </row>
    <row r="346" spans="1:25" ht="16.5" thickTop="1" thickBot="1" x14ac:dyDescent="0.3">
      <c r="A346" t="s">
        <v>54</v>
      </c>
      <c r="B346" t="s">
        <v>8</v>
      </c>
      <c r="C346" s="113">
        <v>330</v>
      </c>
      <c r="D346" s="113">
        <v>1020.01</v>
      </c>
      <c r="E346">
        <v>10</v>
      </c>
      <c r="F346" t="s">
        <v>6</v>
      </c>
      <c r="G346" t="s">
        <v>4</v>
      </c>
      <c r="H346">
        <v>1</v>
      </c>
      <c r="I346">
        <v>5.01</v>
      </c>
      <c r="J346" t="s">
        <v>10</v>
      </c>
      <c r="K346">
        <v>57998</v>
      </c>
      <c r="L346">
        <v>1.0468E-2</v>
      </c>
      <c r="M346">
        <v>57998</v>
      </c>
      <c r="N346">
        <v>1.0314E-2</v>
      </c>
      <c r="O346" t="s">
        <v>2833</v>
      </c>
      <c r="P346" t="s">
        <v>2833</v>
      </c>
      <c r="Q346" t="s">
        <v>2833</v>
      </c>
      <c r="R346">
        <f ca="1">RAND()*(Validation[[#This Row],[Range1_High]]-Validation[[#This Row],[Range1_Low]])+Validation[[#This Row],[Range1_Low]]</f>
        <v>805.24007608981594</v>
      </c>
      <c r="S346">
        <f>Validation[[#This Row],[Range2_High]]</f>
        <v>5.01</v>
      </c>
      <c r="T346" t="str" cm="1">
        <f t="array" aca="1" ref="T346" ca="1">RoundToTwoSigFigs(Validation[[#This Row],[Test Reading]]*Validation[[#This Row],[Mult]]+Validation[[#This Row],[Base]]) &amp;" "&amp;Validation[[#This Row],[Uncert_Units]]</f>
        <v>58000 mV</v>
      </c>
      <c r="U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V346" t="b">
        <f ca="1">Validation[[#This Row],[Desired Result]]=Validation[[#This Row],[Result]]</f>
        <v>1</v>
      </c>
      <c r="W346" t="b">
        <v>1</v>
      </c>
      <c r="X346" t="b">
        <f>Validation[[#This Row],[Range1_Low]]&gt;=Validation[[#This Row],[Range1_High]]</f>
        <v>0</v>
      </c>
      <c r="Y346" s="111" t="s">
        <v>2843</v>
      </c>
    </row>
    <row r="347" spans="1:25" ht="15.75" thickTop="1" x14ac:dyDescent="0.25">
      <c r="A347" t="s">
        <v>54</v>
      </c>
      <c r="B347" t="s">
        <v>8</v>
      </c>
      <c r="C347">
        <v>0</v>
      </c>
      <c r="D347">
        <v>3.3009999999999998E-2</v>
      </c>
      <c r="E347">
        <v>9.9999999999999995E-7</v>
      </c>
      <c r="F347" t="s">
        <v>6</v>
      </c>
      <c r="G347" t="s">
        <v>5</v>
      </c>
      <c r="H347">
        <v>0.01</v>
      </c>
      <c r="I347">
        <v>4.5010000000000001E-2</v>
      </c>
      <c r="J347" t="s">
        <v>10</v>
      </c>
      <c r="K347">
        <v>25</v>
      </c>
      <c r="L347">
        <v>1700</v>
      </c>
      <c r="M347">
        <v>23.181000000000001</v>
      </c>
      <c r="N347">
        <v>1732</v>
      </c>
      <c r="O347" t="s">
        <v>2833</v>
      </c>
      <c r="P347" t="s">
        <v>2833</v>
      </c>
      <c r="Q347" t="s">
        <v>2833</v>
      </c>
      <c r="R347">
        <f ca="1">RAND()*(Validation[[#This Row],[Range1_High]]-Validation[[#This Row],[Range1_Low]])+Validation[[#This Row],[Range1_Low]]</f>
        <v>6.4502690457892324E-3</v>
      </c>
      <c r="S347">
        <f>Validation[[#This Row],[Range2_High]]</f>
        <v>4.5010000000000001E-2</v>
      </c>
      <c r="T347" t="str" cm="1">
        <f t="array" aca="1" ref="T347" ca="1">RoundToTwoSigFigs(Validation[[#This Row],[Test Reading]]*Validation[[#This Row],[Mult]]+Validation[[#This Row],[Base]]) &amp;" "&amp;Validation[[#This Row],[Uncert_Units]]</f>
        <v>36 µV</v>
      </c>
      <c r="U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µV</v>
      </c>
      <c r="V347" t="b">
        <f ca="1">Validation[[#This Row],[Desired Result]]=Validation[[#This Row],[Result]]</f>
        <v>0</v>
      </c>
      <c r="W347" t="b">
        <v>1</v>
      </c>
      <c r="X347" t="b">
        <f>Validation[[#This Row],[Range1_Low]]&gt;=Validation[[#This Row],[Range1_High]]</f>
        <v>0</v>
      </c>
      <c r="Y347" s="111" t="s">
        <v>2845</v>
      </c>
    </row>
    <row r="348" spans="1:25" x14ac:dyDescent="0.25">
      <c r="A348" t="s">
        <v>54</v>
      </c>
      <c r="B348" t="s">
        <v>8</v>
      </c>
      <c r="C348">
        <v>0</v>
      </c>
      <c r="D348">
        <v>3.3009999999999998E-2</v>
      </c>
      <c r="E348">
        <v>1E-3</v>
      </c>
      <c r="F348" t="s">
        <v>6</v>
      </c>
      <c r="G348" t="s">
        <v>5</v>
      </c>
      <c r="H348">
        <v>100</v>
      </c>
      <c r="I348">
        <v>500</v>
      </c>
      <c r="J348" t="s">
        <v>10</v>
      </c>
      <c r="K348">
        <v>581.54</v>
      </c>
      <c r="L348">
        <v>4655.8999999999996</v>
      </c>
      <c r="M348">
        <v>581.45000000000005</v>
      </c>
      <c r="N348">
        <v>4653.2</v>
      </c>
      <c r="O348" t="s">
        <v>2833</v>
      </c>
      <c r="P348" t="s">
        <v>2833</v>
      </c>
      <c r="Q348" t="s">
        <v>2833</v>
      </c>
      <c r="R348">
        <f ca="1">RAND()*(Validation[[#This Row],[Range1_High]]-Validation[[#This Row],[Range1_Low]])+Validation[[#This Row],[Range1_Low]]</f>
        <v>1.3463786851556138E-2</v>
      </c>
      <c r="S348">
        <f>Validation[[#This Row],[Range2_High]]</f>
        <v>500</v>
      </c>
      <c r="T348" t="str" cm="1">
        <f t="array" aca="1" ref="T348" ca="1">RoundToTwoSigFigs(Validation[[#This Row],[Test Reading]]*Validation[[#This Row],[Mult]]+Validation[[#This Row],[Base]]) &amp;" "&amp;Validation[[#This Row],[Uncert_Units]]</f>
        <v>640 µV</v>
      </c>
      <c r="U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V348" t="b">
        <f ca="1">Validation[[#This Row],[Desired Result]]=Validation[[#This Row],[Result]]</f>
        <v>1</v>
      </c>
      <c r="W348" t="b">
        <v>1</v>
      </c>
      <c r="X348" t="b">
        <f>Validation[[#This Row],[Range1_Low]]&gt;=Validation[[#This Row],[Range1_High]]</f>
        <v>0</v>
      </c>
      <c r="Y348" s="111" t="s">
        <v>2845</v>
      </c>
    </row>
    <row r="349" spans="1:25" ht="15.75" thickBot="1" x14ac:dyDescent="0.3">
      <c r="A349" t="s">
        <v>54</v>
      </c>
      <c r="B349" t="s">
        <v>8</v>
      </c>
      <c r="C349">
        <v>0</v>
      </c>
      <c r="D349">
        <v>3.3009999999999998E-2</v>
      </c>
      <c r="E349">
        <v>1</v>
      </c>
      <c r="F349" t="s">
        <v>6</v>
      </c>
      <c r="G349" t="s">
        <v>5</v>
      </c>
      <c r="H349">
        <v>0.01</v>
      </c>
      <c r="I349">
        <v>4.5010000000000001E-2</v>
      </c>
      <c r="J349" t="s">
        <v>10</v>
      </c>
      <c r="K349">
        <v>580000</v>
      </c>
      <c r="L349">
        <v>0.23513999999999999</v>
      </c>
      <c r="M349">
        <v>580000</v>
      </c>
      <c r="N349">
        <v>0.15715000000000001</v>
      </c>
      <c r="O349" t="s">
        <v>2833</v>
      </c>
      <c r="P349" t="s">
        <v>2833</v>
      </c>
      <c r="Q349" t="s">
        <v>2833</v>
      </c>
      <c r="R349">
        <f ca="1">RAND()*(Validation[[#This Row],[Range1_High]]-Validation[[#This Row],[Range1_Low]])+Validation[[#This Row],[Range1_Low]]</f>
        <v>2.3036176973981075E-2</v>
      </c>
      <c r="S349">
        <f>Validation[[#This Row],[Range2_High]]</f>
        <v>4.5010000000000001E-2</v>
      </c>
      <c r="T349" t="str" cm="1">
        <f t="array" aca="1" ref="T349" ca="1">RoundToTwoSigFigs(Validation[[#This Row],[Test Reading]]*Validation[[#This Row],[Mult]]+Validation[[#This Row],[Base]]) &amp;" "&amp;Validation[[#This Row],[Uncert_Units]]</f>
        <v>580000 µV</v>
      </c>
      <c r="U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349" t="b">
        <f ca="1">Validation[[#This Row],[Desired Result]]=Validation[[#This Row],[Result]]</f>
        <v>1</v>
      </c>
      <c r="W349" t="b">
        <v>0</v>
      </c>
      <c r="X349" t="b">
        <f>Validation[[#This Row],[Range1_Low]]&gt;=Validation[[#This Row],[Range1_High]]</f>
        <v>0</v>
      </c>
      <c r="Y349" s="111" t="s">
        <v>2845</v>
      </c>
    </row>
    <row r="350" spans="1:25" ht="16.5" thickTop="1" thickBot="1" x14ac:dyDescent="0.3">
      <c r="A350" t="s">
        <v>54</v>
      </c>
      <c r="B350" t="s">
        <v>8</v>
      </c>
      <c r="C350" s="113">
        <v>0.33</v>
      </c>
      <c r="D350" s="113">
        <v>3.3001</v>
      </c>
      <c r="E350">
        <v>1.0000000000000001E-5</v>
      </c>
      <c r="F350" t="s">
        <v>6</v>
      </c>
      <c r="G350" t="s">
        <v>4</v>
      </c>
      <c r="H350">
        <v>4.4999999999999998E-2</v>
      </c>
      <c r="I350">
        <v>10.00001</v>
      </c>
      <c r="J350" t="s">
        <v>10</v>
      </c>
      <c r="K350">
        <v>7.0000000000000007E-2</v>
      </c>
      <c r="L350">
        <v>0.35</v>
      </c>
      <c r="M350">
        <v>6.9476999999999997E-2</v>
      </c>
      <c r="N350">
        <v>0.34755999999999998</v>
      </c>
      <c r="O350" t="s">
        <v>2833</v>
      </c>
      <c r="P350" t="s">
        <v>2833</v>
      </c>
      <c r="Q350" t="s">
        <v>2833</v>
      </c>
      <c r="R350">
        <f ca="1">RAND()*(Validation[[#This Row],[Range1_High]]-Validation[[#This Row],[Range1_Low]])+Validation[[#This Row],[Range1_Low]]</f>
        <v>0.88478795214929673</v>
      </c>
      <c r="S350">
        <f>Validation[[#This Row],[Range2_High]]</f>
        <v>10.00001</v>
      </c>
      <c r="T350" t="str" cm="1">
        <f t="array" aca="1" ref="T350" ca="1">RoundToTwoSigFigs(Validation[[#This Row],[Test Reading]]*Validation[[#This Row],[Mult]]+Validation[[#This Row],[Base]]) &amp;" "&amp;Validation[[#This Row],[Uncert_Units]]</f>
        <v>0.38 mV</v>
      </c>
      <c r="U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mV</v>
      </c>
      <c r="V350" t="b">
        <f ca="1">Validation[[#This Row],[Desired Result]]=Validation[[#This Row],[Result]]</f>
        <v>0</v>
      </c>
      <c r="W350" t="b">
        <v>1</v>
      </c>
      <c r="X350" t="b">
        <f>Validation[[#This Row],[Range1_Low]]&gt;=Validation[[#This Row],[Range1_High]]</f>
        <v>0</v>
      </c>
      <c r="Y350" s="111" t="s">
        <v>2843</v>
      </c>
    </row>
    <row r="351" spans="1:25" ht="16.5" thickTop="1" thickBot="1" x14ac:dyDescent="0.3">
      <c r="A351" t="s">
        <v>55</v>
      </c>
      <c r="B351" t="s">
        <v>8</v>
      </c>
      <c r="C351" s="113">
        <v>100</v>
      </c>
      <c r="D351" s="113">
        <v>330</v>
      </c>
      <c r="E351">
        <v>1</v>
      </c>
      <c r="F351" t="s">
        <v>6</v>
      </c>
      <c r="G351" t="s">
        <v>4</v>
      </c>
      <c r="H351">
        <v>50</v>
      </c>
      <c r="I351">
        <v>100</v>
      </c>
      <c r="J351" t="s">
        <v>10</v>
      </c>
      <c r="K351">
        <v>418.09</v>
      </c>
      <c r="L351">
        <v>2.6787000000000001</v>
      </c>
      <c r="M351">
        <v>417.63</v>
      </c>
      <c r="N351">
        <v>2.6793</v>
      </c>
      <c r="O351" t="s">
        <v>2833</v>
      </c>
      <c r="P351" t="s">
        <v>2833</v>
      </c>
      <c r="Q351" t="s">
        <v>2833</v>
      </c>
      <c r="R351" s="100">
        <f ca="1">RAND()*(Validation[[#This Row],[Range1_High]]-Validation[[#This Row],[Range1_Low]])+Validation[[#This Row],[Range1_Low]]</f>
        <v>108.23049049928369</v>
      </c>
      <c r="S351">
        <f>Validation[[#This Row],[Range2_High]]</f>
        <v>100</v>
      </c>
      <c r="T351" t="str" cm="1">
        <f t="array" aca="1" ref="T351" ca="1">RoundToTwoSigFigs(Validation[[#This Row],[Test Reading]]*Validation[[#This Row],[Mult]]+Validation[[#This Row],[Base]]) &amp;" "&amp;Validation[[#This Row],[Uncert_Units]]</f>
        <v>710 mV</v>
      </c>
      <c r="U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V351" t="b">
        <f ca="1">Validation[[#This Row],[Desired Result]]=Validation[[#This Row],[Result]]</f>
        <v>1</v>
      </c>
      <c r="W351" t="b">
        <v>1</v>
      </c>
      <c r="X351" t="b">
        <f>Validation[[#This Row],[Range1_Low]]&gt;=Validation[[#This Row],[Range1_High]]</f>
        <v>0</v>
      </c>
      <c r="Y351" s="111" t="s">
        <v>2844</v>
      </c>
    </row>
    <row r="352" spans="1:25" ht="16.5" thickTop="1" thickBot="1" x14ac:dyDescent="0.3">
      <c r="A352" t="s">
        <v>55</v>
      </c>
      <c r="B352" t="s">
        <v>8</v>
      </c>
      <c r="C352" s="113">
        <v>1</v>
      </c>
      <c r="D352" s="113">
        <v>10</v>
      </c>
      <c r="E352">
        <v>1.0000000000000001E-5</v>
      </c>
      <c r="F352" t="s">
        <v>6</v>
      </c>
      <c r="G352" t="s">
        <v>4</v>
      </c>
      <c r="H352">
        <v>4000</v>
      </c>
      <c r="I352">
        <v>8000</v>
      </c>
      <c r="J352" t="s">
        <v>10</v>
      </c>
      <c r="K352">
        <v>15</v>
      </c>
      <c r="L352">
        <v>46.325000000000003</v>
      </c>
      <c r="M352">
        <v>9.1631999999999998</v>
      </c>
      <c r="N352">
        <v>46.576000000000001</v>
      </c>
      <c r="O352" t="s">
        <v>2833</v>
      </c>
      <c r="P352" t="s">
        <v>2833</v>
      </c>
      <c r="Q352" t="s">
        <v>2833</v>
      </c>
      <c r="R352">
        <f ca="1">RAND()*(Validation[[#This Row],[Range1_High]]-Validation[[#This Row],[Range1_Low]])+Validation[[#This Row],[Range1_Low]]</f>
        <v>2.9358096511938578</v>
      </c>
      <c r="S352">
        <f>Validation[[#This Row],[Range2_High]]</f>
        <v>8000</v>
      </c>
      <c r="T352" t="str" cm="1">
        <f t="array" aca="1" ref="T352" ca="1">RoundToTwoSigFigs(Validation[[#This Row],[Test Reading]]*Validation[[#This Row],[Mult]]+Validation[[#This Row],[Base]]) &amp;" "&amp;Validation[[#This Row],[Uncert_Units]]</f>
        <v>150 mV</v>
      </c>
      <c r="U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mV</v>
      </c>
      <c r="V352" t="b">
        <f ca="1">Validation[[#This Row],[Desired Result]]=Validation[[#This Row],[Result]]</f>
        <v>0</v>
      </c>
      <c r="W352" t="b">
        <v>1</v>
      </c>
      <c r="X352" t="b">
        <f>Validation[[#This Row],[Range1_Low]]&gt;=Validation[[#This Row],[Range1_High]]</f>
        <v>0</v>
      </c>
      <c r="Y352" s="111" t="s">
        <v>2843</v>
      </c>
    </row>
    <row r="353" spans="1:25" ht="16.5" thickTop="1" thickBot="1" x14ac:dyDescent="0.3">
      <c r="A353" t="s">
        <v>54</v>
      </c>
      <c r="B353" t="s">
        <v>8</v>
      </c>
      <c r="C353" s="113">
        <v>33</v>
      </c>
      <c r="D353" s="113">
        <v>330.01</v>
      </c>
      <c r="E353">
        <v>1E-3</v>
      </c>
      <c r="F353" t="s">
        <v>6</v>
      </c>
      <c r="G353" t="s">
        <v>4</v>
      </c>
      <c r="H353">
        <v>0.01</v>
      </c>
      <c r="I353">
        <v>4.5010000000000001E-2</v>
      </c>
      <c r="J353" t="s">
        <v>10</v>
      </c>
      <c r="K353">
        <v>3.5</v>
      </c>
      <c r="L353">
        <v>0.57999999999999996</v>
      </c>
      <c r="M353">
        <v>3.4704999999999999</v>
      </c>
      <c r="N353">
        <v>0.57867999999999997</v>
      </c>
      <c r="O353" t="s">
        <v>2833</v>
      </c>
      <c r="P353" t="s">
        <v>2833</v>
      </c>
      <c r="Q353" t="s">
        <v>2833</v>
      </c>
      <c r="R353">
        <f ca="1">RAND()*(Validation[[#This Row],[Range1_High]]-Validation[[#This Row],[Range1_Low]])+Validation[[#This Row],[Range1_Low]]</f>
        <v>141.24770030737292</v>
      </c>
      <c r="S353">
        <f>Validation[[#This Row],[Range2_High]]</f>
        <v>4.5010000000000001E-2</v>
      </c>
      <c r="T353" t="str" cm="1">
        <f t="array" aca="1" ref="T353" ca="1">RoundToTwoSigFigs(Validation[[#This Row],[Test Reading]]*Validation[[#This Row],[Mult]]+Validation[[#This Row],[Base]]) &amp;" "&amp;Validation[[#This Row],[Uncert_Units]]</f>
        <v>85 mV</v>
      </c>
      <c r="U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V353" t="b">
        <f ca="1">Validation[[#This Row],[Desired Result]]=Validation[[#This Row],[Result]]</f>
        <v>0</v>
      </c>
      <c r="W353" t="b">
        <v>1</v>
      </c>
      <c r="X353" t="b">
        <f>Validation[[#This Row],[Range1_Low]]&gt;=Validation[[#This Row],[Range1_High]]</f>
        <v>0</v>
      </c>
      <c r="Y353" s="111" t="s">
        <v>2843</v>
      </c>
    </row>
    <row r="354" spans="1:25" ht="16.5" thickTop="1" thickBot="1" x14ac:dyDescent="0.3">
      <c r="A354" t="s">
        <v>55</v>
      </c>
      <c r="B354" t="s">
        <v>8</v>
      </c>
      <c r="C354">
        <v>0</v>
      </c>
      <c r="D354">
        <v>0.01</v>
      </c>
      <c r="E354">
        <v>1E-4</v>
      </c>
      <c r="F354" t="s">
        <v>6</v>
      </c>
      <c r="G354" t="s">
        <v>5</v>
      </c>
      <c r="H354">
        <v>1000</v>
      </c>
      <c r="I354">
        <v>4000</v>
      </c>
      <c r="J354" t="s">
        <v>10</v>
      </c>
      <c r="K354">
        <v>57.908999999999999</v>
      </c>
      <c r="L354">
        <v>76095</v>
      </c>
      <c r="M354">
        <v>57.746000000000002</v>
      </c>
      <c r="N354">
        <v>76108</v>
      </c>
      <c r="O354" t="s">
        <v>2833</v>
      </c>
      <c r="P354" t="s">
        <v>2833</v>
      </c>
      <c r="Q354" t="s">
        <v>2833</v>
      </c>
      <c r="R354">
        <f ca="1">RAND()*(Validation[[#This Row],[Range1_High]]-Validation[[#This Row],[Range1_Low]])+Validation[[#This Row],[Range1_Low]]</f>
        <v>5.2268116688771503E-3</v>
      </c>
      <c r="S354">
        <f>Validation[[#This Row],[Range2_High]]</f>
        <v>4000</v>
      </c>
      <c r="T354" t="str" cm="1">
        <f t="array" aca="1" ref="T354" ca="1">RoundToTwoSigFigs(Validation[[#This Row],[Test Reading]]*Validation[[#This Row],[Mult]]+Validation[[#This Row],[Base]]) &amp;" "&amp;Validation[[#This Row],[Uncert_Units]]</f>
        <v>460 µV</v>
      </c>
      <c r="U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V354" t="b">
        <f ca="1">Validation[[#This Row],[Desired Result]]=Validation[[#This Row],[Result]]</f>
        <v>1</v>
      </c>
      <c r="W354" t="b">
        <v>0</v>
      </c>
      <c r="X354" t="b">
        <f>Validation[[#This Row],[Range1_Low]]&gt;=Validation[[#This Row],[Range1_High]]</f>
        <v>0</v>
      </c>
      <c r="Y354" s="111" t="s">
        <v>2845</v>
      </c>
    </row>
    <row r="355" spans="1:25" ht="16.5" thickTop="1" thickBot="1" x14ac:dyDescent="0.3">
      <c r="A355" t="s">
        <v>55</v>
      </c>
      <c r="B355" t="s">
        <v>8</v>
      </c>
      <c r="C355" s="113">
        <v>1</v>
      </c>
      <c r="D355" s="113">
        <v>10</v>
      </c>
      <c r="E355">
        <v>0.01</v>
      </c>
      <c r="F355" t="s">
        <v>6</v>
      </c>
      <c r="G355" t="s">
        <v>4</v>
      </c>
      <c r="H355">
        <v>20</v>
      </c>
      <c r="I355">
        <v>50</v>
      </c>
      <c r="J355" t="s">
        <v>10</v>
      </c>
      <c r="K355">
        <v>5.6913</v>
      </c>
      <c r="L355">
        <v>0.11808</v>
      </c>
      <c r="M355">
        <v>5.6847000000000003</v>
      </c>
      <c r="N355">
        <v>0.11766</v>
      </c>
      <c r="O355" t="s">
        <v>2833</v>
      </c>
      <c r="P355" t="s">
        <v>2833</v>
      </c>
      <c r="Q355" t="s">
        <v>2833</v>
      </c>
      <c r="R355">
        <f ca="1">RAND()*(Validation[[#This Row],[Range1_High]]-Validation[[#This Row],[Range1_Low]])+Validation[[#This Row],[Range1_Low]]</f>
        <v>4.8402130518002009</v>
      </c>
      <c r="S355">
        <f>Validation[[#This Row],[Range2_High]]</f>
        <v>50</v>
      </c>
      <c r="T355" t="str" cm="1">
        <f t="array" aca="1" ref="T355" ca="1">RoundToTwoSigFigs(Validation[[#This Row],[Test Reading]]*Validation[[#This Row],[Mult]]+Validation[[#This Row],[Base]]) &amp;" "&amp;Validation[[#This Row],[Uncert_Units]]</f>
        <v>6.3 mV</v>
      </c>
      <c r="U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V355" t="b">
        <f ca="1">Validation[[#This Row],[Desired Result]]=Validation[[#This Row],[Result]]</f>
        <v>1</v>
      </c>
      <c r="W355" t="b">
        <v>1</v>
      </c>
      <c r="X355" t="b">
        <f>Validation[[#This Row],[Range1_Low]]&gt;=Validation[[#This Row],[Range1_High]]</f>
        <v>0</v>
      </c>
      <c r="Y355" s="111" t="s">
        <v>2843</v>
      </c>
    </row>
    <row r="356" spans="1:25" ht="16.5" thickTop="1" thickBot="1" x14ac:dyDescent="0.3">
      <c r="A356" t="s">
        <v>55</v>
      </c>
      <c r="B356" t="s">
        <v>8</v>
      </c>
      <c r="C356" s="113">
        <v>10</v>
      </c>
      <c r="D356" s="113">
        <v>100</v>
      </c>
      <c r="E356">
        <v>1E-3</v>
      </c>
      <c r="F356" t="s">
        <v>6</v>
      </c>
      <c r="G356" t="s">
        <v>4</v>
      </c>
      <c r="H356">
        <v>300</v>
      </c>
      <c r="I356">
        <v>1000</v>
      </c>
      <c r="J356" t="s">
        <v>10</v>
      </c>
      <c r="K356">
        <v>46</v>
      </c>
      <c r="L356">
        <v>17.018999999999998</v>
      </c>
      <c r="M356">
        <v>12.318</v>
      </c>
      <c r="N356">
        <v>17.334</v>
      </c>
      <c r="O356" t="s">
        <v>2833</v>
      </c>
      <c r="P356" t="s">
        <v>2833</v>
      </c>
      <c r="Q356" t="s">
        <v>2833</v>
      </c>
      <c r="R356">
        <f ca="1">RAND()*(Validation[[#This Row],[Range1_High]]-Validation[[#This Row],[Range1_Low]])+Validation[[#This Row],[Range1_Low]]</f>
        <v>16.418217541718249</v>
      </c>
      <c r="S356">
        <f>Validation[[#This Row],[Range2_High]]</f>
        <v>1000</v>
      </c>
      <c r="T356" t="str" cm="1">
        <f t="array" aca="1" ref="T356" ca="1">RoundToTwoSigFigs(Validation[[#This Row],[Test Reading]]*Validation[[#This Row],[Mult]]+Validation[[#This Row],[Base]]) &amp;" "&amp;Validation[[#This Row],[Uncert_Units]]</f>
        <v>330 mV</v>
      </c>
      <c r="U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V356" t="b">
        <f ca="1">Validation[[#This Row],[Desired Result]]=Validation[[#This Row],[Result]]</f>
        <v>1</v>
      </c>
      <c r="W356" t="b">
        <v>1</v>
      </c>
      <c r="X356" t="b">
        <f>Validation[[#This Row],[Range1_Low]]&gt;=Validation[[#This Row],[Range1_High]]</f>
        <v>0</v>
      </c>
      <c r="Y356" s="111" t="s">
        <v>2843</v>
      </c>
    </row>
    <row r="357" spans="1:25" ht="16.5" thickTop="1" thickBot="1" x14ac:dyDescent="0.3">
      <c r="A357" t="s">
        <v>55</v>
      </c>
      <c r="B357" t="s">
        <v>8</v>
      </c>
      <c r="C357" s="113">
        <v>1</v>
      </c>
      <c r="D357" s="113">
        <v>10</v>
      </c>
      <c r="E357">
        <v>1E-3</v>
      </c>
      <c r="F357" t="s">
        <v>6</v>
      </c>
      <c r="G357" t="s">
        <v>4</v>
      </c>
      <c r="H357">
        <v>50</v>
      </c>
      <c r="I357">
        <v>100</v>
      </c>
      <c r="J357" t="s">
        <v>10</v>
      </c>
      <c r="K357">
        <v>0.38941999999999999</v>
      </c>
      <c r="L357">
        <v>0.92691999999999997</v>
      </c>
      <c r="M357">
        <v>0.37412000000000001</v>
      </c>
      <c r="N357">
        <v>0.92813000000000001</v>
      </c>
      <c r="O357" t="s">
        <v>2833</v>
      </c>
      <c r="P357" t="s">
        <v>2833</v>
      </c>
      <c r="Q357" t="s">
        <v>2833</v>
      </c>
      <c r="R357">
        <f ca="1">RAND()*(Validation[[#This Row],[Range1_High]]-Validation[[#This Row],[Range1_Low]])+Validation[[#This Row],[Range1_Low]]</f>
        <v>4.7171051944723494</v>
      </c>
      <c r="S357">
        <f>Validation[[#This Row],[Range2_High]]</f>
        <v>100</v>
      </c>
      <c r="T357" t="str" cm="1">
        <f t="array" aca="1" ref="T357" ca="1">RoundToTwoSigFigs(Validation[[#This Row],[Test Reading]]*Validation[[#This Row],[Mult]]+Validation[[#This Row],[Base]]) &amp;" "&amp;Validation[[#This Row],[Uncert_Units]]</f>
        <v>4.8 mV</v>
      </c>
      <c r="U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mV</v>
      </c>
      <c r="V357" t="b">
        <f ca="1">Validation[[#This Row],[Desired Result]]=Validation[[#This Row],[Result]]</f>
        <v>1</v>
      </c>
      <c r="W357" t="b">
        <v>1</v>
      </c>
      <c r="X357" t="b">
        <f>Validation[[#This Row],[Range1_Low]]&gt;=Validation[[#This Row],[Range1_High]]</f>
        <v>0</v>
      </c>
      <c r="Y357" s="111" t="s">
        <v>2843</v>
      </c>
    </row>
    <row r="358" spans="1:25" ht="16.5" thickTop="1" thickBot="1" x14ac:dyDescent="0.3">
      <c r="A358" t="s">
        <v>55</v>
      </c>
      <c r="B358" t="s">
        <v>8</v>
      </c>
      <c r="C358" s="113">
        <v>1</v>
      </c>
      <c r="D358" s="113">
        <v>10</v>
      </c>
      <c r="E358">
        <v>1E-4</v>
      </c>
      <c r="F358" t="s">
        <v>6</v>
      </c>
      <c r="G358" t="s">
        <v>4</v>
      </c>
      <c r="H358">
        <v>100</v>
      </c>
      <c r="I358">
        <v>300</v>
      </c>
      <c r="J358" t="s">
        <v>10</v>
      </c>
      <c r="K358">
        <v>1.2</v>
      </c>
      <c r="L358">
        <v>3.5</v>
      </c>
      <c r="M358">
        <v>1.1365000000000001</v>
      </c>
      <c r="N358">
        <v>3.4830000000000001</v>
      </c>
      <c r="O358" t="s">
        <v>2833</v>
      </c>
      <c r="P358" t="s">
        <v>2833</v>
      </c>
      <c r="Q358" t="s">
        <v>2833</v>
      </c>
      <c r="R358">
        <f ca="1">RAND()*(Validation[[#This Row],[Range1_High]]-Validation[[#This Row],[Range1_Low]])+Validation[[#This Row],[Range1_Low]]</f>
        <v>2.2298999804868949</v>
      </c>
      <c r="S358">
        <f>Validation[[#This Row],[Range2_High]]</f>
        <v>300</v>
      </c>
      <c r="T358" t="str" cm="1">
        <f t="array" aca="1" ref="T358" ca="1">RoundToTwoSigFigs(Validation[[#This Row],[Test Reading]]*Validation[[#This Row],[Mult]]+Validation[[#This Row],[Base]]) &amp;" "&amp;Validation[[#This Row],[Uncert_Units]]</f>
        <v>9 mV</v>
      </c>
      <c r="U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V358" t="b">
        <f ca="1">Validation[[#This Row],[Desired Result]]=Validation[[#This Row],[Result]]</f>
        <v>0</v>
      </c>
      <c r="W358" t="b">
        <v>1</v>
      </c>
      <c r="X358" t="b">
        <f>Validation[[#This Row],[Range1_Low]]&gt;=Validation[[#This Row],[Range1_High]]</f>
        <v>0</v>
      </c>
      <c r="Y358" s="111" t="s">
        <v>2843</v>
      </c>
    </row>
    <row r="359" spans="1:25" ht="15.75" thickTop="1" x14ac:dyDescent="0.25">
      <c r="A359" t="s">
        <v>54</v>
      </c>
      <c r="B359" t="s">
        <v>8</v>
      </c>
      <c r="C359">
        <v>0</v>
      </c>
      <c r="D359">
        <v>3.3009999999999998E-2</v>
      </c>
      <c r="E359">
        <v>0.01</v>
      </c>
      <c r="F359" t="s">
        <v>6</v>
      </c>
      <c r="G359" t="s">
        <v>5</v>
      </c>
      <c r="H359">
        <v>0.01</v>
      </c>
      <c r="I359">
        <v>4.5010000000000001E-2</v>
      </c>
      <c r="J359" t="s">
        <v>10</v>
      </c>
      <c r="K359">
        <v>5800</v>
      </c>
      <c r="L359">
        <v>16.202000000000002</v>
      </c>
      <c r="M359">
        <v>5800</v>
      </c>
      <c r="N359">
        <v>15.714</v>
      </c>
      <c r="O359" t="s">
        <v>2833</v>
      </c>
      <c r="P359" t="s">
        <v>2833</v>
      </c>
      <c r="Q359" t="s">
        <v>2833</v>
      </c>
      <c r="R359">
        <f ca="1">RAND()*(Validation[[#This Row],[Range1_High]]-Validation[[#This Row],[Range1_Low]])+Validation[[#This Row],[Range1_Low]]</f>
        <v>1.4339984000469805E-2</v>
      </c>
      <c r="S359">
        <f>Validation[[#This Row],[Range2_High]]</f>
        <v>4.5010000000000001E-2</v>
      </c>
      <c r="T359" t="str" cm="1">
        <f t="array" aca="1" ref="T359" ca="1">RoundToTwoSigFigs(Validation[[#This Row],[Test Reading]]*Validation[[#This Row],[Mult]]+Validation[[#This Row],[Base]]) &amp;" "&amp;Validation[[#This Row],[Uncert_Units]]</f>
        <v>5800 µV</v>
      </c>
      <c r="U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359" t="b">
        <f ca="1">Validation[[#This Row],[Desired Result]]=Validation[[#This Row],[Result]]</f>
        <v>1</v>
      </c>
      <c r="W359" t="b">
        <v>0</v>
      </c>
      <c r="X359" t="b">
        <f>Validation[[#This Row],[Range1_Low]]&gt;=Validation[[#This Row],[Range1_High]]</f>
        <v>0</v>
      </c>
      <c r="Y359" s="111" t="s">
        <v>2845</v>
      </c>
    </row>
    <row r="360" spans="1:25" x14ac:dyDescent="0.25">
      <c r="A360" t="s">
        <v>55</v>
      </c>
      <c r="B360" t="s">
        <v>8</v>
      </c>
      <c r="C360">
        <v>0</v>
      </c>
      <c r="D360">
        <v>0.01</v>
      </c>
      <c r="E360">
        <v>1E-8</v>
      </c>
      <c r="F360" t="s">
        <v>6</v>
      </c>
      <c r="G360" t="s">
        <v>5</v>
      </c>
      <c r="H360">
        <v>300</v>
      </c>
      <c r="I360">
        <v>1000</v>
      </c>
      <c r="J360" t="s">
        <v>10</v>
      </c>
      <c r="K360">
        <v>18</v>
      </c>
      <c r="L360">
        <v>45000</v>
      </c>
      <c r="M360">
        <v>12.904</v>
      </c>
      <c r="N360">
        <v>45496</v>
      </c>
      <c r="O360" t="s">
        <v>2833</v>
      </c>
      <c r="P360" t="s">
        <v>2833</v>
      </c>
      <c r="Q360" t="s">
        <v>2833</v>
      </c>
      <c r="R360">
        <f ca="1">RAND()*(Validation[[#This Row],[Range1_High]]-Validation[[#This Row],[Range1_Low]])+Validation[[#This Row],[Range1_Low]]</f>
        <v>9.8988049168796961E-3</v>
      </c>
      <c r="S360">
        <f>Validation[[#This Row],[Range2_High]]</f>
        <v>1000</v>
      </c>
      <c r="T360" t="str" cm="1">
        <f t="array" aca="1" ref="T360" ca="1">RoundToTwoSigFigs(Validation[[#This Row],[Test Reading]]*Validation[[#This Row],[Mult]]+Validation[[#This Row],[Base]]) &amp;" "&amp;Validation[[#This Row],[Uncert_Units]]</f>
        <v>460 µV</v>
      </c>
      <c r="U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V360" t="b">
        <f ca="1">Validation[[#This Row],[Desired Result]]=Validation[[#This Row],[Result]]</f>
        <v>1</v>
      </c>
      <c r="W360" t="b">
        <v>0</v>
      </c>
      <c r="X360" t="b">
        <f>Validation[[#This Row],[Range1_Low]]&gt;=Validation[[#This Row],[Range1_High]]</f>
        <v>0</v>
      </c>
      <c r="Y360" s="111" t="s">
        <v>2845</v>
      </c>
    </row>
    <row r="361" spans="1:25" ht="15.75" thickBot="1" x14ac:dyDescent="0.3">
      <c r="A361" t="s">
        <v>55</v>
      </c>
      <c r="B361" t="s">
        <v>8</v>
      </c>
      <c r="C361">
        <v>0.1</v>
      </c>
      <c r="D361">
        <v>1</v>
      </c>
      <c r="E361">
        <v>1E-3</v>
      </c>
      <c r="F361" t="s">
        <v>6</v>
      </c>
      <c r="G361" t="s">
        <v>5</v>
      </c>
      <c r="H361">
        <v>1E-3</v>
      </c>
      <c r="I361">
        <v>0.04</v>
      </c>
      <c r="J361" t="s">
        <v>10</v>
      </c>
      <c r="K361">
        <v>578.69000000000005</v>
      </c>
      <c r="L361">
        <v>12.536</v>
      </c>
      <c r="M361">
        <v>12.497999999999999</v>
      </c>
      <c r="N361">
        <v>12.497999999999999</v>
      </c>
      <c r="O361" t="s">
        <v>2833</v>
      </c>
      <c r="P361" t="s">
        <v>2833</v>
      </c>
      <c r="Q361" t="s">
        <v>2833</v>
      </c>
      <c r="R361">
        <f ca="1">RAND()*(Validation[[#This Row],[Range1_High]]-Validation[[#This Row],[Range1_Low]])+Validation[[#This Row],[Range1_Low]]</f>
        <v>0.49824959861434903</v>
      </c>
      <c r="S361">
        <f>Validation[[#This Row],[Range2_High]]</f>
        <v>0.04</v>
      </c>
      <c r="T361" t="str" cm="1">
        <f t="array" aca="1" ref="T361" ca="1">RoundToTwoSigFigs(Validation[[#This Row],[Test Reading]]*Validation[[#This Row],[Mult]]+Validation[[#This Row],[Base]]) &amp;" "&amp;Validation[[#This Row],[Uncert_Units]]</f>
        <v>580 µV</v>
      </c>
      <c r="U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361" t="b">
        <f ca="1">Validation[[#This Row],[Desired Result]]=Validation[[#This Row],[Result]]</f>
        <v>1</v>
      </c>
      <c r="W361" t="b">
        <v>0</v>
      </c>
      <c r="X361" t="b">
        <f>Validation[[#This Row],[Range1_Low]]&gt;=Validation[[#This Row],[Range1_High]]</f>
        <v>0</v>
      </c>
      <c r="Y361" s="111" t="s">
        <v>2845</v>
      </c>
    </row>
    <row r="362" spans="1:25" ht="16.5" thickTop="1" thickBot="1" x14ac:dyDescent="0.3">
      <c r="A362" t="s">
        <v>54</v>
      </c>
      <c r="B362" t="s">
        <v>8</v>
      </c>
      <c r="C362" s="113">
        <v>33</v>
      </c>
      <c r="D362" s="113">
        <v>330.01</v>
      </c>
      <c r="E362">
        <v>0.1</v>
      </c>
      <c r="F362" t="s">
        <v>6</v>
      </c>
      <c r="G362" t="s">
        <v>4</v>
      </c>
      <c r="H362">
        <v>0.01</v>
      </c>
      <c r="I362">
        <v>4.5010000000000001E-2</v>
      </c>
      <c r="J362" t="s">
        <v>10</v>
      </c>
      <c r="K362">
        <v>46.640999999999998</v>
      </c>
      <c r="L362">
        <v>0.47359000000000001</v>
      </c>
      <c r="M362">
        <v>46.601999999999997</v>
      </c>
      <c r="N362">
        <v>0.47360999999999998</v>
      </c>
      <c r="O362" t="s">
        <v>2833</v>
      </c>
      <c r="P362" t="s">
        <v>2833</v>
      </c>
      <c r="Q362" t="s">
        <v>2833</v>
      </c>
      <c r="R362">
        <f ca="1">RAND()*(Validation[[#This Row],[Range1_High]]-Validation[[#This Row],[Range1_Low]])+Validation[[#This Row],[Range1_Low]]</f>
        <v>207.06343624960911</v>
      </c>
      <c r="S362">
        <f>Validation[[#This Row],[Range2_High]]</f>
        <v>4.5010000000000001E-2</v>
      </c>
      <c r="T362" t="str" cm="1">
        <f t="array" aca="1" ref="T362" ca="1">RoundToTwoSigFigs(Validation[[#This Row],[Test Reading]]*Validation[[#This Row],[Mult]]+Validation[[#This Row],[Base]]) &amp;" "&amp;Validation[[#This Row],[Uncert_Units]]</f>
        <v>140 mV</v>
      </c>
      <c r="U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V362" t="b">
        <f ca="1">Validation[[#This Row],[Desired Result]]=Validation[[#This Row],[Result]]</f>
        <v>1</v>
      </c>
      <c r="W362" t="b">
        <v>1</v>
      </c>
      <c r="X362" t="b">
        <f>Validation[[#This Row],[Range1_Low]]&gt;=Validation[[#This Row],[Range1_High]]</f>
        <v>0</v>
      </c>
      <c r="Y362" s="111" t="s">
        <v>2843</v>
      </c>
    </row>
    <row r="363" spans="1:25" ht="16.5" thickTop="1" thickBot="1" x14ac:dyDescent="0.3">
      <c r="A363" t="s">
        <v>55</v>
      </c>
      <c r="B363" t="s">
        <v>8</v>
      </c>
      <c r="C363" s="113">
        <v>0.01</v>
      </c>
      <c r="D363" s="113">
        <v>0.1</v>
      </c>
      <c r="E363">
        <v>1E-4</v>
      </c>
      <c r="F363" t="s">
        <v>6</v>
      </c>
      <c r="G363" t="s">
        <v>5</v>
      </c>
      <c r="H363">
        <v>20</v>
      </c>
      <c r="I363">
        <v>50</v>
      </c>
      <c r="J363" t="s">
        <v>10</v>
      </c>
      <c r="K363">
        <v>57.119</v>
      </c>
      <c r="L363">
        <v>116.68</v>
      </c>
      <c r="M363">
        <v>57.113999999999997</v>
      </c>
      <c r="N363">
        <v>116.5</v>
      </c>
      <c r="O363" t="s">
        <v>2833</v>
      </c>
      <c r="P363" t="s">
        <v>2833</v>
      </c>
      <c r="Q363" t="s">
        <v>2833</v>
      </c>
      <c r="R363">
        <f ca="1">RAND()*(Validation[[#This Row],[Range1_High]]-Validation[[#This Row],[Range1_Low]])+Validation[[#This Row],[Range1_Low]]</f>
        <v>7.3223623212895217E-2</v>
      </c>
      <c r="S363">
        <f>Validation[[#This Row],[Range2_High]]</f>
        <v>50</v>
      </c>
      <c r="T363" t="str" cm="1">
        <f t="array" aca="1" ref="T363" ca="1">RoundToTwoSigFigs(Validation[[#This Row],[Test Reading]]*Validation[[#This Row],[Mult]]+Validation[[#This Row],[Base]]) &amp;" "&amp;Validation[[#This Row],[Uncert_Units]]</f>
        <v>66 µV</v>
      </c>
      <c r="U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µV</v>
      </c>
      <c r="V363" t="b">
        <f ca="1">Validation[[#This Row],[Desired Result]]=Validation[[#This Row],[Result]]</f>
        <v>1</v>
      </c>
      <c r="W363" t="b">
        <v>1</v>
      </c>
      <c r="X363" t="b">
        <f>Validation[[#This Row],[Range1_Low]]&gt;=Validation[[#This Row],[Range1_High]]</f>
        <v>0</v>
      </c>
      <c r="Y363" s="111" t="s">
        <v>2843</v>
      </c>
    </row>
    <row r="364" spans="1:25" ht="15.75" thickTop="1" x14ac:dyDescent="0.25">
      <c r="A364" t="s">
        <v>54</v>
      </c>
      <c r="B364" t="s">
        <v>8</v>
      </c>
      <c r="C364">
        <v>0</v>
      </c>
      <c r="D364">
        <v>3.3009999999999998E-2</v>
      </c>
      <c r="E364">
        <v>1E-3</v>
      </c>
      <c r="F364" t="s">
        <v>6</v>
      </c>
      <c r="G364" t="s">
        <v>5</v>
      </c>
      <c r="H364">
        <v>0.01</v>
      </c>
      <c r="I364">
        <v>4.5010000000000001E-2</v>
      </c>
      <c r="J364" t="s">
        <v>10</v>
      </c>
      <c r="K364">
        <v>580.38</v>
      </c>
      <c r="L364">
        <v>157.54</v>
      </c>
      <c r="M364">
        <v>580.38</v>
      </c>
      <c r="N364">
        <v>156.33000000000001</v>
      </c>
      <c r="O364" t="s">
        <v>2833</v>
      </c>
      <c r="P364" t="s">
        <v>2833</v>
      </c>
      <c r="Q364" t="s">
        <v>2833</v>
      </c>
      <c r="R364">
        <f ca="1">RAND()*(Validation[[#This Row],[Range1_High]]-Validation[[#This Row],[Range1_Low]])+Validation[[#This Row],[Range1_Low]]</f>
        <v>3.2572759132733158E-2</v>
      </c>
      <c r="S364">
        <f>Validation[[#This Row],[Range2_High]]</f>
        <v>4.5010000000000001E-2</v>
      </c>
      <c r="T364" t="str" cm="1">
        <f t="array" aca="1" ref="T364" ca="1">RoundToTwoSigFigs(Validation[[#This Row],[Test Reading]]*Validation[[#This Row],[Mult]]+Validation[[#This Row],[Base]]) &amp;" "&amp;Validation[[#This Row],[Uncert_Units]]</f>
        <v>590 µV</v>
      </c>
      <c r="U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364" t="b">
        <f ca="1">Validation[[#This Row],[Desired Result]]=Validation[[#This Row],[Result]]</f>
        <v>0</v>
      </c>
      <c r="W364" t="b">
        <v>0</v>
      </c>
      <c r="X364" t="b">
        <f>Validation[[#This Row],[Range1_Low]]&gt;=Validation[[#This Row],[Range1_High]]</f>
        <v>0</v>
      </c>
      <c r="Y364" s="111" t="s">
        <v>2845</v>
      </c>
    </row>
    <row r="365" spans="1:25" ht="15.75" thickBot="1" x14ac:dyDescent="0.3">
      <c r="A365" t="s">
        <v>55</v>
      </c>
      <c r="B365" t="s">
        <v>8</v>
      </c>
      <c r="C365">
        <v>0.01</v>
      </c>
      <c r="D365">
        <v>0.1</v>
      </c>
      <c r="E365">
        <v>1E-4</v>
      </c>
      <c r="F365" t="s">
        <v>6</v>
      </c>
      <c r="G365" t="s">
        <v>5</v>
      </c>
      <c r="H365">
        <v>8000</v>
      </c>
      <c r="I365">
        <v>10000</v>
      </c>
      <c r="J365" t="s">
        <v>10</v>
      </c>
      <c r="K365">
        <v>450</v>
      </c>
      <c r="L365">
        <v>170040</v>
      </c>
      <c r="M365">
        <v>116.4</v>
      </c>
      <c r="N365">
        <v>173270</v>
      </c>
      <c r="O365" t="s">
        <v>2833</v>
      </c>
      <c r="P365" t="s">
        <v>2833</v>
      </c>
      <c r="Q365" t="s">
        <v>2833</v>
      </c>
      <c r="R365">
        <f ca="1">RAND()*(Validation[[#This Row],[Range1_High]]-Validation[[#This Row],[Range1_Low]])+Validation[[#This Row],[Range1_Low]]</f>
        <v>8.0226816499261611E-2</v>
      </c>
      <c r="S365">
        <f>Validation[[#This Row],[Range2_High]]</f>
        <v>10000</v>
      </c>
      <c r="T365" t="str" cm="1">
        <f t="array" aca="1" ref="T365" ca="1">RoundToTwoSigFigs(Validation[[#This Row],[Test Reading]]*Validation[[#This Row],[Mult]]+Validation[[#This Row],[Base]]) &amp;" "&amp;Validation[[#This Row],[Uncert_Units]]</f>
        <v>14000 µV</v>
      </c>
      <c r="U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V365" t="b">
        <f ca="1">Validation[[#This Row],[Desired Result]]=Validation[[#This Row],[Result]]</f>
        <v>1</v>
      </c>
      <c r="W365" t="b">
        <v>0</v>
      </c>
      <c r="X365" t="b">
        <f>Validation[[#This Row],[Range1_Low]]&gt;=Validation[[#This Row],[Range1_High]]</f>
        <v>0</v>
      </c>
      <c r="Y365" s="111" t="s">
        <v>2845</v>
      </c>
    </row>
    <row r="366" spans="1:25" ht="16.5" thickTop="1" thickBot="1" x14ac:dyDescent="0.3">
      <c r="A366" t="s">
        <v>55</v>
      </c>
      <c r="B366" t="s">
        <v>8</v>
      </c>
      <c r="C366" s="113">
        <v>10</v>
      </c>
      <c r="D366" s="113">
        <v>100</v>
      </c>
      <c r="E366">
        <v>0.1</v>
      </c>
      <c r="F366" t="s">
        <v>6</v>
      </c>
      <c r="G366" t="s">
        <v>4</v>
      </c>
      <c r="H366">
        <v>100</v>
      </c>
      <c r="I366">
        <v>300</v>
      </c>
      <c r="J366" t="s">
        <v>10</v>
      </c>
      <c r="K366">
        <v>37.774999999999999</v>
      </c>
      <c r="L366">
        <v>4.4000000000000004</v>
      </c>
      <c r="M366">
        <v>37.725999999999999</v>
      </c>
      <c r="N366">
        <v>4.4002999999999997</v>
      </c>
      <c r="O366" t="s">
        <v>2833</v>
      </c>
      <c r="P366" t="s">
        <v>2833</v>
      </c>
      <c r="Q366" t="s">
        <v>2833</v>
      </c>
      <c r="R366">
        <f ca="1">RAND()*(Validation[[#This Row],[Range1_High]]-Validation[[#This Row],[Range1_Low]])+Validation[[#This Row],[Range1_Low]]</f>
        <v>20.644832165368548</v>
      </c>
      <c r="S366">
        <f>Validation[[#This Row],[Range2_High]]</f>
        <v>300</v>
      </c>
      <c r="T366" t="str" cm="1">
        <f t="array" aca="1" ref="T366" ca="1">RoundToTwoSigFigs(Validation[[#This Row],[Test Reading]]*Validation[[#This Row],[Mult]]+Validation[[#This Row],[Base]]) &amp;" "&amp;Validation[[#This Row],[Uncert_Units]]</f>
        <v>130 mV</v>
      </c>
      <c r="U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366" t="b">
        <f ca="1">Validation[[#This Row],[Desired Result]]=Validation[[#This Row],[Result]]</f>
        <v>1</v>
      </c>
      <c r="W366" t="b">
        <v>1</v>
      </c>
      <c r="X366" t="b">
        <f>Validation[[#This Row],[Range1_Low]]&gt;=Validation[[#This Row],[Range1_High]]</f>
        <v>0</v>
      </c>
      <c r="Y366" s="111" t="s">
        <v>2843</v>
      </c>
    </row>
    <row r="367" spans="1:25" ht="15.75" thickTop="1" x14ac:dyDescent="0.25">
      <c r="A367" t="s">
        <v>54</v>
      </c>
      <c r="B367" t="s">
        <v>8</v>
      </c>
      <c r="C367">
        <v>0</v>
      </c>
      <c r="D367">
        <v>3.3009999999999998E-2</v>
      </c>
      <c r="E367">
        <v>1E-4</v>
      </c>
      <c r="F367" t="s">
        <v>6</v>
      </c>
      <c r="G367" t="s">
        <v>5</v>
      </c>
      <c r="H367">
        <v>20</v>
      </c>
      <c r="I367">
        <v>50.01</v>
      </c>
      <c r="J367" t="s">
        <v>10</v>
      </c>
      <c r="K367">
        <v>61.904000000000003</v>
      </c>
      <c r="L367">
        <v>1615.7</v>
      </c>
      <c r="M367">
        <v>61.89</v>
      </c>
      <c r="N367">
        <v>1614.4</v>
      </c>
      <c r="O367" t="s">
        <v>2833</v>
      </c>
      <c r="P367" t="s">
        <v>2833</v>
      </c>
      <c r="Q367" t="s">
        <v>2833</v>
      </c>
      <c r="R367">
        <f ca="1">RAND()*(Validation[[#This Row],[Range1_High]]-Validation[[#This Row],[Range1_Low]])+Validation[[#This Row],[Range1_Low]]</f>
        <v>2.1273302954678799E-2</v>
      </c>
      <c r="S367">
        <f>Validation[[#This Row],[Range2_High]]</f>
        <v>50.01</v>
      </c>
      <c r="T367" t="str" cm="1">
        <f t="array" aca="1" ref="T367" ca="1">RoundToTwoSigFigs(Validation[[#This Row],[Test Reading]]*Validation[[#This Row],[Mult]]+Validation[[#This Row],[Base]]) &amp;" "&amp;Validation[[#This Row],[Uncert_Units]]</f>
        <v>96 µV</v>
      </c>
      <c r="U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V367" t="b">
        <f ca="1">Validation[[#This Row],[Desired Result]]=Validation[[#This Row],[Result]]</f>
        <v>1</v>
      </c>
      <c r="W367" t="b">
        <v>1</v>
      </c>
      <c r="X367" t="b">
        <f>Validation[[#This Row],[Range1_Low]]&gt;=Validation[[#This Row],[Range1_High]]</f>
        <v>0</v>
      </c>
      <c r="Y367" s="111" t="s">
        <v>2845</v>
      </c>
    </row>
    <row r="368" spans="1:25" ht="15.75" thickBot="1" x14ac:dyDescent="0.3">
      <c r="A368" t="s">
        <v>55</v>
      </c>
      <c r="B368" t="s">
        <v>8</v>
      </c>
      <c r="C368">
        <v>330</v>
      </c>
      <c r="D368">
        <v>1000</v>
      </c>
      <c r="E368">
        <v>0.01</v>
      </c>
      <c r="F368" t="s">
        <v>6</v>
      </c>
      <c r="G368" t="s">
        <v>4</v>
      </c>
      <c r="H368">
        <v>1</v>
      </c>
      <c r="I368">
        <v>10</v>
      </c>
      <c r="J368" t="s">
        <v>10</v>
      </c>
      <c r="K368">
        <v>23</v>
      </c>
      <c r="L368">
        <v>0.7</v>
      </c>
      <c r="M368">
        <v>23.256</v>
      </c>
      <c r="N368">
        <v>0.69369000000000003</v>
      </c>
      <c r="O368" t="s">
        <v>2833</v>
      </c>
      <c r="P368" t="s">
        <v>2833</v>
      </c>
      <c r="Q368" t="s">
        <v>2833</v>
      </c>
      <c r="R368">
        <f ca="1">RAND()*(Validation[[#This Row],[Range1_High]]-Validation[[#This Row],[Range1_Low]])+Validation[[#This Row],[Range1_Low]]</f>
        <v>725.23939799944424</v>
      </c>
      <c r="S368">
        <f>Validation[[#This Row],[Range2_High]]</f>
        <v>10</v>
      </c>
      <c r="T368" t="str" cm="1">
        <f t="array" aca="1" ref="T368" ca="1">RoundToTwoSigFigs(Validation[[#This Row],[Test Reading]]*Validation[[#This Row],[Mult]]+Validation[[#This Row],[Base]]) &amp;" "&amp;Validation[[#This Row],[Uncert_Units]]</f>
        <v>530 mV</v>
      </c>
      <c r="U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V368" t="b">
        <f ca="1">Validation[[#This Row],[Desired Result]]=Validation[[#This Row],[Result]]</f>
        <v>1</v>
      </c>
      <c r="W368" t="b">
        <v>0</v>
      </c>
      <c r="X368" t="b">
        <f>Validation[[#This Row],[Range1_Low]]&gt;=Validation[[#This Row],[Range1_High]]</f>
        <v>0</v>
      </c>
      <c r="Y368" s="111" t="s">
        <v>2845</v>
      </c>
    </row>
    <row r="369" spans="1:25" ht="16.5" thickTop="1" thickBot="1" x14ac:dyDescent="0.3">
      <c r="A369" t="s">
        <v>55</v>
      </c>
      <c r="B369" t="s">
        <v>8</v>
      </c>
      <c r="C369" s="113">
        <v>1</v>
      </c>
      <c r="D369" s="113">
        <v>10</v>
      </c>
      <c r="E369">
        <v>9.9999999999999995E-7</v>
      </c>
      <c r="F369" t="s">
        <v>6</v>
      </c>
      <c r="G369" t="s">
        <v>4</v>
      </c>
      <c r="H369">
        <v>0.04</v>
      </c>
      <c r="I369">
        <v>1</v>
      </c>
      <c r="J369" t="s">
        <v>10</v>
      </c>
      <c r="K369">
        <v>0.25</v>
      </c>
      <c r="L369">
        <v>8.4000000000000005E-2</v>
      </c>
      <c r="M369">
        <v>0.22625000000000001</v>
      </c>
      <c r="N369">
        <v>8.5544999999999996E-2</v>
      </c>
      <c r="O369" t="s">
        <v>2833</v>
      </c>
      <c r="P369" t="s">
        <v>2833</v>
      </c>
      <c r="Q369" t="s">
        <v>2833</v>
      </c>
      <c r="R369">
        <f ca="1">RAND()*(Validation[[#This Row],[Range1_High]]-Validation[[#This Row],[Range1_Low]])+Validation[[#This Row],[Range1_Low]]</f>
        <v>2.1525908089592027</v>
      </c>
      <c r="S369">
        <f>Validation[[#This Row],[Range2_High]]</f>
        <v>1</v>
      </c>
      <c r="T369" t="str" cm="1">
        <f t="array" aca="1" ref="T369" ca="1">RoundToTwoSigFigs(Validation[[#This Row],[Test Reading]]*Validation[[#This Row],[Mult]]+Validation[[#This Row],[Base]]) &amp;" "&amp;Validation[[#This Row],[Uncert_Units]]</f>
        <v>0.43 mV</v>
      </c>
      <c r="U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mV</v>
      </c>
      <c r="V369" t="b">
        <f ca="1">Validation[[#This Row],[Desired Result]]=Validation[[#This Row],[Result]]</f>
        <v>0</v>
      </c>
      <c r="W369" t="b">
        <v>1</v>
      </c>
      <c r="X369" t="b">
        <f>Validation[[#This Row],[Range1_Low]]&gt;=Validation[[#This Row],[Range1_High]]</f>
        <v>0</v>
      </c>
      <c r="Y369" s="111" t="s">
        <v>2843</v>
      </c>
    </row>
    <row r="370" spans="1:25" ht="16.5" thickTop="1" thickBot="1" x14ac:dyDescent="0.3">
      <c r="A370" t="s">
        <v>54</v>
      </c>
      <c r="B370" t="s">
        <v>8</v>
      </c>
      <c r="C370" s="113">
        <v>330</v>
      </c>
      <c r="D370" s="113">
        <v>1020.01</v>
      </c>
      <c r="E370">
        <v>10</v>
      </c>
      <c r="F370" t="s">
        <v>6</v>
      </c>
      <c r="G370" t="s">
        <v>4</v>
      </c>
      <c r="H370">
        <v>10</v>
      </c>
      <c r="I370">
        <v>10.01</v>
      </c>
      <c r="J370" t="s">
        <v>10</v>
      </c>
      <c r="K370">
        <v>57997</v>
      </c>
      <c r="L370">
        <v>1.3152E-2</v>
      </c>
      <c r="M370">
        <v>57997</v>
      </c>
      <c r="N370">
        <v>1.2997999999999999E-2</v>
      </c>
      <c r="O370" t="s">
        <v>2833</v>
      </c>
      <c r="P370" t="s">
        <v>2833</v>
      </c>
      <c r="Q370" t="s">
        <v>2833</v>
      </c>
      <c r="R370">
        <f ca="1">RAND()*(Validation[[#This Row],[Range1_High]]-Validation[[#This Row],[Range1_Low]])+Validation[[#This Row],[Range1_Low]]</f>
        <v>684.43720931695725</v>
      </c>
      <c r="S370">
        <f>Validation[[#This Row],[Range2_High]]</f>
        <v>10.01</v>
      </c>
      <c r="T370" t="str" cm="1">
        <f t="array" aca="1" ref="T370" ca="1">RoundToTwoSigFigs(Validation[[#This Row],[Test Reading]]*Validation[[#This Row],[Mult]]+Validation[[#This Row],[Base]]) &amp;" "&amp;Validation[[#This Row],[Uncert_Units]]</f>
        <v>58000 mV</v>
      </c>
      <c r="U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V370" t="b">
        <f ca="1">Validation[[#This Row],[Desired Result]]=Validation[[#This Row],[Result]]</f>
        <v>1</v>
      </c>
      <c r="W370" t="b">
        <v>1</v>
      </c>
      <c r="X370" t="b">
        <f>Validation[[#This Row],[Range1_Low]]&gt;=Validation[[#This Row],[Range1_High]]</f>
        <v>0</v>
      </c>
      <c r="Y370" s="111" t="s">
        <v>2843</v>
      </c>
    </row>
    <row r="371" spans="1:25" ht="16.5" thickTop="1" thickBot="1" x14ac:dyDescent="0.3">
      <c r="A371" t="s">
        <v>55</v>
      </c>
      <c r="B371" t="s">
        <v>8</v>
      </c>
      <c r="C371" s="113">
        <v>100</v>
      </c>
      <c r="D371" s="113">
        <v>1000</v>
      </c>
      <c r="E371">
        <v>1</v>
      </c>
      <c r="F371" t="s">
        <v>6</v>
      </c>
      <c r="G371" t="s">
        <v>4</v>
      </c>
      <c r="H371">
        <v>20</v>
      </c>
      <c r="I371">
        <v>50</v>
      </c>
      <c r="J371" t="s">
        <v>10</v>
      </c>
      <c r="K371">
        <v>496.92</v>
      </c>
      <c r="L371">
        <v>1.0291999999999999</v>
      </c>
      <c r="M371">
        <v>496.68</v>
      </c>
      <c r="N371">
        <v>1.0293000000000001</v>
      </c>
      <c r="O371" t="s">
        <v>2833</v>
      </c>
      <c r="P371" t="s">
        <v>2833</v>
      </c>
      <c r="Q371" t="s">
        <v>2833</v>
      </c>
      <c r="R371">
        <f ca="1">RAND()*(Validation[[#This Row],[Range1_High]]-Validation[[#This Row],[Range1_Low]])+Validation[[#This Row],[Range1_Low]]</f>
        <v>939.00279507893583</v>
      </c>
      <c r="S371">
        <f>Validation[[#This Row],[Range2_High]]</f>
        <v>50</v>
      </c>
      <c r="T371" t="str" cm="1">
        <f t="array" aca="1" ref="T371" ca="1">RoundToTwoSigFigs(Validation[[#This Row],[Test Reading]]*Validation[[#This Row],[Mult]]+Validation[[#This Row],[Base]]) &amp;" "&amp;Validation[[#This Row],[Uncert_Units]]</f>
        <v>1500 mV</v>
      </c>
      <c r="U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V371" t="b">
        <f ca="1">Validation[[#This Row],[Desired Result]]=Validation[[#This Row],[Result]]</f>
        <v>1</v>
      </c>
      <c r="W371" t="b">
        <v>1</v>
      </c>
      <c r="X371" t="b">
        <f>Validation[[#This Row],[Range1_Low]]&gt;=Validation[[#This Row],[Range1_High]]</f>
        <v>0</v>
      </c>
      <c r="Y371" s="111" t="s">
        <v>2843</v>
      </c>
    </row>
    <row r="372" spans="1:25" ht="16.5" thickTop="1" thickBot="1" x14ac:dyDescent="0.3">
      <c r="A372" t="s">
        <v>55</v>
      </c>
      <c r="B372" t="s">
        <v>8</v>
      </c>
      <c r="C372">
        <v>0.1</v>
      </c>
      <c r="D372">
        <v>1</v>
      </c>
      <c r="E372">
        <v>0.01</v>
      </c>
      <c r="F372" t="s">
        <v>6</v>
      </c>
      <c r="G372" t="s">
        <v>5</v>
      </c>
      <c r="H372">
        <v>300</v>
      </c>
      <c r="I372">
        <v>1000</v>
      </c>
      <c r="J372" t="s">
        <v>10</v>
      </c>
      <c r="K372">
        <v>5113.2</v>
      </c>
      <c r="L372">
        <v>8011.6</v>
      </c>
      <c r="M372">
        <v>4758</v>
      </c>
      <c r="N372">
        <v>8011.9</v>
      </c>
      <c r="O372" t="s">
        <v>2833</v>
      </c>
      <c r="P372" t="s">
        <v>2833</v>
      </c>
      <c r="Q372" t="s">
        <v>2833</v>
      </c>
      <c r="R372">
        <f ca="1">RAND()*(Validation[[#This Row],[Range1_High]]-Validation[[#This Row],[Range1_Low]])+Validation[[#This Row],[Range1_Low]]</f>
        <v>0.54649350921246365</v>
      </c>
      <c r="S372">
        <f>Validation[[#This Row],[Range2_High]]</f>
        <v>1000</v>
      </c>
      <c r="T372" t="str" cm="1">
        <f t="array" aca="1" ref="T372" ca="1">RoundToTwoSigFigs(Validation[[#This Row],[Test Reading]]*Validation[[#This Row],[Mult]]+Validation[[#This Row],[Base]]) &amp;" "&amp;Validation[[#This Row],[Uncert_Units]]</f>
        <v>9500 µV</v>
      </c>
      <c r="U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9500 µV</v>
      </c>
      <c r="V372" t="b">
        <f ca="1">Validation[[#This Row],[Desired Result]]=Validation[[#This Row],[Result]]</f>
        <v>1</v>
      </c>
      <c r="W372" t="b">
        <v>0</v>
      </c>
      <c r="X372" t="b">
        <f>Validation[[#This Row],[Range1_Low]]&gt;=Validation[[#This Row],[Range1_High]]</f>
        <v>0</v>
      </c>
      <c r="Y372" s="111" t="s">
        <v>2845</v>
      </c>
    </row>
    <row r="373" spans="1:25" ht="16.5" thickTop="1" thickBot="1" x14ac:dyDescent="0.3">
      <c r="A373" t="s">
        <v>55</v>
      </c>
      <c r="B373" t="s">
        <v>8</v>
      </c>
      <c r="C373" s="113">
        <v>10</v>
      </c>
      <c r="D373" s="113">
        <v>20</v>
      </c>
      <c r="E373">
        <v>0.01</v>
      </c>
      <c r="F373" t="s">
        <v>6</v>
      </c>
      <c r="G373" t="s">
        <v>4</v>
      </c>
      <c r="H373">
        <v>50</v>
      </c>
      <c r="I373">
        <v>100</v>
      </c>
      <c r="J373" t="s">
        <v>10</v>
      </c>
      <c r="K373">
        <v>3.8216999999999999</v>
      </c>
      <c r="L373">
        <v>1.3443000000000001</v>
      </c>
      <c r="M373">
        <v>3.8184</v>
      </c>
      <c r="N373">
        <v>1.3442000000000001</v>
      </c>
      <c r="O373" t="s">
        <v>2833</v>
      </c>
      <c r="P373" t="s">
        <v>2833</v>
      </c>
      <c r="Q373" t="s">
        <v>2833</v>
      </c>
      <c r="R373">
        <f ca="1">RAND()*(Validation[[#This Row],[Range1_High]]-Validation[[#This Row],[Range1_Low]])+Validation[[#This Row],[Range1_Low]]</f>
        <v>17.123263747181205</v>
      </c>
      <c r="S373">
        <f>Validation[[#This Row],[Range2_High]]</f>
        <v>100</v>
      </c>
      <c r="T373" t="str" cm="1">
        <f t="array" aca="1" ref="T373" ca="1">RoundToTwoSigFigs(Validation[[#This Row],[Test Reading]]*Validation[[#This Row],[Mult]]+Validation[[#This Row],[Base]]) &amp;" "&amp;Validation[[#This Row],[Uncert_Units]]</f>
        <v>27 mV</v>
      </c>
      <c r="U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V373" t="b">
        <f ca="1">Validation[[#This Row],[Desired Result]]=Validation[[#This Row],[Result]]</f>
        <v>1</v>
      </c>
      <c r="W373" t="b">
        <v>1</v>
      </c>
      <c r="X373" t="b">
        <f>Validation[[#This Row],[Range1_Low]]&gt;=Validation[[#This Row],[Range1_High]]</f>
        <v>0</v>
      </c>
      <c r="Y373" s="111" t="s">
        <v>2843</v>
      </c>
    </row>
    <row r="374" spans="1:25" ht="16.5" thickTop="1" thickBot="1" x14ac:dyDescent="0.3">
      <c r="A374" t="s">
        <v>54</v>
      </c>
      <c r="B374" t="s">
        <v>8</v>
      </c>
      <c r="C374">
        <v>0</v>
      </c>
      <c r="D374">
        <v>3.3009999999999998E-2</v>
      </c>
      <c r="E374">
        <v>1E-3</v>
      </c>
      <c r="F374" t="s">
        <v>6</v>
      </c>
      <c r="G374" t="s">
        <v>5</v>
      </c>
      <c r="H374">
        <v>20</v>
      </c>
      <c r="I374">
        <v>50.01</v>
      </c>
      <c r="J374" t="s">
        <v>10</v>
      </c>
      <c r="K374">
        <v>580.34</v>
      </c>
      <c r="L374">
        <v>247.93</v>
      </c>
      <c r="M374">
        <v>580.33000000000004</v>
      </c>
      <c r="N374">
        <v>246.73</v>
      </c>
      <c r="O374" t="s">
        <v>2833</v>
      </c>
      <c r="P374" t="s">
        <v>2833</v>
      </c>
      <c r="Q374" t="s">
        <v>2833</v>
      </c>
      <c r="R374">
        <f ca="1">RAND()*(Validation[[#This Row],[Range1_High]]-Validation[[#This Row],[Range1_Low]])+Validation[[#This Row],[Range1_Low]]</f>
        <v>3.022181198276E-2</v>
      </c>
      <c r="S374">
        <f>Validation[[#This Row],[Range2_High]]</f>
        <v>50.01</v>
      </c>
      <c r="T374" t="str" cm="1">
        <f t="array" aca="1" ref="T374" ca="1">RoundToTwoSigFigs(Validation[[#This Row],[Test Reading]]*Validation[[#This Row],[Mult]]+Validation[[#This Row],[Base]]) &amp;" "&amp;Validation[[#This Row],[Uncert_Units]]</f>
        <v>590 µV</v>
      </c>
      <c r="U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V374" t="b">
        <f ca="1">Validation[[#This Row],[Desired Result]]=Validation[[#This Row],[Result]]</f>
        <v>0</v>
      </c>
      <c r="W374" t="b">
        <v>1</v>
      </c>
      <c r="X374" t="b">
        <f>Validation[[#This Row],[Range1_Low]]&gt;=Validation[[#This Row],[Range1_High]]</f>
        <v>0</v>
      </c>
      <c r="Y374" s="111" t="s">
        <v>2845</v>
      </c>
    </row>
    <row r="375" spans="1:25" ht="16.5" thickTop="1" thickBot="1" x14ac:dyDescent="0.3">
      <c r="A375" t="s">
        <v>54</v>
      </c>
      <c r="B375" t="s">
        <v>8</v>
      </c>
      <c r="C375" s="113">
        <v>3.3000000000000002E-2</v>
      </c>
      <c r="D375" s="113">
        <v>0.33001000000000003</v>
      </c>
      <c r="E375">
        <v>1E-4</v>
      </c>
      <c r="F375" t="s">
        <v>6</v>
      </c>
      <c r="G375" t="s">
        <v>5</v>
      </c>
      <c r="H375">
        <v>500</v>
      </c>
      <c r="I375">
        <v>501</v>
      </c>
      <c r="J375" t="s">
        <v>10</v>
      </c>
      <c r="K375">
        <v>390</v>
      </c>
      <c r="L375">
        <v>5771.9</v>
      </c>
      <c r="M375">
        <v>384.93</v>
      </c>
      <c r="N375">
        <v>5772</v>
      </c>
      <c r="O375" t="s">
        <v>2833</v>
      </c>
      <c r="P375" t="s">
        <v>2833</v>
      </c>
      <c r="Q375" t="s">
        <v>2833</v>
      </c>
      <c r="R375">
        <f ca="1">RAND()*(Validation[[#This Row],[Range1_High]]-Validation[[#This Row],[Range1_Low]])+Validation[[#This Row],[Range1_Low]]</f>
        <v>0.16914278309356098</v>
      </c>
      <c r="S375">
        <f>Validation[[#This Row],[Range2_High]]</f>
        <v>501</v>
      </c>
      <c r="T375" t="str" cm="1">
        <f t="array" aca="1" ref="T375" ca="1">RoundToTwoSigFigs(Validation[[#This Row],[Test Reading]]*Validation[[#This Row],[Mult]]+Validation[[#This Row],[Base]]) &amp;" "&amp;Validation[[#This Row],[Uncert_Units]]</f>
        <v>1400 µV</v>
      </c>
      <c r="U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V375" t="b">
        <f ca="1">Validation[[#This Row],[Desired Result]]=Validation[[#This Row],[Result]]</f>
        <v>1</v>
      </c>
      <c r="W375" t="b">
        <v>1</v>
      </c>
      <c r="X375" t="b">
        <f>Validation[[#This Row],[Range1_Low]]&gt;=Validation[[#This Row],[Range1_High]]</f>
        <v>0</v>
      </c>
      <c r="Y375" s="111" t="s">
        <v>2843</v>
      </c>
    </row>
    <row r="376" spans="1:25" ht="16.5" thickTop="1" thickBot="1" x14ac:dyDescent="0.3">
      <c r="A376" t="s">
        <v>54</v>
      </c>
      <c r="B376" t="s">
        <v>8</v>
      </c>
      <c r="C376">
        <v>3.3</v>
      </c>
      <c r="D376">
        <v>33.000999999999998</v>
      </c>
      <c r="E376">
        <v>0.1</v>
      </c>
      <c r="F376" t="s">
        <v>6</v>
      </c>
      <c r="G376" t="s">
        <v>4</v>
      </c>
      <c r="H376">
        <v>50</v>
      </c>
      <c r="I376">
        <v>100.01</v>
      </c>
      <c r="J376" t="s">
        <v>10</v>
      </c>
      <c r="K376">
        <v>53.719000000000001</v>
      </c>
      <c r="L376">
        <v>1.6172</v>
      </c>
      <c r="M376">
        <v>53.713000000000001</v>
      </c>
      <c r="N376">
        <v>1.6172</v>
      </c>
      <c r="O376" t="s">
        <v>2833</v>
      </c>
      <c r="P376" t="s">
        <v>2833</v>
      </c>
      <c r="Q376" t="s">
        <v>2833</v>
      </c>
      <c r="R376">
        <f ca="1">RAND()*(Validation[[#This Row],[Range1_High]]-Validation[[#This Row],[Range1_Low]])+Validation[[#This Row],[Range1_Low]]</f>
        <v>20.222342613569353</v>
      </c>
      <c r="S376">
        <f>Validation[[#This Row],[Range2_High]]</f>
        <v>100.01</v>
      </c>
      <c r="T376" t="str" cm="1">
        <f t="array" aca="1" ref="T376" ca="1">RoundToTwoSigFigs(Validation[[#This Row],[Test Reading]]*Validation[[#This Row],[Mult]]+Validation[[#This Row],[Base]]) &amp;" "&amp;Validation[[#This Row],[Uncert_Units]]</f>
        <v>86 mV</v>
      </c>
      <c r="U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mV</v>
      </c>
      <c r="V376" t="b">
        <f ca="1">Validation[[#This Row],[Desired Result]]=Validation[[#This Row],[Result]]</f>
        <v>1</v>
      </c>
      <c r="W376" t="b">
        <v>0</v>
      </c>
      <c r="X376" t="b">
        <f>Validation[[#This Row],[Range1_Low]]&gt;=Validation[[#This Row],[Range1_High]]</f>
        <v>0</v>
      </c>
      <c r="Y376" s="111" t="s">
        <v>2845</v>
      </c>
    </row>
    <row r="377" spans="1:25" ht="16.5" thickTop="1" thickBot="1" x14ac:dyDescent="0.3">
      <c r="A377" t="s">
        <v>55</v>
      </c>
      <c r="B377" t="s">
        <v>8</v>
      </c>
      <c r="C377" s="113">
        <v>0.01</v>
      </c>
      <c r="D377" s="113">
        <v>0.1</v>
      </c>
      <c r="E377">
        <v>1E-8</v>
      </c>
      <c r="F377" t="s">
        <v>6</v>
      </c>
      <c r="G377" t="s">
        <v>5</v>
      </c>
      <c r="H377">
        <v>300</v>
      </c>
      <c r="I377">
        <v>1000</v>
      </c>
      <c r="J377" t="s">
        <v>10</v>
      </c>
      <c r="K377">
        <v>12</v>
      </c>
      <c r="L377">
        <v>12000</v>
      </c>
      <c r="M377">
        <v>11.521000000000001</v>
      </c>
      <c r="N377">
        <v>11631</v>
      </c>
      <c r="O377" t="s">
        <v>2833</v>
      </c>
      <c r="P377" t="s">
        <v>2833</v>
      </c>
      <c r="Q377" t="s">
        <v>2833</v>
      </c>
      <c r="R377">
        <f ca="1">RAND()*(Validation[[#This Row],[Range1_High]]-Validation[[#This Row],[Range1_Low]])+Validation[[#This Row],[Range1_Low]]</f>
        <v>9.6400995097303085E-2</v>
      </c>
      <c r="S377">
        <f>Validation[[#This Row],[Range2_High]]</f>
        <v>1000</v>
      </c>
      <c r="T377" t="str" cm="1">
        <f t="array" aca="1" ref="T377" ca="1">RoundToTwoSigFigs(Validation[[#This Row],[Test Reading]]*Validation[[#This Row],[Mult]]+Validation[[#This Row],[Base]]) &amp;" "&amp;Validation[[#This Row],[Uncert_Units]]</f>
        <v>1200 µV</v>
      </c>
      <c r="U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V377" t="b">
        <f ca="1">Validation[[#This Row],[Desired Result]]=Validation[[#This Row],[Result]]</f>
        <v>0</v>
      </c>
      <c r="W377" t="b">
        <v>1</v>
      </c>
      <c r="X377" t="b">
        <f>Validation[[#This Row],[Range1_Low]]&gt;=Validation[[#This Row],[Range1_High]]</f>
        <v>0</v>
      </c>
      <c r="Y377" s="111" t="s">
        <v>2843</v>
      </c>
    </row>
    <row r="378" spans="1:25" ht="15.75" thickTop="1" x14ac:dyDescent="0.25">
      <c r="A378" t="s">
        <v>54</v>
      </c>
      <c r="B378" t="s">
        <v>8</v>
      </c>
      <c r="C378">
        <v>0</v>
      </c>
      <c r="D378">
        <v>3.3009999999999998E-2</v>
      </c>
      <c r="E378">
        <v>1E-3</v>
      </c>
      <c r="F378" t="s">
        <v>6</v>
      </c>
      <c r="G378" t="s">
        <v>5</v>
      </c>
      <c r="H378">
        <v>500</v>
      </c>
      <c r="I378">
        <v>501</v>
      </c>
      <c r="J378" t="s">
        <v>10</v>
      </c>
      <c r="K378">
        <v>581.54</v>
      </c>
      <c r="L378">
        <v>4655.8999999999996</v>
      </c>
      <c r="M378">
        <v>581.45000000000005</v>
      </c>
      <c r="N378">
        <v>4653.2</v>
      </c>
      <c r="O378" t="s">
        <v>2833</v>
      </c>
      <c r="P378" t="s">
        <v>2833</v>
      </c>
      <c r="Q378" t="s">
        <v>2833</v>
      </c>
      <c r="R378">
        <f ca="1">RAND()*(Validation[[#This Row],[Range1_High]]-Validation[[#This Row],[Range1_Low]])+Validation[[#This Row],[Range1_Low]]</f>
        <v>1.1884762177525109E-2</v>
      </c>
      <c r="S378">
        <f>Validation[[#This Row],[Range2_High]]</f>
        <v>501</v>
      </c>
      <c r="T378" t="str" cm="1">
        <f t="array" aca="1" ref="T378" ca="1">RoundToTwoSigFigs(Validation[[#This Row],[Test Reading]]*Validation[[#This Row],[Mult]]+Validation[[#This Row],[Base]]) &amp;" "&amp;Validation[[#This Row],[Uncert_Units]]</f>
        <v>640 µV</v>
      </c>
      <c r="U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V378" t="b">
        <f ca="1">Validation[[#This Row],[Desired Result]]=Validation[[#This Row],[Result]]</f>
        <v>1</v>
      </c>
      <c r="W378" t="b">
        <v>0</v>
      </c>
      <c r="X378" t="b">
        <f>Validation[[#This Row],[Range1_Low]]&gt;=Validation[[#This Row],[Range1_High]]</f>
        <v>0</v>
      </c>
      <c r="Y378" s="111" t="s">
        <v>2845</v>
      </c>
    </row>
    <row r="379" spans="1:25" ht="15.75" thickBot="1" x14ac:dyDescent="0.3">
      <c r="A379" t="s">
        <v>54</v>
      </c>
      <c r="B379" t="s">
        <v>8</v>
      </c>
      <c r="C379">
        <v>0</v>
      </c>
      <c r="D379">
        <v>3.3009999999999998E-2</v>
      </c>
      <c r="E379">
        <v>10</v>
      </c>
      <c r="F379" t="s">
        <v>6</v>
      </c>
      <c r="G379" t="s">
        <v>5</v>
      </c>
      <c r="H379">
        <v>0.01</v>
      </c>
      <c r="I379">
        <v>4.5010000000000001E-2</v>
      </c>
      <c r="J379" t="s">
        <v>10</v>
      </c>
      <c r="K379">
        <v>5800000</v>
      </c>
      <c r="L379">
        <v>4.6912000000000002E-2</v>
      </c>
      <c r="M379">
        <v>5800000</v>
      </c>
      <c r="N379">
        <v>1.5715E-2</v>
      </c>
      <c r="O379" t="s">
        <v>2833</v>
      </c>
      <c r="P379" t="s">
        <v>2833</v>
      </c>
      <c r="Q379" t="s">
        <v>2833</v>
      </c>
      <c r="R379">
        <f ca="1">RAND()*(Validation[[#This Row],[Range1_High]]-Validation[[#This Row],[Range1_Low]])+Validation[[#This Row],[Range1_Low]]</f>
        <v>6.5886768896507306E-3</v>
      </c>
      <c r="S379">
        <f>Validation[[#This Row],[Range2_High]]</f>
        <v>4.5010000000000001E-2</v>
      </c>
      <c r="T379" t="str" cm="1">
        <f t="array" aca="1" ref="T379" ca="1">RoundToTwoSigFigs(Validation[[#This Row],[Test Reading]]*Validation[[#This Row],[Mult]]+Validation[[#This Row],[Base]]) &amp;" "&amp;Validation[[#This Row],[Uncert_Units]]</f>
        <v>5800000 µV</v>
      </c>
      <c r="U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V379" t="b">
        <f ca="1">Validation[[#This Row],[Desired Result]]=Validation[[#This Row],[Result]]</f>
        <v>1</v>
      </c>
      <c r="W379" t="b">
        <v>0</v>
      </c>
      <c r="X379" t="b">
        <f>Validation[[#This Row],[Range1_Low]]&gt;=Validation[[#This Row],[Range1_High]]</f>
        <v>0</v>
      </c>
      <c r="Y379" s="111" t="s">
        <v>2845</v>
      </c>
    </row>
    <row r="380" spans="1:25" ht="16.5" thickTop="1" thickBot="1" x14ac:dyDescent="0.3">
      <c r="A380" t="s">
        <v>55</v>
      </c>
      <c r="B380" t="s">
        <v>8</v>
      </c>
      <c r="C380" s="113">
        <v>1</v>
      </c>
      <c r="D380" s="113">
        <v>10</v>
      </c>
      <c r="E380">
        <v>0.01</v>
      </c>
      <c r="F380" t="s">
        <v>6</v>
      </c>
      <c r="G380" t="s">
        <v>4</v>
      </c>
      <c r="H380">
        <v>1</v>
      </c>
      <c r="I380">
        <v>20</v>
      </c>
      <c r="J380" t="s">
        <v>10</v>
      </c>
      <c r="K380">
        <v>5.7577999999999996</v>
      </c>
      <c r="L380">
        <v>3.1829000000000003E-2</v>
      </c>
      <c r="M380">
        <v>5.7554999999999996</v>
      </c>
      <c r="N380">
        <v>3.1387999999999999E-2</v>
      </c>
      <c r="O380" t="s">
        <v>2833</v>
      </c>
      <c r="P380" t="s">
        <v>2833</v>
      </c>
      <c r="Q380" t="s">
        <v>2833</v>
      </c>
      <c r="R380">
        <f ca="1">RAND()*(Validation[[#This Row],[Range1_High]]-Validation[[#This Row],[Range1_Low]])+Validation[[#This Row],[Range1_Low]]</f>
        <v>3.7870915786936661</v>
      </c>
      <c r="S380">
        <f>Validation[[#This Row],[Range2_High]]</f>
        <v>20</v>
      </c>
      <c r="T380" t="str" cm="1">
        <f t="array" aca="1" ref="T380" ca="1">RoundToTwoSigFigs(Validation[[#This Row],[Test Reading]]*Validation[[#This Row],[Mult]]+Validation[[#This Row],[Base]]) &amp;" "&amp;Validation[[#This Row],[Uncert_Units]]</f>
        <v>5.9 mV</v>
      </c>
      <c r="U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V380" t="b">
        <f ca="1">Validation[[#This Row],[Desired Result]]=Validation[[#This Row],[Result]]</f>
        <v>0</v>
      </c>
      <c r="W380" t="b">
        <v>1</v>
      </c>
      <c r="X380" t="b">
        <f>Validation[[#This Row],[Range1_Low]]&gt;=Validation[[#This Row],[Range1_High]]</f>
        <v>0</v>
      </c>
      <c r="Y380" s="111" t="s">
        <v>2843</v>
      </c>
    </row>
    <row r="381" spans="1:25" ht="16.5" thickTop="1" thickBot="1" x14ac:dyDescent="0.3">
      <c r="A381" t="s">
        <v>55</v>
      </c>
      <c r="B381" t="s">
        <v>8</v>
      </c>
      <c r="C381">
        <v>1</v>
      </c>
      <c r="D381">
        <v>10</v>
      </c>
      <c r="E381">
        <v>0.1</v>
      </c>
      <c r="F381" t="s">
        <v>6</v>
      </c>
      <c r="G381" t="s">
        <v>4</v>
      </c>
      <c r="H381">
        <v>20</v>
      </c>
      <c r="I381">
        <v>50</v>
      </c>
      <c r="J381" t="s">
        <v>10</v>
      </c>
      <c r="K381">
        <v>57.728000000000002</v>
      </c>
      <c r="L381">
        <v>1.3146E-2</v>
      </c>
      <c r="M381">
        <v>57.621000000000002</v>
      </c>
      <c r="N381">
        <v>1.289E-2</v>
      </c>
      <c r="O381" t="s">
        <v>2833</v>
      </c>
      <c r="P381" t="s">
        <v>2833</v>
      </c>
      <c r="Q381" t="s">
        <v>2833</v>
      </c>
      <c r="R381">
        <f ca="1">RAND()*(Validation[[#This Row],[Range1_High]]-Validation[[#This Row],[Range1_Low]])+Validation[[#This Row],[Range1_Low]]</f>
        <v>3.4459716956356585</v>
      </c>
      <c r="S381">
        <f>Validation[[#This Row],[Range2_High]]</f>
        <v>50</v>
      </c>
      <c r="T381" t="str" cm="1">
        <f t="array" aca="1" ref="T381" ca="1">RoundToTwoSigFigs(Validation[[#This Row],[Test Reading]]*Validation[[#This Row],[Mult]]+Validation[[#This Row],[Base]]) &amp;" "&amp;Validation[[#This Row],[Uncert_Units]]</f>
        <v>58 mV</v>
      </c>
      <c r="U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381" t="b">
        <f ca="1">Validation[[#This Row],[Desired Result]]=Validation[[#This Row],[Result]]</f>
        <v>1</v>
      </c>
      <c r="W381" t="b">
        <v>0</v>
      </c>
      <c r="X381" t="b">
        <f>Validation[[#This Row],[Range1_Low]]&gt;=Validation[[#This Row],[Range1_High]]</f>
        <v>0</v>
      </c>
      <c r="Y381" s="111" t="s">
        <v>2845</v>
      </c>
    </row>
    <row r="382" spans="1:25" ht="16.5" thickTop="1" thickBot="1" x14ac:dyDescent="0.3">
      <c r="A382" t="s">
        <v>55</v>
      </c>
      <c r="B382" t="s">
        <v>8</v>
      </c>
      <c r="C382" s="113">
        <v>100</v>
      </c>
      <c r="D382" s="113">
        <v>330</v>
      </c>
      <c r="E382">
        <v>0.1</v>
      </c>
      <c r="F382" t="s">
        <v>6</v>
      </c>
      <c r="G382" t="s">
        <v>4</v>
      </c>
      <c r="H382">
        <v>1</v>
      </c>
      <c r="I382">
        <v>20</v>
      </c>
      <c r="J382" t="s">
        <v>10</v>
      </c>
      <c r="K382">
        <v>44.082999999999998</v>
      </c>
      <c r="L382">
        <v>0.65012000000000003</v>
      </c>
      <c r="M382">
        <v>43.963000000000001</v>
      </c>
      <c r="N382">
        <v>0.65027999999999997</v>
      </c>
      <c r="O382" t="s">
        <v>2833</v>
      </c>
      <c r="P382" t="s">
        <v>2833</v>
      </c>
      <c r="Q382" t="s">
        <v>2833</v>
      </c>
      <c r="R382">
        <f ca="1">RAND()*(Validation[[#This Row],[Range1_High]]-Validation[[#This Row],[Range1_Low]])+Validation[[#This Row],[Range1_Low]]</f>
        <v>247.10532215496059</v>
      </c>
      <c r="S382">
        <f>Validation[[#This Row],[Range2_High]]</f>
        <v>20</v>
      </c>
      <c r="T382" t="str" cm="1">
        <f t="array" aca="1" ref="T382" ca="1">RoundToTwoSigFigs(Validation[[#This Row],[Test Reading]]*Validation[[#This Row],[Mult]]+Validation[[#This Row],[Base]]) &amp;" "&amp;Validation[[#This Row],[Uncert_Units]]</f>
        <v>200 mV</v>
      </c>
      <c r="U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V382" t="b">
        <f ca="1">Validation[[#This Row],[Desired Result]]=Validation[[#This Row],[Result]]</f>
        <v>0</v>
      </c>
      <c r="W382" t="b">
        <v>1</v>
      </c>
      <c r="X382" t="b">
        <f>Validation[[#This Row],[Range1_Low]]&gt;=Validation[[#This Row],[Range1_High]]</f>
        <v>0</v>
      </c>
      <c r="Y382" s="111" t="s">
        <v>2843</v>
      </c>
    </row>
    <row r="383" spans="1:25" ht="16.5" thickTop="1" thickBot="1" x14ac:dyDescent="0.3">
      <c r="A383" t="s">
        <v>55</v>
      </c>
      <c r="B383" t="s">
        <v>8</v>
      </c>
      <c r="C383" s="113">
        <v>1</v>
      </c>
      <c r="D383" s="113">
        <v>10</v>
      </c>
      <c r="E383">
        <v>1E-4</v>
      </c>
      <c r="F383" t="s">
        <v>6</v>
      </c>
      <c r="G383" t="s">
        <v>4</v>
      </c>
      <c r="H383">
        <v>8000</v>
      </c>
      <c r="I383">
        <v>10000</v>
      </c>
      <c r="J383" t="s">
        <v>10</v>
      </c>
      <c r="K383">
        <v>46</v>
      </c>
      <c r="L383">
        <v>170.12</v>
      </c>
      <c r="M383">
        <v>11.529</v>
      </c>
      <c r="N383">
        <v>173.36</v>
      </c>
      <c r="O383" t="s">
        <v>2833</v>
      </c>
      <c r="P383" t="s">
        <v>2833</v>
      </c>
      <c r="Q383" t="s">
        <v>2833</v>
      </c>
      <c r="R383">
        <f ca="1">RAND()*(Validation[[#This Row],[Range1_High]]-Validation[[#This Row],[Range1_Low]])+Validation[[#This Row],[Range1_Low]]</f>
        <v>5.301494899893938</v>
      </c>
      <c r="S383">
        <f>Validation[[#This Row],[Range2_High]]</f>
        <v>10000</v>
      </c>
      <c r="T383" t="str" cm="1">
        <f t="array" aca="1" ref="T383" ca="1">RoundToTwoSigFigs(Validation[[#This Row],[Test Reading]]*Validation[[#This Row],[Mult]]+Validation[[#This Row],[Base]]) &amp;" "&amp;Validation[[#This Row],[Uncert_Units]]</f>
        <v>950 mV</v>
      </c>
      <c r="U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mV</v>
      </c>
      <c r="V383" t="b">
        <f ca="1">Validation[[#This Row],[Desired Result]]=Validation[[#This Row],[Result]]</f>
        <v>1</v>
      </c>
      <c r="W383" t="b">
        <v>1</v>
      </c>
      <c r="X383" t="b">
        <f>Validation[[#This Row],[Range1_Low]]&gt;=Validation[[#This Row],[Range1_High]]</f>
        <v>0</v>
      </c>
      <c r="Y383" s="111" t="s">
        <v>2843</v>
      </c>
    </row>
    <row r="384" spans="1:25" ht="16.5" thickTop="1" thickBot="1" x14ac:dyDescent="0.3">
      <c r="A384" t="s">
        <v>55</v>
      </c>
      <c r="B384" t="s">
        <v>8</v>
      </c>
      <c r="C384" s="113">
        <v>0.01</v>
      </c>
      <c r="D384" s="113">
        <v>0.1</v>
      </c>
      <c r="E384">
        <v>1E-4</v>
      </c>
      <c r="F384" t="s">
        <v>6</v>
      </c>
      <c r="G384" t="s">
        <v>5</v>
      </c>
      <c r="H384">
        <v>300</v>
      </c>
      <c r="I384">
        <v>1000</v>
      </c>
      <c r="J384" t="s">
        <v>10</v>
      </c>
      <c r="K384">
        <v>21.308</v>
      </c>
      <c r="L384">
        <v>11907</v>
      </c>
      <c r="M384">
        <v>25.138999999999999</v>
      </c>
      <c r="N384">
        <v>11509</v>
      </c>
      <c r="O384" t="s">
        <v>2833</v>
      </c>
      <c r="P384" t="s">
        <v>2833</v>
      </c>
      <c r="Q384" t="s">
        <v>2833</v>
      </c>
      <c r="R384">
        <f ca="1">RAND()*(Validation[[#This Row],[Range1_High]]-Validation[[#This Row],[Range1_Low]])+Validation[[#This Row],[Range1_Low]]</f>
        <v>8.1115137756441941E-2</v>
      </c>
      <c r="S384">
        <f>Validation[[#This Row],[Range2_High]]</f>
        <v>1000</v>
      </c>
      <c r="T384" t="str" cm="1">
        <f t="array" aca="1" ref="T384" ca="1">RoundToTwoSigFigs(Validation[[#This Row],[Test Reading]]*Validation[[#This Row],[Mult]]+Validation[[#This Row],[Base]]) &amp;" "&amp;Validation[[#This Row],[Uncert_Units]]</f>
        <v>990 µV</v>
      </c>
      <c r="U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V384" t="b">
        <f ca="1">Validation[[#This Row],[Desired Result]]=Validation[[#This Row],[Result]]</f>
        <v>0</v>
      </c>
      <c r="W384" t="b">
        <v>1</v>
      </c>
      <c r="X384" t="b">
        <f>Validation[[#This Row],[Range1_Low]]&gt;=Validation[[#This Row],[Range1_High]]</f>
        <v>0</v>
      </c>
      <c r="Y384" s="111" t="s">
        <v>2843</v>
      </c>
    </row>
    <row r="385" spans="1:25" ht="16.5" thickTop="1" thickBot="1" x14ac:dyDescent="0.3">
      <c r="A385" t="s">
        <v>54</v>
      </c>
      <c r="B385" t="s">
        <v>8</v>
      </c>
      <c r="C385" s="113">
        <v>3.3000000000000002E-2</v>
      </c>
      <c r="D385" s="113">
        <v>0.33001000000000003</v>
      </c>
      <c r="E385">
        <v>9.9999999999999995E-7</v>
      </c>
      <c r="F385" t="s">
        <v>6</v>
      </c>
      <c r="G385" t="s">
        <v>5</v>
      </c>
      <c r="H385">
        <v>100</v>
      </c>
      <c r="I385">
        <v>500</v>
      </c>
      <c r="J385" t="s">
        <v>10</v>
      </c>
      <c r="K385">
        <v>390</v>
      </c>
      <c r="L385">
        <v>5800</v>
      </c>
      <c r="M385">
        <v>381.75</v>
      </c>
      <c r="N385">
        <v>5779.4</v>
      </c>
      <c r="O385" t="s">
        <v>2833</v>
      </c>
      <c r="P385" t="s">
        <v>2833</v>
      </c>
      <c r="Q385" t="s">
        <v>2833</v>
      </c>
      <c r="R385">
        <f ca="1">RAND()*(Validation[[#This Row],[Range1_High]]-Validation[[#This Row],[Range1_Low]])+Validation[[#This Row],[Range1_Low]]</f>
        <v>0.16814967377015491</v>
      </c>
      <c r="S385">
        <f>Validation[[#This Row],[Range2_High]]</f>
        <v>500</v>
      </c>
      <c r="T385" t="str" cm="1">
        <f t="array" aca="1" ref="T385" ca="1">RoundToTwoSigFigs(Validation[[#This Row],[Test Reading]]*Validation[[#This Row],[Mult]]+Validation[[#This Row],[Base]]) &amp;" "&amp;Validation[[#This Row],[Uncert_Units]]</f>
        <v>1400 µV</v>
      </c>
      <c r="U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V385" t="b">
        <f ca="1">Validation[[#This Row],[Desired Result]]=Validation[[#This Row],[Result]]</f>
        <v>1</v>
      </c>
      <c r="W385" t="b">
        <v>1</v>
      </c>
      <c r="X385" t="b">
        <f>Validation[[#This Row],[Range1_Low]]&gt;=Validation[[#This Row],[Range1_High]]</f>
        <v>0</v>
      </c>
      <c r="Y385" s="111" t="s">
        <v>2843</v>
      </c>
    </row>
    <row r="386" spans="1:25" ht="16.5" thickTop="1" thickBot="1" x14ac:dyDescent="0.3">
      <c r="A386" t="s">
        <v>55</v>
      </c>
      <c r="B386" t="s">
        <v>8</v>
      </c>
      <c r="C386" s="113">
        <v>1</v>
      </c>
      <c r="D386" s="113">
        <v>10</v>
      </c>
      <c r="E386">
        <v>1.0000000000000001E-5</v>
      </c>
      <c r="F386" t="s">
        <v>6</v>
      </c>
      <c r="G386" t="s">
        <v>4</v>
      </c>
      <c r="H386">
        <v>300</v>
      </c>
      <c r="I386">
        <v>1000</v>
      </c>
      <c r="J386" t="s">
        <v>10</v>
      </c>
      <c r="K386">
        <v>0.83</v>
      </c>
      <c r="L386">
        <v>11.988</v>
      </c>
      <c r="M386">
        <v>1.127</v>
      </c>
      <c r="N386">
        <v>11.688000000000001</v>
      </c>
      <c r="O386" t="s">
        <v>2833</v>
      </c>
      <c r="P386" t="s">
        <v>2833</v>
      </c>
      <c r="Q386" t="s">
        <v>2833</v>
      </c>
      <c r="R386">
        <f ca="1">RAND()*(Validation[[#This Row],[Range1_High]]-Validation[[#This Row],[Range1_Low]])+Validation[[#This Row],[Range1_Low]]</f>
        <v>8.4493360502400776</v>
      </c>
      <c r="S386">
        <f>Validation[[#This Row],[Range2_High]]</f>
        <v>1000</v>
      </c>
      <c r="T386" t="str" cm="1">
        <f t="array" aca="1" ref="T386" ca="1">RoundToTwoSigFigs(Validation[[#This Row],[Test Reading]]*Validation[[#This Row],[Mult]]+Validation[[#This Row],[Base]]) &amp;" "&amp;Validation[[#This Row],[Uncert_Units]]</f>
        <v>100 mV</v>
      </c>
      <c r="U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V386" t="b">
        <f ca="1">Validation[[#This Row],[Desired Result]]=Validation[[#This Row],[Result]]</f>
        <v>1</v>
      </c>
      <c r="W386" t="b">
        <v>1</v>
      </c>
      <c r="X386" t="b">
        <f>Validation[[#This Row],[Range1_Low]]&gt;=Validation[[#This Row],[Range1_High]]</f>
        <v>0</v>
      </c>
      <c r="Y386" s="111" t="s">
        <v>2843</v>
      </c>
    </row>
    <row r="387" spans="1:25" ht="15.75" thickTop="1" x14ac:dyDescent="0.25">
      <c r="A387" t="s">
        <v>54</v>
      </c>
      <c r="B387" t="s">
        <v>8</v>
      </c>
      <c r="C387">
        <v>0</v>
      </c>
      <c r="D387">
        <v>3.3009999999999998E-2</v>
      </c>
      <c r="E387">
        <v>0.1</v>
      </c>
      <c r="F387" t="s">
        <v>6</v>
      </c>
      <c r="G387" t="s">
        <v>5</v>
      </c>
      <c r="H387">
        <v>50</v>
      </c>
      <c r="I387">
        <v>100.01</v>
      </c>
      <c r="J387" t="s">
        <v>10</v>
      </c>
      <c r="K387">
        <v>58000</v>
      </c>
      <c r="L387">
        <v>7.7473999999999998</v>
      </c>
      <c r="M387">
        <v>58000</v>
      </c>
      <c r="N387">
        <v>7.4565999999999999</v>
      </c>
      <c r="O387" t="s">
        <v>2833</v>
      </c>
      <c r="P387" t="s">
        <v>2833</v>
      </c>
      <c r="Q387" t="s">
        <v>2833</v>
      </c>
      <c r="R387">
        <f ca="1">RAND()*(Validation[[#This Row],[Range1_High]]-Validation[[#This Row],[Range1_Low]])+Validation[[#This Row],[Range1_Low]]</f>
        <v>3.1765291262593233E-2</v>
      </c>
      <c r="S387">
        <f>Validation[[#This Row],[Range2_High]]</f>
        <v>100.01</v>
      </c>
      <c r="T387" t="str" cm="1">
        <f t="array" aca="1" ref="T387" ca="1">RoundToTwoSigFigs(Validation[[#This Row],[Test Reading]]*Validation[[#This Row],[Mult]]+Validation[[#This Row],[Base]]) &amp;" "&amp;Validation[[#This Row],[Uncert_Units]]</f>
        <v>58000 µV</v>
      </c>
      <c r="U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387" t="b">
        <f ca="1">Validation[[#This Row],[Desired Result]]=Validation[[#This Row],[Result]]</f>
        <v>1</v>
      </c>
      <c r="W387" t="b">
        <v>0</v>
      </c>
      <c r="X387" t="b">
        <f>Validation[[#This Row],[Range1_Low]]&gt;=Validation[[#This Row],[Range1_High]]</f>
        <v>0</v>
      </c>
      <c r="Y387" s="111" t="s">
        <v>2845</v>
      </c>
    </row>
    <row r="388" spans="1:25" x14ac:dyDescent="0.25">
      <c r="A388" t="s">
        <v>54</v>
      </c>
      <c r="B388" t="s">
        <v>8</v>
      </c>
      <c r="C388">
        <v>0</v>
      </c>
      <c r="D388">
        <v>3.3009999999999998E-2</v>
      </c>
      <c r="E388">
        <v>1E-4</v>
      </c>
      <c r="F388" t="s">
        <v>6</v>
      </c>
      <c r="G388" t="s">
        <v>5</v>
      </c>
      <c r="H388">
        <v>50</v>
      </c>
      <c r="I388">
        <v>100.01</v>
      </c>
      <c r="J388" t="s">
        <v>10</v>
      </c>
      <c r="K388">
        <v>68.858000000000004</v>
      </c>
      <c r="L388">
        <v>3411.4</v>
      </c>
      <c r="M388">
        <v>68.766000000000005</v>
      </c>
      <c r="N388">
        <v>3411.7</v>
      </c>
      <c r="O388" t="s">
        <v>2833</v>
      </c>
      <c r="P388" t="s">
        <v>2833</v>
      </c>
      <c r="Q388" t="s">
        <v>2833</v>
      </c>
      <c r="R388">
        <f ca="1">RAND()*(Validation[[#This Row],[Range1_High]]-Validation[[#This Row],[Range1_Low]])+Validation[[#This Row],[Range1_Low]]</f>
        <v>2.8207192557070847E-2</v>
      </c>
      <c r="S388">
        <f>Validation[[#This Row],[Range2_High]]</f>
        <v>100.01</v>
      </c>
      <c r="T388" t="str" cm="1">
        <f t="array" aca="1" ref="T388" ca="1">RoundToTwoSigFigs(Validation[[#This Row],[Test Reading]]*Validation[[#This Row],[Mult]]+Validation[[#This Row],[Base]]) &amp;" "&amp;Validation[[#This Row],[Uncert_Units]]</f>
        <v>170 µV</v>
      </c>
      <c r="U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V388" t="b">
        <f ca="1">Validation[[#This Row],[Desired Result]]=Validation[[#This Row],[Result]]</f>
        <v>0</v>
      </c>
      <c r="W388" t="b">
        <v>1</v>
      </c>
      <c r="X388" t="b">
        <f>Validation[[#This Row],[Range1_Low]]&gt;=Validation[[#This Row],[Range1_High]]</f>
        <v>0</v>
      </c>
      <c r="Y388" s="111" t="s">
        <v>2845</v>
      </c>
    </row>
    <row r="389" spans="1:25" ht="15.75" thickBot="1" x14ac:dyDescent="0.3">
      <c r="A389" t="s">
        <v>55</v>
      </c>
      <c r="B389" t="s">
        <v>8</v>
      </c>
      <c r="C389">
        <v>0</v>
      </c>
      <c r="D389">
        <v>0.01</v>
      </c>
      <c r="E389">
        <v>1E-3</v>
      </c>
      <c r="F389" t="s">
        <v>6</v>
      </c>
      <c r="G389" t="s">
        <v>5</v>
      </c>
      <c r="H389">
        <v>4000</v>
      </c>
      <c r="I389">
        <v>8000</v>
      </c>
      <c r="J389" t="s">
        <v>10</v>
      </c>
      <c r="K389">
        <v>561.69000000000005</v>
      </c>
      <c r="L389">
        <v>182820</v>
      </c>
      <c r="M389">
        <v>557.14</v>
      </c>
      <c r="N389">
        <v>182830</v>
      </c>
      <c r="O389" t="s">
        <v>2833</v>
      </c>
      <c r="P389" t="s">
        <v>2833</v>
      </c>
      <c r="Q389" t="s">
        <v>2833</v>
      </c>
      <c r="R389">
        <f ca="1">RAND()*(Validation[[#This Row],[Range1_High]]-Validation[[#This Row],[Range1_Low]])+Validation[[#This Row],[Range1_Low]]</f>
        <v>6.4278318254820657E-3</v>
      </c>
      <c r="S389">
        <f>Validation[[#This Row],[Range2_High]]</f>
        <v>8000</v>
      </c>
      <c r="T389" t="str" cm="1">
        <f t="array" aca="1" ref="T389" ca="1">RoundToTwoSigFigs(Validation[[#This Row],[Test Reading]]*Validation[[#This Row],[Mult]]+Validation[[#This Row],[Base]]) &amp;" "&amp;Validation[[#This Row],[Uncert_Units]]</f>
        <v>1700 µV</v>
      </c>
      <c r="U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V389" t="b">
        <f ca="1">Validation[[#This Row],[Desired Result]]=Validation[[#This Row],[Result]]</f>
        <v>1</v>
      </c>
      <c r="W389" t="b">
        <v>0</v>
      </c>
      <c r="X389" t="b">
        <f>Validation[[#This Row],[Range1_Low]]&gt;=Validation[[#This Row],[Range1_High]]</f>
        <v>0</v>
      </c>
      <c r="Y389" s="111" t="s">
        <v>2845</v>
      </c>
    </row>
    <row r="390" spans="1:25" ht="16.5" thickTop="1" thickBot="1" x14ac:dyDescent="0.3">
      <c r="A390" t="s">
        <v>55</v>
      </c>
      <c r="B390" t="s">
        <v>8</v>
      </c>
      <c r="C390" s="113">
        <v>1</v>
      </c>
      <c r="D390" s="113">
        <v>10</v>
      </c>
      <c r="E390">
        <v>1.0000000000000001E-5</v>
      </c>
      <c r="F390" t="s">
        <v>6</v>
      </c>
      <c r="G390" t="s">
        <v>4</v>
      </c>
      <c r="H390">
        <v>0.04</v>
      </c>
      <c r="I390">
        <v>1</v>
      </c>
      <c r="J390" t="s">
        <v>10</v>
      </c>
      <c r="K390">
        <v>0.25</v>
      </c>
      <c r="L390">
        <v>8.4437999999999999E-2</v>
      </c>
      <c r="M390">
        <v>0.22631999999999999</v>
      </c>
      <c r="N390">
        <v>8.5540000000000005E-2</v>
      </c>
      <c r="O390" t="s">
        <v>2833</v>
      </c>
      <c r="P390" t="s">
        <v>2833</v>
      </c>
      <c r="Q390" t="s">
        <v>2833</v>
      </c>
      <c r="R390">
        <f ca="1">RAND()*(Validation[[#This Row],[Range1_High]]-Validation[[#This Row],[Range1_Low]])+Validation[[#This Row],[Range1_Low]]</f>
        <v>9.5902293796462743</v>
      </c>
      <c r="S390">
        <f>Validation[[#This Row],[Range2_High]]</f>
        <v>1</v>
      </c>
      <c r="T390" t="str" cm="1">
        <f t="array" aca="1" ref="T390" ca="1">RoundToTwoSigFigs(Validation[[#This Row],[Test Reading]]*Validation[[#This Row],[Mult]]+Validation[[#This Row],[Base]]) &amp;" "&amp;Validation[[#This Row],[Uncert_Units]]</f>
        <v>1.1 mV</v>
      </c>
      <c r="U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V390" t="b">
        <f ca="1">Validation[[#This Row],[Desired Result]]=Validation[[#This Row],[Result]]</f>
        <v>1</v>
      </c>
      <c r="W390" t="b">
        <v>1</v>
      </c>
      <c r="X390" t="b">
        <f>Validation[[#This Row],[Range1_Low]]&gt;=Validation[[#This Row],[Range1_High]]</f>
        <v>0</v>
      </c>
      <c r="Y390" s="111" t="s">
        <v>2843</v>
      </c>
    </row>
    <row r="391" spans="1:25" ht="16.5" thickTop="1" thickBot="1" x14ac:dyDescent="0.3">
      <c r="A391" t="s">
        <v>54</v>
      </c>
      <c r="B391" t="s">
        <v>8</v>
      </c>
      <c r="C391" s="113">
        <v>0.33</v>
      </c>
      <c r="D391" s="113">
        <v>3.3001</v>
      </c>
      <c r="E391">
        <v>1.0000000000000001E-5</v>
      </c>
      <c r="F391" t="s">
        <v>6</v>
      </c>
      <c r="G391" t="s">
        <v>4</v>
      </c>
      <c r="H391">
        <v>100</v>
      </c>
      <c r="I391">
        <v>500</v>
      </c>
      <c r="J391" t="s">
        <v>10</v>
      </c>
      <c r="K391">
        <v>1.1000000000000001</v>
      </c>
      <c r="L391">
        <v>5.8</v>
      </c>
      <c r="M391">
        <v>1.0377000000000001</v>
      </c>
      <c r="N391">
        <v>5.7942</v>
      </c>
      <c r="O391" t="s">
        <v>2833</v>
      </c>
      <c r="P391" t="s">
        <v>2833</v>
      </c>
      <c r="Q391" t="s">
        <v>2833</v>
      </c>
      <c r="R391">
        <f ca="1">RAND()*(Validation[[#This Row],[Range1_High]]-Validation[[#This Row],[Range1_Low]])+Validation[[#This Row],[Range1_Low]]</f>
        <v>0.6823786598085827</v>
      </c>
      <c r="S391">
        <f>Validation[[#This Row],[Range2_High]]</f>
        <v>500</v>
      </c>
      <c r="T391" t="str" cm="1">
        <f t="array" aca="1" ref="T391" ca="1">RoundToTwoSigFigs(Validation[[#This Row],[Test Reading]]*Validation[[#This Row],[Mult]]+Validation[[#This Row],[Base]]) &amp;" "&amp;Validation[[#This Row],[Uncert_Units]]</f>
        <v>5.1 mV</v>
      </c>
      <c r="U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V391" t="b">
        <f ca="1">Validation[[#This Row],[Desired Result]]=Validation[[#This Row],[Result]]</f>
        <v>1</v>
      </c>
      <c r="W391" t="b">
        <v>1</v>
      </c>
      <c r="X391" t="b">
        <f>Validation[[#This Row],[Range1_Low]]&gt;=Validation[[#This Row],[Range1_High]]</f>
        <v>0</v>
      </c>
      <c r="Y391" s="111" t="s">
        <v>2843</v>
      </c>
    </row>
    <row r="392" spans="1:25" ht="16.5" thickTop="1" thickBot="1" x14ac:dyDescent="0.3">
      <c r="A392" t="s">
        <v>54</v>
      </c>
      <c r="B392" t="s">
        <v>8</v>
      </c>
      <c r="C392">
        <v>33</v>
      </c>
      <c r="D392">
        <v>330.01</v>
      </c>
      <c r="E392">
        <v>10</v>
      </c>
      <c r="F392" t="s">
        <v>6</v>
      </c>
      <c r="G392" t="s">
        <v>4</v>
      </c>
      <c r="H392">
        <v>100</v>
      </c>
      <c r="I392">
        <v>100.1</v>
      </c>
      <c r="J392" t="s">
        <v>10</v>
      </c>
      <c r="K392">
        <v>5793.6</v>
      </c>
      <c r="L392">
        <v>0.28499000000000002</v>
      </c>
      <c r="M392">
        <v>5793.5</v>
      </c>
      <c r="N392">
        <v>0.28476000000000001</v>
      </c>
      <c r="O392" t="s">
        <v>2833</v>
      </c>
      <c r="P392" t="s">
        <v>2833</v>
      </c>
      <c r="Q392" t="s">
        <v>2833</v>
      </c>
      <c r="R392">
        <f ca="1">RAND()*(Validation[[#This Row],[Range1_High]]-Validation[[#This Row],[Range1_Low]])+Validation[[#This Row],[Range1_Low]]</f>
        <v>209.79469918375688</v>
      </c>
      <c r="S392">
        <f>Validation[[#This Row],[Range2_High]]</f>
        <v>100.1</v>
      </c>
      <c r="T392" t="str" cm="1">
        <f t="array" aca="1" ref="T392" ca="1">RoundToTwoSigFigs(Validation[[#This Row],[Test Reading]]*Validation[[#This Row],[Mult]]+Validation[[#This Row],[Base]]) &amp;" "&amp;Validation[[#This Row],[Uncert_Units]]</f>
        <v>5900 mV</v>
      </c>
      <c r="U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V392" t="b">
        <f ca="1">Validation[[#This Row],[Desired Result]]=Validation[[#This Row],[Result]]</f>
        <v>1</v>
      </c>
      <c r="W392" t="b">
        <v>0</v>
      </c>
      <c r="X392" t="b">
        <f>Validation[[#This Row],[Range1_Low]]&gt;=Validation[[#This Row],[Range1_High]]</f>
        <v>0</v>
      </c>
      <c r="Y392" s="111" t="s">
        <v>2845</v>
      </c>
    </row>
    <row r="393" spans="1:25" ht="16.5" thickTop="1" thickBot="1" x14ac:dyDescent="0.3">
      <c r="A393" t="s">
        <v>55</v>
      </c>
      <c r="B393" t="s">
        <v>8</v>
      </c>
      <c r="C393" s="113">
        <v>1</v>
      </c>
      <c r="D393" s="113">
        <v>10</v>
      </c>
      <c r="E393">
        <v>1.0000000000000001E-5</v>
      </c>
      <c r="F393" t="s">
        <v>6</v>
      </c>
      <c r="G393" t="s">
        <v>4</v>
      </c>
      <c r="H393">
        <v>100</v>
      </c>
      <c r="I393">
        <v>300</v>
      </c>
      <c r="J393" t="s">
        <v>10</v>
      </c>
      <c r="K393">
        <v>1.2</v>
      </c>
      <c r="L393">
        <v>3.5</v>
      </c>
      <c r="M393">
        <v>1.1358999999999999</v>
      </c>
      <c r="N393">
        <v>3.4830999999999999</v>
      </c>
      <c r="O393" t="s">
        <v>2833</v>
      </c>
      <c r="P393" t="s">
        <v>2833</v>
      </c>
      <c r="Q393" t="s">
        <v>2833</v>
      </c>
      <c r="R393">
        <f ca="1">RAND()*(Validation[[#This Row],[Range1_High]]-Validation[[#This Row],[Range1_Low]])+Validation[[#This Row],[Range1_Low]]</f>
        <v>9.9740838892330572</v>
      </c>
      <c r="S393">
        <f>Validation[[#This Row],[Range2_High]]</f>
        <v>300</v>
      </c>
      <c r="T393" t="str" cm="1">
        <f t="array" aca="1" ref="T393" ca="1">RoundToTwoSigFigs(Validation[[#This Row],[Test Reading]]*Validation[[#This Row],[Mult]]+Validation[[#This Row],[Base]]) &amp;" "&amp;Validation[[#This Row],[Uncert_Units]]</f>
        <v>36 mV</v>
      </c>
      <c r="U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V393" t="b">
        <f ca="1">Validation[[#This Row],[Desired Result]]=Validation[[#This Row],[Result]]</f>
        <v>0</v>
      </c>
      <c r="W393" t="b">
        <v>1</v>
      </c>
      <c r="X393" t="b">
        <f>Validation[[#This Row],[Range1_Low]]&gt;=Validation[[#This Row],[Range1_High]]</f>
        <v>0</v>
      </c>
      <c r="Y393" s="111" t="s">
        <v>2843</v>
      </c>
    </row>
    <row r="394" spans="1:25" ht="16.5" thickTop="1" thickBot="1" x14ac:dyDescent="0.3">
      <c r="A394" t="s">
        <v>55</v>
      </c>
      <c r="B394" t="s">
        <v>8</v>
      </c>
      <c r="C394" s="113">
        <v>1</v>
      </c>
      <c r="D394" s="113">
        <v>10</v>
      </c>
      <c r="E394">
        <v>1E-4</v>
      </c>
      <c r="F394" t="s">
        <v>6</v>
      </c>
      <c r="G394" t="s">
        <v>4</v>
      </c>
      <c r="H394">
        <v>20</v>
      </c>
      <c r="I394">
        <v>50</v>
      </c>
      <c r="J394" t="s">
        <v>10</v>
      </c>
      <c r="K394">
        <v>0.24</v>
      </c>
      <c r="L394">
        <v>0.35</v>
      </c>
      <c r="M394">
        <v>0.23282</v>
      </c>
      <c r="N394">
        <v>0.34749000000000002</v>
      </c>
      <c r="O394" t="s">
        <v>2833</v>
      </c>
      <c r="P394" t="s">
        <v>2833</v>
      </c>
      <c r="Q394" t="s">
        <v>2833</v>
      </c>
      <c r="R394">
        <f ca="1">RAND()*(Validation[[#This Row],[Range1_High]]-Validation[[#This Row],[Range1_Low]])+Validation[[#This Row],[Range1_Low]]</f>
        <v>7.3623973652993726</v>
      </c>
      <c r="S394">
        <f>Validation[[#This Row],[Range2_High]]</f>
        <v>50</v>
      </c>
      <c r="T394" t="str" cm="1">
        <f t="array" aca="1" ref="T394" ca="1">RoundToTwoSigFigs(Validation[[#This Row],[Test Reading]]*Validation[[#This Row],[Mult]]+Validation[[#This Row],[Base]]) &amp;" "&amp;Validation[[#This Row],[Uncert_Units]]</f>
        <v>2.8 mV</v>
      </c>
      <c r="U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mV</v>
      </c>
      <c r="V394" t="b">
        <f ca="1">Validation[[#This Row],[Desired Result]]=Validation[[#This Row],[Result]]</f>
        <v>0</v>
      </c>
      <c r="W394" t="b">
        <v>1</v>
      </c>
      <c r="X394" t="b">
        <f>Validation[[#This Row],[Range1_Low]]&gt;=Validation[[#This Row],[Range1_High]]</f>
        <v>0</v>
      </c>
      <c r="Y394" s="111" t="s">
        <v>2843</v>
      </c>
    </row>
    <row r="395" spans="1:25" ht="16.5" thickTop="1" thickBot="1" x14ac:dyDescent="0.3">
      <c r="A395" t="s">
        <v>54</v>
      </c>
      <c r="B395" t="s">
        <v>8</v>
      </c>
      <c r="C395" s="113">
        <v>3.3000000000000002E-2</v>
      </c>
      <c r="D395" s="113">
        <v>0.33001000000000003</v>
      </c>
      <c r="E395">
        <v>9.9999999999999995E-7</v>
      </c>
      <c r="F395" t="s">
        <v>6</v>
      </c>
      <c r="G395" t="s">
        <v>5</v>
      </c>
      <c r="H395">
        <v>10</v>
      </c>
      <c r="I395">
        <v>20.010000000000002</v>
      </c>
      <c r="J395" t="s">
        <v>10</v>
      </c>
      <c r="K395">
        <v>24</v>
      </c>
      <c r="L395">
        <v>810</v>
      </c>
      <c r="M395">
        <v>23.218</v>
      </c>
      <c r="N395">
        <v>808.67</v>
      </c>
      <c r="O395" t="s">
        <v>2833</v>
      </c>
      <c r="P395" t="s">
        <v>2833</v>
      </c>
      <c r="Q395" t="s">
        <v>2833</v>
      </c>
      <c r="R395">
        <f ca="1">RAND()*(Validation[[#This Row],[Range1_High]]-Validation[[#This Row],[Range1_Low]])+Validation[[#This Row],[Range1_Low]]</f>
        <v>0.28304842812174824</v>
      </c>
      <c r="S395">
        <f>Validation[[#This Row],[Range2_High]]</f>
        <v>20.010000000000002</v>
      </c>
      <c r="T395" t="str" cm="1">
        <f t="array" aca="1" ref="T395" ca="1">RoundToTwoSigFigs(Validation[[#This Row],[Test Reading]]*Validation[[#This Row],[Mult]]+Validation[[#This Row],[Base]]) &amp;" "&amp;Validation[[#This Row],[Uncert_Units]]</f>
        <v>250 µV</v>
      </c>
      <c r="U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V395" t="b">
        <f ca="1">Validation[[#This Row],[Desired Result]]=Validation[[#This Row],[Result]]</f>
        <v>0</v>
      </c>
      <c r="W395" t="b">
        <v>1</v>
      </c>
      <c r="X395" t="b">
        <f>Validation[[#This Row],[Range1_Low]]&gt;=Validation[[#This Row],[Range1_High]]</f>
        <v>0</v>
      </c>
      <c r="Y395" s="111" t="s">
        <v>2843</v>
      </c>
    </row>
    <row r="396" spans="1:25" ht="16.5" thickTop="1" thickBot="1" x14ac:dyDescent="0.3">
      <c r="A396" t="s">
        <v>55</v>
      </c>
      <c r="B396" t="s">
        <v>8</v>
      </c>
      <c r="C396" s="113">
        <v>1</v>
      </c>
      <c r="D396" s="113">
        <v>10</v>
      </c>
      <c r="E396">
        <v>1E-3</v>
      </c>
      <c r="F396" t="s">
        <v>6</v>
      </c>
      <c r="G396" t="s">
        <v>4</v>
      </c>
      <c r="H396">
        <v>1</v>
      </c>
      <c r="I396">
        <v>20</v>
      </c>
      <c r="J396" t="s">
        <v>10</v>
      </c>
      <c r="K396">
        <v>0.56386000000000003</v>
      </c>
      <c r="L396">
        <v>0.14001</v>
      </c>
      <c r="M396">
        <v>0.55818000000000001</v>
      </c>
      <c r="N396">
        <v>0.14005999999999999</v>
      </c>
      <c r="O396" t="s">
        <v>2833</v>
      </c>
      <c r="P396" t="s">
        <v>2833</v>
      </c>
      <c r="Q396" t="s">
        <v>2833</v>
      </c>
      <c r="R396">
        <f ca="1">RAND()*(Validation[[#This Row],[Range1_High]]-Validation[[#This Row],[Range1_Low]])+Validation[[#This Row],[Range1_Low]]</f>
        <v>2.3227987344222023</v>
      </c>
      <c r="S396">
        <f>Validation[[#This Row],[Range2_High]]</f>
        <v>20</v>
      </c>
      <c r="T396" t="str" cm="1">
        <f t="array" aca="1" ref="T396" ca="1">RoundToTwoSigFigs(Validation[[#This Row],[Test Reading]]*Validation[[#This Row],[Mult]]+Validation[[#This Row],[Base]]) &amp;" "&amp;Validation[[#This Row],[Uncert_Units]]</f>
        <v>0.89 mV</v>
      </c>
      <c r="U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mV</v>
      </c>
      <c r="V396" t="b">
        <f ca="1">Validation[[#This Row],[Desired Result]]=Validation[[#This Row],[Result]]</f>
        <v>1</v>
      </c>
      <c r="W396" t="b">
        <v>1</v>
      </c>
      <c r="X396" t="b">
        <f>Validation[[#This Row],[Range1_Low]]&gt;=Validation[[#This Row],[Range1_High]]</f>
        <v>0</v>
      </c>
      <c r="Y396" s="111" t="s">
        <v>2843</v>
      </c>
    </row>
    <row r="397" spans="1:25" ht="15.75" thickTop="1" x14ac:dyDescent="0.25">
      <c r="A397" t="s">
        <v>54</v>
      </c>
      <c r="B397" t="s">
        <v>8</v>
      </c>
      <c r="C397">
        <v>0</v>
      </c>
      <c r="D397">
        <v>3.3009999999999998E-2</v>
      </c>
      <c r="E397">
        <v>1E-4</v>
      </c>
      <c r="F397" t="s">
        <v>6</v>
      </c>
      <c r="G397" t="s">
        <v>5</v>
      </c>
      <c r="H397">
        <v>0.01</v>
      </c>
      <c r="I397">
        <v>4.5010000000000001E-2</v>
      </c>
      <c r="J397" t="s">
        <v>10</v>
      </c>
      <c r="K397">
        <v>62.01</v>
      </c>
      <c r="L397">
        <v>1125.5</v>
      </c>
      <c r="M397">
        <v>61.999000000000002</v>
      </c>
      <c r="N397">
        <v>1123.8</v>
      </c>
      <c r="O397" t="s">
        <v>2833</v>
      </c>
      <c r="P397" t="s">
        <v>2833</v>
      </c>
      <c r="Q397" t="s">
        <v>2833</v>
      </c>
      <c r="R397">
        <f ca="1">RAND()*(Validation[[#This Row],[Range1_High]]-Validation[[#This Row],[Range1_Low]])+Validation[[#This Row],[Range1_Low]]</f>
        <v>3.213462022767602E-2</v>
      </c>
      <c r="S397">
        <f>Validation[[#This Row],[Range2_High]]</f>
        <v>4.5010000000000001E-2</v>
      </c>
      <c r="T397" t="str" cm="1">
        <f t="array" aca="1" ref="T397" ca="1">RoundToTwoSigFigs(Validation[[#This Row],[Test Reading]]*Validation[[#This Row],[Mult]]+Validation[[#This Row],[Base]]) &amp;" "&amp;Validation[[#This Row],[Uncert_Units]]</f>
        <v>98 µV</v>
      </c>
      <c r="U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µV</v>
      </c>
      <c r="V397" t="b">
        <f ca="1">Validation[[#This Row],[Desired Result]]=Validation[[#This Row],[Result]]</f>
        <v>1</v>
      </c>
      <c r="W397" t="b">
        <v>0</v>
      </c>
      <c r="X397" t="b">
        <f>Validation[[#This Row],[Range1_Low]]&gt;=Validation[[#This Row],[Range1_High]]</f>
        <v>0</v>
      </c>
      <c r="Y397" s="111" t="s">
        <v>2845</v>
      </c>
    </row>
    <row r="398" spans="1:25" x14ac:dyDescent="0.25">
      <c r="A398" t="s">
        <v>54</v>
      </c>
      <c r="B398" t="s">
        <v>8</v>
      </c>
      <c r="C398">
        <v>0.33</v>
      </c>
      <c r="D398">
        <v>3.3001</v>
      </c>
      <c r="E398">
        <v>0.1</v>
      </c>
      <c r="F398" t="s">
        <v>6</v>
      </c>
      <c r="G398" t="s">
        <v>4</v>
      </c>
      <c r="H398">
        <v>10</v>
      </c>
      <c r="I398">
        <v>20.010000000000002</v>
      </c>
      <c r="J398" t="s">
        <v>10</v>
      </c>
      <c r="K398">
        <v>57.994</v>
      </c>
      <c r="L398">
        <v>2.1455999999999999E-2</v>
      </c>
      <c r="M398">
        <v>57.994</v>
      </c>
      <c r="N398">
        <v>2.1426000000000001E-2</v>
      </c>
      <c r="O398" t="s">
        <v>2833</v>
      </c>
      <c r="P398" t="s">
        <v>2833</v>
      </c>
      <c r="Q398" t="s">
        <v>2833</v>
      </c>
      <c r="R398">
        <f ca="1">RAND()*(Validation[[#This Row],[Range1_High]]-Validation[[#This Row],[Range1_Low]])+Validation[[#This Row],[Range1_Low]]</f>
        <v>2.5627782612794383</v>
      </c>
      <c r="S398">
        <f>Validation[[#This Row],[Range2_High]]</f>
        <v>20.010000000000002</v>
      </c>
      <c r="T398" t="str" cm="1">
        <f t="array" aca="1" ref="T398" ca="1">RoundToTwoSigFigs(Validation[[#This Row],[Test Reading]]*Validation[[#This Row],[Mult]]+Validation[[#This Row],[Base]]) &amp;" "&amp;Validation[[#This Row],[Uncert_Units]]</f>
        <v>58 mV</v>
      </c>
      <c r="U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398" t="b">
        <f ca="1">Validation[[#This Row],[Desired Result]]=Validation[[#This Row],[Result]]</f>
        <v>1</v>
      </c>
      <c r="W398" t="b">
        <v>0</v>
      </c>
      <c r="X398" t="b">
        <f>Validation[[#This Row],[Range1_Low]]&gt;=Validation[[#This Row],[Range1_High]]</f>
        <v>0</v>
      </c>
      <c r="Y398" s="111" t="s">
        <v>2845</v>
      </c>
    </row>
    <row r="399" spans="1:25" ht="15.75" thickBot="1" x14ac:dyDescent="0.3">
      <c r="A399" t="s">
        <v>55</v>
      </c>
      <c r="B399" t="s">
        <v>8</v>
      </c>
      <c r="C399">
        <v>0.1</v>
      </c>
      <c r="D399">
        <v>1</v>
      </c>
      <c r="E399">
        <v>0.01</v>
      </c>
      <c r="F399" t="s">
        <v>6</v>
      </c>
      <c r="G399" t="s">
        <v>4</v>
      </c>
      <c r="H399">
        <v>8000</v>
      </c>
      <c r="I399">
        <v>10000</v>
      </c>
      <c r="J399" t="s">
        <v>10</v>
      </c>
      <c r="K399">
        <v>4.5999999999999996</v>
      </c>
      <c r="L399">
        <v>170.23</v>
      </c>
      <c r="M399">
        <v>2.0278</v>
      </c>
      <c r="N399">
        <v>172.49</v>
      </c>
      <c r="O399" t="s">
        <v>2833</v>
      </c>
      <c r="P399" t="s">
        <v>2833</v>
      </c>
      <c r="Q399" t="s">
        <v>2833</v>
      </c>
      <c r="R399">
        <f ca="1">RAND()*(Validation[[#This Row],[Range1_High]]-Validation[[#This Row],[Range1_Low]])+Validation[[#This Row],[Range1_Low]]</f>
        <v>0.14715855033997419</v>
      </c>
      <c r="S399">
        <f>Validation[[#This Row],[Range2_High]]</f>
        <v>10000</v>
      </c>
      <c r="T399" t="str" cm="1">
        <f t="array" aca="1" ref="T399" ca="1">RoundToTwoSigFigs(Validation[[#This Row],[Test Reading]]*Validation[[#This Row],[Mult]]+Validation[[#This Row],[Base]]) &amp;" "&amp;Validation[[#This Row],[Uncert_Units]]</f>
        <v>30 mV</v>
      </c>
      <c r="U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V399" t="b">
        <f ca="1">Validation[[#This Row],[Desired Result]]=Validation[[#This Row],[Result]]</f>
        <v>1</v>
      </c>
      <c r="W399" t="b">
        <v>1</v>
      </c>
      <c r="X399" t="b">
        <f>Validation[[#This Row],[Range1_Low]]&gt;=Validation[[#This Row],[Range1_High]]</f>
        <v>0</v>
      </c>
      <c r="Y399" s="111" t="s">
        <v>2845</v>
      </c>
    </row>
    <row r="400" spans="1:25" ht="16.5" thickTop="1" thickBot="1" x14ac:dyDescent="0.3">
      <c r="A400" t="s">
        <v>68</v>
      </c>
      <c r="B400" t="s">
        <v>8</v>
      </c>
      <c r="C400" s="113">
        <v>1</v>
      </c>
      <c r="D400" s="113">
        <v>10</v>
      </c>
      <c r="E400">
        <v>0.1</v>
      </c>
      <c r="F400" t="s">
        <v>6</v>
      </c>
      <c r="G400" t="s">
        <v>4</v>
      </c>
      <c r="H400">
        <v>2</v>
      </c>
      <c r="I400">
        <v>20</v>
      </c>
      <c r="J400" t="s">
        <v>10</v>
      </c>
      <c r="K400">
        <v>58.073</v>
      </c>
      <c r="L400">
        <v>0.51336999999999999</v>
      </c>
      <c r="M400">
        <v>58.064</v>
      </c>
      <c r="N400">
        <v>0.51215999999999995</v>
      </c>
      <c r="O400" t="s">
        <v>2833</v>
      </c>
      <c r="P400" t="s">
        <v>2833</v>
      </c>
      <c r="Q400" t="s">
        <v>2833</v>
      </c>
      <c r="R400">
        <f ca="1">RAND()*(Validation[[#This Row],[Range1_High]]-Validation[[#This Row],[Range1_Low]])+Validation[[#This Row],[Range1_Low]]</f>
        <v>2.9884172798142212</v>
      </c>
      <c r="S400">
        <f>Validation[[#This Row],[Range2_High]]</f>
        <v>20</v>
      </c>
      <c r="T400" t="str" cm="1">
        <f t="array" aca="1" ref="T400" ca="1">RoundToTwoSigFigs(Validation[[#This Row],[Test Reading]]*Validation[[#This Row],[Mult]]+Validation[[#This Row],[Base]]) &amp;" "&amp;Validation[[#This Row],[Uncert_Units]]</f>
        <v>60 mV</v>
      </c>
      <c r="U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V400" t="b">
        <f ca="1">Validation[[#This Row],[Desired Result]]=Validation[[#This Row],[Result]]</f>
        <v>1</v>
      </c>
      <c r="W400" t="b">
        <v>1</v>
      </c>
      <c r="X400" t="b">
        <f>Validation[[#This Row],[Range1_Low]]&gt;=Validation[[#This Row],[Range1_High]]</f>
        <v>0</v>
      </c>
      <c r="Y400" s="111" t="s">
        <v>2843</v>
      </c>
    </row>
    <row r="401" spans="1:25" ht="15.75" thickTop="1" x14ac:dyDescent="0.25">
      <c r="A401" t="s">
        <v>55</v>
      </c>
      <c r="B401" t="s">
        <v>8</v>
      </c>
      <c r="C401">
        <v>0</v>
      </c>
      <c r="D401">
        <v>0.01</v>
      </c>
      <c r="E401">
        <v>1E-3</v>
      </c>
      <c r="F401" t="s">
        <v>6</v>
      </c>
      <c r="G401" t="s">
        <v>5</v>
      </c>
      <c r="H401">
        <v>100</v>
      </c>
      <c r="I401">
        <v>300</v>
      </c>
      <c r="J401" t="s">
        <v>10</v>
      </c>
      <c r="K401">
        <v>575.77</v>
      </c>
      <c r="L401">
        <v>16511</v>
      </c>
      <c r="M401">
        <v>573.27</v>
      </c>
      <c r="N401">
        <v>16507</v>
      </c>
      <c r="O401" t="s">
        <v>2833</v>
      </c>
      <c r="P401" t="s">
        <v>2833</v>
      </c>
      <c r="Q401" t="s">
        <v>2833</v>
      </c>
      <c r="R401">
        <f ca="1">RAND()*(Validation[[#This Row],[Range1_High]]-Validation[[#This Row],[Range1_Low]])+Validation[[#This Row],[Range1_Low]]</f>
        <v>7.7867670461960478E-3</v>
      </c>
      <c r="S401">
        <f>Validation[[#This Row],[Range2_High]]</f>
        <v>300</v>
      </c>
      <c r="T401" t="str" cm="1">
        <f t="array" aca="1" ref="T401" ca="1">RoundToTwoSigFigs(Validation[[#This Row],[Test Reading]]*Validation[[#This Row],[Mult]]+Validation[[#This Row],[Base]]) &amp;" "&amp;Validation[[#This Row],[Uncert_Units]]</f>
        <v>700 µV</v>
      </c>
      <c r="U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V401" t="b">
        <f ca="1">Validation[[#This Row],[Desired Result]]=Validation[[#This Row],[Result]]</f>
        <v>0</v>
      </c>
      <c r="W401" t="b">
        <v>1</v>
      </c>
      <c r="X401" t="b">
        <f>Validation[[#This Row],[Range1_Low]]&gt;=Validation[[#This Row],[Range1_High]]</f>
        <v>0</v>
      </c>
      <c r="Y401" s="111" t="s">
        <v>2845</v>
      </c>
    </row>
    <row r="402" spans="1:25" x14ac:dyDescent="0.25">
      <c r="A402" t="s">
        <v>55</v>
      </c>
      <c r="B402" t="s">
        <v>8</v>
      </c>
      <c r="C402">
        <v>0</v>
      </c>
      <c r="D402">
        <v>0.01</v>
      </c>
      <c r="E402">
        <v>9.9999999999999995E-8</v>
      </c>
      <c r="F402" t="s">
        <v>6</v>
      </c>
      <c r="G402" t="s">
        <v>5</v>
      </c>
      <c r="H402">
        <v>50</v>
      </c>
      <c r="I402">
        <v>100</v>
      </c>
      <c r="J402" t="s">
        <v>10</v>
      </c>
      <c r="K402">
        <v>8.8000000000000007</v>
      </c>
      <c r="L402">
        <v>5147.5</v>
      </c>
      <c r="M402">
        <v>8.3102999999999998</v>
      </c>
      <c r="N402">
        <v>5147.5</v>
      </c>
      <c r="O402" t="s">
        <v>2833</v>
      </c>
      <c r="P402" t="s">
        <v>2833</v>
      </c>
      <c r="Q402" t="s">
        <v>2833</v>
      </c>
      <c r="R402">
        <f ca="1">RAND()*(Validation[[#This Row],[Range1_High]]-Validation[[#This Row],[Range1_Low]])+Validation[[#This Row],[Range1_Low]]</f>
        <v>7.6764502008078053E-4</v>
      </c>
      <c r="S402">
        <f>Validation[[#This Row],[Range2_High]]</f>
        <v>100</v>
      </c>
      <c r="T402" t="str" cm="1">
        <f t="array" aca="1" ref="T402" ca="1">RoundToTwoSigFigs(Validation[[#This Row],[Test Reading]]*Validation[[#This Row],[Mult]]+Validation[[#This Row],[Base]]) &amp;" "&amp;Validation[[#This Row],[Uncert_Units]]</f>
        <v>13 µV</v>
      </c>
      <c r="U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µV</v>
      </c>
      <c r="V402" t="b">
        <f ca="1">Validation[[#This Row],[Desired Result]]=Validation[[#This Row],[Result]]</f>
        <v>0</v>
      </c>
      <c r="W402" t="b">
        <v>1</v>
      </c>
      <c r="X402" t="b">
        <f>Validation[[#This Row],[Range1_Low]]&gt;=Validation[[#This Row],[Range1_High]]</f>
        <v>0</v>
      </c>
      <c r="Y402" s="111" t="s">
        <v>2845</v>
      </c>
    </row>
    <row r="403" spans="1:25" ht="15.75" thickBot="1" x14ac:dyDescent="0.3">
      <c r="A403" t="s">
        <v>54</v>
      </c>
      <c r="B403" t="s">
        <v>8</v>
      </c>
      <c r="C403">
        <v>0.33</v>
      </c>
      <c r="D403">
        <v>3.3001</v>
      </c>
      <c r="E403">
        <v>0.1</v>
      </c>
      <c r="F403" t="s">
        <v>6</v>
      </c>
      <c r="G403" t="s">
        <v>4</v>
      </c>
      <c r="H403">
        <v>500</v>
      </c>
      <c r="I403">
        <v>501</v>
      </c>
      <c r="J403" t="s">
        <v>10</v>
      </c>
      <c r="K403">
        <v>57.706000000000003</v>
      </c>
      <c r="L403">
        <v>1.1207</v>
      </c>
      <c r="M403">
        <v>57.704999999999998</v>
      </c>
      <c r="N403">
        <v>1.1204000000000001</v>
      </c>
      <c r="O403" t="s">
        <v>2833</v>
      </c>
      <c r="P403" t="s">
        <v>2833</v>
      </c>
      <c r="Q403" t="s">
        <v>2833</v>
      </c>
      <c r="R403">
        <f ca="1">RAND()*(Validation[[#This Row],[Range1_High]]-Validation[[#This Row],[Range1_Low]])+Validation[[#This Row],[Range1_Low]]</f>
        <v>2.4003044948433354</v>
      </c>
      <c r="S403">
        <f>Validation[[#This Row],[Range2_High]]</f>
        <v>501</v>
      </c>
      <c r="T403" t="str" cm="1">
        <f t="array" aca="1" ref="T403" ca="1">RoundToTwoSigFigs(Validation[[#This Row],[Test Reading]]*Validation[[#This Row],[Mult]]+Validation[[#This Row],[Base]]) &amp;" "&amp;Validation[[#This Row],[Uncert_Units]]</f>
        <v>60 mV</v>
      </c>
      <c r="U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V403" t="b">
        <f ca="1">Validation[[#This Row],[Desired Result]]=Validation[[#This Row],[Result]]</f>
        <v>1</v>
      </c>
      <c r="W403" t="b">
        <v>0</v>
      </c>
      <c r="X403" t="b">
        <f>Validation[[#This Row],[Range1_Low]]&gt;=Validation[[#This Row],[Range1_High]]</f>
        <v>0</v>
      </c>
      <c r="Y403" s="111" t="s">
        <v>2845</v>
      </c>
    </row>
    <row r="404" spans="1:25" ht="16.5" thickTop="1" thickBot="1" x14ac:dyDescent="0.3">
      <c r="A404" t="s">
        <v>55</v>
      </c>
      <c r="B404" t="s">
        <v>8</v>
      </c>
      <c r="C404" s="113">
        <v>0.01</v>
      </c>
      <c r="D404" s="113">
        <v>0.1</v>
      </c>
      <c r="E404">
        <v>1E-3</v>
      </c>
      <c r="F404" t="s">
        <v>6</v>
      </c>
      <c r="G404" t="s">
        <v>5</v>
      </c>
      <c r="H404">
        <v>2000</v>
      </c>
      <c r="I404">
        <v>4000</v>
      </c>
      <c r="J404" t="s">
        <v>10</v>
      </c>
      <c r="K404">
        <v>354.54</v>
      </c>
      <c r="L404">
        <v>43842</v>
      </c>
      <c r="M404">
        <v>330.66</v>
      </c>
      <c r="N404">
        <v>43842</v>
      </c>
      <c r="O404" t="s">
        <v>2833</v>
      </c>
      <c r="P404" t="s">
        <v>2833</v>
      </c>
      <c r="Q404" t="s">
        <v>2833</v>
      </c>
      <c r="R404">
        <f ca="1">RAND()*(Validation[[#This Row],[Range1_High]]-Validation[[#This Row],[Range1_Low]])+Validation[[#This Row],[Range1_Low]]</f>
        <v>3.6546797353226405E-2</v>
      </c>
      <c r="S404">
        <f>Validation[[#This Row],[Range2_High]]</f>
        <v>4000</v>
      </c>
      <c r="T404" t="str" cm="1">
        <f t="array" aca="1" ref="T404" ca="1">RoundToTwoSigFigs(Validation[[#This Row],[Test Reading]]*Validation[[#This Row],[Mult]]+Validation[[#This Row],[Base]]) &amp;" "&amp;Validation[[#This Row],[Uncert_Units]]</f>
        <v>2000 µV</v>
      </c>
      <c r="U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V404" t="b">
        <f ca="1">Validation[[#This Row],[Desired Result]]=Validation[[#This Row],[Result]]</f>
        <v>1</v>
      </c>
      <c r="W404" t="b">
        <v>1</v>
      </c>
      <c r="X404" t="b">
        <f>Validation[[#This Row],[Range1_Low]]&gt;=Validation[[#This Row],[Range1_High]]</f>
        <v>0</v>
      </c>
      <c r="Y404" s="111" t="s">
        <v>2843</v>
      </c>
    </row>
    <row r="405" spans="1:25" ht="16.5" thickTop="1" thickBot="1" x14ac:dyDescent="0.3">
      <c r="A405" t="s">
        <v>55</v>
      </c>
      <c r="B405" t="s">
        <v>8</v>
      </c>
      <c r="C405">
        <v>330</v>
      </c>
      <c r="D405">
        <v>1000</v>
      </c>
      <c r="E405">
        <v>0.1</v>
      </c>
      <c r="F405" t="s">
        <v>6</v>
      </c>
      <c r="G405" t="s">
        <v>4</v>
      </c>
      <c r="H405">
        <v>0.04</v>
      </c>
      <c r="I405">
        <v>1</v>
      </c>
      <c r="J405" t="s">
        <v>10</v>
      </c>
      <c r="K405">
        <v>45.920999999999999</v>
      </c>
      <c r="L405">
        <v>0.44399</v>
      </c>
      <c r="M405">
        <v>45.854999999999997</v>
      </c>
      <c r="N405">
        <v>0.44402000000000003</v>
      </c>
      <c r="O405" t="s">
        <v>2833</v>
      </c>
      <c r="P405" t="s">
        <v>2833</v>
      </c>
      <c r="Q405" t="s">
        <v>2833</v>
      </c>
      <c r="R405">
        <f ca="1">RAND()*(Validation[[#This Row],[Range1_High]]-Validation[[#This Row],[Range1_Low]])+Validation[[#This Row],[Range1_Low]]</f>
        <v>950.81370915816149</v>
      </c>
      <c r="S405">
        <f>Validation[[#This Row],[Range2_High]]</f>
        <v>1</v>
      </c>
      <c r="T405" t="str" cm="1">
        <f t="array" aca="1" ref="T405" ca="1">RoundToTwoSigFigs(Validation[[#This Row],[Test Reading]]*Validation[[#This Row],[Mult]]+Validation[[#This Row],[Base]]) &amp;" "&amp;Validation[[#This Row],[Uncert_Units]]</f>
        <v>470 mV</v>
      </c>
      <c r="U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V405" t="b">
        <f ca="1">Validation[[#This Row],[Desired Result]]=Validation[[#This Row],[Result]]</f>
        <v>0</v>
      </c>
      <c r="W405" t="b">
        <v>1</v>
      </c>
      <c r="X405" t="b">
        <f>Validation[[#This Row],[Range1_Low]]&gt;=Validation[[#This Row],[Range1_High]]</f>
        <v>0</v>
      </c>
      <c r="Y405" s="111" t="s">
        <v>2845</v>
      </c>
    </row>
    <row r="406" spans="1:25" ht="16.5" thickTop="1" thickBot="1" x14ac:dyDescent="0.3">
      <c r="A406" t="s">
        <v>54</v>
      </c>
      <c r="B406" t="s">
        <v>8</v>
      </c>
      <c r="C406" s="113">
        <v>0.33</v>
      </c>
      <c r="D406" s="113">
        <v>3.3001</v>
      </c>
      <c r="E406">
        <v>1E-3</v>
      </c>
      <c r="F406" t="s">
        <v>6</v>
      </c>
      <c r="G406" t="s">
        <v>4</v>
      </c>
      <c r="H406">
        <v>100</v>
      </c>
      <c r="I406">
        <v>500</v>
      </c>
      <c r="J406" t="s">
        <v>10</v>
      </c>
      <c r="K406">
        <v>1.1000000000000001</v>
      </c>
      <c r="L406">
        <v>5.7778</v>
      </c>
      <c r="M406">
        <v>1.0964</v>
      </c>
      <c r="N406">
        <v>5.7779999999999996</v>
      </c>
      <c r="O406" t="s">
        <v>2833</v>
      </c>
      <c r="P406" t="s">
        <v>2833</v>
      </c>
      <c r="Q406" t="s">
        <v>2833</v>
      </c>
      <c r="R406">
        <f ca="1">RAND()*(Validation[[#This Row],[Range1_High]]-Validation[[#This Row],[Range1_Low]])+Validation[[#This Row],[Range1_Low]]</f>
        <v>0.34226346155430987</v>
      </c>
      <c r="S406">
        <f>Validation[[#This Row],[Range2_High]]</f>
        <v>500</v>
      </c>
      <c r="T406" t="str" cm="1">
        <f t="array" aca="1" ref="T406" ca="1">RoundToTwoSigFigs(Validation[[#This Row],[Test Reading]]*Validation[[#This Row],[Mult]]+Validation[[#This Row],[Base]]) &amp;" "&amp;Validation[[#This Row],[Uncert_Units]]</f>
        <v>3.1 mV</v>
      </c>
      <c r="U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mV</v>
      </c>
      <c r="V406" t="b">
        <f ca="1">Validation[[#This Row],[Desired Result]]=Validation[[#This Row],[Result]]</f>
        <v>1</v>
      </c>
      <c r="W406" t="b">
        <v>1</v>
      </c>
      <c r="X406" t="b">
        <f>Validation[[#This Row],[Range1_Low]]&gt;=Validation[[#This Row],[Range1_High]]</f>
        <v>0</v>
      </c>
      <c r="Y406" s="111" t="s">
        <v>2843</v>
      </c>
    </row>
    <row r="407" spans="1:25" ht="16.5" thickTop="1" thickBot="1" x14ac:dyDescent="0.3">
      <c r="A407" t="s">
        <v>55</v>
      </c>
      <c r="B407" t="s">
        <v>8</v>
      </c>
      <c r="C407" s="113">
        <v>0.1</v>
      </c>
      <c r="D407" s="113">
        <v>1</v>
      </c>
      <c r="E407">
        <v>1.0000000000000001E-5</v>
      </c>
      <c r="F407" t="s">
        <v>6</v>
      </c>
      <c r="G407" t="s">
        <v>5</v>
      </c>
      <c r="H407">
        <v>1000</v>
      </c>
      <c r="I407">
        <v>2000</v>
      </c>
      <c r="J407" t="s">
        <v>10</v>
      </c>
      <c r="K407">
        <v>590</v>
      </c>
      <c r="L407">
        <v>17152</v>
      </c>
      <c r="M407">
        <v>108.38</v>
      </c>
      <c r="N407">
        <v>17479</v>
      </c>
      <c r="O407" t="s">
        <v>2833</v>
      </c>
      <c r="P407" t="s">
        <v>2833</v>
      </c>
      <c r="Q407" t="s">
        <v>2833</v>
      </c>
      <c r="R407">
        <f ca="1">RAND()*(Validation[[#This Row],[Range1_High]]-Validation[[#This Row],[Range1_Low]])+Validation[[#This Row],[Range1_Low]]</f>
        <v>0.10991967417297778</v>
      </c>
      <c r="S407">
        <f>Validation[[#This Row],[Range2_High]]</f>
        <v>2000</v>
      </c>
      <c r="T407" t="str" cm="1">
        <f t="array" aca="1" ref="T407" ca="1">RoundToTwoSigFigs(Validation[[#This Row],[Test Reading]]*Validation[[#This Row],[Mult]]+Validation[[#This Row],[Base]]) &amp;" "&amp;Validation[[#This Row],[Uncert_Units]]</f>
        <v>2500 µV</v>
      </c>
      <c r="U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V407" t="b">
        <f ca="1">Validation[[#This Row],[Desired Result]]=Validation[[#This Row],[Result]]</f>
        <v>1</v>
      </c>
      <c r="W407" t="b">
        <v>1</v>
      </c>
      <c r="X407" t="b">
        <f>Validation[[#This Row],[Range1_Low]]&gt;=Validation[[#This Row],[Range1_High]]</f>
        <v>0</v>
      </c>
      <c r="Y407" s="111" t="s">
        <v>2843</v>
      </c>
    </row>
    <row r="408" spans="1:25" ht="15.75" thickTop="1" x14ac:dyDescent="0.25">
      <c r="A408" t="s">
        <v>68</v>
      </c>
      <c r="B408" t="s">
        <v>8</v>
      </c>
      <c r="C408">
        <v>0.1</v>
      </c>
      <c r="D408">
        <v>1</v>
      </c>
      <c r="E408">
        <v>0.1</v>
      </c>
      <c r="F408" t="s">
        <v>6</v>
      </c>
      <c r="G408" t="s">
        <v>5</v>
      </c>
      <c r="H408">
        <v>2</v>
      </c>
      <c r="I408">
        <v>20</v>
      </c>
      <c r="J408" t="s">
        <v>10</v>
      </c>
      <c r="K408">
        <v>57739</v>
      </c>
      <c r="L408">
        <v>53.381</v>
      </c>
      <c r="M408">
        <v>57739</v>
      </c>
      <c r="N408">
        <v>53.128</v>
      </c>
      <c r="O408" t="s">
        <v>2833</v>
      </c>
      <c r="P408" t="s">
        <v>2833</v>
      </c>
      <c r="Q408" t="s">
        <v>2833</v>
      </c>
      <c r="R408">
        <f ca="1">RAND()*(Validation[[#This Row],[Range1_High]]-Validation[[#This Row],[Range1_Low]])+Validation[[#This Row],[Range1_Low]]</f>
        <v>0.56746420043072276</v>
      </c>
      <c r="S408">
        <f>Validation[[#This Row],[Range2_High]]</f>
        <v>20</v>
      </c>
      <c r="T408" t="str" cm="1">
        <f t="array" aca="1" ref="T408" ca="1">RoundToTwoSigFigs(Validation[[#This Row],[Test Reading]]*Validation[[#This Row],[Mult]]+Validation[[#This Row],[Base]]) &amp;" "&amp;Validation[[#This Row],[Uncert_Units]]</f>
        <v>58000 µV</v>
      </c>
      <c r="U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408" t="b">
        <f ca="1">Validation[[#This Row],[Desired Result]]=Validation[[#This Row],[Result]]</f>
        <v>1</v>
      </c>
      <c r="W408" t="b">
        <v>0</v>
      </c>
      <c r="X408" t="b">
        <f>Validation[[#This Row],[Range1_Low]]&gt;=Validation[[#This Row],[Range1_High]]</f>
        <v>0</v>
      </c>
      <c r="Y408" s="111" t="s">
        <v>2845</v>
      </c>
    </row>
    <row r="409" spans="1:25" ht="15.75" thickBot="1" x14ac:dyDescent="0.3">
      <c r="A409" t="s">
        <v>55</v>
      </c>
      <c r="B409" t="s">
        <v>8</v>
      </c>
      <c r="C409">
        <v>0</v>
      </c>
      <c r="D409">
        <v>0.01</v>
      </c>
      <c r="E409">
        <v>1</v>
      </c>
      <c r="F409" t="s">
        <v>6</v>
      </c>
      <c r="G409" t="s">
        <v>5</v>
      </c>
      <c r="H409">
        <v>1000</v>
      </c>
      <c r="I409">
        <v>4000</v>
      </c>
      <c r="J409" t="s">
        <v>10</v>
      </c>
      <c r="K409">
        <v>577360</v>
      </c>
      <c r="L409">
        <v>59.02</v>
      </c>
      <c r="M409">
        <v>577350</v>
      </c>
      <c r="N409">
        <v>58.277999999999999</v>
      </c>
      <c r="O409" t="s">
        <v>2833</v>
      </c>
      <c r="P409" t="s">
        <v>2833</v>
      </c>
      <c r="Q409" t="s">
        <v>2833</v>
      </c>
      <c r="R409">
        <f ca="1">RAND()*(Validation[[#This Row],[Range1_High]]-Validation[[#This Row],[Range1_Low]])+Validation[[#This Row],[Range1_Low]]</f>
        <v>6.1342711507742951E-4</v>
      </c>
      <c r="S409">
        <f>Validation[[#This Row],[Range2_High]]</f>
        <v>4000</v>
      </c>
      <c r="T409" t="str" cm="1">
        <f t="array" aca="1" ref="T409" ca="1">RoundToTwoSigFigs(Validation[[#This Row],[Test Reading]]*Validation[[#This Row],[Mult]]+Validation[[#This Row],[Base]]) &amp;" "&amp;Validation[[#This Row],[Uncert_Units]]</f>
        <v>580000 µV</v>
      </c>
      <c r="U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409" t="b">
        <f ca="1">Validation[[#This Row],[Desired Result]]=Validation[[#This Row],[Result]]</f>
        <v>1</v>
      </c>
      <c r="W409" t="b">
        <v>0</v>
      </c>
      <c r="X409" t="b">
        <f>Validation[[#This Row],[Range1_Low]]&gt;=Validation[[#This Row],[Range1_High]]</f>
        <v>0</v>
      </c>
      <c r="Y409" s="111" t="s">
        <v>2845</v>
      </c>
    </row>
    <row r="410" spans="1:25" ht="16.5" thickTop="1" thickBot="1" x14ac:dyDescent="0.3">
      <c r="A410" t="s">
        <v>54</v>
      </c>
      <c r="B410" t="s">
        <v>8</v>
      </c>
      <c r="C410" s="113">
        <v>0.33</v>
      </c>
      <c r="D410" s="113">
        <v>3.3001</v>
      </c>
      <c r="E410">
        <v>1E-3</v>
      </c>
      <c r="F410" t="s">
        <v>6</v>
      </c>
      <c r="G410" t="s">
        <v>4</v>
      </c>
      <c r="H410">
        <v>50</v>
      </c>
      <c r="I410">
        <v>100.01</v>
      </c>
      <c r="J410" t="s">
        <v>10</v>
      </c>
      <c r="K410">
        <v>0.38846000000000003</v>
      </c>
      <c r="L410">
        <v>2.6152000000000002</v>
      </c>
      <c r="M410">
        <v>0.38733000000000001</v>
      </c>
      <c r="N410">
        <v>2.6154000000000002</v>
      </c>
      <c r="O410" t="s">
        <v>2833</v>
      </c>
      <c r="P410" t="s">
        <v>2833</v>
      </c>
      <c r="Q410" t="s">
        <v>2833</v>
      </c>
      <c r="R410">
        <f ca="1">RAND()*(Validation[[#This Row],[Range1_High]]-Validation[[#This Row],[Range1_Low]])+Validation[[#This Row],[Range1_Low]]</f>
        <v>0.99438632111327685</v>
      </c>
      <c r="S410">
        <f>Validation[[#This Row],[Range2_High]]</f>
        <v>100.01</v>
      </c>
      <c r="T410" t="str" cm="1">
        <f t="array" aca="1" ref="T410" ca="1">RoundToTwoSigFigs(Validation[[#This Row],[Test Reading]]*Validation[[#This Row],[Mult]]+Validation[[#This Row],[Base]]) &amp;" "&amp;Validation[[#This Row],[Uncert_Units]]</f>
        <v>3 mV</v>
      </c>
      <c r="U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mV</v>
      </c>
      <c r="V410" t="b">
        <f ca="1">Validation[[#This Row],[Desired Result]]=Validation[[#This Row],[Result]]</f>
        <v>1</v>
      </c>
      <c r="W410" t="b">
        <v>1</v>
      </c>
      <c r="X410" t="b">
        <f>Validation[[#This Row],[Range1_Low]]&gt;=Validation[[#This Row],[Range1_High]]</f>
        <v>0</v>
      </c>
      <c r="Y410" s="111" t="s">
        <v>2843</v>
      </c>
    </row>
    <row r="411" spans="1:25" ht="16.5" thickTop="1" thickBot="1" x14ac:dyDescent="0.3">
      <c r="A411" t="s">
        <v>55</v>
      </c>
      <c r="B411" t="s">
        <v>8</v>
      </c>
      <c r="C411" s="113">
        <v>0.01</v>
      </c>
      <c r="D411" s="113">
        <v>0.1</v>
      </c>
      <c r="E411">
        <v>9.9999999999999995E-8</v>
      </c>
      <c r="F411" t="s">
        <v>6</v>
      </c>
      <c r="G411" t="s">
        <v>5</v>
      </c>
      <c r="H411">
        <v>1E-3</v>
      </c>
      <c r="I411">
        <v>0.04</v>
      </c>
      <c r="J411" t="s">
        <v>10</v>
      </c>
      <c r="K411">
        <v>5.4</v>
      </c>
      <c r="L411">
        <v>83.165999999999997</v>
      </c>
      <c r="M411">
        <v>5.3163</v>
      </c>
      <c r="N411">
        <v>83.162999999999997</v>
      </c>
      <c r="O411" t="s">
        <v>2833</v>
      </c>
      <c r="P411" t="s">
        <v>2833</v>
      </c>
      <c r="Q411" t="s">
        <v>2833</v>
      </c>
      <c r="R411">
        <f ca="1">RAND()*(Validation[[#This Row],[Range1_High]]-Validation[[#This Row],[Range1_Low]])+Validation[[#This Row],[Range1_Low]]</f>
        <v>2.8599935094922403E-2</v>
      </c>
      <c r="S411">
        <f>Validation[[#This Row],[Range2_High]]</f>
        <v>0.04</v>
      </c>
      <c r="T411" t="str" cm="1">
        <f t="array" aca="1" ref="T411" ca="1">RoundToTwoSigFigs(Validation[[#This Row],[Test Reading]]*Validation[[#This Row],[Mult]]+Validation[[#This Row],[Base]]) &amp;" "&amp;Validation[[#This Row],[Uncert_Units]]</f>
        <v>7.8 µV</v>
      </c>
      <c r="U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µV</v>
      </c>
      <c r="V411" t="b">
        <f ca="1">Validation[[#This Row],[Desired Result]]=Validation[[#This Row],[Result]]</f>
        <v>1</v>
      </c>
      <c r="W411" t="b">
        <v>1</v>
      </c>
      <c r="X411" t="b">
        <f>Validation[[#This Row],[Range1_Low]]&gt;=Validation[[#This Row],[Range1_High]]</f>
        <v>0</v>
      </c>
      <c r="Y411" s="111" t="s">
        <v>2843</v>
      </c>
    </row>
    <row r="412" spans="1:25" ht="16.5" thickTop="1" thickBot="1" x14ac:dyDescent="0.3">
      <c r="A412" t="s">
        <v>68</v>
      </c>
      <c r="B412" t="s">
        <v>8</v>
      </c>
      <c r="C412" s="113">
        <v>0.1</v>
      </c>
      <c r="D412" s="113">
        <v>1</v>
      </c>
      <c r="E412">
        <v>1.0000000000000001E-5</v>
      </c>
      <c r="F412" t="s">
        <v>6</v>
      </c>
      <c r="G412" t="s">
        <v>5</v>
      </c>
      <c r="H412">
        <v>2</v>
      </c>
      <c r="I412">
        <v>20</v>
      </c>
      <c r="J412" t="s">
        <v>10</v>
      </c>
      <c r="K412">
        <v>850</v>
      </c>
      <c r="L412">
        <v>1700</v>
      </c>
      <c r="M412">
        <v>808.55</v>
      </c>
      <c r="N412">
        <v>1738.9</v>
      </c>
      <c r="O412" t="s">
        <v>2833</v>
      </c>
      <c r="P412" t="s">
        <v>2833</v>
      </c>
      <c r="Q412" t="s">
        <v>2833</v>
      </c>
      <c r="R412">
        <f ca="1">RAND()*(Validation[[#This Row],[Range1_High]]-Validation[[#This Row],[Range1_Low]])+Validation[[#This Row],[Range1_Low]]</f>
        <v>0.4599249867643378</v>
      </c>
      <c r="S412">
        <f>Validation[[#This Row],[Range2_High]]</f>
        <v>20</v>
      </c>
      <c r="T412" t="str" cm="1">
        <f t="array" aca="1" ref="T412" ca="1">RoundToTwoSigFigs(Validation[[#This Row],[Test Reading]]*Validation[[#This Row],[Mult]]+Validation[[#This Row],[Base]]) &amp;" "&amp;Validation[[#This Row],[Uncert_Units]]</f>
        <v>1600 µV</v>
      </c>
      <c r="U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V412" t="b">
        <f ca="1">Validation[[#This Row],[Desired Result]]=Validation[[#This Row],[Result]]</f>
        <v>1</v>
      </c>
      <c r="W412" t="b">
        <v>1</v>
      </c>
      <c r="X412" t="b">
        <f>Validation[[#This Row],[Range1_Low]]&gt;=Validation[[#This Row],[Range1_High]]</f>
        <v>0</v>
      </c>
      <c r="Y412" s="111" t="s">
        <v>2843</v>
      </c>
    </row>
    <row r="413" spans="1:25" ht="16.5" thickTop="1" thickBot="1" x14ac:dyDescent="0.3">
      <c r="A413" t="s">
        <v>55</v>
      </c>
      <c r="B413" t="s">
        <v>8</v>
      </c>
      <c r="C413" s="113">
        <v>0.1</v>
      </c>
      <c r="D413" s="113">
        <v>1</v>
      </c>
      <c r="E413">
        <v>9.9999999999999995E-7</v>
      </c>
      <c r="F413" t="s">
        <v>6</v>
      </c>
      <c r="G413" t="s">
        <v>5</v>
      </c>
      <c r="H413">
        <v>1</v>
      </c>
      <c r="I413">
        <v>20</v>
      </c>
      <c r="J413" t="s">
        <v>10</v>
      </c>
      <c r="K413">
        <v>26</v>
      </c>
      <c r="L413">
        <v>160</v>
      </c>
      <c r="M413">
        <v>23.442</v>
      </c>
      <c r="N413">
        <v>161.34</v>
      </c>
      <c r="O413" t="s">
        <v>2833</v>
      </c>
      <c r="P413" t="s">
        <v>2833</v>
      </c>
      <c r="Q413" t="s">
        <v>2833</v>
      </c>
      <c r="R413">
        <f ca="1">RAND()*(Validation[[#This Row],[Range1_High]]-Validation[[#This Row],[Range1_Low]])+Validation[[#This Row],[Range1_Low]]</f>
        <v>0.84371314594548485</v>
      </c>
      <c r="S413">
        <f>Validation[[#This Row],[Range2_High]]</f>
        <v>20</v>
      </c>
      <c r="T413" t="str" cm="1">
        <f t="array" aca="1" ref="T413" ca="1">RoundToTwoSigFigs(Validation[[#This Row],[Test Reading]]*Validation[[#This Row],[Mult]]+Validation[[#This Row],[Base]]) &amp;" "&amp;Validation[[#This Row],[Uncert_Units]]</f>
        <v>160 µV</v>
      </c>
      <c r="U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V413" t="b">
        <f ca="1">Validation[[#This Row],[Desired Result]]=Validation[[#This Row],[Result]]</f>
        <v>0</v>
      </c>
      <c r="W413" t="b">
        <v>1</v>
      </c>
      <c r="X413" t="b">
        <f>Validation[[#This Row],[Range1_Low]]&gt;=Validation[[#This Row],[Range1_High]]</f>
        <v>0</v>
      </c>
      <c r="Y413" s="111" t="s">
        <v>2843</v>
      </c>
    </row>
    <row r="414" spans="1:25" ht="16.5" thickTop="1" thickBot="1" x14ac:dyDescent="0.3">
      <c r="A414" t="s">
        <v>55</v>
      </c>
      <c r="B414" t="s">
        <v>8</v>
      </c>
      <c r="C414">
        <v>0.1</v>
      </c>
      <c r="D414">
        <v>1</v>
      </c>
      <c r="E414">
        <v>0.01</v>
      </c>
      <c r="F414" t="s">
        <v>6</v>
      </c>
      <c r="G414" t="s">
        <v>4</v>
      </c>
      <c r="H414">
        <v>4000</v>
      </c>
      <c r="I414">
        <v>8000</v>
      </c>
      <c r="J414" t="s">
        <v>10</v>
      </c>
      <c r="K414">
        <v>3.6131000000000002</v>
      </c>
      <c r="L414">
        <v>43.981999999999999</v>
      </c>
      <c r="M414">
        <v>3.3780000000000001</v>
      </c>
      <c r="N414">
        <v>43.984000000000002</v>
      </c>
      <c r="O414" t="s">
        <v>2833</v>
      </c>
      <c r="P414" t="s">
        <v>2833</v>
      </c>
      <c r="Q414" t="s">
        <v>2833</v>
      </c>
      <c r="R414">
        <f ca="1">RAND()*(Validation[[#This Row],[Range1_High]]-Validation[[#This Row],[Range1_Low]])+Validation[[#This Row],[Range1_Low]]</f>
        <v>0.62602265887822373</v>
      </c>
      <c r="S414">
        <f>Validation[[#This Row],[Range2_High]]</f>
        <v>8000</v>
      </c>
      <c r="T414" t="str" cm="1">
        <f t="array" aca="1" ref="T414" ca="1">RoundToTwoSigFigs(Validation[[#This Row],[Test Reading]]*Validation[[#This Row],[Mult]]+Validation[[#This Row],[Base]]) &amp;" "&amp;Validation[[#This Row],[Uncert_Units]]</f>
        <v>31 mV</v>
      </c>
      <c r="U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V414" t="b">
        <f ca="1">Validation[[#This Row],[Desired Result]]=Validation[[#This Row],[Result]]</f>
        <v>1</v>
      </c>
      <c r="W414" t="b">
        <v>0</v>
      </c>
      <c r="X414" t="b">
        <f>Validation[[#This Row],[Range1_Low]]&gt;=Validation[[#This Row],[Range1_High]]</f>
        <v>0</v>
      </c>
      <c r="Y414" s="111" t="s">
        <v>2845</v>
      </c>
    </row>
    <row r="415" spans="1:25" ht="16.5" thickTop="1" thickBot="1" x14ac:dyDescent="0.3">
      <c r="A415" t="s">
        <v>55</v>
      </c>
      <c r="B415" t="s">
        <v>8</v>
      </c>
      <c r="C415" s="113">
        <v>0.1</v>
      </c>
      <c r="D415" s="113">
        <v>1</v>
      </c>
      <c r="E415">
        <v>9.9999999999999995E-8</v>
      </c>
      <c r="F415" t="s">
        <v>6</v>
      </c>
      <c r="G415" t="s">
        <v>5</v>
      </c>
      <c r="H415">
        <v>20</v>
      </c>
      <c r="I415">
        <v>50</v>
      </c>
      <c r="J415" t="s">
        <v>10</v>
      </c>
      <c r="K415">
        <v>24</v>
      </c>
      <c r="L415">
        <v>350</v>
      </c>
      <c r="M415">
        <v>23.379000000000001</v>
      </c>
      <c r="N415">
        <v>346.14</v>
      </c>
      <c r="O415" t="s">
        <v>2833</v>
      </c>
      <c r="P415" t="s">
        <v>2833</v>
      </c>
      <c r="Q415" t="s">
        <v>2833</v>
      </c>
      <c r="R415">
        <f ca="1">RAND()*(Validation[[#This Row],[Range1_High]]-Validation[[#This Row],[Range1_Low]])+Validation[[#This Row],[Range1_Low]]</f>
        <v>0.75111546323701739</v>
      </c>
      <c r="S415">
        <f>Validation[[#This Row],[Range2_High]]</f>
        <v>50</v>
      </c>
      <c r="T415" t="str" cm="1">
        <f t="array" aca="1" ref="T415" ca="1">RoundToTwoSigFigs(Validation[[#This Row],[Test Reading]]*Validation[[#This Row],[Mult]]+Validation[[#This Row],[Base]]) &amp;" "&amp;Validation[[#This Row],[Uncert_Units]]</f>
        <v>290 µV</v>
      </c>
      <c r="U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V415" t="b">
        <f ca="1">Validation[[#This Row],[Desired Result]]=Validation[[#This Row],[Result]]</f>
        <v>0</v>
      </c>
      <c r="W415" t="b">
        <v>1</v>
      </c>
      <c r="X415" t="b">
        <f>Validation[[#This Row],[Range1_Low]]&gt;=Validation[[#This Row],[Range1_High]]</f>
        <v>0</v>
      </c>
      <c r="Y415" s="111" t="s">
        <v>2843</v>
      </c>
    </row>
    <row r="416" spans="1:25" ht="16.5" thickTop="1" thickBot="1" x14ac:dyDescent="0.3">
      <c r="A416" t="s">
        <v>68</v>
      </c>
      <c r="B416" t="s">
        <v>8</v>
      </c>
      <c r="C416">
        <v>10</v>
      </c>
      <c r="D416">
        <v>100</v>
      </c>
      <c r="E416">
        <v>10</v>
      </c>
      <c r="F416" t="s">
        <v>6</v>
      </c>
      <c r="G416" t="s">
        <v>4</v>
      </c>
      <c r="H416">
        <v>0.04</v>
      </c>
      <c r="I416">
        <v>1</v>
      </c>
      <c r="J416" t="s">
        <v>10</v>
      </c>
      <c r="K416">
        <v>5773.6</v>
      </c>
      <c r="L416">
        <v>1.5076000000000001E-2</v>
      </c>
      <c r="M416">
        <v>5773.6</v>
      </c>
      <c r="N416">
        <v>1.4250000000000001E-2</v>
      </c>
      <c r="O416" t="s">
        <v>2833</v>
      </c>
      <c r="P416" t="s">
        <v>2833</v>
      </c>
      <c r="Q416" t="s">
        <v>2833</v>
      </c>
      <c r="R416">
        <f ca="1">RAND()*(Validation[[#This Row],[Range1_High]]-Validation[[#This Row],[Range1_Low]])+Validation[[#This Row],[Range1_Low]]</f>
        <v>91.359511380469101</v>
      </c>
      <c r="S416">
        <f>Validation[[#This Row],[Range2_High]]</f>
        <v>1</v>
      </c>
      <c r="T416" t="str" cm="1">
        <f t="array" aca="1" ref="T416" ca="1">RoundToTwoSigFigs(Validation[[#This Row],[Test Reading]]*Validation[[#This Row],[Mult]]+Validation[[#This Row],[Base]]) &amp;" "&amp;Validation[[#This Row],[Uncert_Units]]</f>
        <v>5800 mV</v>
      </c>
      <c r="U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416" t="b">
        <f ca="1">Validation[[#This Row],[Desired Result]]=Validation[[#This Row],[Result]]</f>
        <v>1</v>
      </c>
      <c r="W416" t="b">
        <v>0</v>
      </c>
      <c r="X416" t="b">
        <f>Validation[[#This Row],[Range1_Low]]&gt;=Validation[[#This Row],[Range1_High]]</f>
        <v>0</v>
      </c>
      <c r="Y416" s="111" t="s">
        <v>2845</v>
      </c>
    </row>
    <row r="417" spans="1:25" ht="16.5" thickTop="1" thickBot="1" x14ac:dyDescent="0.3">
      <c r="A417" t="s">
        <v>55</v>
      </c>
      <c r="B417" t="s">
        <v>8</v>
      </c>
      <c r="C417" s="113">
        <v>0.01</v>
      </c>
      <c r="D417" s="113">
        <v>0.1</v>
      </c>
      <c r="E417">
        <v>1E-4</v>
      </c>
      <c r="F417" t="s">
        <v>6</v>
      </c>
      <c r="G417" t="s">
        <v>5</v>
      </c>
      <c r="H417">
        <v>4000</v>
      </c>
      <c r="I417">
        <v>8000</v>
      </c>
      <c r="J417" t="s">
        <v>10</v>
      </c>
      <c r="K417">
        <v>120</v>
      </c>
      <c r="L417">
        <v>46000</v>
      </c>
      <c r="M417">
        <v>95.542000000000002</v>
      </c>
      <c r="N417">
        <v>46232</v>
      </c>
      <c r="O417" t="s">
        <v>2833</v>
      </c>
      <c r="P417" t="s">
        <v>2833</v>
      </c>
      <c r="Q417" t="s">
        <v>2833</v>
      </c>
      <c r="R417">
        <f ca="1">RAND()*(Validation[[#This Row],[Range1_High]]-Validation[[#This Row],[Range1_Low]])+Validation[[#This Row],[Range1_Low]]</f>
        <v>1.5625615406671862E-2</v>
      </c>
      <c r="S417">
        <f>Validation[[#This Row],[Range2_High]]</f>
        <v>8000</v>
      </c>
      <c r="T417" t="str" cm="1">
        <f t="array" aca="1" ref="T417" ca="1">RoundToTwoSigFigs(Validation[[#This Row],[Test Reading]]*Validation[[#This Row],[Mult]]+Validation[[#This Row],[Base]]) &amp;" "&amp;Validation[[#This Row],[Uncert_Units]]</f>
        <v>840 µV</v>
      </c>
      <c r="U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µV</v>
      </c>
      <c r="V417" t="b">
        <f ca="1">Validation[[#This Row],[Desired Result]]=Validation[[#This Row],[Result]]</f>
        <v>0</v>
      </c>
      <c r="W417" t="b">
        <v>1</v>
      </c>
      <c r="X417" t="b">
        <f>Validation[[#This Row],[Range1_Low]]&gt;=Validation[[#This Row],[Range1_High]]</f>
        <v>0</v>
      </c>
      <c r="Y417" s="111" t="s">
        <v>2843</v>
      </c>
    </row>
    <row r="418" spans="1:25" ht="16.5" thickTop="1" thickBot="1" x14ac:dyDescent="0.3">
      <c r="A418" t="s">
        <v>55</v>
      </c>
      <c r="B418" t="s">
        <v>8</v>
      </c>
      <c r="C418">
        <v>10</v>
      </c>
      <c r="D418">
        <v>20</v>
      </c>
      <c r="E418">
        <v>1</v>
      </c>
      <c r="F418" t="s">
        <v>6</v>
      </c>
      <c r="G418" t="s">
        <v>4</v>
      </c>
      <c r="H418">
        <v>0.04</v>
      </c>
      <c r="I418">
        <v>1</v>
      </c>
      <c r="J418" t="s">
        <v>10</v>
      </c>
      <c r="K418">
        <v>577.35</v>
      </c>
      <c r="L418">
        <v>2.4694999999999999E-3</v>
      </c>
      <c r="M418">
        <v>577.14</v>
      </c>
      <c r="N418">
        <v>2.3387E-3</v>
      </c>
      <c r="O418" t="s">
        <v>2833</v>
      </c>
      <c r="P418" t="s">
        <v>2833</v>
      </c>
      <c r="Q418" t="s">
        <v>2833</v>
      </c>
      <c r="R418">
        <f ca="1">RAND()*(Validation[[#This Row],[Range1_High]]-Validation[[#This Row],[Range1_Low]])+Validation[[#This Row],[Range1_Low]]</f>
        <v>17.324717769703128</v>
      </c>
      <c r="S418">
        <f>Validation[[#This Row],[Range2_High]]</f>
        <v>1</v>
      </c>
      <c r="T418" t="str" cm="1">
        <f t="array" aca="1" ref="T418" ca="1">RoundToTwoSigFigs(Validation[[#This Row],[Test Reading]]*Validation[[#This Row],[Mult]]+Validation[[#This Row],[Base]]) &amp;" "&amp;Validation[[#This Row],[Uncert_Units]]</f>
        <v>580 mV</v>
      </c>
      <c r="U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18" t="b">
        <f ca="1">Validation[[#This Row],[Desired Result]]=Validation[[#This Row],[Result]]</f>
        <v>1</v>
      </c>
      <c r="W418" t="b">
        <v>0</v>
      </c>
      <c r="X418" t="b">
        <f>Validation[[#This Row],[Range1_Low]]&gt;=Validation[[#This Row],[Range1_High]]</f>
        <v>0</v>
      </c>
      <c r="Y418" s="111" t="s">
        <v>2845</v>
      </c>
    </row>
    <row r="419" spans="1:25" ht="16.5" thickTop="1" thickBot="1" x14ac:dyDescent="0.3">
      <c r="A419" t="s">
        <v>55</v>
      </c>
      <c r="B419" t="s">
        <v>8</v>
      </c>
      <c r="C419" s="113">
        <v>10</v>
      </c>
      <c r="D419" s="113">
        <v>100</v>
      </c>
      <c r="E419">
        <v>1E-3</v>
      </c>
      <c r="F419" t="s">
        <v>6</v>
      </c>
      <c r="G419" t="s">
        <v>4</v>
      </c>
      <c r="H419">
        <v>100</v>
      </c>
      <c r="I419">
        <v>300</v>
      </c>
      <c r="J419" t="s">
        <v>10</v>
      </c>
      <c r="K419">
        <v>15</v>
      </c>
      <c r="L419">
        <v>4.6028000000000002</v>
      </c>
      <c r="M419">
        <v>11.576000000000001</v>
      </c>
      <c r="N419">
        <v>4.6268000000000002</v>
      </c>
      <c r="O419" t="s">
        <v>2833</v>
      </c>
      <c r="P419" t="s">
        <v>2833</v>
      </c>
      <c r="Q419" t="s">
        <v>2833</v>
      </c>
      <c r="R419">
        <f ca="1">RAND()*(Validation[[#This Row],[Range1_High]]-Validation[[#This Row],[Range1_Low]])+Validation[[#This Row],[Range1_Low]]</f>
        <v>57.080899360940599</v>
      </c>
      <c r="S419">
        <f>Validation[[#This Row],[Range2_High]]</f>
        <v>300</v>
      </c>
      <c r="T419" t="str" cm="1">
        <f t="array" aca="1" ref="T419" ca="1">RoundToTwoSigFigs(Validation[[#This Row],[Test Reading]]*Validation[[#This Row],[Mult]]+Validation[[#This Row],[Base]]) &amp;" "&amp;Validation[[#This Row],[Uncert_Units]]</f>
        <v>280 mV</v>
      </c>
      <c r="U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V419" t="b">
        <f ca="1">Validation[[#This Row],[Desired Result]]=Validation[[#This Row],[Result]]</f>
        <v>0</v>
      </c>
      <c r="W419" t="b">
        <v>1</v>
      </c>
      <c r="X419" t="b">
        <f>Validation[[#This Row],[Range1_Low]]&gt;=Validation[[#This Row],[Range1_High]]</f>
        <v>0</v>
      </c>
      <c r="Y419" s="111" t="s">
        <v>2843</v>
      </c>
    </row>
    <row r="420" spans="1:25" ht="16.5" thickTop="1" thickBot="1" x14ac:dyDescent="0.3">
      <c r="A420" t="s">
        <v>55</v>
      </c>
      <c r="B420" t="s">
        <v>8</v>
      </c>
      <c r="C420" s="113">
        <v>10</v>
      </c>
      <c r="D420" s="113">
        <v>20</v>
      </c>
      <c r="E420">
        <v>1E-3</v>
      </c>
      <c r="F420" t="s">
        <v>6</v>
      </c>
      <c r="G420" t="s">
        <v>4</v>
      </c>
      <c r="H420">
        <v>1E-3</v>
      </c>
      <c r="I420">
        <v>0.04</v>
      </c>
      <c r="J420" t="s">
        <v>10</v>
      </c>
      <c r="K420">
        <v>4.7</v>
      </c>
      <c r="L420">
        <v>0.23</v>
      </c>
      <c r="M420">
        <v>4.6486000000000001</v>
      </c>
      <c r="N420">
        <v>0.23230999999999999</v>
      </c>
      <c r="O420" t="s">
        <v>2833</v>
      </c>
      <c r="P420" t="s">
        <v>2833</v>
      </c>
      <c r="Q420" t="s">
        <v>2833</v>
      </c>
      <c r="R420">
        <f ca="1">RAND()*(Validation[[#This Row],[Range1_High]]-Validation[[#This Row],[Range1_Low]])+Validation[[#This Row],[Range1_Low]]</f>
        <v>17.625359796406293</v>
      </c>
      <c r="S420">
        <f>Validation[[#This Row],[Range2_High]]</f>
        <v>0.04</v>
      </c>
      <c r="T420" t="str" cm="1">
        <f t="array" aca="1" ref="T420" ca="1">RoundToTwoSigFigs(Validation[[#This Row],[Test Reading]]*Validation[[#This Row],[Mult]]+Validation[[#This Row],[Base]]) &amp;" "&amp;Validation[[#This Row],[Uncert_Units]]</f>
        <v>8.8 mV</v>
      </c>
      <c r="U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V420" t="b">
        <f ca="1">Validation[[#This Row],[Desired Result]]=Validation[[#This Row],[Result]]</f>
        <v>0</v>
      </c>
      <c r="W420" t="b">
        <v>1</v>
      </c>
      <c r="X420" t="b">
        <f>Validation[[#This Row],[Range1_Low]]&gt;=Validation[[#This Row],[Range1_High]]</f>
        <v>0</v>
      </c>
      <c r="Y420" s="111" t="s">
        <v>2843</v>
      </c>
    </row>
    <row r="421" spans="1:25" ht="16.5" thickTop="1" thickBot="1" x14ac:dyDescent="0.3">
      <c r="A421" t="s">
        <v>68</v>
      </c>
      <c r="B421" t="s">
        <v>8</v>
      </c>
      <c r="C421">
        <v>1</v>
      </c>
      <c r="D421">
        <v>10</v>
      </c>
      <c r="E421">
        <v>1</v>
      </c>
      <c r="F421" t="s">
        <v>6</v>
      </c>
      <c r="G421" t="s">
        <v>4</v>
      </c>
      <c r="H421">
        <v>2</v>
      </c>
      <c r="I421">
        <v>20</v>
      </c>
      <c r="J421" t="s">
        <v>10</v>
      </c>
      <c r="K421">
        <v>577.39</v>
      </c>
      <c r="L421">
        <v>5.4542E-2</v>
      </c>
      <c r="M421">
        <v>577.39</v>
      </c>
      <c r="N421">
        <v>5.3976000000000003E-2</v>
      </c>
      <c r="O421" t="s">
        <v>2833</v>
      </c>
      <c r="P421" t="s">
        <v>2833</v>
      </c>
      <c r="Q421" t="s">
        <v>2833</v>
      </c>
      <c r="R421">
        <f ca="1">RAND()*(Validation[[#This Row],[Range1_High]]-Validation[[#This Row],[Range1_Low]])+Validation[[#This Row],[Range1_Low]]</f>
        <v>3.0862072473135105</v>
      </c>
      <c r="S421">
        <f>Validation[[#This Row],[Range2_High]]</f>
        <v>20</v>
      </c>
      <c r="T421" t="str" cm="1">
        <f t="array" aca="1" ref="T421" ca="1">RoundToTwoSigFigs(Validation[[#This Row],[Test Reading]]*Validation[[#This Row],[Mult]]+Validation[[#This Row],[Base]]) &amp;" "&amp;Validation[[#This Row],[Uncert_Units]]</f>
        <v>580 mV</v>
      </c>
      <c r="U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21" t="b">
        <f ca="1">Validation[[#This Row],[Desired Result]]=Validation[[#This Row],[Result]]</f>
        <v>1</v>
      </c>
      <c r="W421" t="b">
        <v>0</v>
      </c>
      <c r="X421" t="b">
        <f>Validation[[#This Row],[Range1_Low]]&gt;=Validation[[#This Row],[Range1_High]]</f>
        <v>0</v>
      </c>
      <c r="Y421" s="111" t="s">
        <v>2845</v>
      </c>
    </row>
    <row r="422" spans="1:25" ht="16.5" thickTop="1" thickBot="1" x14ac:dyDescent="0.3">
      <c r="A422" t="s">
        <v>54</v>
      </c>
      <c r="B422" t="s">
        <v>8</v>
      </c>
      <c r="C422" s="113">
        <v>0.33</v>
      </c>
      <c r="D422" s="113">
        <v>3.3001</v>
      </c>
      <c r="E422">
        <v>0.01</v>
      </c>
      <c r="F422" t="s">
        <v>6</v>
      </c>
      <c r="G422" t="s">
        <v>4</v>
      </c>
      <c r="H422">
        <v>10</v>
      </c>
      <c r="I422">
        <v>20.010000000000002</v>
      </c>
      <c r="J422" t="s">
        <v>10</v>
      </c>
      <c r="K422">
        <v>5.7427999999999999</v>
      </c>
      <c r="L422">
        <v>0.20349999999999999</v>
      </c>
      <c r="M422">
        <v>5.7426000000000004</v>
      </c>
      <c r="N422">
        <v>0.20344000000000001</v>
      </c>
      <c r="O422" t="s">
        <v>2833</v>
      </c>
      <c r="P422" t="s">
        <v>2833</v>
      </c>
      <c r="Q422" t="s">
        <v>2833</v>
      </c>
      <c r="R422">
        <f ca="1">RAND()*(Validation[[#This Row],[Range1_High]]-Validation[[#This Row],[Range1_Low]])+Validation[[#This Row],[Range1_Low]]</f>
        <v>2.3869773131758758</v>
      </c>
      <c r="S422">
        <f>Validation[[#This Row],[Range2_High]]</f>
        <v>20.010000000000002</v>
      </c>
      <c r="T422" t="str" cm="1">
        <f t="array" aca="1" ref="T422" ca="1">RoundToTwoSigFigs(Validation[[#This Row],[Test Reading]]*Validation[[#This Row],[Mult]]+Validation[[#This Row],[Base]]) &amp;" "&amp;Validation[[#This Row],[Uncert_Units]]</f>
        <v>6.2 mV</v>
      </c>
      <c r="U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mV</v>
      </c>
      <c r="V422" t="b">
        <f ca="1">Validation[[#This Row],[Desired Result]]=Validation[[#This Row],[Result]]</f>
        <v>0</v>
      </c>
      <c r="W422" t="b">
        <v>1</v>
      </c>
      <c r="X422" t="b">
        <f>Validation[[#This Row],[Range1_Low]]&gt;=Validation[[#This Row],[Range1_High]]</f>
        <v>0</v>
      </c>
      <c r="Y422" s="111" t="s">
        <v>2843</v>
      </c>
    </row>
    <row r="423" spans="1:25" ht="16.5" thickTop="1" thickBot="1" x14ac:dyDescent="0.3">
      <c r="A423" t="s">
        <v>55</v>
      </c>
      <c r="B423" t="s">
        <v>8</v>
      </c>
      <c r="C423">
        <v>0</v>
      </c>
      <c r="D423">
        <v>0.01</v>
      </c>
      <c r="E423">
        <v>1.0000000000000001E-5</v>
      </c>
      <c r="F423" t="s">
        <v>6</v>
      </c>
      <c r="G423" t="s">
        <v>5</v>
      </c>
      <c r="H423">
        <v>0.04</v>
      </c>
      <c r="I423">
        <v>1</v>
      </c>
      <c r="J423" t="s">
        <v>10</v>
      </c>
      <c r="K423">
        <v>6.4968000000000004</v>
      </c>
      <c r="L423">
        <v>89.968999999999994</v>
      </c>
      <c r="M423">
        <v>6.4923999999999999</v>
      </c>
      <c r="N423">
        <v>88.921999999999997</v>
      </c>
      <c r="O423" t="s">
        <v>2833</v>
      </c>
      <c r="P423" t="s">
        <v>2833</v>
      </c>
      <c r="Q423" t="s">
        <v>2833</v>
      </c>
      <c r="R423">
        <f ca="1">RAND()*(Validation[[#This Row],[Range1_High]]-Validation[[#This Row],[Range1_Low]])+Validation[[#This Row],[Range1_Low]]</f>
        <v>2.856466983285344E-3</v>
      </c>
      <c r="S423">
        <f>Validation[[#This Row],[Range2_High]]</f>
        <v>1</v>
      </c>
      <c r="T423" t="str" cm="1">
        <f t="array" aca="1" ref="T423" ca="1">RoundToTwoSigFigs(Validation[[#This Row],[Test Reading]]*Validation[[#This Row],[Mult]]+Validation[[#This Row],[Base]]) &amp;" "&amp;Validation[[#This Row],[Uncert_Units]]</f>
        <v>6.8 µV</v>
      </c>
      <c r="U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V423" t="b">
        <f ca="1">Validation[[#This Row],[Desired Result]]=Validation[[#This Row],[Result]]</f>
        <v>1</v>
      </c>
      <c r="W423" t="b">
        <v>0</v>
      </c>
      <c r="X423" t="b">
        <f>Validation[[#This Row],[Range1_Low]]&gt;=Validation[[#This Row],[Range1_High]]</f>
        <v>0</v>
      </c>
      <c r="Y423" s="111" t="s">
        <v>2845</v>
      </c>
    </row>
    <row r="424" spans="1:25" ht="16.5" thickTop="1" thickBot="1" x14ac:dyDescent="0.3">
      <c r="A424" t="s">
        <v>55</v>
      </c>
      <c r="B424" t="s">
        <v>8</v>
      </c>
      <c r="C424" s="113">
        <v>100</v>
      </c>
      <c r="D424" s="113">
        <v>330</v>
      </c>
      <c r="E424">
        <v>1E-3</v>
      </c>
      <c r="F424" t="s">
        <v>6</v>
      </c>
      <c r="G424" t="s">
        <v>4</v>
      </c>
      <c r="H424">
        <v>1</v>
      </c>
      <c r="I424">
        <v>20</v>
      </c>
      <c r="J424" t="s">
        <v>10</v>
      </c>
      <c r="K424">
        <v>23</v>
      </c>
      <c r="L424">
        <v>0.7</v>
      </c>
      <c r="M424">
        <v>23.061</v>
      </c>
      <c r="N424">
        <v>0.69384000000000001</v>
      </c>
      <c r="O424" t="s">
        <v>2833</v>
      </c>
      <c r="P424" t="s">
        <v>2833</v>
      </c>
      <c r="Q424" t="s">
        <v>2833</v>
      </c>
      <c r="R424">
        <f ca="1">RAND()*(Validation[[#This Row],[Range1_High]]-Validation[[#This Row],[Range1_Low]])+Validation[[#This Row],[Range1_Low]]</f>
        <v>122.28434346292862</v>
      </c>
      <c r="S424">
        <f>Validation[[#This Row],[Range2_High]]</f>
        <v>20</v>
      </c>
      <c r="T424" t="str" cm="1">
        <f t="array" aca="1" ref="T424" ca="1">RoundToTwoSigFigs(Validation[[#This Row],[Test Reading]]*Validation[[#This Row],[Mult]]+Validation[[#This Row],[Base]]) &amp;" "&amp;Validation[[#This Row],[Uncert_Units]]</f>
        <v>110 mV</v>
      </c>
      <c r="U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V424" t="b">
        <f ca="1">Validation[[#This Row],[Desired Result]]=Validation[[#This Row],[Result]]</f>
        <v>0</v>
      </c>
      <c r="W424" t="b">
        <v>1</v>
      </c>
      <c r="X424" t="b">
        <f>Validation[[#This Row],[Range1_Low]]&gt;=Validation[[#This Row],[Range1_High]]</f>
        <v>0</v>
      </c>
      <c r="Y424" s="111" t="s">
        <v>2843</v>
      </c>
    </row>
    <row r="425" spans="1:25" ht="16.5" thickTop="1" thickBot="1" x14ac:dyDescent="0.3">
      <c r="A425" t="s">
        <v>54</v>
      </c>
      <c r="B425" t="s">
        <v>8</v>
      </c>
      <c r="C425" s="113">
        <v>3.3000000000000002E-2</v>
      </c>
      <c r="D425" s="113">
        <v>0.33001000000000003</v>
      </c>
      <c r="E425">
        <v>9.9999999999999995E-7</v>
      </c>
      <c r="F425" t="s">
        <v>6</v>
      </c>
      <c r="G425" t="s">
        <v>5</v>
      </c>
      <c r="H425">
        <v>500</v>
      </c>
      <c r="I425">
        <v>501</v>
      </c>
      <c r="J425" t="s">
        <v>10</v>
      </c>
      <c r="K425">
        <v>390</v>
      </c>
      <c r="L425">
        <v>5800</v>
      </c>
      <c r="M425">
        <v>381.75</v>
      </c>
      <c r="N425">
        <v>5779.4</v>
      </c>
      <c r="O425" t="s">
        <v>2833</v>
      </c>
      <c r="P425" t="s">
        <v>2833</v>
      </c>
      <c r="Q425" t="s">
        <v>2833</v>
      </c>
      <c r="R425">
        <f ca="1">RAND()*(Validation[[#This Row],[Range1_High]]-Validation[[#This Row],[Range1_Low]])+Validation[[#This Row],[Range1_Low]]</f>
        <v>0.27931918580493237</v>
      </c>
      <c r="S425">
        <f>Validation[[#This Row],[Range2_High]]</f>
        <v>501</v>
      </c>
      <c r="T425" t="str" cm="1">
        <f t="array" aca="1" ref="T425" ca="1">RoundToTwoSigFigs(Validation[[#This Row],[Test Reading]]*Validation[[#This Row],[Mult]]+Validation[[#This Row],[Base]]) &amp;" "&amp;Validation[[#This Row],[Uncert_Units]]</f>
        <v>2000 µV</v>
      </c>
      <c r="U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V425" t="b">
        <f ca="1">Validation[[#This Row],[Desired Result]]=Validation[[#This Row],[Result]]</f>
        <v>1</v>
      </c>
      <c r="W425" t="b">
        <v>1</v>
      </c>
      <c r="X425" t="b">
        <f>Validation[[#This Row],[Range1_Low]]&gt;=Validation[[#This Row],[Range1_High]]</f>
        <v>0</v>
      </c>
      <c r="Y425" s="111" t="s">
        <v>2843</v>
      </c>
    </row>
    <row r="426" spans="1:25" ht="16.5" thickTop="1" thickBot="1" x14ac:dyDescent="0.3">
      <c r="A426" t="s">
        <v>55</v>
      </c>
      <c r="B426" t="s">
        <v>8</v>
      </c>
      <c r="C426" s="113">
        <v>20</v>
      </c>
      <c r="D426" s="113">
        <v>100</v>
      </c>
      <c r="E426">
        <v>1E-3</v>
      </c>
      <c r="F426" t="s">
        <v>6</v>
      </c>
      <c r="G426" t="s">
        <v>4</v>
      </c>
      <c r="H426">
        <v>50</v>
      </c>
      <c r="I426">
        <v>100</v>
      </c>
      <c r="J426" t="s">
        <v>10</v>
      </c>
      <c r="K426">
        <v>22</v>
      </c>
      <c r="L426">
        <v>1.2034</v>
      </c>
      <c r="M426">
        <v>17.724</v>
      </c>
      <c r="N426">
        <v>1.2358</v>
      </c>
      <c r="O426" t="s">
        <v>2833</v>
      </c>
      <c r="P426" t="s">
        <v>2833</v>
      </c>
      <c r="Q426" t="s">
        <v>2833</v>
      </c>
      <c r="R426">
        <f ca="1">RAND()*(Validation[[#This Row],[Range1_High]]-Validation[[#This Row],[Range1_Low]])+Validation[[#This Row],[Range1_Low]]</f>
        <v>74.477256462171709</v>
      </c>
      <c r="S426">
        <f>Validation[[#This Row],[Range2_High]]</f>
        <v>100</v>
      </c>
      <c r="T426" t="str" cm="1">
        <f t="array" aca="1" ref="T426" ca="1">RoundToTwoSigFigs(Validation[[#This Row],[Test Reading]]*Validation[[#This Row],[Mult]]+Validation[[#This Row],[Base]]) &amp;" "&amp;Validation[[#This Row],[Uncert_Units]]</f>
        <v>110 mV</v>
      </c>
      <c r="U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V426" t="b">
        <f ca="1">Validation[[#This Row],[Desired Result]]=Validation[[#This Row],[Result]]</f>
        <v>0</v>
      </c>
      <c r="W426" t="b">
        <v>1</v>
      </c>
      <c r="X426" t="b">
        <f>Validation[[#This Row],[Range1_Low]]&gt;=Validation[[#This Row],[Range1_High]]</f>
        <v>0</v>
      </c>
      <c r="Y426" s="111" t="s">
        <v>2843</v>
      </c>
    </row>
    <row r="427" spans="1:25" ht="16.5" thickTop="1" thickBot="1" x14ac:dyDescent="0.3">
      <c r="A427" t="s">
        <v>54</v>
      </c>
      <c r="B427" t="s">
        <v>8</v>
      </c>
      <c r="C427">
        <v>0</v>
      </c>
      <c r="D427">
        <v>3.3009999999999998E-2</v>
      </c>
      <c r="E427">
        <v>0.1</v>
      </c>
      <c r="F427" t="s">
        <v>6</v>
      </c>
      <c r="G427" t="s">
        <v>5</v>
      </c>
      <c r="H427">
        <v>20</v>
      </c>
      <c r="I427">
        <v>50.01</v>
      </c>
      <c r="J427" t="s">
        <v>10</v>
      </c>
      <c r="K427">
        <v>58000</v>
      </c>
      <c r="L427">
        <v>2.6816</v>
      </c>
      <c r="M427">
        <v>58000</v>
      </c>
      <c r="N427">
        <v>2.4866000000000001</v>
      </c>
      <c r="O427" t="s">
        <v>2833</v>
      </c>
      <c r="P427" t="s">
        <v>2833</v>
      </c>
      <c r="Q427" t="s">
        <v>2833</v>
      </c>
      <c r="R427">
        <f ca="1">RAND()*(Validation[[#This Row],[Range1_High]]-Validation[[#This Row],[Range1_Low]])+Validation[[#This Row],[Range1_Low]]</f>
        <v>2.4690956532037199E-2</v>
      </c>
      <c r="S427">
        <f>Validation[[#This Row],[Range2_High]]</f>
        <v>50.01</v>
      </c>
      <c r="T427" t="str" cm="1">
        <f t="array" aca="1" ref="T427" ca="1">RoundToTwoSigFigs(Validation[[#This Row],[Test Reading]]*Validation[[#This Row],[Mult]]+Validation[[#This Row],[Base]]) &amp;" "&amp;Validation[[#This Row],[Uncert_Units]]</f>
        <v>58000 µV</v>
      </c>
      <c r="U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427" t="b">
        <f ca="1">Validation[[#This Row],[Desired Result]]=Validation[[#This Row],[Result]]</f>
        <v>1</v>
      </c>
      <c r="W427" t="b">
        <v>0</v>
      </c>
      <c r="X427" t="b">
        <f>Validation[[#This Row],[Range1_Low]]&gt;=Validation[[#This Row],[Range1_High]]</f>
        <v>0</v>
      </c>
      <c r="Y427" s="111" t="s">
        <v>2845</v>
      </c>
    </row>
    <row r="428" spans="1:25" ht="16.5" thickTop="1" thickBot="1" x14ac:dyDescent="0.3">
      <c r="A428" t="s">
        <v>54</v>
      </c>
      <c r="B428" t="s">
        <v>8</v>
      </c>
      <c r="C428" s="113">
        <v>0.33</v>
      </c>
      <c r="D428" s="113">
        <v>3.3001</v>
      </c>
      <c r="E428">
        <v>0.01</v>
      </c>
      <c r="F428" t="s">
        <v>6</v>
      </c>
      <c r="G428" t="s">
        <v>4</v>
      </c>
      <c r="H428">
        <v>4.4999999999999998E-2</v>
      </c>
      <c r="I428">
        <v>10.00001</v>
      </c>
      <c r="J428" t="s">
        <v>10</v>
      </c>
      <c r="K428">
        <v>5.7893999999999997</v>
      </c>
      <c r="L428">
        <v>4.1576000000000002E-2</v>
      </c>
      <c r="M428">
        <v>5.7892000000000001</v>
      </c>
      <c r="N428">
        <v>4.1502999999999998E-2</v>
      </c>
      <c r="O428" t="s">
        <v>2833</v>
      </c>
      <c r="P428" t="s">
        <v>2833</v>
      </c>
      <c r="Q428" t="s">
        <v>2833</v>
      </c>
      <c r="R428">
        <f ca="1">RAND()*(Validation[[#This Row],[Range1_High]]-Validation[[#This Row],[Range1_Low]])+Validation[[#This Row],[Range1_Low]]</f>
        <v>2.0259490455925011</v>
      </c>
      <c r="S428">
        <f>Validation[[#This Row],[Range2_High]]</f>
        <v>10.00001</v>
      </c>
      <c r="T428" t="str" cm="1">
        <f t="array" aca="1" ref="T428" ca="1">RoundToTwoSigFigs(Validation[[#This Row],[Test Reading]]*Validation[[#This Row],[Mult]]+Validation[[#This Row],[Base]]) &amp;" "&amp;Validation[[#This Row],[Uncert_Units]]</f>
        <v>5.9 mV</v>
      </c>
      <c r="U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V428" t="b">
        <f ca="1">Validation[[#This Row],[Desired Result]]=Validation[[#This Row],[Result]]</f>
        <v>1</v>
      </c>
      <c r="W428" t="b">
        <v>1</v>
      </c>
      <c r="X428" t="b">
        <f>Validation[[#This Row],[Range1_Low]]&gt;=Validation[[#This Row],[Range1_High]]</f>
        <v>0</v>
      </c>
      <c r="Y428" s="111" t="s">
        <v>2843</v>
      </c>
    </row>
    <row r="429" spans="1:25" ht="16.5" thickTop="1" thickBot="1" x14ac:dyDescent="0.3">
      <c r="A429" t="s">
        <v>55</v>
      </c>
      <c r="B429" t="s">
        <v>8</v>
      </c>
      <c r="C429" s="113">
        <v>0.01</v>
      </c>
      <c r="D429" s="113">
        <v>0.1</v>
      </c>
      <c r="E429">
        <v>9.9999999999999995E-8</v>
      </c>
      <c r="F429" t="s">
        <v>6</v>
      </c>
      <c r="G429" t="s">
        <v>5</v>
      </c>
      <c r="H429">
        <v>0.04</v>
      </c>
      <c r="I429">
        <v>1</v>
      </c>
      <c r="J429" t="s">
        <v>10</v>
      </c>
      <c r="K429">
        <v>3.5</v>
      </c>
      <c r="L429">
        <v>80.683999999999997</v>
      </c>
      <c r="M429">
        <v>3.4434</v>
      </c>
      <c r="N429">
        <v>80.682000000000002</v>
      </c>
      <c r="O429" t="s">
        <v>2833</v>
      </c>
      <c r="P429" t="s">
        <v>2833</v>
      </c>
      <c r="Q429" t="s">
        <v>2833</v>
      </c>
      <c r="R429">
        <f ca="1">RAND()*(Validation[[#This Row],[Range1_High]]-Validation[[#This Row],[Range1_Low]])+Validation[[#This Row],[Range1_Low]]</f>
        <v>6.0883213549782815E-2</v>
      </c>
      <c r="S429">
        <f>Validation[[#This Row],[Range2_High]]</f>
        <v>1</v>
      </c>
      <c r="T429" t="str" cm="1">
        <f t="array" aca="1" ref="T429" ca="1">RoundToTwoSigFigs(Validation[[#This Row],[Test Reading]]*Validation[[#This Row],[Mult]]+Validation[[#This Row],[Base]]) &amp;" "&amp;Validation[[#This Row],[Uncert_Units]]</f>
        <v>8.4 µV</v>
      </c>
      <c r="U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V429" t="b">
        <f ca="1">Validation[[#This Row],[Desired Result]]=Validation[[#This Row],[Result]]</f>
        <v>1</v>
      </c>
      <c r="W429" t="b">
        <v>1</v>
      </c>
      <c r="X429" t="b">
        <f>Validation[[#This Row],[Range1_Low]]&gt;=Validation[[#This Row],[Range1_High]]</f>
        <v>0</v>
      </c>
      <c r="Y429" s="111" t="s">
        <v>2843</v>
      </c>
    </row>
    <row r="430" spans="1:25" ht="16.5" thickTop="1" thickBot="1" x14ac:dyDescent="0.3">
      <c r="A430" t="s">
        <v>68</v>
      </c>
      <c r="B430" t="s">
        <v>8</v>
      </c>
      <c r="C430">
        <v>0.1</v>
      </c>
      <c r="D430">
        <v>1</v>
      </c>
      <c r="E430">
        <v>0.01</v>
      </c>
      <c r="F430" t="s">
        <v>6</v>
      </c>
      <c r="G430" t="s">
        <v>5</v>
      </c>
      <c r="H430">
        <v>0.01</v>
      </c>
      <c r="I430">
        <v>2</v>
      </c>
      <c r="J430" t="s">
        <v>10</v>
      </c>
      <c r="K430">
        <v>5776.6</v>
      </c>
      <c r="L430">
        <v>138.38999999999999</v>
      </c>
      <c r="M430">
        <v>5776.5</v>
      </c>
      <c r="N430">
        <v>138.13</v>
      </c>
      <c r="O430" t="s">
        <v>2833</v>
      </c>
      <c r="P430" t="s">
        <v>2833</v>
      </c>
      <c r="Q430" t="s">
        <v>2833</v>
      </c>
      <c r="R430">
        <f ca="1">RAND()*(Validation[[#This Row],[Range1_High]]-Validation[[#This Row],[Range1_Low]])+Validation[[#This Row],[Range1_Low]]</f>
        <v>0.84959911381138553</v>
      </c>
      <c r="S430">
        <f>Validation[[#This Row],[Range2_High]]</f>
        <v>2</v>
      </c>
      <c r="T430" t="str" cm="1">
        <f t="array" aca="1" ref="T430" ca="1">RoundToTwoSigFigs(Validation[[#This Row],[Test Reading]]*Validation[[#This Row],[Mult]]+Validation[[#This Row],[Base]]) &amp;" "&amp;Validation[[#This Row],[Uncert_Units]]</f>
        <v>5900 µV</v>
      </c>
      <c r="U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V430" t="b">
        <f ca="1">Validation[[#This Row],[Desired Result]]=Validation[[#This Row],[Result]]</f>
        <v>0</v>
      </c>
      <c r="W430" t="b">
        <v>1</v>
      </c>
      <c r="X430" t="b">
        <f>Validation[[#This Row],[Range1_Low]]&gt;=Validation[[#This Row],[Range1_High]]</f>
        <v>0</v>
      </c>
      <c r="Y430" s="111" t="s">
        <v>2845</v>
      </c>
    </row>
    <row r="431" spans="1:25" ht="16.5" thickTop="1" thickBot="1" x14ac:dyDescent="0.3">
      <c r="A431" t="s">
        <v>68</v>
      </c>
      <c r="B431" t="s">
        <v>8</v>
      </c>
      <c r="C431" s="113">
        <v>10</v>
      </c>
      <c r="D431" s="113">
        <v>100</v>
      </c>
      <c r="E431">
        <v>0.1</v>
      </c>
      <c r="F431" t="s">
        <v>6</v>
      </c>
      <c r="G431" t="s">
        <v>4</v>
      </c>
      <c r="H431">
        <v>0.04</v>
      </c>
      <c r="I431">
        <v>1</v>
      </c>
      <c r="J431" t="s">
        <v>10</v>
      </c>
      <c r="K431">
        <v>65.075999999999993</v>
      </c>
      <c r="L431">
        <v>0.76909000000000005</v>
      </c>
      <c r="M431">
        <v>64.997</v>
      </c>
      <c r="N431">
        <v>0.76749999999999996</v>
      </c>
      <c r="O431" t="s">
        <v>2833</v>
      </c>
      <c r="P431" t="s">
        <v>2833</v>
      </c>
      <c r="Q431" t="s">
        <v>2833</v>
      </c>
      <c r="R431">
        <f ca="1">RAND()*(Validation[[#This Row],[Range1_High]]-Validation[[#This Row],[Range1_Low]])+Validation[[#This Row],[Range1_Low]]</f>
        <v>80.589023000805696</v>
      </c>
      <c r="S431">
        <f>Validation[[#This Row],[Range2_High]]</f>
        <v>1</v>
      </c>
      <c r="T431" t="str" cm="1">
        <f t="array" aca="1" ref="T431" ca="1">RoundToTwoSigFigs(Validation[[#This Row],[Test Reading]]*Validation[[#This Row],[Mult]]+Validation[[#This Row],[Base]]) &amp;" "&amp;Validation[[#This Row],[Uncert_Units]]</f>
        <v>130 mV</v>
      </c>
      <c r="U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431" t="b">
        <f ca="1">Validation[[#This Row],[Desired Result]]=Validation[[#This Row],[Result]]</f>
        <v>1</v>
      </c>
      <c r="W431" t="b">
        <v>1</v>
      </c>
      <c r="X431" t="b">
        <f>Validation[[#This Row],[Range1_Low]]&gt;=Validation[[#This Row],[Range1_High]]</f>
        <v>0</v>
      </c>
      <c r="Y431" s="111" t="s">
        <v>2843</v>
      </c>
    </row>
    <row r="432" spans="1:25" ht="16.5" thickTop="1" thickBot="1" x14ac:dyDescent="0.3">
      <c r="A432" t="s">
        <v>55</v>
      </c>
      <c r="B432" t="s">
        <v>8</v>
      </c>
      <c r="C432" s="113">
        <v>1</v>
      </c>
      <c r="D432" s="113">
        <v>10</v>
      </c>
      <c r="E432">
        <v>9.9999999999999995E-7</v>
      </c>
      <c r="F432" t="s">
        <v>6</v>
      </c>
      <c r="G432" t="s">
        <v>4</v>
      </c>
      <c r="H432">
        <v>50</v>
      </c>
      <c r="I432">
        <v>100</v>
      </c>
      <c r="J432" t="s">
        <v>10</v>
      </c>
      <c r="K432">
        <v>0.27</v>
      </c>
      <c r="L432">
        <v>0.94</v>
      </c>
      <c r="M432">
        <v>0.22603000000000001</v>
      </c>
      <c r="N432">
        <v>0.94120999999999999</v>
      </c>
      <c r="O432" t="s">
        <v>2833</v>
      </c>
      <c r="P432" t="s">
        <v>2833</v>
      </c>
      <c r="Q432" t="s">
        <v>2833</v>
      </c>
      <c r="R432">
        <f ca="1">RAND()*(Validation[[#This Row],[Range1_High]]-Validation[[#This Row],[Range1_Low]])+Validation[[#This Row],[Range1_Low]]</f>
        <v>4.7803181190840682</v>
      </c>
      <c r="S432">
        <f>Validation[[#This Row],[Range2_High]]</f>
        <v>100</v>
      </c>
      <c r="T432" t="str" cm="1">
        <f t="array" aca="1" ref="T432" ca="1">RoundToTwoSigFigs(Validation[[#This Row],[Test Reading]]*Validation[[#This Row],[Mult]]+Validation[[#This Row],[Base]]) &amp;" "&amp;Validation[[#This Row],[Uncert_Units]]</f>
        <v>4.8 mV</v>
      </c>
      <c r="U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V432" t="b">
        <f ca="1">Validation[[#This Row],[Desired Result]]=Validation[[#This Row],[Result]]</f>
        <v>0</v>
      </c>
      <c r="W432" t="b">
        <v>1</v>
      </c>
      <c r="X432" t="b">
        <f>Validation[[#This Row],[Range1_Low]]&gt;=Validation[[#This Row],[Range1_High]]</f>
        <v>0</v>
      </c>
      <c r="Y432" s="111" t="s">
        <v>2843</v>
      </c>
    </row>
    <row r="433" spans="1:25" ht="16.5" thickTop="1" thickBot="1" x14ac:dyDescent="0.3">
      <c r="A433" t="s">
        <v>68</v>
      </c>
      <c r="B433" t="s">
        <v>8</v>
      </c>
      <c r="C433" s="113">
        <v>1</v>
      </c>
      <c r="D433" s="113">
        <v>10</v>
      </c>
      <c r="E433">
        <v>1E-4</v>
      </c>
      <c r="F433" t="s">
        <v>6</v>
      </c>
      <c r="G433" t="s">
        <v>4</v>
      </c>
      <c r="H433">
        <v>0.01</v>
      </c>
      <c r="I433">
        <v>2</v>
      </c>
      <c r="J433" t="s">
        <v>10</v>
      </c>
      <c r="K433">
        <v>3.5</v>
      </c>
      <c r="L433">
        <v>0.94</v>
      </c>
      <c r="M433">
        <v>3.4754999999999998</v>
      </c>
      <c r="N433">
        <v>0.93718000000000001</v>
      </c>
      <c r="O433" t="s">
        <v>2833</v>
      </c>
      <c r="P433" t="s">
        <v>2833</v>
      </c>
      <c r="Q433" t="s">
        <v>2833</v>
      </c>
      <c r="R433">
        <f ca="1">RAND()*(Validation[[#This Row],[Range1_High]]-Validation[[#This Row],[Range1_Low]])+Validation[[#This Row],[Range1_Low]]</f>
        <v>6.1964570678023705</v>
      </c>
      <c r="S433">
        <f>Validation[[#This Row],[Range2_High]]</f>
        <v>2</v>
      </c>
      <c r="T433" t="str" cm="1">
        <f t="array" aca="1" ref="T433" ca="1">RoundToTwoSigFigs(Validation[[#This Row],[Test Reading]]*Validation[[#This Row],[Mult]]+Validation[[#This Row],[Base]]) &amp;" "&amp;Validation[[#This Row],[Uncert_Units]]</f>
        <v>9.3 mV</v>
      </c>
      <c r="U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V433" t="b">
        <f ca="1">Validation[[#This Row],[Desired Result]]=Validation[[#This Row],[Result]]</f>
        <v>1</v>
      </c>
      <c r="W433" t="b">
        <v>1</v>
      </c>
      <c r="X433" t="b">
        <f>Validation[[#This Row],[Range1_Low]]&gt;=Validation[[#This Row],[Range1_High]]</f>
        <v>0</v>
      </c>
      <c r="Y433" s="111" t="s">
        <v>2843</v>
      </c>
    </row>
    <row r="434" spans="1:25" ht="16.5" thickTop="1" thickBot="1" x14ac:dyDescent="0.3">
      <c r="A434" t="s">
        <v>55</v>
      </c>
      <c r="B434" t="s">
        <v>8</v>
      </c>
      <c r="C434" s="113">
        <v>20</v>
      </c>
      <c r="D434" s="113">
        <v>100</v>
      </c>
      <c r="E434">
        <v>0.1</v>
      </c>
      <c r="F434" t="s">
        <v>6</v>
      </c>
      <c r="G434" t="s">
        <v>4</v>
      </c>
      <c r="H434">
        <v>50</v>
      </c>
      <c r="I434">
        <v>100</v>
      </c>
      <c r="J434" t="s">
        <v>10</v>
      </c>
      <c r="K434">
        <v>55.390999999999998</v>
      </c>
      <c r="L434">
        <v>0.97270000000000001</v>
      </c>
      <c r="M434">
        <v>55.372999999999998</v>
      </c>
      <c r="N434">
        <v>0.97270000000000001</v>
      </c>
      <c r="O434" t="s">
        <v>2833</v>
      </c>
      <c r="P434" t="s">
        <v>2833</v>
      </c>
      <c r="Q434" t="s">
        <v>2833</v>
      </c>
      <c r="R434">
        <f ca="1">RAND()*(Validation[[#This Row],[Range1_High]]-Validation[[#This Row],[Range1_Low]])+Validation[[#This Row],[Range1_Low]]</f>
        <v>49.69310967323392</v>
      </c>
      <c r="S434">
        <f>Validation[[#This Row],[Range2_High]]</f>
        <v>100</v>
      </c>
      <c r="T434" t="str" cm="1">
        <f t="array" aca="1" ref="T434" ca="1">RoundToTwoSigFigs(Validation[[#This Row],[Test Reading]]*Validation[[#This Row],[Mult]]+Validation[[#This Row],[Base]]) &amp;" "&amp;Validation[[#This Row],[Uncert_Units]]</f>
        <v>100 mV</v>
      </c>
      <c r="U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V434" t="b">
        <f ca="1">Validation[[#This Row],[Desired Result]]=Validation[[#This Row],[Result]]</f>
        <v>0</v>
      </c>
      <c r="W434" t="b">
        <v>1</v>
      </c>
      <c r="X434" t="b">
        <f>Validation[[#This Row],[Range1_Low]]&gt;=Validation[[#This Row],[Range1_High]]</f>
        <v>0</v>
      </c>
      <c r="Y434" s="111" t="s">
        <v>2843</v>
      </c>
    </row>
    <row r="435" spans="1:25" ht="16.5" thickTop="1" thickBot="1" x14ac:dyDescent="0.3">
      <c r="A435" t="s">
        <v>55</v>
      </c>
      <c r="B435" t="s">
        <v>8</v>
      </c>
      <c r="C435">
        <v>0</v>
      </c>
      <c r="D435">
        <v>0.01</v>
      </c>
      <c r="E435">
        <v>1E-4</v>
      </c>
      <c r="F435" t="s">
        <v>6</v>
      </c>
      <c r="G435" t="s">
        <v>5</v>
      </c>
      <c r="H435">
        <v>0.04</v>
      </c>
      <c r="I435">
        <v>1</v>
      </c>
      <c r="J435" t="s">
        <v>10</v>
      </c>
      <c r="K435">
        <v>57.814</v>
      </c>
      <c r="L435">
        <v>11.228999999999999</v>
      </c>
      <c r="M435">
        <v>57.811999999999998</v>
      </c>
      <c r="N435">
        <v>10.667</v>
      </c>
      <c r="O435" t="s">
        <v>2833</v>
      </c>
      <c r="P435" t="s">
        <v>2833</v>
      </c>
      <c r="Q435" t="s">
        <v>2833</v>
      </c>
      <c r="R435">
        <f ca="1">RAND()*(Validation[[#This Row],[Range1_High]]-Validation[[#This Row],[Range1_Low]])+Validation[[#This Row],[Range1_Low]]</f>
        <v>1.9887792479504462E-3</v>
      </c>
      <c r="S435">
        <f>Validation[[#This Row],[Range2_High]]</f>
        <v>1</v>
      </c>
      <c r="T435" t="str" cm="1">
        <f t="array" aca="1" ref="T435" ca="1">RoundToTwoSigFigs(Validation[[#This Row],[Test Reading]]*Validation[[#This Row],[Mult]]+Validation[[#This Row],[Base]]) &amp;" "&amp;Validation[[#This Row],[Uncert_Units]]</f>
        <v>58 µV</v>
      </c>
      <c r="U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435" t="b">
        <f ca="1">Validation[[#This Row],[Desired Result]]=Validation[[#This Row],[Result]]</f>
        <v>1</v>
      </c>
      <c r="W435" t="b">
        <v>0</v>
      </c>
      <c r="X435" t="b">
        <f>Validation[[#This Row],[Range1_Low]]&gt;=Validation[[#This Row],[Range1_High]]</f>
        <v>0</v>
      </c>
      <c r="Y435" s="111" t="s">
        <v>2845</v>
      </c>
    </row>
    <row r="436" spans="1:25" ht="16.5" thickTop="1" thickBot="1" x14ac:dyDescent="0.3">
      <c r="A436" t="s">
        <v>68</v>
      </c>
      <c r="B436" t="s">
        <v>8</v>
      </c>
      <c r="C436" s="113">
        <v>0.1</v>
      </c>
      <c r="D436" s="113">
        <v>1</v>
      </c>
      <c r="E436">
        <v>1E-3</v>
      </c>
      <c r="F436" t="s">
        <v>6</v>
      </c>
      <c r="G436" t="s">
        <v>5</v>
      </c>
      <c r="H436">
        <v>2</v>
      </c>
      <c r="I436">
        <v>20</v>
      </c>
      <c r="J436" t="s">
        <v>10</v>
      </c>
      <c r="K436">
        <v>976.25</v>
      </c>
      <c r="L436">
        <v>1636.3</v>
      </c>
      <c r="M436">
        <v>975.89</v>
      </c>
      <c r="N436">
        <v>1636.2</v>
      </c>
      <c r="O436" t="s">
        <v>2833</v>
      </c>
      <c r="P436" t="s">
        <v>2833</v>
      </c>
      <c r="Q436" t="s">
        <v>2833</v>
      </c>
      <c r="R436">
        <f ca="1">RAND()*(Validation[[#This Row],[Range1_High]]-Validation[[#This Row],[Range1_Low]])+Validation[[#This Row],[Range1_Low]]</f>
        <v>0.16652705781963228</v>
      </c>
      <c r="S436">
        <f>Validation[[#This Row],[Range2_High]]</f>
        <v>20</v>
      </c>
      <c r="T436" t="str" cm="1">
        <f t="array" aca="1" ref="T436" ca="1">RoundToTwoSigFigs(Validation[[#This Row],[Test Reading]]*Validation[[#This Row],[Mult]]+Validation[[#This Row],[Base]]) &amp;" "&amp;Validation[[#This Row],[Uncert_Units]]</f>
        <v>1200 µV</v>
      </c>
      <c r="U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V436" t="b">
        <f ca="1">Validation[[#This Row],[Desired Result]]=Validation[[#This Row],[Result]]</f>
        <v>1</v>
      </c>
      <c r="W436" t="b">
        <v>1</v>
      </c>
      <c r="X436" t="b">
        <f>Validation[[#This Row],[Range1_Low]]&gt;=Validation[[#This Row],[Range1_High]]</f>
        <v>0</v>
      </c>
      <c r="Y436" s="111" t="s">
        <v>2843</v>
      </c>
    </row>
    <row r="437" spans="1:25" ht="16.5" thickTop="1" thickBot="1" x14ac:dyDescent="0.3">
      <c r="A437" t="s">
        <v>55</v>
      </c>
      <c r="B437" t="s">
        <v>8</v>
      </c>
      <c r="C437" s="113">
        <v>0.01</v>
      </c>
      <c r="D437" s="113">
        <v>0.1</v>
      </c>
      <c r="E437">
        <v>1E-8</v>
      </c>
      <c r="F437" t="s">
        <v>6</v>
      </c>
      <c r="G437" t="s">
        <v>5</v>
      </c>
      <c r="H437">
        <v>2000</v>
      </c>
      <c r="I437">
        <v>4000</v>
      </c>
      <c r="J437" t="s">
        <v>10</v>
      </c>
      <c r="K437">
        <v>110</v>
      </c>
      <c r="L437">
        <v>46000</v>
      </c>
      <c r="M437">
        <v>80.778000000000006</v>
      </c>
      <c r="N437">
        <v>46223</v>
      </c>
      <c r="O437" t="s">
        <v>2833</v>
      </c>
      <c r="P437" t="s">
        <v>2833</v>
      </c>
      <c r="Q437" t="s">
        <v>2833</v>
      </c>
      <c r="R437">
        <f ca="1">RAND()*(Validation[[#This Row],[Range1_High]]-Validation[[#This Row],[Range1_Low]])+Validation[[#This Row],[Range1_Low]]</f>
        <v>4.9463683514844051E-2</v>
      </c>
      <c r="S437">
        <f>Validation[[#This Row],[Range2_High]]</f>
        <v>4000</v>
      </c>
      <c r="T437" t="str" cm="1">
        <f t="array" aca="1" ref="T437" ca="1">RoundToTwoSigFigs(Validation[[#This Row],[Test Reading]]*Validation[[#This Row],[Mult]]+Validation[[#This Row],[Base]]) &amp;" "&amp;Validation[[#This Row],[Uncert_Units]]</f>
        <v>2400 µV</v>
      </c>
      <c r="U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V437" t="b">
        <f ca="1">Validation[[#This Row],[Desired Result]]=Validation[[#This Row],[Result]]</f>
        <v>1</v>
      </c>
      <c r="W437" t="b">
        <v>1</v>
      </c>
      <c r="X437" t="b">
        <f>Validation[[#This Row],[Range1_Low]]&gt;=Validation[[#This Row],[Range1_High]]</f>
        <v>0</v>
      </c>
      <c r="Y437" s="111" t="s">
        <v>2843</v>
      </c>
    </row>
    <row r="438" spans="1:25" ht="16.5" thickTop="1" thickBot="1" x14ac:dyDescent="0.3">
      <c r="A438" t="s">
        <v>55</v>
      </c>
      <c r="B438" t="s">
        <v>8</v>
      </c>
      <c r="C438" s="113">
        <v>1</v>
      </c>
      <c r="D438" s="113">
        <v>10</v>
      </c>
      <c r="E438">
        <v>1E-3</v>
      </c>
      <c r="F438" t="s">
        <v>6</v>
      </c>
      <c r="G438" t="s">
        <v>4</v>
      </c>
      <c r="H438">
        <v>1000</v>
      </c>
      <c r="I438">
        <v>2000</v>
      </c>
      <c r="J438" t="s">
        <v>10</v>
      </c>
      <c r="K438">
        <v>6.1</v>
      </c>
      <c r="L438">
        <v>17.155999999999999</v>
      </c>
      <c r="M438">
        <v>1.1448</v>
      </c>
      <c r="N438">
        <v>17.486000000000001</v>
      </c>
      <c r="O438" t="s">
        <v>2833</v>
      </c>
      <c r="P438" t="s">
        <v>2833</v>
      </c>
      <c r="Q438" t="s">
        <v>2833</v>
      </c>
      <c r="R438">
        <f ca="1">RAND()*(Validation[[#This Row],[Range1_High]]-Validation[[#This Row],[Range1_Low]])+Validation[[#This Row],[Range1_Low]]</f>
        <v>9.3019744950149494</v>
      </c>
      <c r="S438">
        <f>Validation[[#This Row],[Range2_High]]</f>
        <v>2000</v>
      </c>
      <c r="T438" t="str" cm="1">
        <f t="array" aca="1" ref="T438" ca="1">RoundToTwoSigFigs(Validation[[#This Row],[Test Reading]]*Validation[[#This Row],[Mult]]+Validation[[#This Row],[Base]]) &amp;" "&amp;Validation[[#This Row],[Uncert_Units]]</f>
        <v>170 mV</v>
      </c>
      <c r="U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V438" t="b">
        <f ca="1">Validation[[#This Row],[Desired Result]]=Validation[[#This Row],[Result]]</f>
        <v>0</v>
      </c>
      <c r="W438" t="b">
        <v>1</v>
      </c>
      <c r="X438" t="b">
        <f>Validation[[#This Row],[Range1_Low]]&gt;=Validation[[#This Row],[Range1_High]]</f>
        <v>0</v>
      </c>
      <c r="Y438" s="111" t="s">
        <v>2843</v>
      </c>
    </row>
    <row r="439" spans="1:25" ht="16.5" thickTop="1" thickBot="1" x14ac:dyDescent="0.3">
      <c r="A439" t="s">
        <v>55</v>
      </c>
      <c r="B439" t="s">
        <v>8</v>
      </c>
      <c r="C439" s="113">
        <v>20</v>
      </c>
      <c r="D439" s="113">
        <v>100</v>
      </c>
      <c r="E439">
        <v>0.1</v>
      </c>
      <c r="F439" t="s">
        <v>6</v>
      </c>
      <c r="G439" t="s">
        <v>4</v>
      </c>
      <c r="H439">
        <v>1</v>
      </c>
      <c r="I439">
        <v>20</v>
      </c>
      <c r="J439" t="s">
        <v>10</v>
      </c>
      <c r="K439">
        <v>57.594000000000001</v>
      </c>
      <c r="L439">
        <v>5.5849999999999997E-2</v>
      </c>
      <c r="M439">
        <v>57.591999999999999</v>
      </c>
      <c r="N439">
        <v>5.5819000000000001E-2</v>
      </c>
      <c r="O439" t="s">
        <v>2833</v>
      </c>
      <c r="P439" t="s">
        <v>2833</v>
      </c>
      <c r="Q439" t="s">
        <v>2833</v>
      </c>
      <c r="R439">
        <f ca="1">RAND()*(Validation[[#This Row],[Range1_High]]-Validation[[#This Row],[Range1_Low]])+Validation[[#This Row],[Range1_Low]]</f>
        <v>67.766810326606389</v>
      </c>
      <c r="S439">
        <f>Validation[[#This Row],[Range2_High]]</f>
        <v>20</v>
      </c>
      <c r="T439" t="str" cm="1">
        <f t="array" aca="1" ref="T439" ca="1">RoundToTwoSigFigs(Validation[[#This Row],[Test Reading]]*Validation[[#This Row],[Mult]]+Validation[[#This Row],[Base]]) &amp;" "&amp;Validation[[#This Row],[Uncert_Units]]</f>
        <v>61 mV</v>
      </c>
      <c r="U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V439" t="b">
        <f ca="1">Validation[[#This Row],[Desired Result]]=Validation[[#This Row],[Result]]</f>
        <v>1</v>
      </c>
      <c r="W439" t="b">
        <v>1</v>
      </c>
      <c r="X439" t="b">
        <f>Validation[[#This Row],[Range1_Low]]&gt;=Validation[[#This Row],[Range1_High]]</f>
        <v>0</v>
      </c>
      <c r="Y439" s="111" t="s">
        <v>2843</v>
      </c>
    </row>
    <row r="440" spans="1:25" ht="16.5" thickTop="1" thickBot="1" x14ac:dyDescent="0.3">
      <c r="A440" t="s">
        <v>54</v>
      </c>
      <c r="B440" t="s">
        <v>8</v>
      </c>
      <c r="C440">
        <v>0</v>
      </c>
      <c r="D440">
        <v>3.3009999999999998E-2</v>
      </c>
      <c r="E440">
        <v>1E-3</v>
      </c>
      <c r="F440" t="s">
        <v>6</v>
      </c>
      <c r="G440" t="s">
        <v>5</v>
      </c>
      <c r="H440">
        <v>50</v>
      </c>
      <c r="I440">
        <v>100.01</v>
      </c>
      <c r="J440" t="s">
        <v>10</v>
      </c>
      <c r="K440">
        <v>580.9</v>
      </c>
      <c r="L440">
        <v>730.69</v>
      </c>
      <c r="M440">
        <v>580.86</v>
      </c>
      <c r="N440">
        <v>729</v>
      </c>
      <c r="O440" t="s">
        <v>2833</v>
      </c>
      <c r="P440" t="s">
        <v>2833</v>
      </c>
      <c r="Q440" t="s">
        <v>2833</v>
      </c>
      <c r="R440">
        <f ca="1">RAND()*(Validation[[#This Row],[Range1_High]]-Validation[[#This Row],[Range1_Low]])+Validation[[#This Row],[Range1_Low]]</f>
        <v>1.9403708000441441E-2</v>
      </c>
      <c r="S440">
        <f>Validation[[#This Row],[Range2_High]]</f>
        <v>100.01</v>
      </c>
      <c r="T440" t="str" cm="1">
        <f t="array" aca="1" ref="T440" ca="1">RoundToTwoSigFigs(Validation[[#This Row],[Test Reading]]*Validation[[#This Row],[Mult]]+Validation[[#This Row],[Base]]) &amp;" "&amp;Validation[[#This Row],[Uncert_Units]]</f>
        <v>600 µV</v>
      </c>
      <c r="U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V440" t="b">
        <f ca="1">Validation[[#This Row],[Desired Result]]=Validation[[#This Row],[Result]]</f>
        <v>1</v>
      </c>
      <c r="W440" t="b">
        <v>0</v>
      </c>
      <c r="X440" t="b">
        <f>Validation[[#This Row],[Range1_Low]]&gt;=Validation[[#This Row],[Range1_High]]</f>
        <v>0</v>
      </c>
      <c r="Y440" s="111" t="s">
        <v>2845</v>
      </c>
    </row>
    <row r="441" spans="1:25" ht="16.5" thickTop="1" thickBot="1" x14ac:dyDescent="0.3">
      <c r="A441" t="s">
        <v>55</v>
      </c>
      <c r="B441" t="s">
        <v>8</v>
      </c>
      <c r="C441" s="113">
        <v>0.1</v>
      </c>
      <c r="D441" s="113">
        <v>1</v>
      </c>
      <c r="E441">
        <v>9.9999999999999995E-8</v>
      </c>
      <c r="F441" t="s">
        <v>6</v>
      </c>
      <c r="G441" t="s">
        <v>5</v>
      </c>
      <c r="H441">
        <v>1</v>
      </c>
      <c r="I441">
        <v>20</v>
      </c>
      <c r="J441" t="s">
        <v>10</v>
      </c>
      <c r="K441">
        <v>26</v>
      </c>
      <c r="L441">
        <v>160</v>
      </c>
      <c r="M441">
        <v>23.437999999999999</v>
      </c>
      <c r="N441">
        <v>161.34</v>
      </c>
      <c r="O441" t="s">
        <v>2833</v>
      </c>
      <c r="P441" t="s">
        <v>2833</v>
      </c>
      <c r="Q441" t="s">
        <v>2833</v>
      </c>
      <c r="R441">
        <f ca="1">RAND()*(Validation[[#This Row],[Range1_High]]-Validation[[#This Row],[Range1_Low]])+Validation[[#This Row],[Range1_Low]]</f>
        <v>0.66700716319149556</v>
      </c>
      <c r="S441">
        <f>Validation[[#This Row],[Range2_High]]</f>
        <v>20</v>
      </c>
      <c r="T441" t="str" cm="1">
        <f t="array" aca="1" ref="T441" ca="1">RoundToTwoSigFigs(Validation[[#This Row],[Test Reading]]*Validation[[#This Row],[Mult]]+Validation[[#This Row],[Base]]) &amp;" "&amp;Validation[[#This Row],[Uncert_Units]]</f>
        <v>130 µV</v>
      </c>
      <c r="U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V441" t="b">
        <f ca="1">Validation[[#This Row],[Desired Result]]=Validation[[#This Row],[Result]]</f>
        <v>1</v>
      </c>
      <c r="W441" t="b">
        <v>1</v>
      </c>
      <c r="X441" t="b">
        <f>Validation[[#This Row],[Range1_Low]]&gt;=Validation[[#This Row],[Range1_High]]</f>
        <v>0</v>
      </c>
      <c r="Y441" s="111" t="s">
        <v>2843</v>
      </c>
    </row>
    <row r="442" spans="1:25" ht="16.5" thickTop="1" thickBot="1" x14ac:dyDescent="0.3">
      <c r="A442" t="s">
        <v>55</v>
      </c>
      <c r="B442" t="s">
        <v>8</v>
      </c>
      <c r="C442">
        <v>0</v>
      </c>
      <c r="D442">
        <v>0.01</v>
      </c>
      <c r="E442">
        <v>1E-4</v>
      </c>
      <c r="F442" t="s">
        <v>6</v>
      </c>
      <c r="G442" t="s">
        <v>5</v>
      </c>
      <c r="H442">
        <v>20</v>
      </c>
      <c r="I442">
        <v>50</v>
      </c>
      <c r="J442" t="s">
        <v>10</v>
      </c>
      <c r="K442">
        <v>58</v>
      </c>
      <c r="L442">
        <v>140.31</v>
      </c>
      <c r="M442">
        <v>57.994</v>
      </c>
      <c r="N442">
        <v>139.69999999999999</v>
      </c>
      <c r="O442" t="s">
        <v>2833</v>
      </c>
      <c r="P442" t="s">
        <v>2833</v>
      </c>
      <c r="Q442" t="s">
        <v>2833</v>
      </c>
      <c r="R442">
        <f ca="1">RAND()*(Validation[[#This Row],[Range1_High]]-Validation[[#This Row],[Range1_Low]])+Validation[[#This Row],[Range1_Low]]</f>
        <v>3.6102431111432998E-3</v>
      </c>
      <c r="S442">
        <f>Validation[[#This Row],[Range2_High]]</f>
        <v>50</v>
      </c>
      <c r="T442" t="str" cm="1">
        <f t="array" aca="1" ref="T442" ca="1">RoundToTwoSigFigs(Validation[[#This Row],[Test Reading]]*Validation[[#This Row],[Mult]]+Validation[[#This Row],[Base]]) &amp;" "&amp;Validation[[#This Row],[Uncert_Units]]</f>
        <v>59 µV</v>
      </c>
      <c r="U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V442" t="b">
        <f ca="1">Validation[[#This Row],[Desired Result]]=Validation[[#This Row],[Result]]</f>
        <v>0</v>
      </c>
      <c r="W442" t="b">
        <v>1</v>
      </c>
      <c r="X442" t="b">
        <f>Validation[[#This Row],[Range1_Low]]&gt;=Validation[[#This Row],[Range1_High]]</f>
        <v>0</v>
      </c>
      <c r="Y442" s="111" t="s">
        <v>2845</v>
      </c>
    </row>
    <row r="443" spans="1:25" ht="16.5" thickTop="1" thickBot="1" x14ac:dyDescent="0.3">
      <c r="A443" t="s">
        <v>55</v>
      </c>
      <c r="B443" t="s">
        <v>8</v>
      </c>
      <c r="C443" s="113">
        <v>0.1</v>
      </c>
      <c r="D443" s="113">
        <v>1</v>
      </c>
      <c r="E443">
        <v>1.0000000000000001E-5</v>
      </c>
      <c r="F443" t="s">
        <v>6</v>
      </c>
      <c r="G443" t="s">
        <v>5</v>
      </c>
      <c r="H443">
        <v>1</v>
      </c>
      <c r="I443">
        <v>20</v>
      </c>
      <c r="J443" t="s">
        <v>10</v>
      </c>
      <c r="K443">
        <v>26</v>
      </c>
      <c r="L443">
        <v>160</v>
      </c>
      <c r="M443">
        <v>23.893000000000001</v>
      </c>
      <c r="N443">
        <v>160.97999999999999</v>
      </c>
      <c r="O443" t="s">
        <v>2833</v>
      </c>
      <c r="P443" t="s">
        <v>2833</v>
      </c>
      <c r="Q443" t="s">
        <v>2833</v>
      </c>
      <c r="R443">
        <f ca="1">RAND()*(Validation[[#This Row],[Range1_High]]-Validation[[#This Row],[Range1_Low]])+Validation[[#This Row],[Range1_Low]]</f>
        <v>0.58591693083070984</v>
      </c>
      <c r="S443">
        <f>Validation[[#This Row],[Range2_High]]</f>
        <v>20</v>
      </c>
      <c r="T443" t="str" cm="1">
        <f t="array" aca="1" ref="T443" ca="1">RoundToTwoSigFigs(Validation[[#This Row],[Test Reading]]*Validation[[#This Row],[Mult]]+Validation[[#This Row],[Base]]) &amp;" "&amp;Validation[[#This Row],[Uncert_Units]]</f>
        <v>120 µV</v>
      </c>
      <c r="U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µV</v>
      </c>
      <c r="V443" t="b">
        <f ca="1">Validation[[#This Row],[Desired Result]]=Validation[[#This Row],[Result]]</f>
        <v>0</v>
      </c>
      <c r="W443" t="b">
        <v>1</v>
      </c>
      <c r="X443" t="b">
        <f>Validation[[#This Row],[Range1_Low]]&gt;=Validation[[#This Row],[Range1_High]]</f>
        <v>0</v>
      </c>
      <c r="Y443" s="111" t="s">
        <v>2843</v>
      </c>
    </row>
    <row r="444" spans="1:25" ht="16.5" thickTop="1" thickBot="1" x14ac:dyDescent="0.3">
      <c r="A444" t="s">
        <v>55</v>
      </c>
      <c r="B444" t="s">
        <v>8</v>
      </c>
      <c r="C444" s="113">
        <v>0.1</v>
      </c>
      <c r="D444" s="113">
        <v>1</v>
      </c>
      <c r="E444">
        <v>9.9999999999999995E-8</v>
      </c>
      <c r="F444" t="s">
        <v>6</v>
      </c>
      <c r="G444" t="s">
        <v>4</v>
      </c>
      <c r="H444">
        <v>4000</v>
      </c>
      <c r="I444">
        <v>8000</v>
      </c>
      <c r="J444" t="s">
        <v>10</v>
      </c>
      <c r="K444">
        <v>1.3</v>
      </c>
      <c r="L444">
        <v>46</v>
      </c>
      <c r="M444">
        <v>0.91605999999999999</v>
      </c>
      <c r="N444">
        <v>46.326000000000001</v>
      </c>
      <c r="O444" t="s">
        <v>2833</v>
      </c>
      <c r="P444" t="s">
        <v>2833</v>
      </c>
      <c r="Q444" t="s">
        <v>2833</v>
      </c>
      <c r="R444">
        <f ca="1">RAND()*(Validation[[#This Row],[Range1_High]]-Validation[[#This Row],[Range1_Low]])+Validation[[#This Row],[Range1_Low]]</f>
        <v>0.38149654604889738</v>
      </c>
      <c r="S444">
        <f>Validation[[#This Row],[Range2_High]]</f>
        <v>8000</v>
      </c>
      <c r="T444" t="str" cm="1">
        <f t="array" aca="1" ref="T444" ca="1">RoundToTwoSigFigs(Validation[[#This Row],[Test Reading]]*Validation[[#This Row],[Mult]]+Validation[[#This Row],[Base]]) &amp;" "&amp;Validation[[#This Row],[Uncert_Units]]</f>
        <v>19 mV</v>
      </c>
      <c r="U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V444" t="b">
        <f ca="1">Validation[[#This Row],[Desired Result]]=Validation[[#This Row],[Result]]</f>
        <v>1</v>
      </c>
      <c r="W444" t="b">
        <v>1</v>
      </c>
      <c r="X444" t="b">
        <f>Validation[[#This Row],[Range1_Low]]&gt;=Validation[[#This Row],[Range1_High]]</f>
        <v>0</v>
      </c>
      <c r="Y444" s="111" t="s">
        <v>2843</v>
      </c>
    </row>
    <row r="445" spans="1:25" ht="16.5" thickTop="1" thickBot="1" x14ac:dyDescent="0.3">
      <c r="A445" t="s">
        <v>55</v>
      </c>
      <c r="B445" t="s">
        <v>8</v>
      </c>
      <c r="C445" s="113">
        <v>1</v>
      </c>
      <c r="D445" s="113">
        <v>10</v>
      </c>
      <c r="E445">
        <v>1.0000000000000001E-5</v>
      </c>
      <c r="F445" t="s">
        <v>6</v>
      </c>
      <c r="G445" t="s">
        <v>4</v>
      </c>
      <c r="H445">
        <v>1000</v>
      </c>
      <c r="I445">
        <v>2000</v>
      </c>
      <c r="J445" t="s">
        <v>10</v>
      </c>
      <c r="K445">
        <v>6.1</v>
      </c>
      <c r="L445">
        <v>17.155999999999999</v>
      </c>
      <c r="M445">
        <v>1.1337999999999999</v>
      </c>
      <c r="N445">
        <v>17.486999999999998</v>
      </c>
      <c r="O445" t="s">
        <v>2833</v>
      </c>
      <c r="P445" t="s">
        <v>2833</v>
      </c>
      <c r="Q445" t="s">
        <v>2833</v>
      </c>
      <c r="R445">
        <f ca="1">RAND()*(Validation[[#This Row],[Range1_High]]-Validation[[#This Row],[Range1_Low]])+Validation[[#This Row],[Range1_Low]]</f>
        <v>5.0904326786677556</v>
      </c>
      <c r="S445">
        <f>Validation[[#This Row],[Range2_High]]</f>
        <v>2000</v>
      </c>
      <c r="T445" t="str" cm="1">
        <f t="array" aca="1" ref="T445" ca="1">RoundToTwoSigFigs(Validation[[#This Row],[Test Reading]]*Validation[[#This Row],[Mult]]+Validation[[#This Row],[Base]]) &amp;" "&amp;Validation[[#This Row],[Uncert_Units]]</f>
        <v>93 mV</v>
      </c>
      <c r="U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mV</v>
      </c>
      <c r="V445" t="b">
        <f ca="1">Validation[[#This Row],[Desired Result]]=Validation[[#This Row],[Result]]</f>
        <v>1</v>
      </c>
      <c r="W445" t="b">
        <v>1</v>
      </c>
      <c r="X445" t="b">
        <f>Validation[[#This Row],[Range1_Low]]&gt;=Validation[[#This Row],[Range1_High]]</f>
        <v>0</v>
      </c>
      <c r="Y445" s="111" t="s">
        <v>2843</v>
      </c>
    </row>
    <row r="446" spans="1:25" ht="16.5" thickTop="1" thickBot="1" x14ac:dyDescent="0.3">
      <c r="A446" t="s">
        <v>55</v>
      </c>
      <c r="B446" t="s">
        <v>8</v>
      </c>
      <c r="C446" s="113">
        <v>0.01</v>
      </c>
      <c r="D446" s="113">
        <v>0.1</v>
      </c>
      <c r="E446">
        <v>1E-8</v>
      </c>
      <c r="F446" t="s">
        <v>6</v>
      </c>
      <c r="G446" t="s">
        <v>5</v>
      </c>
      <c r="H446">
        <v>20</v>
      </c>
      <c r="I446">
        <v>50</v>
      </c>
      <c r="J446" t="s">
        <v>10</v>
      </c>
      <c r="K446">
        <v>4.7</v>
      </c>
      <c r="L446">
        <v>330</v>
      </c>
      <c r="M446">
        <v>4.6688000000000001</v>
      </c>
      <c r="N446">
        <v>326.81</v>
      </c>
      <c r="O446" t="s">
        <v>2833</v>
      </c>
      <c r="P446" t="s">
        <v>2833</v>
      </c>
      <c r="Q446" t="s">
        <v>2833</v>
      </c>
      <c r="R446">
        <f ca="1">RAND()*(Validation[[#This Row],[Range1_High]]-Validation[[#This Row],[Range1_Low]])+Validation[[#This Row],[Range1_Low]]</f>
        <v>1.8392724150401846E-2</v>
      </c>
      <c r="S446">
        <f>Validation[[#This Row],[Range2_High]]</f>
        <v>50</v>
      </c>
      <c r="T446" t="str" cm="1">
        <f t="array" aca="1" ref="T446" ca="1">RoundToTwoSigFigs(Validation[[#This Row],[Test Reading]]*Validation[[#This Row],[Mult]]+Validation[[#This Row],[Base]]) &amp;" "&amp;Validation[[#This Row],[Uncert_Units]]</f>
        <v>11 µV</v>
      </c>
      <c r="U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V446" t="b">
        <f ca="1">Validation[[#This Row],[Desired Result]]=Validation[[#This Row],[Result]]</f>
        <v>0</v>
      </c>
      <c r="W446" t="b">
        <v>1</v>
      </c>
      <c r="X446" t="b">
        <f>Validation[[#This Row],[Range1_Low]]&gt;=Validation[[#This Row],[Range1_High]]</f>
        <v>0</v>
      </c>
      <c r="Y446" s="111" t="s">
        <v>2843</v>
      </c>
    </row>
    <row r="447" spans="1:25" ht="16.5" thickTop="1" thickBot="1" x14ac:dyDescent="0.3">
      <c r="A447" t="s">
        <v>55</v>
      </c>
      <c r="B447" t="s">
        <v>8</v>
      </c>
      <c r="C447" s="113">
        <v>20</v>
      </c>
      <c r="D447" s="113">
        <v>100</v>
      </c>
      <c r="E447">
        <v>0.01</v>
      </c>
      <c r="F447" t="s">
        <v>6</v>
      </c>
      <c r="G447" t="s">
        <v>4</v>
      </c>
      <c r="H447">
        <v>1</v>
      </c>
      <c r="I447">
        <v>20</v>
      </c>
      <c r="J447" t="s">
        <v>10</v>
      </c>
      <c r="K447">
        <v>7.1093000000000002</v>
      </c>
      <c r="L447">
        <v>0.19178999999999999</v>
      </c>
      <c r="M447">
        <v>7.1055999999999999</v>
      </c>
      <c r="N447">
        <v>0.1918</v>
      </c>
      <c r="O447" t="s">
        <v>2833</v>
      </c>
      <c r="P447" t="s">
        <v>2833</v>
      </c>
      <c r="Q447" t="s">
        <v>2833</v>
      </c>
      <c r="R447">
        <f ca="1">RAND()*(Validation[[#This Row],[Range1_High]]-Validation[[#This Row],[Range1_Low]])+Validation[[#This Row],[Range1_Low]]</f>
        <v>95.102371740399121</v>
      </c>
      <c r="S447">
        <f>Validation[[#This Row],[Range2_High]]</f>
        <v>20</v>
      </c>
      <c r="T447" t="str" cm="1">
        <f t="array" aca="1" ref="T447" ca="1">RoundToTwoSigFigs(Validation[[#This Row],[Test Reading]]*Validation[[#This Row],[Mult]]+Validation[[#This Row],[Base]]) &amp;" "&amp;Validation[[#This Row],[Uncert_Units]]</f>
        <v>25 mV</v>
      </c>
      <c r="U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V447" t="b">
        <f ca="1">Validation[[#This Row],[Desired Result]]=Validation[[#This Row],[Result]]</f>
        <v>0</v>
      </c>
      <c r="W447" t="b">
        <v>1</v>
      </c>
      <c r="X447" t="b">
        <f>Validation[[#This Row],[Range1_Low]]&gt;=Validation[[#This Row],[Range1_High]]</f>
        <v>0</v>
      </c>
      <c r="Y447" s="111" t="s">
        <v>2843</v>
      </c>
    </row>
    <row r="448" spans="1:25" ht="16.5" thickTop="1" thickBot="1" x14ac:dyDescent="0.3">
      <c r="A448" t="s">
        <v>55</v>
      </c>
      <c r="B448" t="s">
        <v>8</v>
      </c>
      <c r="C448" s="113">
        <v>0.1</v>
      </c>
      <c r="D448" s="113">
        <v>1</v>
      </c>
      <c r="E448">
        <v>9.9999999999999995E-7</v>
      </c>
      <c r="F448" t="s">
        <v>6</v>
      </c>
      <c r="G448" t="s">
        <v>5</v>
      </c>
      <c r="H448">
        <v>1E-3</v>
      </c>
      <c r="I448">
        <v>0.04</v>
      </c>
      <c r="J448" t="s">
        <v>10</v>
      </c>
      <c r="K448">
        <v>47</v>
      </c>
      <c r="L448">
        <v>82</v>
      </c>
      <c r="M448">
        <v>80.617999999999995</v>
      </c>
      <c r="N448">
        <v>80.617999999999995</v>
      </c>
      <c r="O448" t="s">
        <v>2833</v>
      </c>
      <c r="P448" t="s">
        <v>2833</v>
      </c>
      <c r="Q448" t="s">
        <v>2833</v>
      </c>
      <c r="R448">
        <f ca="1">RAND()*(Validation[[#This Row],[Range1_High]]-Validation[[#This Row],[Range1_Low]])+Validation[[#This Row],[Range1_Low]]</f>
        <v>0.44159562699494026</v>
      </c>
      <c r="S448">
        <f>Validation[[#This Row],[Range2_High]]</f>
        <v>0.04</v>
      </c>
      <c r="T448" t="str" cm="1">
        <f t="array" aca="1" ref="T448" ca="1">RoundToTwoSigFigs(Validation[[#This Row],[Test Reading]]*Validation[[#This Row],[Mult]]+Validation[[#This Row],[Base]]) &amp;" "&amp;Validation[[#This Row],[Uncert_Units]]</f>
        <v>83 µV</v>
      </c>
      <c r="U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V448" t="b">
        <f ca="1">Validation[[#This Row],[Desired Result]]=Validation[[#This Row],[Result]]</f>
        <v>0</v>
      </c>
      <c r="W448" t="b">
        <v>1</v>
      </c>
      <c r="X448" t="b">
        <f>Validation[[#This Row],[Range1_Low]]&gt;=Validation[[#This Row],[Range1_High]]</f>
        <v>0</v>
      </c>
      <c r="Y448" s="111" t="s">
        <v>2843</v>
      </c>
    </row>
    <row r="449" spans="1:25" ht="16.5" thickTop="1" thickBot="1" x14ac:dyDescent="0.3">
      <c r="A449" t="s">
        <v>55</v>
      </c>
      <c r="B449" t="s">
        <v>8</v>
      </c>
      <c r="C449" s="113">
        <v>20</v>
      </c>
      <c r="D449" s="113">
        <v>100</v>
      </c>
      <c r="E449">
        <v>1E-4</v>
      </c>
      <c r="F449" t="s">
        <v>6</v>
      </c>
      <c r="G449" t="s">
        <v>4</v>
      </c>
      <c r="H449">
        <v>0.04</v>
      </c>
      <c r="I449">
        <v>1</v>
      </c>
      <c r="J449" t="s">
        <v>10</v>
      </c>
      <c r="K449">
        <v>2.7</v>
      </c>
      <c r="L449">
        <v>0.23180000000000001</v>
      </c>
      <c r="M449">
        <v>2.2759999999999998</v>
      </c>
      <c r="N449">
        <v>0.23386000000000001</v>
      </c>
      <c r="O449" t="s">
        <v>2833</v>
      </c>
      <c r="P449" t="s">
        <v>2833</v>
      </c>
      <c r="Q449" t="s">
        <v>2833</v>
      </c>
      <c r="R449">
        <f ca="1">RAND()*(Validation[[#This Row],[Range1_High]]-Validation[[#This Row],[Range1_Low]])+Validation[[#This Row],[Range1_Low]]</f>
        <v>25.823940851421831</v>
      </c>
      <c r="S449">
        <f>Validation[[#This Row],[Range2_High]]</f>
        <v>1</v>
      </c>
      <c r="T449" t="str" cm="1">
        <f t="array" aca="1" ref="T449" ca="1">RoundToTwoSigFigs(Validation[[#This Row],[Test Reading]]*Validation[[#This Row],[Mult]]+Validation[[#This Row],[Base]]) &amp;" "&amp;Validation[[#This Row],[Uncert_Units]]</f>
        <v>8.7 mV</v>
      </c>
      <c r="U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mV</v>
      </c>
      <c r="V449" t="b">
        <f ca="1">Validation[[#This Row],[Desired Result]]=Validation[[#This Row],[Result]]</f>
        <v>1</v>
      </c>
      <c r="W449" t="b">
        <v>1</v>
      </c>
      <c r="X449" t="b">
        <f>Validation[[#This Row],[Range1_Low]]&gt;=Validation[[#This Row],[Range1_High]]</f>
        <v>0</v>
      </c>
      <c r="Y449" s="111" t="s">
        <v>2843</v>
      </c>
    </row>
    <row r="450" spans="1:25" ht="16.5" thickTop="1" thickBot="1" x14ac:dyDescent="0.3">
      <c r="A450" t="s">
        <v>54</v>
      </c>
      <c r="B450" t="s">
        <v>8</v>
      </c>
      <c r="C450">
        <v>0</v>
      </c>
      <c r="D450">
        <v>3.3009999999999998E-2</v>
      </c>
      <c r="E450">
        <v>1E-4</v>
      </c>
      <c r="F450" t="s">
        <v>6</v>
      </c>
      <c r="G450" t="s">
        <v>5</v>
      </c>
      <c r="H450">
        <v>100</v>
      </c>
      <c r="I450">
        <v>500</v>
      </c>
      <c r="J450" t="s">
        <v>10</v>
      </c>
      <c r="K450">
        <v>91.463999999999999</v>
      </c>
      <c r="L450">
        <v>11024</v>
      </c>
      <c r="M450">
        <v>91.322000000000003</v>
      </c>
      <c r="N450">
        <v>11026</v>
      </c>
      <c r="O450" t="s">
        <v>2833</v>
      </c>
      <c r="P450" t="s">
        <v>2833</v>
      </c>
      <c r="Q450" t="s">
        <v>2833</v>
      </c>
      <c r="R450">
        <f ca="1">RAND()*(Validation[[#This Row],[Range1_High]]-Validation[[#This Row],[Range1_Low]])+Validation[[#This Row],[Range1_Low]]</f>
        <v>5.6659045669721735E-3</v>
      </c>
      <c r="S450">
        <f>Validation[[#This Row],[Range2_High]]</f>
        <v>500</v>
      </c>
      <c r="T450" t="str" cm="1">
        <f t="array" aca="1" ref="T450" ca="1">RoundToTwoSigFigs(Validation[[#This Row],[Test Reading]]*Validation[[#This Row],[Mult]]+Validation[[#This Row],[Base]]) &amp;" "&amp;Validation[[#This Row],[Uncert_Units]]</f>
        <v>150 µV</v>
      </c>
      <c r="U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V450" t="b">
        <f ca="1">Validation[[#This Row],[Desired Result]]=Validation[[#This Row],[Result]]</f>
        <v>1</v>
      </c>
      <c r="W450" t="b">
        <v>0</v>
      </c>
      <c r="X450" t="b">
        <f>Validation[[#This Row],[Range1_Low]]&gt;=Validation[[#This Row],[Range1_High]]</f>
        <v>0</v>
      </c>
      <c r="Y450" s="111" t="s">
        <v>2845</v>
      </c>
    </row>
    <row r="451" spans="1:25" ht="16.5" thickTop="1" thickBot="1" x14ac:dyDescent="0.3">
      <c r="A451" t="s">
        <v>55</v>
      </c>
      <c r="B451" t="s">
        <v>8</v>
      </c>
      <c r="C451" s="113">
        <v>10</v>
      </c>
      <c r="D451" s="113">
        <v>20</v>
      </c>
      <c r="E451">
        <v>0.01</v>
      </c>
      <c r="F451" t="s">
        <v>6</v>
      </c>
      <c r="G451" t="s">
        <v>4</v>
      </c>
      <c r="H451">
        <v>0.04</v>
      </c>
      <c r="I451">
        <v>1</v>
      </c>
      <c r="J451" t="s">
        <v>10</v>
      </c>
      <c r="K451">
        <v>5.7568999999999999</v>
      </c>
      <c r="L451">
        <v>0.16470000000000001</v>
      </c>
      <c r="M451">
        <v>5.7573999999999996</v>
      </c>
      <c r="N451">
        <v>0.16425000000000001</v>
      </c>
      <c r="O451" t="s">
        <v>2833</v>
      </c>
      <c r="P451" t="s">
        <v>2833</v>
      </c>
      <c r="Q451" t="s">
        <v>2833</v>
      </c>
      <c r="R451">
        <f ca="1">RAND()*(Validation[[#This Row],[Range1_High]]-Validation[[#This Row],[Range1_Low]])+Validation[[#This Row],[Range1_Low]]</f>
        <v>19.958775380565967</v>
      </c>
      <c r="S451">
        <f>Validation[[#This Row],[Range2_High]]</f>
        <v>1</v>
      </c>
      <c r="T451" t="str" cm="1">
        <f t="array" aca="1" ref="T451" ca="1">RoundToTwoSigFigs(Validation[[#This Row],[Test Reading]]*Validation[[#This Row],[Mult]]+Validation[[#This Row],[Base]]) &amp;" "&amp;Validation[[#This Row],[Uncert_Units]]</f>
        <v>9 mV</v>
      </c>
      <c r="U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mV</v>
      </c>
      <c r="V451" t="b">
        <f ca="1">Validation[[#This Row],[Desired Result]]=Validation[[#This Row],[Result]]</f>
        <v>1</v>
      </c>
      <c r="W451" t="b">
        <v>1</v>
      </c>
      <c r="X451" t="b">
        <f>Validation[[#This Row],[Range1_Low]]&gt;=Validation[[#This Row],[Range1_High]]</f>
        <v>0</v>
      </c>
      <c r="Y451" s="111" t="s">
        <v>2843</v>
      </c>
    </row>
    <row r="452" spans="1:25" ht="15.75" thickTop="1" x14ac:dyDescent="0.25">
      <c r="A452" t="s">
        <v>54</v>
      </c>
      <c r="B452" t="s">
        <v>8</v>
      </c>
      <c r="C452">
        <v>0</v>
      </c>
      <c r="D452">
        <v>3.3009999999999998E-2</v>
      </c>
      <c r="E452">
        <v>10</v>
      </c>
      <c r="F452" t="s">
        <v>6</v>
      </c>
      <c r="G452" t="s">
        <v>5</v>
      </c>
      <c r="H452">
        <v>100</v>
      </c>
      <c r="I452">
        <v>500.01</v>
      </c>
      <c r="J452" t="s">
        <v>10</v>
      </c>
      <c r="K452">
        <v>5800000</v>
      </c>
      <c r="L452">
        <v>0.63641999999999999</v>
      </c>
      <c r="M452">
        <v>5800000</v>
      </c>
      <c r="N452">
        <v>0.52995000000000003</v>
      </c>
      <c r="O452" t="s">
        <v>2833</v>
      </c>
      <c r="P452" t="s">
        <v>2833</v>
      </c>
      <c r="Q452" t="s">
        <v>2833</v>
      </c>
      <c r="R452">
        <f ca="1">RAND()*(Validation[[#This Row],[Range1_High]]-Validation[[#This Row],[Range1_Low]])+Validation[[#This Row],[Range1_Low]]</f>
        <v>2.8015945262896191E-2</v>
      </c>
      <c r="S452">
        <f>Validation[[#This Row],[Range2_High]]</f>
        <v>500.01</v>
      </c>
      <c r="T452" t="str" cm="1">
        <f t="array" aca="1" ref="T452" ca="1">RoundToTwoSigFigs(Validation[[#This Row],[Test Reading]]*Validation[[#This Row],[Mult]]+Validation[[#This Row],[Base]]) &amp;" "&amp;Validation[[#This Row],[Uncert_Units]]</f>
        <v>5800000 µV</v>
      </c>
      <c r="U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V452" t="b">
        <f ca="1">Validation[[#This Row],[Desired Result]]=Validation[[#This Row],[Result]]</f>
        <v>1</v>
      </c>
      <c r="W452" t="b">
        <v>0</v>
      </c>
      <c r="X452" t="b">
        <f>Validation[[#This Row],[Range1_Low]]&gt;=Validation[[#This Row],[Range1_High]]</f>
        <v>0</v>
      </c>
      <c r="Y452" s="111" t="s">
        <v>2845</v>
      </c>
    </row>
    <row r="453" spans="1:25" x14ac:dyDescent="0.25">
      <c r="A453" t="s">
        <v>68</v>
      </c>
      <c r="B453" t="s">
        <v>8</v>
      </c>
      <c r="C453">
        <v>0</v>
      </c>
      <c r="D453">
        <v>0.1</v>
      </c>
      <c r="E453">
        <v>1E-4</v>
      </c>
      <c r="F453" t="s">
        <v>6</v>
      </c>
      <c r="G453" t="s">
        <v>5</v>
      </c>
      <c r="H453">
        <v>0.01</v>
      </c>
      <c r="I453">
        <v>2</v>
      </c>
      <c r="J453" t="s">
        <v>10</v>
      </c>
      <c r="K453">
        <v>67.116</v>
      </c>
      <c r="L453">
        <v>737.26</v>
      </c>
      <c r="M453">
        <v>67.105000000000004</v>
      </c>
      <c r="N453">
        <v>737.07</v>
      </c>
      <c r="O453" t="s">
        <v>2833</v>
      </c>
      <c r="P453" t="s">
        <v>2833</v>
      </c>
      <c r="Q453" t="s">
        <v>2833</v>
      </c>
      <c r="R453">
        <f ca="1">RAND()*(Validation[[#This Row],[Range1_High]]-Validation[[#This Row],[Range1_Low]])+Validation[[#This Row],[Range1_Low]]</f>
        <v>9.4538377631623857E-2</v>
      </c>
      <c r="S453">
        <f>Validation[[#This Row],[Range2_High]]</f>
        <v>2</v>
      </c>
      <c r="T453" t="str" cm="1">
        <f t="array" aca="1" ref="T453" ca="1">RoundToTwoSigFigs(Validation[[#This Row],[Test Reading]]*Validation[[#This Row],[Mult]]+Validation[[#This Row],[Base]]) &amp;" "&amp;Validation[[#This Row],[Uncert_Units]]</f>
        <v>140 µV</v>
      </c>
      <c r="U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V453" t="b">
        <f ca="1">Validation[[#This Row],[Desired Result]]=Validation[[#This Row],[Result]]</f>
        <v>1</v>
      </c>
      <c r="W453" t="b">
        <v>0</v>
      </c>
      <c r="X453" t="b">
        <f>Validation[[#This Row],[Range1_Low]]&gt;=Validation[[#This Row],[Range1_High]]</f>
        <v>0</v>
      </c>
      <c r="Y453" s="111" t="s">
        <v>2845</v>
      </c>
    </row>
    <row r="454" spans="1:25" ht="15.75" thickBot="1" x14ac:dyDescent="0.3">
      <c r="A454" t="s">
        <v>55</v>
      </c>
      <c r="B454" t="s">
        <v>8</v>
      </c>
      <c r="C454">
        <v>10</v>
      </c>
      <c r="D454">
        <v>20</v>
      </c>
      <c r="E454">
        <v>1</v>
      </c>
      <c r="F454" t="s">
        <v>6</v>
      </c>
      <c r="G454" t="s">
        <v>4</v>
      </c>
      <c r="H454">
        <v>1E-3</v>
      </c>
      <c r="I454">
        <v>0.04</v>
      </c>
      <c r="J454" t="s">
        <v>10</v>
      </c>
      <c r="K454">
        <v>577.36</v>
      </c>
      <c r="L454">
        <v>3.4030000000000002E-3</v>
      </c>
      <c r="M454">
        <v>577.07000000000005</v>
      </c>
      <c r="N454">
        <v>3.2721999999999998E-3</v>
      </c>
      <c r="O454" t="s">
        <v>2833</v>
      </c>
      <c r="P454" t="s">
        <v>2833</v>
      </c>
      <c r="Q454" t="s">
        <v>2833</v>
      </c>
      <c r="R454">
        <f ca="1">RAND()*(Validation[[#This Row],[Range1_High]]-Validation[[#This Row],[Range1_Low]])+Validation[[#This Row],[Range1_Low]]</f>
        <v>18.222774947618923</v>
      </c>
      <c r="S454">
        <f>Validation[[#This Row],[Range2_High]]</f>
        <v>0.04</v>
      </c>
      <c r="T454" t="str" cm="1">
        <f t="array" aca="1" ref="T454" ca="1">RoundToTwoSigFigs(Validation[[#This Row],[Test Reading]]*Validation[[#This Row],[Mult]]+Validation[[#This Row],[Base]]) &amp;" "&amp;Validation[[#This Row],[Uncert_Units]]</f>
        <v>580 mV</v>
      </c>
      <c r="U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54" t="b">
        <f ca="1">Validation[[#This Row],[Desired Result]]=Validation[[#This Row],[Result]]</f>
        <v>1</v>
      </c>
      <c r="W454" t="b">
        <v>0</v>
      </c>
      <c r="X454" t="b">
        <f>Validation[[#This Row],[Range1_Low]]&gt;=Validation[[#This Row],[Range1_High]]</f>
        <v>0</v>
      </c>
      <c r="Y454" s="111" t="s">
        <v>2845</v>
      </c>
    </row>
    <row r="455" spans="1:25" ht="16.5" thickTop="1" thickBot="1" x14ac:dyDescent="0.3">
      <c r="A455" t="s">
        <v>54</v>
      </c>
      <c r="B455" t="s">
        <v>8</v>
      </c>
      <c r="C455" s="113">
        <v>33</v>
      </c>
      <c r="D455" s="113">
        <v>330.01</v>
      </c>
      <c r="E455">
        <v>1E-3</v>
      </c>
      <c r="F455" t="s">
        <v>6</v>
      </c>
      <c r="G455" t="s">
        <v>4</v>
      </c>
      <c r="H455">
        <v>4.4999999999999998E-2</v>
      </c>
      <c r="I455">
        <v>10.00001</v>
      </c>
      <c r="J455" t="s">
        <v>10</v>
      </c>
      <c r="K455">
        <v>12</v>
      </c>
      <c r="L455">
        <v>0.92</v>
      </c>
      <c r="M455">
        <v>10.393000000000001</v>
      </c>
      <c r="N455">
        <v>0.92459000000000002</v>
      </c>
      <c r="O455" t="s">
        <v>2833</v>
      </c>
      <c r="P455" t="s">
        <v>2833</v>
      </c>
      <c r="Q455" t="s">
        <v>2833</v>
      </c>
      <c r="R455">
        <f ca="1">RAND()*(Validation[[#This Row],[Range1_High]]-Validation[[#This Row],[Range1_Low]])+Validation[[#This Row],[Range1_Low]]</f>
        <v>202.41402836510977</v>
      </c>
      <c r="S455">
        <f>Validation[[#This Row],[Range2_High]]</f>
        <v>10.00001</v>
      </c>
      <c r="T455" t="str" cm="1">
        <f t="array" aca="1" ref="T455" ca="1">RoundToTwoSigFigs(Validation[[#This Row],[Test Reading]]*Validation[[#This Row],[Mult]]+Validation[[#This Row],[Base]]) &amp;" "&amp;Validation[[#This Row],[Uncert_Units]]</f>
        <v>200 mV</v>
      </c>
      <c r="U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V455" t="b">
        <f ca="1">Validation[[#This Row],[Desired Result]]=Validation[[#This Row],[Result]]</f>
        <v>1</v>
      </c>
      <c r="W455" t="b">
        <v>1</v>
      </c>
      <c r="X455" t="b">
        <f>Validation[[#This Row],[Range1_Low]]&gt;=Validation[[#This Row],[Range1_High]]</f>
        <v>0</v>
      </c>
      <c r="Y455" s="111" t="s">
        <v>2843</v>
      </c>
    </row>
    <row r="456" spans="1:25" ht="16.5" thickTop="1" thickBot="1" x14ac:dyDescent="0.3">
      <c r="A456" t="s">
        <v>55</v>
      </c>
      <c r="B456" t="s">
        <v>8</v>
      </c>
      <c r="C456" s="113">
        <v>0.1</v>
      </c>
      <c r="D456" s="113">
        <v>1</v>
      </c>
      <c r="E456">
        <v>9.9999999999999995E-8</v>
      </c>
      <c r="F456" t="s">
        <v>6</v>
      </c>
      <c r="G456" t="s">
        <v>4</v>
      </c>
      <c r="H456">
        <v>2000</v>
      </c>
      <c r="I456">
        <v>4000</v>
      </c>
      <c r="J456" t="s">
        <v>10</v>
      </c>
      <c r="K456">
        <v>1.2</v>
      </c>
      <c r="L456">
        <v>46</v>
      </c>
      <c r="M456">
        <v>0.80071999999999999</v>
      </c>
      <c r="N456">
        <v>46.326000000000001</v>
      </c>
      <c r="O456" t="s">
        <v>2833</v>
      </c>
      <c r="P456" t="s">
        <v>2833</v>
      </c>
      <c r="Q456" t="s">
        <v>2833</v>
      </c>
      <c r="R456">
        <f ca="1">RAND()*(Validation[[#This Row],[Range1_High]]-Validation[[#This Row],[Range1_Low]])+Validation[[#This Row],[Range1_Low]]</f>
        <v>0.36976489431258075</v>
      </c>
      <c r="S456">
        <f>Validation[[#This Row],[Range2_High]]</f>
        <v>4000</v>
      </c>
      <c r="T456" t="str" cm="1">
        <f t="array" aca="1" ref="T456" ca="1">RoundToTwoSigFigs(Validation[[#This Row],[Test Reading]]*Validation[[#This Row],[Mult]]+Validation[[#This Row],[Base]]) &amp;" "&amp;Validation[[#This Row],[Uncert_Units]]</f>
        <v>18 mV</v>
      </c>
      <c r="U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V456" t="b">
        <f ca="1">Validation[[#This Row],[Desired Result]]=Validation[[#This Row],[Result]]</f>
        <v>1</v>
      </c>
      <c r="W456" t="b">
        <v>1</v>
      </c>
      <c r="X456" t="b">
        <f>Validation[[#This Row],[Range1_Low]]&gt;=Validation[[#This Row],[Range1_High]]</f>
        <v>0</v>
      </c>
      <c r="Y456" s="111" t="s">
        <v>2843</v>
      </c>
    </row>
    <row r="457" spans="1:25" ht="15.75" thickTop="1" x14ac:dyDescent="0.25">
      <c r="A457" t="s">
        <v>55</v>
      </c>
      <c r="B457" t="s">
        <v>8</v>
      </c>
      <c r="C457">
        <v>0.1</v>
      </c>
      <c r="D457">
        <v>1</v>
      </c>
      <c r="E457">
        <v>0.01</v>
      </c>
      <c r="F457" t="s">
        <v>6</v>
      </c>
      <c r="G457" t="s">
        <v>5</v>
      </c>
      <c r="H457">
        <v>0.04</v>
      </c>
      <c r="I457">
        <v>1</v>
      </c>
      <c r="J457" t="s">
        <v>10</v>
      </c>
      <c r="K457">
        <v>5773.6</v>
      </c>
      <c r="L457">
        <v>0.95989999999999998</v>
      </c>
      <c r="M457">
        <v>5772.7</v>
      </c>
      <c r="N457">
        <v>0.94416</v>
      </c>
      <c r="O457" t="s">
        <v>2833</v>
      </c>
      <c r="P457" t="s">
        <v>2833</v>
      </c>
      <c r="Q457" t="s">
        <v>2833</v>
      </c>
      <c r="R457">
        <f ca="1">RAND()*(Validation[[#This Row],[Range1_High]]-Validation[[#This Row],[Range1_Low]])+Validation[[#This Row],[Range1_Low]]</f>
        <v>0.61780456640765569</v>
      </c>
      <c r="S457">
        <f>Validation[[#This Row],[Range2_High]]</f>
        <v>1</v>
      </c>
      <c r="T457" t="str" cm="1">
        <f t="array" aca="1" ref="T457" ca="1">RoundToTwoSigFigs(Validation[[#This Row],[Test Reading]]*Validation[[#This Row],[Mult]]+Validation[[#This Row],[Base]]) &amp;" "&amp;Validation[[#This Row],[Uncert_Units]]</f>
        <v>5800 µV</v>
      </c>
      <c r="U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457" t="b">
        <f ca="1">Validation[[#This Row],[Desired Result]]=Validation[[#This Row],[Result]]</f>
        <v>1</v>
      </c>
      <c r="W457" t="b">
        <v>0</v>
      </c>
      <c r="X457" t="b">
        <f>Validation[[#This Row],[Range1_Low]]&gt;=Validation[[#This Row],[Range1_High]]</f>
        <v>0</v>
      </c>
      <c r="Y457" s="111" t="s">
        <v>2845</v>
      </c>
    </row>
    <row r="458" spans="1:25" ht="15.75" thickBot="1" x14ac:dyDescent="0.3">
      <c r="A458" t="s">
        <v>54</v>
      </c>
      <c r="B458" t="s">
        <v>8</v>
      </c>
      <c r="C458">
        <v>0</v>
      </c>
      <c r="D458">
        <v>3.3009999999999998E-2</v>
      </c>
      <c r="E458">
        <v>0.1</v>
      </c>
      <c r="F458" t="s">
        <v>6</v>
      </c>
      <c r="G458" t="s">
        <v>5</v>
      </c>
      <c r="H458">
        <v>4.4999999999999998E-2</v>
      </c>
      <c r="I458">
        <v>10.00001</v>
      </c>
      <c r="J458" t="s">
        <v>10</v>
      </c>
      <c r="K458">
        <v>58000</v>
      </c>
      <c r="L458">
        <v>1.0481</v>
      </c>
      <c r="M458">
        <v>58000</v>
      </c>
      <c r="N458">
        <v>0.85309999999999997</v>
      </c>
      <c r="O458" t="s">
        <v>2833</v>
      </c>
      <c r="P458" t="s">
        <v>2833</v>
      </c>
      <c r="Q458" t="s">
        <v>2833</v>
      </c>
      <c r="R458">
        <f ca="1">RAND()*(Validation[[#This Row],[Range1_High]]-Validation[[#This Row],[Range1_Low]])+Validation[[#This Row],[Range1_Low]]</f>
        <v>2.7131469697593242E-2</v>
      </c>
      <c r="S458">
        <f>Validation[[#This Row],[Range2_High]]</f>
        <v>10.00001</v>
      </c>
      <c r="T458" t="str" cm="1">
        <f t="array" aca="1" ref="T458" ca="1">RoundToTwoSigFigs(Validation[[#This Row],[Test Reading]]*Validation[[#This Row],[Mult]]+Validation[[#This Row],[Base]]) &amp;" "&amp;Validation[[#This Row],[Uncert_Units]]</f>
        <v>58000 µV</v>
      </c>
      <c r="U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458" t="b">
        <f ca="1">Validation[[#This Row],[Desired Result]]=Validation[[#This Row],[Result]]</f>
        <v>1</v>
      </c>
      <c r="W458" t="b">
        <v>0</v>
      </c>
      <c r="X458" t="b">
        <f>Validation[[#This Row],[Range1_Low]]&gt;=Validation[[#This Row],[Range1_High]]</f>
        <v>0</v>
      </c>
      <c r="Y458" s="111" t="s">
        <v>2845</v>
      </c>
    </row>
    <row r="459" spans="1:25" ht="16.5" thickTop="1" thickBot="1" x14ac:dyDescent="0.3">
      <c r="A459" t="s">
        <v>55</v>
      </c>
      <c r="B459" t="s">
        <v>8</v>
      </c>
      <c r="C459" s="113">
        <v>0.01</v>
      </c>
      <c r="D459" s="113">
        <v>0.1</v>
      </c>
      <c r="E459">
        <v>1.0000000000000001E-5</v>
      </c>
      <c r="F459" t="s">
        <v>6</v>
      </c>
      <c r="G459" t="s">
        <v>5</v>
      </c>
      <c r="H459">
        <v>1</v>
      </c>
      <c r="I459">
        <v>20</v>
      </c>
      <c r="J459" t="s">
        <v>10</v>
      </c>
      <c r="K459">
        <v>6.2203999999999997</v>
      </c>
      <c r="L459">
        <v>137.65</v>
      </c>
      <c r="M459">
        <v>6.2175000000000002</v>
      </c>
      <c r="N459">
        <v>137.62</v>
      </c>
      <c r="O459" t="s">
        <v>2833</v>
      </c>
      <c r="P459" t="s">
        <v>2833</v>
      </c>
      <c r="Q459" t="s">
        <v>2833</v>
      </c>
      <c r="R459">
        <f ca="1">RAND()*(Validation[[#This Row],[Range1_High]]-Validation[[#This Row],[Range1_Low]])+Validation[[#This Row],[Range1_Low]]</f>
        <v>2.3850772584999312E-2</v>
      </c>
      <c r="S459">
        <f>Validation[[#This Row],[Range2_High]]</f>
        <v>20</v>
      </c>
      <c r="T459" t="str" cm="1">
        <f t="array" aca="1" ref="T459" ca="1">RoundToTwoSigFigs(Validation[[#This Row],[Test Reading]]*Validation[[#This Row],[Mult]]+Validation[[#This Row],[Base]]) &amp;" "&amp;Validation[[#This Row],[Uncert_Units]]</f>
        <v>9.5 µV</v>
      </c>
      <c r="U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µV</v>
      </c>
      <c r="V459" t="b">
        <f ca="1">Validation[[#This Row],[Desired Result]]=Validation[[#This Row],[Result]]</f>
        <v>1</v>
      </c>
      <c r="W459" t="b">
        <v>1</v>
      </c>
      <c r="X459" t="b">
        <f>Validation[[#This Row],[Range1_Low]]&gt;=Validation[[#This Row],[Range1_High]]</f>
        <v>0</v>
      </c>
      <c r="Y459" s="111" t="s">
        <v>2843</v>
      </c>
    </row>
    <row r="460" spans="1:25" ht="16.5" thickTop="1" thickBot="1" x14ac:dyDescent="0.3">
      <c r="A460" t="s">
        <v>54</v>
      </c>
      <c r="B460" t="s">
        <v>8</v>
      </c>
      <c r="C460">
        <v>3.3</v>
      </c>
      <c r="D460">
        <v>33.000999999999998</v>
      </c>
      <c r="E460">
        <v>1</v>
      </c>
      <c r="F460" t="s">
        <v>6</v>
      </c>
      <c r="G460" t="s">
        <v>4</v>
      </c>
      <c r="H460">
        <v>500</v>
      </c>
      <c r="I460">
        <v>501</v>
      </c>
      <c r="J460" t="s">
        <v>10</v>
      </c>
      <c r="K460">
        <v>579.33000000000004</v>
      </c>
      <c r="L460">
        <v>0.23723</v>
      </c>
      <c r="M460">
        <v>579.33000000000004</v>
      </c>
      <c r="N460">
        <v>0.23716999999999999</v>
      </c>
      <c r="O460" t="s">
        <v>2833</v>
      </c>
      <c r="P460" t="s">
        <v>2833</v>
      </c>
      <c r="Q460" t="s">
        <v>2833</v>
      </c>
      <c r="R460">
        <f ca="1">RAND()*(Validation[[#This Row],[Range1_High]]-Validation[[#This Row],[Range1_Low]])+Validation[[#This Row],[Range1_Low]]</f>
        <v>19.60594947396504</v>
      </c>
      <c r="S460">
        <f>Validation[[#This Row],[Range2_High]]</f>
        <v>501</v>
      </c>
      <c r="T460" t="str" cm="1">
        <f t="array" aca="1" ref="T460" ca="1">RoundToTwoSigFigs(Validation[[#This Row],[Test Reading]]*Validation[[#This Row],[Mult]]+Validation[[#This Row],[Base]]) &amp;" "&amp;Validation[[#This Row],[Uncert_Units]]</f>
        <v>580 mV</v>
      </c>
      <c r="U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60" t="b">
        <f ca="1">Validation[[#This Row],[Desired Result]]=Validation[[#This Row],[Result]]</f>
        <v>1</v>
      </c>
      <c r="W460" t="b">
        <v>0</v>
      </c>
      <c r="X460" t="b">
        <f>Validation[[#This Row],[Range1_Low]]&gt;=Validation[[#This Row],[Range1_High]]</f>
        <v>0</v>
      </c>
      <c r="Y460" s="111" t="s">
        <v>2845</v>
      </c>
    </row>
    <row r="461" spans="1:25" ht="16.5" thickTop="1" thickBot="1" x14ac:dyDescent="0.3">
      <c r="A461" t="s">
        <v>55</v>
      </c>
      <c r="B461" t="s">
        <v>8</v>
      </c>
      <c r="C461" s="113">
        <v>100</v>
      </c>
      <c r="D461" s="113">
        <v>330</v>
      </c>
      <c r="E461">
        <v>1E-4</v>
      </c>
      <c r="F461" t="s">
        <v>6</v>
      </c>
      <c r="G461" t="s">
        <v>4</v>
      </c>
      <c r="H461">
        <v>20</v>
      </c>
      <c r="I461">
        <v>50</v>
      </c>
      <c r="J461" t="s">
        <v>10</v>
      </c>
      <c r="K461">
        <v>23</v>
      </c>
      <c r="L461">
        <v>1.4</v>
      </c>
      <c r="M461">
        <v>23.053000000000001</v>
      </c>
      <c r="N461">
        <v>1.3878999999999999</v>
      </c>
      <c r="O461" t="s">
        <v>2833</v>
      </c>
      <c r="P461" t="s">
        <v>2833</v>
      </c>
      <c r="Q461" t="s">
        <v>2833</v>
      </c>
      <c r="R461">
        <f ca="1">RAND()*(Validation[[#This Row],[Range1_High]]-Validation[[#This Row],[Range1_Low]])+Validation[[#This Row],[Range1_Low]]</f>
        <v>151.72181076048528</v>
      </c>
      <c r="S461">
        <f>Validation[[#This Row],[Range2_High]]</f>
        <v>50</v>
      </c>
      <c r="T461" t="str" cm="1">
        <f t="array" aca="1" ref="T461" ca="1">RoundToTwoSigFigs(Validation[[#This Row],[Test Reading]]*Validation[[#This Row],[Mult]]+Validation[[#This Row],[Base]]) &amp;" "&amp;Validation[[#This Row],[Uncert_Units]]</f>
        <v>240 mV</v>
      </c>
      <c r="U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mV</v>
      </c>
      <c r="V461" t="b">
        <f ca="1">Validation[[#This Row],[Desired Result]]=Validation[[#This Row],[Result]]</f>
        <v>0</v>
      </c>
      <c r="W461" t="b">
        <v>1</v>
      </c>
      <c r="X461" t="b">
        <f>Validation[[#This Row],[Range1_Low]]&gt;=Validation[[#This Row],[Range1_High]]</f>
        <v>0</v>
      </c>
      <c r="Y461" s="111" t="s">
        <v>2843</v>
      </c>
    </row>
    <row r="462" spans="1:25" ht="16.5" thickTop="1" thickBot="1" x14ac:dyDescent="0.3">
      <c r="A462" t="s">
        <v>54</v>
      </c>
      <c r="B462" t="s">
        <v>8</v>
      </c>
      <c r="C462" s="113">
        <v>0.33</v>
      </c>
      <c r="D462" s="113">
        <v>3.3001</v>
      </c>
      <c r="E462">
        <v>1E-4</v>
      </c>
      <c r="F462" t="s">
        <v>6</v>
      </c>
      <c r="G462" t="s">
        <v>4</v>
      </c>
      <c r="H462">
        <v>0.01</v>
      </c>
      <c r="I462">
        <v>4.5010000000000001E-2</v>
      </c>
      <c r="J462" t="s">
        <v>10</v>
      </c>
      <c r="K462">
        <v>0.11</v>
      </c>
      <c r="L462">
        <v>0.56032999999999999</v>
      </c>
      <c r="M462">
        <v>0.10921</v>
      </c>
      <c r="N462">
        <v>0.56037000000000003</v>
      </c>
      <c r="O462" t="s">
        <v>2833</v>
      </c>
      <c r="P462" t="s">
        <v>2833</v>
      </c>
      <c r="Q462" t="s">
        <v>2833</v>
      </c>
      <c r="R462">
        <f ca="1">RAND()*(Validation[[#This Row],[Range1_High]]-Validation[[#This Row],[Range1_Low]])+Validation[[#This Row],[Range1_Low]]</f>
        <v>0.73526726609173532</v>
      </c>
      <c r="S462">
        <f>Validation[[#This Row],[Range2_High]]</f>
        <v>4.5010000000000001E-2</v>
      </c>
      <c r="T462" t="str" cm="1">
        <f t="array" aca="1" ref="T462" ca="1">RoundToTwoSigFigs(Validation[[#This Row],[Test Reading]]*Validation[[#This Row],[Mult]]+Validation[[#This Row],[Base]]) &amp;" "&amp;Validation[[#This Row],[Uncert_Units]]</f>
        <v>0.52 mV</v>
      </c>
      <c r="U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mV</v>
      </c>
      <c r="V462" t="b">
        <f ca="1">Validation[[#This Row],[Desired Result]]=Validation[[#This Row],[Result]]</f>
        <v>0</v>
      </c>
      <c r="W462" t="b">
        <v>1</v>
      </c>
      <c r="X462" t="b">
        <f>Validation[[#This Row],[Range1_Low]]&gt;=Validation[[#This Row],[Range1_High]]</f>
        <v>0</v>
      </c>
      <c r="Y462" s="111" t="s">
        <v>2843</v>
      </c>
    </row>
    <row r="463" spans="1:25" ht="16.5" thickTop="1" thickBot="1" x14ac:dyDescent="0.3">
      <c r="A463" t="s">
        <v>54</v>
      </c>
      <c r="B463" t="s">
        <v>8</v>
      </c>
      <c r="C463" s="113">
        <v>3.3000000000000002E-2</v>
      </c>
      <c r="D463" s="113">
        <v>0.33001000000000003</v>
      </c>
      <c r="E463">
        <v>1E-4</v>
      </c>
      <c r="F463" t="s">
        <v>6</v>
      </c>
      <c r="G463" t="s">
        <v>5</v>
      </c>
      <c r="H463">
        <v>4.4999999999999998E-2</v>
      </c>
      <c r="I463">
        <v>10.00001</v>
      </c>
      <c r="J463" t="s">
        <v>10</v>
      </c>
      <c r="K463">
        <v>58.585999999999999</v>
      </c>
      <c r="L463">
        <v>276.02999999999997</v>
      </c>
      <c r="M463">
        <v>58.482999999999997</v>
      </c>
      <c r="N463">
        <v>276.20999999999998</v>
      </c>
      <c r="O463" t="s">
        <v>2833</v>
      </c>
      <c r="P463" t="s">
        <v>2833</v>
      </c>
      <c r="Q463" t="s">
        <v>2833</v>
      </c>
      <c r="R463">
        <f ca="1">RAND()*(Validation[[#This Row],[Range1_High]]-Validation[[#This Row],[Range1_Low]])+Validation[[#This Row],[Range1_Low]]</f>
        <v>0.22341301738638394</v>
      </c>
      <c r="S463">
        <f>Validation[[#This Row],[Range2_High]]</f>
        <v>10.00001</v>
      </c>
      <c r="T463" t="str" cm="1">
        <f t="array" aca="1" ref="T463" ca="1">RoundToTwoSigFigs(Validation[[#This Row],[Test Reading]]*Validation[[#This Row],[Mult]]+Validation[[#This Row],[Base]]) &amp;" "&amp;Validation[[#This Row],[Uncert_Units]]</f>
        <v>120 µV</v>
      </c>
      <c r="U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V463" t="b">
        <f ca="1">Validation[[#This Row],[Desired Result]]=Validation[[#This Row],[Result]]</f>
        <v>0</v>
      </c>
      <c r="W463" t="b">
        <v>1</v>
      </c>
      <c r="X463" t="b">
        <f>Validation[[#This Row],[Range1_Low]]&gt;=Validation[[#This Row],[Range1_High]]</f>
        <v>0</v>
      </c>
      <c r="Y463" s="111" t="s">
        <v>2843</v>
      </c>
    </row>
    <row r="464" spans="1:25" ht="16.5" thickTop="1" thickBot="1" x14ac:dyDescent="0.3">
      <c r="A464" t="s">
        <v>54</v>
      </c>
      <c r="B464" t="s">
        <v>8</v>
      </c>
      <c r="C464" s="113">
        <v>3.3</v>
      </c>
      <c r="D464" s="113">
        <v>33.000999999999998</v>
      </c>
      <c r="E464">
        <v>1E-4</v>
      </c>
      <c r="F464" t="s">
        <v>6</v>
      </c>
      <c r="G464" t="s">
        <v>4</v>
      </c>
      <c r="H464">
        <v>100</v>
      </c>
      <c r="I464">
        <v>500</v>
      </c>
      <c r="J464" t="s">
        <v>10</v>
      </c>
      <c r="K464">
        <v>13</v>
      </c>
      <c r="L464">
        <v>4.5999999999999996</v>
      </c>
      <c r="M464">
        <v>2.3363999999999998</v>
      </c>
      <c r="N464">
        <v>2.6995</v>
      </c>
      <c r="O464" t="s">
        <v>2833</v>
      </c>
      <c r="P464" t="s">
        <v>2833</v>
      </c>
      <c r="Q464" t="s">
        <v>2833</v>
      </c>
      <c r="R464">
        <f ca="1">RAND()*(Validation[[#This Row],[Range1_High]]-Validation[[#This Row],[Range1_Low]])+Validation[[#This Row],[Range1_Low]]</f>
        <v>29.753292585599286</v>
      </c>
      <c r="S464">
        <f>Validation[[#This Row],[Range2_High]]</f>
        <v>500</v>
      </c>
      <c r="T464" t="str" cm="1">
        <f t="array" aca="1" ref="T464" ca="1">RoundToTwoSigFigs(Validation[[#This Row],[Test Reading]]*Validation[[#This Row],[Mult]]+Validation[[#This Row],[Base]]) &amp;" "&amp;Validation[[#This Row],[Uncert_Units]]</f>
        <v>150 mV</v>
      </c>
      <c r="U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V464" t="b">
        <f ca="1">Validation[[#This Row],[Desired Result]]=Validation[[#This Row],[Result]]</f>
        <v>1</v>
      </c>
      <c r="W464" t="b">
        <v>1</v>
      </c>
      <c r="X464" t="b">
        <f>Validation[[#This Row],[Range1_Low]]&gt;=Validation[[#This Row],[Range1_High]]</f>
        <v>0</v>
      </c>
      <c r="Y464" s="111" t="s">
        <v>2843</v>
      </c>
    </row>
    <row r="465" spans="1:25" ht="16.5" thickTop="1" thickBot="1" x14ac:dyDescent="0.3">
      <c r="A465" t="s">
        <v>55</v>
      </c>
      <c r="B465" t="s">
        <v>8</v>
      </c>
      <c r="C465">
        <v>0</v>
      </c>
      <c r="D465">
        <v>0.01</v>
      </c>
      <c r="E465">
        <v>9.9999999999999995E-7</v>
      </c>
      <c r="F465" t="s">
        <v>6</v>
      </c>
      <c r="G465" t="s">
        <v>5</v>
      </c>
      <c r="H465">
        <v>1000</v>
      </c>
      <c r="I465">
        <v>4000</v>
      </c>
      <c r="J465" t="s">
        <v>10</v>
      </c>
      <c r="K465">
        <v>23</v>
      </c>
      <c r="L465">
        <v>79581</v>
      </c>
      <c r="M465">
        <v>22.687999999999999</v>
      </c>
      <c r="N465">
        <v>79410</v>
      </c>
      <c r="O465" t="s">
        <v>2833</v>
      </c>
      <c r="P465" t="s">
        <v>2833</v>
      </c>
      <c r="Q465" t="s">
        <v>2833</v>
      </c>
      <c r="R465">
        <f ca="1">RAND()*(Validation[[#This Row],[Range1_High]]-Validation[[#This Row],[Range1_Low]])+Validation[[#This Row],[Range1_Low]]</f>
        <v>3.2385382040784152E-3</v>
      </c>
      <c r="S465">
        <f>Validation[[#This Row],[Range2_High]]</f>
        <v>4000</v>
      </c>
      <c r="T465" t="str" cm="1">
        <f t="array" aca="1" ref="T465" ca="1">RoundToTwoSigFigs(Validation[[#This Row],[Test Reading]]*Validation[[#This Row],[Mult]]+Validation[[#This Row],[Base]]) &amp;" "&amp;Validation[[#This Row],[Uncert_Units]]</f>
        <v>280 µV</v>
      </c>
      <c r="U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V465" t="b">
        <f ca="1">Validation[[#This Row],[Desired Result]]=Validation[[#This Row],[Result]]</f>
        <v>0</v>
      </c>
      <c r="W465" t="b">
        <v>1</v>
      </c>
      <c r="X465" t="b">
        <f>Validation[[#This Row],[Range1_Low]]&gt;=Validation[[#This Row],[Range1_High]]</f>
        <v>0</v>
      </c>
      <c r="Y465" s="111" t="s">
        <v>2845</v>
      </c>
    </row>
    <row r="466" spans="1:25" ht="16.5" thickTop="1" thickBot="1" x14ac:dyDescent="0.3">
      <c r="A466" t="s">
        <v>55</v>
      </c>
      <c r="B466" t="s">
        <v>8</v>
      </c>
      <c r="C466" s="113">
        <v>100</v>
      </c>
      <c r="D466" s="113">
        <v>1000</v>
      </c>
      <c r="E466">
        <v>1E-4</v>
      </c>
      <c r="F466" t="s">
        <v>6</v>
      </c>
      <c r="G466" t="s">
        <v>4</v>
      </c>
      <c r="H466">
        <v>1</v>
      </c>
      <c r="I466">
        <v>20</v>
      </c>
      <c r="J466" t="s">
        <v>10</v>
      </c>
      <c r="K466">
        <v>23</v>
      </c>
      <c r="L466">
        <v>0.7</v>
      </c>
      <c r="M466">
        <v>23.055</v>
      </c>
      <c r="N466">
        <v>0.69386999999999999</v>
      </c>
      <c r="O466" t="s">
        <v>2833</v>
      </c>
      <c r="P466" t="s">
        <v>2833</v>
      </c>
      <c r="Q466" t="s">
        <v>2833</v>
      </c>
      <c r="R466">
        <f ca="1">RAND()*(Validation[[#This Row],[Range1_High]]-Validation[[#This Row],[Range1_Low]])+Validation[[#This Row],[Range1_Low]]</f>
        <v>179.81183909427102</v>
      </c>
      <c r="S466">
        <f>Validation[[#This Row],[Range2_High]]</f>
        <v>20</v>
      </c>
      <c r="T466" t="str" cm="1">
        <f t="array" aca="1" ref="T466" ca="1">RoundToTwoSigFigs(Validation[[#This Row],[Test Reading]]*Validation[[#This Row],[Mult]]+Validation[[#This Row],[Base]]) &amp;" "&amp;Validation[[#This Row],[Uncert_Units]]</f>
        <v>150 mV</v>
      </c>
      <c r="U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V466" t="b">
        <f ca="1">Validation[[#This Row],[Desired Result]]=Validation[[#This Row],[Result]]</f>
        <v>1</v>
      </c>
      <c r="W466" t="b">
        <v>1</v>
      </c>
      <c r="X466" t="b">
        <f>Validation[[#This Row],[Range1_Low]]&gt;=Validation[[#This Row],[Range1_High]]</f>
        <v>0</v>
      </c>
      <c r="Y466" s="111" t="s">
        <v>2843</v>
      </c>
    </row>
    <row r="467" spans="1:25" ht="15.75" thickTop="1" x14ac:dyDescent="0.25">
      <c r="A467" t="s">
        <v>55</v>
      </c>
      <c r="B467" t="s">
        <v>8</v>
      </c>
      <c r="C467">
        <v>330</v>
      </c>
      <c r="D467">
        <v>1000</v>
      </c>
      <c r="E467">
        <v>1E-4</v>
      </c>
      <c r="F467" t="s">
        <v>6</v>
      </c>
      <c r="G467" t="s">
        <v>4</v>
      </c>
      <c r="H467">
        <v>1E-3</v>
      </c>
      <c r="I467">
        <v>0.04</v>
      </c>
      <c r="J467" t="s">
        <v>10</v>
      </c>
      <c r="K467">
        <v>50</v>
      </c>
      <c r="L467">
        <v>0.46</v>
      </c>
      <c r="M467">
        <v>46.106999999999999</v>
      </c>
      <c r="N467">
        <v>0.46338000000000001</v>
      </c>
      <c r="O467" t="s">
        <v>2833</v>
      </c>
      <c r="P467" t="s">
        <v>2833</v>
      </c>
      <c r="Q467" t="s">
        <v>2833</v>
      </c>
      <c r="R467">
        <f ca="1">RAND()*(Validation[[#This Row],[Range1_High]]-Validation[[#This Row],[Range1_Low]])+Validation[[#This Row],[Range1_Low]]</f>
        <v>952.39905733425155</v>
      </c>
      <c r="S467">
        <f>Validation[[#This Row],[Range2_High]]</f>
        <v>0.04</v>
      </c>
      <c r="T467" t="str" cm="1">
        <f t="array" aca="1" ref="T467" ca="1">RoundToTwoSigFigs(Validation[[#This Row],[Test Reading]]*Validation[[#This Row],[Mult]]+Validation[[#This Row],[Base]]) &amp;" "&amp;Validation[[#This Row],[Uncert_Units]]</f>
        <v>490 mV</v>
      </c>
      <c r="U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mV</v>
      </c>
      <c r="V467" t="b">
        <f ca="1">Validation[[#This Row],[Desired Result]]=Validation[[#This Row],[Result]]</f>
        <v>1</v>
      </c>
      <c r="W467" t="b">
        <v>0</v>
      </c>
      <c r="X467" t="b">
        <f>Validation[[#This Row],[Range1_Low]]&gt;=Validation[[#This Row],[Range1_High]]</f>
        <v>0</v>
      </c>
      <c r="Y467" s="111" t="s">
        <v>2845</v>
      </c>
    </row>
    <row r="468" spans="1:25" x14ac:dyDescent="0.25">
      <c r="A468" t="s">
        <v>54</v>
      </c>
      <c r="B468" t="s">
        <v>8</v>
      </c>
      <c r="C468">
        <v>3.3000000000000002E-2</v>
      </c>
      <c r="D468">
        <v>0.33001000000000003</v>
      </c>
      <c r="E468">
        <v>0.01</v>
      </c>
      <c r="F468" t="s">
        <v>6</v>
      </c>
      <c r="G468" t="s">
        <v>5</v>
      </c>
      <c r="H468">
        <v>4.4999999999999998E-2</v>
      </c>
      <c r="I468">
        <v>10.00001</v>
      </c>
      <c r="J468" t="s">
        <v>10</v>
      </c>
      <c r="K468">
        <v>5800</v>
      </c>
      <c r="L468">
        <v>5.1718000000000002</v>
      </c>
      <c r="M468">
        <v>5799.9</v>
      </c>
      <c r="N468">
        <v>5.1718000000000002</v>
      </c>
      <c r="O468" t="s">
        <v>2833</v>
      </c>
      <c r="P468" t="s">
        <v>2833</v>
      </c>
      <c r="Q468" t="s">
        <v>2833</v>
      </c>
      <c r="R468">
        <f ca="1">RAND()*(Validation[[#This Row],[Range1_High]]-Validation[[#This Row],[Range1_Low]])+Validation[[#This Row],[Range1_Low]]</f>
        <v>7.0243813765467789E-2</v>
      </c>
      <c r="S468">
        <f>Validation[[#This Row],[Range2_High]]</f>
        <v>10.00001</v>
      </c>
      <c r="T468" t="str" cm="1">
        <f t="array" aca="1" ref="T468" ca="1">RoundToTwoSigFigs(Validation[[#This Row],[Test Reading]]*Validation[[#This Row],[Mult]]+Validation[[#This Row],[Base]]) &amp;" "&amp;Validation[[#This Row],[Uncert_Units]]</f>
        <v>5800 µV</v>
      </c>
      <c r="U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468" t="b">
        <f ca="1">Validation[[#This Row],[Desired Result]]=Validation[[#This Row],[Result]]</f>
        <v>1</v>
      </c>
      <c r="W468" t="b">
        <v>0</v>
      </c>
      <c r="X468" t="b">
        <f>Validation[[#This Row],[Range1_Low]]&gt;=Validation[[#This Row],[Range1_High]]</f>
        <v>0</v>
      </c>
      <c r="Y468" s="111" t="s">
        <v>2845</v>
      </c>
    </row>
    <row r="469" spans="1:25" x14ac:dyDescent="0.25">
      <c r="A469" t="s">
        <v>54</v>
      </c>
      <c r="B469" t="s">
        <v>8</v>
      </c>
      <c r="C469">
        <v>0</v>
      </c>
      <c r="D469">
        <v>3.3009999999999998E-2</v>
      </c>
      <c r="E469">
        <v>1.0000000000000001E-5</v>
      </c>
      <c r="F469" t="s">
        <v>6</v>
      </c>
      <c r="G469" t="s">
        <v>5</v>
      </c>
      <c r="H469">
        <v>50</v>
      </c>
      <c r="I469">
        <v>100.01</v>
      </c>
      <c r="J469" t="s">
        <v>10</v>
      </c>
      <c r="K469">
        <v>40</v>
      </c>
      <c r="L469">
        <v>4017.5</v>
      </c>
      <c r="M469">
        <v>39.332000000000001</v>
      </c>
      <c r="N469">
        <v>4018</v>
      </c>
      <c r="O469" t="s">
        <v>2833</v>
      </c>
      <c r="P469" t="s">
        <v>2833</v>
      </c>
      <c r="Q469" t="s">
        <v>2833</v>
      </c>
      <c r="R469">
        <f ca="1">RAND()*(Validation[[#This Row],[Range1_High]]-Validation[[#This Row],[Range1_Low]])+Validation[[#This Row],[Range1_Low]]</f>
        <v>1.0078692069030509E-2</v>
      </c>
      <c r="S469">
        <f>Validation[[#This Row],[Range2_High]]</f>
        <v>100.01</v>
      </c>
      <c r="T469" t="str" cm="1">
        <f t="array" aca="1" ref="T469" ca="1">RoundToTwoSigFigs(Validation[[#This Row],[Test Reading]]*Validation[[#This Row],[Mult]]+Validation[[#This Row],[Base]]) &amp;" "&amp;Validation[[#This Row],[Uncert_Units]]</f>
        <v>80 µV</v>
      </c>
      <c r="U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V469" t="b">
        <f ca="1">Validation[[#This Row],[Desired Result]]=Validation[[#This Row],[Result]]</f>
        <v>1</v>
      </c>
      <c r="W469" t="b">
        <v>0</v>
      </c>
      <c r="X469" t="b">
        <f>Validation[[#This Row],[Range1_Low]]&gt;=Validation[[#This Row],[Range1_High]]</f>
        <v>0</v>
      </c>
      <c r="Y469" s="111" t="s">
        <v>2845</v>
      </c>
    </row>
    <row r="470" spans="1:25" ht="15.75" thickBot="1" x14ac:dyDescent="0.3">
      <c r="A470" t="s">
        <v>55</v>
      </c>
      <c r="B470" t="s">
        <v>8</v>
      </c>
      <c r="C470">
        <v>0</v>
      </c>
      <c r="D470">
        <v>0.01</v>
      </c>
      <c r="E470">
        <v>1E-3</v>
      </c>
      <c r="F470" t="s">
        <v>6</v>
      </c>
      <c r="G470" t="s">
        <v>5</v>
      </c>
      <c r="H470">
        <v>50</v>
      </c>
      <c r="I470">
        <v>100</v>
      </c>
      <c r="J470" t="s">
        <v>10</v>
      </c>
      <c r="K470">
        <v>577.4</v>
      </c>
      <c r="L470">
        <v>306.39</v>
      </c>
      <c r="M470">
        <v>577.16999999999996</v>
      </c>
      <c r="N470">
        <v>305.02</v>
      </c>
      <c r="O470" t="s">
        <v>2833</v>
      </c>
      <c r="P470" t="s">
        <v>2833</v>
      </c>
      <c r="Q470" t="s">
        <v>2833</v>
      </c>
      <c r="R470">
        <f ca="1">RAND()*(Validation[[#This Row],[Range1_High]]-Validation[[#This Row],[Range1_Low]])+Validation[[#This Row],[Range1_Low]]</f>
        <v>3.4902298248794838E-3</v>
      </c>
      <c r="S470">
        <f>Validation[[#This Row],[Range2_High]]</f>
        <v>100</v>
      </c>
      <c r="T470" t="str" cm="1">
        <f t="array" aca="1" ref="T470" ca="1">RoundToTwoSigFigs(Validation[[#This Row],[Test Reading]]*Validation[[#This Row],[Mult]]+Validation[[#This Row],[Base]]) &amp;" "&amp;Validation[[#This Row],[Uncert_Units]]</f>
        <v>580 µV</v>
      </c>
      <c r="U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V470" t="b">
        <f ca="1">Validation[[#This Row],[Desired Result]]=Validation[[#This Row],[Result]]</f>
        <v>0</v>
      </c>
      <c r="W470" t="b">
        <v>1</v>
      </c>
      <c r="X470" t="b">
        <f>Validation[[#This Row],[Range1_Low]]&gt;=Validation[[#This Row],[Range1_High]]</f>
        <v>0</v>
      </c>
      <c r="Y470" s="111" t="s">
        <v>2845</v>
      </c>
    </row>
    <row r="471" spans="1:25" ht="16.5" thickTop="1" thickBot="1" x14ac:dyDescent="0.3">
      <c r="A471" t="s">
        <v>55</v>
      </c>
      <c r="B471" t="s">
        <v>8</v>
      </c>
      <c r="C471" s="113">
        <v>0.01</v>
      </c>
      <c r="D471" s="113">
        <v>0.1</v>
      </c>
      <c r="E471">
        <v>9.9999999999999995E-7</v>
      </c>
      <c r="F471" t="s">
        <v>6</v>
      </c>
      <c r="G471" t="s">
        <v>5</v>
      </c>
      <c r="H471">
        <v>2000</v>
      </c>
      <c r="I471">
        <v>4000</v>
      </c>
      <c r="J471" t="s">
        <v>10</v>
      </c>
      <c r="K471">
        <v>110</v>
      </c>
      <c r="L471">
        <v>46000</v>
      </c>
      <c r="M471">
        <v>80.778999999999996</v>
      </c>
      <c r="N471">
        <v>46223</v>
      </c>
      <c r="O471" t="s">
        <v>2833</v>
      </c>
      <c r="P471" t="s">
        <v>2833</v>
      </c>
      <c r="Q471" t="s">
        <v>2833</v>
      </c>
      <c r="R471">
        <f ca="1">RAND()*(Validation[[#This Row],[Range1_High]]-Validation[[#This Row],[Range1_Low]])+Validation[[#This Row],[Range1_Low]]</f>
        <v>9.0353429123233228E-2</v>
      </c>
      <c r="S471">
        <f>Validation[[#This Row],[Range2_High]]</f>
        <v>4000</v>
      </c>
      <c r="T471" t="str" cm="1">
        <f t="array" aca="1" ref="T471" ca="1">RoundToTwoSigFigs(Validation[[#This Row],[Test Reading]]*Validation[[#This Row],[Mult]]+Validation[[#This Row],[Base]]) &amp;" "&amp;Validation[[#This Row],[Uncert_Units]]</f>
        <v>4300 µV</v>
      </c>
      <c r="U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µV</v>
      </c>
      <c r="V471" t="b">
        <f ca="1">Validation[[#This Row],[Desired Result]]=Validation[[#This Row],[Result]]</f>
        <v>1</v>
      </c>
      <c r="W471" t="b">
        <v>1</v>
      </c>
      <c r="X471" t="b">
        <f>Validation[[#This Row],[Range1_Low]]&gt;=Validation[[#This Row],[Range1_High]]</f>
        <v>0</v>
      </c>
      <c r="Y471" s="111" t="s">
        <v>2843</v>
      </c>
    </row>
    <row r="472" spans="1:25" ht="15.75" thickTop="1" x14ac:dyDescent="0.25">
      <c r="A472" t="s">
        <v>55</v>
      </c>
      <c r="B472" t="s">
        <v>8</v>
      </c>
      <c r="C472">
        <v>0</v>
      </c>
      <c r="D472">
        <v>0.01</v>
      </c>
      <c r="E472">
        <v>1</v>
      </c>
      <c r="F472" t="s">
        <v>6</v>
      </c>
      <c r="G472" t="s">
        <v>5</v>
      </c>
      <c r="H472">
        <v>4000</v>
      </c>
      <c r="I472">
        <v>8000</v>
      </c>
      <c r="J472" t="s">
        <v>10</v>
      </c>
      <c r="K472">
        <v>577360</v>
      </c>
      <c r="L472">
        <v>471.57</v>
      </c>
      <c r="M472">
        <v>577330</v>
      </c>
      <c r="N472">
        <v>470.19</v>
      </c>
      <c r="O472" t="s">
        <v>2833</v>
      </c>
      <c r="P472" t="s">
        <v>2833</v>
      </c>
      <c r="Q472" t="s">
        <v>2833</v>
      </c>
      <c r="R472">
        <f ca="1">RAND()*(Validation[[#This Row],[Range1_High]]-Validation[[#This Row],[Range1_Low]])+Validation[[#This Row],[Range1_Low]]</f>
        <v>4.7213202111209898E-3</v>
      </c>
      <c r="S472">
        <f>Validation[[#This Row],[Range2_High]]</f>
        <v>8000</v>
      </c>
      <c r="T472" t="str" cm="1">
        <f t="array" aca="1" ref="T472" ca="1">RoundToTwoSigFigs(Validation[[#This Row],[Test Reading]]*Validation[[#This Row],[Mult]]+Validation[[#This Row],[Base]]) &amp;" "&amp;Validation[[#This Row],[Uncert_Units]]</f>
        <v>580000 µV</v>
      </c>
      <c r="U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472" t="b">
        <f ca="1">Validation[[#This Row],[Desired Result]]=Validation[[#This Row],[Result]]</f>
        <v>1</v>
      </c>
      <c r="W472" t="b">
        <v>0</v>
      </c>
      <c r="X472" t="b">
        <f>Validation[[#This Row],[Range1_Low]]&gt;=Validation[[#This Row],[Range1_High]]</f>
        <v>0</v>
      </c>
      <c r="Y472" s="111" t="s">
        <v>2845</v>
      </c>
    </row>
    <row r="473" spans="1:25" x14ac:dyDescent="0.25">
      <c r="A473" t="s">
        <v>54</v>
      </c>
      <c r="B473" t="s">
        <v>8</v>
      </c>
      <c r="C473">
        <v>33</v>
      </c>
      <c r="D473">
        <v>330.01</v>
      </c>
      <c r="E473">
        <v>1</v>
      </c>
      <c r="F473" t="s">
        <v>6</v>
      </c>
      <c r="G473" t="s">
        <v>4</v>
      </c>
      <c r="H473">
        <v>4.4999999999999998E-2</v>
      </c>
      <c r="I473">
        <v>10.00001</v>
      </c>
      <c r="J473" t="s">
        <v>10</v>
      </c>
      <c r="K473">
        <v>572.72</v>
      </c>
      <c r="L473">
        <v>0.26556000000000002</v>
      </c>
      <c r="M473">
        <v>572.67999999999995</v>
      </c>
      <c r="N473">
        <v>0.26538</v>
      </c>
      <c r="O473" t="s">
        <v>2833</v>
      </c>
      <c r="P473" t="s">
        <v>2833</v>
      </c>
      <c r="Q473" t="s">
        <v>2833</v>
      </c>
      <c r="R473">
        <f ca="1">RAND()*(Validation[[#This Row],[Range1_High]]-Validation[[#This Row],[Range1_Low]])+Validation[[#This Row],[Range1_Low]]</f>
        <v>134.82421399024426</v>
      </c>
      <c r="S473">
        <f>Validation[[#This Row],[Range2_High]]</f>
        <v>10.00001</v>
      </c>
      <c r="T473" t="str" cm="1">
        <f t="array" aca="1" ref="T473" ca="1">RoundToTwoSigFigs(Validation[[#This Row],[Test Reading]]*Validation[[#This Row],[Mult]]+Validation[[#This Row],[Base]]) &amp;" "&amp;Validation[[#This Row],[Uncert_Units]]</f>
        <v>610 mV</v>
      </c>
      <c r="U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V473" t="b">
        <f ca="1">Validation[[#This Row],[Desired Result]]=Validation[[#This Row],[Result]]</f>
        <v>0</v>
      </c>
      <c r="W473" t="b">
        <v>1</v>
      </c>
      <c r="X473" t="b">
        <f>Validation[[#This Row],[Range1_Low]]&gt;=Validation[[#This Row],[Range1_High]]</f>
        <v>0</v>
      </c>
      <c r="Y473" s="111" t="s">
        <v>2845</v>
      </c>
    </row>
    <row r="474" spans="1:25" ht="15.75" thickBot="1" x14ac:dyDescent="0.3">
      <c r="A474" t="s">
        <v>55</v>
      </c>
      <c r="B474" t="s">
        <v>8</v>
      </c>
      <c r="C474">
        <v>330</v>
      </c>
      <c r="D474">
        <v>1000</v>
      </c>
      <c r="E474">
        <v>1E-3</v>
      </c>
      <c r="F474" t="s">
        <v>6</v>
      </c>
      <c r="G474" t="s">
        <v>4</v>
      </c>
      <c r="H474">
        <v>0.04</v>
      </c>
      <c r="I474">
        <v>1</v>
      </c>
      <c r="J474" t="s">
        <v>10</v>
      </c>
      <c r="K474">
        <v>27</v>
      </c>
      <c r="L474">
        <v>0.46050999999999997</v>
      </c>
      <c r="M474">
        <v>23.032</v>
      </c>
      <c r="N474">
        <v>0.46343000000000001</v>
      </c>
      <c r="O474" t="s">
        <v>2833</v>
      </c>
      <c r="P474" t="s">
        <v>2833</v>
      </c>
      <c r="Q474" t="s">
        <v>2833</v>
      </c>
      <c r="R474">
        <f ca="1">RAND()*(Validation[[#This Row],[Range1_High]]-Validation[[#This Row],[Range1_Low]])+Validation[[#This Row],[Range1_Low]]</f>
        <v>398.13418379741086</v>
      </c>
      <c r="S474">
        <f>Validation[[#This Row],[Range2_High]]</f>
        <v>1</v>
      </c>
      <c r="T474" t="str" cm="1">
        <f t="array" aca="1" ref="T474" ca="1">RoundToTwoSigFigs(Validation[[#This Row],[Test Reading]]*Validation[[#This Row],[Mult]]+Validation[[#This Row],[Base]]) &amp;" "&amp;Validation[[#This Row],[Uncert_Units]]</f>
        <v>210 mV</v>
      </c>
      <c r="U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V474" t="b">
        <f ca="1">Validation[[#This Row],[Desired Result]]=Validation[[#This Row],[Result]]</f>
        <v>0</v>
      </c>
      <c r="W474" t="b">
        <v>1</v>
      </c>
      <c r="X474" t="b">
        <f>Validation[[#This Row],[Range1_Low]]&gt;=Validation[[#This Row],[Range1_High]]</f>
        <v>0</v>
      </c>
      <c r="Y474" s="111" t="s">
        <v>2845</v>
      </c>
    </row>
    <row r="475" spans="1:25" ht="16.5" thickTop="1" thickBot="1" x14ac:dyDescent="0.3">
      <c r="A475" t="s">
        <v>54</v>
      </c>
      <c r="B475" t="s">
        <v>8</v>
      </c>
      <c r="C475" s="113">
        <v>33</v>
      </c>
      <c r="D475" s="113">
        <v>330.01</v>
      </c>
      <c r="E475">
        <v>0.01</v>
      </c>
      <c r="F475" t="s">
        <v>6</v>
      </c>
      <c r="G475" t="s">
        <v>4</v>
      </c>
      <c r="H475">
        <v>4.4999999999999998E-2</v>
      </c>
      <c r="I475">
        <v>10.00001</v>
      </c>
      <c r="J475" t="s">
        <v>10</v>
      </c>
      <c r="K475">
        <v>12</v>
      </c>
      <c r="L475">
        <v>0.92330999999999996</v>
      </c>
      <c r="M475">
        <v>10.834</v>
      </c>
      <c r="N475">
        <v>0.9234</v>
      </c>
      <c r="O475" t="s">
        <v>2833</v>
      </c>
      <c r="P475" t="s">
        <v>2833</v>
      </c>
      <c r="Q475" t="s">
        <v>2833</v>
      </c>
      <c r="R475">
        <f ca="1">RAND()*(Validation[[#This Row],[Range1_High]]-Validation[[#This Row],[Range1_Low]])+Validation[[#This Row],[Range1_Low]]</f>
        <v>83.177972772002789</v>
      </c>
      <c r="S475">
        <f>Validation[[#This Row],[Range2_High]]</f>
        <v>10.00001</v>
      </c>
      <c r="T475" t="str" cm="1">
        <f t="array" aca="1" ref="T475" ca="1">RoundToTwoSigFigs(Validation[[#This Row],[Test Reading]]*Validation[[#This Row],[Mult]]+Validation[[#This Row],[Base]]) &amp;" "&amp;Validation[[#This Row],[Uncert_Units]]</f>
        <v>89 mV</v>
      </c>
      <c r="U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mV</v>
      </c>
      <c r="V475" t="b">
        <f ca="1">Validation[[#This Row],[Desired Result]]=Validation[[#This Row],[Result]]</f>
        <v>1</v>
      </c>
      <c r="W475" t="b">
        <v>1</v>
      </c>
      <c r="X475" t="b">
        <f>Validation[[#This Row],[Range1_Low]]&gt;=Validation[[#This Row],[Range1_High]]</f>
        <v>0</v>
      </c>
      <c r="Y475" s="111" t="s">
        <v>2843</v>
      </c>
    </row>
    <row r="476" spans="1:25" ht="16.5" thickTop="1" thickBot="1" x14ac:dyDescent="0.3">
      <c r="A476" t="s">
        <v>54</v>
      </c>
      <c r="B476" t="s">
        <v>8</v>
      </c>
      <c r="C476">
        <v>33</v>
      </c>
      <c r="D476">
        <v>330.01</v>
      </c>
      <c r="E476">
        <v>10</v>
      </c>
      <c r="F476" t="s">
        <v>6</v>
      </c>
      <c r="G476" t="s">
        <v>4</v>
      </c>
      <c r="H476">
        <v>50</v>
      </c>
      <c r="I476">
        <v>100</v>
      </c>
      <c r="J476" t="s">
        <v>10</v>
      </c>
      <c r="K476">
        <v>5793.6</v>
      </c>
      <c r="L476">
        <v>0.28499000000000002</v>
      </c>
      <c r="M476">
        <v>5793.5</v>
      </c>
      <c r="N476">
        <v>0.28476000000000001</v>
      </c>
      <c r="O476" t="s">
        <v>2833</v>
      </c>
      <c r="P476" t="s">
        <v>2833</v>
      </c>
      <c r="Q476" t="s">
        <v>2833</v>
      </c>
      <c r="R476">
        <f ca="1">RAND()*(Validation[[#This Row],[Range1_High]]-Validation[[#This Row],[Range1_Low]])+Validation[[#This Row],[Range1_Low]]</f>
        <v>235.26025001136614</v>
      </c>
      <c r="S476">
        <f>Validation[[#This Row],[Range2_High]]</f>
        <v>100</v>
      </c>
      <c r="T476" t="str" cm="1">
        <f t="array" aca="1" ref="T476" ca="1">RoundToTwoSigFigs(Validation[[#This Row],[Test Reading]]*Validation[[#This Row],[Mult]]+Validation[[#This Row],[Base]]) &amp;" "&amp;Validation[[#This Row],[Uncert_Units]]</f>
        <v>5900 mV</v>
      </c>
      <c r="U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V476" t="b">
        <f ca="1">Validation[[#This Row],[Desired Result]]=Validation[[#This Row],[Result]]</f>
        <v>1</v>
      </c>
      <c r="W476" t="b">
        <v>1</v>
      </c>
      <c r="X476" t="b">
        <f>Validation[[#This Row],[Range1_Low]]&gt;=Validation[[#This Row],[Range1_High]]</f>
        <v>0</v>
      </c>
      <c r="Y476" s="111" t="s">
        <v>2845</v>
      </c>
    </row>
    <row r="477" spans="1:25" ht="16.5" thickTop="1" thickBot="1" x14ac:dyDescent="0.3">
      <c r="A477" t="s">
        <v>54</v>
      </c>
      <c r="B477" t="s">
        <v>8</v>
      </c>
      <c r="C477" s="113">
        <v>3.3000000000000002E-2</v>
      </c>
      <c r="D477" s="113">
        <v>0.33001000000000003</v>
      </c>
      <c r="E477">
        <v>1E-3</v>
      </c>
      <c r="F477" t="s">
        <v>6</v>
      </c>
      <c r="G477" t="s">
        <v>5</v>
      </c>
      <c r="H477">
        <v>0.01</v>
      </c>
      <c r="I477">
        <v>4.5010000000000001E-2</v>
      </c>
      <c r="J477" t="s">
        <v>10</v>
      </c>
      <c r="K477">
        <v>577.51</v>
      </c>
      <c r="L477">
        <v>123.44</v>
      </c>
      <c r="M477">
        <v>577.47</v>
      </c>
      <c r="N477">
        <v>123.45</v>
      </c>
      <c r="O477" t="s">
        <v>2833</v>
      </c>
      <c r="P477" t="s">
        <v>2833</v>
      </c>
      <c r="Q477" t="s">
        <v>2833</v>
      </c>
      <c r="R477">
        <f ca="1">RAND()*(Validation[[#This Row],[Range1_High]]-Validation[[#This Row],[Range1_Low]])+Validation[[#This Row],[Range1_Low]]</f>
        <v>0.30352414390620119</v>
      </c>
      <c r="S477">
        <f>Validation[[#This Row],[Range2_High]]</f>
        <v>4.5010000000000001E-2</v>
      </c>
      <c r="T477" t="str" cm="1">
        <f t="array" aca="1" ref="T477" ca="1">RoundToTwoSigFigs(Validation[[#This Row],[Test Reading]]*Validation[[#This Row],[Mult]]+Validation[[#This Row],[Base]]) &amp;" "&amp;Validation[[#This Row],[Uncert_Units]]</f>
        <v>610 µV</v>
      </c>
      <c r="U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V477" t="b">
        <f ca="1">Validation[[#This Row],[Desired Result]]=Validation[[#This Row],[Result]]</f>
        <v>1</v>
      </c>
      <c r="W477" t="b">
        <v>1</v>
      </c>
      <c r="X477" t="b">
        <f>Validation[[#This Row],[Range1_Low]]&gt;=Validation[[#This Row],[Range1_High]]</f>
        <v>0</v>
      </c>
      <c r="Y477" s="111" t="s">
        <v>2843</v>
      </c>
    </row>
    <row r="478" spans="1:25" ht="16.5" thickTop="1" thickBot="1" x14ac:dyDescent="0.3">
      <c r="A478" t="s">
        <v>54</v>
      </c>
      <c r="B478" t="s">
        <v>8</v>
      </c>
      <c r="C478" s="113">
        <v>3.3000000000000002E-2</v>
      </c>
      <c r="D478" s="113">
        <v>0.33001000000000003</v>
      </c>
      <c r="E478">
        <v>9.9999999999999995E-7</v>
      </c>
      <c r="F478" t="s">
        <v>6</v>
      </c>
      <c r="G478" t="s">
        <v>5</v>
      </c>
      <c r="H478">
        <v>4.4999999999999998E-2</v>
      </c>
      <c r="I478">
        <v>10.00001</v>
      </c>
      <c r="J478" t="s">
        <v>10</v>
      </c>
      <c r="K478">
        <v>24</v>
      </c>
      <c r="L478">
        <v>350</v>
      </c>
      <c r="M478">
        <v>23.254000000000001</v>
      </c>
      <c r="N478">
        <v>347.52</v>
      </c>
      <c r="O478" t="s">
        <v>2833</v>
      </c>
      <c r="P478" t="s">
        <v>2833</v>
      </c>
      <c r="Q478" t="s">
        <v>2833</v>
      </c>
      <c r="R478">
        <f ca="1">RAND()*(Validation[[#This Row],[Range1_High]]-Validation[[#This Row],[Range1_Low]])+Validation[[#This Row],[Range1_Low]]</f>
        <v>0.26156916124269219</v>
      </c>
      <c r="S478">
        <f>Validation[[#This Row],[Range2_High]]</f>
        <v>10.00001</v>
      </c>
      <c r="T478" t="str" cm="1">
        <f t="array" aca="1" ref="T478" ca="1">RoundToTwoSigFigs(Validation[[#This Row],[Test Reading]]*Validation[[#This Row],[Mult]]+Validation[[#This Row],[Base]]) &amp;" "&amp;Validation[[#This Row],[Uncert_Units]]</f>
        <v>120 µV</v>
      </c>
      <c r="U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V478" t="b">
        <f ca="1">Validation[[#This Row],[Desired Result]]=Validation[[#This Row],[Result]]</f>
        <v>1</v>
      </c>
      <c r="W478" t="b">
        <v>1</v>
      </c>
      <c r="X478" t="b">
        <f>Validation[[#This Row],[Range1_Low]]&gt;=Validation[[#This Row],[Range1_High]]</f>
        <v>0</v>
      </c>
      <c r="Y478" s="111" t="s">
        <v>2843</v>
      </c>
    </row>
    <row r="479" spans="1:25" ht="16.5" thickTop="1" thickBot="1" x14ac:dyDescent="0.3">
      <c r="A479" t="s">
        <v>55</v>
      </c>
      <c r="B479" t="s">
        <v>8</v>
      </c>
      <c r="C479" s="113">
        <v>1</v>
      </c>
      <c r="D479" s="113">
        <v>10</v>
      </c>
      <c r="E479">
        <v>0.01</v>
      </c>
      <c r="F479" t="s">
        <v>6</v>
      </c>
      <c r="G479" t="s">
        <v>4</v>
      </c>
      <c r="H479">
        <v>300</v>
      </c>
      <c r="I479">
        <v>1000</v>
      </c>
      <c r="J479" t="s">
        <v>10</v>
      </c>
      <c r="K479">
        <v>2.2239</v>
      </c>
      <c r="L479">
        <v>11.849</v>
      </c>
      <c r="M479">
        <v>2.4895999999999998</v>
      </c>
      <c r="N479">
        <v>11.566000000000001</v>
      </c>
      <c r="O479" t="s">
        <v>2833</v>
      </c>
      <c r="P479" t="s">
        <v>2833</v>
      </c>
      <c r="Q479" t="s">
        <v>2833</v>
      </c>
      <c r="R479">
        <f ca="1">RAND()*(Validation[[#This Row],[Range1_High]]-Validation[[#This Row],[Range1_Low]])+Validation[[#This Row],[Range1_Low]]</f>
        <v>1.3653317281353681</v>
      </c>
      <c r="S479">
        <f>Validation[[#This Row],[Range2_High]]</f>
        <v>1000</v>
      </c>
      <c r="T479" t="str" cm="1">
        <f t="array" aca="1" ref="T479" ca="1">RoundToTwoSigFigs(Validation[[#This Row],[Test Reading]]*Validation[[#This Row],[Mult]]+Validation[[#This Row],[Base]]) &amp;" "&amp;Validation[[#This Row],[Uncert_Units]]</f>
        <v>18 mV</v>
      </c>
      <c r="U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V479" t="b">
        <f ca="1">Validation[[#This Row],[Desired Result]]=Validation[[#This Row],[Result]]</f>
        <v>0</v>
      </c>
      <c r="W479" t="b">
        <v>1</v>
      </c>
      <c r="X479" t="b">
        <f>Validation[[#This Row],[Range1_Low]]&gt;=Validation[[#This Row],[Range1_High]]</f>
        <v>0</v>
      </c>
      <c r="Y479" s="111" t="s">
        <v>2843</v>
      </c>
    </row>
    <row r="480" spans="1:25" ht="16.5" thickTop="1" thickBot="1" x14ac:dyDescent="0.3">
      <c r="A480" t="s">
        <v>55</v>
      </c>
      <c r="B480" t="s">
        <v>8</v>
      </c>
      <c r="C480" s="113">
        <v>0.1</v>
      </c>
      <c r="D480" s="113">
        <v>1</v>
      </c>
      <c r="E480">
        <v>9.9999999999999995E-7</v>
      </c>
      <c r="F480" t="s">
        <v>6</v>
      </c>
      <c r="G480" t="s">
        <v>4</v>
      </c>
      <c r="H480">
        <v>2000</v>
      </c>
      <c r="I480">
        <v>4000</v>
      </c>
      <c r="J480" t="s">
        <v>10</v>
      </c>
      <c r="K480">
        <v>1.2</v>
      </c>
      <c r="L480">
        <v>46.029000000000003</v>
      </c>
      <c r="M480">
        <v>0.80071999999999999</v>
      </c>
      <c r="N480">
        <v>46.326000000000001</v>
      </c>
      <c r="O480" t="s">
        <v>2833</v>
      </c>
      <c r="P480" t="s">
        <v>2833</v>
      </c>
      <c r="Q480" t="s">
        <v>2833</v>
      </c>
      <c r="R480">
        <f ca="1">RAND()*(Validation[[#This Row],[Range1_High]]-Validation[[#This Row],[Range1_Low]])+Validation[[#This Row],[Range1_Low]]</f>
        <v>0.84787399728177926</v>
      </c>
      <c r="S480">
        <f>Validation[[#This Row],[Range2_High]]</f>
        <v>4000</v>
      </c>
      <c r="T480" t="str" cm="1">
        <f t="array" aca="1" ref="T480" ca="1">RoundToTwoSigFigs(Validation[[#This Row],[Test Reading]]*Validation[[#This Row],[Mult]]+Validation[[#This Row],[Base]]) &amp;" "&amp;Validation[[#This Row],[Uncert_Units]]</f>
        <v>40 mV</v>
      </c>
      <c r="U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V480" t="b">
        <f ca="1">Validation[[#This Row],[Desired Result]]=Validation[[#This Row],[Result]]</f>
        <v>1</v>
      </c>
      <c r="W480" t="b">
        <v>1</v>
      </c>
      <c r="X480" t="b">
        <f>Validation[[#This Row],[Range1_Low]]&gt;=Validation[[#This Row],[Range1_High]]</f>
        <v>0</v>
      </c>
      <c r="Y480" s="111" t="s">
        <v>2843</v>
      </c>
    </row>
    <row r="481" spans="1:25" ht="16.5" thickTop="1" thickBot="1" x14ac:dyDescent="0.3">
      <c r="A481" t="s">
        <v>55</v>
      </c>
      <c r="B481" t="s">
        <v>8</v>
      </c>
      <c r="C481" s="113">
        <v>100</v>
      </c>
      <c r="D481" s="113">
        <v>1000</v>
      </c>
      <c r="E481">
        <v>0.01</v>
      </c>
      <c r="F481" t="s">
        <v>6</v>
      </c>
      <c r="G481" t="s">
        <v>4</v>
      </c>
      <c r="H481">
        <v>20</v>
      </c>
      <c r="I481">
        <v>50</v>
      </c>
      <c r="J481" t="s">
        <v>10</v>
      </c>
      <c r="K481">
        <v>23</v>
      </c>
      <c r="L481">
        <v>1.4</v>
      </c>
      <c r="M481">
        <v>23.007000000000001</v>
      </c>
      <c r="N481">
        <v>1.3895</v>
      </c>
      <c r="O481" t="s">
        <v>2833</v>
      </c>
      <c r="P481" t="s">
        <v>2833</v>
      </c>
      <c r="Q481" t="s">
        <v>2833</v>
      </c>
      <c r="R481">
        <f ca="1">RAND()*(Validation[[#This Row],[Range1_High]]-Validation[[#This Row],[Range1_Low]])+Validation[[#This Row],[Range1_Low]]</f>
        <v>491.2340272380988</v>
      </c>
      <c r="S481">
        <f>Validation[[#This Row],[Range2_High]]</f>
        <v>50</v>
      </c>
      <c r="T481" t="str" cm="1">
        <f t="array" aca="1" ref="T481" ca="1">RoundToTwoSigFigs(Validation[[#This Row],[Test Reading]]*Validation[[#This Row],[Mult]]+Validation[[#This Row],[Base]]) &amp;" "&amp;Validation[[#This Row],[Uncert_Units]]</f>
        <v>710 mV</v>
      </c>
      <c r="U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mV</v>
      </c>
      <c r="V481" t="b">
        <f ca="1">Validation[[#This Row],[Desired Result]]=Validation[[#This Row],[Result]]</f>
        <v>0</v>
      </c>
      <c r="W481" t="b">
        <v>1</v>
      </c>
      <c r="X481" t="b">
        <f>Validation[[#This Row],[Range1_Low]]&gt;=Validation[[#This Row],[Range1_High]]</f>
        <v>0</v>
      </c>
      <c r="Y481" s="111" t="s">
        <v>2843</v>
      </c>
    </row>
    <row r="482" spans="1:25" ht="16.5" thickTop="1" thickBot="1" x14ac:dyDescent="0.3">
      <c r="A482" t="s">
        <v>54</v>
      </c>
      <c r="B482" t="s">
        <v>8</v>
      </c>
      <c r="C482" s="113">
        <v>3.3</v>
      </c>
      <c r="D482" s="113">
        <v>33.000999999999998</v>
      </c>
      <c r="E482">
        <v>1E-3</v>
      </c>
      <c r="F482" t="s">
        <v>6</v>
      </c>
      <c r="G482" t="s">
        <v>4</v>
      </c>
      <c r="H482">
        <v>100</v>
      </c>
      <c r="I482">
        <v>500</v>
      </c>
      <c r="J482" t="s">
        <v>10</v>
      </c>
      <c r="K482">
        <v>13</v>
      </c>
      <c r="L482">
        <v>4.5999999999999996</v>
      </c>
      <c r="M482">
        <v>2.3500999999999999</v>
      </c>
      <c r="N482">
        <v>2.6989999999999998</v>
      </c>
      <c r="O482" t="s">
        <v>2833</v>
      </c>
      <c r="P482" t="s">
        <v>2833</v>
      </c>
      <c r="Q482" t="s">
        <v>2833</v>
      </c>
      <c r="R482">
        <f ca="1">RAND()*(Validation[[#This Row],[Range1_High]]-Validation[[#This Row],[Range1_Low]])+Validation[[#This Row],[Range1_Low]]</f>
        <v>26.064423238873516</v>
      </c>
      <c r="S482">
        <f>Validation[[#This Row],[Range2_High]]</f>
        <v>500</v>
      </c>
      <c r="T482" t="str" cm="1">
        <f t="array" aca="1" ref="T482" ca="1">RoundToTwoSigFigs(Validation[[#This Row],[Test Reading]]*Validation[[#This Row],[Mult]]+Validation[[#This Row],[Base]]) &amp;" "&amp;Validation[[#This Row],[Uncert_Units]]</f>
        <v>130 mV</v>
      </c>
      <c r="U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482" t="b">
        <f ca="1">Validation[[#This Row],[Desired Result]]=Validation[[#This Row],[Result]]</f>
        <v>1</v>
      </c>
      <c r="W482" t="b">
        <v>1</v>
      </c>
      <c r="X482" t="b">
        <f>Validation[[#This Row],[Range1_Low]]&gt;=Validation[[#This Row],[Range1_High]]</f>
        <v>0</v>
      </c>
      <c r="Y482" s="111" t="s">
        <v>2843</v>
      </c>
    </row>
    <row r="483" spans="1:25" ht="15.75" thickTop="1" x14ac:dyDescent="0.25">
      <c r="A483" t="s">
        <v>68</v>
      </c>
      <c r="B483" t="s">
        <v>8</v>
      </c>
      <c r="C483">
        <v>1</v>
      </c>
      <c r="D483">
        <v>10</v>
      </c>
      <c r="E483">
        <v>1</v>
      </c>
      <c r="F483" t="s">
        <v>6</v>
      </c>
      <c r="G483" t="s">
        <v>4</v>
      </c>
      <c r="H483">
        <v>0.01</v>
      </c>
      <c r="I483">
        <v>2</v>
      </c>
      <c r="J483" t="s">
        <v>10</v>
      </c>
      <c r="K483">
        <v>577.36</v>
      </c>
      <c r="L483">
        <v>1.4397E-2</v>
      </c>
      <c r="M483">
        <v>577.36</v>
      </c>
      <c r="N483">
        <v>1.4E-2</v>
      </c>
      <c r="O483" t="s">
        <v>2833</v>
      </c>
      <c r="P483" t="s">
        <v>2833</v>
      </c>
      <c r="Q483" t="s">
        <v>2833</v>
      </c>
      <c r="R483">
        <f ca="1">RAND()*(Validation[[#This Row],[Range1_High]]-Validation[[#This Row],[Range1_Low]])+Validation[[#This Row],[Range1_Low]]</f>
        <v>7.342832123981208</v>
      </c>
      <c r="S483">
        <f>Validation[[#This Row],[Range2_High]]</f>
        <v>2</v>
      </c>
      <c r="T483" t="str" cm="1">
        <f t="array" aca="1" ref="T483" ca="1">RoundToTwoSigFigs(Validation[[#This Row],[Test Reading]]*Validation[[#This Row],[Mult]]+Validation[[#This Row],[Base]]) &amp;" "&amp;Validation[[#This Row],[Uncert_Units]]</f>
        <v>580 mV</v>
      </c>
      <c r="U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83" t="b">
        <f ca="1">Validation[[#This Row],[Desired Result]]=Validation[[#This Row],[Result]]</f>
        <v>1</v>
      </c>
      <c r="W483" t="b">
        <v>0</v>
      </c>
      <c r="X483" t="b">
        <f>Validation[[#This Row],[Range1_Low]]&gt;=Validation[[#This Row],[Range1_High]]</f>
        <v>0</v>
      </c>
      <c r="Y483" s="111" t="s">
        <v>2845</v>
      </c>
    </row>
    <row r="484" spans="1:25" x14ac:dyDescent="0.25">
      <c r="A484" t="s">
        <v>54</v>
      </c>
      <c r="B484" t="s">
        <v>8</v>
      </c>
      <c r="C484">
        <v>33</v>
      </c>
      <c r="D484">
        <v>330.01</v>
      </c>
      <c r="E484">
        <v>1</v>
      </c>
      <c r="F484" t="s">
        <v>6</v>
      </c>
      <c r="G484" t="s">
        <v>4</v>
      </c>
      <c r="H484">
        <v>0.01</v>
      </c>
      <c r="I484">
        <v>4.5010000000000001E-2</v>
      </c>
      <c r="J484" t="s">
        <v>10</v>
      </c>
      <c r="K484">
        <v>576.98</v>
      </c>
      <c r="L484">
        <v>0.10542</v>
      </c>
      <c r="M484">
        <v>576.96</v>
      </c>
      <c r="N484">
        <v>0.10532999999999999</v>
      </c>
      <c r="O484" t="s">
        <v>2833</v>
      </c>
      <c r="P484" t="s">
        <v>2833</v>
      </c>
      <c r="Q484" t="s">
        <v>2833</v>
      </c>
      <c r="R484">
        <f ca="1">RAND()*(Validation[[#This Row],[Range1_High]]-Validation[[#This Row],[Range1_Low]])+Validation[[#This Row],[Range1_Low]]</f>
        <v>281.87046526452031</v>
      </c>
      <c r="S484">
        <f>Validation[[#This Row],[Range2_High]]</f>
        <v>4.5010000000000001E-2</v>
      </c>
      <c r="T484" t="str" cm="1">
        <f t="array" aca="1" ref="T484" ca="1">RoundToTwoSigFigs(Validation[[#This Row],[Test Reading]]*Validation[[#This Row],[Mult]]+Validation[[#This Row],[Base]]) &amp;" "&amp;Validation[[#This Row],[Uncert_Units]]</f>
        <v>610 mV</v>
      </c>
      <c r="U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V484" t="b">
        <f ca="1">Validation[[#This Row],[Desired Result]]=Validation[[#This Row],[Result]]</f>
        <v>0</v>
      </c>
      <c r="W484" t="b">
        <v>0</v>
      </c>
      <c r="X484" t="b">
        <f>Validation[[#This Row],[Range1_Low]]&gt;=Validation[[#This Row],[Range1_High]]</f>
        <v>0</v>
      </c>
      <c r="Y484" s="111" t="s">
        <v>2845</v>
      </c>
    </row>
    <row r="485" spans="1:25" ht="15.75" thickBot="1" x14ac:dyDescent="0.3">
      <c r="A485" t="s">
        <v>54</v>
      </c>
      <c r="B485" t="s">
        <v>8</v>
      </c>
      <c r="C485">
        <v>3.3000000000000002E-2</v>
      </c>
      <c r="D485">
        <v>0.33001000000000003</v>
      </c>
      <c r="E485">
        <v>0.01</v>
      </c>
      <c r="F485" t="s">
        <v>6</v>
      </c>
      <c r="G485" t="s">
        <v>5</v>
      </c>
      <c r="H485">
        <v>0.01</v>
      </c>
      <c r="I485">
        <v>4.5010000000000001E-2</v>
      </c>
      <c r="J485" t="s">
        <v>10</v>
      </c>
      <c r="K485">
        <v>5799.8</v>
      </c>
      <c r="L485">
        <v>12.763</v>
      </c>
      <c r="M485">
        <v>577.47</v>
      </c>
      <c r="N485">
        <v>12.763</v>
      </c>
      <c r="O485" t="s">
        <v>2833</v>
      </c>
      <c r="P485" t="s">
        <v>2833</v>
      </c>
      <c r="Q485" t="s">
        <v>2833</v>
      </c>
      <c r="R485">
        <f ca="1">RAND()*(Validation[[#This Row],[Range1_High]]-Validation[[#This Row],[Range1_Low]])+Validation[[#This Row],[Range1_Low]]</f>
        <v>0.28579338076998273</v>
      </c>
      <c r="S485">
        <f>Validation[[#This Row],[Range2_High]]</f>
        <v>4.5010000000000001E-2</v>
      </c>
      <c r="T485" t="str" cm="1">
        <f t="array" aca="1" ref="T485" ca="1">RoundToTwoSigFigs(Validation[[#This Row],[Test Reading]]*Validation[[#This Row],[Mult]]+Validation[[#This Row],[Base]]) &amp;" "&amp;Validation[[#This Row],[Uncert_Units]]</f>
        <v>5800 µV</v>
      </c>
      <c r="U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485" t="b">
        <f ca="1">Validation[[#This Row],[Desired Result]]=Validation[[#This Row],[Result]]</f>
        <v>1</v>
      </c>
      <c r="W485" t="b">
        <v>0</v>
      </c>
      <c r="X485" t="b">
        <f>Validation[[#This Row],[Range1_Low]]&gt;=Validation[[#This Row],[Range1_High]]</f>
        <v>0</v>
      </c>
      <c r="Y485" s="111" t="s">
        <v>2845</v>
      </c>
    </row>
    <row r="486" spans="1:25" ht="16.5" thickTop="1" thickBot="1" x14ac:dyDescent="0.3">
      <c r="A486" t="s">
        <v>55</v>
      </c>
      <c r="B486" t="s">
        <v>8</v>
      </c>
      <c r="C486" s="113">
        <v>0.1</v>
      </c>
      <c r="D486" s="113">
        <v>1</v>
      </c>
      <c r="E486">
        <v>1E-4</v>
      </c>
      <c r="F486" t="s">
        <v>6</v>
      </c>
      <c r="G486" t="s">
        <v>5</v>
      </c>
      <c r="H486">
        <v>300</v>
      </c>
      <c r="I486">
        <v>1000</v>
      </c>
      <c r="J486" t="s">
        <v>10</v>
      </c>
      <c r="K486">
        <v>120</v>
      </c>
      <c r="L486">
        <v>12000</v>
      </c>
      <c r="M486">
        <v>111.87</v>
      </c>
      <c r="N486">
        <v>11674</v>
      </c>
      <c r="O486" t="s">
        <v>2833</v>
      </c>
      <c r="P486" t="s">
        <v>2833</v>
      </c>
      <c r="Q486" t="s">
        <v>2833</v>
      </c>
      <c r="R486">
        <f ca="1">RAND()*(Validation[[#This Row],[Range1_High]]-Validation[[#This Row],[Range1_Low]])+Validation[[#This Row],[Range1_Low]]</f>
        <v>0.13503990582711856</v>
      </c>
      <c r="S486">
        <f>Validation[[#This Row],[Range2_High]]</f>
        <v>1000</v>
      </c>
      <c r="T486" t="str" cm="1">
        <f t="array" aca="1" ref="T486" ca="1">RoundToTwoSigFigs(Validation[[#This Row],[Test Reading]]*Validation[[#This Row],[Mult]]+Validation[[#This Row],[Base]]) &amp;" "&amp;Validation[[#This Row],[Uncert_Units]]</f>
        <v>1700 µV</v>
      </c>
      <c r="U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V486" t="b">
        <f ca="1">Validation[[#This Row],[Desired Result]]=Validation[[#This Row],[Result]]</f>
        <v>1</v>
      </c>
      <c r="W486" t="b">
        <v>1</v>
      </c>
      <c r="X486" t="b">
        <f>Validation[[#This Row],[Range1_Low]]&gt;=Validation[[#This Row],[Range1_High]]</f>
        <v>0</v>
      </c>
      <c r="Y486" s="111" t="s">
        <v>2843</v>
      </c>
    </row>
    <row r="487" spans="1:25" ht="16.5" thickTop="1" thickBot="1" x14ac:dyDescent="0.3">
      <c r="A487" t="s">
        <v>55</v>
      </c>
      <c r="B487" t="s">
        <v>8</v>
      </c>
      <c r="C487">
        <v>20</v>
      </c>
      <c r="D487">
        <v>100</v>
      </c>
      <c r="E487">
        <v>1</v>
      </c>
      <c r="F487" t="s">
        <v>6</v>
      </c>
      <c r="G487" t="s">
        <v>4</v>
      </c>
      <c r="H487">
        <v>20</v>
      </c>
      <c r="I487">
        <v>50</v>
      </c>
      <c r="J487" t="s">
        <v>10</v>
      </c>
      <c r="K487">
        <v>577.28</v>
      </c>
      <c r="L487">
        <v>1.7106E-2</v>
      </c>
      <c r="M487">
        <v>575.94000000000005</v>
      </c>
      <c r="N487">
        <v>1.704E-2</v>
      </c>
      <c r="O487" t="s">
        <v>2833</v>
      </c>
      <c r="P487" t="s">
        <v>2833</v>
      </c>
      <c r="Q487" t="s">
        <v>2833</v>
      </c>
      <c r="R487">
        <f ca="1">RAND()*(Validation[[#This Row],[Range1_High]]-Validation[[#This Row],[Range1_Low]])+Validation[[#This Row],[Range1_Low]]</f>
        <v>27.139987974919286</v>
      </c>
      <c r="S487">
        <f>Validation[[#This Row],[Range2_High]]</f>
        <v>50</v>
      </c>
      <c r="T487" t="str" cm="1">
        <f t="array" aca="1" ref="T487" ca="1">RoundToTwoSigFigs(Validation[[#This Row],[Test Reading]]*Validation[[#This Row],[Mult]]+Validation[[#This Row],[Base]]) &amp;" "&amp;Validation[[#This Row],[Uncert_Units]]</f>
        <v>580 mV</v>
      </c>
      <c r="U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87" t="b">
        <f ca="1">Validation[[#This Row],[Desired Result]]=Validation[[#This Row],[Result]]</f>
        <v>1</v>
      </c>
      <c r="W487" t="b">
        <v>0</v>
      </c>
      <c r="X487" t="b">
        <f>Validation[[#This Row],[Range1_Low]]&gt;=Validation[[#This Row],[Range1_High]]</f>
        <v>0</v>
      </c>
      <c r="Y487" s="111" t="s">
        <v>2845</v>
      </c>
    </row>
    <row r="488" spans="1:25" ht="16.5" thickTop="1" thickBot="1" x14ac:dyDescent="0.3">
      <c r="A488" t="s">
        <v>55</v>
      </c>
      <c r="B488" t="s">
        <v>8</v>
      </c>
      <c r="C488" s="113">
        <v>0.01</v>
      </c>
      <c r="D488" s="113">
        <v>0.1</v>
      </c>
      <c r="E488">
        <v>1E-3</v>
      </c>
      <c r="F488" t="s">
        <v>6</v>
      </c>
      <c r="G488" t="s">
        <v>5</v>
      </c>
      <c r="H488">
        <v>300</v>
      </c>
      <c r="I488">
        <v>1000</v>
      </c>
      <c r="J488" t="s">
        <v>10</v>
      </c>
      <c r="K488">
        <v>511.75</v>
      </c>
      <c r="L488">
        <v>7972.6</v>
      </c>
      <c r="M488">
        <v>476.24</v>
      </c>
      <c r="N488">
        <v>7972.4</v>
      </c>
      <c r="O488" t="s">
        <v>2833</v>
      </c>
      <c r="P488" t="s">
        <v>2833</v>
      </c>
      <c r="Q488" t="s">
        <v>2833</v>
      </c>
      <c r="R488">
        <f ca="1">RAND()*(Validation[[#This Row],[Range1_High]]-Validation[[#This Row],[Range1_Low]])+Validation[[#This Row],[Range1_Low]]</f>
        <v>1.2722508470389519E-2</v>
      </c>
      <c r="S488">
        <f>Validation[[#This Row],[Range2_High]]</f>
        <v>1000</v>
      </c>
      <c r="T488" t="str" cm="1">
        <f t="array" aca="1" ref="T488" ca="1">RoundToTwoSigFigs(Validation[[#This Row],[Test Reading]]*Validation[[#This Row],[Mult]]+Validation[[#This Row],[Base]]) &amp;" "&amp;Validation[[#This Row],[Uncert_Units]]</f>
        <v>610 µV</v>
      </c>
      <c r="U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V488" t="b">
        <f ca="1">Validation[[#This Row],[Desired Result]]=Validation[[#This Row],[Result]]</f>
        <v>1</v>
      </c>
      <c r="W488" t="b">
        <v>1</v>
      </c>
      <c r="X488" t="b">
        <f>Validation[[#This Row],[Range1_Low]]&gt;=Validation[[#This Row],[Range1_High]]</f>
        <v>0</v>
      </c>
      <c r="Y488" s="111" t="s">
        <v>2843</v>
      </c>
    </row>
    <row r="489" spans="1:25" ht="16.5" thickTop="1" thickBot="1" x14ac:dyDescent="0.3">
      <c r="A489" t="s">
        <v>55</v>
      </c>
      <c r="B489" t="s">
        <v>8</v>
      </c>
      <c r="C489" s="113">
        <v>1</v>
      </c>
      <c r="D489" s="113">
        <v>10</v>
      </c>
      <c r="E489">
        <v>1E-3</v>
      </c>
      <c r="F489" t="s">
        <v>6</v>
      </c>
      <c r="G489" t="s">
        <v>4</v>
      </c>
      <c r="H489">
        <v>300</v>
      </c>
      <c r="I489">
        <v>1000</v>
      </c>
      <c r="J489" t="s">
        <v>10</v>
      </c>
      <c r="K489">
        <v>0.84662999999999999</v>
      </c>
      <c r="L489">
        <v>11.986000000000001</v>
      </c>
      <c r="M489">
        <v>1.141</v>
      </c>
      <c r="N489">
        <v>11.686999999999999</v>
      </c>
      <c r="O489" t="s">
        <v>2833</v>
      </c>
      <c r="P489" t="s">
        <v>2833</v>
      </c>
      <c r="Q489" t="s">
        <v>2833</v>
      </c>
      <c r="R489">
        <f ca="1">RAND()*(Validation[[#This Row],[Range1_High]]-Validation[[#This Row],[Range1_Low]])+Validation[[#This Row],[Range1_Low]]</f>
        <v>8.7335794716733268</v>
      </c>
      <c r="S489">
        <f>Validation[[#This Row],[Range2_High]]</f>
        <v>1000</v>
      </c>
      <c r="T489" t="str" cm="1">
        <f t="array" aca="1" ref="T489" ca="1">RoundToTwoSigFigs(Validation[[#This Row],[Test Reading]]*Validation[[#This Row],[Mult]]+Validation[[#This Row],[Base]]) &amp;" "&amp;Validation[[#This Row],[Uncert_Units]]</f>
        <v>110 mV</v>
      </c>
      <c r="U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V489" t="b">
        <f ca="1">Validation[[#This Row],[Desired Result]]=Validation[[#This Row],[Result]]</f>
        <v>1</v>
      </c>
      <c r="W489" t="b">
        <v>1</v>
      </c>
      <c r="X489" t="b">
        <f>Validation[[#This Row],[Range1_Low]]&gt;=Validation[[#This Row],[Range1_High]]</f>
        <v>0</v>
      </c>
      <c r="Y489" s="111" t="s">
        <v>2843</v>
      </c>
    </row>
    <row r="490" spans="1:25" ht="15.75" thickTop="1" x14ac:dyDescent="0.25">
      <c r="A490" t="s">
        <v>54</v>
      </c>
      <c r="B490" t="s">
        <v>8</v>
      </c>
      <c r="C490">
        <v>0</v>
      </c>
      <c r="D490">
        <v>3.3009999999999998E-2</v>
      </c>
      <c r="E490">
        <v>0.1</v>
      </c>
      <c r="F490" t="s">
        <v>6</v>
      </c>
      <c r="G490" t="s">
        <v>5</v>
      </c>
      <c r="H490">
        <v>500</v>
      </c>
      <c r="I490">
        <v>501</v>
      </c>
      <c r="J490" t="s">
        <v>10</v>
      </c>
      <c r="K490">
        <v>58000</v>
      </c>
      <c r="L490">
        <v>53.658999999999999</v>
      </c>
      <c r="M490">
        <v>58000</v>
      </c>
      <c r="N490">
        <v>52.994</v>
      </c>
      <c r="O490" t="s">
        <v>2833</v>
      </c>
      <c r="P490" t="s">
        <v>2833</v>
      </c>
      <c r="Q490" t="s">
        <v>2833</v>
      </c>
      <c r="R490">
        <f ca="1">RAND()*(Validation[[#This Row],[Range1_High]]-Validation[[#This Row],[Range1_Low]])+Validation[[#This Row],[Range1_Low]]</f>
        <v>9.5256824675951461E-4</v>
      </c>
      <c r="S490">
        <f>Validation[[#This Row],[Range2_High]]</f>
        <v>501</v>
      </c>
      <c r="T490" t="str" cm="1">
        <f t="array" aca="1" ref="T490" ca="1">RoundToTwoSigFigs(Validation[[#This Row],[Test Reading]]*Validation[[#This Row],[Mult]]+Validation[[#This Row],[Base]]) &amp;" "&amp;Validation[[#This Row],[Uncert_Units]]</f>
        <v>58000 µV</v>
      </c>
      <c r="U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490" t="b">
        <f ca="1">Validation[[#This Row],[Desired Result]]=Validation[[#This Row],[Result]]</f>
        <v>1</v>
      </c>
      <c r="W490" t="b">
        <v>0</v>
      </c>
      <c r="X490" t="b">
        <f>Validation[[#This Row],[Range1_Low]]&gt;=Validation[[#This Row],[Range1_High]]</f>
        <v>0</v>
      </c>
      <c r="Y490" s="111" t="s">
        <v>2845</v>
      </c>
    </row>
    <row r="491" spans="1:25" x14ac:dyDescent="0.25">
      <c r="A491" t="s">
        <v>54</v>
      </c>
      <c r="B491" t="s">
        <v>8</v>
      </c>
      <c r="C491">
        <v>0</v>
      </c>
      <c r="D491">
        <v>3.3009999999999998E-2</v>
      </c>
      <c r="E491">
        <v>10</v>
      </c>
      <c r="F491" t="s">
        <v>6</v>
      </c>
      <c r="G491" t="s">
        <v>5</v>
      </c>
      <c r="H491">
        <v>10</v>
      </c>
      <c r="I491">
        <v>20.010000000000002</v>
      </c>
      <c r="J491" t="s">
        <v>10</v>
      </c>
      <c r="K491">
        <v>5800000</v>
      </c>
      <c r="L491">
        <v>4.6912000000000002E-2</v>
      </c>
      <c r="M491">
        <v>5800000</v>
      </c>
      <c r="N491">
        <v>1.5715E-2</v>
      </c>
      <c r="O491" t="s">
        <v>2833</v>
      </c>
      <c r="P491" t="s">
        <v>2833</v>
      </c>
      <c r="Q491" t="s">
        <v>2833</v>
      </c>
      <c r="R491">
        <f ca="1">RAND()*(Validation[[#This Row],[Range1_High]]-Validation[[#This Row],[Range1_Low]])+Validation[[#This Row],[Range1_Low]]</f>
        <v>3.0633472263941433E-2</v>
      </c>
      <c r="S491">
        <f>Validation[[#This Row],[Range2_High]]</f>
        <v>20.010000000000002</v>
      </c>
      <c r="T491" t="str" cm="1">
        <f t="array" aca="1" ref="T491" ca="1">RoundToTwoSigFigs(Validation[[#This Row],[Test Reading]]*Validation[[#This Row],[Mult]]+Validation[[#This Row],[Base]]) &amp;" "&amp;Validation[[#This Row],[Uncert_Units]]</f>
        <v>5800000 µV</v>
      </c>
      <c r="U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V491" t="b">
        <f ca="1">Validation[[#This Row],[Desired Result]]=Validation[[#This Row],[Result]]</f>
        <v>1</v>
      </c>
      <c r="W491" t="b">
        <v>0</v>
      </c>
      <c r="X491" t="b">
        <f>Validation[[#This Row],[Range1_Low]]&gt;=Validation[[#This Row],[Range1_High]]</f>
        <v>0</v>
      </c>
      <c r="Y491" s="111" t="s">
        <v>2845</v>
      </c>
    </row>
    <row r="492" spans="1:25" x14ac:dyDescent="0.25">
      <c r="A492" t="s">
        <v>54</v>
      </c>
      <c r="B492" t="s">
        <v>8</v>
      </c>
      <c r="C492">
        <v>0</v>
      </c>
      <c r="D492">
        <v>3.3009999999999998E-2</v>
      </c>
      <c r="E492">
        <v>9.9999999999999995E-7</v>
      </c>
      <c r="F492" t="s">
        <v>6</v>
      </c>
      <c r="G492" t="s">
        <v>5</v>
      </c>
      <c r="H492">
        <v>100</v>
      </c>
      <c r="I492">
        <v>500</v>
      </c>
      <c r="J492" t="s">
        <v>10</v>
      </c>
      <c r="K492">
        <v>89</v>
      </c>
      <c r="L492">
        <v>11000</v>
      </c>
      <c r="M492">
        <v>72.86</v>
      </c>
      <c r="N492">
        <v>11473</v>
      </c>
      <c r="O492" t="s">
        <v>2833</v>
      </c>
      <c r="P492" t="s">
        <v>2833</v>
      </c>
      <c r="Q492" t="s">
        <v>2833</v>
      </c>
      <c r="R492">
        <f ca="1">RAND()*(Validation[[#This Row],[Range1_High]]-Validation[[#This Row],[Range1_Low]])+Validation[[#This Row],[Range1_Low]]</f>
        <v>1.9770151866729136E-2</v>
      </c>
      <c r="S492">
        <f>Validation[[#This Row],[Range2_High]]</f>
        <v>500</v>
      </c>
      <c r="T492" t="str" cm="1">
        <f t="array" aca="1" ref="T492" ca="1">RoundToTwoSigFigs(Validation[[#This Row],[Test Reading]]*Validation[[#This Row],[Mult]]+Validation[[#This Row],[Base]]) &amp;" "&amp;Validation[[#This Row],[Uncert_Units]]</f>
        <v>310 µV</v>
      </c>
      <c r="U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V492" t="b">
        <f ca="1">Validation[[#This Row],[Desired Result]]=Validation[[#This Row],[Result]]</f>
        <v>1</v>
      </c>
      <c r="W492" t="b">
        <v>0</v>
      </c>
      <c r="X492" t="b">
        <f>Validation[[#This Row],[Range1_Low]]&gt;=Validation[[#This Row],[Range1_High]]</f>
        <v>0</v>
      </c>
      <c r="Y492" s="111" t="s">
        <v>2845</v>
      </c>
    </row>
    <row r="493" spans="1:25" ht="15.75" thickBot="1" x14ac:dyDescent="0.3">
      <c r="A493" t="s">
        <v>55</v>
      </c>
      <c r="B493" t="s">
        <v>8</v>
      </c>
      <c r="C493">
        <v>0</v>
      </c>
      <c r="D493">
        <v>0.01</v>
      </c>
      <c r="E493">
        <v>1E-4</v>
      </c>
      <c r="F493" t="s">
        <v>6</v>
      </c>
      <c r="G493" t="s">
        <v>5</v>
      </c>
      <c r="H493">
        <v>300</v>
      </c>
      <c r="I493">
        <v>1000</v>
      </c>
      <c r="J493" t="s">
        <v>10</v>
      </c>
      <c r="K493">
        <v>56.207000000000001</v>
      </c>
      <c r="L493">
        <v>41523</v>
      </c>
      <c r="M493">
        <v>56.162999999999997</v>
      </c>
      <c r="N493">
        <v>41525</v>
      </c>
      <c r="O493" t="s">
        <v>2833</v>
      </c>
      <c r="P493" t="s">
        <v>2833</v>
      </c>
      <c r="Q493" t="s">
        <v>2833</v>
      </c>
      <c r="R493">
        <f ca="1">RAND()*(Validation[[#This Row],[Range1_High]]-Validation[[#This Row],[Range1_Low]])+Validation[[#This Row],[Range1_Low]]</f>
        <v>1.245252331458553E-3</v>
      </c>
      <c r="S493">
        <f>Validation[[#This Row],[Range2_High]]</f>
        <v>1000</v>
      </c>
      <c r="T493" t="str" cm="1">
        <f t="array" aca="1" ref="T493" ca="1">RoundToTwoSigFigs(Validation[[#This Row],[Test Reading]]*Validation[[#This Row],[Mult]]+Validation[[#This Row],[Base]]) &amp;" "&amp;Validation[[#This Row],[Uncert_Units]]</f>
        <v>110 µV</v>
      </c>
      <c r="U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V493" t="b">
        <f ca="1">Validation[[#This Row],[Desired Result]]=Validation[[#This Row],[Result]]</f>
        <v>0</v>
      </c>
      <c r="W493" t="b">
        <v>1</v>
      </c>
      <c r="X493" t="b">
        <f>Validation[[#This Row],[Range1_Low]]&gt;=Validation[[#This Row],[Range1_High]]</f>
        <v>0</v>
      </c>
      <c r="Y493" s="111" t="s">
        <v>2845</v>
      </c>
    </row>
    <row r="494" spans="1:25" ht="16.5" thickTop="1" thickBot="1" x14ac:dyDescent="0.3">
      <c r="A494" t="s">
        <v>55</v>
      </c>
      <c r="B494" t="s">
        <v>8</v>
      </c>
      <c r="C494" s="113">
        <v>20</v>
      </c>
      <c r="D494" s="113">
        <v>100</v>
      </c>
      <c r="E494">
        <v>0.01</v>
      </c>
      <c r="F494" t="s">
        <v>6</v>
      </c>
      <c r="G494" t="s">
        <v>4</v>
      </c>
      <c r="H494">
        <v>0.04</v>
      </c>
      <c r="I494">
        <v>1</v>
      </c>
      <c r="J494" t="s">
        <v>10</v>
      </c>
      <c r="K494">
        <v>4.7115</v>
      </c>
      <c r="L494">
        <v>0.21576999999999999</v>
      </c>
      <c r="M494">
        <v>4.7084000000000001</v>
      </c>
      <c r="N494">
        <v>0.21576999999999999</v>
      </c>
      <c r="O494" t="s">
        <v>2833</v>
      </c>
      <c r="P494" t="s">
        <v>2833</v>
      </c>
      <c r="Q494" t="s">
        <v>2833</v>
      </c>
      <c r="R494">
        <f ca="1">RAND()*(Validation[[#This Row],[Range1_High]]-Validation[[#This Row],[Range1_Low]])+Validation[[#This Row],[Range1_Low]]</f>
        <v>41.001836884001037</v>
      </c>
      <c r="S494">
        <f>Validation[[#This Row],[Range2_High]]</f>
        <v>1</v>
      </c>
      <c r="T494" t="str" cm="1">
        <f t="array" aca="1" ref="T494" ca="1">RoundToTwoSigFigs(Validation[[#This Row],[Test Reading]]*Validation[[#This Row],[Mult]]+Validation[[#This Row],[Base]]) &amp;" "&amp;Validation[[#This Row],[Uncert_Units]]</f>
        <v>14 mV</v>
      </c>
      <c r="U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V494" t="b">
        <f ca="1">Validation[[#This Row],[Desired Result]]=Validation[[#This Row],[Result]]</f>
        <v>1</v>
      </c>
      <c r="W494" t="b">
        <v>1</v>
      </c>
      <c r="X494" t="b">
        <f>Validation[[#This Row],[Range1_Low]]&gt;=Validation[[#This Row],[Range1_High]]</f>
        <v>0</v>
      </c>
      <c r="Y494" s="111" t="s">
        <v>2843</v>
      </c>
    </row>
    <row r="495" spans="1:25" ht="15.75" thickTop="1" x14ac:dyDescent="0.25">
      <c r="A495" t="s">
        <v>55</v>
      </c>
      <c r="B495" t="s">
        <v>8</v>
      </c>
      <c r="C495">
        <v>20</v>
      </c>
      <c r="D495">
        <v>100</v>
      </c>
      <c r="E495">
        <v>1</v>
      </c>
      <c r="F495" t="s">
        <v>6</v>
      </c>
      <c r="G495" t="s">
        <v>4</v>
      </c>
      <c r="H495">
        <v>1E-3</v>
      </c>
      <c r="I495">
        <v>0.04</v>
      </c>
      <c r="J495" t="s">
        <v>10</v>
      </c>
      <c r="K495">
        <v>577.28</v>
      </c>
      <c r="L495">
        <v>7.5312E-3</v>
      </c>
      <c r="M495">
        <v>576.01</v>
      </c>
      <c r="N495">
        <v>7.5148999999999997E-3</v>
      </c>
      <c r="O495" t="s">
        <v>2833</v>
      </c>
      <c r="P495" t="s">
        <v>2833</v>
      </c>
      <c r="Q495" t="s">
        <v>2833</v>
      </c>
      <c r="R495">
        <f ca="1">RAND()*(Validation[[#This Row],[Range1_High]]-Validation[[#This Row],[Range1_Low]])+Validation[[#This Row],[Range1_Low]]</f>
        <v>45.225221365894384</v>
      </c>
      <c r="S495">
        <f>Validation[[#This Row],[Range2_High]]</f>
        <v>0.04</v>
      </c>
      <c r="T495" t="str" cm="1">
        <f t="array" aca="1" ref="T495" ca="1">RoundToTwoSigFigs(Validation[[#This Row],[Test Reading]]*Validation[[#This Row],[Mult]]+Validation[[#This Row],[Base]]) &amp;" "&amp;Validation[[#This Row],[Uncert_Units]]</f>
        <v>580 mV</v>
      </c>
      <c r="U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95" t="b">
        <f ca="1">Validation[[#This Row],[Desired Result]]=Validation[[#This Row],[Result]]</f>
        <v>1</v>
      </c>
      <c r="W495" t="b">
        <v>0</v>
      </c>
      <c r="X495" t="b">
        <f>Validation[[#This Row],[Range1_Low]]&gt;=Validation[[#This Row],[Range1_High]]</f>
        <v>0</v>
      </c>
      <c r="Y495" s="111" t="s">
        <v>2845</v>
      </c>
    </row>
    <row r="496" spans="1:25" ht="15.75" thickBot="1" x14ac:dyDescent="0.3">
      <c r="A496" t="s">
        <v>55</v>
      </c>
      <c r="B496" t="s">
        <v>8</v>
      </c>
      <c r="C496">
        <v>1</v>
      </c>
      <c r="D496">
        <v>10</v>
      </c>
      <c r="E496">
        <v>0.1</v>
      </c>
      <c r="F496" t="s">
        <v>6</v>
      </c>
      <c r="G496" t="s">
        <v>4</v>
      </c>
      <c r="H496">
        <v>4000</v>
      </c>
      <c r="I496">
        <v>8000</v>
      </c>
      <c r="J496" t="s">
        <v>10</v>
      </c>
      <c r="K496">
        <v>36.033999999999999</v>
      </c>
      <c r="L496">
        <v>44.241</v>
      </c>
      <c r="M496">
        <v>33.704000000000001</v>
      </c>
      <c r="N496">
        <v>44.241</v>
      </c>
      <c r="O496" t="s">
        <v>2833</v>
      </c>
      <c r="P496" t="s">
        <v>2833</v>
      </c>
      <c r="Q496" t="s">
        <v>2833</v>
      </c>
      <c r="R496">
        <f ca="1">RAND()*(Validation[[#This Row],[Range1_High]]-Validation[[#This Row],[Range1_Low]])+Validation[[#This Row],[Range1_Low]]</f>
        <v>9.7713220016276221</v>
      </c>
      <c r="S496">
        <f>Validation[[#This Row],[Range2_High]]</f>
        <v>8000</v>
      </c>
      <c r="T496" t="str" cm="1">
        <f t="array" aca="1" ref="T496" ca="1">RoundToTwoSigFigs(Validation[[#This Row],[Test Reading]]*Validation[[#This Row],[Mult]]+Validation[[#This Row],[Base]]) &amp;" "&amp;Validation[[#This Row],[Uncert_Units]]</f>
        <v>470 mV</v>
      </c>
      <c r="U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mV</v>
      </c>
      <c r="V496" t="b">
        <f ca="1">Validation[[#This Row],[Desired Result]]=Validation[[#This Row],[Result]]</f>
        <v>0</v>
      </c>
      <c r="W496" t="b">
        <v>1</v>
      </c>
      <c r="X496" t="b">
        <f>Validation[[#This Row],[Range1_Low]]&gt;=Validation[[#This Row],[Range1_High]]</f>
        <v>0</v>
      </c>
      <c r="Y496" s="111" t="s">
        <v>2845</v>
      </c>
    </row>
    <row r="497" spans="1:25" ht="16.5" thickTop="1" thickBot="1" x14ac:dyDescent="0.3">
      <c r="A497" t="s">
        <v>55</v>
      </c>
      <c r="B497" t="s">
        <v>8</v>
      </c>
      <c r="C497" s="113">
        <v>0.1</v>
      </c>
      <c r="D497" s="113">
        <v>1</v>
      </c>
      <c r="E497">
        <v>1E-4</v>
      </c>
      <c r="F497" t="s">
        <v>6</v>
      </c>
      <c r="G497" t="s">
        <v>4</v>
      </c>
      <c r="H497">
        <v>4000</v>
      </c>
      <c r="I497">
        <v>8000</v>
      </c>
      <c r="J497" t="s">
        <v>10</v>
      </c>
      <c r="K497">
        <v>1.3</v>
      </c>
      <c r="L497">
        <v>46.045999999999999</v>
      </c>
      <c r="M497">
        <v>0.91664999999999996</v>
      </c>
      <c r="N497">
        <v>46.325000000000003</v>
      </c>
      <c r="O497" t="s">
        <v>2833</v>
      </c>
      <c r="P497" t="s">
        <v>2833</v>
      </c>
      <c r="Q497" t="s">
        <v>2833</v>
      </c>
      <c r="R497">
        <f ca="1">RAND()*(Validation[[#This Row],[Range1_High]]-Validation[[#This Row],[Range1_Low]])+Validation[[#This Row],[Range1_Low]]</f>
        <v>0.71703750108717856</v>
      </c>
      <c r="S497">
        <f>Validation[[#This Row],[Range2_High]]</f>
        <v>8000</v>
      </c>
      <c r="T497" t="str" cm="1">
        <f t="array" aca="1" ref="T497" ca="1">RoundToTwoSigFigs(Validation[[#This Row],[Test Reading]]*Validation[[#This Row],[Mult]]+Validation[[#This Row],[Base]]) &amp;" "&amp;Validation[[#This Row],[Uncert_Units]]</f>
        <v>34 mV</v>
      </c>
      <c r="U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497" t="b">
        <f ca="1">Validation[[#This Row],[Desired Result]]=Validation[[#This Row],[Result]]</f>
        <v>0</v>
      </c>
      <c r="W497" t="b">
        <v>1</v>
      </c>
      <c r="X497" t="b">
        <f>Validation[[#This Row],[Range1_Low]]&gt;=Validation[[#This Row],[Range1_High]]</f>
        <v>0</v>
      </c>
      <c r="Y497" s="111" t="s">
        <v>2843</v>
      </c>
    </row>
    <row r="498" spans="1:25" ht="16.5" thickTop="1" thickBot="1" x14ac:dyDescent="0.3">
      <c r="A498" t="s">
        <v>55</v>
      </c>
      <c r="B498" t="s">
        <v>8</v>
      </c>
      <c r="C498" s="113">
        <v>0.1</v>
      </c>
      <c r="D498" s="113">
        <v>1</v>
      </c>
      <c r="E498">
        <v>9.9999999999999995E-8</v>
      </c>
      <c r="F498" t="s">
        <v>6</v>
      </c>
      <c r="G498" t="s">
        <v>5</v>
      </c>
      <c r="H498">
        <v>0.04</v>
      </c>
      <c r="I498">
        <v>1</v>
      </c>
      <c r="J498" t="s">
        <v>10</v>
      </c>
      <c r="K498">
        <v>24</v>
      </c>
      <c r="L498">
        <v>82</v>
      </c>
      <c r="M498">
        <v>23.524000000000001</v>
      </c>
      <c r="N498">
        <v>80.444999999999993</v>
      </c>
      <c r="O498" t="s">
        <v>2833</v>
      </c>
      <c r="P498" t="s">
        <v>2833</v>
      </c>
      <c r="Q498" t="s">
        <v>2833</v>
      </c>
      <c r="R498">
        <f ca="1">RAND()*(Validation[[#This Row],[Range1_High]]-Validation[[#This Row],[Range1_Low]])+Validation[[#This Row],[Range1_Low]]</f>
        <v>0.69530104725989161</v>
      </c>
      <c r="S498">
        <f>Validation[[#This Row],[Range2_High]]</f>
        <v>1</v>
      </c>
      <c r="T498" t="str" cm="1">
        <f t="array" aca="1" ref="T498" ca="1">RoundToTwoSigFigs(Validation[[#This Row],[Test Reading]]*Validation[[#This Row],[Mult]]+Validation[[#This Row],[Base]]) &amp;" "&amp;Validation[[#This Row],[Uncert_Units]]</f>
        <v>81 µV</v>
      </c>
      <c r="U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V498" t="b">
        <f ca="1">Validation[[#This Row],[Desired Result]]=Validation[[#This Row],[Result]]</f>
        <v>0</v>
      </c>
      <c r="W498" t="b">
        <v>1</v>
      </c>
      <c r="X498" t="b">
        <f>Validation[[#This Row],[Range1_Low]]&gt;=Validation[[#This Row],[Range1_High]]</f>
        <v>0</v>
      </c>
      <c r="Y498" s="111" t="s">
        <v>2843</v>
      </c>
    </row>
    <row r="499" spans="1:25" ht="16.5" thickTop="1" thickBot="1" x14ac:dyDescent="0.3">
      <c r="A499" t="s">
        <v>54</v>
      </c>
      <c r="B499" t="s">
        <v>8</v>
      </c>
      <c r="C499">
        <v>3.3</v>
      </c>
      <c r="D499">
        <v>33.000999999999998</v>
      </c>
      <c r="E499">
        <v>1</v>
      </c>
      <c r="F499" t="s">
        <v>6</v>
      </c>
      <c r="G499" t="s">
        <v>4</v>
      </c>
      <c r="H499">
        <v>10</v>
      </c>
      <c r="I499">
        <v>20.010000000000002</v>
      </c>
      <c r="J499" t="s">
        <v>10</v>
      </c>
      <c r="K499">
        <v>579.94000000000005</v>
      </c>
      <c r="L499">
        <v>2.1451999999999999E-2</v>
      </c>
      <c r="M499">
        <v>579.94000000000005</v>
      </c>
      <c r="N499">
        <v>2.1433000000000001E-2</v>
      </c>
      <c r="O499" t="s">
        <v>2833</v>
      </c>
      <c r="P499" t="s">
        <v>2833</v>
      </c>
      <c r="Q499" t="s">
        <v>2833</v>
      </c>
      <c r="R499">
        <f ca="1">RAND()*(Validation[[#This Row],[Range1_High]]-Validation[[#This Row],[Range1_Low]])+Validation[[#This Row],[Range1_Low]]</f>
        <v>9.5248615943123944</v>
      </c>
      <c r="S499">
        <f>Validation[[#This Row],[Range2_High]]</f>
        <v>20.010000000000002</v>
      </c>
      <c r="T499" t="str" cm="1">
        <f t="array" aca="1" ref="T499" ca="1">RoundToTwoSigFigs(Validation[[#This Row],[Test Reading]]*Validation[[#This Row],[Mult]]+Validation[[#This Row],[Base]]) &amp;" "&amp;Validation[[#This Row],[Uncert_Units]]</f>
        <v>580 mV</v>
      </c>
      <c r="U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499" t="b">
        <f ca="1">Validation[[#This Row],[Desired Result]]=Validation[[#This Row],[Result]]</f>
        <v>1</v>
      </c>
      <c r="W499" t="b">
        <v>0</v>
      </c>
      <c r="X499" t="b">
        <f>Validation[[#This Row],[Range1_Low]]&gt;=Validation[[#This Row],[Range1_High]]</f>
        <v>0</v>
      </c>
      <c r="Y499" s="111" t="s">
        <v>2845</v>
      </c>
    </row>
    <row r="500" spans="1:25" ht="16.5" thickTop="1" thickBot="1" x14ac:dyDescent="0.3">
      <c r="A500" t="s">
        <v>55</v>
      </c>
      <c r="B500" t="s">
        <v>8</v>
      </c>
      <c r="C500" s="113">
        <v>0.01</v>
      </c>
      <c r="D500" s="113">
        <v>0.1</v>
      </c>
      <c r="E500">
        <v>9.9999999999999995E-7</v>
      </c>
      <c r="F500" t="s">
        <v>6</v>
      </c>
      <c r="G500" t="s">
        <v>5</v>
      </c>
      <c r="H500">
        <v>300</v>
      </c>
      <c r="I500">
        <v>1000</v>
      </c>
      <c r="J500" t="s">
        <v>10</v>
      </c>
      <c r="K500">
        <v>12</v>
      </c>
      <c r="L500">
        <v>12000</v>
      </c>
      <c r="M500">
        <v>11.521000000000001</v>
      </c>
      <c r="N500">
        <v>11631</v>
      </c>
      <c r="O500" t="s">
        <v>2833</v>
      </c>
      <c r="P500" t="s">
        <v>2833</v>
      </c>
      <c r="Q500" t="s">
        <v>2833</v>
      </c>
      <c r="R500">
        <f ca="1">RAND()*(Validation[[#This Row],[Range1_High]]-Validation[[#This Row],[Range1_Low]])+Validation[[#This Row],[Range1_Low]]</f>
        <v>6.7891745940139109E-2</v>
      </c>
      <c r="S500">
        <f>Validation[[#This Row],[Range2_High]]</f>
        <v>1000</v>
      </c>
      <c r="T500" t="str" cm="1">
        <f t="array" aca="1" ref="T500" ca="1">RoundToTwoSigFigs(Validation[[#This Row],[Test Reading]]*Validation[[#This Row],[Mult]]+Validation[[#This Row],[Base]]) &amp;" "&amp;Validation[[#This Row],[Uncert_Units]]</f>
        <v>830 µV</v>
      </c>
      <c r="U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µV</v>
      </c>
      <c r="V500" t="b">
        <f ca="1">Validation[[#This Row],[Desired Result]]=Validation[[#This Row],[Result]]</f>
        <v>1</v>
      </c>
      <c r="W500" t="b">
        <v>1</v>
      </c>
      <c r="X500" t="b">
        <f>Validation[[#This Row],[Range1_Low]]&gt;=Validation[[#This Row],[Range1_High]]</f>
        <v>0</v>
      </c>
      <c r="Y500" s="111" t="s">
        <v>2843</v>
      </c>
    </row>
    <row r="501" spans="1:25" ht="16.5" thickTop="1" thickBot="1" x14ac:dyDescent="0.3">
      <c r="A501" t="s">
        <v>54</v>
      </c>
      <c r="B501" t="s">
        <v>8</v>
      </c>
      <c r="C501" s="113">
        <v>3.3000000000000002E-2</v>
      </c>
      <c r="D501" s="113">
        <v>0.33001000000000003</v>
      </c>
      <c r="E501">
        <v>1E-3</v>
      </c>
      <c r="F501" t="s">
        <v>6</v>
      </c>
      <c r="G501" t="s">
        <v>5</v>
      </c>
      <c r="H501">
        <v>500</v>
      </c>
      <c r="I501">
        <v>501</v>
      </c>
      <c r="J501" t="s">
        <v>10</v>
      </c>
      <c r="K501">
        <v>643.30999999999995</v>
      </c>
      <c r="L501">
        <v>5206.3999999999996</v>
      </c>
      <c r="M501">
        <v>643.12</v>
      </c>
      <c r="N501">
        <v>5206.6000000000004</v>
      </c>
      <c r="O501" t="s">
        <v>2833</v>
      </c>
      <c r="P501" t="s">
        <v>2833</v>
      </c>
      <c r="Q501" t="s">
        <v>2833</v>
      </c>
      <c r="R501">
        <f ca="1">RAND()*(Validation[[#This Row],[Range1_High]]-Validation[[#This Row],[Range1_Low]])+Validation[[#This Row],[Range1_Low]]</f>
        <v>0.13299472711095087</v>
      </c>
      <c r="S501">
        <f>Validation[[#This Row],[Range2_High]]</f>
        <v>501</v>
      </c>
      <c r="T501" t="str" cm="1">
        <f t="array" aca="1" ref="T501" ca="1">RoundToTwoSigFigs(Validation[[#This Row],[Test Reading]]*Validation[[#This Row],[Mult]]+Validation[[#This Row],[Base]]) &amp;" "&amp;Validation[[#This Row],[Uncert_Units]]</f>
        <v>1300 µV</v>
      </c>
      <c r="U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V501" t="b">
        <f ca="1">Validation[[#This Row],[Desired Result]]=Validation[[#This Row],[Result]]</f>
        <v>1</v>
      </c>
      <c r="W501" t="b">
        <v>1</v>
      </c>
      <c r="X501" t="b">
        <f>Validation[[#This Row],[Range1_Low]]&gt;=Validation[[#This Row],[Range1_High]]</f>
        <v>0</v>
      </c>
      <c r="Y501" s="111" t="s">
        <v>2843</v>
      </c>
    </row>
    <row r="502" spans="1:25" ht="16.5" thickTop="1" thickBot="1" x14ac:dyDescent="0.3">
      <c r="A502" t="s">
        <v>54</v>
      </c>
      <c r="B502" t="s">
        <v>8</v>
      </c>
      <c r="C502" s="113">
        <v>3.3</v>
      </c>
      <c r="D502" s="113">
        <v>33.000999999999998</v>
      </c>
      <c r="E502">
        <v>0.01</v>
      </c>
      <c r="F502" t="s">
        <v>6</v>
      </c>
      <c r="G502" t="s">
        <v>4</v>
      </c>
      <c r="H502">
        <v>100</v>
      </c>
      <c r="I502">
        <v>500</v>
      </c>
      <c r="J502" t="s">
        <v>10</v>
      </c>
      <c r="K502">
        <v>13</v>
      </c>
      <c r="L502">
        <v>4.5999999999999996</v>
      </c>
      <c r="M502">
        <v>3.831</v>
      </c>
      <c r="N502">
        <v>2.6581000000000001</v>
      </c>
      <c r="O502" t="s">
        <v>2833</v>
      </c>
      <c r="P502" t="s">
        <v>2833</v>
      </c>
      <c r="Q502" t="s">
        <v>2833</v>
      </c>
      <c r="R502">
        <f ca="1">RAND()*(Validation[[#This Row],[Range1_High]]-Validation[[#This Row],[Range1_Low]])+Validation[[#This Row],[Range1_Low]]</f>
        <v>19.673062107082679</v>
      </c>
      <c r="S502">
        <f>Validation[[#This Row],[Range2_High]]</f>
        <v>500</v>
      </c>
      <c r="T502" t="str" cm="1">
        <f t="array" aca="1" ref="T502" ca="1">RoundToTwoSigFigs(Validation[[#This Row],[Test Reading]]*Validation[[#This Row],[Mult]]+Validation[[#This Row],[Base]]) &amp;" "&amp;Validation[[#This Row],[Uncert_Units]]</f>
        <v>100 mV</v>
      </c>
      <c r="U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V502" t="b">
        <f ca="1">Validation[[#This Row],[Desired Result]]=Validation[[#This Row],[Result]]</f>
        <v>1</v>
      </c>
      <c r="W502" t="b">
        <v>1</v>
      </c>
      <c r="X502" t="b">
        <f>Validation[[#This Row],[Range1_Low]]&gt;=Validation[[#This Row],[Range1_High]]</f>
        <v>0</v>
      </c>
      <c r="Y502" s="111" t="s">
        <v>2843</v>
      </c>
    </row>
    <row r="503" spans="1:25" ht="16.5" thickTop="1" thickBot="1" x14ac:dyDescent="0.3">
      <c r="A503" t="s">
        <v>55</v>
      </c>
      <c r="B503" t="s">
        <v>8</v>
      </c>
      <c r="C503" s="113">
        <v>0.1</v>
      </c>
      <c r="D503" s="113">
        <v>1</v>
      </c>
      <c r="E503">
        <v>1.0000000000000001E-5</v>
      </c>
      <c r="F503" t="s">
        <v>6</v>
      </c>
      <c r="G503" t="s">
        <v>5</v>
      </c>
      <c r="H503">
        <v>1E-3</v>
      </c>
      <c r="I503">
        <v>0.04</v>
      </c>
      <c r="J503" t="s">
        <v>10</v>
      </c>
      <c r="K503">
        <v>47</v>
      </c>
      <c r="L503">
        <v>82</v>
      </c>
      <c r="M503">
        <v>80.426000000000002</v>
      </c>
      <c r="N503">
        <v>80.426000000000002</v>
      </c>
      <c r="O503" t="s">
        <v>2833</v>
      </c>
      <c r="P503" t="s">
        <v>2833</v>
      </c>
      <c r="Q503" t="s">
        <v>2833</v>
      </c>
      <c r="R503">
        <f ca="1">RAND()*(Validation[[#This Row],[Range1_High]]-Validation[[#This Row],[Range1_Low]])+Validation[[#This Row],[Range1_Low]]</f>
        <v>0.40622347467804276</v>
      </c>
      <c r="S503">
        <f>Validation[[#This Row],[Range2_High]]</f>
        <v>0.04</v>
      </c>
      <c r="T503" t="str" cm="1">
        <f t="array" aca="1" ref="T503" ca="1">RoundToTwoSigFigs(Validation[[#This Row],[Test Reading]]*Validation[[#This Row],[Mult]]+Validation[[#This Row],[Base]]) &amp;" "&amp;Validation[[#This Row],[Uncert_Units]]</f>
        <v>80 µV</v>
      </c>
      <c r="U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V503" t="b">
        <f ca="1">Validation[[#This Row],[Desired Result]]=Validation[[#This Row],[Result]]</f>
        <v>1</v>
      </c>
      <c r="W503" t="b">
        <v>1</v>
      </c>
      <c r="X503" t="b">
        <f>Validation[[#This Row],[Range1_Low]]&gt;=Validation[[#This Row],[Range1_High]]</f>
        <v>0</v>
      </c>
      <c r="Y503" s="111" t="s">
        <v>2843</v>
      </c>
    </row>
    <row r="504" spans="1:25" ht="16.5" thickTop="1" thickBot="1" x14ac:dyDescent="0.3">
      <c r="A504" t="s">
        <v>54</v>
      </c>
      <c r="B504" t="s">
        <v>8</v>
      </c>
      <c r="C504" s="113">
        <v>3.3000000000000002E-2</v>
      </c>
      <c r="D504" s="113">
        <v>0.33001000000000003</v>
      </c>
      <c r="E504">
        <v>9.9999999999999995E-7</v>
      </c>
      <c r="F504" t="s">
        <v>6</v>
      </c>
      <c r="G504" t="s">
        <v>5</v>
      </c>
      <c r="H504">
        <v>20</v>
      </c>
      <c r="I504">
        <v>50.01</v>
      </c>
      <c r="J504" t="s">
        <v>10</v>
      </c>
      <c r="K504">
        <v>47</v>
      </c>
      <c r="L504">
        <v>1200</v>
      </c>
      <c r="M504">
        <v>46.389000000000003</v>
      </c>
      <c r="N504">
        <v>1155.4000000000001</v>
      </c>
      <c r="O504" t="s">
        <v>2833</v>
      </c>
      <c r="P504" t="s">
        <v>2833</v>
      </c>
      <c r="Q504" t="s">
        <v>2833</v>
      </c>
      <c r="R504">
        <f ca="1">RAND()*(Validation[[#This Row],[Range1_High]]-Validation[[#This Row],[Range1_Low]])+Validation[[#This Row],[Range1_Low]]</f>
        <v>0.12436653672886995</v>
      </c>
      <c r="S504">
        <f>Validation[[#This Row],[Range2_High]]</f>
        <v>50.01</v>
      </c>
      <c r="T504" t="str" cm="1">
        <f t="array" aca="1" ref="T504" ca="1">RoundToTwoSigFigs(Validation[[#This Row],[Test Reading]]*Validation[[#This Row],[Mult]]+Validation[[#This Row],[Base]]) &amp;" "&amp;Validation[[#This Row],[Uncert_Units]]</f>
        <v>200 µV</v>
      </c>
      <c r="U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µV</v>
      </c>
      <c r="V504" t="b">
        <f ca="1">Validation[[#This Row],[Desired Result]]=Validation[[#This Row],[Result]]</f>
        <v>0</v>
      </c>
      <c r="W504" t="b">
        <v>1</v>
      </c>
      <c r="X504" t="b">
        <f>Validation[[#This Row],[Range1_Low]]&gt;=Validation[[#This Row],[Range1_High]]</f>
        <v>0</v>
      </c>
      <c r="Y504" s="111" t="s">
        <v>2843</v>
      </c>
    </row>
    <row r="505" spans="1:25" ht="16.5" thickTop="1" thickBot="1" x14ac:dyDescent="0.3">
      <c r="A505" t="s">
        <v>55</v>
      </c>
      <c r="B505" t="s">
        <v>8</v>
      </c>
      <c r="C505">
        <v>0.01</v>
      </c>
      <c r="D505">
        <v>0.1</v>
      </c>
      <c r="E505">
        <v>1E-3</v>
      </c>
      <c r="F505" t="s">
        <v>6</v>
      </c>
      <c r="G505" t="s">
        <v>5</v>
      </c>
      <c r="H505">
        <v>20</v>
      </c>
      <c r="I505">
        <v>50</v>
      </c>
      <c r="J505" t="s">
        <v>10</v>
      </c>
      <c r="K505">
        <v>577.28</v>
      </c>
      <c r="L505">
        <v>12.896000000000001</v>
      </c>
      <c r="M505">
        <v>576.24</v>
      </c>
      <c r="N505">
        <v>12.803000000000001</v>
      </c>
      <c r="O505" t="s">
        <v>2833</v>
      </c>
      <c r="P505" t="s">
        <v>2833</v>
      </c>
      <c r="Q505" t="s">
        <v>2833</v>
      </c>
      <c r="R505">
        <f ca="1">RAND()*(Validation[[#This Row],[Range1_High]]-Validation[[#This Row],[Range1_Low]])+Validation[[#This Row],[Range1_Low]]</f>
        <v>5.821424948176189E-2</v>
      </c>
      <c r="S505">
        <f>Validation[[#This Row],[Range2_High]]</f>
        <v>50</v>
      </c>
      <c r="T505" t="str" cm="1">
        <f t="array" aca="1" ref="T505" ca="1">RoundToTwoSigFigs(Validation[[#This Row],[Test Reading]]*Validation[[#This Row],[Mult]]+Validation[[#This Row],[Base]]) &amp;" "&amp;Validation[[#This Row],[Uncert_Units]]</f>
        <v>580 µV</v>
      </c>
      <c r="U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505" t="b">
        <f ca="1">Validation[[#This Row],[Desired Result]]=Validation[[#This Row],[Result]]</f>
        <v>1</v>
      </c>
      <c r="W505" t="b">
        <v>0</v>
      </c>
      <c r="X505" t="b">
        <f>Validation[[#This Row],[Range1_Low]]&gt;=Validation[[#This Row],[Range1_High]]</f>
        <v>0</v>
      </c>
      <c r="Y505" s="111" t="s">
        <v>2845</v>
      </c>
    </row>
    <row r="506" spans="1:25" ht="16.5" thickTop="1" thickBot="1" x14ac:dyDescent="0.3">
      <c r="A506" t="s">
        <v>55</v>
      </c>
      <c r="B506" t="s">
        <v>8</v>
      </c>
      <c r="C506" s="113">
        <v>100</v>
      </c>
      <c r="D506" s="113">
        <v>330</v>
      </c>
      <c r="E506">
        <v>1E-3</v>
      </c>
      <c r="F506" t="s">
        <v>6</v>
      </c>
      <c r="G506" t="s">
        <v>4</v>
      </c>
      <c r="H506">
        <v>1E-3</v>
      </c>
      <c r="I506">
        <v>0.04</v>
      </c>
      <c r="J506" t="s">
        <v>10</v>
      </c>
      <c r="K506">
        <v>48</v>
      </c>
      <c r="L506">
        <v>0.46085999999999999</v>
      </c>
      <c r="M506">
        <v>46.12</v>
      </c>
      <c r="N506">
        <v>0.46325</v>
      </c>
      <c r="O506" t="s">
        <v>2833</v>
      </c>
      <c r="P506" t="s">
        <v>2833</v>
      </c>
      <c r="Q506" t="s">
        <v>2833</v>
      </c>
      <c r="R506">
        <f ca="1">RAND()*(Validation[[#This Row],[Range1_High]]-Validation[[#This Row],[Range1_Low]])+Validation[[#This Row],[Range1_Low]]</f>
        <v>171.20126434244335</v>
      </c>
      <c r="S506">
        <f>Validation[[#This Row],[Range2_High]]</f>
        <v>0.04</v>
      </c>
      <c r="T506" t="str" cm="1">
        <f t="array" aca="1" ref="T506" ca="1">RoundToTwoSigFigs(Validation[[#This Row],[Test Reading]]*Validation[[#This Row],[Mult]]+Validation[[#This Row],[Base]]) &amp;" "&amp;Validation[[#This Row],[Uncert_Units]]</f>
        <v>130 mV</v>
      </c>
      <c r="U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506" t="b">
        <f ca="1">Validation[[#This Row],[Desired Result]]=Validation[[#This Row],[Result]]</f>
        <v>1</v>
      </c>
      <c r="W506" t="b">
        <v>1</v>
      </c>
      <c r="X506" t="b">
        <f>Validation[[#This Row],[Range1_Low]]&gt;=Validation[[#This Row],[Range1_High]]</f>
        <v>0</v>
      </c>
      <c r="Y506" s="111" t="s">
        <v>2843</v>
      </c>
    </row>
    <row r="507" spans="1:25" ht="16.5" thickTop="1" thickBot="1" x14ac:dyDescent="0.3">
      <c r="A507" t="s">
        <v>55</v>
      </c>
      <c r="B507" t="s">
        <v>8</v>
      </c>
      <c r="C507" s="113">
        <v>0.01</v>
      </c>
      <c r="D507" s="113">
        <v>0.1</v>
      </c>
      <c r="E507">
        <v>1.0000000000000001E-5</v>
      </c>
      <c r="F507" t="s">
        <v>6</v>
      </c>
      <c r="G507" t="s">
        <v>5</v>
      </c>
      <c r="H507">
        <v>20</v>
      </c>
      <c r="I507">
        <v>50</v>
      </c>
      <c r="J507" t="s">
        <v>10</v>
      </c>
      <c r="K507">
        <v>6.7172000000000001</v>
      </c>
      <c r="L507">
        <v>310.87</v>
      </c>
      <c r="M507">
        <v>6.7062999999999997</v>
      </c>
      <c r="N507">
        <v>310.87</v>
      </c>
      <c r="O507" t="s">
        <v>2833</v>
      </c>
      <c r="P507" t="s">
        <v>2833</v>
      </c>
      <c r="Q507" t="s">
        <v>2833</v>
      </c>
      <c r="R507">
        <f ca="1">RAND()*(Validation[[#This Row],[Range1_High]]-Validation[[#This Row],[Range1_Low]])+Validation[[#This Row],[Range1_Low]]</f>
        <v>3.9199148399021458E-2</v>
      </c>
      <c r="S507">
        <f>Validation[[#This Row],[Range2_High]]</f>
        <v>50</v>
      </c>
      <c r="T507" t="str" cm="1">
        <f t="array" aca="1" ref="T507" ca="1">RoundToTwoSigFigs(Validation[[#This Row],[Test Reading]]*Validation[[#This Row],[Mult]]+Validation[[#This Row],[Base]]) &amp;" "&amp;Validation[[#This Row],[Uncert_Units]]</f>
        <v>19 µV</v>
      </c>
      <c r="U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V507" t="b">
        <f ca="1">Validation[[#This Row],[Desired Result]]=Validation[[#This Row],[Result]]</f>
        <v>1</v>
      </c>
      <c r="W507" t="b">
        <v>1</v>
      </c>
      <c r="X507" t="b">
        <f>Validation[[#This Row],[Range1_Low]]&gt;=Validation[[#This Row],[Range1_High]]</f>
        <v>0</v>
      </c>
      <c r="Y507" s="111" t="s">
        <v>2843</v>
      </c>
    </row>
    <row r="508" spans="1:25" ht="15.75" thickTop="1" x14ac:dyDescent="0.25">
      <c r="A508" t="s">
        <v>54</v>
      </c>
      <c r="B508" t="s">
        <v>17</v>
      </c>
      <c r="C508">
        <v>0</v>
      </c>
      <c r="D508">
        <v>120.001</v>
      </c>
      <c r="E508">
        <v>0.01</v>
      </c>
      <c r="F508" t="s">
        <v>9</v>
      </c>
      <c r="G508" t="s">
        <v>9</v>
      </c>
      <c r="H508">
        <v>0</v>
      </c>
      <c r="I508">
        <v>0</v>
      </c>
      <c r="J508" t="s">
        <v>2833</v>
      </c>
      <c r="K508">
        <v>6.0575999999999998E-3</v>
      </c>
      <c r="L508">
        <v>1.5807E-5</v>
      </c>
      <c r="M508">
        <v>5.8809999999999999E-3</v>
      </c>
      <c r="N508">
        <v>1.26E-5</v>
      </c>
      <c r="O508" t="s">
        <v>2833</v>
      </c>
      <c r="P508" t="s">
        <v>2833</v>
      </c>
      <c r="Q508" t="s">
        <v>2833</v>
      </c>
      <c r="R508">
        <f ca="1">RAND()*(Validation[[#This Row],[Range1_High]]-Validation[[#This Row],[Range1_Low]])+Validation[[#This Row],[Range1_Low]]</f>
        <v>35.729223268671547</v>
      </c>
      <c r="S508">
        <f>Validation[[#This Row],[Range2_High]]</f>
        <v>0</v>
      </c>
      <c r="T508" t="str" cm="1">
        <f t="array" aca="1" ref="T508" ca="1">RoundToTwoSigFigs(Validation[[#This Row],[Test Reading]]*Validation[[#This Row],[Mult]]+Validation[[#This Row],[Base]]) &amp;" "&amp;Validation[[#This Row],[Uncert_Units]]</f>
        <v>0.0066 Hz</v>
      </c>
      <c r="U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0.0066 Hz</v>
      </c>
      <c r="V508" t="b">
        <f ca="1">Validation[[#This Row],[Desired Result]]=Validation[[#This Row],[Result]]</f>
        <v>1</v>
      </c>
      <c r="W508" t="b">
        <v>0</v>
      </c>
      <c r="X508" t="b">
        <f>Validation[[#This Row],[Range1_Low]]&gt;=Validation[[#This Row],[Range1_High]]</f>
        <v>0</v>
      </c>
      <c r="Y508" s="111" t="s">
        <v>2845</v>
      </c>
    </row>
    <row r="509" spans="1:25" ht="15.75" thickBot="1" x14ac:dyDescent="0.3">
      <c r="A509" t="s">
        <v>55</v>
      </c>
      <c r="B509" t="s">
        <v>17</v>
      </c>
      <c r="C509">
        <v>1000</v>
      </c>
      <c r="D509">
        <v>10000</v>
      </c>
      <c r="E509">
        <v>1E-3</v>
      </c>
      <c r="F509" t="s">
        <v>9</v>
      </c>
      <c r="G509" t="s">
        <v>9</v>
      </c>
      <c r="H509">
        <v>0</v>
      </c>
      <c r="I509">
        <v>0</v>
      </c>
      <c r="J509" t="s">
        <v>2833</v>
      </c>
      <c r="K509">
        <v>4.3999999999999997E-9</v>
      </c>
      <c r="L509">
        <v>1.3E-7</v>
      </c>
      <c r="M509">
        <v>7.4100000000000003E-10</v>
      </c>
      <c r="N509">
        <v>1.2921999999999999E-7</v>
      </c>
      <c r="O509" t="s">
        <v>2833</v>
      </c>
      <c r="P509" t="s">
        <v>2833</v>
      </c>
      <c r="Q509" t="s">
        <v>2833</v>
      </c>
      <c r="R509">
        <f ca="1">RAND()*(Validation[[#This Row],[Range1_High]]-Validation[[#This Row],[Range1_Low]])+Validation[[#This Row],[Range1_Low]]</f>
        <v>6885.6965935108947</v>
      </c>
      <c r="S509">
        <f>Validation[[#This Row],[Range2_High]]</f>
        <v>0</v>
      </c>
      <c r="T509" t="str" cm="1">
        <f t="array" aca="1" ref="T509" ca="1">RoundToTwoSigFigs(Validation[[#This Row],[Test Reading]]*Validation[[#This Row],[Mult]]+Validation[[#This Row],[Base]]) &amp;" "&amp;Validation[[#This Row],[Uncert_Units]]</f>
        <v>0.0009 Hz</v>
      </c>
      <c r="U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0.0009 Hz</v>
      </c>
      <c r="V509" t="b">
        <f ca="1">Validation[[#This Row],[Desired Result]]=Validation[[#This Row],[Result]]</f>
        <v>1</v>
      </c>
      <c r="W509" t="b">
        <v>0</v>
      </c>
      <c r="X509" t="b">
        <f>Validation[[#This Row],[Range1_Low]]&gt;=Validation[[#This Row],[Range1_High]]</f>
        <v>0</v>
      </c>
      <c r="Y509" s="111" t="s">
        <v>2845</v>
      </c>
    </row>
    <row r="510" spans="1:25" ht="16.5" thickTop="1" thickBot="1" x14ac:dyDescent="0.3">
      <c r="A510" t="s">
        <v>55</v>
      </c>
      <c r="B510" t="s">
        <v>17</v>
      </c>
      <c r="C510" s="113">
        <v>100000</v>
      </c>
      <c r="D510" s="113">
        <v>1000000</v>
      </c>
      <c r="E510">
        <v>10</v>
      </c>
      <c r="F510" t="s">
        <v>9</v>
      </c>
      <c r="G510" t="s">
        <v>9</v>
      </c>
      <c r="H510">
        <v>0</v>
      </c>
      <c r="I510">
        <v>0</v>
      </c>
      <c r="J510" t="s">
        <v>2833</v>
      </c>
      <c r="K510">
        <v>1.3573999999999999E-3</v>
      </c>
      <c r="L510">
        <v>1.2799E-7</v>
      </c>
      <c r="M510">
        <v>1.3571E-3</v>
      </c>
      <c r="N510">
        <v>1.2799E-7</v>
      </c>
      <c r="O510" t="s">
        <v>2833</v>
      </c>
      <c r="P510" t="s">
        <v>2833</v>
      </c>
      <c r="Q510" t="s">
        <v>2833</v>
      </c>
      <c r="R510">
        <f ca="1">RAND()*(Validation[[#This Row],[Range1_High]]-Validation[[#This Row],[Range1_Low]])+Validation[[#This Row],[Range1_Low]]</f>
        <v>809197.61224466434</v>
      </c>
      <c r="S510">
        <f>Validation[[#This Row],[Range2_High]]</f>
        <v>0</v>
      </c>
      <c r="T510" t="str" cm="1">
        <f t="array" aca="1" ref="T510" ca="1">RoundToTwoSigFigs(Validation[[#This Row],[Test Reading]]*Validation[[#This Row],[Mult]]+Validation[[#This Row],[Base]]) &amp;" "&amp;Validation[[#This Row],[Uncert_Units]]</f>
        <v>0.1 Hz</v>
      </c>
      <c r="U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V510" t="b">
        <f ca="1">Validation[[#This Row],[Desired Result]]=Validation[[#This Row],[Result]]</f>
        <v>1</v>
      </c>
      <c r="W510" t="b">
        <v>1</v>
      </c>
      <c r="X510" t="b">
        <f>Validation[[#This Row],[Range1_Low]]&gt;=Validation[[#This Row],[Range1_High]]</f>
        <v>0</v>
      </c>
      <c r="Y510" s="111" t="s">
        <v>2843</v>
      </c>
    </row>
    <row r="511" spans="1:25" ht="16.5" thickTop="1" thickBot="1" x14ac:dyDescent="0.3">
      <c r="A511" t="s">
        <v>54</v>
      </c>
      <c r="B511" t="s">
        <v>17</v>
      </c>
      <c r="C511" s="113">
        <v>12000</v>
      </c>
      <c r="D511" s="113">
        <v>120010</v>
      </c>
      <c r="E511">
        <v>10</v>
      </c>
      <c r="F511" t="s">
        <v>9</v>
      </c>
      <c r="G511" t="s">
        <v>9</v>
      </c>
      <c r="H511">
        <v>0</v>
      </c>
      <c r="I511">
        <v>0</v>
      </c>
      <c r="J511" t="s">
        <v>2833</v>
      </c>
      <c r="K511">
        <v>19</v>
      </c>
      <c r="L511">
        <v>2.8E-5</v>
      </c>
      <c r="M511">
        <v>18.254999999999999</v>
      </c>
      <c r="N511">
        <v>2.7640999999999998E-5</v>
      </c>
      <c r="O511" t="s">
        <v>2833</v>
      </c>
      <c r="P511" t="s">
        <v>2833</v>
      </c>
      <c r="Q511" t="s">
        <v>2833</v>
      </c>
      <c r="R511">
        <f ca="1">RAND()*(Validation[[#This Row],[Range1_High]]-Validation[[#This Row],[Range1_Low]])+Validation[[#This Row],[Range1_Low]]</f>
        <v>66855.96584478757</v>
      </c>
      <c r="S511">
        <f>Validation[[#This Row],[Range2_High]]</f>
        <v>0</v>
      </c>
      <c r="T511" t="str" cm="1">
        <f t="array" aca="1" ref="T511" ca="1">RoundToTwoSigFigs(Validation[[#This Row],[Test Reading]]*Validation[[#This Row],[Mult]]+Validation[[#This Row],[Base]]) &amp;" "&amp;Validation[[#This Row],[Uncert_Units]]</f>
        <v>21 Hz</v>
      </c>
      <c r="U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Hz</v>
      </c>
      <c r="V511" t="b">
        <f ca="1">Validation[[#This Row],[Desired Result]]=Validation[[#This Row],[Result]]</f>
        <v>1</v>
      </c>
      <c r="W511" t="b">
        <v>1</v>
      </c>
      <c r="X511" t="b">
        <f>Validation[[#This Row],[Range1_Low]]&gt;=Validation[[#This Row],[Range1_High]]</f>
        <v>0</v>
      </c>
      <c r="Y511" s="111" t="s">
        <v>2843</v>
      </c>
    </row>
    <row r="512" spans="1:25" ht="15.75" thickTop="1" x14ac:dyDescent="0.25">
      <c r="A512" t="s">
        <v>54</v>
      </c>
      <c r="B512" t="s">
        <v>17</v>
      </c>
      <c r="C512">
        <v>0</v>
      </c>
      <c r="D512">
        <v>120.001</v>
      </c>
      <c r="E512">
        <v>1</v>
      </c>
      <c r="F512" t="s">
        <v>9</v>
      </c>
      <c r="G512" t="s">
        <v>9</v>
      </c>
      <c r="H512">
        <v>0</v>
      </c>
      <c r="I512">
        <v>0</v>
      </c>
      <c r="J512" t="s">
        <v>2833</v>
      </c>
      <c r="K512">
        <v>0.57738999999999996</v>
      </c>
      <c r="L512">
        <v>8.9635999999999996E-7</v>
      </c>
      <c r="M512">
        <v>0.57735999999999998</v>
      </c>
      <c r="N512">
        <v>1.4506E-7</v>
      </c>
      <c r="O512" t="s">
        <v>2833</v>
      </c>
      <c r="P512" t="s">
        <v>2833</v>
      </c>
      <c r="Q512" t="s">
        <v>2833</v>
      </c>
      <c r="R512">
        <f ca="1">RAND()*(Validation[[#This Row],[Range1_High]]-Validation[[#This Row],[Range1_Low]])+Validation[[#This Row],[Range1_Low]]</f>
        <v>40.34847565719798</v>
      </c>
      <c r="S512">
        <f>Validation[[#This Row],[Range2_High]]</f>
        <v>0</v>
      </c>
      <c r="T512" t="str" cm="1">
        <f t="array" aca="1" ref="T512" ca="1">RoundToTwoSigFigs(Validation[[#This Row],[Test Reading]]*Validation[[#This Row],[Mult]]+Validation[[#This Row],[Base]]) &amp;" "&amp;Validation[[#This Row],[Uncert_Units]]</f>
        <v>0.58 Hz</v>
      </c>
      <c r="U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V512" t="b">
        <f ca="1">Validation[[#This Row],[Desired Result]]=Validation[[#This Row],[Result]]</f>
        <v>1</v>
      </c>
      <c r="W512" t="b">
        <v>0</v>
      </c>
      <c r="X512" t="b">
        <f>Validation[[#This Row],[Range1_Low]]&gt;=Validation[[#This Row],[Range1_High]]</f>
        <v>0</v>
      </c>
      <c r="Y512" s="111" t="s">
        <v>2845</v>
      </c>
    </row>
    <row r="513" spans="1:25" x14ac:dyDescent="0.25">
      <c r="A513" t="s">
        <v>54</v>
      </c>
      <c r="B513" t="s">
        <v>17</v>
      </c>
      <c r="C513">
        <v>120000</v>
      </c>
      <c r="D513">
        <v>1200010</v>
      </c>
      <c r="E513">
        <v>1000</v>
      </c>
      <c r="F513" t="s">
        <v>9</v>
      </c>
      <c r="G513" t="s">
        <v>9</v>
      </c>
      <c r="H513">
        <v>0</v>
      </c>
      <c r="I513">
        <v>0</v>
      </c>
      <c r="J513" t="s">
        <v>2833</v>
      </c>
      <c r="K513">
        <v>578.01</v>
      </c>
      <c r="L513">
        <v>3.8670999999999998E-6</v>
      </c>
      <c r="M513">
        <v>577.51</v>
      </c>
      <c r="N513">
        <v>1.8143999999999999E-6</v>
      </c>
      <c r="O513" t="s">
        <v>2833</v>
      </c>
      <c r="P513" t="s">
        <v>2833</v>
      </c>
      <c r="Q513" t="s">
        <v>2833</v>
      </c>
      <c r="R513">
        <f ca="1">RAND()*(Validation[[#This Row],[Range1_High]]-Validation[[#This Row],[Range1_Low]])+Validation[[#This Row],[Range1_Low]]</f>
        <v>740482.63199759042</v>
      </c>
      <c r="S513">
        <f>Validation[[#This Row],[Range2_High]]</f>
        <v>0</v>
      </c>
      <c r="T513" t="str" cm="1">
        <f t="array" aca="1" ref="T513" ca="1">RoundToTwoSigFigs(Validation[[#This Row],[Test Reading]]*Validation[[#This Row],[Mult]]+Validation[[#This Row],[Base]]) &amp;" "&amp;Validation[[#This Row],[Uncert_Units]]</f>
        <v>580 Hz</v>
      </c>
      <c r="U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V513" t="b">
        <f ca="1">Validation[[#This Row],[Desired Result]]=Validation[[#This Row],[Result]]</f>
        <v>1</v>
      </c>
      <c r="W513" t="b">
        <v>0</v>
      </c>
      <c r="X513" t="b">
        <f>Validation[[#This Row],[Range1_Low]]&gt;=Validation[[#This Row],[Range1_High]]</f>
        <v>0</v>
      </c>
      <c r="Y513" s="111" t="s">
        <v>2845</v>
      </c>
    </row>
    <row r="514" spans="1:25" x14ac:dyDescent="0.25">
      <c r="A514" t="s">
        <v>54</v>
      </c>
      <c r="B514" t="s">
        <v>17</v>
      </c>
      <c r="C514">
        <v>0</v>
      </c>
      <c r="D514">
        <v>120.001</v>
      </c>
      <c r="E514">
        <v>10</v>
      </c>
      <c r="F514" t="s">
        <v>9</v>
      </c>
      <c r="G514" t="s">
        <v>9</v>
      </c>
      <c r="H514">
        <v>0</v>
      </c>
      <c r="I514">
        <v>0</v>
      </c>
      <c r="J514" t="s">
        <v>2833</v>
      </c>
      <c r="K514">
        <v>5.7736000000000001</v>
      </c>
      <c r="L514">
        <v>3.1507999999999999E-7</v>
      </c>
      <c r="M514">
        <v>5.7736000000000001</v>
      </c>
      <c r="N514">
        <v>1.4505999999999999E-8</v>
      </c>
      <c r="O514" t="s">
        <v>2833</v>
      </c>
      <c r="P514" t="s">
        <v>2833</v>
      </c>
      <c r="Q514" t="s">
        <v>2833</v>
      </c>
      <c r="R514">
        <f ca="1">RAND()*(Validation[[#This Row],[Range1_High]]-Validation[[#This Row],[Range1_Low]])+Validation[[#This Row],[Range1_Low]]</f>
        <v>72.3263644420216</v>
      </c>
      <c r="S514">
        <f>Validation[[#This Row],[Range2_High]]</f>
        <v>0</v>
      </c>
      <c r="T514" t="str" cm="1">
        <f t="array" aca="1" ref="T514" ca="1">RoundToTwoSigFigs(Validation[[#This Row],[Test Reading]]*Validation[[#This Row],[Mult]]+Validation[[#This Row],[Base]]) &amp;" "&amp;Validation[[#This Row],[Uncert_Units]]</f>
        <v>5.8 Hz</v>
      </c>
      <c r="U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V514" t="b">
        <f ca="1">Validation[[#This Row],[Desired Result]]=Validation[[#This Row],[Result]]</f>
        <v>1</v>
      </c>
      <c r="W514" t="b">
        <v>0</v>
      </c>
      <c r="X514" t="b">
        <f>Validation[[#This Row],[Range1_Low]]&gt;=Validation[[#This Row],[Range1_High]]</f>
        <v>0</v>
      </c>
      <c r="Y514" s="111" t="s">
        <v>2845</v>
      </c>
    </row>
    <row r="515" spans="1:25" x14ac:dyDescent="0.25">
      <c r="A515" t="s">
        <v>55</v>
      </c>
      <c r="B515" t="s">
        <v>17</v>
      </c>
      <c r="C515">
        <v>0</v>
      </c>
      <c r="D515">
        <v>40</v>
      </c>
      <c r="E515">
        <v>0.1</v>
      </c>
      <c r="F515" t="s">
        <v>9</v>
      </c>
      <c r="G515" t="s">
        <v>9</v>
      </c>
      <c r="H515">
        <v>0</v>
      </c>
      <c r="I515">
        <v>0</v>
      </c>
      <c r="J515" t="s">
        <v>2833</v>
      </c>
      <c r="K515">
        <v>5.7624999999999998E-5</v>
      </c>
      <c r="L515">
        <v>1.1399999999999999E-10</v>
      </c>
      <c r="M515">
        <v>5.7299999999999997E-5</v>
      </c>
      <c r="N515">
        <v>1.1399999999999999E-10</v>
      </c>
      <c r="O515" t="s">
        <v>2833</v>
      </c>
      <c r="P515" t="s">
        <v>2833</v>
      </c>
      <c r="Q515" t="s">
        <v>2833</v>
      </c>
      <c r="R515">
        <f ca="1">RAND()*(Validation[[#This Row],[Range1_High]]-Validation[[#This Row],[Range1_Low]])+Validation[[#This Row],[Range1_Low]]</f>
        <v>10.577371644952475</v>
      </c>
      <c r="S515">
        <f>Validation[[#This Row],[Range2_High]]</f>
        <v>0</v>
      </c>
      <c r="T515" t="str" cm="1">
        <f t="array" aca="1" ref="T515" ca="1">RoundToTwoSigFigs(Validation[[#This Row],[Test Reading]]*Validation[[#This Row],[Mult]]+Validation[[#This Row],[Base]]) &amp;" "&amp;Validation[[#This Row],[Uncert_Units]]</f>
        <v>0.000058 Hz</v>
      </c>
      <c r="U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V515" t="b">
        <f ca="1">Validation[[#This Row],[Desired Result]]=Validation[[#This Row],[Result]]</f>
        <v>1</v>
      </c>
      <c r="W515" t="b">
        <v>0</v>
      </c>
      <c r="X515" t="b">
        <f>Validation[[#This Row],[Range1_Low]]&gt;=Validation[[#This Row],[Range1_High]]</f>
        <v>0</v>
      </c>
      <c r="Y515" s="111" t="s">
        <v>2845</v>
      </c>
    </row>
    <row r="516" spans="1:25" x14ac:dyDescent="0.25">
      <c r="A516" t="s">
        <v>68</v>
      </c>
      <c r="B516" t="s">
        <v>17</v>
      </c>
      <c r="C516">
        <v>1</v>
      </c>
      <c r="D516">
        <v>100000</v>
      </c>
      <c r="E516">
        <v>1000</v>
      </c>
      <c r="F516" t="s">
        <v>9</v>
      </c>
      <c r="G516" t="s">
        <v>9</v>
      </c>
      <c r="H516">
        <v>0</v>
      </c>
      <c r="I516">
        <v>0</v>
      </c>
      <c r="J516" t="s">
        <v>2833</v>
      </c>
      <c r="K516">
        <v>579.98</v>
      </c>
      <c r="L516">
        <v>2.6531000000000001E-5</v>
      </c>
      <c r="M516">
        <v>579.97</v>
      </c>
      <c r="N516">
        <v>2.6505000000000001E-5</v>
      </c>
      <c r="O516" t="s">
        <v>2833</v>
      </c>
      <c r="P516" t="s">
        <v>2833</v>
      </c>
      <c r="Q516" t="s">
        <v>2833</v>
      </c>
      <c r="R516">
        <f ca="1">RAND()*(Validation[[#This Row],[Range1_High]]-Validation[[#This Row],[Range1_Low]])+Validation[[#This Row],[Range1_Low]]</f>
        <v>7094.9447038989001</v>
      </c>
      <c r="S516">
        <f>Validation[[#This Row],[Range2_High]]</f>
        <v>0</v>
      </c>
      <c r="T516" t="str" cm="1">
        <f t="array" aca="1" ref="T516" ca="1">RoundToTwoSigFigs(Validation[[#This Row],[Test Reading]]*Validation[[#This Row],[Mult]]+Validation[[#This Row],[Base]]) &amp;" "&amp;Validation[[#This Row],[Uncert_Units]]</f>
        <v>580 Hz</v>
      </c>
      <c r="U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V516" t="b">
        <f ca="1">Validation[[#This Row],[Desired Result]]=Validation[[#This Row],[Result]]</f>
        <v>1</v>
      </c>
      <c r="W516" t="b">
        <v>0</v>
      </c>
      <c r="X516" t="b">
        <f>Validation[[#This Row],[Range1_Low]]&gt;=Validation[[#This Row],[Range1_High]]</f>
        <v>0</v>
      </c>
      <c r="Y516" s="111" t="s">
        <v>2845</v>
      </c>
    </row>
    <row r="517" spans="1:25" ht="15.75" thickBot="1" x14ac:dyDescent="0.3">
      <c r="A517" t="s">
        <v>54</v>
      </c>
      <c r="B517" t="s">
        <v>17</v>
      </c>
      <c r="C517">
        <v>2000000</v>
      </c>
      <c r="D517">
        <v>2001000</v>
      </c>
      <c r="E517">
        <v>100000</v>
      </c>
      <c r="F517" t="s">
        <v>9</v>
      </c>
      <c r="G517" t="s">
        <v>10</v>
      </c>
      <c r="H517">
        <v>0</v>
      </c>
      <c r="I517">
        <v>0</v>
      </c>
      <c r="J517" t="s">
        <v>2833</v>
      </c>
      <c r="K517">
        <v>57.732999999999997</v>
      </c>
      <c r="L517">
        <v>4.5960999999999999E-6</v>
      </c>
      <c r="M517">
        <v>57.734000000000002</v>
      </c>
      <c r="N517">
        <v>1.4028999999999999E-6</v>
      </c>
      <c r="O517" t="s">
        <v>2833</v>
      </c>
      <c r="P517" t="s">
        <v>2833</v>
      </c>
      <c r="Q517" t="s">
        <v>2833</v>
      </c>
      <c r="R517">
        <f ca="1">RAND()*(Validation[[#This Row],[Range1_High]]-Validation[[#This Row],[Range1_Low]])+Validation[[#This Row],[Range1_Low]]</f>
        <v>2000962.8861279804</v>
      </c>
      <c r="S517">
        <f>Validation[[#This Row],[Range2_High]]</f>
        <v>0</v>
      </c>
      <c r="T517" t="str" cm="1">
        <f t="array" aca="1" ref="T517" ca="1">RoundToTwoSigFigs(Validation[[#This Row],[Test Reading]]*Validation[[#This Row],[Mult]]+Validation[[#This Row],[Base]]) &amp;" "&amp;Validation[[#This Row],[Uncert_Units]]</f>
        <v>67 kHz</v>
      </c>
      <c r="U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V517" t="b">
        <f ca="1">Validation[[#This Row],[Desired Result]]=Validation[[#This Row],[Result]]</f>
        <v>1</v>
      </c>
      <c r="W517" t="b">
        <v>0</v>
      </c>
      <c r="X517" t="b">
        <f>Validation[[#This Row],[Range1_Low]]&gt;=Validation[[#This Row],[Range1_High]]</f>
        <v>0</v>
      </c>
      <c r="Y517" s="111" t="s">
        <v>2845</v>
      </c>
    </row>
    <row r="518" spans="1:25" ht="16.5" thickTop="1" thickBot="1" x14ac:dyDescent="0.3">
      <c r="A518" t="s">
        <v>55</v>
      </c>
      <c r="B518" t="s">
        <v>17</v>
      </c>
      <c r="C518" s="113">
        <v>1000</v>
      </c>
      <c r="D518" s="113">
        <v>10000</v>
      </c>
      <c r="E518">
        <v>0.01</v>
      </c>
      <c r="F518" t="s">
        <v>9</v>
      </c>
      <c r="G518" t="s">
        <v>9</v>
      </c>
      <c r="H518">
        <v>0</v>
      </c>
      <c r="I518">
        <v>0</v>
      </c>
      <c r="J518" t="s">
        <v>2833</v>
      </c>
      <c r="K518">
        <v>1.9500000000000001E-7</v>
      </c>
      <c r="L518">
        <v>1.29E-7</v>
      </c>
      <c r="M518">
        <v>1.3799999999999999E-7</v>
      </c>
      <c r="N518">
        <v>1.2921E-7</v>
      </c>
      <c r="O518" t="s">
        <v>2833</v>
      </c>
      <c r="P518" t="s">
        <v>2833</v>
      </c>
      <c r="Q518" t="s">
        <v>2833</v>
      </c>
      <c r="R518">
        <f ca="1">RAND()*(Validation[[#This Row],[Range1_High]]-Validation[[#This Row],[Range1_Low]])+Validation[[#This Row],[Range1_Low]]</f>
        <v>6185.0504643313761</v>
      </c>
      <c r="S518">
        <f>Validation[[#This Row],[Range2_High]]</f>
        <v>0</v>
      </c>
      <c r="T518" t="str" cm="1">
        <f t="array" aca="1" ref="T518" ca="1">RoundToTwoSigFigs(Validation[[#This Row],[Test Reading]]*Validation[[#This Row],[Mult]]+Validation[[#This Row],[Base]]) &amp;" "&amp;Validation[[#This Row],[Uncert_Units]]</f>
        <v>0.0008 Hz</v>
      </c>
      <c r="U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 Hz</v>
      </c>
      <c r="V518" t="b">
        <f ca="1">Validation[[#This Row],[Desired Result]]=Validation[[#This Row],[Result]]</f>
        <v>1</v>
      </c>
      <c r="W518" t="b">
        <v>1</v>
      </c>
      <c r="X518" t="b">
        <f>Validation[[#This Row],[Range1_Low]]&gt;=Validation[[#This Row],[Range1_High]]</f>
        <v>0</v>
      </c>
      <c r="Y518" s="111" t="s">
        <v>2843</v>
      </c>
    </row>
    <row r="519" spans="1:25" ht="16.5" thickTop="1" thickBot="1" x14ac:dyDescent="0.3">
      <c r="A519" t="s">
        <v>54</v>
      </c>
      <c r="B519" t="s">
        <v>17</v>
      </c>
      <c r="C519">
        <v>2000000</v>
      </c>
      <c r="D519">
        <v>2001000</v>
      </c>
      <c r="E519">
        <v>10000</v>
      </c>
      <c r="F519" t="s">
        <v>9</v>
      </c>
      <c r="G519" t="s">
        <v>10</v>
      </c>
      <c r="H519">
        <v>0</v>
      </c>
      <c r="I519">
        <v>0</v>
      </c>
      <c r="J519" t="s">
        <v>2833</v>
      </c>
      <c r="K519">
        <v>5.7549000000000001</v>
      </c>
      <c r="L519">
        <v>2.1951E-5</v>
      </c>
      <c r="M519">
        <v>5.7569999999999997</v>
      </c>
      <c r="N519">
        <v>1.4015E-5</v>
      </c>
      <c r="O519" t="s">
        <v>2833</v>
      </c>
      <c r="P519" t="s">
        <v>2833</v>
      </c>
      <c r="Q519" t="s">
        <v>2833</v>
      </c>
      <c r="R519">
        <f ca="1">RAND()*(Validation[[#This Row],[Range1_High]]-Validation[[#This Row],[Range1_Low]])+Validation[[#This Row],[Range1_Low]]</f>
        <v>2000599.4869981916</v>
      </c>
      <c r="S519">
        <f>Validation[[#This Row],[Range2_High]]</f>
        <v>0</v>
      </c>
      <c r="T519" t="str" cm="1">
        <f t="array" aca="1" ref="T519" ca="1">RoundToTwoSigFigs(Validation[[#This Row],[Test Reading]]*Validation[[#This Row],[Mult]]+Validation[[#This Row],[Base]]) &amp;" "&amp;Validation[[#This Row],[Uncert_Units]]</f>
        <v>50 kHz</v>
      </c>
      <c r="U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V519" t="b">
        <f ca="1">Validation[[#This Row],[Desired Result]]=Validation[[#This Row],[Result]]</f>
        <v>1</v>
      </c>
      <c r="W519" t="b">
        <v>0</v>
      </c>
      <c r="X519" t="b">
        <f>Validation[[#This Row],[Range1_Low]]&gt;=Validation[[#This Row],[Range1_High]]</f>
        <v>0</v>
      </c>
      <c r="Y519" s="111" t="s">
        <v>2845</v>
      </c>
    </row>
    <row r="520" spans="1:25" ht="16.5" thickTop="1" thickBot="1" x14ac:dyDescent="0.3">
      <c r="A520" t="s">
        <v>55</v>
      </c>
      <c r="B520" t="s">
        <v>17</v>
      </c>
      <c r="C520" s="113">
        <v>100000</v>
      </c>
      <c r="D520" s="113">
        <v>1000000</v>
      </c>
      <c r="E520">
        <v>10000</v>
      </c>
      <c r="F520" t="s">
        <v>9</v>
      </c>
      <c r="G520" t="s">
        <v>9</v>
      </c>
      <c r="H520">
        <v>0</v>
      </c>
      <c r="I520">
        <v>0</v>
      </c>
      <c r="J520" t="s">
        <v>2833</v>
      </c>
      <c r="K520">
        <v>5.7733999999999996</v>
      </c>
      <c r="L520">
        <v>1.5900000000000001E-9</v>
      </c>
      <c r="M520">
        <v>5.7720000000000002</v>
      </c>
      <c r="N520">
        <v>1.5900000000000001E-9</v>
      </c>
      <c r="O520" t="s">
        <v>2833</v>
      </c>
      <c r="P520" t="s">
        <v>2833</v>
      </c>
      <c r="Q520" t="s">
        <v>2833</v>
      </c>
      <c r="R520">
        <f ca="1">RAND()*(Validation[[#This Row],[Range1_High]]-Validation[[#This Row],[Range1_Low]])+Validation[[#This Row],[Range1_Low]]</f>
        <v>146696.08404347624</v>
      </c>
      <c r="S520">
        <f>Validation[[#This Row],[Range2_High]]</f>
        <v>0</v>
      </c>
      <c r="T520" t="str" cm="1">
        <f t="array" aca="1" ref="T520" ca="1">RoundToTwoSigFigs(Validation[[#This Row],[Test Reading]]*Validation[[#This Row],[Mult]]+Validation[[#This Row],[Base]]) &amp;" "&amp;Validation[[#This Row],[Uncert_Units]]</f>
        <v>5.8 Hz</v>
      </c>
      <c r="U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V520" t="b">
        <f ca="1">Validation[[#This Row],[Desired Result]]=Validation[[#This Row],[Result]]</f>
        <v>1</v>
      </c>
      <c r="W520" t="b">
        <v>1</v>
      </c>
      <c r="X520" t="b">
        <f>Validation[[#This Row],[Range1_Low]]&gt;=Validation[[#This Row],[Range1_High]]</f>
        <v>0</v>
      </c>
      <c r="Y520" s="111" t="s">
        <v>2843</v>
      </c>
    </row>
    <row r="521" spans="1:25" ht="15.75" thickTop="1" x14ac:dyDescent="0.25">
      <c r="A521" t="s">
        <v>55</v>
      </c>
      <c r="B521" t="s">
        <v>17</v>
      </c>
      <c r="C521">
        <v>0</v>
      </c>
      <c r="D521">
        <v>40</v>
      </c>
      <c r="E521">
        <v>1.0000000000000001E-5</v>
      </c>
      <c r="F521" t="s">
        <v>9</v>
      </c>
      <c r="G521" t="s">
        <v>9</v>
      </c>
      <c r="H521">
        <v>0</v>
      </c>
      <c r="I521">
        <v>0</v>
      </c>
      <c r="J521" t="s">
        <v>2833</v>
      </c>
      <c r="K521">
        <v>0</v>
      </c>
      <c r="L521">
        <v>6E-10</v>
      </c>
      <c r="M521">
        <v>3E-11</v>
      </c>
      <c r="N521">
        <v>5.7699999999999997E-10</v>
      </c>
      <c r="O521" t="s">
        <v>2833</v>
      </c>
      <c r="P521" t="s">
        <v>2833</v>
      </c>
      <c r="Q521" t="s">
        <v>2833</v>
      </c>
      <c r="R521">
        <f ca="1">RAND()*(Validation[[#This Row],[Range1_High]]-Validation[[#This Row],[Range1_Low]])+Validation[[#This Row],[Range1_Low]]</f>
        <v>15.323555766214042</v>
      </c>
      <c r="S521">
        <f>Validation[[#This Row],[Range2_High]]</f>
        <v>0</v>
      </c>
      <c r="T521" t="str" cm="1">
        <f t="array" aca="1" ref="T521" ca="1">RoundToTwoSigFigs(Validation[[#This Row],[Test Reading]]*Validation[[#This Row],[Mult]]+Validation[[#This Row],[Base]]) &amp;" "&amp;Validation[[#This Row],[Uncert_Units]]</f>
        <v>0.0000000092 Hz</v>
      </c>
      <c r="U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0.0000000092 Hz</v>
      </c>
      <c r="V521" t="b">
        <f ca="1">Validation[[#This Row],[Desired Result]]=Validation[[#This Row],[Result]]</f>
        <v>1</v>
      </c>
      <c r="W521" t="b">
        <v>0</v>
      </c>
      <c r="X521" t="b">
        <f>Validation[[#This Row],[Range1_Low]]&gt;=Validation[[#This Row],[Range1_High]]</f>
        <v>0</v>
      </c>
      <c r="Y521" s="111" t="s">
        <v>2845</v>
      </c>
    </row>
    <row r="522" spans="1:25" ht="15.75" thickBot="1" x14ac:dyDescent="0.3">
      <c r="A522" t="s">
        <v>54</v>
      </c>
      <c r="B522" t="s">
        <v>17</v>
      </c>
      <c r="C522">
        <v>120</v>
      </c>
      <c r="D522">
        <v>1200.01</v>
      </c>
      <c r="E522">
        <v>10</v>
      </c>
      <c r="F522" t="s">
        <v>9</v>
      </c>
      <c r="G522" t="s">
        <v>9</v>
      </c>
      <c r="H522">
        <v>0</v>
      </c>
      <c r="I522">
        <v>0</v>
      </c>
      <c r="J522" t="s">
        <v>2833</v>
      </c>
      <c r="K522">
        <v>5.7739000000000003</v>
      </c>
      <c r="L522">
        <v>3.3757000000000002E-7</v>
      </c>
      <c r="M522">
        <v>5.7735000000000003</v>
      </c>
      <c r="N522">
        <v>1.0104E-7</v>
      </c>
      <c r="O522" t="s">
        <v>2833</v>
      </c>
      <c r="P522" t="s">
        <v>2833</v>
      </c>
      <c r="Q522" t="s">
        <v>2833</v>
      </c>
      <c r="R522">
        <f ca="1">RAND()*(Validation[[#This Row],[Range1_High]]-Validation[[#This Row],[Range1_Low]])+Validation[[#This Row],[Range1_Low]]</f>
        <v>193.69163981671298</v>
      </c>
      <c r="S522">
        <f>Validation[[#This Row],[Range2_High]]</f>
        <v>0</v>
      </c>
      <c r="T522" t="str" cm="1">
        <f t="array" aca="1" ref="T522" ca="1">RoundToTwoSigFigs(Validation[[#This Row],[Test Reading]]*Validation[[#This Row],[Mult]]+Validation[[#This Row],[Base]]) &amp;" "&amp;Validation[[#This Row],[Uncert_Units]]</f>
        <v>5.8 Hz</v>
      </c>
      <c r="U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V522" t="b">
        <f ca="1">Validation[[#This Row],[Desired Result]]=Validation[[#This Row],[Result]]</f>
        <v>1</v>
      </c>
      <c r="W522" t="b">
        <v>0</v>
      </c>
      <c r="X522" t="b">
        <f>Validation[[#This Row],[Range1_Low]]&gt;=Validation[[#This Row],[Range1_High]]</f>
        <v>0</v>
      </c>
      <c r="Y522" s="111" t="s">
        <v>2845</v>
      </c>
    </row>
    <row r="523" spans="1:25" ht="16.5" thickTop="1" thickBot="1" x14ac:dyDescent="0.3">
      <c r="A523" t="s">
        <v>55</v>
      </c>
      <c r="B523" t="s">
        <v>17</v>
      </c>
      <c r="C523" s="113">
        <v>40</v>
      </c>
      <c r="D523" s="113">
        <v>1000</v>
      </c>
      <c r="E523">
        <v>1E-3</v>
      </c>
      <c r="F523" t="s">
        <v>9</v>
      </c>
      <c r="G523" t="s">
        <v>9</v>
      </c>
      <c r="H523">
        <v>0</v>
      </c>
      <c r="I523">
        <v>0</v>
      </c>
      <c r="J523" t="s">
        <v>2833</v>
      </c>
      <c r="K523">
        <v>6.5700000000000002E-7</v>
      </c>
      <c r="L523">
        <v>1.2893999999999999E-7</v>
      </c>
      <c r="M523">
        <v>5.9800000000000003E-7</v>
      </c>
      <c r="N523">
        <v>1.2907E-7</v>
      </c>
      <c r="O523" t="s">
        <v>2833</v>
      </c>
      <c r="P523" t="s">
        <v>2833</v>
      </c>
      <c r="Q523" t="s">
        <v>2833</v>
      </c>
      <c r="R523">
        <f ca="1">RAND()*(Validation[[#This Row],[Range1_High]]-Validation[[#This Row],[Range1_Low]])+Validation[[#This Row],[Range1_Low]]</f>
        <v>957.77153200319367</v>
      </c>
      <c r="S523">
        <f>Validation[[#This Row],[Range2_High]]</f>
        <v>0</v>
      </c>
      <c r="T523" t="str" cm="1">
        <f t="array" aca="1" ref="T523" ca="1">RoundToTwoSigFigs(Validation[[#This Row],[Test Reading]]*Validation[[#This Row],[Mult]]+Validation[[#This Row],[Base]]) &amp;" "&amp;Validation[[#This Row],[Uncert_Units]]</f>
        <v>0.00012 Hz</v>
      </c>
      <c r="U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0.00012 Hz</v>
      </c>
      <c r="V523" t="b">
        <f ca="1">Validation[[#This Row],[Desired Result]]=Validation[[#This Row],[Result]]</f>
        <v>1</v>
      </c>
      <c r="W523" t="b">
        <v>1</v>
      </c>
      <c r="X523" t="b">
        <f>Validation[[#This Row],[Range1_Low]]&gt;=Validation[[#This Row],[Range1_High]]</f>
        <v>0</v>
      </c>
      <c r="Y523" s="111" t="s">
        <v>2843</v>
      </c>
    </row>
    <row r="524" spans="1:25" ht="16.5" thickTop="1" thickBot="1" x14ac:dyDescent="0.3">
      <c r="A524" t="s">
        <v>55</v>
      </c>
      <c r="B524" t="s">
        <v>17</v>
      </c>
      <c r="C524" s="113">
        <v>100000</v>
      </c>
      <c r="D524" s="113">
        <v>1000000</v>
      </c>
      <c r="E524">
        <v>1000</v>
      </c>
      <c r="F524" t="s">
        <v>9</v>
      </c>
      <c r="G524" t="s">
        <v>9</v>
      </c>
      <c r="H524">
        <v>0</v>
      </c>
      <c r="I524">
        <v>0</v>
      </c>
      <c r="J524" t="s">
        <v>2833</v>
      </c>
      <c r="K524">
        <v>0.57843999999999995</v>
      </c>
      <c r="L524">
        <v>1.571E-8</v>
      </c>
      <c r="M524">
        <v>0.57843999999999995</v>
      </c>
      <c r="N524">
        <v>1.571E-8</v>
      </c>
      <c r="O524" t="s">
        <v>2833</v>
      </c>
      <c r="P524" t="s">
        <v>2833</v>
      </c>
      <c r="Q524" t="s">
        <v>2833</v>
      </c>
      <c r="R524">
        <f ca="1">RAND()*(Validation[[#This Row],[Range1_High]]-Validation[[#This Row],[Range1_Low]])+Validation[[#This Row],[Range1_Low]]</f>
        <v>539845.29099640553</v>
      </c>
      <c r="S524">
        <f>Validation[[#This Row],[Range2_High]]</f>
        <v>0</v>
      </c>
      <c r="T524" t="str" cm="1">
        <f t="array" aca="1" ref="T524" ca="1">RoundToTwoSigFigs(Validation[[#This Row],[Test Reading]]*Validation[[#This Row],[Mult]]+Validation[[#This Row],[Base]]) &amp;" "&amp;Validation[[#This Row],[Uncert_Units]]</f>
        <v>0.59 Hz</v>
      </c>
      <c r="U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V524" t="b">
        <f ca="1">Validation[[#This Row],[Desired Result]]=Validation[[#This Row],[Result]]</f>
        <v>1</v>
      </c>
      <c r="W524" t="b">
        <v>1</v>
      </c>
      <c r="X524" t="b">
        <f>Validation[[#This Row],[Range1_Low]]&gt;=Validation[[#This Row],[Range1_High]]</f>
        <v>0</v>
      </c>
      <c r="Y524" s="111" t="s">
        <v>2843</v>
      </c>
    </row>
    <row r="525" spans="1:25" ht="16.5" thickTop="1" thickBot="1" x14ac:dyDescent="0.3">
      <c r="A525" t="s">
        <v>55</v>
      </c>
      <c r="B525" t="s">
        <v>17</v>
      </c>
      <c r="C525" s="113">
        <v>10000</v>
      </c>
      <c r="D525" s="113">
        <v>100000</v>
      </c>
      <c r="E525">
        <v>0.01</v>
      </c>
      <c r="F525" t="s">
        <v>9</v>
      </c>
      <c r="G525" t="s">
        <v>9</v>
      </c>
      <c r="H525">
        <v>0</v>
      </c>
      <c r="I525">
        <v>0</v>
      </c>
      <c r="J525" t="s">
        <v>2833</v>
      </c>
      <c r="K525">
        <v>4.3999999999999997E-8</v>
      </c>
      <c r="L525">
        <v>7.0000000000000001E-12</v>
      </c>
      <c r="M525">
        <v>7.4140000000000002E-9</v>
      </c>
      <c r="N525">
        <v>1.29E-7</v>
      </c>
      <c r="O525" t="s">
        <v>2833</v>
      </c>
      <c r="P525" t="s">
        <v>2833</v>
      </c>
      <c r="Q525" t="s">
        <v>2833</v>
      </c>
      <c r="R525">
        <f ca="1">RAND()*(Validation[[#This Row],[Range1_High]]-Validation[[#This Row],[Range1_Low]])+Validation[[#This Row],[Range1_Low]]</f>
        <v>26778.155469683432</v>
      </c>
      <c r="S525">
        <f>Validation[[#This Row],[Range2_High]]</f>
        <v>0</v>
      </c>
      <c r="T525" t="str" cm="1">
        <f t="array" aca="1" ref="T525" ca="1">RoundToTwoSigFigs(Validation[[#This Row],[Test Reading]]*Validation[[#This Row],[Mult]]+Validation[[#This Row],[Base]]) &amp;" "&amp;Validation[[#This Row],[Uncert_Units]]</f>
        <v>0.00000023 Hz</v>
      </c>
      <c r="U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V525" t="b">
        <f ca="1">Validation[[#This Row],[Desired Result]]=Validation[[#This Row],[Result]]</f>
        <v>1</v>
      </c>
      <c r="W525" t="b">
        <v>1</v>
      </c>
      <c r="X525" t="b">
        <f>Validation[[#This Row],[Range1_Low]]&gt;=Validation[[#This Row],[Range1_High]]</f>
        <v>0</v>
      </c>
      <c r="Y525" s="111" t="s">
        <v>2843</v>
      </c>
    </row>
    <row r="526" spans="1:25" ht="16.5" thickTop="1" thickBot="1" x14ac:dyDescent="0.3">
      <c r="A526" t="s">
        <v>55</v>
      </c>
      <c r="B526" t="s">
        <v>17</v>
      </c>
      <c r="C526">
        <v>0</v>
      </c>
      <c r="D526">
        <v>40</v>
      </c>
      <c r="E526">
        <v>1</v>
      </c>
      <c r="F526" t="s">
        <v>9</v>
      </c>
      <c r="G526" t="s">
        <v>9</v>
      </c>
      <c r="H526">
        <v>0</v>
      </c>
      <c r="I526">
        <v>0</v>
      </c>
      <c r="J526" t="s">
        <v>2833</v>
      </c>
      <c r="K526">
        <v>5.7700000000000004E-4</v>
      </c>
      <c r="L526">
        <v>1.2000000000000001E-11</v>
      </c>
      <c r="M526">
        <v>5.7700000000000004E-4</v>
      </c>
      <c r="N526">
        <v>1.2000000000000001E-11</v>
      </c>
      <c r="O526" t="s">
        <v>2833</v>
      </c>
      <c r="P526" t="s">
        <v>2833</v>
      </c>
      <c r="Q526" t="s">
        <v>2833</v>
      </c>
      <c r="R526">
        <f ca="1">RAND()*(Validation[[#This Row],[Range1_High]]-Validation[[#This Row],[Range1_Low]])+Validation[[#This Row],[Range1_Low]]</f>
        <v>4.4456269486695055</v>
      </c>
      <c r="S526">
        <f>Validation[[#This Row],[Range2_High]]</f>
        <v>0</v>
      </c>
      <c r="T526" t="str" cm="1">
        <f t="array" aca="1" ref="T526" ca="1">RoundToTwoSigFigs(Validation[[#This Row],[Test Reading]]*Validation[[#This Row],[Mult]]+Validation[[#This Row],[Base]]) &amp;" "&amp;Validation[[#This Row],[Uncert_Units]]</f>
        <v>0.00058 Hz</v>
      </c>
      <c r="U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V526" t="b">
        <f ca="1">Validation[[#This Row],[Desired Result]]=Validation[[#This Row],[Result]]</f>
        <v>1</v>
      </c>
      <c r="W526" t="b">
        <v>0</v>
      </c>
      <c r="X526" t="b">
        <f>Validation[[#This Row],[Range1_Low]]&gt;=Validation[[#This Row],[Range1_High]]</f>
        <v>0</v>
      </c>
      <c r="Y526" s="111" t="s">
        <v>2845</v>
      </c>
    </row>
    <row r="527" spans="1:25" ht="16.5" thickTop="1" thickBot="1" x14ac:dyDescent="0.3">
      <c r="A527" t="s">
        <v>54</v>
      </c>
      <c r="B527" t="s">
        <v>17</v>
      </c>
      <c r="C527" s="113">
        <v>1200000</v>
      </c>
      <c r="D527" s="113">
        <v>2000000</v>
      </c>
      <c r="E527">
        <v>10000</v>
      </c>
      <c r="F527" t="s">
        <v>9</v>
      </c>
      <c r="G527" t="s">
        <v>10</v>
      </c>
      <c r="H527">
        <v>0</v>
      </c>
      <c r="I527">
        <v>0</v>
      </c>
      <c r="J527" t="s">
        <v>2833</v>
      </c>
      <c r="K527">
        <v>5.7549000000000001</v>
      </c>
      <c r="L527">
        <v>2.1951E-5</v>
      </c>
      <c r="M527">
        <v>5.7569999999999997</v>
      </c>
      <c r="N527">
        <v>1.4015E-5</v>
      </c>
      <c r="O527" t="s">
        <v>2833</v>
      </c>
      <c r="P527" t="s">
        <v>2833</v>
      </c>
      <c r="Q527" t="s">
        <v>2833</v>
      </c>
      <c r="R527">
        <f ca="1">RAND()*(Validation[[#This Row],[Range1_High]]-Validation[[#This Row],[Range1_Low]])+Validation[[#This Row],[Range1_Low]]</f>
        <v>1569787.1132429296</v>
      </c>
      <c r="S527">
        <f>Validation[[#This Row],[Range2_High]]</f>
        <v>0</v>
      </c>
      <c r="T527" t="str" cm="1">
        <f t="array" aca="1" ref="T527" ca="1">RoundToTwoSigFigs(Validation[[#This Row],[Test Reading]]*Validation[[#This Row],[Mult]]+Validation[[#This Row],[Base]]) &amp;" "&amp;Validation[[#This Row],[Uncert_Units]]</f>
        <v>40 kHz</v>
      </c>
      <c r="U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kHz</v>
      </c>
      <c r="V527" t="b">
        <f ca="1">Validation[[#This Row],[Desired Result]]=Validation[[#This Row],[Result]]</f>
        <v>1</v>
      </c>
      <c r="W527" t="b">
        <v>1</v>
      </c>
      <c r="X527" t="b">
        <f>Validation[[#This Row],[Range1_Low]]&gt;=Validation[[#This Row],[Range1_High]]</f>
        <v>0</v>
      </c>
      <c r="Y527" s="111" t="s">
        <v>2843</v>
      </c>
    </row>
    <row r="528" spans="1:25" ht="16.5" thickTop="1" thickBot="1" x14ac:dyDescent="0.3">
      <c r="A528" t="s">
        <v>55</v>
      </c>
      <c r="B528" t="s">
        <v>17</v>
      </c>
      <c r="C528">
        <v>0</v>
      </c>
      <c r="D528">
        <v>40</v>
      </c>
      <c r="E528">
        <v>0.01</v>
      </c>
      <c r="F528" t="s">
        <v>9</v>
      </c>
      <c r="G528" t="s">
        <v>9</v>
      </c>
      <c r="H528">
        <v>0</v>
      </c>
      <c r="I528">
        <v>0</v>
      </c>
      <c r="J528" t="s">
        <v>2833</v>
      </c>
      <c r="K528">
        <v>5.3364999999999996E-6</v>
      </c>
      <c r="L528">
        <v>4.6700000000000004E-10</v>
      </c>
      <c r="M528">
        <v>5.3407999999999998E-6</v>
      </c>
      <c r="N528">
        <v>4.6200000000000001E-10</v>
      </c>
      <c r="O528" t="s">
        <v>2833</v>
      </c>
      <c r="P528" t="s">
        <v>2833</v>
      </c>
      <c r="Q528" t="s">
        <v>2833</v>
      </c>
      <c r="R528">
        <f ca="1">RAND()*(Validation[[#This Row],[Range1_High]]-Validation[[#This Row],[Range1_Low]])+Validation[[#This Row],[Range1_Low]]</f>
        <v>23.224042918159611</v>
      </c>
      <c r="S528">
        <f>Validation[[#This Row],[Range2_High]]</f>
        <v>0</v>
      </c>
      <c r="T528" t="str" cm="1">
        <f t="array" aca="1" ref="T528" ca="1">RoundToTwoSigFigs(Validation[[#This Row],[Test Reading]]*Validation[[#This Row],[Mult]]+Validation[[#This Row],[Base]]) &amp;" "&amp;Validation[[#This Row],[Uncert_Units]]</f>
        <v>0.0000053 Hz</v>
      </c>
      <c r="U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V528" t="b">
        <f ca="1">Validation[[#This Row],[Desired Result]]=Validation[[#This Row],[Result]]</f>
        <v>1</v>
      </c>
      <c r="W528" t="b">
        <v>0</v>
      </c>
      <c r="X528" t="b">
        <f>Validation[[#This Row],[Range1_Low]]&gt;=Validation[[#This Row],[Range1_High]]</f>
        <v>0</v>
      </c>
      <c r="Y528" s="111" t="s">
        <v>2845</v>
      </c>
    </row>
    <row r="529" spans="1:25" ht="16.5" thickTop="1" thickBot="1" x14ac:dyDescent="0.3">
      <c r="A529" t="s">
        <v>55</v>
      </c>
      <c r="B529" t="s">
        <v>17</v>
      </c>
      <c r="C529" s="113">
        <v>10000</v>
      </c>
      <c r="D529" s="113">
        <v>100000</v>
      </c>
      <c r="E529">
        <v>1</v>
      </c>
      <c r="F529" t="s">
        <v>9</v>
      </c>
      <c r="G529" t="s">
        <v>9</v>
      </c>
      <c r="H529">
        <v>0</v>
      </c>
      <c r="I529">
        <v>0</v>
      </c>
      <c r="J529" t="s">
        <v>2833</v>
      </c>
      <c r="K529">
        <v>1.3574E-4</v>
      </c>
      <c r="L529">
        <v>1.3570999999999999E-7</v>
      </c>
      <c r="M529">
        <v>1.3570999999999999E-4</v>
      </c>
      <c r="N529">
        <v>1.2799E-7</v>
      </c>
      <c r="O529" t="s">
        <v>2833</v>
      </c>
      <c r="P529" t="s">
        <v>2833</v>
      </c>
      <c r="Q529" t="s">
        <v>2833</v>
      </c>
      <c r="R529">
        <f ca="1">RAND()*(Validation[[#This Row],[Range1_High]]-Validation[[#This Row],[Range1_Low]])+Validation[[#This Row],[Range1_Low]]</f>
        <v>84604.060577229771</v>
      </c>
      <c r="S529">
        <f>Validation[[#This Row],[Range2_High]]</f>
        <v>0</v>
      </c>
      <c r="T529" t="str" cm="1">
        <f t="array" aca="1" ref="T529" ca="1">RoundToTwoSigFigs(Validation[[#This Row],[Test Reading]]*Validation[[#This Row],[Mult]]+Validation[[#This Row],[Base]]) &amp;" "&amp;Validation[[#This Row],[Uncert_Units]]</f>
        <v>0.012 Hz</v>
      </c>
      <c r="U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Hz</v>
      </c>
      <c r="V529" t="b">
        <f ca="1">Validation[[#This Row],[Desired Result]]=Validation[[#This Row],[Result]]</f>
        <v>1</v>
      </c>
      <c r="W529" t="b">
        <v>1</v>
      </c>
      <c r="X529" t="b">
        <f>Validation[[#This Row],[Range1_Low]]&gt;=Validation[[#This Row],[Range1_High]]</f>
        <v>0</v>
      </c>
      <c r="Y529" s="111" t="s">
        <v>2843</v>
      </c>
    </row>
    <row r="530" spans="1:25" ht="15.75" thickTop="1" x14ac:dyDescent="0.25">
      <c r="A530" t="s">
        <v>54</v>
      </c>
      <c r="B530" t="s">
        <v>17</v>
      </c>
      <c r="C530">
        <v>120000</v>
      </c>
      <c r="D530">
        <v>1200010</v>
      </c>
      <c r="E530">
        <v>10000</v>
      </c>
      <c r="F530" t="s">
        <v>9</v>
      </c>
      <c r="G530" t="s">
        <v>9</v>
      </c>
      <c r="H530">
        <v>0</v>
      </c>
      <c r="I530">
        <v>0</v>
      </c>
      <c r="J530" t="s">
        <v>2833</v>
      </c>
      <c r="K530">
        <v>5773.8</v>
      </c>
      <c r="L530">
        <v>1.0097E-6</v>
      </c>
      <c r="M530">
        <v>5773.6</v>
      </c>
      <c r="N530">
        <v>1.8185999999999999E-7</v>
      </c>
      <c r="O530" t="s">
        <v>2833</v>
      </c>
      <c r="P530" t="s">
        <v>2833</v>
      </c>
      <c r="Q530" t="s">
        <v>2833</v>
      </c>
      <c r="R530">
        <f ca="1">RAND()*(Validation[[#This Row],[Range1_High]]-Validation[[#This Row],[Range1_Low]])+Validation[[#This Row],[Range1_Low]]</f>
        <v>1187190.8031483153</v>
      </c>
      <c r="S530">
        <f>Validation[[#This Row],[Range2_High]]</f>
        <v>0</v>
      </c>
      <c r="T530" t="str" cm="1">
        <f t="array" aca="1" ref="T530" ca="1">RoundToTwoSigFigs(Validation[[#This Row],[Test Reading]]*Validation[[#This Row],[Mult]]+Validation[[#This Row],[Base]]) &amp;" "&amp;Validation[[#This Row],[Uncert_Units]]</f>
        <v>5800 Hz</v>
      </c>
      <c r="U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V530" t="b">
        <f ca="1">Validation[[#This Row],[Desired Result]]=Validation[[#This Row],[Result]]</f>
        <v>1</v>
      </c>
      <c r="W530" t="b">
        <v>0</v>
      </c>
      <c r="X530" t="b">
        <f>Validation[[#This Row],[Range1_Low]]&gt;=Validation[[#This Row],[Range1_High]]</f>
        <v>0</v>
      </c>
      <c r="Y530" s="111" t="s">
        <v>2845</v>
      </c>
    </row>
    <row r="531" spans="1:25" ht="15.75" thickBot="1" x14ac:dyDescent="0.3">
      <c r="A531" t="s">
        <v>54</v>
      </c>
      <c r="B531" t="s">
        <v>17</v>
      </c>
      <c r="C531">
        <v>12000</v>
      </c>
      <c r="D531">
        <v>120010</v>
      </c>
      <c r="E531">
        <v>100</v>
      </c>
      <c r="F531" t="s">
        <v>9</v>
      </c>
      <c r="G531" t="s">
        <v>9</v>
      </c>
      <c r="H531">
        <v>0</v>
      </c>
      <c r="I531">
        <v>0</v>
      </c>
      <c r="J531" t="s">
        <v>2833</v>
      </c>
      <c r="K531">
        <v>60.591999999999999</v>
      </c>
      <c r="L531">
        <v>1.1287000000000001E-5</v>
      </c>
      <c r="M531">
        <v>60.268999999999998</v>
      </c>
      <c r="N531">
        <v>9.1177999999999993E-6</v>
      </c>
      <c r="O531" t="s">
        <v>2833</v>
      </c>
      <c r="P531" t="s">
        <v>2833</v>
      </c>
      <c r="Q531" t="s">
        <v>2833</v>
      </c>
      <c r="R531">
        <f ca="1">RAND()*(Validation[[#This Row],[Range1_High]]-Validation[[#This Row],[Range1_Low]])+Validation[[#This Row],[Range1_Low]]</f>
        <v>39660.33539352371</v>
      </c>
      <c r="S531">
        <f>Validation[[#This Row],[Range2_High]]</f>
        <v>0</v>
      </c>
      <c r="T531" t="str" cm="1">
        <f t="array" aca="1" ref="T531" ca="1">RoundToTwoSigFigs(Validation[[#This Row],[Test Reading]]*Validation[[#This Row],[Mult]]+Validation[[#This Row],[Base]]) &amp;" "&amp;Validation[[#This Row],[Uncert_Units]]</f>
        <v>61 Hz</v>
      </c>
      <c r="U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V531" t="b">
        <f ca="1">Validation[[#This Row],[Desired Result]]=Validation[[#This Row],[Result]]</f>
        <v>1</v>
      </c>
      <c r="W531" t="b">
        <v>0</v>
      </c>
      <c r="X531" t="b">
        <f>Validation[[#This Row],[Range1_Low]]&gt;=Validation[[#This Row],[Range1_High]]</f>
        <v>0</v>
      </c>
      <c r="Y531" s="111" t="s">
        <v>2845</v>
      </c>
    </row>
    <row r="532" spans="1:25" ht="16.5" thickTop="1" thickBot="1" x14ac:dyDescent="0.3">
      <c r="A532" t="s">
        <v>54</v>
      </c>
      <c r="B532" t="s">
        <v>17</v>
      </c>
      <c r="C532" s="113">
        <v>1200000</v>
      </c>
      <c r="D532" s="113">
        <v>2000000</v>
      </c>
      <c r="E532">
        <v>1000</v>
      </c>
      <c r="F532" t="s">
        <v>9</v>
      </c>
      <c r="G532" t="s">
        <v>10</v>
      </c>
      <c r="H532">
        <v>0</v>
      </c>
      <c r="I532">
        <v>0</v>
      </c>
      <c r="J532" t="s">
        <v>2833</v>
      </c>
      <c r="K532">
        <v>0.43</v>
      </c>
      <c r="L532">
        <v>1.4137000000000001E-4</v>
      </c>
      <c r="M532">
        <v>0.42565999999999998</v>
      </c>
      <c r="N532">
        <v>1.2836E-4</v>
      </c>
      <c r="O532" t="s">
        <v>2833</v>
      </c>
      <c r="P532" t="s">
        <v>2833</v>
      </c>
      <c r="Q532" t="s">
        <v>2833</v>
      </c>
      <c r="R532">
        <f ca="1">RAND()*(Validation[[#This Row],[Range1_High]]-Validation[[#This Row],[Range1_Low]])+Validation[[#This Row],[Range1_Low]]</f>
        <v>1260968.0930854452</v>
      </c>
      <c r="S532">
        <f>Validation[[#This Row],[Range2_High]]</f>
        <v>0</v>
      </c>
      <c r="T532" t="str" cm="1">
        <f t="array" aca="1" ref="T532" ca="1">RoundToTwoSigFigs(Validation[[#This Row],[Test Reading]]*Validation[[#This Row],[Mult]]+Validation[[#This Row],[Base]]) &amp;" "&amp;Validation[[#This Row],[Uncert_Units]]</f>
        <v>180 kHz</v>
      </c>
      <c r="U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kHz</v>
      </c>
      <c r="V532" t="b">
        <f ca="1">Validation[[#This Row],[Desired Result]]=Validation[[#This Row],[Result]]</f>
        <v>1</v>
      </c>
      <c r="W532" t="b">
        <v>1</v>
      </c>
      <c r="X532" t="b">
        <f>Validation[[#This Row],[Range1_Low]]&gt;=Validation[[#This Row],[Range1_High]]</f>
        <v>0</v>
      </c>
      <c r="Y532" s="111" t="s">
        <v>2843</v>
      </c>
    </row>
    <row r="533" spans="1:25" ht="15.75" thickTop="1" x14ac:dyDescent="0.25">
      <c r="A533" t="s">
        <v>68</v>
      </c>
      <c r="B533" t="s">
        <v>17</v>
      </c>
      <c r="C533">
        <v>1</v>
      </c>
      <c r="D533">
        <v>100000</v>
      </c>
      <c r="E533">
        <v>10000</v>
      </c>
      <c r="F533" t="s">
        <v>9</v>
      </c>
      <c r="G533" t="s">
        <v>9</v>
      </c>
      <c r="H533">
        <v>0</v>
      </c>
      <c r="I533">
        <v>0</v>
      </c>
      <c r="J533" t="s">
        <v>2833</v>
      </c>
      <c r="K533">
        <v>5799.7</v>
      </c>
      <c r="L533">
        <v>2.6460999999999998E-4</v>
      </c>
      <c r="M533">
        <v>5799.7</v>
      </c>
      <c r="N533">
        <v>2.6459999999999998E-4</v>
      </c>
      <c r="O533" t="s">
        <v>2833</v>
      </c>
      <c r="P533" t="s">
        <v>2833</v>
      </c>
      <c r="Q533" t="s">
        <v>2833</v>
      </c>
      <c r="R533">
        <f ca="1">RAND()*(Validation[[#This Row],[Range1_High]]-Validation[[#This Row],[Range1_Low]])+Validation[[#This Row],[Range1_Low]]</f>
        <v>6100.2568159531302</v>
      </c>
      <c r="S533">
        <f>Validation[[#This Row],[Range2_High]]</f>
        <v>0</v>
      </c>
      <c r="T533" t="str" cm="1">
        <f t="array" aca="1" ref="T533" ca="1">RoundToTwoSigFigs(Validation[[#This Row],[Test Reading]]*Validation[[#This Row],[Mult]]+Validation[[#This Row],[Base]]) &amp;" "&amp;Validation[[#This Row],[Uncert_Units]]</f>
        <v>5800 Hz</v>
      </c>
      <c r="U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V533" t="b">
        <f ca="1">Validation[[#This Row],[Desired Result]]=Validation[[#This Row],[Result]]</f>
        <v>1</v>
      </c>
      <c r="W533" t="b">
        <v>0</v>
      </c>
      <c r="X533" t="b">
        <f>Validation[[#This Row],[Range1_Low]]&gt;=Validation[[#This Row],[Range1_High]]</f>
        <v>0</v>
      </c>
      <c r="Y533" s="111" t="s">
        <v>2845</v>
      </c>
    </row>
    <row r="534" spans="1:25" ht="15.75" thickBot="1" x14ac:dyDescent="0.3">
      <c r="A534" t="s">
        <v>55</v>
      </c>
      <c r="B534" t="s">
        <v>17</v>
      </c>
      <c r="C534">
        <v>10000</v>
      </c>
      <c r="D534">
        <v>100000</v>
      </c>
      <c r="E534">
        <v>1000</v>
      </c>
      <c r="F534" t="s">
        <v>9</v>
      </c>
      <c r="G534" t="s">
        <v>9</v>
      </c>
      <c r="H534">
        <v>0</v>
      </c>
      <c r="I534">
        <v>0</v>
      </c>
      <c r="J534" t="s">
        <v>2833</v>
      </c>
      <c r="K534">
        <v>0.57733999999999996</v>
      </c>
      <c r="L534">
        <v>5.7720000000000004E-4</v>
      </c>
      <c r="M534">
        <v>0.57720000000000005</v>
      </c>
      <c r="N534">
        <v>1.5900000000000001E-9</v>
      </c>
      <c r="O534" t="s">
        <v>2833</v>
      </c>
      <c r="P534" t="s">
        <v>2833</v>
      </c>
      <c r="Q534" t="s">
        <v>2833</v>
      </c>
      <c r="R534">
        <f ca="1">RAND()*(Validation[[#This Row],[Range1_High]]-Validation[[#This Row],[Range1_Low]])+Validation[[#This Row],[Range1_Low]]</f>
        <v>50431.596649278617</v>
      </c>
      <c r="S534">
        <f>Validation[[#This Row],[Range2_High]]</f>
        <v>0</v>
      </c>
      <c r="T534" t="str" cm="1">
        <f t="array" aca="1" ref="T534" ca="1">RoundToTwoSigFigs(Validation[[#This Row],[Test Reading]]*Validation[[#This Row],[Mult]]+Validation[[#This Row],[Base]]) &amp;" "&amp;Validation[[#This Row],[Uncert_Units]]</f>
        <v>30 Hz</v>
      </c>
      <c r="U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Hz</v>
      </c>
      <c r="V534" t="b">
        <f ca="1">Validation[[#This Row],[Desired Result]]=Validation[[#This Row],[Result]]</f>
        <v>1</v>
      </c>
      <c r="W534" t="b">
        <v>0</v>
      </c>
      <c r="X534" t="b">
        <f>Validation[[#This Row],[Range1_Low]]&gt;=Validation[[#This Row],[Range1_High]]</f>
        <v>0</v>
      </c>
      <c r="Y534" s="111" t="s">
        <v>2845</v>
      </c>
    </row>
    <row r="535" spans="1:25" ht="16.5" thickTop="1" thickBot="1" x14ac:dyDescent="0.3">
      <c r="A535" t="s">
        <v>54</v>
      </c>
      <c r="B535" t="s">
        <v>17</v>
      </c>
      <c r="C535" s="113">
        <v>1200</v>
      </c>
      <c r="D535" s="113">
        <v>12001</v>
      </c>
      <c r="E535">
        <v>10</v>
      </c>
      <c r="F535" t="s">
        <v>9</v>
      </c>
      <c r="G535" t="s">
        <v>9</v>
      </c>
      <c r="H535">
        <v>0</v>
      </c>
      <c r="I535">
        <v>0</v>
      </c>
      <c r="J535" t="s">
        <v>2833</v>
      </c>
      <c r="K535">
        <v>57.738999999999997</v>
      </c>
      <c r="L535">
        <v>3.3237E-7</v>
      </c>
      <c r="M535">
        <v>57.734999999999999</v>
      </c>
      <c r="N535">
        <v>9.5840000000000003E-8</v>
      </c>
      <c r="O535" t="s">
        <v>2833</v>
      </c>
      <c r="P535" t="s">
        <v>2833</v>
      </c>
      <c r="Q535" t="s">
        <v>2833</v>
      </c>
      <c r="R535">
        <f ca="1">RAND()*(Validation[[#This Row],[Range1_High]]-Validation[[#This Row],[Range1_Low]])+Validation[[#This Row],[Range1_Low]]</f>
        <v>4507.7996472249579</v>
      </c>
      <c r="S535">
        <f>Validation[[#This Row],[Range2_High]]</f>
        <v>0</v>
      </c>
      <c r="T535" t="str" cm="1">
        <f t="array" aca="1" ref="T535" ca="1">RoundToTwoSigFigs(Validation[[#This Row],[Test Reading]]*Validation[[#This Row],[Mult]]+Validation[[#This Row],[Base]]) &amp;" "&amp;Validation[[#This Row],[Uncert_Units]]</f>
        <v>58 Hz</v>
      </c>
      <c r="U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V535" t="b">
        <f ca="1">Validation[[#This Row],[Desired Result]]=Validation[[#This Row],[Result]]</f>
        <v>1</v>
      </c>
      <c r="W535" t="b">
        <v>1</v>
      </c>
      <c r="X535" t="b">
        <f>Validation[[#This Row],[Range1_Low]]&gt;=Validation[[#This Row],[Range1_High]]</f>
        <v>0</v>
      </c>
      <c r="Y535" s="111" t="s">
        <v>2843</v>
      </c>
    </row>
    <row r="536" spans="1:25" ht="16.5" thickTop="1" thickBot="1" x14ac:dyDescent="0.3">
      <c r="A536" t="s">
        <v>54</v>
      </c>
      <c r="B536" t="s">
        <v>17</v>
      </c>
      <c r="C536" s="113">
        <v>120000</v>
      </c>
      <c r="D536" s="113">
        <v>1200010</v>
      </c>
      <c r="E536">
        <v>100</v>
      </c>
      <c r="F536" t="s">
        <v>9</v>
      </c>
      <c r="G536" t="s">
        <v>9</v>
      </c>
      <c r="H536">
        <v>0</v>
      </c>
      <c r="I536">
        <v>0</v>
      </c>
      <c r="J536" t="s">
        <v>2833</v>
      </c>
      <c r="K536">
        <v>60.875999999999998</v>
      </c>
      <c r="L536">
        <v>1.8461000000000002E-5</v>
      </c>
      <c r="M536">
        <v>59.55</v>
      </c>
      <c r="N536">
        <v>1.5104E-5</v>
      </c>
      <c r="O536" t="s">
        <v>2833</v>
      </c>
      <c r="P536" t="s">
        <v>2833</v>
      </c>
      <c r="Q536" t="s">
        <v>2833</v>
      </c>
      <c r="R536">
        <f ca="1">RAND()*(Validation[[#This Row],[Range1_High]]-Validation[[#This Row],[Range1_Low]])+Validation[[#This Row],[Range1_Low]]</f>
        <v>1115472.5819119201</v>
      </c>
      <c r="S536">
        <f>Validation[[#This Row],[Range2_High]]</f>
        <v>0</v>
      </c>
      <c r="T536" t="str" cm="1">
        <f t="array" aca="1" ref="T536" ca="1">RoundToTwoSigFigs(Validation[[#This Row],[Test Reading]]*Validation[[#This Row],[Mult]]+Validation[[#This Row],[Base]]) &amp;" "&amp;Validation[[#This Row],[Uncert_Units]]</f>
        <v>81 Hz</v>
      </c>
      <c r="U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Hz</v>
      </c>
      <c r="V536" t="b">
        <f ca="1">Validation[[#This Row],[Desired Result]]=Validation[[#This Row],[Result]]</f>
        <v>1</v>
      </c>
      <c r="W536" t="b">
        <v>1</v>
      </c>
      <c r="X536" t="b">
        <f>Validation[[#This Row],[Range1_Low]]&gt;=Validation[[#This Row],[Range1_High]]</f>
        <v>0</v>
      </c>
      <c r="Y536" s="111" t="s">
        <v>2843</v>
      </c>
    </row>
    <row r="537" spans="1:25" ht="16.5" thickTop="1" thickBot="1" x14ac:dyDescent="0.3">
      <c r="A537" t="s">
        <v>54</v>
      </c>
      <c r="B537" t="s">
        <v>17</v>
      </c>
      <c r="C537" s="113">
        <v>12000</v>
      </c>
      <c r="D537" s="113">
        <v>120010</v>
      </c>
      <c r="E537">
        <v>1</v>
      </c>
      <c r="F537" t="s">
        <v>9</v>
      </c>
      <c r="G537" t="s">
        <v>9</v>
      </c>
      <c r="H537">
        <v>0</v>
      </c>
      <c r="I537">
        <v>0</v>
      </c>
      <c r="J537" t="s">
        <v>2833</v>
      </c>
      <c r="K537">
        <v>19</v>
      </c>
      <c r="L537">
        <v>2.8E-5</v>
      </c>
      <c r="M537">
        <v>17.329999999999998</v>
      </c>
      <c r="N537">
        <v>2.8853999999999999E-5</v>
      </c>
      <c r="O537" t="s">
        <v>2833</v>
      </c>
      <c r="P537" t="s">
        <v>2833</v>
      </c>
      <c r="Q537" t="s">
        <v>2833</v>
      </c>
      <c r="R537">
        <f ca="1">RAND()*(Validation[[#This Row],[Range1_High]]-Validation[[#This Row],[Range1_Low]])+Validation[[#This Row],[Range1_Low]]</f>
        <v>82978.021097759454</v>
      </c>
      <c r="S537">
        <f>Validation[[#This Row],[Range2_High]]</f>
        <v>0</v>
      </c>
      <c r="T537" t="str" cm="1">
        <f t="array" aca="1" ref="T537" ca="1">RoundToTwoSigFigs(Validation[[#This Row],[Test Reading]]*Validation[[#This Row],[Mult]]+Validation[[#This Row],[Base]]) &amp;" "&amp;Validation[[#This Row],[Uncert_Units]]</f>
        <v>21 Hz</v>
      </c>
      <c r="U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Hz</v>
      </c>
      <c r="V537" t="b">
        <f ca="1">Validation[[#This Row],[Desired Result]]=Validation[[#This Row],[Result]]</f>
        <v>1</v>
      </c>
      <c r="W537" t="b">
        <v>1</v>
      </c>
      <c r="X537" t="b">
        <f>Validation[[#This Row],[Range1_Low]]&gt;=Validation[[#This Row],[Range1_High]]</f>
        <v>0</v>
      </c>
      <c r="Y537" s="111" t="s">
        <v>2843</v>
      </c>
    </row>
    <row r="538" spans="1:25" ht="15.75" thickTop="1" x14ac:dyDescent="0.25">
      <c r="A538" t="s">
        <v>54</v>
      </c>
      <c r="B538" t="s">
        <v>17</v>
      </c>
      <c r="C538">
        <v>2000000</v>
      </c>
      <c r="D538">
        <v>2001000</v>
      </c>
      <c r="E538">
        <v>1000</v>
      </c>
      <c r="F538" t="s">
        <v>9</v>
      </c>
      <c r="G538" t="s">
        <v>10</v>
      </c>
      <c r="H538">
        <v>0</v>
      </c>
      <c r="I538">
        <v>0</v>
      </c>
      <c r="J538" t="s">
        <v>2833</v>
      </c>
      <c r="K538">
        <v>0.43</v>
      </c>
      <c r="L538">
        <v>1.4137000000000001E-4</v>
      </c>
      <c r="M538">
        <v>0.42565999999999998</v>
      </c>
      <c r="N538">
        <v>1.2836E-4</v>
      </c>
      <c r="O538" t="s">
        <v>2833</v>
      </c>
      <c r="P538" t="s">
        <v>2833</v>
      </c>
      <c r="Q538" t="s">
        <v>2833</v>
      </c>
      <c r="R538">
        <f ca="1">RAND()*(Validation[[#This Row],[Range1_High]]-Validation[[#This Row],[Range1_Low]])+Validation[[#This Row],[Range1_Low]]</f>
        <v>2000980.9252731935</v>
      </c>
      <c r="S538">
        <f>Validation[[#This Row],[Range2_High]]</f>
        <v>0</v>
      </c>
      <c r="T538" t="str" cm="1">
        <f t="array" aca="1" ref="T538" ca="1">RoundToTwoSigFigs(Validation[[#This Row],[Test Reading]]*Validation[[#This Row],[Mult]]+Validation[[#This Row],[Base]]) &amp;" "&amp;Validation[[#This Row],[Uncert_Units]]</f>
        <v>280 kHz</v>
      </c>
      <c r="U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V538" t="b">
        <f ca="1">Validation[[#This Row],[Desired Result]]=Validation[[#This Row],[Result]]</f>
        <v>1</v>
      </c>
      <c r="W538" t="b">
        <v>0</v>
      </c>
      <c r="X538" t="b">
        <f>Validation[[#This Row],[Range1_Low]]&gt;=Validation[[#This Row],[Range1_High]]</f>
        <v>0</v>
      </c>
      <c r="Y538" s="111" t="s">
        <v>2845</v>
      </c>
    </row>
    <row r="539" spans="1:25" x14ac:dyDescent="0.25">
      <c r="A539" t="s">
        <v>55</v>
      </c>
      <c r="B539" t="s">
        <v>17</v>
      </c>
      <c r="C539">
        <v>0</v>
      </c>
      <c r="D539">
        <v>40</v>
      </c>
      <c r="E539">
        <v>10000</v>
      </c>
      <c r="F539" t="s">
        <v>9</v>
      </c>
      <c r="G539" t="s">
        <v>9</v>
      </c>
      <c r="H539">
        <v>0</v>
      </c>
      <c r="I539">
        <v>0</v>
      </c>
      <c r="J539" t="s">
        <v>2833</v>
      </c>
      <c r="K539">
        <v>5.7736000000000001</v>
      </c>
      <c r="L539">
        <v>0</v>
      </c>
      <c r="M539">
        <v>5.7736000000000001</v>
      </c>
      <c r="N539">
        <v>0</v>
      </c>
      <c r="O539" t="s">
        <v>2833</v>
      </c>
      <c r="P539" t="s">
        <v>2833</v>
      </c>
      <c r="Q539" t="s">
        <v>2833</v>
      </c>
      <c r="R539">
        <f ca="1">RAND()*(Validation[[#This Row],[Range1_High]]-Validation[[#This Row],[Range1_Low]])+Validation[[#This Row],[Range1_Low]]</f>
        <v>27.768373584711867</v>
      </c>
      <c r="S539">
        <f>Validation[[#This Row],[Range2_High]]</f>
        <v>0</v>
      </c>
      <c r="T539" t="str" cm="1">
        <f t="array" aca="1" ref="T539" ca="1">RoundToTwoSigFigs(Validation[[#This Row],[Test Reading]]*Validation[[#This Row],[Mult]]+Validation[[#This Row],[Base]]) &amp;" "&amp;Validation[[#This Row],[Uncert_Units]]</f>
        <v>5.8 Hz</v>
      </c>
      <c r="U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V539" t="b">
        <f ca="1">Validation[[#This Row],[Desired Result]]=Validation[[#This Row],[Result]]</f>
        <v>1</v>
      </c>
      <c r="W539" t="b">
        <v>0</v>
      </c>
      <c r="X539" t="b">
        <f>Validation[[#This Row],[Range1_Low]]&gt;=Validation[[#This Row],[Range1_High]]</f>
        <v>0</v>
      </c>
      <c r="Y539" s="111" t="s">
        <v>2845</v>
      </c>
    </row>
    <row r="540" spans="1:25" x14ac:dyDescent="0.25">
      <c r="A540" t="s">
        <v>54</v>
      </c>
      <c r="B540" t="s">
        <v>17</v>
      </c>
      <c r="C540">
        <v>120</v>
      </c>
      <c r="D540">
        <v>1200.01</v>
      </c>
      <c r="E540">
        <v>1</v>
      </c>
      <c r="F540" t="s">
        <v>9</v>
      </c>
      <c r="G540" t="s">
        <v>9</v>
      </c>
      <c r="H540">
        <v>0</v>
      </c>
      <c r="I540">
        <v>0</v>
      </c>
      <c r="J540" t="s">
        <v>2833</v>
      </c>
      <c r="K540">
        <v>0.57794999999999996</v>
      </c>
      <c r="L540">
        <v>1.5972999999999999E-6</v>
      </c>
      <c r="M540">
        <v>0.57725000000000004</v>
      </c>
      <c r="N540">
        <v>1.0094E-6</v>
      </c>
      <c r="O540" t="s">
        <v>2833</v>
      </c>
      <c r="P540" t="s">
        <v>2833</v>
      </c>
      <c r="Q540" t="s">
        <v>2833</v>
      </c>
      <c r="R540">
        <f ca="1">RAND()*(Validation[[#This Row],[Range1_High]]-Validation[[#This Row],[Range1_Low]])+Validation[[#This Row],[Range1_Low]]</f>
        <v>151.04881483525526</v>
      </c>
      <c r="S540">
        <f>Validation[[#This Row],[Range2_High]]</f>
        <v>0</v>
      </c>
      <c r="T540" t="str" cm="1">
        <f t="array" aca="1" ref="T540" ca="1">RoundToTwoSigFigs(Validation[[#This Row],[Test Reading]]*Validation[[#This Row],[Mult]]+Validation[[#This Row],[Base]]) &amp;" "&amp;Validation[[#This Row],[Uncert_Units]]</f>
        <v>0.58 Hz</v>
      </c>
      <c r="U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V540" t="b">
        <f ca="1">Validation[[#This Row],[Desired Result]]=Validation[[#This Row],[Result]]</f>
        <v>1</v>
      </c>
      <c r="W540" t="b">
        <v>0</v>
      </c>
      <c r="X540" t="b">
        <f>Validation[[#This Row],[Range1_Low]]&gt;=Validation[[#This Row],[Range1_High]]</f>
        <v>0</v>
      </c>
      <c r="Y540" s="111" t="s">
        <v>2845</v>
      </c>
    </row>
    <row r="541" spans="1:25" ht="15.75" thickBot="1" x14ac:dyDescent="0.3">
      <c r="A541" t="s">
        <v>54</v>
      </c>
      <c r="B541" t="s">
        <v>17</v>
      </c>
      <c r="C541">
        <v>0</v>
      </c>
      <c r="D541">
        <v>120.001</v>
      </c>
      <c r="E541">
        <v>100</v>
      </c>
      <c r="F541" t="s">
        <v>9</v>
      </c>
      <c r="G541" t="s">
        <v>9</v>
      </c>
      <c r="H541">
        <v>0</v>
      </c>
      <c r="I541">
        <v>0</v>
      </c>
      <c r="J541" t="s">
        <v>2833</v>
      </c>
      <c r="K541">
        <v>57.735999999999997</v>
      </c>
      <c r="L541">
        <v>1.2167999999999999E-7</v>
      </c>
      <c r="M541">
        <v>57.735999999999997</v>
      </c>
      <c r="N541">
        <v>1.4510000000000001E-9</v>
      </c>
      <c r="O541" t="s">
        <v>2833</v>
      </c>
      <c r="P541" t="s">
        <v>2833</v>
      </c>
      <c r="Q541" t="s">
        <v>2833</v>
      </c>
      <c r="R541">
        <f ca="1">RAND()*(Validation[[#This Row],[Range1_High]]-Validation[[#This Row],[Range1_Low]])+Validation[[#This Row],[Range1_Low]]</f>
        <v>101.86513671016196</v>
      </c>
      <c r="S541">
        <f>Validation[[#This Row],[Range2_High]]</f>
        <v>0</v>
      </c>
      <c r="T541" t="str" cm="1">
        <f t="array" aca="1" ref="T541" ca="1">RoundToTwoSigFigs(Validation[[#This Row],[Test Reading]]*Validation[[#This Row],[Mult]]+Validation[[#This Row],[Base]]) &amp;" "&amp;Validation[[#This Row],[Uncert_Units]]</f>
        <v>58 Hz</v>
      </c>
      <c r="U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V541" t="b">
        <f ca="1">Validation[[#This Row],[Desired Result]]=Validation[[#This Row],[Result]]</f>
        <v>1</v>
      </c>
      <c r="W541" t="b">
        <v>0</v>
      </c>
      <c r="X541" t="b">
        <f>Validation[[#This Row],[Range1_Low]]&gt;=Validation[[#This Row],[Range1_High]]</f>
        <v>0</v>
      </c>
      <c r="Y541" s="111" t="s">
        <v>2845</v>
      </c>
    </row>
    <row r="542" spans="1:25" ht="16.5" thickTop="1" thickBot="1" x14ac:dyDescent="0.3">
      <c r="A542" t="s">
        <v>55</v>
      </c>
      <c r="B542" t="s">
        <v>17</v>
      </c>
      <c r="C542" s="113">
        <v>100000</v>
      </c>
      <c r="D542" s="113">
        <v>1000000</v>
      </c>
      <c r="E542">
        <v>1</v>
      </c>
      <c r="F542" t="s">
        <v>9</v>
      </c>
      <c r="G542" t="s">
        <v>9</v>
      </c>
      <c r="H542">
        <v>0</v>
      </c>
      <c r="I542">
        <v>0</v>
      </c>
      <c r="J542" t="s">
        <v>2833</v>
      </c>
      <c r="K542">
        <v>1.9517999999999998E-5</v>
      </c>
      <c r="L542">
        <v>1.2919999999999999E-7</v>
      </c>
      <c r="M542">
        <v>1.3837E-5</v>
      </c>
      <c r="N542">
        <v>1.2921E-7</v>
      </c>
      <c r="O542" t="s">
        <v>2833</v>
      </c>
      <c r="P542" t="s">
        <v>2833</v>
      </c>
      <c r="Q542" t="s">
        <v>2833</v>
      </c>
      <c r="R542">
        <f ca="1">RAND()*(Validation[[#This Row],[Range1_High]]-Validation[[#This Row],[Range1_Low]])+Validation[[#This Row],[Range1_Low]]</f>
        <v>447561.09373180137</v>
      </c>
      <c r="S542">
        <f>Validation[[#This Row],[Range2_High]]</f>
        <v>0</v>
      </c>
      <c r="T542" t="str" cm="1">
        <f t="array" aca="1" ref="T542" ca="1">RoundToTwoSigFigs(Validation[[#This Row],[Test Reading]]*Validation[[#This Row],[Mult]]+Validation[[#This Row],[Base]]) &amp;" "&amp;Validation[[#This Row],[Uncert_Units]]</f>
        <v>0.058 Hz</v>
      </c>
      <c r="U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V542" t="b">
        <f ca="1">Validation[[#This Row],[Desired Result]]=Validation[[#This Row],[Result]]</f>
        <v>1</v>
      </c>
      <c r="W542" t="b">
        <v>1</v>
      </c>
      <c r="X542" t="b">
        <f>Validation[[#This Row],[Range1_Low]]&gt;=Validation[[#This Row],[Range1_High]]</f>
        <v>0</v>
      </c>
      <c r="Y542" s="111" t="s">
        <v>2843</v>
      </c>
    </row>
    <row r="543" spans="1:25" ht="16.5" thickTop="1" thickBot="1" x14ac:dyDescent="0.3">
      <c r="A543" t="s">
        <v>68</v>
      </c>
      <c r="B543" t="s">
        <v>17</v>
      </c>
      <c r="C543">
        <v>1</v>
      </c>
      <c r="D543">
        <v>100000</v>
      </c>
      <c r="E543">
        <v>10</v>
      </c>
      <c r="F543" t="s">
        <v>9</v>
      </c>
      <c r="G543" t="s">
        <v>9</v>
      </c>
      <c r="H543">
        <v>0</v>
      </c>
      <c r="I543">
        <v>0</v>
      </c>
      <c r="J543" t="s">
        <v>2833</v>
      </c>
      <c r="K543">
        <v>5.8379000000000003</v>
      </c>
      <c r="L543">
        <v>4.8237000000000001E-6</v>
      </c>
      <c r="M543">
        <v>5.8243</v>
      </c>
      <c r="N543">
        <v>4.6825999999999999E-6</v>
      </c>
      <c r="O543" t="s">
        <v>2833</v>
      </c>
      <c r="P543" t="s">
        <v>2833</v>
      </c>
      <c r="Q543" t="s">
        <v>2833</v>
      </c>
      <c r="R543">
        <f ca="1">RAND()*(Validation[[#This Row],[Range1_High]]-Validation[[#This Row],[Range1_Low]])+Validation[[#This Row],[Range1_Low]]</f>
        <v>66422.605742952612</v>
      </c>
      <c r="S543">
        <f>Validation[[#This Row],[Range2_High]]</f>
        <v>0</v>
      </c>
      <c r="T543" t="str" cm="1">
        <f t="array" aca="1" ref="T543" ca="1">RoundToTwoSigFigs(Validation[[#This Row],[Test Reading]]*Validation[[#This Row],[Mult]]+Validation[[#This Row],[Base]]) &amp;" "&amp;Validation[[#This Row],[Uncert_Units]]</f>
        <v>6.2 Hz</v>
      </c>
      <c r="U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Hz</v>
      </c>
      <c r="V543" t="b">
        <f ca="1">Validation[[#This Row],[Desired Result]]=Validation[[#This Row],[Result]]</f>
        <v>1</v>
      </c>
      <c r="W543" t="b">
        <v>0</v>
      </c>
      <c r="X543" t="b">
        <f>Validation[[#This Row],[Range1_Low]]&gt;=Validation[[#This Row],[Range1_High]]</f>
        <v>0</v>
      </c>
      <c r="Y543" s="111" t="s">
        <v>2845</v>
      </c>
    </row>
    <row r="544" spans="1:25" ht="16.5" thickTop="1" thickBot="1" x14ac:dyDescent="0.3">
      <c r="A544" t="s">
        <v>55</v>
      </c>
      <c r="B544" t="s">
        <v>17</v>
      </c>
      <c r="C544" s="113">
        <v>10000</v>
      </c>
      <c r="D544" s="113">
        <v>100000</v>
      </c>
      <c r="E544">
        <v>0.1</v>
      </c>
      <c r="F544" t="s">
        <v>9</v>
      </c>
      <c r="G544" t="s">
        <v>9</v>
      </c>
      <c r="H544">
        <v>0</v>
      </c>
      <c r="I544">
        <v>0</v>
      </c>
      <c r="J544" t="s">
        <v>2833</v>
      </c>
      <c r="K544">
        <v>1.9518000000000001E-6</v>
      </c>
      <c r="L544">
        <v>1.384E-9</v>
      </c>
      <c r="M544">
        <v>1.3799999999999999E-6</v>
      </c>
      <c r="N544">
        <v>1.2921E-7</v>
      </c>
      <c r="O544" t="s">
        <v>2833</v>
      </c>
      <c r="P544" t="s">
        <v>2833</v>
      </c>
      <c r="Q544" t="s">
        <v>2833</v>
      </c>
      <c r="R544">
        <f ca="1">RAND()*(Validation[[#This Row],[Range1_High]]-Validation[[#This Row],[Range1_Low]])+Validation[[#This Row],[Range1_Low]]</f>
        <v>40177.465337466914</v>
      </c>
      <c r="S544">
        <f>Validation[[#This Row],[Range2_High]]</f>
        <v>0</v>
      </c>
      <c r="T544" t="str" cm="1">
        <f t="array" aca="1" ref="T544" ca="1">RoundToTwoSigFigs(Validation[[#This Row],[Test Reading]]*Validation[[#This Row],[Mult]]+Validation[[#This Row],[Base]]) &amp;" "&amp;Validation[[#This Row],[Uncert_Units]]</f>
        <v>0.000058 Hz</v>
      </c>
      <c r="U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V544" t="b">
        <f ca="1">Validation[[#This Row],[Desired Result]]=Validation[[#This Row],[Result]]</f>
        <v>1</v>
      </c>
      <c r="W544" t="b">
        <v>1</v>
      </c>
      <c r="X544" t="b">
        <f>Validation[[#This Row],[Range1_Low]]&gt;=Validation[[#This Row],[Range1_High]]</f>
        <v>0</v>
      </c>
      <c r="Y544" s="111" t="s">
        <v>2843</v>
      </c>
    </row>
    <row r="545" spans="1:25" ht="16.5" thickTop="1" thickBot="1" x14ac:dyDescent="0.3">
      <c r="A545" t="s">
        <v>54</v>
      </c>
      <c r="B545" t="s">
        <v>47</v>
      </c>
      <c r="C545">
        <v>0</v>
      </c>
      <c r="D545">
        <v>3.3000999999999999E-4</v>
      </c>
      <c r="E545">
        <v>9.9999999999999995E-7</v>
      </c>
      <c r="F545" t="s">
        <v>13</v>
      </c>
      <c r="G545" t="s">
        <v>11</v>
      </c>
      <c r="H545">
        <v>30</v>
      </c>
      <c r="I545">
        <v>30.1</v>
      </c>
      <c r="J545" t="s">
        <v>10</v>
      </c>
      <c r="K545">
        <v>0.62980000000000003</v>
      </c>
      <c r="L545">
        <v>18044</v>
      </c>
      <c r="M545">
        <v>0.62958000000000003</v>
      </c>
      <c r="N545">
        <v>18044</v>
      </c>
      <c r="O545" t="s">
        <v>2833</v>
      </c>
      <c r="P545" t="s">
        <v>2833</v>
      </c>
      <c r="Q545" t="s">
        <v>2833</v>
      </c>
      <c r="R545">
        <f ca="1">RAND()*(Validation[[#This Row],[Range1_High]]-Validation[[#This Row],[Range1_Low]])+Validation[[#This Row],[Range1_Low]]</f>
        <v>1.211495858924837E-4</v>
      </c>
      <c r="S545">
        <f>Validation[[#This Row],[Range2_High]]</f>
        <v>30.1</v>
      </c>
      <c r="T545" t="str" cm="1">
        <f t="array" aca="1" ref="T545" ca="1">RoundToTwoSigFigs(Validation[[#This Row],[Test Reading]]*Validation[[#This Row],[Mult]]+Validation[[#This Row],[Base]]) &amp;" "&amp;Validation[[#This Row],[Uncert_Units]]</f>
        <v>2.8 µA</v>
      </c>
      <c r="U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V545" t="b">
        <f ca="1">Validation[[#This Row],[Desired Result]]=Validation[[#This Row],[Result]]</f>
        <v>1</v>
      </c>
      <c r="W545" t="b">
        <v>0</v>
      </c>
      <c r="X545" t="b">
        <f>Validation[[#This Row],[Range1_Low]]&gt;=Validation[[#This Row],[Range1_High]]</f>
        <v>0</v>
      </c>
      <c r="Y545" s="111" t="s">
        <v>2845</v>
      </c>
    </row>
    <row r="546" spans="1:25" ht="16.5" thickTop="1" thickBot="1" x14ac:dyDescent="0.3">
      <c r="A546" t="s">
        <v>55</v>
      </c>
      <c r="B546" t="s">
        <v>47</v>
      </c>
      <c r="C546" s="113">
        <v>0.1</v>
      </c>
      <c r="D546" s="113">
        <v>1</v>
      </c>
      <c r="E546">
        <v>1E-3</v>
      </c>
      <c r="F546" t="s">
        <v>13</v>
      </c>
      <c r="G546" t="s">
        <v>12</v>
      </c>
      <c r="H546">
        <v>0.02</v>
      </c>
      <c r="I546">
        <v>4.4999999999999998E-2</v>
      </c>
      <c r="J546" t="s">
        <v>10</v>
      </c>
      <c r="K546">
        <v>0.55279</v>
      </c>
      <c r="L546">
        <v>1.6061000000000001</v>
      </c>
      <c r="M546">
        <v>0.55118</v>
      </c>
      <c r="N546">
        <v>1.6064000000000001</v>
      </c>
      <c r="O546" t="s">
        <v>2833</v>
      </c>
      <c r="P546" t="s">
        <v>2833</v>
      </c>
      <c r="Q546" t="s">
        <v>2833</v>
      </c>
      <c r="R546">
        <f ca="1">RAND()*(Validation[[#This Row],[Range1_High]]-Validation[[#This Row],[Range1_Low]])+Validation[[#This Row],[Range1_Low]]</f>
        <v>0.65707458125557539</v>
      </c>
      <c r="S546">
        <f>Validation[[#This Row],[Range2_High]]</f>
        <v>4.4999999999999998E-2</v>
      </c>
      <c r="T546" t="str" cm="1">
        <f t="array" aca="1" ref="T546" ca="1">RoundToTwoSigFigs(Validation[[#This Row],[Test Reading]]*Validation[[#This Row],[Mult]]+Validation[[#This Row],[Base]]) &amp;" "&amp;Validation[[#This Row],[Uncert_Units]]</f>
        <v>1.6 mA</v>
      </c>
      <c r="U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V546" t="b">
        <f ca="1">Validation[[#This Row],[Desired Result]]=Validation[[#This Row],[Result]]</f>
        <v>1</v>
      </c>
      <c r="W546" t="b">
        <v>1</v>
      </c>
      <c r="X546" t="b">
        <f>Validation[[#This Row],[Range1_Low]]&gt;=Validation[[#This Row],[Range1_High]]</f>
        <v>0</v>
      </c>
      <c r="Y546" s="111" t="s">
        <v>2843</v>
      </c>
    </row>
    <row r="547" spans="1:25" ht="16.5" thickTop="1" thickBot="1" x14ac:dyDescent="0.3">
      <c r="A547" t="s">
        <v>54</v>
      </c>
      <c r="B547" t="s">
        <v>47</v>
      </c>
      <c r="C547">
        <v>0</v>
      </c>
      <c r="D547">
        <v>3.3000999999999999E-4</v>
      </c>
      <c r="E547">
        <v>9.9999999999999995E-8</v>
      </c>
      <c r="F547" t="s">
        <v>13</v>
      </c>
      <c r="G547" t="s">
        <v>11</v>
      </c>
      <c r="H547">
        <v>1</v>
      </c>
      <c r="I547">
        <v>5.01</v>
      </c>
      <c r="J547" t="s">
        <v>10</v>
      </c>
      <c r="K547">
        <v>0.18</v>
      </c>
      <c r="L547">
        <v>3500</v>
      </c>
      <c r="M547">
        <v>0.17984</v>
      </c>
      <c r="N547">
        <v>3448.1</v>
      </c>
      <c r="O547" t="s">
        <v>2833</v>
      </c>
      <c r="P547" t="s">
        <v>2833</v>
      </c>
      <c r="Q547" t="s">
        <v>2833</v>
      </c>
      <c r="R547">
        <f ca="1">RAND()*(Validation[[#This Row],[Range1_High]]-Validation[[#This Row],[Range1_Low]])+Validation[[#This Row],[Range1_Low]]</f>
        <v>1.652850201126918E-4</v>
      </c>
      <c r="S547">
        <f>Validation[[#This Row],[Range2_High]]</f>
        <v>5.01</v>
      </c>
      <c r="T547" t="str" cm="1">
        <f t="array" aca="1" ref="T547" ca="1">RoundToTwoSigFigs(Validation[[#This Row],[Test Reading]]*Validation[[#This Row],[Mult]]+Validation[[#This Row],[Base]]) &amp;" "&amp;Validation[[#This Row],[Uncert_Units]]</f>
        <v>0.76 µA</v>
      </c>
      <c r="U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V547" t="b">
        <f ca="1">Validation[[#This Row],[Desired Result]]=Validation[[#This Row],[Result]]</f>
        <v>0</v>
      </c>
      <c r="W547" t="b">
        <v>1</v>
      </c>
      <c r="X547" t="b">
        <f>Validation[[#This Row],[Range1_Low]]&gt;=Validation[[#This Row],[Range1_High]]</f>
        <v>0</v>
      </c>
      <c r="Y547" s="111" t="s">
        <v>2845</v>
      </c>
    </row>
    <row r="548" spans="1:25" ht="16.5" thickTop="1" thickBot="1" x14ac:dyDescent="0.3">
      <c r="A548" t="s">
        <v>55</v>
      </c>
      <c r="B548" t="s">
        <v>47</v>
      </c>
      <c r="C548" s="113">
        <v>1E-4</v>
      </c>
      <c r="D548" s="113">
        <v>1E-3</v>
      </c>
      <c r="E548">
        <v>1.0000000000000001E-9</v>
      </c>
      <c r="F548" t="s">
        <v>13</v>
      </c>
      <c r="G548" t="s">
        <v>11</v>
      </c>
      <c r="H548">
        <v>0.02</v>
      </c>
      <c r="I548">
        <v>4.4999999999999998E-2</v>
      </c>
      <c r="J548" t="s">
        <v>10</v>
      </c>
      <c r="K548">
        <v>0.27</v>
      </c>
      <c r="L548">
        <v>1700</v>
      </c>
      <c r="M548">
        <v>0.23100000000000001</v>
      </c>
      <c r="N548">
        <v>1732.1</v>
      </c>
      <c r="O548" t="s">
        <v>2833</v>
      </c>
      <c r="P548" t="s">
        <v>2833</v>
      </c>
      <c r="Q548" t="s">
        <v>2833</v>
      </c>
      <c r="R548">
        <f ca="1">RAND()*(Validation[[#This Row],[Range1_High]]-Validation[[#This Row],[Range1_Low]])+Validation[[#This Row],[Range1_Low]]</f>
        <v>3.6842689756835453E-4</v>
      </c>
      <c r="S548">
        <f>Validation[[#This Row],[Range2_High]]</f>
        <v>4.4999999999999998E-2</v>
      </c>
      <c r="T548" t="str" cm="1">
        <f t="array" aca="1" ref="T548" ca="1">RoundToTwoSigFigs(Validation[[#This Row],[Test Reading]]*Validation[[#This Row],[Mult]]+Validation[[#This Row],[Base]]) &amp;" "&amp;Validation[[#This Row],[Uncert_Units]]</f>
        <v>0.9 µA</v>
      </c>
      <c r="U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V548" t="b">
        <f ca="1">Validation[[#This Row],[Desired Result]]=Validation[[#This Row],[Result]]</f>
        <v>0</v>
      </c>
      <c r="W548" t="b">
        <v>1</v>
      </c>
      <c r="X548" t="b">
        <f>Validation[[#This Row],[Range1_Low]]&gt;=Validation[[#This Row],[Range1_High]]</f>
        <v>0</v>
      </c>
      <c r="Y548" s="111" t="s">
        <v>2843</v>
      </c>
    </row>
    <row r="549" spans="1:25" ht="16.5" thickTop="1" thickBot="1" x14ac:dyDescent="0.3">
      <c r="A549" t="s">
        <v>55</v>
      </c>
      <c r="B549" t="s">
        <v>47</v>
      </c>
      <c r="C549">
        <v>1E-4</v>
      </c>
      <c r="D549">
        <v>1E-3</v>
      </c>
      <c r="E549">
        <v>1E-10</v>
      </c>
      <c r="F549" t="s">
        <v>13</v>
      </c>
      <c r="G549" t="s">
        <v>11</v>
      </c>
      <c r="H549">
        <v>5</v>
      </c>
      <c r="I549">
        <v>20</v>
      </c>
      <c r="J549" t="s">
        <v>10</v>
      </c>
      <c r="K549">
        <v>0.25</v>
      </c>
      <c r="L549">
        <v>710</v>
      </c>
      <c r="M549">
        <v>0.23471</v>
      </c>
      <c r="N549">
        <v>715.83</v>
      </c>
      <c r="O549" t="s">
        <v>2833</v>
      </c>
      <c r="P549" t="s">
        <v>2833</v>
      </c>
      <c r="Q549" t="s">
        <v>2833</v>
      </c>
      <c r="R549">
        <f ca="1">RAND()*(Validation[[#This Row],[Range1_High]]-Validation[[#This Row],[Range1_Low]])+Validation[[#This Row],[Range1_Low]]</f>
        <v>1.7630358056476482E-4</v>
      </c>
      <c r="S549">
        <f>Validation[[#This Row],[Range2_High]]</f>
        <v>20</v>
      </c>
      <c r="T549" t="str" cm="1">
        <f t="array" aca="1" ref="T549" ca="1">RoundToTwoSigFigs(Validation[[#This Row],[Test Reading]]*Validation[[#This Row],[Mult]]+Validation[[#This Row],[Base]]) &amp;" "&amp;Validation[[#This Row],[Uncert_Units]]</f>
        <v>0.38 µA</v>
      </c>
      <c r="U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µA</v>
      </c>
      <c r="V549" t="b">
        <f ca="1">Validation[[#This Row],[Desired Result]]=Validation[[#This Row],[Result]]</f>
        <v>1</v>
      </c>
      <c r="W549" t="b">
        <v>0</v>
      </c>
      <c r="X549" t="b">
        <f>Validation[[#This Row],[Range1_Low]]&gt;=Validation[[#This Row],[Range1_High]]</f>
        <v>0</v>
      </c>
      <c r="Y549" s="111" t="s">
        <v>2845</v>
      </c>
    </row>
    <row r="550" spans="1:25" ht="16.5" thickTop="1" thickBot="1" x14ac:dyDescent="0.3">
      <c r="A550" t="s">
        <v>55</v>
      </c>
      <c r="B550" t="s">
        <v>47</v>
      </c>
      <c r="C550" s="113">
        <v>1E-3</v>
      </c>
      <c r="D550" s="113">
        <v>0.01</v>
      </c>
      <c r="E550">
        <v>9.9999999999999995E-8</v>
      </c>
      <c r="F550" t="s">
        <v>13</v>
      </c>
      <c r="G550" t="s">
        <v>11</v>
      </c>
      <c r="H550">
        <v>0.1</v>
      </c>
      <c r="I550">
        <v>5</v>
      </c>
      <c r="J550" t="s">
        <v>10</v>
      </c>
      <c r="K550">
        <v>2.5</v>
      </c>
      <c r="L550">
        <v>355.75</v>
      </c>
      <c r="M550">
        <v>2.2965</v>
      </c>
      <c r="N550">
        <v>364.68</v>
      </c>
      <c r="O550" t="s">
        <v>2833</v>
      </c>
      <c r="P550" t="s">
        <v>2833</v>
      </c>
      <c r="Q550" t="s">
        <v>2833</v>
      </c>
      <c r="R550">
        <f ca="1">RAND()*(Validation[[#This Row],[Range1_High]]-Validation[[#This Row],[Range1_Low]])+Validation[[#This Row],[Range1_Low]]</f>
        <v>7.7115443391895374E-3</v>
      </c>
      <c r="S550">
        <f>Validation[[#This Row],[Range2_High]]</f>
        <v>5</v>
      </c>
      <c r="T550" t="str" cm="1">
        <f t="array" aca="1" ref="T550" ca="1">RoundToTwoSigFigs(Validation[[#This Row],[Test Reading]]*Validation[[#This Row],[Mult]]+Validation[[#This Row],[Base]]) &amp;" "&amp;Validation[[#This Row],[Uncert_Units]]</f>
        <v>5.2 µA</v>
      </c>
      <c r="U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V550" t="b">
        <f ca="1">Validation[[#This Row],[Desired Result]]=Validation[[#This Row],[Result]]</f>
        <v>1</v>
      </c>
      <c r="W550" t="b">
        <v>1</v>
      </c>
      <c r="X550" t="b">
        <f>Validation[[#This Row],[Range1_Low]]&gt;=Validation[[#This Row],[Range1_High]]</f>
        <v>0</v>
      </c>
      <c r="Y550" s="111" t="s">
        <v>2843</v>
      </c>
    </row>
    <row r="551" spans="1:25" ht="16.5" thickTop="1" thickBot="1" x14ac:dyDescent="0.3">
      <c r="A551" t="s">
        <v>55</v>
      </c>
      <c r="B551" t="s">
        <v>47</v>
      </c>
      <c r="C551" s="113">
        <v>0.1</v>
      </c>
      <c r="D551" s="113">
        <v>1</v>
      </c>
      <c r="E551">
        <v>1E-4</v>
      </c>
      <c r="F551" t="s">
        <v>13</v>
      </c>
      <c r="G551" t="s">
        <v>12</v>
      </c>
      <c r="H551">
        <v>5</v>
      </c>
      <c r="I551">
        <v>20</v>
      </c>
      <c r="J551" t="s">
        <v>10</v>
      </c>
      <c r="K551">
        <v>0.27</v>
      </c>
      <c r="L551">
        <v>3.5337999999999998</v>
      </c>
      <c r="M551">
        <v>0.22642000000000001</v>
      </c>
      <c r="N551">
        <v>3.5438000000000001</v>
      </c>
      <c r="O551" t="s">
        <v>2833</v>
      </c>
      <c r="P551" t="s">
        <v>2833</v>
      </c>
      <c r="Q551" t="s">
        <v>2833</v>
      </c>
      <c r="R551">
        <f ca="1">RAND()*(Validation[[#This Row],[Range1_High]]-Validation[[#This Row],[Range1_Low]])+Validation[[#This Row],[Range1_Low]]</f>
        <v>0.82282920841429397</v>
      </c>
      <c r="S551">
        <f>Validation[[#This Row],[Range2_High]]</f>
        <v>20</v>
      </c>
      <c r="T551" t="str" cm="1">
        <f t="array" aca="1" ref="T551" ca="1">RoundToTwoSigFigs(Validation[[#This Row],[Test Reading]]*Validation[[#This Row],[Mult]]+Validation[[#This Row],[Base]]) &amp;" "&amp;Validation[[#This Row],[Uncert_Units]]</f>
        <v>3.2 mA</v>
      </c>
      <c r="U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V551" t="b">
        <f ca="1">Validation[[#This Row],[Desired Result]]=Validation[[#This Row],[Result]]</f>
        <v>0</v>
      </c>
      <c r="W551" t="b">
        <v>1</v>
      </c>
      <c r="X551" t="b">
        <f>Validation[[#This Row],[Range1_Low]]&gt;=Validation[[#This Row],[Range1_High]]</f>
        <v>0</v>
      </c>
      <c r="Y551" s="111" t="s">
        <v>2843</v>
      </c>
    </row>
    <row r="552" spans="1:25" ht="16.5" thickTop="1" thickBot="1" x14ac:dyDescent="0.3">
      <c r="A552" t="s">
        <v>54</v>
      </c>
      <c r="B552" t="s">
        <v>47</v>
      </c>
      <c r="C552">
        <v>1.1000000000000001</v>
      </c>
      <c r="D552">
        <v>3.0009999999999999</v>
      </c>
      <c r="E552">
        <v>0.01</v>
      </c>
      <c r="F552" t="s">
        <v>13</v>
      </c>
      <c r="G552" t="s">
        <v>12</v>
      </c>
      <c r="H552">
        <v>4.4999999999999998E-2</v>
      </c>
      <c r="I552">
        <v>1.0000100000000001</v>
      </c>
      <c r="J552" t="s">
        <v>10</v>
      </c>
      <c r="K552">
        <v>5.6463000000000001</v>
      </c>
      <c r="L552">
        <v>0.18057000000000001</v>
      </c>
      <c r="M552">
        <v>5.6448</v>
      </c>
      <c r="N552">
        <v>0.17757999999999999</v>
      </c>
      <c r="O552" t="s">
        <v>2833</v>
      </c>
      <c r="P552" t="s">
        <v>2833</v>
      </c>
      <c r="Q552" t="s">
        <v>2833</v>
      </c>
      <c r="R552">
        <f ca="1">RAND()*(Validation[[#This Row],[Range1_High]]-Validation[[#This Row],[Range1_Low]])+Validation[[#This Row],[Range1_Low]]</f>
        <v>1.7641023235986228</v>
      </c>
      <c r="S552">
        <f>Validation[[#This Row],[Range2_High]]</f>
        <v>1.0000100000000001</v>
      </c>
      <c r="T552" t="str" cm="1">
        <f t="array" aca="1" ref="T552" ca="1">RoundToTwoSigFigs(Validation[[#This Row],[Test Reading]]*Validation[[#This Row],[Mult]]+Validation[[#This Row],[Base]]) &amp;" "&amp;Validation[[#This Row],[Uncert_Units]]</f>
        <v>6 mA</v>
      </c>
      <c r="U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V552" t="b">
        <f ca="1">Validation[[#This Row],[Desired Result]]=Validation[[#This Row],[Result]]</f>
        <v>0</v>
      </c>
      <c r="W552" t="b">
        <v>1</v>
      </c>
      <c r="X552" t="b">
        <f>Validation[[#This Row],[Range1_Low]]&gt;=Validation[[#This Row],[Range1_High]]</f>
        <v>0</v>
      </c>
      <c r="Y552" s="111" t="s">
        <v>2845</v>
      </c>
    </row>
    <row r="553" spans="1:25" ht="16.5" thickTop="1" thickBot="1" x14ac:dyDescent="0.3">
      <c r="A553" t="s">
        <v>54</v>
      </c>
      <c r="B553" t="s">
        <v>47</v>
      </c>
      <c r="C553" s="113">
        <v>3.3E-3</v>
      </c>
      <c r="D553" s="113">
        <v>3.3001000000000003E-2</v>
      </c>
      <c r="E553">
        <v>9.9999999999999995E-8</v>
      </c>
      <c r="F553" t="s">
        <v>13</v>
      </c>
      <c r="G553" t="s">
        <v>11</v>
      </c>
      <c r="H553">
        <v>10</v>
      </c>
      <c r="I553">
        <v>30</v>
      </c>
      <c r="J553" t="s">
        <v>10</v>
      </c>
      <c r="K553">
        <v>5.3</v>
      </c>
      <c r="L553">
        <v>4600</v>
      </c>
      <c r="M553">
        <v>4.6261999999999999</v>
      </c>
      <c r="N553">
        <v>4619.6000000000004</v>
      </c>
      <c r="O553" t="s">
        <v>2833</v>
      </c>
      <c r="P553" t="s">
        <v>2833</v>
      </c>
      <c r="Q553" t="s">
        <v>2833</v>
      </c>
      <c r="R553">
        <f ca="1">RAND()*(Validation[[#This Row],[Range1_High]]-Validation[[#This Row],[Range1_Low]])+Validation[[#This Row],[Range1_Low]]</f>
        <v>1.6372172687089688E-2</v>
      </c>
      <c r="S553">
        <f>Validation[[#This Row],[Range2_High]]</f>
        <v>30</v>
      </c>
      <c r="T553" t="str" cm="1">
        <f t="array" aca="1" ref="T553" ca="1">RoundToTwoSigFigs(Validation[[#This Row],[Test Reading]]*Validation[[#This Row],[Mult]]+Validation[[#This Row],[Base]]) &amp;" "&amp;Validation[[#This Row],[Uncert_Units]]</f>
        <v>81 µA</v>
      </c>
      <c r="U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µA</v>
      </c>
      <c r="V553" t="b">
        <f ca="1">Validation[[#This Row],[Desired Result]]=Validation[[#This Row],[Result]]</f>
        <v>1</v>
      </c>
      <c r="W553" t="b">
        <v>1</v>
      </c>
      <c r="X553" t="b">
        <f>Validation[[#This Row],[Range1_Low]]&gt;=Validation[[#This Row],[Range1_High]]</f>
        <v>0</v>
      </c>
      <c r="Y553" s="111" t="s">
        <v>2843</v>
      </c>
    </row>
    <row r="554" spans="1:25" ht="16.5" thickTop="1" thickBot="1" x14ac:dyDescent="0.3">
      <c r="A554" t="s">
        <v>54</v>
      </c>
      <c r="B554" t="s">
        <v>47</v>
      </c>
      <c r="C554" s="113">
        <v>11</v>
      </c>
      <c r="D554" s="113">
        <v>20.501000000000001</v>
      </c>
      <c r="E554">
        <v>0.1</v>
      </c>
      <c r="F554" t="s">
        <v>13</v>
      </c>
      <c r="G554" t="s">
        <v>12</v>
      </c>
      <c r="H554">
        <v>0.1</v>
      </c>
      <c r="I554">
        <v>1.0000100000000001</v>
      </c>
      <c r="J554" t="s">
        <v>10</v>
      </c>
      <c r="K554">
        <v>53.698999999999998</v>
      </c>
      <c r="L554">
        <v>0.85924999999999996</v>
      </c>
      <c r="M554">
        <v>53.709000000000003</v>
      </c>
      <c r="N554">
        <v>0.85296000000000005</v>
      </c>
      <c r="O554" t="s">
        <v>2833</v>
      </c>
      <c r="P554" t="s">
        <v>2833</v>
      </c>
      <c r="Q554" t="s">
        <v>2833</v>
      </c>
      <c r="R554">
        <f ca="1">RAND()*(Validation[[#This Row],[Range1_High]]-Validation[[#This Row],[Range1_Low]])+Validation[[#This Row],[Range1_Low]]</f>
        <v>17.974487878926027</v>
      </c>
      <c r="S554">
        <f>Validation[[#This Row],[Range2_High]]</f>
        <v>1.0000100000000001</v>
      </c>
      <c r="T554" t="str" cm="1">
        <f t="array" aca="1" ref="T554" ca="1">RoundToTwoSigFigs(Validation[[#This Row],[Test Reading]]*Validation[[#This Row],[Mult]]+Validation[[#This Row],[Base]]) &amp;" "&amp;Validation[[#This Row],[Uncert_Units]]</f>
        <v>69 mA</v>
      </c>
      <c r="U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V554" t="b">
        <f ca="1">Validation[[#This Row],[Desired Result]]=Validation[[#This Row],[Result]]</f>
        <v>0</v>
      </c>
      <c r="W554" t="b">
        <v>1</v>
      </c>
      <c r="X554" t="b">
        <f>Validation[[#This Row],[Range1_Low]]&gt;=Validation[[#This Row],[Range1_High]]</f>
        <v>0</v>
      </c>
      <c r="Y554" s="111" t="s">
        <v>2843</v>
      </c>
    </row>
    <row r="555" spans="1:25" ht="15.75" thickTop="1" x14ac:dyDescent="0.25">
      <c r="A555" t="s">
        <v>54</v>
      </c>
      <c r="B555" t="s">
        <v>47</v>
      </c>
      <c r="C555">
        <v>0</v>
      </c>
      <c r="D555">
        <v>3.3000999999999999E-4</v>
      </c>
      <c r="E555">
        <v>1.0000000000000001E-5</v>
      </c>
      <c r="F555" t="s">
        <v>13</v>
      </c>
      <c r="G555" t="s">
        <v>11</v>
      </c>
      <c r="H555">
        <v>0.01</v>
      </c>
      <c r="I555">
        <v>2.001E-2</v>
      </c>
      <c r="J555" t="s">
        <v>10</v>
      </c>
      <c r="K555">
        <v>5.7994000000000003</v>
      </c>
      <c r="L555">
        <v>124.28</v>
      </c>
      <c r="M555">
        <v>5.7992999999999997</v>
      </c>
      <c r="N555">
        <v>123.73</v>
      </c>
      <c r="O555" t="s">
        <v>2833</v>
      </c>
      <c r="P555" t="s">
        <v>2833</v>
      </c>
      <c r="Q555" t="s">
        <v>2833</v>
      </c>
      <c r="R555">
        <f ca="1">RAND()*(Validation[[#This Row],[Range1_High]]-Validation[[#This Row],[Range1_Low]])+Validation[[#This Row],[Range1_Low]]</f>
        <v>3.199478267004021E-4</v>
      </c>
      <c r="S555">
        <f>Validation[[#This Row],[Range2_High]]</f>
        <v>2.001E-2</v>
      </c>
      <c r="T555" t="str" cm="1">
        <f t="array" aca="1" ref="T555" ca="1">RoundToTwoSigFigs(Validation[[#This Row],[Test Reading]]*Validation[[#This Row],[Mult]]+Validation[[#This Row],[Base]]) &amp;" "&amp;Validation[[#This Row],[Uncert_Units]]</f>
        <v>5.8 µA</v>
      </c>
      <c r="U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555" t="b">
        <f ca="1">Validation[[#This Row],[Desired Result]]=Validation[[#This Row],[Result]]</f>
        <v>1</v>
      </c>
      <c r="W555" t="b">
        <v>0</v>
      </c>
      <c r="X555" t="b">
        <f>Validation[[#This Row],[Range1_Low]]&gt;=Validation[[#This Row],[Range1_High]]</f>
        <v>0</v>
      </c>
      <c r="Y555" s="111" t="s">
        <v>2845</v>
      </c>
    </row>
    <row r="556" spans="1:25" ht="15.75" thickBot="1" x14ac:dyDescent="0.3">
      <c r="A556" t="s">
        <v>55</v>
      </c>
      <c r="B556" t="s">
        <v>47</v>
      </c>
      <c r="C556">
        <v>0.01</v>
      </c>
      <c r="D556">
        <v>0.1</v>
      </c>
      <c r="E556">
        <v>1E-3</v>
      </c>
      <c r="F556" t="s">
        <v>13</v>
      </c>
      <c r="G556" t="s">
        <v>11</v>
      </c>
      <c r="H556">
        <v>20</v>
      </c>
      <c r="I556">
        <v>50</v>
      </c>
      <c r="J556" t="s">
        <v>10</v>
      </c>
      <c r="K556">
        <v>563.71</v>
      </c>
      <c r="L556">
        <v>2145.1999999999998</v>
      </c>
      <c r="M556">
        <v>563.49</v>
      </c>
      <c r="N556">
        <v>2139.1999999999998</v>
      </c>
      <c r="O556" t="s">
        <v>2833</v>
      </c>
      <c r="P556" t="s">
        <v>2833</v>
      </c>
      <c r="Q556" t="s">
        <v>2833</v>
      </c>
      <c r="R556">
        <f ca="1">RAND()*(Validation[[#This Row],[Range1_High]]-Validation[[#This Row],[Range1_Low]])+Validation[[#This Row],[Range1_Low]]</f>
        <v>4.9206949747809335E-2</v>
      </c>
      <c r="S556">
        <f>Validation[[#This Row],[Range2_High]]</f>
        <v>50</v>
      </c>
      <c r="T556" t="str" cm="1">
        <f t="array" aca="1" ref="T556" ca="1">RoundToTwoSigFigs(Validation[[#This Row],[Test Reading]]*Validation[[#This Row],[Mult]]+Validation[[#This Row],[Base]]) &amp;" "&amp;Validation[[#This Row],[Uncert_Units]]</f>
        <v>670 µA</v>
      </c>
      <c r="U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µA</v>
      </c>
      <c r="V556" t="b">
        <f ca="1">Validation[[#This Row],[Desired Result]]=Validation[[#This Row],[Result]]</f>
        <v>1</v>
      </c>
      <c r="W556" t="b">
        <v>1</v>
      </c>
      <c r="X556" t="b">
        <f>Validation[[#This Row],[Range1_Low]]&gt;=Validation[[#This Row],[Range1_High]]</f>
        <v>0</v>
      </c>
      <c r="Y556" s="111" t="s">
        <v>2845</v>
      </c>
    </row>
    <row r="557" spans="1:25" ht="16.5" thickTop="1" thickBot="1" x14ac:dyDescent="0.3">
      <c r="A557" t="s">
        <v>55</v>
      </c>
      <c r="B557" t="s">
        <v>47</v>
      </c>
      <c r="C557" s="113">
        <v>0.01</v>
      </c>
      <c r="D557" s="113">
        <v>0.1</v>
      </c>
      <c r="E557">
        <v>9.9999999999999995E-8</v>
      </c>
      <c r="F557" t="s">
        <v>13</v>
      </c>
      <c r="G557" t="s">
        <v>11</v>
      </c>
      <c r="H557">
        <v>20</v>
      </c>
      <c r="I557">
        <v>50</v>
      </c>
      <c r="J557" t="s">
        <v>10</v>
      </c>
      <c r="K557">
        <v>51</v>
      </c>
      <c r="L557">
        <v>4700</v>
      </c>
      <c r="M557">
        <v>45.601999999999997</v>
      </c>
      <c r="N557">
        <v>4746.8999999999996</v>
      </c>
      <c r="O557" t="s">
        <v>2833</v>
      </c>
      <c r="P557" t="s">
        <v>2833</v>
      </c>
      <c r="Q557" t="s">
        <v>2833</v>
      </c>
      <c r="R557">
        <f ca="1">RAND()*(Validation[[#This Row],[Range1_High]]-Validation[[#This Row],[Range1_Low]])+Validation[[#This Row],[Range1_Low]]</f>
        <v>8.9184400994053309E-2</v>
      </c>
      <c r="S557">
        <f>Validation[[#This Row],[Range2_High]]</f>
        <v>50</v>
      </c>
      <c r="T557" t="str" cm="1">
        <f t="array" aca="1" ref="T557" ca="1">RoundToTwoSigFigs(Validation[[#This Row],[Test Reading]]*Validation[[#This Row],[Mult]]+Validation[[#This Row],[Base]]) &amp;" "&amp;Validation[[#This Row],[Uncert_Units]]</f>
        <v>470 µA</v>
      </c>
      <c r="U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µA</v>
      </c>
      <c r="V557" t="b">
        <f ca="1">Validation[[#This Row],[Desired Result]]=Validation[[#This Row],[Result]]</f>
        <v>1</v>
      </c>
      <c r="W557" t="b">
        <v>1</v>
      </c>
      <c r="X557" t="b">
        <f>Validation[[#This Row],[Range1_Low]]&gt;=Validation[[#This Row],[Range1_High]]</f>
        <v>0</v>
      </c>
      <c r="Y557" s="111" t="s">
        <v>2843</v>
      </c>
    </row>
    <row r="558" spans="1:25" ht="16.5" thickTop="1" thickBot="1" x14ac:dyDescent="0.3">
      <c r="A558" t="s">
        <v>54</v>
      </c>
      <c r="B558" t="s">
        <v>47</v>
      </c>
      <c r="C558" s="113">
        <v>3.3E-3</v>
      </c>
      <c r="D558" s="113">
        <v>3.3001000000000003E-2</v>
      </c>
      <c r="E558">
        <v>1.0000000000000001E-5</v>
      </c>
      <c r="F558" t="s">
        <v>13</v>
      </c>
      <c r="G558" t="s">
        <v>11</v>
      </c>
      <c r="H558">
        <v>0.02</v>
      </c>
      <c r="I558">
        <v>4.5010000000000001E-2</v>
      </c>
      <c r="J558" t="s">
        <v>10</v>
      </c>
      <c r="K558">
        <v>56.865000000000002</v>
      </c>
      <c r="L558">
        <v>350.66</v>
      </c>
      <c r="M558">
        <v>56.863</v>
      </c>
      <c r="N558">
        <v>350.55</v>
      </c>
      <c r="O558" t="s">
        <v>2833</v>
      </c>
      <c r="P558" t="s">
        <v>2833</v>
      </c>
      <c r="Q558" t="s">
        <v>2833</v>
      </c>
      <c r="R558">
        <f ca="1">RAND()*(Validation[[#This Row],[Range1_High]]-Validation[[#This Row],[Range1_Low]])+Validation[[#This Row],[Range1_Low]]</f>
        <v>1.0084532175993019E-2</v>
      </c>
      <c r="S558">
        <f>Validation[[#This Row],[Range2_High]]</f>
        <v>4.5010000000000001E-2</v>
      </c>
      <c r="T558" t="str" cm="1">
        <f t="array" aca="1" ref="T558" ca="1">RoundToTwoSigFigs(Validation[[#This Row],[Test Reading]]*Validation[[#This Row],[Mult]]+Validation[[#This Row],[Base]]) &amp;" "&amp;Validation[[#This Row],[Uncert_Units]]</f>
        <v>60 µA</v>
      </c>
      <c r="U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V558" t="b">
        <f ca="1">Validation[[#This Row],[Desired Result]]=Validation[[#This Row],[Result]]</f>
        <v>1</v>
      </c>
      <c r="W558" t="b">
        <v>1</v>
      </c>
      <c r="X558" t="b">
        <f>Validation[[#This Row],[Range1_Low]]&gt;=Validation[[#This Row],[Range1_High]]</f>
        <v>0</v>
      </c>
      <c r="Y558" s="111" t="s">
        <v>2843</v>
      </c>
    </row>
    <row r="559" spans="1:25" ht="15.75" thickTop="1" x14ac:dyDescent="0.25">
      <c r="A559" t="s">
        <v>55</v>
      </c>
      <c r="B559" t="s">
        <v>47</v>
      </c>
      <c r="C559">
        <v>0</v>
      </c>
      <c r="D559">
        <v>1E-4</v>
      </c>
      <c r="E559">
        <v>1.0000000000000001E-9</v>
      </c>
      <c r="F559" t="s">
        <v>13</v>
      </c>
      <c r="G559" t="s">
        <v>11</v>
      </c>
      <c r="H559">
        <v>0.02</v>
      </c>
      <c r="I559">
        <v>4.4999999999999998E-2</v>
      </c>
      <c r="J559" t="s">
        <v>10</v>
      </c>
      <c r="K559">
        <v>3.7999999999999999E-2</v>
      </c>
      <c r="L559">
        <v>1700</v>
      </c>
      <c r="M559">
        <v>3.4647999999999998E-2</v>
      </c>
      <c r="N559">
        <v>1732.1</v>
      </c>
      <c r="O559" t="s">
        <v>2833</v>
      </c>
      <c r="P559" t="s">
        <v>2833</v>
      </c>
      <c r="Q559" t="s">
        <v>2833</v>
      </c>
      <c r="R559">
        <f ca="1">RAND()*(Validation[[#This Row],[Range1_High]]-Validation[[#This Row],[Range1_Low]])+Validation[[#This Row],[Range1_Low]]</f>
        <v>5.158693300102082E-5</v>
      </c>
      <c r="S559">
        <f>Validation[[#This Row],[Range2_High]]</f>
        <v>4.4999999999999998E-2</v>
      </c>
      <c r="T559" t="str" cm="1">
        <f t="array" aca="1" ref="T559" ca="1">RoundToTwoSigFigs(Validation[[#This Row],[Test Reading]]*Validation[[#This Row],[Mult]]+Validation[[#This Row],[Base]]) &amp;" "&amp;Validation[[#This Row],[Uncert_Units]]</f>
        <v>0.13 µA</v>
      </c>
      <c r="U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µA</v>
      </c>
      <c r="V559" t="b">
        <f ca="1">Validation[[#This Row],[Desired Result]]=Validation[[#This Row],[Result]]</f>
        <v>1</v>
      </c>
      <c r="W559" t="b">
        <v>0</v>
      </c>
      <c r="X559" t="b">
        <f>Validation[[#This Row],[Range1_Low]]&gt;=Validation[[#This Row],[Range1_High]]</f>
        <v>0</v>
      </c>
      <c r="Y559" s="111" t="s">
        <v>2845</v>
      </c>
    </row>
    <row r="560" spans="1:25" x14ac:dyDescent="0.25">
      <c r="A560" t="s">
        <v>54</v>
      </c>
      <c r="B560" t="s">
        <v>47</v>
      </c>
      <c r="C560">
        <v>11</v>
      </c>
      <c r="D560">
        <v>20.501000000000001</v>
      </c>
      <c r="E560">
        <v>1E-3</v>
      </c>
      <c r="F560" t="s">
        <v>13</v>
      </c>
      <c r="G560" t="s">
        <v>12</v>
      </c>
      <c r="H560">
        <v>5</v>
      </c>
      <c r="I560">
        <v>5.01</v>
      </c>
      <c r="J560" t="s">
        <v>10</v>
      </c>
      <c r="K560">
        <v>5.9</v>
      </c>
      <c r="L560">
        <v>35</v>
      </c>
      <c r="M560">
        <v>5.7744999999999997</v>
      </c>
      <c r="N560">
        <v>34.640999999999998</v>
      </c>
      <c r="O560" t="s">
        <v>2833</v>
      </c>
      <c r="P560" t="s">
        <v>2833</v>
      </c>
      <c r="Q560" t="s">
        <v>2833</v>
      </c>
      <c r="R560">
        <f ca="1">RAND()*(Validation[[#This Row],[Range1_High]]-Validation[[#This Row],[Range1_Low]])+Validation[[#This Row],[Range1_Low]]</f>
        <v>14.445139355743933</v>
      </c>
      <c r="S560">
        <f>Validation[[#This Row],[Range2_High]]</f>
        <v>5.01</v>
      </c>
      <c r="T560" t="str" cm="1">
        <f t="array" aca="1" ref="T560" ca="1">RoundToTwoSigFigs(Validation[[#This Row],[Test Reading]]*Validation[[#This Row],[Mult]]+Validation[[#This Row],[Base]]) &amp;" "&amp;Validation[[#This Row],[Uncert_Units]]</f>
        <v>510 mA</v>
      </c>
      <c r="U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V560" t="b">
        <f ca="1">Validation[[#This Row],[Desired Result]]=Validation[[#This Row],[Result]]</f>
        <v>1</v>
      </c>
      <c r="W560" t="b">
        <v>0</v>
      </c>
      <c r="X560" t="b">
        <f>Validation[[#This Row],[Range1_Low]]&gt;=Validation[[#This Row],[Range1_High]]</f>
        <v>0</v>
      </c>
      <c r="Y560" s="111" t="s">
        <v>2845</v>
      </c>
    </row>
    <row r="561" spans="1:25" ht="15.75" thickBot="1" x14ac:dyDescent="0.3">
      <c r="A561" t="s">
        <v>55</v>
      </c>
      <c r="B561" t="s">
        <v>47</v>
      </c>
      <c r="C561">
        <v>0.01</v>
      </c>
      <c r="D561">
        <v>0.1</v>
      </c>
      <c r="E561">
        <v>1E-3</v>
      </c>
      <c r="F561" t="s">
        <v>13</v>
      </c>
      <c r="G561" t="s">
        <v>11</v>
      </c>
      <c r="H561">
        <v>50</v>
      </c>
      <c r="I561">
        <v>100</v>
      </c>
      <c r="J561" t="s">
        <v>10</v>
      </c>
      <c r="K561">
        <v>5772.5</v>
      </c>
      <c r="L561">
        <v>669.65</v>
      </c>
      <c r="M561">
        <v>5772.4</v>
      </c>
      <c r="N561">
        <v>620.29999999999995</v>
      </c>
      <c r="O561" t="s">
        <v>2833</v>
      </c>
      <c r="P561" t="s">
        <v>2833</v>
      </c>
      <c r="Q561" t="s">
        <v>2833</v>
      </c>
      <c r="R561">
        <f ca="1">RAND()*(Validation[[#This Row],[Range1_High]]-Validation[[#This Row],[Range1_Low]])+Validation[[#This Row],[Range1_Low]]</f>
        <v>4.7023737914079516E-2</v>
      </c>
      <c r="S561">
        <f>Validation[[#This Row],[Range2_High]]</f>
        <v>100</v>
      </c>
      <c r="T561" t="str" cm="1">
        <f t="array" aca="1" ref="T561" ca="1">RoundToTwoSigFigs(Validation[[#This Row],[Test Reading]]*Validation[[#This Row],[Mult]]+Validation[[#This Row],[Base]]) &amp;" "&amp;Validation[[#This Row],[Uncert_Units]]</f>
        <v>5800 µA</v>
      </c>
      <c r="U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561" t="b">
        <f ca="1">Validation[[#This Row],[Desired Result]]=Validation[[#This Row],[Result]]</f>
        <v>1</v>
      </c>
      <c r="W561" t="b">
        <v>1</v>
      </c>
      <c r="X561" t="b">
        <f>Validation[[#This Row],[Range1_Low]]&gt;=Validation[[#This Row],[Range1_High]]</f>
        <v>0</v>
      </c>
      <c r="Y561" s="111" t="s">
        <v>2845</v>
      </c>
    </row>
    <row r="562" spans="1:25" ht="16.5" thickTop="1" thickBot="1" x14ac:dyDescent="0.3">
      <c r="A562" t="s">
        <v>55</v>
      </c>
      <c r="B562" t="s">
        <v>47</v>
      </c>
      <c r="C562" s="113">
        <v>0.01</v>
      </c>
      <c r="D562" s="113">
        <v>0.1</v>
      </c>
      <c r="E562">
        <v>1E-4</v>
      </c>
      <c r="F562" t="s">
        <v>13</v>
      </c>
      <c r="G562" t="s">
        <v>11</v>
      </c>
      <c r="H562">
        <v>5</v>
      </c>
      <c r="I562">
        <v>20</v>
      </c>
      <c r="J562" t="s">
        <v>10</v>
      </c>
      <c r="K562">
        <v>60.128</v>
      </c>
      <c r="L562">
        <v>515.53</v>
      </c>
      <c r="M562">
        <v>60.018000000000001</v>
      </c>
      <c r="N562">
        <v>512.89</v>
      </c>
      <c r="O562" t="s">
        <v>2833</v>
      </c>
      <c r="P562" t="s">
        <v>2833</v>
      </c>
      <c r="Q562" t="s">
        <v>2833</v>
      </c>
      <c r="R562">
        <f ca="1">RAND()*(Validation[[#This Row],[Range1_High]]-Validation[[#This Row],[Range1_Low]])+Validation[[#This Row],[Range1_Low]]</f>
        <v>2.2243548101382314E-2</v>
      </c>
      <c r="S562">
        <f>Validation[[#This Row],[Range2_High]]</f>
        <v>20</v>
      </c>
      <c r="T562" t="str" cm="1">
        <f t="array" aca="1" ref="T562" ca="1">RoundToTwoSigFigs(Validation[[#This Row],[Test Reading]]*Validation[[#This Row],[Mult]]+Validation[[#This Row],[Base]]) &amp;" "&amp;Validation[[#This Row],[Uncert_Units]]</f>
        <v>72 µA</v>
      </c>
      <c r="U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µA</v>
      </c>
      <c r="V562" t="b">
        <f ca="1">Validation[[#This Row],[Desired Result]]=Validation[[#This Row],[Result]]</f>
        <v>1</v>
      </c>
      <c r="W562" t="b">
        <v>1</v>
      </c>
      <c r="X562" t="b">
        <f>Validation[[#This Row],[Range1_Low]]&gt;=Validation[[#This Row],[Range1_High]]</f>
        <v>0</v>
      </c>
      <c r="Y562" s="111" t="s">
        <v>2843</v>
      </c>
    </row>
    <row r="563" spans="1:25" ht="16.5" thickTop="1" thickBot="1" x14ac:dyDescent="0.3">
      <c r="A563" t="s">
        <v>54</v>
      </c>
      <c r="B563" t="s">
        <v>47</v>
      </c>
      <c r="C563" s="113">
        <v>3.3E-3</v>
      </c>
      <c r="D563" s="113">
        <v>3.3001000000000003E-2</v>
      </c>
      <c r="E563">
        <v>1E-8</v>
      </c>
      <c r="F563" t="s">
        <v>13</v>
      </c>
      <c r="G563" t="s">
        <v>11</v>
      </c>
      <c r="H563">
        <v>10</v>
      </c>
      <c r="I563">
        <v>30</v>
      </c>
      <c r="J563" t="s">
        <v>10</v>
      </c>
      <c r="K563">
        <v>5.3</v>
      </c>
      <c r="L563">
        <v>4600</v>
      </c>
      <c r="M563">
        <v>4.6162999999999998</v>
      </c>
      <c r="N563">
        <v>4619.8999999999996</v>
      </c>
      <c r="O563" t="s">
        <v>2833</v>
      </c>
      <c r="P563" t="s">
        <v>2833</v>
      </c>
      <c r="Q563" t="s">
        <v>2833</v>
      </c>
      <c r="R563">
        <f ca="1">RAND()*(Validation[[#This Row],[Range1_High]]-Validation[[#This Row],[Range1_Low]])+Validation[[#This Row],[Range1_Low]]</f>
        <v>1.2355648236126501E-2</v>
      </c>
      <c r="S563">
        <f>Validation[[#This Row],[Range2_High]]</f>
        <v>30</v>
      </c>
      <c r="T563" t="str" cm="1">
        <f t="array" aca="1" ref="T563" ca="1">RoundToTwoSigFigs(Validation[[#This Row],[Test Reading]]*Validation[[#This Row],[Mult]]+Validation[[#This Row],[Base]]) &amp;" "&amp;Validation[[#This Row],[Uncert_Units]]</f>
        <v>62 µA</v>
      </c>
      <c r="U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V563" t="b">
        <f ca="1">Validation[[#This Row],[Desired Result]]=Validation[[#This Row],[Result]]</f>
        <v>1</v>
      </c>
      <c r="W563" t="b">
        <v>1</v>
      </c>
      <c r="X563" t="b">
        <f>Validation[[#This Row],[Range1_Low]]&gt;=Validation[[#This Row],[Range1_High]]</f>
        <v>0</v>
      </c>
      <c r="Y563" s="111" t="s">
        <v>2843</v>
      </c>
    </row>
    <row r="564" spans="1:25" ht="16.5" thickTop="1" thickBot="1" x14ac:dyDescent="0.3">
      <c r="A564" t="s">
        <v>55</v>
      </c>
      <c r="B564" t="s">
        <v>47</v>
      </c>
      <c r="C564" s="113">
        <v>0.1</v>
      </c>
      <c r="D564" s="113">
        <v>1</v>
      </c>
      <c r="E564">
        <v>1.0000000000000001E-5</v>
      </c>
      <c r="F564" t="s">
        <v>13</v>
      </c>
      <c r="G564" t="s">
        <v>12</v>
      </c>
      <c r="H564">
        <v>1E-3</v>
      </c>
      <c r="I564">
        <v>0.02</v>
      </c>
      <c r="J564" t="s">
        <v>10</v>
      </c>
      <c r="K564">
        <v>0.25</v>
      </c>
      <c r="L564">
        <v>4.5999999999999996</v>
      </c>
      <c r="M564">
        <v>0.23100000000000001</v>
      </c>
      <c r="N564">
        <v>4.6188000000000002</v>
      </c>
      <c r="O564" t="s">
        <v>2833</v>
      </c>
      <c r="P564" t="s">
        <v>2833</v>
      </c>
      <c r="Q564" t="s">
        <v>2833</v>
      </c>
      <c r="R564">
        <f ca="1">RAND()*(Validation[[#This Row],[Range1_High]]-Validation[[#This Row],[Range1_Low]])+Validation[[#This Row],[Range1_Low]]</f>
        <v>0.56520416070991175</v>
      </c>
      <c r="S564">
        <f>Validation[[#This Row],[Range2_High]]</f>
        <v>0.02</v>
      </c>
      <c r="T564" t="str" cm="1">
        <f t="array" aca="1" ref="T564" ca="1">RoundToTwoSigFigs(Validation[[#This Row],[Test Reading]]*Validation[[#This Row],[Mult]]+Validation[[#This Row],[Base]]) &amp;" "&amp;Validation[[#This Row],[Uncert_Units]]</f>
        <v>2.8 mA</v>
      </c>
      <c r="U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V564" t="b">
        <f ca="1">Validation[[#This Row],[Desired Result]]=Validation[[#This Row],[Result]]</f>
        <v>0</v>
      </c>
      <c r="W564" t="b">
        <v>1</v>
      </c>
      <c r="X564" t="b">
        <f>Validation[[#This Row],[Range1_Low]]&gt;=Validation[[#This Row],[Range1_High]]</f>
        <v>0</v>
      </c>
      <c r="Y564" s="111" t="s">
        <v>2843</v>
      </c>
    </row>
    <row r="565" spans="1:25" ht="15.75" thickTop="1" x14ac:dyDescent="0.25">
      <c r="A565" t="s">
        <v>54</v>
      </c>
      <c r="B565" t="s">
        <v>47</v>
      </c>
      <c r="C565">
        <v>0</v>
      </c>
      <c r="D565">
        <v>3.3000999999999999E-4</v>
      </c>
      <c r="E565">
        <v>1E-4</v>
      </c>
      <c r="F565" t="s">
        <v>13</v>
      </c>
      <c r="G565" t="s">
        <v>11</v>
      </c>
      <c r="H565">
        <v>0.01</v>
      </c>
      <c r="I565">
        <v>2.001E-2</v>
      </c>
      <c r="J565" t="s">
        <v>10</v>
      </c>
      <c r="K565">
        <v>58.024999999999999</v>
      </c>
      <c r="L565">
        <v>-857.45</v>
      </c>
      <c r="M565">
        <v>58.024999999999999</v>
      </c>
      <c r="N565">
        <v>-857.67</v>
      </c>
      <c r="O565" t="s">
        <v>2833</v>
      </c>
      <c r="P565" t="s">
        <v>2833</v>
      </c>
      <c r="Q565" t="s">
        <v>2833</v>
      </c>
      <c r="R565">
        <f ca="1">RAND()*(Validation[[#This Row],[Range1_High]]-Validation[[#This Row],[Range1_Low]])+Validation[[#This Row],[Range1_Low]]</f>
        <v>7.8229490645473309E-6</v>
      </c>
      <c r="S565">
        <f>Validation[[#This Row],[Range2_High]]</f>
        <v>2.001E-2</v>
      </c>
      <c r="T565" t="str" cm="1">
        <f t="array" aca="1" ref="T565" ca="1">RoundToTwoSigFigs(Validation[[#This Row],[Test Reading]]*Validation[[#This Row],[Mult]]+Validation[[#This Row],[Base]]) &amp;" "&amp;Validation[[#This Row],[Uncert_Units]]</f>
        <v>58 µA</v>
      </c>
      <c r="U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565" t="b">
        <f ca="1">Validation[[#This Row],[Desired Result]]=Validation[[#This Row],[Result]]</f>
        <v>1</v>
      </c>
      <c r="W565" t="b">
        <v>0</v>
      </c>
      <c r="X565" t="b">
        <f>Validation[[#This Row],[Range1_Low]]&gt;=Validation[[#This Row],[Range1_High]]</f>
        <v>0</v>
      </c>
      <c r="Y565" s="111" t="s">
        <v>2845</v>
      </c>
    </row>
    <row r="566" spans="1:25" ht="15.75" thickBot="1" x14ac:dyDescent="0.3">
      <c r="A566" t="s">
        <v>54</v>
      </c>
      <c r="B566" t="s">
        <v>47</v>
      </c>
      <c r="C566">
        <v>1.1000000000000001</v>
      </c>
      <c r="D566">
        <v>3.0009999999999999</v>
      </c>
      <c r="E566">
        <v>1E-3</v>
      </c>
      <c r="F566" t="s">
        <v>13</v>
      </c>
      <c r="G566" t="s">
        <v>12</v>
      </c>
      <c r="H566">
        <v>10</v>
      </c>
      <c r="I566">
        <v>10.01</v>
      </c>
      <c r="J566" t="s">
        <v>10</v>
      </c>
      <c r="K566">
        <v>5.8</v>
      </c>
      <c r="L566">
        <v>29</v>
      </c>
      <c r="M566">
        <v>5.78</v>
      </c>
      <c r="N566">
        <v>28.866</v>
      </c>
      <c r="O566" t="s">
        <v>2833</v>
      </c>
      <c r="P566" t="s">
        <v>2833</v>
      </c>
      <c r="Q566" t="s">
        <v>2833</v>
      </c>
      <c r="R566">
        <f ca="1">RAND()*(Validation[[#This Row],[Range1_High]]-Validation[[#This Row],[Range1_Low]])+Validation[[#This Row],[Range1_Low]]</f>
        <v>2.6714895403911099</v>
      </c>
      <c r="S566">
        <f>Validation[[#This Row],[Range2_High]]</f>
        <v>10.01</v>
      </c>
      <c r="T566" t="str" cm="1">
        <f t="array" aca="1" ref="T566" ca="1">RoundToTwoSigFigs(Validation[[#This Row],[Test Reading]]*Validation[[#This Row],[Mult]]+Validation[[#This Row],[Base]]) &amp;" "&amp;Validation[[#This Row],[Uncert_Units]]</f>
        <v>83 mA</v>
      </c>
      <c r="U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mA</v>
      </c>
      <c r="V566" t="b">
        <f ca="1">Validation[[#This Row],[Desired Result]]=Validation[[#This Row],[Result]]</f>
        <v>1</v>
      </c>
      <c r="W566" t="b">
        <v>0</v>
      </c>
      <c r="X566" t="b">
        <f>Validation[[#This Row],[Range1_Low]]&gt;=Validation[[#This Row],[Range1_High]]</f>
        <v>0</v>
      </c>
      <c r="Y566" s="111" t="s">
        <v>2845</v>
      </c>
    </row>
    <row r="567" spans="1:25" ht="16.5" thickTop="1" thickBot="1" x14ac:dyDescent="0.3">
      <c r="A567" t="s">
        <v>68</v>
      </c>
      <c r="B567" t="s">
        <v>47</v>
      </c>
      <c r="C567" s="113">
        <v>0.01</v>
      </c>
      <c r="D567" s="113">
        <v>0.104</v>
      </c>
      <c r="E567">
        <v>1E-4</v>
      </c>
      <c r="F567" t="s">
        <v>13</v>
      </c>
      <c r="G567" t="s">
        <v>11</v>
      </c>
      <c r="H567">
        <v>0.01</v>
      </c>
      <c r="I567">
        <v>2</v>
      </c>
      <c r="J567" t="s">
        <v>10</v>
      </c>
      <c r="K567">
        <v>111.72</v>
      </c>
      <c r="L567">
        <v>1119.7</v>
      </c>
      <c r="M567">
        <v>111.68</v>
      </c>
      <c r="N567">
        <v>1118.5999999999999</v>
      </c>
      <c r="O567" t="s">
        <v>2833</v>
      </c>
      <c r="P567" t="s">
        <v>2833</v>
      </c>
      <c r="Q567" t="s">
        <v>2833</v>
      </c>
      <c r="R567">
        <f ca="1">RAND()*(Validation[[#This Row],[Range1_High]]-Validation[[#This Row],[Range1_Low]])+Validation[[#This Row],[Range1_Low]]</f>
        <v>3.0681925248580655E-2</v>
      </c>
      <c r="S567">
        <f>Validation[[#This Row],[Range2_High]]</f>
        <v>2</v>
      </c>
      <c r="T567" t="str" cm="1">
        <f t="array" aca="1" ref="T567" ca="1">RoundToTwoSigFigs(Validation[[#This Row],[Test Reading]]*Validation[[#This Row],[Mult]]+Validation[[#This Row],[Base]]) &amp;" "&amp;Validation[[#This Row],[Uncert_Units]]</f>
        <v>150 µA</v>
      </c>
      <c r="U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V567" t="b">
        <f ca="1">Validation[[#This Row],[Desired Result]]=Validation[[#This Row],[Result]]</f>
        <v>1</v>
      </c>
      <c r="W567" t="b">
        <v>1</v>
      </c>
      <c r="X567" t="b">
        <f>Validation[[#This Row],[Range1_Low]]&gt;=Validation[[#This Row],[Range1_High]]</f>
        <v>0</v>
      </c>
      <c r="Y567" s="111" t="s">
        <v>2843</v>
      </c>
    </row>
    <row r="568" spans="1:25" ht="16.5" thickTop="1" thickBot="1" x14ac:dyDescent="0.3">
      <c r="A568" t="s">
        <v>54</v>
      </c>
      <c r="B568" t="s">
        <v>47</v>
      </c>
      <c r="C568" s="113">
        <v>3</v>
      </c>
      <c r="D568" s="113">
        <v>11.000999999999999</v>
      </c>
      <c r="E568">
        <v>1E-4</v>
      </c>
      <c r="F568" t="s">
        <v>13</v>
      </c>
      <c r="G568" t="s">
        <v>12</v>
      </c>
      <c r="H568">
        <v>5</v>
      </c>
      <c r="I568">
        <v>5.01</v>
      </c>
      <c r="J568" t="s">
        <v>10</v>
      </c>
      <c r="K568">
        <v>2.5</v>
      </c>
      <c r="L568">
        <v>35</v>
      </c>
      <c r="M568">
        <v>2.3102999999999998</v>
      </c>
      <c r="N568">
        <v>34.640999999999998</v>
      </c>
      <c r="O568" t="s">
        <v>2833</v>
      </c>
      <c r="P568" t="s">
        <v>2833</v>
      </c>
      <c r="Q568" t="s">
        <v>2833</v>
      </c>
      <c r="R568">
        <f ca="1">RAND()*(Validation[[#This Row],[Range1_High]]-Validation[[#This Row],[Range1_Low]])+Validation[[#This Row],[Range1_Low]]</f>
        <v>6.2351502291187053</v>
      </c>
      <c r="S568">
        <f>Validation[[#This Row],[Range2_High]]</f>
        <v>5.01</v>
      </c>
      <c r="T568" t="str" cm="1">
        <f t="array" aca="1" ref="T568" ca="1">RoundToTwoSigFigs(Validation[[#This Row],[Test Reading]]*Validation[[#This Row],[Mult]]+Validation[[#This Row],[Base]]) &amp;" "&amp;Validation[[#This Row],[Uncert_Units]]</f>
        <v>220 mA</v>
      </c>
      <c r="U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V568" t="b">
        <f ca="1">Validation[[#This Row],[Desired Result]]=Validation[[#This Row],[Result]]</f>
        <v>1</v>
      </c>
      <c r="W568" t="b">
        <v>1</v>
      </c>
      <c r="X568" t="b">
        <f>Validation[[#This Row],[Range1_Low]]&gt;=Validation[[#This Row],[Range1_High]]</f>
        <v>0</v>
      </c>
      <c r="Y568" s="111" t="s">
        <v>2843</v>
      </c>
    </row>
    <row r="569" spans="1:25" ht="16.5" thickTop="1" thickBot="1" x14ac:dyDescent="0.3">
      <c r="A569" t="s">
        <v>54</v>
      </c>
      <c r="B569" t="s">
        <v>47</v>
      </c>
      <c r="C569">
        <v>0</v>
      </c>
      <c r="D569">
        <v>3.3000999999999999E-4</v>
      </c>
      <c r="E569">
        <v>1.0000000000000001E-5</v>
      </c>
      <c r="F569" t="s">
        <v>13</v>
      </c>
      <c r="G569" t="s">
        <v>11</v>
      </c>
      <c r="H569" s="113">
        <v>5</v>
      </c>
      <c r="I569" s="113">
        <v>10.01</v>
      </c>
      <c r="J569" t="s">
        <v>10</v>
      </c>
      <c r="K569">
        <v>5.7138999999999998</v>
      </c>
      <c r="L569">
        <v>2807.7</v>
      </c>
      <c r="M569">
        <v>5.7137000000000002</v>
      </c>
      <c r="N569">
        <v>2806.8</v>
      </c>
      <c r="O569" t="s">
        <v>2833</v>
      </c>
      <c r="P569" t="s">
        <v>2833</v>
      </c>
      <c r="Q569" t="s">
        <v>2833</v>
      </c>
      <c r="R569">
        <f ca="1">RAND()*(Validation[[#This Row],[Range1_High]]-Validation[[#This Row],[Range1_Low]])+Validation[[#This Row],[Range1_Low]]</f>
        <v>2.4235072930353088E-4</v>
      </c>
      <c r="S569">
        <f>Validation[[#This Row],[Range2_High]]</f>
        <v>10.01</v>
      </c>
      <c r="T569" t="str" cm="1">
        <f t="array" aca="1" ref="T569" ca="1">RoundToTwoSigFigs(Validation[[#This Row],[Test Reading]]*Validation[[#This Row],[Mult]]+Validation[[#This Row],[Base]]) &amp;" "&amp;Validation[[#This Row],[Uncert_Units]]</f>
        <v>6.4 µA</v>
      </c>
      <c r="U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V569" t="b">
        <f ca="1">Validation[[#This Row],[Desired Result]]=Validation[[#This Row],[Result]]</f>
        <v>0</v>
      </c>
      <c r="W569" t="b">
        <v>1</v>
      </c>
      <c r="X569" t="b">
        <f>Validation[[#This Row],[Range1_Low]]&gt;=Validation[[#This Row],[Range1_High]]</f>
        <v>0</v>
      </c>
      <c r="Y569" s="114" t="s">
        <v>2846</v>
      </c>
    </row>
    <row r="570" spans="1:25" ht="16.5" thickTop="1" thickBot="1" x14ac:dyDescent="0.3">
      <c r="A570" t="s">
        <v>54</v>
      </c>
      <c r="B570" t="s">
        <v>47</v>
      </c>
      <c r="C570">
        <v>0</v>
      </c>
      <c r="D570">
        <v>3.3000999999999999E-4</v>
      </c>
      <c r="E570">
        <v>0.01</v>
      </c>
      <c r="F570" t="s">
        <v>13</v>
      </c>
      <c r="G570" t="s">
        <v>11</v>
      </c>
      <c r="H570">
        <v>0.02</v>
      </c>
      <c r="I570">
        <v>4.5010000000000001E-2</v>
      </c>
      <c r="J570" t="s">
        <v>10</v>
      </c>
      <c r="K570">
        <v>5773.6</v>
      </c>
      <c r="L570">
        <v>0.16308</v>
      </c>
      <c r="M570">
        <v>5773.6</v>
      </c>
      <c r="N570">
        <v>0.12795999999999999</v>
      </c>
      <c r="O570" t="s">
        <v>2833</v>
      </c>
      <c r="P570" t="s">
        <v>2833</v>
      </c>
      <c r="Q570" t="s">
        <v>2833</v>
      </c>
      <c r="R570">
        <f ca="1">RAND()*(Validation[[#This Row],[Range1_High]]-Validation[[#This Row],[Range1_Low]])+Validation[[#This Row],[Range1_Low]]</f>
        <v>3.0728002286187212E-4</v>
      </c>
      <c r="S570">
        <f>Validation[[#This Row],[Range2_High]]</f>
        <v>4.5010000000000001E-2</v>
      </c>
      <c r="T570" t="str" cm="1">
        <f t="array" aca="1" ref="T570" ca="1">RoundToTwoSigFigs(Validation[[#This Row],[Test Reading]]*Validation[[#This Row],[Mult]]+Validation[[#This Row],[Base]]) &amp;" "&amp;Validation[[#This Row],[Uncert_Units]]</f>
        <v>5800 µA</v>
      </c>
      <c r="U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570" t="b">
        <f ca="1">Validation[[#This Row],[Desired Result]]=Validation[[#This Row],[Result]]</f>
        <v>1</v>
      </c>
      <c r="W570" t="b">
        <v>0</v>
      </c>
      <c r="X570" t="b">
        <f>Validation[[#This Row],[Range1_Low]]&gt;=Validation[[#This Row],[Range1_High]]</f>
        <v>0</v>
      </c>
      <c r="Y570" s="111" t="s">
        <v>2845</v>
      </c>
    </row>
    <row r="571" spans="1:25" ht="16.5" thickTop="1" thickBot="1" x14ac:dyDescent="0.3">
      <c r="A571" t="s">
        <v>54</v>
      </c>
      <c r="B571" t="s">
        <v>47</v>
      </c>
      <c r="C571" s="113">
        <v>3.3E-3</v>
      </c>
      <c r="D571" s="113">
        <v>3.3001000000000003E-2</v>
      </c>
      <c r="E571">
        <v>9.9999999999999995E-8</v>
      </c>
      <c r="F571" t="s">
        <v>13</v>
      </c>
      <c r="G571" t="s">
        <v>11</v>
      </c>
      <c r="H571">
        <v>0.01</v>
      </c>
      <c r="I571">
        <v>2.001E-2</v>
      </c>
      <c r="J571" t="s">
        <v>10</v>
      </c>
      <c r="K571">
        <v>2.4</v>
      </c>
      <c r="L571">
        <v>2100</v>
      </c>
      <c r="M571">
        <v>2.3157000000000001</v>
      </c>
      <c r="N571">
        <v>2087.1</v>
      </c>
      <c r="O571" t="s">
        <v>2833</v>
      </c>
      <c r="P571" t="s">
        <v>2833</v>
      </c>
      <c r="Q571" t="s">
        <v>2833</v>
      </c>
      <c r="R571">
        <f ca="1">RAND()*(Validation[[#This Row],[Range1_High]]-Validation[[#This Row],[Range1_Low]])+Validation[[#This Row],[Range1_Low]]</f>
        <v>2.6801209125338721E-2</v>
      </c>
      <c r="S571">
        <f>Validation[[#This Row],[Range2_High]]</f>
        <v>2.001E-2</v>
      </c>
      <c r="T571" t="str" cm="1">
        <f t="array" aca="1" ref="T571" ca="1">RoundToTwoSigFigs(Validation[[#This Row],[Test Reading]]*Validation[[#This Row],[Mult]]+Validation[[#This Row],[Base]]) &amp;" "&amp;Validation[[#This Row],[Uncert_Units]]</f>
        <v>59 µA</v>
      </c>
      <c r="U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V571" t="b">
        <f ca="1">Validation[[#This Row],[Desired Result]]=Validation[[#This Row],[Result]]</f>
        <v>1</v>
      </c>
      <c r="W571" t="b">
        <v>1</v>
      </c>
      <c r="X571" t="b">
        <f>Validation[[#This Row],[Range1_Low]]&gt;=Validation[[#This Row],[Range1_High]]</f>
        <v>0</v>
      </c>
      <c r="Y571" s="111" t="s">
        <v>2843</v>
      </c>
    </row>
    <row r="572" spans="1:25" ht="16.5" thickTop="1" thickBot="1" x14ac:dyDescent="0.3">
      <c r="A572" t="s">
        <v>55</v>
      </c>
      <c r="B572" t="s">
        <v>47</v>
      </c>
      <c r="C572" s="113">
        <v>10</v>
      </c>
      <c r="D572" s="113">
        <v>20</v>
      </c>
      <c r="E572">
        <v>1E-3</v>
      </c>
      <c r="F572" t="s">
        <v>13</v>
      </c>
      <c r="G572" t="s">
        <v>12</v>
      </c>
      <c r="H572">
        <v>1E-3</v>
      </c>
      <c r="I572">
        <v>0.05</v>
      </c>
      <c r="J572" t="s">
        <v>10</v>
      </c>
      <c r="K572">
        <v>0.92</v>
      </c>
      <c r="L572">
        <v>0.49</v>
      </c>
      <c r="M572">
        <v>4.6723999999999997</v>
      </c>
      <c r="N572">
        <v>8.1363000000000005E-2</v>
      </c>
      <c r="O572" t="s">
        <v>2833</v>
      </c>
      <c r="P572" t="s">
        <v>2833</v>
      </c>
      <c r="Q572" t="s">
        <v>2833</v>
      </c>
      <c r="R572">
        <f ca="1">RAND()*(Validation[[#This Row],[Range1_High]]-Validation[[#This Row],[Range1_Low]])+Validation[[#This Row],[Range1_Low]]</f>
        <v>19.579716436262654</v>
      </c>
      <c r="S572">
        <f>Validation[[#This Row],[Range2_High]]</f>
        <v>0.05</v>
      </c>
      <c r="T572" t="str" cm="1">
        <f t="array" aca="1" ref="T572" ca="1">RoundToTwoSigFigs(Validation[[#This Row],[Test Reading]]*Validation[[#This Row],[Mult]]+Validation[[#This Row],[Base]]) &amp;" "&amp;Validation[[#This Row],[Uncert_Units]]</f>
        <v>11 mA</v>
      </c>
      <c r="U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mA</v>
      </c>
      <c r="V572" t="b">
        <f ca="1">Validation[[#This Row],[Desired Result]]=Validation[[#This Row],[Result]]</f>
        <v>0</v>
      </c>
      <c r="W572" t="b">
        <v>1</v>
      </c>
      <c r="X572" t="b">
        <f>Validation[[#This Row],[Range1_Low]]&gt;=Validation[[#This Row],[Range1_High]]</f>
        <v>0</v>
      </c>
      <c r="Y572" s="111" t="s">
        <v>2843</v>
      </c>
    </row>
    <row r="573" spans="1:25" ht="16.5" thickTop="1" thickBot="1" x14ac:dyDescent="0.3">
      <c r="A573" t="s">
        <v>55</v>
      </c>
      <c r="B573" t="s">
        <v>47</v>
      </c>
      <c r="C573" s="113">
        <v>10</v>
      </c>
      <c r="D573" s="113">
        <v>20</v>
      </c>
      <c r="E573">
        <v>1.0000000000000001E-5</v>
      </c>
      <c r="F573" t="s">
        <v>13</v>
      </c>
      <c r="G573" t="s">
        <v>12</v>
      </c>
      <c r="H573">
        <v>1</v>
      </c>
      <c r="I573">
        <v>5</v>
      </c>
      <c r="J573" t="s">
        <v>10</v>
      </c>
      <c r="K573">
        <v>0</v>
      </c>
      <c r="L573">
        <v>0.95</v>
      </c>
      <c r="M573">
        <v>1.07</v>
      </c>
      <c r="N573">
        <v>0.66</v>
      </c>
      <c r="O573" t="s">
        <v>2833</v>
      </c>
      <c r="P573" t="s">
        <v>2833</v>
      </c>
      <c r="Q573" t="s">
        <v>2833</v>
      </c>
      <c r="R573">
        <f ca="1">RAND()*(Validation[[#This Row],[Range1_High]]-Validation[[#This Row],[Range1_Low]])+Validation[[#This Row],[Range1_Low]]</f>
        <v>19.866016153035577</v>
      </c>
      <c r="S573">
        <f>Validation[[#This Row],[Range2_High]]</f>
        <v>5</v>
      </c>
      <c r="T573" t="str" cm="1">
        <f t="array" aca="1" ref="T573" ca="1">RoundToTwoSigFigs(Validation[[#This Row],[Test Reading]]*Validation[[#This Row],[Mult]]+Validation[[#This Row],[Base]]) &amp;" "&amp;Validation[[#This Row],[Uncert_Units]]</f>
        <v>19 mA</v>
      </c>
      <c r="U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V573" t="b">
        <f ca="1">Validation[[#This Row],[Desired Result]]=Validation[[#This Row],[Result]]</f>
        <v>1</v>
      </c>
      <c r="W573" t="b">
        <v>1</v>
      </c>
      <c r="X573" t="b">
        <f>Validation[[#This Row],[Range1_Low]]&gt;=Validation[[#This Row],[Range1_High]]</f>
        <v>0</v>
      </c>
      <c r="Y573" s="111" t="s">
        <v>2843</v>
      </c>
    </row>
    <row r="574" spans="1:25" ht="16.5" thickTop="1" thickBot="1" x14ac:dyDescent="0.3">
      <c r="A574" t="s">
        <v>55</v>
      </c>
      <c r="B574" t="s">
        <v>47</v>
      </c>
      <c r="C574" s="113">
        <v>0.01</v>
      </c>
      <c r="D574" s="113">
        <v>0.1</v>
      </c>
      <c r="E574">
        <v>1E-4</v>
      </c>
      <c r="F574" t="s">
        <v>13</v>
      </c>
      <c r="G574" t="s">
        <v>11</v>
      </c>
      <c r="H574">
        <v>50</v>
      </c>
      <c r="I574">
        <v>100</v>
      </c>
      <c r="J574" t="s">
        <v>10</v>
      </c>
      <c r="K574">
        <v>582.09</v>
      </c>
      <c r="L574">
        <v>4394.2</v>
      </c>
      <c r="M574">
        <v>581.36</v>
      </c>
      <c r="N574">
        <v>4329.2</v>
      </c>
      <c r="O574" t="s">
        <v>2833</v>
      </c>
      <c r="P574" t="s">
        <v>2833</v>
      </c>
      <c r="Q574" t="s">
        <v>2833</v>
      </c>
      <c r="R574">
        <f ca="1">RAND()*(Validation[[#This Row],[Range1_High]]-Validation[[#This Row],[Range1_Low]])+Validation[[#This Row],[Range1_Low]]</f>
        <v>8.2855145412006295E-2</v>
      </c>
      <c r="S574">
        <f>Validation[[#This Row],[Range2_High]]</f>
        <v>100</v>
      </c>
      <c r="T574" t="str" cm="1">
        <f t="array" aca="1" ref="T574" ca="1">RoundToTwoSigFigs(Validation[[#This Row],[Test Reading]]*Validation[[#This Row],[Mult]]+Validation[[#This Row],[Base]]) &amp;" "&amp;Validation[[#This Row],[Uncert_Units]]</f>
        <v>950 µA</v>
      </c>
      <c r="U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µA</v>
      </c>
      <c r="V574" t="b">
        <f ca="1">Validation[[#This Row],[Desired Result]]=Validation[[#This Row],[Result]]</f>
        <v>1</v>
      </c>
      <c r="W574" t="b">
        <v>1</v>
      </c>
      <c r="X574" t="b">
        <f>Validation[[#This Row],[Range1_Low]]&gt;=Validation[[#This Row],[Range1_High]]</f>
        <v>0</v>
      </c>
      <c r="Y574" s="111" t="s">
        <v>2843</v>
      </c>
    </row>
    <row r="575" spans="1:25" ht="16.5" thickTop="1" thickBot="1" x14ac:dyDescent="0.3">
      <c r="A575" t="s">
        <v>55</v>
      </c>
      <c r="B575" t="s">
        <v>47</v>
      </c>
      <c r="C575" s="113">
        <v>0.01</v>
      </c>
      <c r="D575" s="113">
        <v>0.1</v>
      </c>
      <c r="E575">
        <v>1.0000000000000001E-5</v>
      </c>
      <c r="F575" t="s">
        <v>13</v>
      </c>
      <c r="G575" t="s">
        <v>11</v>
      </c>
      <c r="H575">
        <v>50</v>
      </c>
      <c r="I575">
        <v>100</v>
      </c>
      <c r="J575" t="s">
        <v>10</v>
      </c>
      <c r="K575">
        <v>190</v>
      </c>
      <c r="L575">
        <v>6565.8</v>
      </c>
      <c r="M575">
        <v>179.15</v>
      </c>
      <c r="N575">
        <v>6551.2</v>
      </c>
      <c r="O575" t="s">
        <v>2833</v>
      </c>
      <c r="P575" t="s">
        <v>2833</v>
      </c>
      <c r="Q575" t="s">
        <v>2833</v>
      </c>
      <c r="R575">
        <f ca="1">RAND()*(Validation[[#This Row],[Range1_High]]-Validation[[#This Row],[Range1_Low]])+Validation[[#This Row],[Range1_Low]]</f>
        <v>5.5349582412779409E-2</v>
      </c>
      <c r="S575">
        <f>Validation[[#This Row],[Range2_High]]</f>
        <v>100</v>
      </c>
      <c r="T575" t="str" cm="1">
        <f t="array" aca="1" ref="T575" ca="1">RoundToTwoSigFigs(Validation[[#This Row],[Test Reading]]*Validation[[#This Row],[Mult]]+Validation[[#This Row],[Base]]) &amp;" "&amp;Validation[[#This Row],[Uncert_Units]]</f>
        <v>550 µA</v>
      </c>
      <c r="U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µA</v>
      </c>
      <c r="V575" t="b">
        <f ca="1">Validation[[#This Row],[Desired Result]]=Validation[[#This Row],[Result]]</f>
        <v>1</v>
      </c>
      <c r="W575" t="b">
        <v>1</v>
      </c>
      <c r="X575" t="b">
        <f>Validation[[#This Row],[Range1_Low]]&gt;=Validation[[#This Row],[Range1_High]]</f>
        <v>0</v>
      </c>
      <c r="Y575" s="111" t="s">
        <v>2843</v>
      </c>
    </row>
    <row r="576" spans="1:25" ht="16.5" thickTop="1" thickBot="1" x14ac:dyDescent="0.3">
      <c r="A576" t="s">
        <v>55</v>
      </c>
      <c r="B576" t="s">
        <v>47</v>
      </c>
      <c r="C576" s="113">
        <v>1E-4</v>
      </c>
      <c r="D576" s="113">
        <v>1E-3</v>
      </c>
      <c r="E576">
        <v>1E-8</v>
      </c>
      <c r="F576" t="s">
        <v>13</v>
      </c>
      <c r="G576" t="s">
        <v>11</v>
      </c>
      <c r="H576">
        <v>0.1</v>
      </c>
      <c r="I576">
        <v>5</v>
      </c>
      <c r="J576" t="s">
        <v>10</v>
      </c>
      <c r="K576">
        <v>0.25</v>
      </c>
      <c r="L576">
        <v>359.01</v>
      </c>
      <c r="M576">
        <v>0.23663000000000001</v>
      </c>
      <c r="N576">
        <v>360.5</v>
      </c>
      <c r="O576" t="s">
        <v>2833</v>
      </c>
      <c r="P576" t="s">
        <v>2833</v>
      </c>
      <c r="Q576" t="s">
        <v>2833</v>
      </c>
      <c r="R576">
        <f ca="1">RAND()*(Validation[[#This Row],[Range1_High]]-Validation[[#This Row],[Range1_Low]])+Validation[[#This Row],[Range1_Low]]</f>
        <v>9.5135405462628566E-4</v>
      </c>
      <c r="S576">
        <f>Validation[[#This Row],[Range2_High]]</f>
        <v>5</v>
      </c>
      <c r="T576" t="str" cm="1">
        <f t="array" aca="1" ref="T576" ca="1">RoundToTwoSigFigs(Validation[[#This Row],[Test Reading]]*Validation[[#This Row],[Mult]]+Validation[[#This Row],[Base]]) &amp;" "&amp;Validation[[#This Row],[Uncert_Units]]</f>
        <v>0.59 µA</v>
      </c>
      <c r="U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µA</v>
      </c>
      <c r="V576" t="b">
        <f ca="1">Validation[[#This Row],[Desired Result]]=Validation[[#This Row],[Result]]</f>
        <v>0</v>
      </c>
      <c r="W576" t="b">
        <v>1</v>
      </c>
      <c r="X576" t="b">
        <f>Validation[[#This Row],[Range1_Low]]&gt;=Validation[[#This Row],[Range1_High]]</f>
        <v>0</v>
      </c>
      <c r="Y576" s="111" t="s">
        <v>2843</v>
      </c>
    </row>
    <row r="577" spans="1:25" ht="16.5" thickTop="1" thickBot="1" x14ac:dyDescent="0.3">
      <c r="A577" t="s">
        <v>54</v>
      </c>
      <c r="B577" t="s">
        <v>47</v>
      </c>
      <c r="C577">
        <v>1.1000000000000001</v>
      </c>
      <c r="D577">
        <v>3.0009999999999999</v>
      </c>
      <c r="E577">
        <v>1E-4</v>
      </c>
      <c r="F577" t="s">
        <v>13</v>
      </c>
      <c r="G577" t="s">
        <v>12</v>
      </c>
      <c r="H577">
        <v>5</v>
      </c>
      <c r="I577">
        <v>10</v>
      </c>
      <c r="J577" t="s">
        <v>10</v>
      </c>
      <c r="K577">
        <v>5.8</v>
      </c>
      <c r="L577">
        <v>29</v>
      </c>
      <c r="M577">
        <v>5.7731000000000003</v>
      </c>
      <c r="N577">
        <v>28.867999999999999</v>
      </c>
      <c r="O577" t="s">
        <v>2833</v>
      </c>
      <c r="P577" t="s">
        <v>2833</v>
      </c>
      <c r="Q577" t="s">
        <v>2833</v>
      </c>
      <c r="R577">
        <f ca="1">RAND()*(Validation[[#This Row],[Range1_High]]-Validation[[#This Row],[Range1_Low]])+Validation[[#This Row],[Range1_Low]]</f>
        <v>2.0584746946095245</v>
      </c>
      <c r="S577">
        <f>Validation[[#This Row],[Range2_High]]</f>
        <v>10</v>
      </c>
      <c r="T577" t="str" cm="1">
        <f t="array" aca="1" ref="T577" ca="1">RoundToTwoSigFigs(Validation[[#This Row],[Test Reading]]*Validation[[#This Row],[Mult]]+Validation[[#This Row],[Base]]) &amp;" "&amp;Validation[[#This Row],[Uncert_Units]]</f>
        <v>65 mA</v>
      </c>
      <c r="U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V577" t="b">
        <f ca="1">Validation[[#This Row],[Desired Result]]=Validation[[#This Row],[Result]]</f>
        <v>1</v>
      </c>
      <c r="W577" t="b">
        <v>0</v>
      </c>
      <c r="X577" t="b">
        <f>Validation[[#This Row],[Range1_Low]]&gt;=Validation[[#This Row],[Range1_High]]</f>
        <v>0</v>
      </c>
      <c r="Y577" s="111" t="s">
        <v>2845</v>
      </c>
    </row>
    <row r="578" spans="1:25" ht="16.5" thickTop="1" thickBot="1" x14ac:dyDescent="0.3">
      <c r="A578" t="s">
        <v>54</v>
      </c>
      <c r="B578" t="s">
        <v>47</v>
      </c>
      <c r="C578">
        <v>1.1000000000000001</v>
      </c>
      <c r="D578">
        <v>3.0009999999999999</v>
      </c>
      <c r="E578">
        <v>0.01</v>
      </c>
      <c r="F578" t="s">
        <v>13</v>
      </c>
      <c r="G578" t="s">
        <v>12</v>
      </c>
      <c r="H578" s="113">
        <v>1</v>
      </c>
      <c r="I578" s="113">
        <v>5.01</v>
      </c>
      <c r="J578" t="s">
        <v>10</v>
      </c>
      <c r="K578">
        <v>3.4546999999999999</v>
      </c>
      <c r="L578">
        <v>6.4116</v>
      </c>
      <c r="M578">
        <v>3.4521000000000002</v>
      </c>
      <c r="N578">
        <v>6.4115000000000002</v>
      </c>
      <c r="O578" t="s">
        <v>2833</v>
      </c>
      <c r="P578" t="s">
        <v>2833</v>
      </c>
      <c r="Q578" t="s">
        <v>2833</v>
      </c>
      <c r="R578">
        <f ca="1">RAND()*(Validation[[#This Row],[Range1_High]]-Validation[[#This Row],[Range1_Low]])+Validation[[#This Row],[Range1_Low]]</f>
        <v>2.6951259270567167</v>
      </c>
      <c r="S578">
        <f>Validation[[#This Row],[Range2_High]]</f>
        <v>5.01</v>
      </c>
      <c r="T578" t="str" cm="1">
        <f t="array" aca="1" ref="T578" ca="1">RoundToTwoSigFigs(Validation[[#This Row],[Test Reading]]*Validation[[#This Row],[Mult]]+Validation[[#This Row],[Base]]) &amp;" "&amp;Validation[[#This Row],[Uncert_Units]]</f>
        <v>21 mA</v>
      </c>
      <c r="U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V578" t="b">
        <f ca="1">Validation[[#This Row],[Desired Result]]=Validation[[#This Row],[Result]]</f>
        <v>0</v>
      </c>
      <c r="W578" t="b">
        <v>1</v>
      </c>
      <c r="X578" t="b">
        <f>Validation[[#This Row],[Range1_Low]]&gt;=Validation[[#This Row],[Range1_High]]</f>
        <v>0</v>
      </c>
      <c r="Y578" s="114" t="s">
        <v>2847</v>
      </c>
    </row>
    <row r="579" spans="1:25" ht="16.5" thickTop="1" thickBot="1" x14ac:dyDescent="0.3">
      <c r="A579" t="s">
        <v>55</v>
      </c>
      <c r="B579" t="s">
        <v>47</v>
      </c>
      <c r="C579">
        <v>0</v>
      </c>
      <c r="D579">
        <v>1E-4</v>
      </c>
      <c r="E579">
        <v>0.01</v>
      </c>
      <c r="F579" t="s">
        <v>13</v>
      </c>
      <c r="G579" t="s">
        <v>11</v>
      </c>
      <c r="H579">
        <v>0.02</v>
      </c>
      <c r="I579">
        <v>4.4999999999999998E-2</v>
      </c>
      <c r="J579" t="s">
        <v>10</v>
      </c>
      <c r="K579">
        <v>5773.6</v>
      </c>
      <c r="L579">
        <v>8.3554000000000003E-2</v>
      </c>
      <c r="M579">
        <v>5773.5</v>
      </c>
      <c r="N579">
        <v>4.7889000000000001E-2</v>
      </c>
      <c r="O579" t="s">
        <v>2833</v>
      </c>
      <c r="P579" t="s">
        <v>2833</v>
      </c>
      <c r="Q579" t="s">
        <v>2833</v>
      </c>
      <c r="R579">
        <f ca="1">RAND()*(Validation[[#This Row],[Range1_High]]-Validation[[#This Row],[Range1_Low]])+Validation[[#This Row],[Range1_Low]]</f>
        <v>9.2800203485089895E-5</v>
      </c>
      <c r="S579">
        <f>Validation[[#This Row],[Range2_High]]</f>
        <v>4.4999999999999998E-2</v>
      </c>
      <c r="T579" t="str" cm="1">
        <f t="array" aca="1" ref="T579" ca="1">RoundToTwoSigFigs(Validation[[#This Row],[Test Reading]]*Validation[[#This Row],[Mult]]+Validation[[#This Row],[Base]]) &amp;" "&amp;Validation[[#This Row],[Uncert_Units]]</f>
        <v>5800 µA</v>
      </c>
      <c r="U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579" t="b">
        <f ca="1">Validation[[#This Row],[Desired Result]]=Validation[[#This Row],[Result]]</f>
        <v>1</v>
      </c>
      <c r="W579" t="b">
        <v>0</v>
      </c>
      <c r="X579" t="b">
        <f>Validation[[#This Row],[Range1_Low]]&gt;=Validation[[#This Row],[Range1_High]]</f>
        <v>0</v>
      </c>
      <c r="Y579" s="111" t="s">
        <v>2845</v>
      </c>
    </row>
    <row r="580" spans="1:25" ht="16.5" thickTop="1" thickBot="1" x14ac:dyDescent="0.3">
      <c r="A580" t="s">
        <v>54</v>
      </c>
      <c r="B580" t="s">
        <v>47</v>
      </c>
      <c r="C580" s="113">
        <v>3</v>
      </c>
      <c r="D580" s="113">
        <v>11.000999999999999</v>
      </c>
      <c r="E580">
        <v>0.1</v>
      </c>
      <c r="F580" t="s">
        <v>13</v>
      </c>
      <c r="G580" t="s">
        <v>12</v>
      </c>
      <c r="H580">
        <v>1</v>
      </c>
      <c r="I580">
        <v>5</v>
      </c>
      <c r="J580" t="s">
        <v>10</v>
      </c>
      <c r="K580">
        <v>20.888000000000002</v>
      </c>
      <c r="L580">
        <v>33.345999999999997</v>
      </c>
      <c r="M580">
        <v>20.867000000000001</v>
      </c>
      <c r="N580">
        <v>33.347000000000001</v>
      </c>
      <c r="O580" t="s">
        <v>2833</v>
      </c>
      <c r="P580" t="s">
        <v>2833</v>
      </c>
      <c r="Q580" t="s">
        <v>2833</v>
      </c>
      <c r="R580">
        <f ca="1">RAND()*(Validation[[#This Row],[Range1_High]]-Validation[[#This Row],[Range1_Low]])+Validation[[#This Row],[Range1_Low]]</f>
        <v>4.8054917156736359</v>
      </c>
      <c r="S580">
        <f>Validation[[#This Row],[Range2_High]]</f>
        <v>5</v>
      </c>
      <c r="T580" t="str" cm="1">
        <f t="array" aca="1" ref="T580" ca="1">RoundToTwoSigFigs(Validation[[#This Row],[Test Reading]]*Validation[[#This Row],[Mult]]+Validation[[#This Row],[Base]]) &amp;" "&amp;Validation[[#This Row],[Uncert_Units]]</f>
        <v>180 mA</v>
      </c>
      <c r="U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V580" t="b">
        <f ca="1">Validation[[#This Row],[Desired Result]]=Validation[[#This Row],[Result]]</f>
        <v>1</v>
      </c>
      <c r="W580" t="b">
        <v>1</v>
      </c>
      <c r="X580" t="b">
        <f>Validation[[#This Row],[Range1_Low]]&gt;=Validation[[#This Row],[Range1_High]]</f>
        <v>0</v>
      </c>
      <c r="Y580" s="111" t="s">
        <v>2843</v>
      </c>
    </row>
    <row r="581" spans="1:25" ht="16.5" thickTop="1" thickBot="1" x14ac:dyDescent="0.3">
      <c r="A581" t="s">
        <v>55</v>
      </c>
      <c r="B581" t="s">
        <v>47</v>
      </c>
      <c r="C581" s="113">
        <v>1E-3</v>
      </c>
      <c r="D581" s="113">
        <v>0.01</v>
      </c>
      <c r="E581">
        <v>1E-8</v>
      </c>
      <c r="F581" t="s">
        <v>13</v>
      </c>
      <c r="G581" t="s">
        <v>11</v>
      </c>
      <c r="H581">
        <v>1E-3</v>
      </c>
      <c r="I581">
        <v>0.02</v>
      </c>
      <c r="J581" t="s">
        <v>10</v>
      </c>
      <c r="K581">
        <v>2.5</v>
      </c>
      <c r="L581">
        <v>4600</v>
      </c>
      <c r="M581">
        <v>2.3096000000000001</v>
      </c>
      <c r="N581">
        <v>4618.8</v>
      </c>
      <c r="O581" t="s">
        <v>2833</v>
      </c>
      <c r="P581" t="s">
        <v>2833</v>
      </c>
      <c r="Q581" t="s">
        <v>2833</v>
      </c>
      <c r="R581">
        <f ca="1">RAND()*(Validation[[#This Row],[Range1_High]]-Validation[[#This Row],[Range1_Low]])+Validation[[#This Row],[Range1_Low]]</f>
        <v>2.6484602754836611E-3</v>
      </c>
      <c r="S581">
        <f>Validation[[#This Row],[Range2_High]]</f>
        <v>0.02</v>
      </c>
      <c r="T581" t="str" cm="1">
        <f t="array" aca="1" ref="T581" ca="1">RoundToTwoSigFigs(Validation[[#This Row],[Test Reading]]*Validation[[#This Row],[Mult]]+Validation[[#This Row],[Base]]) &amp;" "&amp;Validation[[#This Row],[Uncert_Units]]</f>
        <v>15 µA</v>
      </c>
      <c r="U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V581" t="b">
        <f ca="1">Validation[[#This Row],[Desired Result]]=Validation[[#This Row],[Result]]</f>
        <v>1</v>
      </c>
      <c r="W581" t="b">
        <v>1</v>
      </c>
      <c r="X581" t="b">
        <f>Validation[[#This Row],[Range1_Low]]&gt;=Validation[[#This Row],[Range1_High]]</f>
        <v>0</v>
      </c>
      <c r="Y581" s="111" t="s">
        <v>2843</v>
      </c>
    </row>
    <row r="582" spans="1:25" ht="16.5" thickTop="1" thickBot="1" x14ac:dyDescent="0.3">
      <c r="A582" t="s">
        <v>55</v>
      </c>
      <c r="B582" t="s">
        <v>47</v>
      </c>
      <c r="C582" s="113">
        <v>0.01</v>
      </c>
      <c r="D582" s="113">
        <v>0.1</v>
      </c>
      <c r="E582">
        <v>9.9999999999999995E-8</v>
      </c>
      <c r="F582" t="s">
        <v>13</v>
      </c>
      <c r="G582" t="s">
        <v>11</v>
      </c>
      <c r="H582">
        <v>1E-3</v>
      </c>
      <c r="I582">
        <v>0.02</v>
      </c>
      <c r="J582" t="s">
        <v>10</v>
      </c>
      <c r="K582">
        <v>25</v>
      </c>
      <c r="L582">
        <v>4600</v>
      </c>
      <c r="M582">
        <v>23.094999999999999</v>
      </c>
      <c r="N582">
        <v>4618.8</v>
      </c>
      <c r="O582" t="s">
        <v>2833</v>
      </c>
      <c r="P582" t="s">
        <v>2833</v>
      </c>
      <c r="Q582" t="s">
        <v>2833</v>
      </c>
      <c r="R582">
        <f ca="1">RAND()*(Validation[[#This Row],[Range1_High]]-Validation[[#This Row],[Range1_Low]])+Validation[[#This Row],[Range1_Low]]</f>
        <v>9.0325281401878635E-2</v>
      </c>
      <c r="S582">
        <f>Validation[[#This Row],[Range2_High]]</f>
        <v>0.02</v>
      </c>
      <c r="T582" t="str" cm="1">
        <f t="array" aca="1" ref="T582" ca="1">RoundToTwoSigFigs(Validation[[#This Row],[Test Reading]]*Validation[[#This Row],[Mult]]+Validation[[#This Row],[Base]]) &amp;" "&amp;Validation[[#This Row],[Uncert_Units]]</f>
        <v>440 µA</v>
      </c>
      <c r="U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µA</v>
      </c>
      <c r="V582" t="b">
        <f ca="1">Validation[[#This Row],[Desired Result]]=Validation[[#This Row],[Result]]</f>
        <v>1</v>
      </c>
      <c r="W582" t="b">
        <v>1</v>
      </c>
      <c r="X582" t="b">
        <f>Validation[[#This Row],[Range1_Low]]&gt;=Validation[[#This Row],[Range1_High]]</f>
        <v>0</v>
      </c>
      <c r="Y582" s="111" t="s">
        <v>2843</v>
      </c>
    </row>
    <row r="583" spans="1:25" ht="15.75" thickTop="1" x14ac:dyDescent="0.25">
      <c r="A583" t="s">
        <v>55</v>
      </c>
      <c r="B583" t="s">
        <v>47</v>
      </c>
      <c r="C583">
        <v>0.1</v>
      </c>
      <c r="D583">
        <v>1</v>
      </c>
      <c r="E583">
        <v>0.01</v>
      </c>
      <c r="F583" t="s">
        <v>13</v>
      </c>
      <c r="G583" t="s">
        <v>12</v>
      </c>
      <c r="H583">
        <v>20</v>
      </c>
      <c r="I583">
        <v>50</v>
      </c>
      <c r="J583" t="s">
        <v>10</v>
      </c>
      <c r="K583">
        <v>5.1677999999999997</v>
      </c>
      <c r="L583">
        <v>8.3948999999999998</v>
      </c>
      <c r="M583">
        <v>5.1615000000000002</v>
      </c>
      <c r="N583">
        <v>8.3731000000000009</v>
      </c>
      <c r="O583" t="s">
        <v>2833</v>
      </c>
      <c r="P583" t="s">
        <v>2833</v>
      </c>
      <c r="Q583" t="s">
        <v>2833</v>
      </c>
      <c r="R583">
        <f ca="1">RAND()*(Validation[[#This Row],[Range1_High]]-Validation[[#This Row],[Range1_Low]])+Validation[[#This Row],[Range1_Low]]</f>
        <v>0.72525973993503534</v>
      </c>
      <c r="S583">
        <f>Validation[[#This Row],[Range2_High]]</f>
        <v>50</v>
      </c>
      <c r="T583" t="str" cm="1">
        <f t="array" aca="1" ref="T583" ca="1">RoundToTwoSigFigs(Validation[[#This Row],[Test Reading]]*Validation[[#This Row],[Mult]]+Validation[[#This Row],[Base]]) &amp;" "&amp;Validation[[#This Row],[Uncert_Units]]</f>
        <v>11 mA</v>
      </c>
      <c r="U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V583" t="b">
        <f ca="1">Validation[[#This Row],[Desired Result]]=Validation[[#This Row],[Result]]</f>
        <v>1</v>
      </c>
      <c r="W583" t="b">
        <v>0</v>
      </c>
      <c r="X583" t="b">
        <f>Validation[[#This Row],[Range1_Low]]&gt;=Validation[[#This Row],[Range1_High]]</f>
        <v>0</v>
      </c>
      <c r="Y583" s="111" t="s">
        <v>2845</v>
      </c>
    </row>
    <row r="584" spans="1:25" ht="15.75" thickBot="1" x14ac:dyDescent="0.3">
      <c r="A584" t="s">
        <v>55</v>
      </c>
      <c r="B584" t="s">
        <v>47</v>
      </c>
      <c r="C584">
        <v>0</v>
      </c>
      <c r="D584">
        <v>1E-4</v>
      </c>
      <c r="E584">
        <v>1</v>
      </c>
      <c r="F584" t="s">
        <v>13</v>
      </c>
      <c r="G584" t="s">
        <v>11</v>
      </c>
      <c r="H584">
        <v>0.02</v>
      </c>
      <c r="I584">
        <v>4.4999999999999998E-2</v>
      </c>
      <c r="J584" t="s">
        <v>10</v>
      </c>
      <c r="K584">
        <v>577360</v>
      </c>
      <c r="L584">
        <v>7.5230000000000002E-3</v>
      </c>
      <c r="M584">
        <v>577360</v>
      </c>
      <c r="N584">
        <v>1.8174E-3</v>
      </c>
      <c r="O584" t="s">
        <v>2833</v>
      </c>
      <c r="P584" t="s">
        <v>2833</v>
      </c>
      <c r="Q584" t="s">
        <v>2833</v>
      </c>
      <c r="R584">
        <f ca="1">RAND()*(Validation[[#This Row],[Range1_High]]-Validation[[#This Row],[Range1_Low]])+Validation[[#This Row],[Range1_Low]]</f>
        <v>5.0769318407464397E-5</v>
      </c>
      <c r="S584">
        <f>Validation[[#This Row],[Range2_High]]</f>
        <v>4.4999999999999998E-2</v>
      </c>
      <c r="T584" t="str" cm="1">
        <f t="array" aca="1" ref="T584" ca="1">RoundToTwoSigFigs(Validation[[#This Row],[Test Reading]]*Validation[[#This Row],[Mult]]+Validation[[#This Row],[Base]]) &amp;" "&amp;Validation[[#This Row],[Uncert_Units]]</f>
        <v>580000 µA</v>
      </c>
      <c r="U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584" t="b">
        <f ca="1">Validation[[#This Row],[Desired Result]]=Validation[[#This Row],[Result]]</f>
        <v>1</v>
      </c>
      <c r="W584" t="b">
        <v>0</v>
      </c>
      <c r="X584" t="b">
        <f>Validation[[#This Row],[Range1_Low]]&gt;=Validation[[#This Row],[Range1_High]]</f>
        <v>0</v>
      </c>
      <c r="Y584" s="111" t="s">
        <v>2845</v>
      </c>
    </row>
    <row r="585" spans="1:25" ht="16.5" thickTop="1" thickBot="1" x14ac:dyDescent="0.3">
      <c r="A585" t="s">
        <v>54</v>
      </c>
      <c r="B585" t="s">
        <v>47</v>
      </c>
      <c r="C585" s="113">
        <v>0.33</v>
      </c>
      <c r="D585" s="113">
        <v>1.1000099999999999</v>
      </c>
      <c r="E585">
        <v>1E-3</v>
      </c>
      <c r="F585" t="s">
        <v>13</v>
      </c>
      <c r="G585" t="s">
        <v>12</v>
      </c>
      <c r="H585">
        <v>5</v>
      </c>
      <c r="I585">
        <v>10</v>
      </c>
      <c r="J585" t="s">
        <v>10</v>
      </c>
      <c r="K585">
        <v>5.8</v>
      </c>
      <c r="L585">
        <v>29</v>
      </c>
      <c r="M585">
        <v>5.7873999999999999</v>
      </c>
      <c r="N585">
        <v>28.859000000000002</v>
      </c>
      <c r="O585" t="s">
        <v>2833</v>
      </c>
      <c r="P585" t="s">
        <v>2833</v>
      </c>
      <c r="Q585" t="s">
        <v>2833</v>
      </c>
      <c r="R585">
        <f ca="1">RAND()*(Validation[[#This Row],[Range1_High]]-Validation[[#This Row],[Range1_Low]])+Validation[[#This Row],[Range1_Low]]</f>
        <v>0.43342025582539639</v>
      </c>
      <c r="S585">
        <f>Validation[[#This Row],[Range2_High]]</f>
        <v>10</v>
      </c>
      <c r="T585" t="str" cm="1">
        <f t="array" aca="1" ref="T585" ca="1">RoundToTwoSigFigs(Validation[[#This Row],[Test Reading]]*Validation[[#This Row],[Mult]]+Validation[[#This Row],[Base]]) &amp;" "&amp;Validation[[#This Row],[Uncert_Units]]</f>
        <v>18 mA</v>
      </c>
      <c r="U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V585" t="b">
        <f ca="1">Validation[[#This Row],[Desired Result]]=Validation[[#This Row],[Result]]</f>
        <v>1</v>
      </c>
      <c r="W585" t="b">
        <v>1</v>
      </c>
      <c r="X585" t="b">
        <f>Validation[[#This Row],[Range1_Low]]&gt;=Validation[[#This Row],[Range1_High]]</f>
        <v>0</v>
      </c>
      <c r="Y585" s="111" t="s">
        <v>2843</v>
      </c>
    </row>
    <row r="586" spans="1:25" ht="16.5" thickTop="1" thickBot="1" x14ac:dyDescent="0.3">
      <c r="A586" t="s">
        <v>54</v>
      </c>
      <c r="B586" t="s">
        <v>47</v>
      </c>
      <c r="C586">
        <v>0</v>
      </c>
      <c r="D586">
        <v>3.3000999999999999E-4</v>
      </c>
      <c r="E586">
        <v>10</v>
      </c>
      <c r="F586" t="s">
        <v>13</v>
      </c>
      <c r="G586" t="s">
        <v>11</v>
      </c>
      <c r="H586">
        <v>10</v>
      </c>
      <c r="I586">
        <v>30</v>
      </c>
      <c r="J586" t="s">
        <v>10</v>
      </c>
      <c r="K586">
        <v>5773600</v>
      </c>
      <c r="L586">
        <v>1.6888E-2</v>
      </c>
      <c r="M586">
        <v>5773600</v>
      </c>
      <c r="N586">
        <v>1.2089000000000001E-2</v>
      </c>
      <c r="O586" t="s">
        <v>2833</v>
      </c>
      <c r="P586" t="s">
        <v>2833</v>
      </c>
      <c r="Q586" t="s">
        <v>2833</v>
      </c>
      <c r="R586">
        <f ca="1">RAND()*(Validation[[#This Row],[Range1_High]]-Validation[[#This Row],[Range1_Low]])+Validation[[#This Row],[Range1_Low]]</f>
        <v>1.7653421507047795E-4</v>
      </c>
      <c r="S586">
        <f>Validation[[#This Row],[Range2_High]]</f>
        <v>30</v>
      </c>
      <c r="T586" t="str" cm="1">
        <f t="array" aca="1" ref="T586" ca="1">RoundToTwoSigFigs(Validation[[#This Row],[Test Reading]]*Validation[[#This Row],[Mult]]+Validation[[#This Row],[Base]]) &amp;" "&amp;Validation[[#This Row],[Uncert_Units]]</f>
        <v>5800000 µA</v>
      </c>
      <c r="U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V586" t="b">
        <f ca="1">Validation[[#This Row],[Desired Result]]=Validation[[#This Row],[Result]]</f>
        <v>1</v>
      </c>
      <c r="W586" t="b">
        <v>0</v>
      </c>
      <c r="X586" t="b">
        <f>Validation[[#This Row],[Range1_Low]]&gt;=Validation[[#This Row],[Range1_High]]</f>
        <v>0</v>
      </c>
      <c r="Y586" s="111" t="s">
        <v>2845</v>
      </c>
    </row>
    <row r="587" spans="1:25" ht="16.5" thickTop="1" thickBot="1" x14ac:dyDescent="0.3">
      <c r="A587" t="s">
        <v>55</v>
      </c>
      <c r="B587" t="s">
        <v>47</v>
      </c>
      <c r="C587" s="113">
        <v>0.01</v>
      </c>
      <c r="D587" s="113">
        <v>0.1</v>
      </c>
      <c r="E587">
        <v>9.9999999999999995E-8</v>
      </c>
      <c r="F587" t="s">
        <v>13</v>
      </c>
      <c r="G587" t="s">
        <v>11</v>
      </c>
      <c r="H587">
        <v>0.02</v>
      </c>
      <c r="I587">
        <v>4.4999999999999998E-2</v>
      </c>
      <c r="J587" t="s">
        <v>10</v>
      </c>
      <c r="K587">
        <v>27</v>
      </c>
      <c r="L587">
        <v>1700</v>
      </c>
      <c r="M587">
        <v>23.094999999999999</v>
      </c>
      <c r="N587">
        <v>1732.1</v>
      </c>
      <c r="O587" t="s">
        <v>2833</v>
      </c>
      <c r="P587" t="s">
        <v>2833</v>
      </c>
      <c r="Q587" t="s">
        <v>2833</v>
      </c>
      <c r="R587">
        <f ca="1">RAND()*(Validation[[#This Row],[Range1_High]]-Validation[[#This Row],[Range1_Low]])+Validation[[#This Row],[Range1_Low]]</f>
        <v>3.4294880734262734E-2</v>
      </c>
      <c r="S587">
        <f>Validation[[#This Row],[Range2_High]]</f>
        <v>4.4999999999999998E-2</v>
      </c>
      <c r="T587" t="str" cm="1">
        <f t="array" aca="1" ref="T587" ca="1">RoundToTwoSigFigs(Validation[[#This Row],[Test Reading]]*Validation[[#This Row],[Mult]]+Validation[[#This Row],[Base]]) &amp;" "&amp;Validation[[#This Row],[Uncert_Units]]</f>
        <v>85 µA</v>
      </c>
      <c r="U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µA</v>
      </c>
      <c r="V587" t="b">
        <f ca="1">Validation[[#This Row],[Desired Result]]=Validation[[#This Row],[Result]]</f>
        <v>1</v>
      </c>
      <c r="W587" t="b">
        <v>1</v>
      </c>
      <c r="X587" t="b">
        <f>Validation[[#This Row],[Range1_Low]]&gt;=Validation[[#This Row],[Range1_High]]</f>
        <v>0</v>
      </c>
      <c r="Y587" s="111" t="s">
        <v>2843</v>
      </c>
    </row>
    <row r="588" spans="1:25" ht="16.5" thickTop="1" thickBot="1" x14ac:dyDescent="0.3">
      <c r="A588" t="s">
        <v>55</v>
      </c>
      <c r="B588" t="s">
        <v>47</v>
      </c>
      <c r="C588">
        <v>1E-4</v>
      </c>
      <c r="D588">
        <v>1E-3</v>
      </c>
      <c r="E588">
        <v>1.0000000000000001E-9</v>
      </c>
      <c r="F588" t="s">
        <v>13</v>
      </c>
      <c r="G588" t="s">
        <v>11</v>
      </c>
      <c r="H588">
        <v>20</v>
      </c>
      <c r="I588">
        <v>50</v>
      </c>
      <c r="J588" t="s">
        <v>10</v>
      </c>
      <c r="K588">
        <v>0.47</v>
      </c>
      <c r="L588">
        <v>4761.6000000000004</v>
      </c>
      <c r="M588">
        <v>0.46636</v>
      </c>
      <c r="N588">
        <v>4761.6000000000004</v>
      </c>
      <c r="O588" t="s">
        <v>2833</v>
      </c>
      <c r="P588" t="s">
        <v>2833</v>
      </c>
      <c r="Q588" t="s">
        <v>2833</v>
      </c>
      <c r="R588">
        <f ca="1">RAND()*(Validation[[#This Row],[Range1_High]]-Validation[[#This Row],[Range1_Low]])+Validation[[#This Row],[Range1_Low]]</f>
        <v>2.8447945965705496E-4</v>
      </c>
      <c r="S588">
        <f>Validation[[#This Row],[Range2_High]]</f>
        <v>50</v>
      </c>
      <c r="T588" t="str" cm="1">
        <f t="array" aca="1" ref="T588" ca="1">RoundToTwoSigFigs(Validation[[#This Row],[Test Reading]]*Validation[[#This Row],[Mult]]+Validation[[#This Row],[Base]]) &amp;" "&amp;Validation[[#This Row],[Uncert_Units]]</f>
        <v>1.8 µA</v>
      </c>
      <c r="U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V588" t="b">
        <f ca="1">Validation[[#This Row],[Desired Result]]=Validation[[#This Row],[Result]]</f>
        <v>0</v>
      </c>
      <c r="W588" t="b">
        <v>1</v>
      </c>
      <c r="X588" t="b">
        <f>Validation[[#This Row],[Range1_Low]]&gt;=Validation[[#This Row],[Range1_High]]</f>
        <v>0</v>
      </c>
      <c r="Y588" s="111" t="s">
        <v>2845</v>
      </c>
    </row>
    <row r="589" spans="1:25" ht="16.5" thickTop="1" thickBot="1" x14ac:dyDescent="0.3">
      <c r="A589" t="s">
        <v>55</v>
      </c>
      <c r="B589" t="s">
        <v>47</v>
      </c>
      <c r="C589" s="113">
        <v>0.01</v>
      </c>
      <c r="D589" s="113">
        <v>0.1</v>
      </c>
      <c r="E589">
        <v>9.9999999999999995E-7</v>
      </c>
      <c r="F589" t="s">
        <v>13</v>
      </c>
      <c r="G589" t="s">
        <v>11</v>
      </c>
      <c r="H589">
        <v>5</v>
      </c>
      <c r="I589">
        <v>20</v>
      </c>
      <c r="J589" t="s">
        <v>10</v>
      </c>
      <c r="K589">
        <v>25</v>
      </c>
      <c r="L589">
        <v>712.1</v>
      </c>
      <c r="M589">
        <v>22.9</v>
      </c>
      <c r="N589">
        <v>721.62</v>
      </c>
      <c r="O589" t="s">
        <v>2833</v>
      </c>
      <c r="P589" t="s">
        <v>2833</v>
      </c>
      <c r="Q589" t="s">
        <v>2833</v>
      </c>
      <c r="R589">
        <f ca="1">RAND()*(Validation[[#This Row],[Range1_High]]-Validation[[#This Row],[Range1_Low]])+Validation[[#This Row],[Range1_Low]]</f>
        <v>5.8249232740113351E-2</v>
      </c>
      <c r="S589">
        <f>Validation[[#This Row],[Range2_High]]</f>
        <v>20</v>
      </c>
      <c r="T589" t="str" cm="1">
        <f t="array" aca="1" ref="T589" ca="1">RoundToTwoSigFigs(Validation[[#This Row],[Test Reading]]*Validation[[#This Row],[Mult]]+Validation[[#This Row],[Base]]) &amp;" "&amp;Validation[[#This Row],[Uncert_Units]]</f>
        <v>66 µA</v>
      </c>
      <c r="U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µA</v>
      </c>
      <c r="V589" t="b">
        <f ca="1">Validation[[#This Row],[Desired Result]]=Validation[[#This Row],[Result]]</f>
        <v>0</v>
      </c>
      <c r="W589" t="b">
        <v>1</v>
      </c>
      <c r="X589" t="b">
        <f>Validation[[#This Row],[Range1_Low]]&gt;=Validation[[#This Row],[Range1_High]]</f>
        <v>0</v>
      </c>
      <c r="Y589" s="111" t="s">
        <v>2843</v>
      </c>
    </row>
    <row r="590" spans="1:25" ht="16.5" thickTop="1" thickBot="1" x14ac:dyDescent="0.3">
      <c r="A590" t="s">
        <v>55</v>
      </c>
      <c r="B590" t="s">
        <v>47</v>
      </c>
      <c r="C590" s="113">
        <v>0.1</v>
      </c>
      <c r="D590" s="113">
        <v>1</v>
      </c>
      <c r="E590">
        <v>9.9999999999999995E-7</v>
      </c>
      <c r="F590" t="s">
        <v>13</v>
      </c>
      <c r="G590" t="s">
        <v>12</v>
      </c>
      <c r="H590">
        <v>0.1</v>
      </c>
      <c r="I590">
        <v>5</v>
      </c>
      <c r="J590" t="s">
        <v>10</v>
      </c>
      <c r="K590">
        <v>0.24</v>
      </c>
      <c r="L590">
        <v>1.2</v>
      </c>
      <c r="M590">
        <v>0.22816</v>
      </c>
      <c r="N590">
        <v>1.1855</v>
      </c>
      <c r="O590" t="s">
        <v>2833</v>
      </c>
      <c r="P590" t="s">
        <v>2833</v>
      </c>
      <c r="Q590" t="s">
        <v>2833</v>
      </c>
      <c r="R590">
        <f ca="1">RAND()*(Validation[[#This Row],[Range1_High]]-Validation[[#This Row],[Range1_Low]])+Validation[[#This Row],[Range1_Low]]</f>
        <v>0.4520811779337397</v>
      </c>
      <c r="S590">
        <f>Validation[[#This Row],[Range2_High]]</f>
        <v>5</v>
      </c>
      <c r="T590" t="str" cm="1">
        <f t="array" aca="1" ref="T590" ca="1">RoundToTwoSigFigs(Validation[[#This Row],[Test Reading]]*Validation[[#This Row],[Mult]]+Validation[[#This Row],[Base]]) &amp;" "&amp;Validation[[#This Row],[Uncert_Units]]</f>
        <v>0.78 mA</v>
      </c>
      <c r="U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V590" t="b">
        <f ca="1">Validation[[#This Row],[Desired Result]]=Validation[[#This Row],[Result]]</f>
        <v>0</v>
      </c>
      <c r="W590" t="b">
        <v>1</v>
      </c>
      <c r="X590" t="b">
        <f>Validation[[#This Row],[Range1_Low]]&gt;=Validation[[#This Row],[Range1_High]]</f>
        <v>0</v>
      </c>
      <c r="Y590" s="111" t="s">
        <v>2843</v>
      </c>
    </row>
    <row r="591" spans="1:25" ht="16.5" thickTop="1" thickBot="1" x14ac:dyDescent="0.3">
      <c r="A591" t="s">
        <v>55</v>
      </c>
      <c r="B591" t="s">
        <v>47</v>
      </c>
      <c r="C591" s="113">
        <v>1E-3</v>
      </c>
      <c r="D591" s="113">
        <v>0.01</v>
      </c>
      <c r="E591">
        <v>9.9999999999999995E-8</v>
      </c>
      <c r="F591" t="s">
        <v>13</v>
      </c>
      <c r="G591" t="s">
        <v>11</v>
      </c>
      <c r="H591">
        <v>5</v>
      </c>
      <c r="I591">
        <v>20</v>
      </c>
      <c r="J591" t="s">
        <v>10</v>
      </c>
      <c r="K591">
        <v>2.5</v>
      </c>
      <c r="L591">
        <v>712.46</v>
      </c>
      <c r="M591">
        <v>2.2904</v>
      </c>
      <c r="N591">
        <v>721.65</v>
      </c>
      <c r="O591" t="s">
        <v>2833</v>
      </c>
      <c r="P591" t="s">
        <v>2833</v>
      </c>
      <c r="Q591" t="s">
        <v>2833</v>
      </c>
      <c r="R591">
        <f ca="1">RAND()*(Validation[[#This Row],[Range1_High]]-Validation[[#This Row],[Range1_Low]])+Validation[[#This Row],[Range1_Low]]</f>
        <v>8.1814852686544239E-3</v>
      </c>
      <c r="S591">
        <f>Validation[[#This Row],[Range2_High]]</f>
        <v>20</v>
      </c>
      <c r="T591" t="str" cm="1">
        <f t="array" aca="1" ref="T591" ca="1">RoundToTwoSigFigs(Validation[[#This Row],[Test Reading]]*Validation[[#This Row],[Mult]]+Validation[[#This Row],[Base]]) &amp;" "&amp;Validation[[#This Row],[Uncert_Units]]</f>
        <v>8.3 µA</v>
      </c>
      <c r="U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µA</v>
      </c>
      <c r="V591" t="b">
        <f ca="1">Validation[[#This Row],[Desired Result]]=Validation[[#This Row],[Result]]</f>
        <v>0</v>
      </c>
      <c r="W591" t="b">
        <v>1</v>
      </c>
      <c r="X591" t="b">
        <f>Validation[[#This Row],[Range1_Low]]&gt;=Validation[[#This Row],[Range1_High]]</f>
        <v>0</v>
      </c>
      <c r="Y591" s="111" t="s">
        <v>2843</v>
      </c>
    </row>
    <row r="592" spans="1:25" ht="16.5" thickTop="1" thickBot="1" x14ac:dyDescent="0.3">
      <c r="A592" t="s">
        <v>54</v>
      </c>
      <c r="B592" t="s">
        <v>47</v>
      </c>
      <c r="C592" s="113">
        <v>11</v>
      </c>
      <c r="D592" s="113">
        <v>20.501000000000001</v>
      </c>
      <c r="E592">
        <v>1E-4</v>
      </c>
      <c r="F592" t="s">
        <v>13</v>
      </c>
      <c r="G592" t="s">
        <v>12</v>
      </c>
      <c r="H592">
        <v>0.1</v>
      </c>
      <c r="I592">
        <v>1.0000100000000001</v>
      </c>
      <c r="J592" t="s">
        <v>10</v>
      </c>
      <c r="K592">
        <v>6.5</v>
      </c>
      <c r="L592">
        <v>1.7</v>
      </c>
      <c r="M592">
        <v>5.7754000000000003</v>
      </c>
      <c r="N592">
        <v>1.7323999999999999</v>
      </c>
      <c r="O592" t="s">
        <v>2833</v>
      </c>
      <c r="P592" t="s">
        <v>2833</v>
      </c>
      <c r="Q592" t="s">
        <v>2833</v>
      </c>
      <c r="R592">
        <f ca="1">RAND()*(Validation[[#This Row],[Range1_High]]-Validation[[#This Row],[Range1_Low]])+Validation[[#This Row],[Range1_Low]]</f>
        <v>13.671678712379578</v>
      </c>
      <c r="S592">
        <f>Validation[[#This Row],[Range2_High]]</f>
        <v>1.0000100000000001</v>
      </c>
      <c r="T592" t="str" cm="1">
        <f t="array" aca="1" ref="T592" ca="1">RoundToTwoSigFigs(Validation[[#This Row],[Test Reading]]*Validation[[#This Row],[Mult]]+Validation[[#This Row],[Base]]) &amp;" "&amp;Validation[[#This Row],[Uncert_Units]]</f>
        <v>30 mA</v>
      </c>
      <c r="U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V592" t="b">
        <f ca="1">Validation[[#This Row],[Desired Result]]=Validation[[#This Row],[Result]]</f>
        <v>0</v>
      </c>
      <c r="W592" t="b">
        <v>1</v>
      </c>
      <c r="X592" t="b">
        <f>Validation[[#This Row],[Range1_Low]]&gt;=Validation[[#This Row],[Range1_High]]</f>
        <v>0</v>
      </c>
      <c r="Y592" s="111" t="s">
        <v>2843</v>
      </c>
    </row>
    <row r="593" spans="1:25" ht="15.75" thickTop="1" x14ac:dyDescent="0.25">
      <c r="A593" t="s">
        <v>54</v>
      </c>
      <c r="B593" t="s">
        <v>47</v>
      </c>
      <c r="C593">
        <v>0</v>
      </c>
      <c r="D593">
        <v>3.3000999999999999E-4</v>
      </c>
      <c r="E593">
        <v>9.9999999999999995E-8</v>
      </c>
      <c r="F593" t="s">
        <v>13</v>
      </c>
      <c r="G593" t="s">
        <v>11</v>
      </c>
      <c r="H593">
        <v>0.01</v>
      </c>
      <c r="I593">
        <v>2.001E-2</v>
      </c>
      <c r="J593" t="s">
        <v>10</v>
      </c>
      <c r="K593">
        <v>0.13</v>
      </c>
      <c r="L593">
        <v>2300</v>
      </c>
      <c r="M593">
        <v>0.12522</v>
      </c>
      <c r="N593">
        <v>2290.9</v>
      </c>
      <c r="O593" t="s">
        <v>2833</v>
      </c>
      <c r="P593" t="s">
        <v>2833</v>
      </c>
      <c r="Q593" t="s">
        <v>2833</v>
      </c>
      <c r="R593">
        <f ca="1">RAND()*(Validation[[#This Row],[Range1_High]]-Validation[[#This Row],[Range1_Low]])+Validation[[#This Row],[Range1_Low]]</f>
        <v>2.2036867749652183E-4</v>
      </c>
      <c r="S593">
        <f>Validation[[#This Row],[Range2_High]]</f>
        <v>2.001E-2</v>
      </c>
      <c r="T593" t="str" cm="1">
        <f t="array" aca="1" ref="T593" ca="1">RoundToTwoSigFigs(Validation[[#This Row],[Test Reading]]*Validation[[#This Row],[Mult]]+Validation[[#This Row],[Base]]) &amp;" "&amp;Validation[[#This Row],[Uncert_Units]]</f>
        <v>0.64 µA</v>
      </c>
      <c r="U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V593" t="b">
        <f ca="1">Validation[[#This Row],[Desired Result]]=Validation[[#This Row],[Result]]</f>
        <v>0</v>
      </c>
      <c r="W593" t="b">
        <v>1</v>
      </c>
      <c r="X593" t="b">
        <f>Validation[[#This Row],[Range1_Low]]&gt;=Validation[[#This Row],[Range1_High]]</f>
        <v>0</v>
      </c>
      <c r="Y593" s="111" t="s">
        <v>2845</v>
      </c>
    </row>
    <row r="594" spans="1:25" x14ac:dyDescent="0.25">
      <c r="A594" t="s">
        <v>68</v>
      </c>
      <c r="B594" t="s">
        <v>47</v>
      </c>
      <c r="C594">
        <v>1.0000000000000001E-5</v>
      </c>
      <c r="D594">
        <v>1.0399999999999999E-4</v>
      </c>
      <c r="E594">
        <v>1.0000000000000001E-9</v>
      </c>
      <c r="F594" t="s">
        <v>13</v>
      </c>
      <c r="G594" t="s">
        <v>11</v>
      </c>
      <c r="H594">
        <v>0.01</v>
      </c>
      <c r="I594">
        <v>2</v>
      </c>
      <c r="J594" t="s">
        <v>10</v>
      </c>
      <c r="K594">
        <v>0.47</v>
      </c>
      <c r="L594">
        <v>1200</v>
      </c>
      <c r="M594">
        <v>0.46304000000000001</v>
      </c>
      <c r="N594">
        <v>1233.9000000000001</v>
      </c>
      <c r="O594" t="s">
        <v>2833</v>
      </c>
      <c r="P594" t="s">
        <v>2833</v>
      </c>
      <c r="Q594" t="s">
        <v>2833</v>
      </c>
      <c r="R594">
        <f ca="1">RAND()*(Validation[[#This Row],[Range1_High]]-Validation[[#This Row],[Range1_Low]])+Validation[[#This Row],[Range1_Low]]</f>
        <v>3.5239432740337134E-5</v>
      </c>
      <c r="S594">
        <f>Validation[[#This Row],[Range2_High]]</f>
        <v>2</v>
      </c>
      <c r="T594" t="str" cm="1">
        <f t="array" aca="1" ref="T594" ca="1">RoundToTwoSigFigs(Validation[[#This Row],[Test Reading]]*Validation[[#This Row],[Mult]]+Validation[[#This Row],[Base]]) &amp;" "&amp;Validation[[#This Row],[Uncert_Units]]</f>
        <v>0.51 µA</v>
      </c>
      <c r="U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V594" t="b">
        <f ca="1">Validation[[#This Row],[Desired Result]]=Validation[[#This Row],[Result]]</f>
        <v>1</v>
      </c>
      <c r="W594" t="b">
        <v>0</v>
      </c>
      <c r="X594" t="b">
        <f>Validation[[#This Row],[Range1_Low]]&gt;=Validation[[#This Row],[Range1_High]]</f>
        <v>0</v>
      </c>
      <c r="Y594" s="111" t="s">
        <v>2845</v>
      </c>
    </row>
    <row r="595" spans="1:25" ht="15.75" thickBot="1" x14ac:dyDescent="0.3">
      <c r="A595" t="s">
        <v>54</v>
      </c>
      <c r="B595" t="s">
        <v>47</v>
      </c>
      <c r="C595">
        <v>0.33</v>
      </c>
      <c r="D595">
        <v>1.1000099999999999</v>
      </c>
      <c r="E595">
        <v>0.01</v>
      </c>
      <c r="F595" t="s">
        <v>13</v>
      </c>
      <c r="G595" t="s">
        <v>12</v>
      </c>
      <c r="H595">
        <v>4.4999999999999998E-2</v>
      </c>
      <c r="I595">
        <v>1.0000100000000001</v>
      </c>
      <c r="J595" t="s">
        <v>10</v>
      </c>
      <c r="K595">
        <v>5.7643000000000004</v>
      </c>
      <c r="L595">
        <v>5.3023000000000001E-2</v>
      </c>
      <c r="M595">
        <v>5.7643000000000004</v>
      </c>
      <c r="N595">
        <v>5.2760000000000001E-2</v>
      </c>
      <c r="O595" t="s">
        <v>2833</v>
      </c>
      <c r="P595" t="s">
        <v>2833</v>
      </c>
      <c r="Q595" t="s">
        <v>2833</v>
      </c>
      <c r="R595">
        <f ca="1">RAND()*(Validation[[#This Row],[Range1_High]]-Validation[[#This Row],[Range1_Low]])+Validation[[#This Row],[Range1_Low]]</f>
        <v>0.77030658979027966</v>
      </c>
      <c r="S595">
        <f>Validation[[#This Row],[Range2_High]]</f>
        <v>1.0000100000000001</v>
      </c>
      <c r="T595" t="str" cm="1">
        <f t="array" aca="1" ref="T595" ca="1">RoundToTwoSigFigs(Validation[[#This Row],[Test Reading]]*Validation[[#This Row],[Mult]]+Validation[[#This Row],[Base]]) &amp;" "&amp;Validation[[#This Row],[Uncert_Units]]</f>
        <v>5.8 mA</v>
      </c>
      <c r="U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595" t="b">
        <f ca="1">Validation[[#This Row],[Desired Result]]=Validation[[#This Row],[Result]]</f>
        <v>1</v>
      </c>
      <c r="W595" t="b">
        <v>0</v>
      </c>
      <c r="X595" t="b">
        <f>Validation[[#This Row],[Range1_Low]]&gt;=Validation[[#This Row],[Range1_High]]</f>
        <v>0</v>
      </c>
      <c r="Y595" s="111" t="s">
        <v>2845</v>
      </c>
    </row>
    <row r="596" spans="1:25" ht="16.5" thickTop="1" thickBot="1" x14ac:dyDescent="0.3">
      <c r="A596" t="s">
        <v>54</v>
      </c>
      <c r="B596" t="s">
        <v>47</v>
      </c>
      <c r="C596" s="113">
        <v>3</v>
      </c>
      <c r="D596" s="113">
        <v>11.000999999999999</v>
      </c>
      <c r="E596">
        <v>1E-4</v>
      </c>
      <c r="F596" t="s">
        <v>13</v>
      </c>
      <c r="G596" t="s">
        <v>12</v>
      </c>
      <c r="H596">
        <v>1</v>
      </c>
      <c r="I596">
        <v>5</v>
      </c>
      <c r="J596" t="s">
        <v>10</v>
      </c>
      <c r="K596">
        <v>2.5</v>
      </c>
      <c r="L596">
        <v>35</v>
      </c>
      <c r="M596">
        <v>2.3102999999999998</v>
      </c>
      <c r="N596">
        <v>34.640999999999998</v>
      </c>
      <c r="O596" t="s">
        <v>2833</v>
      </c>
      <c r="P596" t="s">
        <v>2833</v>
      </c>
      <c r="Q596" t="s">
        <v>2833</v>
      </c>
      <c r="R596">
        <f ca="1">RAND()*(Validation[[#This Row],[Range1_High]]-Validation[[#This Row],[Range1_Low]])+Validation[[#This Row],[Range1_Low]]</f>
        <v>3.7937692202134814</v>
      </c>
      <c r="S596">
        <f>Validation[[#This Row],[Range2_High]]</f>
        <v>5</v>
      </c>
      <c r="T596" t="str" cm="1">
        <f t="array" aca="1" ref="T596" ca="1">RoundToTwoSigFigs(Validation[[#This Row],[Test Reading]]*Validation[[#This Row],[Mult]]+Validation[[#This Row],[Base]]) &amp;" "&amp;Validation[[#This Row],[Uncert_Units]]</f>
        <v>140 mA</v>
      </c>
      <c r="U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V596" t="b">
        <f ca="1">Validation[[#This Row],[Desired Result]]=Validation[[#This Row],[Result]]</f>
        <v>1</v>
      </c>
      <c r="W596" t="b">
        <v>1</v>
      </c>
      <c r="X596" t="b">
        <f>Validation[[#This Row],[Range1_Low]]&gt;=Validation[[#This Row],[Range1_High]]</f>
        <v>0</v>
      </c>
      <c r="Y596" s="111" t="s">
        <v>2843</v>
      </c>
    </row>
    <row r="597" spans="1:25" ht="16.5" thickTop="1" thickBot="1" x14ac:dyDescent="0.3">
      <c r="A597" t="s">
        <v>55</v>
      </c>
      <c r="B597" t="s">
        <v>47</v>
      </c>
      <c r="C597" s="113">
        <v>1</v>
      </c>
      <c r="D597" s="113">
        <v>10</v>
      </c>
      <c r="E597">
        <v>1E-3</v>
      </c>
      <c r="F597" t="s">
        <v>13</v>
      </c>
      <c r="G597" t="s">
        <v>12</v>
      </c>
      <c r="H597">
        <v>1</v>
      </c>
      <c r="I597">
        <v>5</v>
      </c>
      <c r="J597" t="s">
        <v>10</v>
      </c>
      <c r="K597">
        <v>1.4676</v>
      </c>
      <c r="L597">
        <v>0.64571999999999996</v>
      </c>
      <c r="M597">
        <v>1.4594</v>
      </c>
      <c r="N597">
        <v>0.64664999999999995</v>
      </c>
      <c r="O597" t="s">
        <v>2833</v>
      </c>
      <c r="P597" t="s">
        <v>2833</v>
      </c>
      <c r="Q597" t="s">
        <v>2833</v>
      </c>
      <c r="R597">
        <f ca="1">RAND()*(Validation[[#This Row],[Range1_High]]-Validation[[#This Row],[Range1_Low]])+Validation[[#This Row],[Range1_Low]]</f>
        <v>3.3623297973825377</v>
      </c>
      <c r="S597">
        <f>Validation[[#This Row],[Range2_High]]</f>
        <v>5</v>
      </c>
      <c r="T597" t="str" cm="1">
        <f t="array" aca="1" ref="T597" ca="1">RoundToTwoSigFigs(Validation[[#This Row],[Test Reading]]*Validation[[#This Row],[Mult]]+Validation[[#This Row],[Base]]) &amp;" "&amp;Validation[[#This Row],[Uncert_Units]]</f>
        <v>3.6 mA</v>
      </c>
      <c r="U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mA</v>
      </c>
      <c r="V597" t="b">
        <f ca="1">Validation[[#This Row],[Desired Result]]=Validation[[#This Row],[Result]]</f>
        <v>1</v>
      </c>
      <c r="W597" t="b">
        <v>1</v>
      </c>
      <c r="X597" t="b">
        <f>Validation[[#This Row],[Range1_Low]]&gt;=Validation[[#This Row],[Range1_High]]</f>
        <v>0</v>
      </c>
      <c r="Y597" s="111" t="s">
        <v>2843</v>
      </c>
    </row>
    <row r="598" spans="1:25" ht="16.5" thickTop="1" thickBot="1" x14ac:dyDescent="0.3">
      <c r="A598" t="s">
        <v>54</v>
      </c>
      <c r="B598" t="s">
        <v>47</v>
      </c>
      <c r="C598" s="113">
        <v>3.3000000000000002E-2</v>
      </c>
      <c r="D598" s="113">
        <v>0.33001000000000003</v>
      </c>
      <c r="E598">
        <v>1E-4</v>
      </c>
      <c r="F598" t="s">
        <v>13</v>
      </c>
      <c r="G598" t="s">
        <v>12</v>
      </c>
      <c r="H598">
        <v>5</v>
      </c>
      <c r="I598">
        <v>10.01</v>
      </c>
      <c r="J598" t="s">
        <v>10</v>
      </c>
      <c r="K598">
        <v>0.12471</v>
      </c>
      <c r="L598">
        <v>2.2890999999999999</v>
      </c>
      <c r="M598">
        <v>0.12466000000000001</v>
      </c>
      <c r="N598">
        <v>2.2892000000000001</v>
      </c>
      <c r="O598" t="s">
        <v>2833</v>
      </c>
      <c r="P598" t="s">
        <v>2833</v>
      </c>
      <c r="Q598" t="s">
        <v>2833</v>
      </c>
      <c r="R598">
        <f ca="1">RAND()*(Validation[[#This Row],[Range1_High]]-Validation[[#This Row],[Range1_Low]])+Validation[[#This Row],[Range1_Low]]</f>
        <v>0.27200174525787268</v>
      </c>
      <c r="S598">
        <f>Validation[[#This Row],[Range2_High]]</f>
        <v>10.01</v>
      </c>
      <c r="T598" t="str" cm="1">
        <f t="array" aca="1" ref="T598" ca="1">RoundToTwoSigFigs(Validation[[#This Row],[Test Reading]]*Validation[[#This Row],[Mult]]+Validation[[#This Row],[Base]]) &amp;" "&amp;Validation[[#This Row],[Uncert_Units]]</f>
        <v>0.75 mA</v>
      </c>
      <c r="U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V598" t="b">
        <f ca="1">Validation[[#This Row],[Desired Result]]=Validation[[#This Row],[Result]]</f>
        <v>0</v>
      </c>
      <c r="W598" t="b">
        <v>1</v>
      </c>
      <c r="X598" t="b">
        <f>Validation[[#This Row],[Range1_Low]]&gt;=Validation[[#This Row],[Range1_High]]</f>
        <v>0</v>
      </c>
      <c r="Y598" s="111" t="s">
        <v>2843</v>
      </c>
    </row>
    <row r="599" spans="1:25" ht="16.5" thickTop="1" thickBot="1" x14ac:dyDescent="0.3">
      <c r="A599" t="s">
        <v>54</v>
      </c>
      <c r="B599" t="s">
        <v>47</v>
      </c>
      <c r="C599">
        <v>11</v>
      </c>
      <c r="D599">
        <v>20.501000000000001</v>
      </c>
      <c r="E599">
        <v>1</v>
      </c>
      <c r="F599" t="s">
        <v>13</v>
      </c>
      <c r="G599" t="s">
        <v>12</v>
      </c>
      <c r="H599">
        <v>4.4999999999999998E-2</v>
      </c>
      <c r="I599">
        <v>0.10001</v>
      </c>
      <c r="J599" t="s">
        <v>10</v>
      </c>
      <c r="K599">
        <v>579.65</v>
      </c>
      <c r="L599">
        <v>6.9317000000000004E-2</v>
      </c>
      <c r="M599">
        <v>579.66</v>
      </c>
      <c r="N599">
        <v>6.5887000000000001E-2</v>
      </c>
      <c r="O599" t="s">
        <v>2833</v>
      </c>
      <c r="P599" t="s">
        <v>2833</v>
      </c>
      <c r="Q599" t="s">
        <v>2833</v>
      </c>
      <c r="R599">
        <f ca="1">RAND()*(Validation[[#This Row],[Range1_High]]-Validation[[#This Row],[Range1_Low]])+Validation[[#This Row],[Range1_Low]]</f>
        <v>18.925310890167488</v>
      </c>
      <c r="S599">
        <f>Validation[[#This Row],[Range2_High]]</f>
        <v>0.10001</v>
      </c>
      <c r="T599" t="str" cm="1">
        <f t="array" aca="1" ref="T599" ca="1">RoundToTwoSigFigs(Validation[[#This Row],[Test Reading]]*Validation[[#This Row],[Mult]]+Validation[[#This Row],[Base]]) &amp;" "&amp;Validation[[#This Row],[Uncert_Units]]</f>
        <v>580 mA</v>
      </c>
      <c r="U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599" t="b">
        <f ca="1">Validation[[#This Row],[Desired Result]]=Validation[[#This Row],[Result]]</f>
        <v>1</v>
      </c>
      <c r="W599" t="b">
        <v>0</v>
      </c>
      <c r="X599" t="b">
        <f>Validation[[#This Row],[Range1_Low]]&gt;=Validation[[#This Row],[Range1_High]]</f>
        <v>0</v>
      </c>
      <c r="Y599" s="111" t="s">
        <v>2845</v>
      </c>
    </row>
    <row r="600" spans="1:25" ht="16.5" thickTop="1" thickBot="1" x14ac:dyDescent="0.3">
      <c r="A600" t="s">
        <v>55</v>
      </c>
      <c r="B600" t="s">
        <v>47</v>
      </c>
      <c r="C600" s="113">
        <v>0.1</v>
      </c>
      <c r="D600" s="113">
        <v>1</v>
      </c>
      <c r="E600">
        <v>1.0000000000000001E-5</v>
      </c>
      <c r="F600" t="s">
        <v>13</v>
      </c>
      <c r="G600" t="s">
        <v>12</v>
      </c>
      <c r="H600">
        <v>20</v>
      </c>
      <c r="I600">
        <v>50</v>
      </c>
      <c r="J600" t="s">
        <v>10</v>
      </c>
      <c r="K600">
        <v>0.47</v>
      </c>
      <c r="L600">
        <v>12</v>
      </c>
      <c r="M600">
        <v>0.44162000000000001</v>
      </c>
      <c r="N600">
        <v>11.792</v>
      </c>
      <c r="O600" t="s">
        <v>2833</v>
      </c>
      <c r="P600" t="s">
        <v>2833</v>
      </c>
      <c r="Q600" t="s">
        <v>2833</v>
      </c>
      <c r="R600">
        <f ca="1">RAND()*(Validation[[#This Row],[Range1_High]]-Validation[[#This Row],[Range1_Low]])+Validation[[#This Row],[Range1_Low]]</f>
        <v>0.74629274521492528</v>
      </c>
      <c r="S600">
        <f>Validation[[#This Row],[Range2_High]]</f>
        <v>50</v>
      </c>
      <c r="T600" t="str" cm="1">
        <f t="array" aca="1" ref="T600" ca="1">RoundToTwoSigFigs(Validation[[#This Row],[Test Reading]]*Validation[[#This Row],[Mult]]+Validation[[#This Row],[Base]]) &amp;" "&amp;Validation[[#This Row],[Uncert_Units]]</f>
        <v>9.4 mA</v>
      </c>
      <c r="U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mA</v>
      </c>
      <c r="V600" t="b">
        <f ca="1">Validation[[#This Row],[Desired Result]]=Validation[[#This Row],[Result]]</f>
        <v>1</v>
      </c>
      <c r="W600" t="b">
        <v>1</v>
      </c>
      <c r="X600" t="b">
        <f>Validation[[#This Row],[Range1_Low]]&gt;=Validation[[#This Row],[Range1_High]]</f>
        <v>0</v>
      </c>
      <c r="Y600" s="111" t="s">
        <v>2843</v>
      </c>
    </row>
    <row r="601" spans="1:25" ht="16.5" thickTop="1" thickBot="1" x14ac:dyDescent="0.3">
      <c r="A601" t="s">
        <v>55</v>
      </c>
      <c r="B601" t="s">
        <v>47</v>
      </c>
      <c r="C601" s="113">
        <v>1</v>
      </c>
      <c r="D601" s="113">
        <v>10</v>
      </c>
      <c r="E601">
        <v>0.01</v>
      </c>
      <c r="F601" t="s">
        <v>13</v>
      </c>
      <c r="G601" t="s">
        <v>12</v>
      </c>
      <c r="H601">
        <v>1E-3</v>
      </c>
      <c r="I601">
        <v>0.05</v>
      </c>
      <c r="J601" t="s">
        <v>10</v>
      </c>
      <c r="K601">
        <v>5.7991999999999999</v>
      </c>
      <c r="L601">
        <v>1.6313000000000001E-2</v>
      </c>
      <c r="M601">
        <v>5.7915999999999999</v>
      </c>
      <c r="N601">
        <v>1.6333E-2</v>
      </c>
      <c r="O601" t="s">
        <v>2833</v>
      </c>
      <c r="P601" t="s">
        <v>2833</v>
      </c>
      <c r="Q601" t="s">
        <v>2833</v>
      </c>
      <c r="R601">
        <f ca="1">RAND()*(Validation[[#This Row],[Range1_High]]-Validation[[#This Row],[Range1_Low]])+Validation[[#This Row],[Range1_Low]]</f>
        <v>9.268696877077593</v>
      </c>
      <c r="S601">
        <f>Validation[[#This Row],[Range2_High]]</f>
        <v>0.05</v>
      </c>
      <c r="T601" t="str" cm="1">
        <f t="array" aca="1" ref="T601" ca="1">RoundToTwoSigFigs(Validation[[#This Row],[Test Reading]]*Validation[[#This Row],[Mult]]+Validation[[#This Row],[Base]]) &amp;" "&amp;Validation[[#This Row],[Uncert_Units]]</f>
        <v>6 mA</v>
      </c>
      <c r="U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V601" t="b">
        <f ca="1">Validation[[#This Row],[Desired Result]]=Validation[[#This Row],[Result]]</f>
        <v>1</v>
      </c>
      <c r="W601" t="b">
        <v>1</v>
      </c>
      <c r="X601" t="b">
        <f>Validation[[#This Row],[Range1_Low]]&gt;=Validation[[#This Row],[Range1_High]]</f>
        <v>0</v>
      </c>
      <c r="Y601" s="111" t="s">
        <v>2843</v>
      </c>
    </row>
    <row r="602" spans="1:25" ht="16.5" thickTop="1" thickBot="1" x14ac:dyDescent="0.3">
      <c r="A602" t="s">
        <v>55</v>
      </c>
      <c r="B602" t="s">
        <v>47</v>
      </c>
      <c r="C602" s="113">
        <v>0.01</v>
      </c>
      <c r="D602" s="113">
        <v>0.1</v>
      </c>
      <c r="E602">
        <v>1.0000000000000001E-5</v>
      </c>
      <c r="F602" t="s">
        <v>13</v>
      </c>
      <c r="G602" t="s">
        <v>11</v>
      </c>
      <c r="H602">
        <v>4.4999999999999998E-2</v>
      </c>
      <c r="I602">
        <v>0.1</v>
      </c>
      <c r="J602" t="s">
        <v>10</v>
      </c>
      <c r="K602">
        <v>24</v>
      </c>
      <c r="L602">
        <v>690</v>
      </c>
      <c r="M602">
        <v>23.701000000000001</v>
      </c>
      <c r="N602">
        <v>689.05</v>
      </c>
      <c r="O602" t="s">
        <v>2833</v>
      </c>
      <c r="P602" t="s">
        <v>2833</v>
      </c>
      <c r="Q602" t="s">
        <v>2833</v>
      </c>
      <c r="R602">
        <f ca="1">RAND()*(Validation[[#This Row],[Range1_High]]-Validation[[#This Row],[Range1_Low]])+Validation[[#This Row],[Range1_Low]]</f>
        <v>2.3825700340197591E-2</v>
      </c>
      <c r="S602">
        <f>Validation[[#This Row],[Range2_High]]</f>
        <v>0.1</v>
      </c>
      <c r="T602" t="str" cm="1">
        <f t="array" aca="1" ref="T602" ca="1">RoundToTwoSigFigs(Validation[[#This Row],[Test Reading]]*Validation[[#This Row],[Mult]]+Validation[[#This Row],[Base]]) &amp;" "&amp;Validation[[#This Row],[Uncert_Units]]</f>
        <v>40 µA</v>
      </c>
      <c r="U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µA</v>
      </c>
      <c r="V602" t="b">
        <f ca="1">Validation[[#This Row],[Desired Result]]=Validation[[#This Row],[Result]]</f>
        <v>1</v>
      </c>
      <c r="W602" t="b">
        <v>1</v>
      </c>
      <c r="X602" t="b">
        <f>Validation[[#This Row],[Range1_Low]]&gt;=Validation[[#This Row],[Range1_High]]</f>
        <v>0</v>
      </c>
      <c r="Y602" s="111" t="s">
        <v>2843</v>
      </c>
    </row>
    <row r="603" spans="1:25" ht="16.5" thickTop="1" thickBot="1" x14ac:dyDescent="0.3">
      <c r="A603" t="s">
        <v>55</v>
      </c>
      <c r="B603" t="s">
        <v>47</v>
      </c>
      <c r="C603" s="113">
        <v>0.1</v>
      </c>
      <c r="D603" s="113">
        <v>1</v>
      </c>
      <c r="E603">
        <v>1E-3</v>
      </c>
      <c r="F603" t="s">
        <v>13</v>
      </c>
      <c r="G603" t="s">
        <v>12</v>
      </c>
      <c r="H603">
        <v>0.1</v>
      </c>
      <c r="I603">
        <v>5</v>
      </c>
      <c r="J603" t="s">
        <v>10</v>
      </c>
      <c r="K603">
        <v>0.58062000000000002</v>
      </c>
      <c r="L603">
        <v>0.94869999999999999</v>
      </c>
      <c r="M603">
        <v>0.57901000000000002</v>
      </c>
      <c r="N603">
        <v>0.94845999999999997</v>
      </c>
      <c r="O603" t="s">
        <v>2833</v>
      </c>
      <c r="P603" t="s">
        <v>2833</v>
      </c>
      <c r="Q603" t="s">
        <v>2833</v>
      </c>
      <c r="R603">
        <f ca="1">RAND()*(Validation[[#This Row],[Range1_High]]-Validation[[#This Row],[Range1_Low]])+Validation[[#This Row],[Range1_Low]]</f>
        <v>0.34653969378043914</v>
      </c>
      <c r="S603">
        <f>Validation[[#This Row],[Range2_High]]</f>
        <v>5</v>
      </c>
      <c r="T603" t="str" cm="1">
        <f t="array" aca="1" ref="T603" ca="1">RoundToTwoSigFigs(Validation[[#This Row],[Test Reading]]*Validation[[#This Row],[Mult]]+Validation[[#This Row],[Base]]) &amp;" "&amp;Validation[[#This Row],[Uncert_Units]]</f>
        <v>0.91 mA</v>
      </c>
      <c r="U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V603" t="b">
        <f ca="1">Validation[[#This Row],[Desired Result]]=Validation[[#This Row],[Result]]</f>
        <v>0</v>
      </c>
      <c r="W603" t="b">
        <v>1</v>
      </c>
      <c r="X603" t="b">
        <f>Validation[[#This Row],[Range1_Low]]&gt;=Validation[[#This Row],[Range1_High]]</f>
        <v>0</v>
      </c>
      <c r="Y603" s="111" t="s">
        <v>2843</v>
      </c>
    </row>
    <row r="604" spans="1:25" ht="16.5" thickTop="1" thickBot="1" x14ac:dyDescent="0.3">
      <c r="A604" t="s">
        <v>54</v>
      </c>
      <c r="B604" t="s">
        <v>47</v>
      </c>
      <c r="C604" s="113">
        <v>3.3000000000000002E-2</v>
      </c>
      <c r="D604" s="113">
        <v>0.33001000000000003</v>
      </c>
      <c r="E604">
        <v>1E-4</v>
      </c>
      <c r="F604" t="s">
        <v>13</v>
      </c>
      <c r="G604" t="s">
        <v>12</v>
      </c>
      <c r="H604">
        <v>0.01</v>
      </c>
      <c r="I604">
        <v>2.001E-2</v>
      </c>
      <c r="J604" t="s">
        <v>10</v>
      </c>
      <c r="K604">
        <v>4.1051999999999998E-2</v>
      </c>
      <c r="L604">
        <v>2.0453000000000001</v>
      </c>
      <c r="M604">
        <v>4.1147999999999997E-2</v>
      </c>
      <c r="N604">
        <v>2.0425</v>
      </c>
      <c r="O604" t="s">
        <v>2833</v>
      </c>
      <c r="P604" t="s">
        <v>2833</v>
      </c>
      <c r="Q604" t="s">
        <v>2833</v>
      </c>
      <c r="R604">
        <f ca="1">RAND()*(Validation[[#This Row],[Range1_High]]-Validation[[#This Row],[Range1_Low]])+Validation[[#This Row],[Range1_Low]]</f>
        <v>0.31502411710497591</v>
      </c>
      <c r="S604">
        <f>Validation[[#This Row],[Range2_High]]</f>
        <v>2.001E-2</v>
      </c>
      <c r="T604" t="str" cm="1">
        <f t="array" aca="1" ref="T604" ca="1">RoundToTwoSigFigs(Validation[[#This Row],[Test Reading]]*Validation[[#This Row],[Mult]]+Validation[[#This Row],[Base]]) &amp;" "&amp;Validation[[#This Row],[Uncert_Units]]</f>
        <v>0.69 mA</v>
      </c>
      <c r="U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mA</v>
      </c>
      <c r="V604" t="b">
        <f ca="1">Validation[[#This Row],[Desired Result]]=Validation[[#This Row],[Result]]</f>
        <v>0</v>
      </c>
      <c r="W604" t="b">
        <v>1</v>
      </c>
      <c r="X604" t="b">
        <f>Validation[[#This Row],[Range1_Low]]&gt;=Validation[[#This Row],[Range1_High]]</f>
        <v>0</v>
      </c>
      <c r="Y604" s="111" t="s">
        <v>2843</v>
      </c>
    </row>
    <row r="605" spans="1:25" ht="16.5" thickTop="1" thickBot="1" x14ac:dyDescent="0.3">
      <c r="A605" t="s">
        <v>55</v>
      </c>
      <c r="B605" t="s">
        <v>47</v>
      </c>
      <c r="C605" s="113">
        <v>0.01</v>
      </c>
      <c r="D605" s="113">
        <v>0.1</v>
      </c>
      <c r="E605">
        <v>1.0000000000000001E-5</v>
      </c>
      <c r="F605" t="s">
        <v>13</v>
      </c>
      <c r="G605" t="s">
        <v>11</v>
      </c>
      <c r="H605">
        <v>0.02</v>
      </c>
      <c r="I605">
        <v>4.4999999999999998E-2</v>
      </c>
      <c r="J605" t="s">
        <v>10</v>
      </c>
      <c r="K605">
        <v>27</v>
      </c>
      <c r="L605">
        <v>1700</v>
      </c>
      <c r="M605">
        <v>23.553999999999998</v>
      </c>
      <c r="N605">
        <v>1728.5</v>
      </c>
      <c r="O605" t="s">
        <v>2833</v>
      </c>
      <c r="P605" t="s">
        <v>2833</v>
      </c>
      <c r="Q605" t="s">
        <v>2833</v>
      </c>
      <c r="R605">
        <f ca="1">RAND()*(Validation[[#This Row],[Range1_High]]-Validation[[#This Row],[Range1_Low]])+Validation[[#This Row],[Range1_Low]]</f>
        <v>4.3258793590919033E-2</v>
      </c>
      <c r="S605">
        <f>Validation[[#This Row],[Range2_High]]</f>
        <v>4.4999999999999998E-2</v>
      </c>
      <c r="T605" t="str" cm="1">
        <f t="array" aca="1" ref="T605" ca="1">RoundToTwoSigFigs(Validation[[#This Row],[Test Reading]]*Validation[[#This Row],[Mult]]+Validation[[#This Row],[Base]]) &amp;" "&amp;Validation[[#This Row],[Uncert_Units]]</f>
        <v>100 µA</v>
      </c>
      <c r="U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V605" t="b">
        <f ca="1">Validation[[#This Row],[Desired Result]]=Validation[[#This Row],[Result]]</f>
        <v>0</v>
      </c>
      <c r="W605" t="b">
        <v>1</v>
      </c>
      <c r="X605" t="b">
        <f>Validation[[#This Row],[Range1_Low]]&gt;=Validation[[#This Row],[Range1_High]]</f>
        <v>0</v>
      </c>
      <c r="Y605" s="111" t="s">
        <v>2843</v>
      </c>
    </row>
    <row r="606" spans="1:25" ht="16.5" thickTop="1" thickBot="1" x14ac:dyDescent="0.3">
      <c r="A606" t="s">
        <v>54</v>
      </c>
      <c r="B606" t="s">
        <v>47</v>
      </c>
      <c r="C606">
        <v>1.1000000000000001</v>
      </c>
      <c r="D606">
        <v>3.0009999999999999</v>
      </c>
      <c r="E606">
        <v>1E-4</v>
      </c>
      <c r="F606" t="s">
        <v>13</v>
      </c>
      <c r="G606" t="s">
        <v>12</v>
      </c>
      <c r="H606">
        <v>10</v>
      </c>
      <c r="I606">
        <v>10.01</v>
      </c>
      <c r="J606" t="s">
        <v>10</v>
      </c>
      <c r="K606">
        <v>5.8</v>
      </c>
      <c r="L606">
        <v>29</v>
      </c>
      <c r="M606">
        <v>5.7731000000000003</v>
      </c>
      <c r="N606">
        <v>28.867999999999999</v>
      </c>
      <c r="O606" t="s">
        <v>2833</v>
      </c>
      <c r="P606" t="s">
        <v>2833</v>
      </c>
      <c r="Q606" t="s">
        <v>2833</v>
      </c>
      <c r="R606">
        <f ca="1">RAND()*(Validation[[#This Row],[Range1_High]]-Validation[[#This Row],[Range1_Low]])+Validation[[#This Row],[Range1_Low]]</f>
        <v>1.9651548957590599</v>
      </c>
      <c r="S606">
        <f>Validation[[#This Row],[Range2_High]]</f>
        <v>10.01</v>
      </c>
      <c r="T606" t="str" cm="1">
        <f t="array" aca="1" ref="T606" ca="1">RoundToTwoSigFigs(Validation[[#This Row],[Test Reading]]*Validation[[#This Row],[Mult]]+Validation[[#This Row],[Base]]) &amp;" "&amp;Validation[[#This Row],[Uncert_Units]]</f>
        <v>63 mA</v>
      </c>
      <c r="U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V606" t="b">
        <f ca="1">Validation[[#This Row],[Desired Result]]=Validation[[#This Row],[Result]]</f>
        <v>1</v>
      </c>
      <c r="W606" t="b">
        <v>0</v>
      </c>
      <c r="X606" t="b">
        <f>Validation[[#This Row],[Range1_Low]]&gt;=Validation[[#This Row],[Range1_High]]</f>
        <v>0</v>
      </c>
      <c r="Y606" s="111" t="s">
        <v>2845</v>
      </c>
    </row>
    <row r="607" spans="1:25" ht="16.5" thickTop="1" thickBot="1" x14ac:dyDescent="0.3">
      <c r="A607" t="s">
        <v>54</v>
      </c>
      <c r="B607" t="s">
        <v>47</v>
      </c>
      <c r="C607">
        <v>1.1000000000000001</v>
      </c>
      <c r="D607">
        <v>3.0009999999999999</v>
      </c>
      <c r="E607">
        <v>1.0000000000000001E-5</v>
      </c>
      <c r="F607" t="s">
        <v>13</v>
      </c>
      <c r="G607" t="s">
        <v>12</v>
      </c>
      <c r="H607" s="113">
        <v>5</v>
      </c>
      <c r="I607" s="113">
        <v>10</v>
      </c>
      <c r="J607" t="s">
        <v>10</v>
      </c>
      <c r="K607">
        <v>5.8</v>
      </c>
      <c r="L607">
        <v>29</v>
      </c>
      <c r="M607">
        <v>5.7729999999999997</v>
      </c>
      <c r="N607">
        <v>28.867999999999999</v>
      </c>
      <c r="O607" t="s">
        <v>2833</v>
      </c>
      <c r="P607" t="s">
        <v>2833</v>
      </c>
      <c r="Q607" t="s">
        <v>2833</v>
      </c>
      <c r="R607">
        <f ca="1">RAND()*(Validation[[#This Row],[Range1_High]]-Validation[[#This Row],[Range1_Low]])+Validation[[#This Row],[Range1_Low]]</f>
        <v>1.9926386819249617</v>
      </c>
      <c r="S607">
        <f>Validation[[#This Row],[Range2_High]]</f>
        <v>10</v>
      </c>
      <c r="T607" t="str" cm="1">
        <f t="array" aca="1" ref="T607" ca="1">RoundToTwoSigFigs(Validation[[#This Row],[Test Reading]]*Validation[[#This Row],[Mult]]+Validation[[#This Row],[Base]]) &amp;" "&amp;Validation[[#This Row],[Uncert_Units]]</f>
        <v>64 mA</v>
      </c>
      <c r="U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V607" t="b">
        <f ca="1">Validation[[#This Row],[Desired Result]]=Validation[[#This Row],[Result]]</f>
        <v>1</v>
      </c>
      <c r="W607" t="b">
        <v>1</v>
      </c>
      <c r="X607" t="b">
        <f>Validation[[#This Row],[Range1_Low]]&gt;=Validation[[#This Row],[Range1_High]]</f>
        <v>0</v>
      </c>
      <c r="Y607" s="114" t="s">
        <v>2846</v>
      </c>
    </row>
    <row r="608" spans="1:25" ht="15.75" thickTop="1" x14ac:dyDescent="0.25">
      <c r="A608" t="s">
        <v>54</v>
      </c>
      <c r="B608" t="s">
        <v>47</v>
      </c>
      <c r="C608">
        <v>1.1000000000000001</v>
      </c>
      <c r="D608">
        <v>3.0009999999999999</v>
      </c>
      <c r="E608">
        <v>0.1</v>
      </c>
      <c r="F608" t="s">
        <v>13</v>
      </c>
      <c r="G608" t="s">
        <v>12</v>
      </c>
      <c r="H608">
        <v>1</v>
      </c>
      <c r="I608">
        <v>5.01</v>
      </c>
      <c r="J608" t="s">
        <v>10</v>
      </c>
      <c r="K608">
        <v>56.451000000000001</v>
      </c>
      <c r="L608">
        <v>1.7722</v>
      </c>
      <c r="M608">
        <v>56.451000000000001</v>
      </c>
      <c r="N608">
        <v>1.7709999999999999</v>
      </c>
      <c r="O608" t="s">
        <v>2833</v>
      </c>
      <c r="P608" t="s">
        <v>2833</v>
      </c>
      <c r="Q608" t="s">
        <v>2833</v>
      </c>
      <c r="R608">
        <f ca="1">RAND()*(Validation[[#This Row],[Range1_High]]-Validation[[#This Row],[Range1_Low]])+Validation[[#This Row],[Range1_Low]]</f>
        <v>1.5217242246289233</v>
      </c>
      <c r="S608">
        <f>Validation[[#This Row],[Range2_High]]</f>
        <v>5.01</v>
      </c>
      <c r="T608" t="str" cm="1">
        <f t="array" aca="1" ref="T608" ca="1">RoundToTwoSigFigs(Validation[[#This Row],[Test Reading]]*Validation[[#This Row],[Mult]]+Validation[[#This Row],[Base]]) &amp;" "&amp;Validation[[#This Row],[Uncert_Units]]</f>
        <v>59 mA</v>
      </c>
      <c r="U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V608" t="b">
        <f ca="1">Validation[[#This Row],[Desired Result]]=Validation[[#This Row],[Result]]</f>
        <v>1</v>
      </c>
      <c r="W608" t="b">
        <v>1</v>
      </c>
      <c r="X608" t="b">
        <f>Validation[[#This Row],[Range1_Low]]&gt;=Validation[[#This Row],[Range1_High]]</f>
        <v>0</v>
      </c>
      <c r="Y608" s="111" t="s">
        <v>2845</v>
      </c>
    </row>
    <row r="609" spans="1:25" ht="15.75" thickBot="1" x14ac:dyDescent="0.3">
      <c r="A609" t="s">
        <v>55</v>
      </c>
      <c r="B609" t="s">
        <v>47</v>
      </c>
      <c r="C609">
        <v>1E-4</v>
      </c>
      <c r="D609">
        <v>1E-3</v>
      </c>
      <c r="E609">
        <v>1E-8</v>
      </c>
      <c r="F609" t="s">
        <v>13</v>
      </c>
      <c r="G609" t="s">
        <v>11</v>
      </c>
      <c r="H609">
        <v>5</v>
      </c>
      <c r="I609">
        <v>20</v>
      </c>
      <c r="J609" t="s">
        <v>10</v>
      </c>
      <c r="K609">
        <v>0.25</v>
      </c>
      <c r="L609">
        <v>712.22</v>
      </c>
      <c r="M609">
        <v>0.24057999999999999</v>
      </c>
      <c r="N609">
        <v>711.87</v>
      </c>
      <c r="O609" t="s">
        <v>2833</v>
      </c>
      <c r="P609" t="s">
        <v>2833</v>
      </c>
      <c r="Q609" t="s">
        <v>2833</v>
      </c>
      <c r="R609">
        <f ca="1">RAND()*(Validation[[#This Row],[Range1_High]]-Validation[[#This Row],[Range1_Low]])+Validation[[#This Row],[Range1_Low]]</f>
        <v>8.8123681798620934E-4</v>
      </c>
      <c r="S609">
        <f>Validation[[#This Row],[Range2_High]]</f>
        <v>20</v>
      </c>
      <c r="T609" t="str" cm="1">
        <f t="array" aca="1" ref="T609" ca="1">RoundToTwoSigFigs(Validation[[#This Row],[Test Reading]]*Validation[[#This Row],[Mult]]+Validation[[#This Row],[Base]]) &amp;" "&amp;Validation[[#This Row],[Uncert_Units]]</f>
        <v>0.88 µA</v>
      </c>
      <c r="U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V609" t="b">
        <f ca="1">Validation[[#This Row],[Desired Result]]=Validation[[#This Row],[Result]]</f>
        <v>1</v>
      </c>
      <c r="W609" t="b">
        <v>0</v>
      </c>
      <c r="X609" t="b">
        <f>Validation[[#This Row],[Range1_Low]]&gt;=Validation[[#This Row],[Range1_High]]</f>
        <v>0</v>
      </c>
      <c r="Y609" s="111" t="s">
        <v>2845</v>
      </c>
    </row>
    <row r="610" spans="1:25" ht="16.5" thickTop="1" thickBot="1" x14ac:dyDescent="0.3">
      <c r="A610" t="s">
        <v>55</v>
      </c>
      <c r="B610" t="s">
        <v>47</v>
      </c>
      <c r="C610" s="113">
        <v>1E-3</v>
      </c>
      <c r="D610" s="113">
        <v>0.01</v>
      </c>
      <c r="E610">
        <v>9.9999999999999995E-7</v>
      </c>
      <c r="F610" t="s">
        <v>13</v>
      </c>
      <c r="G610" t="s">
        <v>11</v>
      </c>
      <c r="H610">
        <v>50</v>
      </c>
      <c r="I610">
        <v>100</v>
      </c>
      <c r="J610" t="s">
        <v>10</v>
      </c>
      <c r="K610">
        <v>19</v>
      </c>
      <c r="L610">
        <v>6534.1</v>
      </c>
      <c r="M610">
        <v>17.164000000000001</v>
      </c>
      <c r="N610">
        <v>6601.7</v>
      </c>
      <c r="O610" t="s">
        <v>2833</v>
      </c>
      <c r="P610" t="s">
        <v>2833</v>
      </c>
      <c r="Q610" t="s">
        <v>2833</v>
      </c>
      <c r="R610">
        <f ca="1">RAND()*(Validation[[#This Row],[Range1_High]]-Validation[[#This Row],[Range1_Low]])+Validation[[#This Row],[Range1_Low]]</f>
        <v>1.7859351447751109E-3</v>
      </c>
      <c r="S610">
        <f>Validation[[#This Row],[Range2_High]]</f>
        <v>100</v>
      </c>
      <c r="T610" t="str" cm="1">
        <f t="array" aca="1" ref="T610" ca="1">RoundToTwoSigFigs(Validation[[#This Row],[Test Reading]]*Validation[[#This Row],[Mult]]+Validation[[#This Row],[Base]]) &amp;" "&amp;Validation[[#This Row],[Uncert_Units]]</f>
        <v>31 µA</v>
      </c>
      <c r="U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V610" t="b">
        <f ca="1">Validation[[#This Row],[Desired Result]]=Validation[[#This Row],[Result]]</f>
        <v>1</v>
      </c>
      <c r="W610" t="b">
        <v>1</v>
      </c>
      <c r="X610" t="b">
        <f>Validation[[#This Row],[Range1_Low]]&gt;=Validation[[#This Row],[Range1_High]]</f>
        <v>0</v>
      </c>
      <c r="Y610" s="111" t="s">
        <v>2843</v>
      </c>
    </row>
    <row r="611" spans="1:25" ht="15.75" thickTop="1" x14ac:dyDescent="0.25">
      <c r="A611" t="s">
        <v>55</v>
      </c>
      <c r="B611" t="s">
        <v>47</v>
      </c>
      <c r="C611">
        <v>1E-4</v>
      </c>
      <c r="D611">
        <v>1E-3</v>
      </c>
      <c r="E611">
        <v>9.9999999999999995E-8</v>
      </c>
      <c r="F611" t="s">
        <v>13</v>
      </c>
      <c r="G611" t="s">
        <v>11</v>
      </c>
      <c r="H611">
        <v>50</v>
      </c>
      <c r="I611">
        <v>100</v>
      </c>
      <c r="J611" t="s">
        <v>10</v>
      </c>
      <c r="K611">
        <v>1.9</v>
      </c>
      <c r="L611">
        <v>6516.3</v>
      </c>
      <c r="M611">
        <v>1.8353999999999999</v>
      </c>
      <c r="N611">
        <v>6506.9</v>
      </c>
      <c r="O611" t="s">
        <v>2833</v>
      </c>
      <c r="P611" t="s">
        <v>2833</v>
      </c>
      <c r="Q611" t="s">
        <v>2833</v>
      </c>
      <c r="R611">
        <f ca="1">RAND()*(Validation[[#This Row],[Range1_High]]-Validation[[#This Row],[Range1_Low]])+Validation[[#This Row],[Range1_Low]]</f>
        <v>5.1834462459541349E-4</v>
      </c>
      <c r="S611">
        <f>Validation[[#This Row],[Range2_High]]</f>
        <v>100</v>
      </c>
      <c r="T611" t="str" cm="1">
        <f t="array" aca="1" ref="T611" ca="1">RoundToTwoSigFigs(Validation[[#This Row],[Test Reading]]*Validation[[#This Row],[Mult]]+Validation[[#This Row],[Base]]) &amp;" "&amp;Validation[[#This Row],[Uncert_Units]]</f>
        <v>5.3 µA</v>
      </c>
      <c r="U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µA</v>
      </c>
      <c r="V611" t="b">
        <f ca="1">Validation[[#This Row],[Desired Result]]=Validation[[#This Row],[Result]]</f>
        <v>1</v>
      </c>
      <c r="W611" t="b">
        <v>1</v>
      </c>
      <c r="X611" t="b">
        <f>Validation[[#This Row],[Range1_Low]]&gt;=Validation[[#This Row],[Range1_High]]</f>
        <v>0</v>
      </c>
      <c r="Y611" s="111" t="s">
        <v>2845</v>
      </c>
    </row>
    <row r="612" spans="1:25" ht="15.75" thickBot="1" x14ac:dyDescent="0.3">
      <c r="A612" t="s">
        <v>54</v>
      </c>
      <c r="B612" t="s">
        <v>47</v>
      </c>
      <c r="C612">
        <v>3.3000000000000002E-2</v>
      </c>
      <c r="D612">
        <v>0.33001000000000003</v>
      </c>
      <c r="E612">
        <v>0.01</v>
      </c>
      <c r="F612" t="s">
        <v>13</v>
      </c>
      <c r="G612" t="s">
        <v>12</v>
      </c>
      <c r="H612">
        <v>0.02</v>
      </c>
      <c r="I612">
        <v>4.5010000000000001E-2</v>
      </c>
      <c r="J612" t="s">
        <v>10</v>
      </c>
      <c r="K612">
        <v>5.7725999999999997</v>
      </c>
      <c r="L612">
        <v>3.8390000000000001E-2</v>
      </c>
      <c r="M612">
        <v>5.7725999999999997</v>
      </c>
      <c r="N612">
        <v>3.8365000000000003E-2</v>
      </c>
      <c r="O612" t="s">
        <v>2833</v>
      </c>
      <c r="P612" t="s">
        <v>2833</v>
      </c>
      <c r="Q612" t="s">
        <v>2833</v>
      </c>
      <c r="R612">
        <f ca="1">RAND()*(Validation[[#This Row],[Range1_High]]-Validation[[#This Row],[Range1_Low]])+Validation[[#This Row],[Range1_Low]]</f>
        <v>0.19906716595937296</v>
      </c>
      <c r="S612">
        <f>Validation[[#This Row],[Range2_High]]</f>
        <v>4.5010000000000001E-2</v>
      </c>
      <c r="T612" t="str" cm="1">
        <f t="array" aca="1" ref="T612" ca="1">RoundToTwoSigFigs(Validation[[#This Row],[Test Reading]]*Validation[[#This Row],[Mult]]+Validation[[#This Row],[Base]]) &amp;" "&amp;Validation[[#This Row],[Uncert_Units]]</f>
        <v>5.8 mA</v>
      </c>
      <c r="U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612" t="b">
        <f ca="1">Validation[[#This Row],[Desired Result]]=Validation[[#This Row],[Result]]</f>
        <v>1</v>
      </c>
      <c r="W612" t="b">
        <v>0</v>
      </c>
      <c r="X612" t="b">
        <f>Validation[[#This Row],[Range1_Low]]&gt;=Validation[[#This Row],[Range1_High]]</f>
        <v>0</v>
      </c>
      <c r="Y612" s="111" t="s">
        <v>2845</v>
      </c>
    </row>
    <row r="613" spans="1:25" ht="16.5" thickTop="1" thickBot="1" x14ac:dyDescent="0.3">
      <c r="A613" t="s">
        <v>68</v>
      </c>
      <c r="B613" t="s">
        <v>47</v>
      </c>
      <c r="C613" s="113">
        <v>1</v>
      </c>
      <c r="D613" s="113">
        <v>10.4</v>
      </c>
      <c r="E613">
        <v>1E-4</v>
      </c>
      <c r="F613" t="s">
        <v>13</v>
      </c>
      <c r="G613" t="s">
        <v>12</v>
      </c>
      <c r="H613">
        <v>0.01</v>
      </c>
      <c r="I613">
        <v>2</v>
      </c>
      <c r="J613" t="s">
        <v>10</v>
      </c>
      <c r="K613">
        <v>18</v>
      </c>
      <c r="L613">
        <v>1.4</v>
      </c>
      <c r="M613">
        <v>17.128</v>
      </c>
      <c r="N613">
        <v>1.4000999999999999</v>
      </c>
      <c r="O613" t="s">
        <v>2833</v>
      </c>
      <c r="P613" t="s">
        <v>2833</v>
      </c>
      <c r="Q613" t="s">
        <v>2833</v>
      </c>
      <c r="R613">
        <f ca="1">RAND()*(Validation[[#This Row],[Range1_High]]-Validation[[#This Row],[Range1_Low]])+Validation[[#This Row],[Range1_Low]]</f>
        <v>6.2851727163264419</v>
      </c>
      <c r="S613">
        <f>Validation[[#This Row],[Range2_High]]</f>
        <v>2</v>
      </c>
      <c r="T613" t="str" cm="1">
        <f t="array" aca="1" ref="T613" ca="1">RoundToTwoSigFigs(Validation[[#This Row],[Test Reading]]*Validation[[#This Row],[Mult]]+Validation[[#This Row],[Base]]) &amp;" "&amp;Validation[[#This Row],[Uncert_Units]]</f>
        <v>27 mA</v>
      </c>
      <c r="U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V613" t="b">
        <f ca="1">Validation[[#This Row],[Desired Result]]=Validation[[#This Row],[Result]]</f>
        <v>1</v>
      </c>
      <c r="W613" t="b">
        <v>1</v>
      </c>
      <c r="X613" t="b">
        <f>Validation[[#This Row],[Range1_Low]]&gt;=Validation[[#This Row],[Range1_High]]</f>
        <v>0</v>
      </c>
      <c r="Y613" s="111" t="s">
        <v>2843</v>
      </c>
    </row>
    <row r="614" spans="1:25" ht="16.5" thickTop="1" thickBot="1" x14ac:dyDescent="0.3">
      <c r="A614" t="s">
        <v>54</v>
      </c>
      <c r="B614" t="s">
        <v>47</v>
      </c>
      <c r="C614" s="113">
        <v>0.33</v>
      </c>
      <c r="D614" s="113">
        <v>1.1000099999999999</v>
      </c>
      <c r="E614">
        <v>1.0000000000000001E-5</v>
      </c>
      <c r="F614" t="s">
        <v>13</v>
      </c>
      <c r="G614" t="s">
        <v>12</v>
      </c>
      <c r="H614">
        <v>0.01</v>
      </c>
      <c r="I614">
        <v>4.5010000000000001E-2</v>
      </c>
      <c r="J614" t="s">
        <v>10</v>
      </c>
      <c r="K614">
        <v>0.12</v>
      </c>
      <c r="L614">
        <v>2.1</v>
      </c>
      <c r="M614">
        <v>0.11617</v>
      </c>
      <c r="N614">
        <v>2.0783999999999998</v>
      </c>
      <c r="O614" t="s">
        <v>2833</v>
      </c>
      <c r="P614" t="s">
        <v>2833</v>
      </c>
      <c r="Q614" t="s">
        <v>2833</v>
      </c>
      <c r="R614">
        <f ca="1">RAND()*(Validation[[#This Row],[Range1_High]]-Validation[[#This Row],[Range1_Low]])+Validation[[#This Row],[Range1_Low]]</f>
        <v>0.38909842983452048</v>
      </c>
      <c r="S614">
        <f>Validation[[#This Row],[Range2_High]]</f>
        <v>4.5010000000000001E-2</v>
      </c>
      <c r="T614" t="str" cm="1">
        <f t="array" aca="1" ref="T614" ca="1">RoundToTwoSigFigs(Validation[[#This Row],[Test Reading]]*Validation[[#This Row],[Mult]]+Validation[[#This Row],[Base]]) &amp;" "&amp;Validation[[#This Row],[Uncert_Units]]</f>
        <v>0.94 mA</v>
      </c>
      <c r="U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mA</v>
      </c>
      <c r="V614" t="b">
        <f ca="1">Validation[[#This Row],[Desired Result]]=Validation[[#This Row],[Result]]</f>
        <v>0</v>
      </c>
      <c r="W614" t="b">
        <v>1</v>
      </c>
      <c r="X614" t="b">
        <f>Validation[[#This Row],[Range1_Low]]&gt;=Validation[[#This Row],[Range1_High]]</f>
        <v>0</v>
      </c>
      <c r="Y614" s="111" t="s">
        <v>2843</v>
      </c>
    </row>
    <row r="615" spans="1:25" ht="16.5" thickTop="1" thickBot="1" x14ac:dyDescent="0.3">
      <c r="A615" t="s">
        <v>54</v>
      </c>
      <c r="B615" t="s">
        <v>47</v>
      </c>
      <c r="C615">
        <v>0</v>
      </c>
      <c r="D615">
        <v>3.3000999999999999E-4</v>
      </c>
      <c r="E615">
        <v>0.01</v>
      </c>
      <c r="F615" t="s">
        <v>13</v>
      </c>
      <c r="G615" t="s">
        <v>11</v>
      </c>
      <c r="H615">
        <v>30</v>
      </c>
      <c r="I615">
        <v>30.1</v>
      </c>
      <c r="J615" t="s">
        <v>10</v>
      </c>
      <c r="K615">
        <v>5773.6</v>
      </c>
      <c r="L615">
        <v>12.164999999999999</v>
      </c>
      <c r="M615">
        <v>5773.5</v>
      </c>
      <c r="N615">
        <v>12.09</v>
      </c>
      <c r="O615" t="s">
        <v>2833</v>
      </c>
      <c r="P615" t="s">
        <v>2833</v>
      </c>
      <c r="Q615" t="s">
        <v>2833</v>
      </c>
      <c r="R615">
        <f ca="1">RAND()*(Validation[[#This Row],[Range1_High]]-Validation[[#This Row],[Range1_Low]])+Validation[[#This Row],[Range1_Low]]</f>
        <v>2.4981170849371369E-4</v>
      </c>
      <c r="S615">
        <f>Validation[[#This Row],[Range2_High]]</f>
        <v>30.1</v>
      </c>
      <c r="T615" t="str" cm="1">
        <f t="array" aca="1" ref="T615" ca="1">RoundToTwoSigFigs(Validation[[#This Row],[Test Reading]]*Validation[[#This Row],[Mult]]+Validation[[#This Row],[Base]]) &amp;" "&amp;Validation[[#This Row],[Uncert_Units]]</f>
        <v>5800 µA</v>
      </c>
      <c r="U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615" t="b">
        <f ca="1">Validation[[#This Row],[Desired Result]]=Validation[[#This Row],[Result]]</f>
        <v>1</v>
      </c>
      <c r="W615" t="b">
        <v>0</v>
      </c>
      <c r="X615" t="b">
        <f>Validation[[#This Row],[Range1_Low]]&gt;=Validation[[#This Row],[Range1_High]]</f>
        <v>0</v>
      </c>
      <c r="Y615" s="111" t="s">
        <v>2845</v>
      </c>
    </row>
    <row r="616" spans="1:25" ht="16.5" thickTop="1" thickBot="1" x14ac:dyDescent="0.3">
      <c r="A616" t="s">
        <v>54</v>
      </c>
      <c r="B616" t="s">
        <v>47</v>
      </c>
      <c r="C616" s="113">
        <v>3.3E-4</v>
      </c>
      <c r="D616" s="113">
        <v>3.3000999999999998E-3</v>
      </c>
      <c r="E616">
        <v>1E-8</v>
      </c>
      <c r="F616" t="s">
        <v>13</v>
      </c>
      <c r="G616" t="s">
        <v>11</v>
      </c>
      <c r="H616">
        <v>5</v>
      </c>
      <c r="I616">
        <v>10.01</v>
      </c>
      <c r="J616" t="s">
        <v>10</v>
      </c>
      <c r="K616">
        <v>0.35</v>
      </c>
      <c r="L616">
        <v>5800</v>
      </c>
      <c r="M616">
        <v>0.34654000000000001</v>
      </c>
      <c r="N616">
        <v>5773.6</v>
      </c>
      <c r="O616" t="s">
        <v>2833</v>
      </c>
      <c r="P616" t="s">
        <v>2833</v>
      </c>
      <c r="Q616" t="s">
        <v>2833</v>
      </c>
      <c r="R616">
        <f ca="1">RAND()*(Validation[[#This Row],[Range1_High]]-Validation[[#This Row],[Range1_Low]])+Validation[[#This Row],[Range1_Low]]</f>
        <v>2.0546797688595787E-3</v>
      </c>
      <c r="S616">
        <f>Validation[[#This Row],[Range2_High]]</f>
        <v>10.01</v>
      </c>
      <c r="T616" t="str" cm="1">
        <f t="array" aca="1" ref="T616" ca="1">RoundToTwoSigFigs(Validation[[#This Row],[Test Reading]]*Validation[[#This Row],[Mult]]+Validation[[#This Row],[Base]]) &amp;" "&amp;Validation[[#This Row],[Uncert_Units]]</f>
        <v>12 µA</v>
      </c>
      <c r="U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V616" t="b">
        <f ca="1">Validation[[#This Row],[Desired Result]]=Validation[[#This Row],[Result]]</f>
        <v>0</v>
      </c>
      <c r="W616" t="b">
        <v>1</v>
      </c>
      <c r="X616" t="b">
        <f>Validation[[#This Row],[Range1_Low]]&gt;=Validation[[#This Row],[Range1_High]]</f>
        <v>0</v>
      </c>
      <c r="Y616" s="111" t="s">
        <v>2843</v>
      </c>
    </row>
    <row r="617" spans="1:25" ht="15.75" thickTop="1" x14ac:dyDescent="0.25">
      <c r="A617" t="s">
        <v>54</v>
      </c>
      <c r="B617" t="s">
        <v>47</v>
      </c>
      <c r="C617">
        <v>0</v>
      </c>
      <c r="D617">
        <v>3.3000999999999999E-4</v>
      </c>
      <c r="E617">
        <v>9.9999999999999995E-7</v>
      </c>
      <c r="F617" t="s">
        <v>13</v>
      </c>
      <c r="G617" t="s">
        <v>11</v>
      </c>
      <c r="H617">
        <v>0.01</v>
      </c>
      <c r="I617">
        <v>2.001E-2</v>
      </c>
      <c r="J617" t="s">
        <v>10</v>
      </c>
      <c r="K617">
        <v>0.56557999999999997</v>
      </c>
      <c r="L617">
        <v>1474.9</v>
      </c>
      <c r="M617">
        <v>0.56533</v>
      </c>
      <c r="N617">
        <v>1474.5</v>
      </c>
      <c r="O617" t="s">
        <v>2833</v>
      </c>
      <c r="P617" t="s">
        <v>2833</v>
      </c>
      <c r="Q617" t="s">
        <v>2833</v>
      </c>
      <c r="R617">
        <f ca="1">RAND()*(Validation[[#This Row],[Range1_High]]-Validation[[#This Row],[Range1_Low]])+Validation[[#This Row],[Range1_Low]]</f>
        <v>2.337899601264037E-7</v>
      </c>
      <c r="S617">
        <f>Validation[[#This Row],[Range2_High]]</f>
        <v>2.001E-2</v>
      </c>
      <c r="T617" t="str" cm="1">
        <f t="array" aca="1" ref="T617" ca="1">RoundToTwoSigFigs(Validation[[#This Row],[Test Reading]]*Validation[[#This Row],[Mult]]+Validation[[#This Row],[Base]]) &amp;" "&amp;Validation[[#This Row],[Uncert_Units]]</f>
        <v>0.57 µA</v>
      </c>
      <c r="U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V617" t="b">
        <f ca="1">Validation[[#This Row],[Desired Result]]=Validation[[#This Row],[Result]]</f>
        <v>1</v>
      </c>
      <c r="W617" t="b">
        <v>1</v>
      </c>
      <c r="X617" t="b">
        <f>Validation[[#This Row],[Range1_Low]]&gt;=Validation[[#This Row],[Range1_High]]</f>
        <v>0</v>
      </c>
      <c r="Y617" s="111" t="s">
        <v>2845</v>
      </c>
    </row>
    <row r="618" spans="1:25" ht="15.75" thickBot="1" x14ac:dyDescent="0.3">
      <c r="A618" t="s">
        <v>55</v>
      </c>
      <c r="B618" t="s">
        <v>47</v>
      </c>
      <c r="C618">
        <v>0</v>
      </c>
      <c r="D618">
        <v>1E-4</v>
      </c>
      <c r="E618">
        <v>9.9999999999999995E-8</v>
      </c>
      <c r="F618" t="s">
        <v>13</v>
      </c>
      <c r="G618" t="s">
        <v>11</v>
      </c>
      <c r="H618">
        <v>0.02</v>
      </c>
      <c r="I618">
        <v>4.4999999999999998E-2</v>
      </c>
      <c r="J618" t="s">
        <v>10</v>
      </c>
      <c r="K618">
        <v>6.2399000000000003E-2</v>
      </c>
      <c r="L618">
        <v>1534.5</v>
      </c>
      <c r="M618">
        <v>6.2349000000000002E-2</v>
      </c>
      <c r="N618">
        <v>1534</v>
      </c>
      <c r="O618" t="s">
        <v>2833</v>
      </c>
      <c r="P618" t="s">
        <v>2833</v>
      </c>
      <c r="Q618" t="s">
        <v>2833</v>
      </c>
      <c r="R618">
        <f ca="1">RAND()*(Validation[[#This Row],[Range1_High]]-Validation[[#This Row],[Range1_Low]])+Validation[[#This Row],[Range1_Low]]</f>
        <v>1.2151043814594044E-5</v>
      </c>
      <c r="S618">
        <f>Validation[[#This Row],[Range2_High]]</f>
        <v>4.4999999999999998E-2</v>
      </c>
      <c r="T618" t="str" cm="1">
        <f t="array" aca="1" ref="T618" ca="1">RoundToTwoSigFigs(Validation[[#This Row],[Test Reading]]*Validation[[#This Row],[Mult]]+Validation[[#This Row],[Base]]) &amp;" "&amp;Validation[[#This Row],[Uncert_Units]]</f>
        <v>0.081 µA</v>
      </c>
      <c r="U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0.073 µA</v>
      </c>
      <c r="V618" t="b">
        <f ca="1">Validation[[#This Row],[Desired Result]]=Validation[[#This Row],[Result]]</f>
        <v>0</v>
      </c>
      <c r="W618" t="b">
        <v>1</v>
      </c>
      <c r="X618" t="b">
        <f>Validation[[#This Row],[Range1_Low]]&gt;=Validation[[#This Row],[Range1_High]]</f>
        <v>0</v>
      </c>
      <c r="Y618" s="111" t="s">
        <v>2845</v>
      </c>
    </row>
    <row r="619" spans="1:25" ht="16.5" thickTop="1" thickBot="1" x14ac:dyDescent="0.3">
      <c r="A619" t="s">
        <v>54</v>
      </c>
      <c r="B619" t="s">
        <v>47</v>
      </c>
      <c r="C619" s="113">
        <v>0.33</v>
      </c>
      <c r="D619" s="113">
        <v>1.1000099999999999</v>
      </c>
      <c r="E619">
        <v>1.0000000000000001E-5</v>
      </c>
      <c r="F619" t="s">
        <v>13</v>
      </c>
      <c r="G619" t="s">
        <v>12</v>
      </c>
      <c r="H619">
        <v>1</v>
      </c>
      <c r="I619">
        <v>5.01</v>
      </c>
      <c r="J619" t="s">
        <v>10</v>
      </c>
      <c r="K619">
        <v>1.2</v>
      </c>
      <c r="L619">
        <v>6.9</v>
      </c>
      <c r="M619">
        <v>1.1549</v>
      </c>
      <c r="N619">
        <v>6.9282000000000004</v>
      </c>
      <c r="O619" t="s">
        <v>2833</v>
      </c>
      <c r="P619" t="s">
        <v>2833</v>
      </c>
      <c r="Q619" t="s">
        <v>2833</v>
      </c>
      <c r="R619">
        <f ca="1">RAND()*(Validation[[#This Row],[Range1_High]]-Validation[[#This Row],[Range1_Low]])+Validation[[#This Row],[Range1_Low]]</f>
        <v>0.98427690963377001</v>
      </c>
      <c r="S619">
        <f>Validation[[#This Row],[Range2_High]]</f>
        <v>5.01</v>
      </c>
      <c r="T619" t="str" cm="1">
        <f t="array" aca="1" ref="T619" ca="1">RoundToTwoSigFigs(Validation[[#This Row],[Test Reading]]*Validation[[#This Row],[Mult]]+Validation[[#This Row],[Base]]) &amp;" "&amp;Validation[[#This Row],[Uncert_Units]]</f>
        <v>8 mA</v>
      </c>
      <c r="U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mA</v>
      </c>
      <c r="V619" t="b">
        <f ca="1">Validation[[#This Row],[Desired Result]]=Validation[[#This Row],[Result]]</f>
        <v>1</v>
      </c>
      <c r="W619" t="b">
        <v>1</v>
      </c>
      <c r="X619" t="b">
        <f>Validation[[#This Row],[Range1_Low]]&gt;=Validation[[#This Row],[Range1_High]]</f>
        <v>0</v>
      </c>
      <c r="Y619" s="111" t="s">
        <v>2843</v>
      </c>
    </row>
    <row r="620" spans="1:25" ht="16.5" thickTop="1" thickBot="1" x14ac:dyDescent="0.3">
      <c r="A620" t="s">
        <v>68</v>
      </c>
      <c r="B620" t="s">
        <v>47</v>
      </c>
      <c r="C620" s="113">
        <v>1E-3</v>
      </c>
      <c r="D620" s="113">
        <v>1.04E-2</v>
      </c>
      <c r="E620">
        <v>9.9999999999999995E-8</v>
      </c>
      <c r="F620" t="s">
        <v>13</v>
      </c>
      <c r="G620" t="s">
        <v>11</v>
      </c>
      <c r="H620">
        <v>0.01</v>
      </c>
      <c r="I620">
        <v>2</v>
      </c>
      <c r="J620" t="s">
        <v>10</v>
      </c>
      <c r="K620">
        <v>9.6999999999999993</v>
      </c>
      <c r="L620">
        <v>1200</v>
      </c>
      <c r="M620">
        <v>9.6530000000000005</v>
      </c>
      <c r="N620">
        <v>1192.0999999999999</v>
      </c>
      <c r="O620" t="s">
        <v>2833</v>
      </c>
      <c r="P620" t="s">
        <v>2833</v>
      </c>
      <c r="Q620" t="s">
        <v>2833</v>
      </c>
      <c r="R620">
        <f ca="1">RAND()*(Validation[[#This Row],[Range1_High]]-Validation[[#This Row],[Range1_Low]])+Validation[[#This Row],[Range1_Low]]</f>
        <v>4.2811181628728545E-3</v>
      </c>
      <c r="S620">
        <f>Validation[[#This Row],[Range2_High]]</f>
        <v>2</v>
      </c>
      <c r="T620" t="str" cm="1">
        <f t="array" aca="1" ref="T620" ca="1">RoundToTwoSigFigs(Validation[[#This Row],[Test Reading]]*Validation[[#This Row],[Mult]]+Validation[[#This Row],[Base]]) &amp;" "&amp;Validation[[#This Row],[Uncert_Units]]</f>
        <v>15 µA</v>
      </c>
      <c r="U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V620" t="b">
        <f ca="1">Validation[[#This Row],[Desired Result]]=Validation[[#This Row],[Result]]</f>
        <v>1</v>
      </c>
      <c r="W620" t="b">
        <v>1</v>
      </c>
      <c r="X620" t="b">
        <f>Validation[[#This Row],[Range1_Low]]&gt;=Validation[[#This Row],[Range1_High]]</f>
        <v>0</v>
      </c>
      <c r="Y620" s="111" t="s">
        <v>2843</v>
      </c>
    </row>
    <row r="621" spans="1:25" ht="16.5" thickTop="1" thickBot="1" x14ac:dyDescent="0.3">
      <c r="A621" t="s">
        <v>55</v>
      </c>
      <c r="B621" t="s">
        <v>47</v>
      </c>
      <c r="C621" s="113">
        <v>1E-4</v>
      </c>
      <c r="D621" s="113">
        <v>1E-3</v>
      </c>
      <c r="E621">
        <v>9.9999999999999995E-7</v>
      </c>
      <c r="F621" t="s">
        <v>13</v>
      </c>
      <c r="G621" t="s">
        <v>11</v>
      </c>
      <c r="H621">
        <v>0.1</v>
      </c>
      <c r="I621">
        <v>5</v>
      </c>
      <c r="J621" t="s">
        <v>10</v>
      </c>
      <c r="K621">
        <v>5.7770999999999999</v>
      </c>
      <c r="L621">
        <v>28.936</v>
      </c>
      <c r="M621">
        <v>5.7770000000000001</v>
      </c>
      <c r="N621">
        <v>27.423999999999999</v>
      </c>
      <c r="O621" t="s">
        <v>2833</v>
      </c>
      <c r="P621" t="s">
        <v>2833</v>
      </c>
      <c r="Q621" t="s">
        <v>2833</v>
      </c>
      <c r="R621">
        <f ca="1">RAND()*(Validation[[#This Row],[Range1_High]]-Validation[[#This Row],[Range1_Low]])+Validation[[#This Row],[Range1_Low]]</f>
        <v>6.4279391902516674E-4</v>
      </c>
      <c r="S621">
        <f>Validation[[#This Row],[Range2_High]]</f>
        <v>5</v>
      </c>
      <c r="T621" t="str" cm="1">
        <f t="array" aca="1" ref="T621" ca="1">RoundToTwoSigFigs(Validation[[#This Row],[Test Reading]]*Validation[[#This Row],[Mult]]+Validation[[#This Row],[Base]]) &amp;" "&amp;Validation[[#This Row],[Uncert_Units]]</f>
        <v>5.8 µA</v>
      </c>
      <c r="U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621" t="b">
        <f ca="1">Validation[[#This Row],[Desired Result]]=Validation[[#This Row],[Result]]</f>
        <v>1</v>
      </c>
      <c r="W621" t="b">
        <v>1</v>
      </c>
      <c r="X621" t="b">
        <f>Validation[[#This Row],[Range1_Low]]&gt;=Validation[[#This Row],[Range1_High]]</f>
        <v>0</v>
      </c>
      <c r="Y621" s="111" t="s">
        <v>2843</v>
      </c>
    </row>
    <row r="622" spans="1:25" ht="16.5" thickTop="1" thickBot="1" x14ac:dyDescent="0.3">
      <c r="A622" t="s">
        <v>54</v>
      </c>
      <c r="B622" t="s">
        <v>47</v>
      </c>
      <c r="C622" s="113">
        <v>3.3E-3</v>
      </c>
      <c r="D622" s="113">
        <v>3.3001000000000003E-2</v>
      </c>
      <c r="E622">
        <v>1E-8</v>
      </c>
      <c r="F622" t="s">
        <v>13</v>
      </c>
      <c r="G622" t="s">
        <v>11</v>
      </c>
      <c r="H622">
        <v>4.4999999999999998E-2</v>
      </c>
      <c r="I622">
        <v>1.0000100000000001</v>
      </c>
      <c r="J622" t="s">
        <v>10</v>
      </c>
      <c r="K622">
        <v>2.4</v>
      </c>
      <c r="L622">
        <v>470</v>
      </c>
      <c r="M622">
        <v>2.2997999999999998</v>
      </c>
      <c r="N622">
        <v>465.62</v>
      </c>
      <c r="O622" t="s">
        <v>2833</v>
      </c>
      <c r="P622" t="s">
        <v>2833</v>
      </c>
      <c r="Q622" t="s">
        <v>2833</v>
      </c>
      <c r="R622">
        <f ca="1">RAND()*(Validation[[#This Row],[Range1_High]]-Validation[[#This Row],[Range1_Low]])+Validation[[#This Row],[Range1_Low]]</f>
        <v>2.0470911704814045E-2</v>
      </c>
      <c r="S622">
        <f>Validation[[#This Row],[Range2_High]]</f>
        <v>1.0000100000000001</v>
      </c>
      <c r="T622" t="str" cm="1">
        <f t="array" aca="1" ref="T622" ca="1">RoundToTwoSigFigs(Validation[[#This Row],[Test Reading]]*Validation[[#This Row],[Mult]]+Validation[[#This Row],[Base]]) &amp;" "&amp;Validation[[#This Row],[Uncert_Units]]</f>
        <v>12 µA</v>
      </c>
      <c r="U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V622" t="b">
        <f ca="1">Validation[[#This Row],[Desired Result]]=Validation[[#This Row],[Result]]</f>
        <v>0</v>
      </c>
      <c r="W622" t="b">
        <v>1</v>
      </c>
      <c r="X622" t="b">
        <f>Validation[[#This Row],[Range1_Low]]&gt;=Validation[[#This Row],[Range1_High]]</f>
        <v>0</v>
      </c>
      <c r="Y622" s="111" t="s">
        <v>2843</v>
      </c>
    </row>
    <row r="623" spans="1:25" ht="16.5" thickTop="1" thickBot="1" x14ac:dyDescent="0.3">
      <c r="A623" t="s">
        <v>54</v>
      </c>
      <c r="B623" t="s">
        <v>47</v>
      </c>
      <c r="C623">
        <v>0</v>
      </c>
      <c r="D623">
        <v>3.3000999999999999E-4</v>
      </c>
      <c r="E623">
        <v>1E-4</v>
      </c>
      <c r="F623" t="s">
        <v>13</v>
      </c>
      <c r="G623" t="s">
        <v>11</v>
      </c>
      <c r="H623">
        <v>10</v>
      </c>
      <c r="I623">
        <v>30</v>
      </c>
      <c r="J623" t="s">
        <v>10</v>
      </c>
      <c r="K623">
        <v>57.709000000000003</v>
      </c>
      <c r="L623">
        <v>1205.5</v>
      </c>
      <c r="M623">
        <v>57.709000000000003</v>
      </c>
      <c r="N623">
        <v>1205.0999999999999</v>
      </c>
      <c r="O623" t="s">
        <v>2833</v>
      </c>
      <c r="P623" t="s">
        <v>2833</v>
      </c>
      <c r="Q623" t="s">
        <v>2833</v>
      </c>
      <c r="R623">
        <f ca="1">RAND()*(Validation[[#This Row],[Range1_High]]-Validation[[#This Row],[Range1_Low]])+Validation[[#This Row],[Range1_Low]]</f>
        <v>2.6156910949201058E-4</v>
      </c>
      <c r="S623">
        <f>Validation[[#This Row],[Range2_High]]</f>
        <v>30</v>
      </c>
      <c r="T623" t="str" cm="1">
        <f t="array" aca="1" ref="T623" ca="1">RoundToTwoSigFigs(Validation[[#This Row],[Test Reading]]*Validation[[#This Row],[Mult]]+Validation[[#This Row],[Base]]) &amp;" "&amp;Validation[[#This Row],[Uncert_Units]]</f>
        <v>58 µA</v>
      </c>
      <c r="U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623" t="b">
        <f ca="1">Validation[[#This Row],[Desired Result]]=Validation[[#This Row],[Result]]</f>
        <v>1</v>
      </c>
      <c r="W623" t="b">
        <v>0</v>
      </c>
      <c r="X623" t="b">
        <f>Validation[[#This Row],[Range1_Low]]&gt;=Validation[[#This Row],[Range1_High]]</f>
        <v>0</v>
      </c>
      <c r="Y623" s="111" t="s">
        <v>2845</v>
      </c>
    </row>
    <row r="624" spans="1:25" ht="16.5" thickTop="1" thickBot="1" x14ac:dyDescent="0.3">
      <c r="A624" t="s">
        <v>55</v>
      </c>
      <c r="B624" t="s">
        <v>47</v>
      </c>
      <c r="C624" s="113">
        <v>1</v>
      </c>
      <c r="D624" s="113">
        <v>10</v>
      </c>
      <c r="E624">
        <v>1E-4</v>
      </c>
      <c r="F624" t="s">
        <v>13</v>
      </c>
      <c r="G624" t="s">
        <v>12</v>
      </c>
      <c r="H624">
        <v>1</v>
      </c>
      <c r="I624">
        <v>5</v>
      </c>
      <c r="J624" t="s">
        <v>10</v>
      </c>
      <c r="K624">
        <v>1.4</v>
      </c>
      <c r="L624">
        <v>0.66168000000000005</v>
      </c>
      <c r="M624">
        <v>1.3279000000000001</v>
      </c>
      <c r="N624">
        <v>0.66195999999999999</v>
      </c>
      <c r="O624" t="s">
        <v>2833</v>
      </c>
      <c r="P624" t="s">
        <v>2833</v>
      </c>
      <c r="Q624" t="s">
        <v>2833</v>
      </c>
      <c r="R624">
        <f ca="1">RAND()*(Validation[[#This Row],[Range1_High]]-Validation[[#This Row],[Range1_Low]])+Validation[[#This Row],[Range1_Low]]</f>
        <v>5.3320532291675073</v>
      </c>
      <c r="S624">
        <f>Validation[[#This Row],[Range2_High]]</f>
        <v>5</v>
      </c>
      <c r="T624" t="str" cm="1">
        <f t="array" aca="1" ref="T624" ca="1">RoundToTwoSigFigs(Validation[[#This Row],[Test Reading]]*Validation[[#This Row],[Mult]]+Validation[[#This Row],[Base]]) &amp;" "&amp;Validation[[#This Row],[Uncert_Units]]</f>
        <v>4.9 mA</v>
      </c>
      <c r="U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mA</v>
      </c>
      <c r="V624" t="b">
        <f ca="1">Validation[[#This Row],[Desired Result]]=Validation[[#This Row],[Result]]</f>
        <v>1</v>
      </c>
      <c r="W624" t="b">
        <v>1</v>
      </c>
      <c r="X624" t="b">
        <f>Validation[[#This Row],[Range1_Low]]&gt;=Validation[[#This Row],[Range1_High]]</f>
        <v>0</v>
      </c>
      <c r="Y624" s="111" t="s">
        <v>2843</v>
      </c>
    </row>
    <row r="625" spans="1:25" ht="16.5" thickTop="1" thickBot="1" x14ac:dyDescent="0.3">
      <c r="A625" t="s">
        <v>54</v>
      </c>
      <c r="B625" t="s">
        <v>47</v>
      </c>
      <c r="C625" s="113">
        <v>0.33</v>
      </c>
      <c r="D625" s="113">
        <v>1.1000099999999999</v>
      </c>
      <c r="E625">
        <v>0.01</v>
      </c>
      <c r="F625" t="s">
        <v>13</v>
      </c>
      <c r="G625" t="s">
        <v>12</v>
      </c>
      <c r="H625">
        <v>1</v>
      </c>
      <c r="I625">
        <v>5.01</v>
      </c>
      <c r="J625" t="s">
        <v>10</v>
      </c>
      <c r="K625">
        <v>5.1010999999999997</v>
      </c>
      <c r="L625">
        <v>4.9149000000000003</v>
      </c>
      <c r="M625">
        <v>5.0998000000000001</v>
      </c>
      <c r="N625">
        <v>4.9135999999999997</v>
      </c>
      <c r="O625" t="s">
        <v>2833</v>
      </c>
      <c r="P625" t="s">
        <v>2833</v>
      </c>
      <c r="Q625" t="s">
        <v>2833</v>
      </c>
      <c r="R625">
        <f ca="1">RAND()*(Validation[[#This Row],[Range1_High]]-Validation[[#This Row],[Range1_Low]])+Validation[[#This Row],[Range1_Low]]</f>
        <v>0.6468782576754506</v>
      </c>
      <c r="S625">
        <f>Validation[[#This Row],[Range2_High]]</f>
        <v>5.01</v>
      </c>
      <c r="T625" t="str" cm="1">
        <f t="array" aca="1" ref="T625" ca="1">RoundToTwoSigFigs(Validation[[#This Row],[Test Reading]]*Validation[[#This Row],[Mult]]+Validation[[#This Row],[Base]]) &amp;" "&amp;Validation[[#This Row],[Uncert_Units]]</f>
        <v>8.3 mA</v>
      </c>
      <c r="U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V625" t="b">
        <f ca="1">Validation[[#This Row],[Desired Result]]=Validation[[#This Row],[Result]]</f>
        <v>0</v>
      </c>
      <c r="W625" t="b">
        <v>1</v>
      </c>
      <c r="X625" t="b">
        <f>Validation[[#This Row],[Range1_Low]]&gt;=Validation[[#This Row],[Range1_High]]</f>
        <v>0</v>
      </c>
      <c r="Y625" s="111" t="s">
        <v>2843</v>
      </c>
    </row>
    <row r="626" spans="1:25" ht="16.5" thickTop="1" thickBot="1" x14ac:dyDescent="0.3">
      <c r="A626" t="s">
        <v>68</v>
      </c>
      <c r="B626" t="s">
        <v>47</v>
      </c>
      <c r="C626" s="113">
        <v>1E-3</v>
      </c>
      <c r="D626" s="113">
        <v>1.04E-2</v>
      </c>
      <c r="E626">
        <v>9.9999999999999995E-7</v>
      </c>
      <c r="F626" t="s">
        <v>13</v>
      </c>
      <c r="G626" t="s">
        <v>11</v>
      </c>
      <c r="H626">
        <v>0.01</v>
      </c>
      <c r="I626">
        <v>2</v>
      </c>
      <c r="J626" t="s">
        <v>10</v>
      </c>
      <c r="K626">
        <v>9.6999999999999993</v>
      </c>
      <c r="L626">
        <v>1191.5</v>
      </c>
      <c r="M626">
        <v>9.6691000000000003</v>
      </c>
      <c r="N626">
        <v>1191.3</v>
      </c>
      <c r="O626" t="s">
        <v>2833</v>
      </c>
      <c r="P626" t="s">
        <v>2833</v>
      </c>
      <c r="Q626" t="s">
        <v>2833</v>
      </c>
      <c r="R626">
        <f ca="1">RAND()*(Validation[[#This Row],[Range1_High]]-Validation[[#This Row],[Range1_Low]])+Validation[[#This Row],[Range1_Low]]</f>
        <v>6.2266532699160474E-3</v>
      </c>
      <c r="S626">
        <f>Validation[[#This Row],[Range2_High]]</f>
        <v>2</v>
      </c>
      <c r="T626" t="str" cm="1">
        <f t="array" aca="1" ref="T626" ca="1">RoundToTwoSigFigs(Validation[[#This Row],[Test Reading]]*Validation[[#This Row],[Mult]]+Validation[[#This Row],[Base]]) &amp;" "&amp;Validation[[#This Row],[Uncert_Units]]</f>
        <v>17 µA</v>
      </c>
      <c r="U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V626" t="b">
        <f ca="1">Validation[[#This Row],[Desired Result]]=Validation[[#This Row],[Result]]</f>
        <v>1</v>
      </c>
      <c r="W626" t="b">
        <v>1</v>
      </c>
      <c r="X626" t="b">
        <f>Validation[[#This Row],[Range1_Low]]&gt;=Validation[[#This Row],[Range1_High]]</f>
        <v>0</v>
      </c>
      <c r="Y626" s="111" t="s">
        <v>2843</v>
      </c>
    </row>
    <row r="627" spans="1:25" ht="16.5" thickTop="1" thickBot="1" x14ac:dyDescent="0.3">
      <c r="A627" t="s">
        <v>54</v>
      </c>
      <c r="B627" t="s">
        <v>47</v>
      </c>
      <c r="C627" s="113">
        <v>3.3000000000000002E-2</v>
      </c>
      <c r="D627" s="113">
        <v>0.33001000000000003</v>
      </c>
      <c r="E627">
        <v>1.0000000000000001E-5</v>
      </c>
      <c r="F627" t="s">
        <v>13</v>
      </c>
      <c r="G627" t="s">
        <v>12</v>
      </c>
      <c r="H627">
        <v>0.02</v>
      </c>
      <c r="I627">
        <v>4.5010000000000001E-2</v>
      </c>
      <c r="J627" t="s">
        <v>10</v>
      </c>
      <c r="K627">
        <v>3.7999999999999999E-2</v>
      </c>
      <c r="L627">
        <v>1</v>
      </c>
      <c r="M627">
        <v>2.3358E-2</v>
      </c>
      <c r="N627">
        <v>1.0427999999999999</v>
      </c>
      <c r="O627" t="s">
        <v>2833</v>
      </c>
      <c r="P627" t="s">
        <v>2833</v>
      </c>
      <c r="Q627" t="s">
        <v>2833</v>
      </c>
      <c r="R627">
        <f ca="1">RAND()*(Validation[[#This Row],[Range1_High]]-Validation[[#This Row],[Range1_Low]])+Validation[[#This Row],[Range1_Low]]</f>
        <v>0.32999282529504681</v>
      </c>
      <c r="S627">
        <f>Validation[[#This Row],[Range2_High]]</f>
        <v>4.5010000000000001E-2</v>
      </c>
      <c r="T627" t="str" cm="1">
        <f t="array" aca="1" ref="T627" ca="1">RoundToTwoSigFigs(Validation[[#This Row],[Test Reading]]*Validation[[#This Row],[Mult]]+Validation[[#This Row],[Base]]) &amp;" "&amp;Validation[[#This Row],[Uncert_Units]]</f>
        <v>0.37 mA</v>
      </c>
      <c r="U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mA</v>
      </c>
      <c r="V627" t="b">
        <f ca="1">Validation[[#This Row],[Desired Result]]=Validation[[#This Row],[Result]]</f>
        <v>0</v>
      </c>
      <c r="W627" t="b">
        <v>1</v>
      </c>
      <c r="X627" t="b">
        <f>Validation[[#This Row],[Range1_Low]]&gt;=Validation[[#This Row],[Range1_High]]</f>
        <v>0</v>
      </c>
      <c r="Y627" s="111" t="s">
        <v>2843</v>
      </c>
    </row>
    <row r="628" spans="1:25" ht="15.75" thickTop="1" x14ac:dyDescent="0.25">
      <c r="A628" t="s">
        <v>54</v>
      </c>
      <c r="B628" t="s">
        <v>47</v>
      </c>
      <c r="C628">
        <v>11</v>
      </c>
      <c r="D628">
        <v>20.501000000000001</v>
      </c>
      <c r="E628">
        <v>1E-4</v>
      </c>
      <c r="F628" t="s">
        <v>13</v>
      </c>
      <c r="G628" t="s">
        <v>12</v>
      </c>
      <c r="H628">
        <v>1</v>
      </c>
      <c r="I628">
        <v>5</v>
      </c>
      <c r="J628" t="s">
        <v>10</v>
      </c>
      <c r="K628">
        <v>5.9</v>
      </c>
      <c r="L628">
        <v>35</v>
      </c>
      <c r="M628">
        <v>5.7742000000000004</v>
      </c>
      <c r="N628">
        <v>34.640999999999998</v>
      </c>
      <c r="O628" t="s">
        <v>2833</v>
      </c>
      <c r="P628" t="s">
        <v>2833</v>
      </c>
      <c r="Q628" t="s">
        <v>2833</v>
      </c>
      <c r="R628">
        <f ca="1">RAND()*(Validation[[#This Row],[Range1_High]]-Validation[[#This Row],[Range1_Low]])+Validation[[#This Row],[Range1_Low]]</f>
        <v>11.885022476446293</v>
      </c>
      <c r="S628">
        <f>Validation[[#This Row],[Range2_High]]</f>
        <v>5</v>
      </c>
      <c r="T628" t="str" cm="1">
        <f t="array" aca="1" ref="T628" ca="1">RoundToTwoSigFigs(Validation[[#This Row],[Test Reading]]*Validation[[#This Row],[Mult]]+Validation[[#This Row],[Base]]) &amp;" "&amp;Validation[[#This Row],[Uncert_Units]]</f>
        <v>420 mA</v>
      </c>
      <c r="U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V628" t="b">
        <f ca="1">Validation[[#This Row],[Desired Result]]=Validation[[#This Row],[Result]]</f>
        <v>1</v>
      </c>
      <c r="W628" t="b">
        <v>0</v>
      </c>
      <c r="X628" t="b">
        <f>Validation[[#This Row],[Range1_Low]]&gt;=Validation[[#This Row],[Range1_High]]</f>
        <v>0</v>
      </c>
      <c r="Y628" s="111" t="s">
        <v>2845</v>
      </c>
    </row>
    <row r="629" spans="1:25" ht="15.75" thickBot="1" x14ac:dyDescent="0.3">
      <c r="A629" t="s">
        <v>55</v>
      </c>
      <c r="B629" t="s">
        <v>47</v>
      </c>
      <c r="C629">
        <v>0</v>
      </c>
      <c r="D629">
        <v>1E-4</v>
      </c>
      <c r="E629">
        <v>1.0000000000000001E-5</v>
      </c>
      <c r="F629" t="s">
        <v>13</v>
      </c>
      <c r="G629" t="s">
        <v>11</v>
      </c>
      <c r="H629">
        <v>1E-3</v>
      </c>
      <c r="I629">
        <v>0.02</v>
      </c>
      <c r="J629" t="s">
        <v>10</v>
      </c>
      <c r="K629">
        <v>5.7739000000000003</v>
      </c>
      <c r="L629">
        <v>210.05</v>
      </c>
      <c r="M629">
        <v>5.7723000000000004</v>
      </c>
      <c r="N629">
        <v>209.55</v>
      </c>
      <c r="O629" t="s">
        <v>2833</v>
      </c>
      <c r="P629" t="s">
        <v>2833</v>
      </c>
      <c r="Q629" t="s">
        <v>2833</v>
      </c>
      <c r="R629">
        <f ca="1">RAND()*(Validation[[#This Row],[Range1_High]]-Validation[[#This Row],[Range1_Low]])+Validation[[#This Row],[Range1_Low]]</f>
        <v>9.4869069195251121E-5</v>
      </c>
      <c r="S629">
        <f>Validation[[#This Row],[Range2_High]]</f>
        <v>0.02</v>
      </c>
      <c r="T629" t="str" cm="1">
        <f t="array" aca="1" ref="T629" ca="1">RoundToTwoSigFigs(Validation[[#This Row],[Test Reading]]*Validation[[#This Row],[Mult]]+Validation[[#This Row],[Base]]) &amp;" "&amp;Validation[[#This Row],[Uncert_Units]]</f>
        <v>5.8 µA</v>
      </c>
      <c r="U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629" t="b">
        <f ca="1">Validation[[#This Row],[Desired Result]]=Validation[[#This Row],[Result]]</f>
        <v>1</v>
      </c>
      <c r="W629" t="b">
        <v>0</v>
      </c>
      <c r="X629" t="b">
        <f>Validation[[#This Row],[Range1_Low]]&gt;=Validation[[#This Row],[Range1_High]]</f>
        <v>0</v>
      </c>
      <c r="Y629" s="111" t="s">
        <v>2845</v>
      </c>
    </row>
    <row r="630" spans="1:25" ht="16.5" thickTop="1" thickBot="1" x14ac:dyDescent="0.3">
      <c r="A630" t="s">
        <v>55</v>
      </c>
      <c r="B630" t="s">
        <v>47</v>
      </c>
      <c r="C630" s="113">
        <v>0.01</v>
      </c>
      <c r="D630" s="113">
        <v>0.1</v>
      </c>
      <c r="E630">
        <v>1E-4</v>
      </c>
      <c r="F630" t="s">
        <v>13</v>
      </c>
      <c r="G630" t="s">
        <v>11</v>
      </c>
      <c r="H630">
        <v>1E-3</v>
      </c>
      <c r="I630">
        <v>0.02</v>
      </c>
      <c r="J630" t="s">
        <v>10</v>
      </c>
      <c r="K630">
        <v>46.067</v>
      </c>
      <c r="L630">
        <v>4424.3999999999996</v>
      </c>
      <c r="M630">
        <v>45.963999999999999</v>
      </c>
      <c r="N630">
        <v>4424.6000000000004</v>
      </c>
      <c r="O630" t="s">
        <v>2833</v>
      </c>
      <c r="P630" t="s">
        <v>2833</v>
      </c>
      <c r="Q630" t="s">
        <v>2833</v>
      </c>
      <c r="R630">
        <f ca="1">RAND()*(Validation[[#This Row],[Range1_High]]-Validation[[#This Row],[Range1_Low]])+Validation[[#This Row],[Range1_Low]]</f>
        <v>2.2863971199279597E-2</v>
      </c>
      <c r="S630">
        <f>Validation[[#This Row],[Range2_High]]</f>
        <v>0.02</v>
      </c>
      <c r="T630" t="str" cm="1">
        <f t="array" aca="1" ref="T630" ca="1">RoundToTwoSigFigs(Validation[[#This Row],[Test Reading]]*Validation[[#This Row],[Mult]]+Validation[[#This Row],[Base]]) &amp;" "&amp;Validation[[#This Row],[Uncert_Units]]</f>
        <v>150 µA</v>
      </c>
      <c r="U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V630" t="b">
        <f ca="1">Validation[[#This Row],[Desired Result]]=Validation[[#This Row],[Result]]</f>
        <v>1</v>
      </c>
      <c r="W630" t="b">
        <v>1</v>
      </c>
      <c r="X630" t="b">
        <f>Validation[[#This Row],[Range1_Low]]&gt;=Validation[[#This Row],[Range1_High]]</f>
        <v>0</v>
      </c>
      <c r="Y630" s="111" t="s">
        <v>2843</v>
      </c>
    </row>
    <row r="631" spans="1:25" ht="16.5" thickTop="1" thickBot="1" x14ac:dyDescent="0.3">
      <c r="A631" t="s">
        <v>55</v>
      </c>
      <c r="B631" t="s">
        <v>47</v>
      </c>
      <c r="C631" s="113">
        <v>1E-3</v>
      </c>
      <c r="D631" s="113">
        <v>0.01</v>
      </c>
      <c r="E631">
        <v>9.9999999999999995E-8</v>
      </c>
      <c r="F631" t="s">
        <v>13</v>
      </c>
      <c r="G631" t="s">
        <v>11</v>
      </c>
      <c r="H631">
        <v>1E-3</v>
      </c>
      <c r="I631">
        <v>0.02</v>
      </c>
      <c r="J631" t="s">
        <v>10</v>
      </c>
      <c r="K631">
        <v>2.5</v>
      </c>
      <c r="L631">
        <v>4600</v>
      </c>
      <c r="M631">
        <v>2.3100999999999998</v>
      </c>
      <c r="N631">
        <v>4618.8</v>
      </c>
      <c r="O631" t="s">
        <v>2833</v>
      </c>
      <c r="P631" t="s">
        <v>2833</v>
      </c>
      <c r="Q631" t="s">
        <v>2833</v>
      </c>
      <c r="R631">
        <f ca="1">RAND()*(Validation[[#This Row],[Range1_High]]-Validation[[#This Row],[Range1_Low]])+Validation[[#This Row],[Range1_Low]]</f>
        <v>9.8447555079485757E-3</v>
      </c>
      <c r="S631">
        <f>Validation[[#This Row],[Range2_High]]</f>
        <v>0.02</v>
      </c>
      <c r="T631" t="str" cm="1">
        <f t="array" aca="1" ref="T631" ca="1">RoundToTwoSigFigs(Validation[[#This Row],[Test Reading]]*Validation[[#This Row],[Mult]]+Validation[[#This Row],[Base]]) &amp;" "&amp;Validation[[#This Row],[Uncert_Units]]</f>
        <v>48 µA</v>
      </c>
      <c r="U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V631" t="b">
        <f ca="1">Validation[[#This Row],[Desired Result]]=Validation[[#This Row],[Result]]</f>
        <v>0</v>
      </c>
      <c r="W631" t="b">
        <v>1</v>
      </c>
      <c r="X631" t="b">
        <f>Validation[[#This Row],[Range1_Low]]&gt;=Validation[[#This Row],[Range1_High]]</f>
        <v>0</v>
      </c>
      <c r="Y631" s="111" t="s">
        <v>2843</v>
      </c>
    </row>
    <row r="632" spans="1:25" ht="16.5" thickTop="1" thickBot="1" x14ac:dyDescent="0.3">
      <c r="A632" t="s">
        <v>54</v>
      </c>
      <c r="B632" t="s">
        <v>47</v>
      </c>
      <c r="C632" s="113">
        <v>3.3E-4</v>
      </c>
      <c r="D632" s="113">
        <v>3.3000999999999998E-3</v>
      </c>
      <c r="E632">
        <v>1E-8</v>
      </c>
      <c r="F632" t="s">
        <v>13</v>
      </c>
      <c r="G632" t="s">
        <v>11</v>
      </c>
      <c r="H632">
        <v>30</v>
      </c>
      <c r="I632">
        <v>30.1</v>
      </c>
      <c r="J632" t="s">
        <v>10</v>
      </c>
      <c r="K632">
        <v>0.7</v>
      </c>
      <c r="L632">
        <v>12000</v>
      </c>
      <c r="M632">
        <v>0.69332000000000005</v>
      </c>
      <c r="N632">
        <v>11547</v>
      </c>
      <c r="O632" t="s">
        <v>2833</v>
      </c>
      <c r="P632" t="s">
        <v>2833</v>
      </c>
      <c r="Q632" t="s">
        <v>2833</v>
      </c>
      <c r="R632">
        <f ca="1">RAND()*(Validation[[#This Row],[Range1_High]]-Validation[[#This Row],[Range1_Low]])+Validation[[#This Row],[Range1_Low]]</f>
        <v>2.9726473120261251E-3</v>
      </c>
      <c r="S632">
        <f>Validation[[#This Row],[Range2_High]]</f>
        <v>30.1</v>
      </c>
      <c r="T632" t="str" cm="1">
        <f t="array" aca="1" ref="T632" ca="1">RoundToTwoSigFigs(Validation[[#This Row],[Test Reading]]*Validation[[#This Row],[Mult]]+Validation[[#This Row],[Base]]) &amp;" "&amp;Validation[[#This Row],[Uncert_Units]]</f>
        <v>36 µA</v>
      </c>
      <c r="U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V632" t="b">
        <f ca="1">Validation[[#This Row],[Desired Result]]=Validation[[#This Row],[Result]]</f>
        <v>1</v>
      </c>
      <c r="W632" t="b">
        <v>1</v>
      </c>
      <c r="X632" t="b">
        <f>Validation[[#This Row],[Range1_Low]]&gt;=Validation[[#This Row],[Range1_High]]</f>
        <v>0</v>
      </c>
      <c r="Y632" s="111" t="s">
        <v>2843</v>
      </c>
    </row>
    <row r="633" spans="1:25" ht="16.5" thickTop="1" thickBot="1" x14ac:dyDescent="0.3">
      <c r="A633" t="s">
        <v>54</v>
      </c>
      <c r="B633" t="s">
        <v>47</v>
      </c>
      <c r="C633" s="113">
        <v>3.3E-3</v>
      </c>
      <c r="D633" s="113">
        <v>3.3001000000000003E-2</v>
      </c>
      <c r="E633">
        <v>1E-4</v>
      </c>
      <c r="F633" t="s">
        <v>13</v>
      </c>
      <c r="G633" t="s">
        <v>11</v>
      </c>
      <c r="H633">
        <v>4.4999999999999998E-2</v>
      </c>
      <c r="I633">
        <v>1.0000100000000001</v>
      </c>
      <c r="J633" t="s">
        <v>10</v>
      </c>
      <c r="K633">
        <v>577.34</v>
      </c>
      <c r="L633">
        <v>8.7265999999999995</v>
      </c>
      <c r="M633">
        <v>577.34</v>
      </c>
      <c r="N633">
        <v>8.6681000000000008</v>
      </c>
      <c r="O633" t="s">
        <v>2833</v>
      </c>
      <c r="P633" t="s">
        <v>2833</v>
      </c>
      <c r="Q633" t="s">
        <v>2833</v>
      </c>
      <c r="R633">
        <f ca="1">RAND()*(Validation[[#This Row],[Range1_High]]-Validation[[#This Row],[Range1_Low]])+Validation[[#This Row],[Range1_Low]]</f>
        <v>6.1890300506765895E-3</v>
      </c>
      <c r="S633">
        <f>Validation[[#This Row],[Range2_High]]</f>
        <v>1.0000100000000001</v>
      </c>
      <c r="T633" t="str" cm="1">
        <f t="array" aca="1" ref="T633" ca="1">RoundToTwoSigFigs(Validation[[#This Row],[Test Reading]]*Validation[[#This Row],[Mult]]+Validation[[#This Row],[Base]]) &amp;" "&amp;Validation[[#This Row],[Uncert_Units]]</f>
        <v>580 µA</v>
      </c>
      <c r="U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633" t="b">
        <f ca="1">Validation[[#This Row],[Desired Result]]=Validation[[#This Row],[Result]]</f>
        <v>1</v>
      </c>
      <c r="W633" t="b">
        <v>1</v>
      </c>
      <c r="X633" t="b">
        <f>Validation[[#This Row],[Range1_Low]]&gt;=Validation[[#This Row],[Range1_High]]</f>
        <v>0</v>
      </c>
      <c r="Y633" s="111" t="s">
        <v>2843</v>
      </c>
    </row>
    <row r="634" spans="1:25" ht="16.5" thickTop="1" thickBot="1" x14ac:dyDescent="0.3">
      <c r="A634" t="s">
        <v>55</v>
      </c>
      <c r="B634" t="s">
        <v>47</v>
      </c>
      <c r="C634" s="113">
        <v>10</v>
      </c>
      <c r="D634" s="113">
        <v>20</v>
      </c>
      <c r="E634">
        <v>1E-3</v>
      </c>
      <c r="F634" t="s">
        <v>13</v>
      </c>
      <c r="G634" t="s">
        <v>12</v>
      </c>
      <c r="H634">
        <v>0.05</v>
      </c>
      <c r="I634">
        <v>1</v>
      </c>
      <c r="J634" t="s">
        <v>10</v>
      </c>
      <c r="K634">
        <v>0</v>
      </c>
      <c r="L634">
        <v>0.5</v>
      </c>
      <c r="M634">
        <v>2.2467000000000001</v>
      </c>
      <c r="N634">
        <v>0.11228</v>
      </c>
      <c r="O634" t="s">
        <v>2833</v>
      </c>
      <c r="P634" t="s">
        <v>2833</v>
      </c>
      <c r="Q634" t="s">
        <v>2833</v>
      </c>
      <c r="R634">
        <f ca="1">RAND()*(Validation[[#This Row],[Range1_High]]-Validation[[#This Row],[Range1_Low]])+Validation[[#This Row],[Range1_Low]]</f>
        <v>19.004065685856666</v>
      </c>
      <c r="S634">
        <f>Validation[[#This Row],[Range2_High]]</f>
        <v>1</v>
      </c>
      <c r="T634" t="str" cm="1">
        <f t="array" aca="1" ref="T634" ca="1">RoundToTwoSigFigs(Validation[[#This Row],[Test Reading]]*Validation[[#This Row],[Mult]]+Validation[[#This Row],[Base]]) &amp;" "&amp;Validation[[#This Row],[Uncert_Units]]</f>
        <v>9.5 mA</v>
      </c>
      <c r="U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V634" t="b">
        <f ca="1">Validation[[#This Row],[Desired Result]]=Validation[[#This Row],[Result]]</f>
        <v>0</v>
      </c>
      <c r="W634" t="b">
        <v>1</v>
      </c>
      <c r="X634" t="b">
        <f>Validation[[#This Row],[Range1_Low]]&gt;=Validation[[#This Row],[Range1_High]]</f>
        <v>0</v>
      </c>
      <c r="Y634" s="111" t="s">
        <v>2843</v>
      </c>
    </row>
    <row r="635" spans="1:25" ht="15.75" thickTop="1" x14ac:dyDescent="0.25">
      <c r="A635" t="s">
        <v>55</v>
      </c>
      <c r="B635" t="s">
        <v>47</v>
      </c>
      <c r="C635">
        <v>1E-4</v>
      </c>
      <c r="D635">
        <v>1E-3</v>
      </c>
      <c r="E635">
        <v>1E-10</v>
      </c>
      <c r="F635" t="s">
        <v>13</v>
      </c>
      <c r="G635" t="s">
        <v>11</v>
      </c>
      <c r="H635">
        <v>20</v>
      </c>
      <c r="I635">
        <v>50</v>
      </c>
      <c r="J635" t="s">
        <v>10</v>
      </c>
      <c r="K635">
        <v>0.47</v>
      </c>
      <c r="L635">
        <v>4800</v>
      </c>
      <c r="M635">
        <v>0.46627000000000002</v>
      </c>
      <c r="N635">
        <v>4761.7</v>
      </c>
      <c r="O635" t="s">
        <v>2833</v>
      </c>
      <c r="P635" t="s">
        <v>2833</v>
      </c>
      <c r="Q635" t="s">
        <v>2833</v>
      </c>
      <c r="R635">
        <f ca="1">RAND()*(Validation[[#This Row],[Range1_High]]-Validation[[#This Row],[Range1_Low]])+Validation[[#This Row],[Range1_Low]]</f>
        <v>2.5477581456933337E-4</v>
      </c>
      <c r="S635">
        <f>Validation[[#This Row],[Range2_High]]</f>
        <v>50</v>
      </c>
      <c r="T635" t="str" cm="1">
        <f t="array" aca="1" ref="T635" ca="1">RoundToTwoSigFigs(Validation[[#This Row],[Test Reading]]*Validation[[#This Row],[Mult]]+Validation[[#This Row],[Base]]) &amp;" "&amp;Validation[[#This Row],[Uncert_Units]]</f>
        <v>1.7 µA</v>
      </c>
      <c r="U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V635" t="b">
        <f ca="1">Validation[[#This Row],[Desired Result]]=Validation[[#This Row],[Result]]</f>
        <v>1</v>
      </c>
      <c r="W635" t="b">
        <v>1</v>
      </c>
      <c r="X635" t="b">
        <f>Validation[[#This Row],[Range1_Low]]&gt;=Validation[[#This Row],[Range1_High]]</f>
        <v>0</v>
      </c>
      <c r="Y635" s="111" t="s">
        <v>2845</v>
      </c>
    </row>
    <row r="636" spans="1:25" x14ac:dyDescent="0.25">
      <c r="A636" t="s">
        <v>54</v>
      </c>
      <c r="B636" t="s">
        <v>47</v>
      </c>
      <c r="C636">
        <v>3</v>
      </c>
      <c r="D636">
        <v>11.000999999999999</v>
      </c>
      <c r="E636">
        <v>1</v>
      </c>
      <c r="F636" t="s">
        <v>13</v>
      </c>
      <c r="G636" t="s">
        <v>12</v>
      </c>
      <c r="H636">
        <v>0.1</v>
      </c>
      <c r="I636">
        <v>1.0000100000000001</v>
      </c>
      <c r="J636" t="s">
        <v>10</v>
      </c>
      <c r="K636">
        <v>577.32000000000005</v>
      </c>
      <c r="L636">
        <v>2.0884E-2</v>
      </c>
      <c r="M636">
        <v>577.32000000000005</v>
      </c>
      <c r="N636">
        <v>2.0799000000000002E-2</v>
      </c>
      <c r="O636" t="s">
        <v>2833</v>
      </c>
      <c r="P636" t="s">
        <v>2833</v>
      </c>
      <c r="Q636" t="s">
        <v>2833</v>
      </c>
      <c r="R636">
        <f ca="1">RAND()*(Validation[[#This Row],[Range1_High]]-Validation[[#This Row],[Range1_Low]])+Validation[[#This Row],[Range1_Low]]</f>
        <v>4.7691643219617657</v>
      </c>
      <c r="S636">
        <f>Validation[[#This Row],[Range2_High]]</f>
        <v>1.0000100000000001</v>
      </c>
      <c r="T636" t="str" cm="1">
        <f t="array" aca="1" ref="T636" ca="1">RoundToTwoSigFigs(Validation[[#This Row],[Test Reading]]*Validation[[#This Row],[Mult]]+Validation[[#This Row],[Base]]) &amp;" "&amp;Validation[[#This Row],[Uncert_Units]]</f>
        <v>580 mA</v>
      </c>
      <c r="U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636" t="b">
        <f ca="1">Validation[[#This Row],[Desired Result]]=Validation[[#This Row],[Result]]</f>
        <v>1</v>
      </c>
      <c r="W636" t="b">
        <v>0</v>
      </c>
      <c r="X636" t="b">
        <f>Validation[[#This Row],[Range1_Low]]&gt;=Validation[[#This Row],[Range1_High]]</f>
        <v>0</v>
      </c>
      <c r="Y636" s="111" t="s">
        <v>2845</v>
      </c>
    </row>
    <row r="637" spans="1:25" x14ac:dyDescent="0.25">
      <c r="A637" t="s">
        <v>54</v>
      </c>
      <c r="B637" t="s">
        <v>47</v>
      </c>
      <c r="C637">
        <v>0</v>
      </c>
      <c r="D637">
        <v>3.3000999999999999E-4</v>
      </c>
      <c r="E637">
        <v>1E-3</v>
      </c>
      <c r="F637" t="s">
        <v>13</v>
      </c>
      <c r="G637" t="s">
        <v>11</v>
      </c>
      <c r="H637">
        <v>30</v>
      </c>
      <c r="I637">
        <v>30.1</v>
      </c>
      <c r="J637" t="s">
        <v>10</v>
      </c>
      <c r="K637">
        <v>577.35</v>
      </c>
      <c r="L637">
        <v>121.09</v>
      </c>
      <c r="M637">
        <v>577.32000000000005</v>
      </c>
      <c r="N637">
        <v>120.9</v>
      </c>
      <c r="O637" t="s">
        <v>2833</v>
      </c>
      <c r="P637" t="s">
        <v>2833</v>
      </c>
      <c r="Q637" t="s">
        <v>2833</v>
      </c>
      <c r="R637">
        <f ca="1">RAND()*(Validation[[#This Row],[Range1_High]]-Validation[[#This Row],[Range1_Low]])+Validation[[#This Row],[Range1_Low]]</f>
        <v>1.4942572177119426E-4</v>
      </c>
      <c r="S637">
        <f>Validation[[#This Row],[Range2_High]]</f>
        <v>30.1</v>
      </c>
      <c r="T637" t="str" cm="1">
        <f t="array" aca="1" ref="T637" ca="1">RoundToTwoSigFigs(Validation[[#This Row],[Test Reading]]*Validation[[#This Row],[Mult]]+Validation[[#This Row],[Base]]) &amp;" "&amp;Validation[[#This Row],[Uncert_Units]]</f>
        <v>580 µA</v>
      </c>
      <c r="U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637" t="b">
        <f ca="1">Validation[[#This Row],[Desired Result]]=Validation[[#This Row],[Result]]</f>
        <v>1</v>
      </c>
      <c r="W637" t="b">
        <v>0</v>
      </c>
      <c r="X637" t="b">
        <f>Validation[[#This Row],[Range1_Low]]&gt;=Validation[[#This Row],[Range1_High]]</f>
        <v>0</v>
      </c>
      <c r="Y637" s="111" t="s">
        <v>2845</v>
      </c>
    </row>
    <row r="638" spans="1:25" x14ac:dyDescent="0.25">
      <c r="A638" t="s">
        <v>55</v>
      </c>
      <c r="B638" t="s">
        <v>47</v>
      </c>
      <c r="C638">
        <v>1E-3</v>
      </c>
      <c r="D638">
        <v>0.01</v>
      </c>
      <c r="E638">
        <v>1.0000000000000001E-5</v>
      </c>
      <c r="F638" t="s">
        <v>13</v>
      </c>
      <c r="G638" t="s">
        <v>11</v>
      </c>
      <c r="H638">
        <v>20</v>
      </c>
      <c r="I638">
        <v>50</v>
      </c>
      <c r="J638" t="s">
        <v>10</v>
      </c>
      <c r="K638">
        <v>6.3814000000000002</v>
      </c>
      <c r="L638">
        <v>4600.8</v>
      </c>
      <c r="M638">
        <v>6.3659999999999997</v>
      </c>
      <c r="N638">
        <v>4600.8</v>
      </c>
      <c r="O638" t="s">
        <v>2833</v>
      </c>
      <c r="P638" t="s">
        <v>2833</v>
      </c>
      <c r="Q638" t="s">
        <v>2833</v>
      </c>
      <c r="R638">
        <f ca="1">RAND()*(Validation[[#This Row],[Range1_High]]-Validation[[#This Row],[Range1_Low]])+Validation[[#This Row],[Range1_Low]]</f>
        <v>1.574604903660595E-3</v>
      </c>
      <c r="S638">
        <f>Validation[[#This Row],[Range2_High]]</f>
        <v>50</v>
      </c>
      <c r="T638" t="str" cm="1">
        <f t="array" aca="1" ref="T638" ca="1">RoundToTwoSigFigs(Validation[[#This Row],[Test Reading]]*Validation[[#This Row],[Mult]]+Validation[[#This Row],[Base]]) &amp;" "&amp;Validation[[#This Row],[Uncert_Units]]</f>
        <v>14 µA</v>
      </c>
      <c r="U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V638" t="b">
        <f ca="1">Validation[[#This Row],[Desired Result]]=Validation[[#This Row],[Result]]</f>
        <v>0</v>
      </c>
      <c r="W638" t="b">
        <v>1</v>
      </c>
      <c r="X638" t="b">
        <f>Validation[[#This Row],[Range1_Low]]&gt;=Validation[[#This Row],[Range1_High]]</f>
        <v>0</v>
      </c>
      <c r="Y638" s="111" t="s">
        <v>2845</v>
      </c>
    </row>
    <row r="639" spans="1:25" ht="15.75" thickBot="1" x14ac:dyDescent="0.3">
      <c r="A639" t="s">
        <v>54</v>
      </c>
      <c r="B639" t="s">
        <v>47</v>
      </c>
      <c r="C639">
        <v>3.3000000000000002E-2</v>
      </c>
      <c r="D639">
        <v>0.33001000000000003</v>
      </c>
      <c r="E639">
        <v>0.01</v>
      </c>
      <c r="F639" t="s">
        <v>13</v>
      </c>
      <c r="G639" t="s">
        <v>12</v>
      </c>
      <c r="H639">
        <v>4.4999999999999998E-2</v>
      </c>
      <c r="I639">
        <v>1.0000100000000001</v>
      </c>
      <c r="J639" t="s">
        <v>10</v>
      </c>
      <c r="K639">
        <v>5.7733999999999996</v>
      </c>
      <c r="L639">
        <v>8.8941000000000003E-3</v>
      </c>
      <c r="M639">
        <v>5.7733999999999996</v>
      </c>
      <c r="N639">
        <v>8.8681999999999997E-3</v>
      </c>
      <c r="O639" t="s">
        <v>2833</v>
      </c>
      <c r="P639" t="s">
        <v>2833</v>
      </c>
      <c r="Q639" t="s">
        <v>2833</v>
      </c>
      <c r="R639">
        <f ca="1">RAND()*(Validation[[#This Row],[Range1_High]]-Validation[[#This Row],[Range1_Low]])+Validation[[#This Row],[Range1_Low]]</f>
        <v>4.9853341798422324E-2</v>
      </c>
      <c r="S639">
        <f>Validation[[#This Row],[Range2_High]]</f>
        <v>1.0000100000000001</v>
      </c>
      <c r="T639" t="str" cm="1">
        <f t="array" aca="1" ref="T639" ca="1">RoundToTwoSigFigs(Validation[[#This Row],[Test Reading]]*Validation[[#This Row],[Mult]]+Validation[[#This Row],[Base]]) &amp;" "&amp;Validation[[#This Row],[Uncert_Units]]</f>
        <v>5.8 mA</v>
      </c>
      <c r="U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639" t="b">
        <f ca="1">Validation[[#This Row],[Desired Result]]=Validation[[#This Row],[Result]]</f>
        <v>1</v>
      </c>
      <c r="W639" t="b">
        <v>0</v>
      </c>
      <c r="X639" t="b">
        <f>Validation[[#This Row],[Range1_Low]]&gt;=Validation[[#This Row],[Range1_High]]</f>
        <v>0</v>
      </c>
      <c r="Y639" s="111" t="s">
        <v>2845</v>
      </c>
    </row>
    <row r="640" spans="1:25" ht="16.5" thickTop="1" thickBot="1" x14ac:dyDescent="0.3">
      <c r="A640" t="s">
        <v>54</v>
      </c>
      <c r="B640" t="s">
        <v>47</v>
      </c>
      <c r="C640" s="113">
        <v>3.3000000000000002E-2</v>
      </c>
      <c r="D640" s="113">
        <v>0.33001000000000003</v>
      </c>
      <c r="E640">
        <v>1E-4</v>
      </c>
      <c r="F640" t="s">
        <v>13</v>
      </c>
      <c r="G640" t="s">
        <v>12</v>
      </c>
      <c r="H640">
        <v>1</v>
      </c>
      <c r="I640">
        <v>5.01</v>
      </c>
      <c r="J640" t="s">
        <v>10</v>
      </c>
      <c r="K640">
        <v>7.3934E-2</v>
      </c>
      <c r="L640">
        <v>1.1516999999999999</v>
      </c>
      <c r="M640">
        <v>7.5028999999999998E-2</v>
      </c>
      <c r="N640">
        <v>1.1174999999999999</v>
      </c>
      <c r="O640" t="s">
        <v>2833</v>
      </c>
      <c r="P640" t="s">
        <v>2833</v>
      </c>
      <c r="Q640" t="s">
        <v>2833</v>
      </c>
      <c r="R640">
        <f ca="1">RAND()*(Validation[[#This Row],[Range1_High]]-Validation[[#This Row],[Range1_Low]])+Validation[[#This Row],[Range1_Low]]</f>
        <v>0.19927355183912618</v>
      </c>
      <c r="S640">
        <f>Validation[[#This Row],[Range2_High]]</f>
        <v>5.01</v>
      </c>
      <c r="T640" t="str" cm="1">
        <f t="array" aca="1" ref="T640" ca="1">RoundToTwoSigFigs(Validation[[#This Row],[Test Reading]]*Validation[[#This Row],[Mult]]+Validation[[#This Row],[Base]]) &amp;" "&amp;Validation[[#This Row],[Uncert_Units]]</f>
        <v>0.3 mA</v>
      </c>
      <c r="U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V640" t="b">
        <f ca="1">Validation[[#This Row],[Desired Result]]=Validation[[#This Row],[Result]]</f>
        <v>0</v>
      </c>
      <c r="W640" t="b">
        <v>1</v>
      </c>
      <c r="X640" t="b">
        <f>Validation[[#This Row],[Range1_Low]]&gt;=Validation[[#This Row],[Range1_High]]</f>
        <v>0</v>
      </c>
      <c r="Y640" s="111" t="s">
        <v>2843</v>
      </c>
    </row>
    <row r="641" spans="1:25" ht="15.75" thickTop="1" x14ac:dyDescent="0.25">
      <c r="A641" t="s">
        <v>54</v>
      </c>
      <c r="B641" t="s">
        <v>47</v>
      </c>
      <c r="C641">
        <v>3.3000000000000002E-2</v>
      </c>
      <c r="D641">
        <v>0.33001000000000003</v>
      </c>
      <c r="E641">
        <v>1E-3</v>
      </c>
      <c r="F641" t="s">
        <v>13</v>
      </c>
      <c r="G641" t="s">
        <v>12</v>
      </c>
      <c r="H641">
        <v>5</v>
      </c>
      <c r="I641">
        <v>10.01</v>
      </c>
      <c r="J641" t="s">
        <v>10</v>
      </c>
      <c r="K641">
        <v>0.55922000000000005</v>
      </c>
      <c r="L641">
        <v>1.4903999999999999</v>
      </c>
      <c r="M641">
        <v>0.55915999999999999</v>
      </c>
      <c r="N641">
        <v>1.4903999999999999</v>
      </c>
      <c r="O641" t="s">
        <v>2833</v>
      </c>
      <c r="P641" t="s">
        <v>2833</v>
      </c>
      <c r="Q641" t="s">
        <v>2833</v>
      </c>
      <c r="R641">
        <f ca="1">RAND()*(Validation[[#This Row],[Range1_High]]-Validation[[#This Row],[Range1_Low]])+Validation[[#This Row],[Range1_Low]]</f>
        <v>0.29704525823347483</v>
      </c>
      <c r="S641">
        <f>Validation[[#This Row],[Range2_High]]</f>
        <v>10.01</v>
      </c>
      <c r="T641" t="str" cm="1">
        <f t="array" aca="1" ref="T641" ca="1">RoundToTwoSigFigs(Validation[[#This Row],[Test Reading]]*Validation[[#This Row],[Mult]]+Validation[[#This Row],[Base]]) &amp;" "&amp;Validation[[#This Row],[Uncert_Units]]</f>
        <v>1 mA</v>
      </c>
      <c r="U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V641" t="b">
        <f ca="1">Validation[[#This Row],[Desired Result]]=Validation[[#This Row],[Result]]</f>
        <v>0</v>
      </c>
      <c r="W641" t="b">
        <v>1</v>
      </c>
      <c r="X641" t="b">
        <f>Validation[[#This Row],[Range1_Low]]&gt;=Validation[[#This Row],[Range1_High]]</f>
        <v>0</v>
      </c>
      <c r="Y641" s="111" t="s">
        <v>2845</v>
      </c>
    </row>
    <row r="642" spans="1:25" x14ac:dyDescent="0.25">
      <c r="A642" t="s">
        <v>54</v>
      </c>
      <c r="B642" t="s">
        <v>47</v>
      </c>
      <c r="C642">
        <v>0</v>
      </c>
      <c r="D642">
        <v>3.3000999999999999E-4</v>
      </c>
      <c r="E642">
        <v>1E-4</v>
      </c>
      <c r="F642" t="s">
        <v>13</v>
      </c>
      <c r="G642" t="s">
        <v>11</v>
      </c>
      <c r="H642">
        <v>5</v>
      </c>
      <c r="I642">
        <v>10.01</v>
      </c>
      <c r="J642" t="s">
        <v>10</v>
      </c>
      <c r="K642">
        <v>57.728999999999999</v>
      </c>
      <c r="L642">
        <v>302.48</v>
      </c>
      <c r="M642">
        <v>57.728999999999999</v>
      </c>
      <c r="N642">
        <v>302.01</v>
      </c>
      <c r="O642" t="s">
        <v>2833</v>
      </c>
      <c r="P642" t="s">
        <v>2833</v>
      </c>
      <c r="Q642" t="s">
        <v>2833</v>
      </c>
      <c r="R642">
        <f ca="1">RAND()*(Validation[[#This Row],[Range1_High]]-Validation[[#This Row],[Range1_Low]])+Validation[[#This Row],[Range1_Low]]</f>
        <v>2.2658909649502995E-4</v>
      </c>
      <c r="S642">
        <f>Validation[[#This Row],[Range2_High]]</f>
        <v>10.01</v>
      </c>
      <c r="T642" t="str" cm="1">
        <f t="array" aca="1" ref="T642" ca="1">RoundToTwoSigFigs(Validation[[#This Row],[Test Reading]]*Validation[[#This Row],[Mult]]+Validation[[#This Row],[Base]]) &amp;" "&amp;Validation[[#This Row],[Uncert_Units]]</f>
        <v>58 µA</v>
      </c>
      <c r="U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642" t="b">
        <f ca="1">Validation[[#This Row],[Desired Result]]=Validation[[#This Row],[Result]]</f>
        <v>1</v>
      </c>
      <c r="W642" t="b">
        <v>0</v>
      </c>
      <c r="X642" t="b">
        <f>Validation[[#This Row],[Range1_Low]]&gt;=Validation[[#This Row],[Range1_High]]</f>
        <v>0</v>
      </c>
      <c r="Y642" s="111" t="s">
        <v>2845</v>
      </c>
    </row>
    <row r="643" spans="1:25" x14ac:dyDescent="0.25">
      <c r="A643" t="s">
        <v>54</v>
      </c>
      <c r="B643" t="s">
        <v>47</v>
      </c>
      <c r="C643">
        <v>0</v>
      </c>
      <c r="D643">
        <v>3.3000999999999999E-4</v>
      </c>
      <c r="E643">
        <v>1.0000000000000001E-5</v>
      </c>
      <c r="F643" t="s">
        <v>13</v>
      </c>
      <c r="G643" t="s">
        <v>11</v>
      </c>
      <c r="H643">
        <v>1</v>
      </c>
      <c r="I643">
        <v>5.01</v>
      </c>
      <c r="J643" t="s">
        <v>10</v>
      </c>
      <c r="K643">
        <v>5.7664999999999997</v>
      </c>
      <c r="L643">
        <v>471.27</v>
      </c>
      <c r="M643">
        <v>5.7664</v>
      </c>
      <c r="N643">
        <v>470.74</v>
      </c>
      <c r="O643" t="s">
        <v>2833</v>
      </c>
      <c r="P643" t="s">
        <v>2833</v>
      </c>
      <c r="Q643" t="s">
        <v>2833</v>
      </c>
      <c r="R643">
        <f ca="1">RAND()*(Validation[[#This Row],[Range1_High]]-Validation[[#This Row],[Range1_Low]])+Validation[[#This Row],[Range1_Low]]</f>
        <v>1.4277700014579981E-4</v>
      </c>
      <c r="S643">
        <f>Validation[[#This Row],[Range2_High]]</f>
        <v>5.01</v>
      </c>
      <c r="T643" t="str" cm="1">
        <f t="array" aca="1" ref="T643" ca="1">RoundToTwoSigFigs(Validation[[#This Row],[Test Reading]]*Validation[[#This Row],[Mult]]+Validation[[#This Row],[Base]]) &amp;" "&amp;Validation[[#This Row],[Uncert_Units]]</f>
        <v>5.8 µA</v>
      </c>
      <c r="U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643" t="b">
        <f ca="1">Validation[[#This Row],[Desired Result]]=Validation[[#This Row],[Result]]</f>
        <v>1</v>
      </c>
      <c r="W643" t="b">
        <v>0</v>
      </c>
      <c r="X643" t="b">
        <f>Validation[[#This Row],[Range1_Low]]&gt;=Validation[[#This Row],[Range1_High]]</f>
        <v>0</v>
      </c>
      <c r="Y643" s="111" t="s">
        <v>2845</v>
      </c>
    </row>
    <row r="644" spans="1:25" x14ac:dyDescent="0.25">
      <c r="A644" t="s">
        <v>55</v>
      </c>
      <c r="B644" t="s">
        <v>47</v>
      </c>
      <c r="C644">
        <v>1E-3</v>
      </c>
      <c r="D644">
        <v>0.01</v>
      </c>
      <c r="E644">
        <v>1.0000000000000001E-5</v>
      </c>
      <c r="F644" t="s">
        <v>13</v>
      </c>
      <c r="G644" t="s">
        <v>11</v>
      </c>
      <c r="H644">
        <v>5</v>
      </c>
      <c r="I644">
        <v>20</v>
      </c>
      <c r="J644" t="s">
        <v>10</v>
      </c>
      <c r="K644">
        <v>6.0251000000000001</v>
      </c>
      <c r="L644">
        <v>518.67999999999995</v>
      </c>
      <c r="M644">
        <v>6.0044000000000004</v>
      </c>
      <c r="N644">
        <v>513.52</v>
      </c>
      <c r="O644" t="s">
        <v>2833</v>
      </c>
      <c r="P644" t="s">
        <v>2833</v>
      </c>
      <c r="Q644" t="s">
        <v>2833</v>
      </c>
      <c r="R644">
        <f ca="1">RAND()*(Validation[[#This Row],[Range1_High]]-Validation[[#This Row],[Range1_Low]])+Validation[[#This Row],[Range1_Low]]</f>
        <v>9.7374366393002017E-3</v>
      </c>
      <c r="S644">
        <f>Validation[[#This Row],[Range2_High]]</f>
        <v>20</v>
      </c>
      <c r="T644" t="str" cm="1">
        <f t="array" aca="1" ref="T644" ca="1">RoundToTwoSigFigs(Validation[[#This Row],[Test Reading]]*Validation[[#This Row],[Mult]]+Validation[[#This Row],[Base]]) &amp;" "&amp;Validation[[#This Row],[Uncert_Units]]</f>
        <v>11 µA</v>
      </c>
      <c r="U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V644" t="b">
        <f ca="1">Validation[[#This Row],[Desired Result]]=Validation[[#This Row],[Result]]</f>
        <v>1</v>
      </c>
      <c r="W644" t="b">
        <v>1</v>
      </c>
      <c r="X644" t="b">
        <f>Validation[[#This Row],[Range1_Low]]&gt;=Validation[[#This Row],[Range1_High]]</f>
        <v>0</v>
      </c>
      <c r="Y644" s="111" t="s">
        <v>2845</v>
      </c>
    </row>
    <row r="645" spans="1:25" x14ac:dyDescent="0.25">
      <c r="A645" t="s">
        <v>55</v>
      </c>
      <c r="B645" t="s">
        <v>47</v>
      </c>
      <c r="C645">
        <v>0.01</v>
      </c>
      <c r="D645">
        <v>0.1</v>
      </c>
      <c r="E645">
        <v>1E-3</v>
      </c>
      <c r="F645" t="s">
        <v>13</v>
      </c>
      <c r="G645" t="s">
        <v>11</v>
      </c>
      <c r="H645">
        <v>0.1</v>
      </c>
      <c r="I645">
        <v>5</v>
      </c>
      <c r="J645" t="s">
        <v>10</v>
      </c>
      <c r="K645">
        <v>577.74</v>
      </c>
      <c r="L645">
        <v>30.199000000000002</v>
      </c>
      <c r="M645">
        <v>577.71</v>
      </c>
      <c r="N645">
        <v>27.695</v>
      </c>
      <c r="O645" t="s">
        <v>2833</v>
      </c>
      <c r="P645" t="s">
        <v>2833</v>
      </c>
      <c r="Q645" t="s">
        <v>2833</v>
      </c>
      <c r="R645">
        <f ca="1">RAND()*(Validation[[#This Row],[Range1_High]]-Validation[[#This Row],[Range1_Low]])+Validation[[#This Row],[Range1_Low]]</f>
        <v>7.0698739000055966E-2</v>
      </c>
      <c r="S645">
        <f>Validation[[#This Row],[Range2_High]]</f>
        <v>5</v>
      </c>
      <c r="T645" t="str" cm="1">
        <f t="array" aca="1" ref="T645" ca="1">RoundToTwoSigFigs(Validation[[#This Row],[Test Reading]]*Validation[[#This Row],[Mult]]+Validation[[#This Row],[Base]]) &amp;" "&amp;Validation[[#This Row],[Uncert_Units]]</f>
        <v>580 µA</v>
      </c>
      <c r="U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645" t="b">
        <f ca="1">Validation[[#This Row],[Desired Result]]=Validation[[#This Row],[Result]]</f>
        <v>1</v>
      </c>
      <c r="W645" t="b">
        <v>0</v>
      </c>
      <c r="X645" t="b">
        <f>Validation[[#This Row],[Range1_Low]]&gt;=Validation[[#This Row],[Range1_High]]</f>
        <v>0</v>
      </c>
      <c r="Y645" s="111" t="s">
        <v>2845</v>
      </c>
    </row>
    <row r="646" spans="1:25" ht="15.75" thickBot="1" x14ac:dyDescent="0.3">
      <c r="A646" t="s">
        <v>55</v>
      </c>
      <c r="B646" t="s">
        <v>47</v>
      </c>
      <c r="C646">
        <v>1E-3</v>
      </c>
      <c r="D646">
        <v>0.01</v>
      </c>
      <c r="E646">
        <v>1E-4</v>
      </c>
      <c r="F646" t="s">
        <v>13</v>
      </c>
      <c r="G646" t="s">
        <v>11</v>
      </c>
      <c r="H646">
        <v>20</v>
      </c>
      <c r="I646">
        <v>50</v>
      </c>
      <c r="J646" t="s">
        <v>10</v>
      </c>
      <c r="K646">
        <v>56.353999999999999</v>
      </c>
      <c r="L646">
        <v>2143.3000000000002</v>
      </c>
      <c r="M646">
        <v>56.345999999999997</v>
      </c>
      <c r="N646">
        <v>2139.9</v>
      </c>
      <c r="O646" t="s">
        <v>2833</v>
      </c>
      <c r="P646" t="s">
        <v>2833</v>
      </c>
      <c r="Q646" t="s">
        <v>2833</v>
      </c>
      <c r="R646">
        <f ca="1">RAND()*(Validation[[#This Row],[Range1_High]]-Validation[[#This Row],[Range1_Low]])+Validation[[#This Row],[Range1_Low]]</f>
        <v>4.8969857538149371E-3</v>
      </c>
      <c r="S646">
        <f>Validation[[#This Row],[Range2_High]]</f>
        <v>50</v>
      </c>
      <c r="T646" t="str" cm="1">
        <f t="array" aca="1" ref="T646" ca="1">RoundToTwoSigFigs(Validation[[#This Row],[Test Reading]]*Validation[[#This Row],[Mult]]+Validation[[#This Row],[Base]]) &amp;" "&amp;Validation[[#This Row],[Uncert_Units]]</f>
        <v>67 µA</v>
      </c>
      <c r="U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V646" t="b">
        <f ca="1">Validation[[#This Row],[Desired Result]]=Validation[[#This Row],[Result]]</f>
        <v>1</v>
      </c>
      <c r="W646" t="b">
        <v>1</v>
      </c>
      <c r="X646" t="b">
        <f>Validation[[#This Row],[Range1_Low]]&gt;=Validation[[#This Row],[Range1_High]]</f>
        <v>0</v>
      </c>
      <c r="Y646" s="111" t="s">
        <v>2845</v>
      </c>
    </row>
    <row r="647" spans="1:25" ht="16.5" thickTop="1" thickBot="1" x14ac:dyDescent="0.3">
      <c r="A647" t="s">
        <v>54</v>
      </c>
      <c r="B647" t="s">
        <v>47</v>
      </c>
      <c r="C647" s="113">
        <v>3.3E-4</v>
      </c>
      <c r="D647" s="113">
        <v>3.3000999999999998E-3</v>
      </c>
      <c r="E647">
        <v>9.9999999999999995E-7</v>
      </c>
      <c r="F647" t="s">
        <v>13</v>
      </c>
      <c r="G647" t="s">
        <v>11</v>
      </c>
      <c r="H647">
        <v>4.4999999999999998E-2</v>
      </c>
      <c r="I647">
        <v>1.0000100000000001</v>
      </c>
      <c r="J647" t="s">
        <v>10</v>
      </c>
      <c r="K647">
        <v>0.43013000000000001</v>
      </c>
      <c r="L647">
        <v>1124.2</v>
      </c>
      <c r="M647">
        <v>0.44201000000000001</v>
      </c>
      <c r="N647">
        <v>1086.4000000000001</v>
      </c>
      <c r="O647" t="s">
        <v>2833</v>
      </c>
      <c r="P647" t="s">
        <v>2833</v>
      </c>
      <c r="Q647" t="s">
        <v>2833</v>
      </c>
      <c r="R647">
        <f ca="1">RAND()*(Validation[[#This Row],[Range1_High]]-Validation[[#This Row],[Range1_Low]])+Validation[[#This Row],[Range1_Low]]</f>
        <v>2.0829000188553855E-3</v>
      </c>
      <c r="S647">
        <f>Validation[[#This Row],[Range2_High]]</f>
        <v>1.0000100000000001</v>
      </c>
      <c r="T647" t="str" cm="1">
        <f t="array" aca="1" ref="T647" ca="1">RoundToTwoSigFigs(Validation[[#This Row],[Test Reading]]*Validation[[#This Row],[Mult]]+Validation[[#This Row],[Base]]) &amp;" "&amp;Validation[[#This Row],[Uncert_Units]]</f>
        <v>2.8 µA</v>
      </c>
      <c r="U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V647" t="b">
        <f ca="1">Validation[[#This Row],[Desired Result]]=Validation[[#This Row],[Result]]</f>
        <v>0</v>
      </c>
      <c r="W647" t="b">
        <v>1</v>
      </c>
      <c r="X647" t="b">
        <f>Validation[[#This Row],[Range1_Low]]&gt;=Validation[[#This Row],[Range1_High]]</f>
        <v>0</v>
      </c>
      <c r="Y647" s="111" t="s">
        <v>2843</v>
      </c>
    </row>
    <row r="648" spans="1:25" ht="16.5" thickTop="1" thickBot="1" x14ac:dyDescent="0.3">
      <c r="A648" t="s">
        <v>55</v>
      </c>
      <c r="B648" t="s">
        <v>47</v>
      </c>
      <c r="C648">
        <v>0</v>
      </c>
      <c r="D648">
        <v>1E-4</v>
      </c>
      <c r="E648">
        <v>1E-3</v>
      </c>
      <c r="F648" t="s">
        <v>13</v>
      </c>
      <c r="G648" t="s">
        <v>11</v>
      </c>
      <c r="H648">
        <v>4.4999999999999998E-2</v>
      </c>
      <c r="I648">
        <v>5</v>
      </c>
      <c r="J648" t="s">
        <v>10</v>
      </c>
      <c r="K648">
        <v>577.36</v>
      </c>
      <c r="L648">
        <v>0.20221</v>
      </c>
      <c r="M648">
        <v>577.35</v>
      </c>
      <c r="N648">
        <v>0.11305</v>
      </c>
      <c r="O648" t="s">
        <v>2833</v>
      </c>
      <c r="P648" t="s">
        <v>2833</v>
      </c>
      <c r="Q648" t="s">
        <v>2833</v>
      </c>
      <c r="R648">
        <f ca="1">RAND()*(Validation[[#This Row],[Range1_High]]-Validation[[#This Row],[Range1_Low]])+Validation[[#This Row],[Range1_Low]]</f>
        <v>8.481671557622563E-5</v>
      </c>
      <c r="S648">
        <f>Validation[[#This Row],[Range2_High]]</f>
        <v>5</v>
      </c>
      <c r="T648" t="str" cm="1">
        <f t="array" aca="1" ref="T648" ca="1">RoundToTwoSigFigs(Validation[[#This Row],[Test Reading]]*Validation[[#This Row],[Mult]]+Validation[[#This Row],[Base]]) &amp;" "&amp;Validation[[#This Row],[Uncert_Units]]</f>
        <v>580 µA</v>
      </c>
      <c r="U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648" t="b">
        <f ca="1">Validation[[#This Row],[Desired Result]]=Validation[[#This Row],[Result]]</f>
        <v>1</v>
      </c>
      <c r="W648" t="b">
        <v>0</v>
      </c>
      <c r="X648" t="b">
        <f>Validation[[#This Row],[Range1_Low]]&gt;=Validation[[#This Row],[Range1_High]]</f>
        <v>0</v>
      </c>
      <c r="Y648" s="111" t="s">
        <v>2845</v>
      </c>
    </row>
    <row r="649" spans="1:25" ht="16.5" thickTop="1" thickBot="1" x14ac:dyDescent="0.3">
      <c r="A649" t="s">
        <v>55</v>
      </c>
      <c r="B649" t="s">
        <v>47</v>
      </c>
      <c r="C649" s="113">
        <v>0.1</v>
      </c>
      <c r="D649" s="113">
        <v>1</v>
      </c>
      <c r="E649">
        <v>1.0000000000000001E-5</v>
      </c>
      <c r="F649" t="s">
        <v>13</v>
      </c>
      <c r="G649" t="s">
        <v>12</v>
      </c>
      <c r="H649">
        <v>5</v>
      </c>
      <c r="I649">
        <v>20</v>
      </c>
      <c r="J649" t="s">
        <v>10</v>
      </c>
      <c r="K649">
        <v>0.27</v>
      </c>
      <c r="L649">
        <v>3.5331000000000001</v>
      </c>
      <c r="M649">
        <v>0.22319</v>
      </c>
      <c r="N649">
        <v>3.5466000000000002</v>
      </c>
      <c r="O649" t="s">
        <v>2833</v>
      </c>
      <c r="P649" t="s">
        <v>2833</v>
      </c>
      <c r="Q649" t="s">
        <v>2833</v>
      </c>
      <c r="R649">
        <f ca="1">RAND()*(Validation[[#This Row],[Range1_High]]-Validation[[#This Row],[Range1_Low]])+Validation[[#This Row],[Range1_Low]]</f>
        <v>0.52997150735741549</v>
      </c>
      <c r="S649">
        <f>Validation[[#This Row],[Range2_High]]</f>
        <v>20</v>
      </c>
      <c r="T649" t="str" cm="1">
        <f t="array" aca="1" ref="T649" ca="1">RoundToTwoSigFigs(Validation[[#This Row],[Test Reading]]*Validation[[#This Row],[Mult]]+Validation[[#This Row],[Base]]) &amp;" "&amp;Validation[[#This Row],[Uncert_Units]]</f>
        <v>2.1 mA</v>
      </c>
      <c r="U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mA</v>
      </c>
      <c r="V649" t="b">
        <f ca="1">Validation[[#This Row],[Desired Result]]=Validation[[#This Row],[Result]]</f>
        <v>0</v>
      </c>
      <c r="W649" t="b">
        <v>1</v>
      </c>
      <c r="X649" t="b">
        <f>Validation[[#This Row],[Range1_Low]]&gt;=Validation[[#This Row],[Range1_High]]</f>
        <v>0</v>
      </c>
      <c r="Y649" s="111" t="s">
        <v>2843</v>
      </c>
    </row>
    <row r="650" spans="1:25" ht="15.75" thickTop="1" x14ac:dyDescent="0.25">
      <c r="A650" t="s">
        <v>55</v>
      </c>
      <c r="B650" t="s">
        <v>47</v>
      </c>
      <c r="C650">
        <v>0</v>
      </c>
      <c r="D650">
        <v>1E-4</v>
      </c>
      <c r="E650">
        <v>1E-10</v>
      </c>
      <c r="F650" t="s">
        <v>13</v>
      </c>
      <c r="G650" t="s">
        <v>11</v>
      </c>
      <c r="H650">
        <v>4.4999999999999998E-2</v>
      </c>
      <c r="I650">
        <v>5</v>
      </c>
      <c r="J650" t="s">
        <v>10</v>
      </c>
      <c r="K650">
        <v>3.6999999999999998E-2</v>
      </c>
      <c r="L650">
        <v>700</v>
      </c>
      <c r="M650">
        <v>3.5478000000000003E-2</v>
      </c>
      <c r="N650">
        <v>705.46</v>
      </c>
      <c r="O650" t="s">
        <v>2833</v>
      </c>
      <c r="P650" t="s">
        <v>2833</v>
      </c>
      <c r="Q650" t="s">
        <v>2833</v>
      </c>
      <c r="R650">
        <f ca="1">RAND()*(Validation[[#This Row],[Range1_High]]-Validation[[#This Row],[Range1_Low]])+Validation[[#This Row],[Range1_Low]]</f>
        <v>1.5283848079676488E-5</v>
      </c>
      <c r="S650">
        <f>Validation[[#This Row],[Range2_High]]</f>
        <v>5</v>
      </c>
      <c r="T650" t="str" cm="1">
        <f t="array" aca="1" ref="T650" ca="1">RoundToTwoSigFigs(Validation[[#This Row],[Test Reading]]*Validation[[#This Row],[Mult]]+Validation[[#This Row],[Base]]) &amp;" "&amp;Validation[[#This Row],[Uncert_Units]]</f>
        <v>0.048 µA</v>
      </c>
      <c r="U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0.048 µA</v>
      </c>
      <c r="V650" t="b">
        <f ca="1">Validation[[#This Row],[Desired Result]]=Validation[[#This Row],[Result]]</f>
        <v>1</v>
      </c>
      <c r="W650" t="b">
        <v>1</v>
      </c>
      <c r="X650" t="b">
        <f>Validation[[#This Row],[Range1_Low]]&gt;=Validation[[#This Row],[Range1_High]]</f>
        <v>0</v>
      </c>
      <c r="Y650" s="111" t="s">
        <v>2845</v>
      </c>
    </row>
    <row r="651" spans="1:25" ht="15.75" thickBot="1" x14ac:dyDescent="0.3">
      <c r="A651" t="s">
        <v>54</v>
      </c>
      <c r="B651" t="s">
        <v>47</v>
      </c>
      <c r="C651">
        <v>3.3000000000000002E-2</v>
      </c>
      <c r="D651">
        <v>0.33001000000000003</v>
      </c>
      <c r="E651">
        <v>1E-3</v>
      </c>
      <c r="F651" t="s">
        <v>13</v>
      </c>
      <c r="G651" t="s">
        <v>12</v>
      </c>
      <c r="H651">
        <v>0.01</v>
      </c>
      <c r="I651">
        <v>2.001E-2</v>
      </c>
      <c r="J651" t="s">
        <v>10</v>
      </c>
      <c r="K651">
        <v>0.54766999999999999</v>
      </c>
      <c r="L651">
        <v>1.1202000000000001</v>
      </c>
      <c r="M651">
        <v>0.54766000000000004</v>
      </c>
      <c r="N651">
        <v>1.1202000000000001</v>
      </c>
      <c r="O651" t="s">
        <v>2833</v>
      </c>
      <c r="P651" t="s">
        <v>2833</v>
      </c>
      <c r="Q651" t="s">
        <v>2833</v>
      </c>
      <c r="R651">
        <f ca="1">RAND()*(Validation[[#This Row],[Range1_High]]-Validation[[#This Row],[Range1_Low]])+Validation[[#This Row],[Range1_Low]]</f>
        <v>7.122390179277821E-2</v>
      </c>
      <c r="S651">
        <f>Validation[[#This Row],[Range2_High]]</f>
        <v>2.001E-2</v>
      </c>
      <c r="T651" t="str" cm="1">
        <f t="array" aca="1" ref="T651" ca="1">RoundToTwoSigFigs(Validation[[#This Row],[Test Reading]]*Validation[[#This Row],[Mult]]+Validation[[#This Row],[Base]]) &amp;" "&amp;Validation[[#This Row],[Uncert_Units]]</f>
        <v>0.63 mA</v>
      </c>
      <c r="U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mA</v>
      </c>
      <c r="V651" t="b">
        <f ca="1">Validation[[#This Row],[Desired Result]]=Validation[[#This Row],[Result]]</f>
        <v>1</v>
      </c>
      <c r="W651" t="b">
        <v>0</v>
      </c>
      <c r="X651" t="b">
        <f>Validation[[#This Row],[Range1_Low]]&gt;=Validation[[#This Row],[Range1_High]]</f>
        <v>0</v>
      </c>
      <c r="Y651" s="111" t="s">
        <v>2845</v>
      </c>
    </row>
    <row r="652" spans="1:25" ht="16.5" thickTop="1" thickBot="1" x14ac:dyDescent="0.3">
      <c r="A652" t="s">
        <v>54</v>
      </c>
      <c r="B652" t="s">
        <v>47</v>
      </c>
      <c r="C652" s="113">
        <v>3.3000000000000002E-2</v>
      </c>
      <c r="D652" s="113">
        <v>0.33001000000000003</v>
      </c>
      <c r="E652">
        <v>1E-4</v>
      </c>
      <c r="F652" t="s">
        <v>13</v>
      </c>
      <c r="G652" t="s">
        <v>12</v>
      </c>
      <c r="H652">
        <v>10</v>
      </c>
      <c r="I652">
        <v>30</v>
      </c>
      <c r="J652" t="s">
        <v>10</v>
      </c>
      <c r="K652">
        <v>0.24</v>
      </c>
      <c r="L652">
        <v>4.5999999999999996</v>
      </c>
      <c r="M652">
        <v>0.23555999999999999</v>
      </c>
      <c r="N652">
        <v>4.6105</v>
      </c>
      <c r="O652" t="s">
        <v>2833</v>
      </c>
      <c r="P652" t="s">
        <v>2833</v>
      </c>
      <c r="Q652" t="s">
        <v>2833</v>
      </c>
      <c r="R652">
        <f ca="1">RAND()*(Validation[[#This Row],[Range1_High]]-Validation[[#This Row],[Range1_Low]])+Validation[[#This Row],[Range1_Low]]</f>
        <v>4.6349296539144824E-2</v>
      </c>
      <c r="S652">
        <f>Validation[[#This Row],[Range2_High]]</f>
        <v>30</v>
      </c>
      <c r="T652" t="str" cm="1">
        <f t="array" aca="1" ref="T652" ca="1">RoundToTwoSigFigs(Validation[[#This Row],[Test Reading]]*Validation[[#This Row],[Mult]]+Validation[[#This Row],[Base]]) &amp;" "&amp;Validation[[#This Row],[Uncert_Units]]</f>
        <v>0.45 mA</v>
      </c>
      <c r="U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mA</v>
      </c>
      <c r="V652" t="b">
        <f ca="1">Validation[[#This Row],[Desired Result]]=Validation[[#This Row],[Result]]</f>
        <v>1</v>
      </c>
      <c r="W652" t="b">
        <v>1</v>
      </c>
      <c r="X652" t="b">
        <f>Validation[[#This Row],[Range1_Low]]&gt;=Validation[[#This Row],[Range1_High]]</f>
        <v>0</v>
      </c>
      <c r="Y652" s="111" t="s">
        <v>2843</v>
      </c>
    </row>
    <row r="653" spans="1:25" ht="16.5" thickTop="1" thickBot="1" x14ac:dyDescent="0.3">
      <c r="A653" t="s">
        <v>54</v>
      </c>
      <c r="B653" t="s">
        <v>47</v>
      </c>
      <c r="C653">
        <v>3.3000000000000002E-2</v>
      </c>
      <c r="D653">
        <v>0.33001000000000003</v>
      </c>
      <c r="E653">
        <v>1E-3</v>
      </c>
      <c r="F653" t="s">
        <v>13</v>
      </c>
      <c r="G653" t="s">
        <v>12</v>
      </c>
      <c r="H653">
        <v>10</v>
      </c>
      <c r="I653">
        <v>30</v>
      </c>
      <c r="J653" t="s">
        <v>10</v>
      </c>
      <c r="K653">
        <v>0.56477999999999995</v>
      </c>
      <c r="L653">
        <v>3.8904999999999998</v>
      </c>
      <c r="M653">
        <v>0.56466000000000005</v>
      </c>
      <c r="N653">
        <v>3.8906000000000001</v>
      </c>
      <c r="O653" t="s">
        <v>2833</v>
      </c>
      <c r="P653" t="s">
        <v>2833</v>
      </c>
      <c r="Q653" t="s">
        <v>2833</v>
      </c>
      <c r="R653">
        <f ca="1">RAND()*(Validation[[#This Row],[Range1_High]]-Validation[[#This Row],[Range1_Low]])+Validation[[#This Row],[Range1_Low]]</f>
        <v>0.30516236534103058</v>
      </c>
      <c r="S653">
        <f>Validation[[#This Row],[Range2_High]]</f>
        <v>30</v>
      </c>
      <c r="T653" t="str" cm="1">
        <f t="array" aca="1" ref="T653" ca="1">RoundToTwoSigFigs(Validation[[#This Row],[Test Reading]]*Validation[[#This Row],[Mult]]+Validation[[#This Row],[Base]]) &amp;" "&amp;Validation[[#This Row],[Uncert_Units]]</f>
        <v>1.8 mA</v>
      </c>
      <c r="U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V653" t="b">
        <f ca="1">Validation[[#This Row],[Desired Result]]=Validation[[#This Row],[Result]]</f>
        <v>1</v>
      </c>
      <c r="W653" t="b">
        <v>0</v>
      </c>
      <c r="X653" t="b">
        <f>Validation[[#This Row],[Range1_Low]]&gt;=Validation[[#This Row],[Range1_High]]</f>
        <v>0</v>
      </c>
      <c r="Y653" s="111" t="s">
        <v>2845</v>
      </c>
    </row>
    <row r="654" spans="1:25" ht="16.5" thickTop="1" thickBot="1" x14ac:dyDescent="0.3">
      <c r="A654" t="s">
        <v>54</v>
      </c>
      <c r="B654" t="s">
        <v>47</v>
      </c>
      <c r="C654" s="113">
        <v>3.3E-4</v>
      </c>
      <c r="D654" s="113">
        <v>3.3000999999999998E-3</v>
      </c>
      <c r="E654">
        <v>9.9999999999999995E-8</v>
      </c>
      <c r="F654" t="s">
        <v>13</v>
      </c>
      <c r="G654" t="s">
        <v>11</v>
      </c>
      <c r="H654">
        <v>5</v>
      </c>
      <c r="I654">
        <v>10.01</v>
      </c>
      <c r="J654" t="s">
        <v>10</v>
      </c>
      <c r="K654">
        <v>0.35</v>
      </c>
      <c r="L654">
        <v>5800</v>
      </c>
      <c r="M654">
        <v>0.34723999999999999</v>
      </c>
      <c r="N654">
        <v>5773.4</v>
      </c>
      <c r="O654" t="s">
        <v>2833</v>
      </c>
      <c r="P654" t="s">
        <v>2833</v>
      </c>
      <c r="Q654" t="s">
        <v>2833</v>
      </c>
      <c r="R654">
        <f ca="1">RAND()*(Validation[[#This Row],[Range1_High]]-Validation[[#This Row],[Range1_Low]])+Validation[[#This Row],[Range1_Low]]</f>
        <v>9.6500285035777504E-4</v>
      </c>
      <c r="S654">
        <f>Validation[[#This Row],[Range2_High]]</f>
        <v>10.01</v>
      </c>
      <c r="T654" t="str" cm="1">
        <f t="array" aca="1" ref="T654" ca="1">RoundToTwoSigFigs(Validation[[#This Row],[Test Reading]]*Validation[[#This Row],[Mult]]+Validation[[#This Row],[Base]]) &amp;" "&amp;Validation[[#This Row],[Uncert_Units]]</f>
        <v>5.9 µA</v>
      </c>
      <c r="U6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V654" t="b">
        <f ca="1">Validation[[#This Row],[Desired Result]]=Validation[[#This Row],[Result]]</f>
        <v>0</v>
      </c>
      <c r="W654" t="b">
        <v>1</v>
      </c>
      <c r="X654" t="b">
        <f>Validation[[#This Row],[Range1_Low]]&gt;=Validation[[#This Row],[Range1_High]]</f>
        <v>0</v>
      </c>
      <c r="Y654" s="111" t="s">
        <v>2843</v>
      </c>
    </row>
    <row r="655" spans="1:25" ht="16.5" thickTop="1" thickBot="1" x14ac:dyDescent="0.3">
      <c r="A655" t="s">
        <v>55</v>
      </c>
      <c r="B655" t="s">
        <v>47</v>
      </c>
      <c r="C655" s="113">
        <v>0.1</v>
      </c>
      <c r="D655" s="113">
        <v>1</v>
      </c>
      <c r="E655">
        <v>1E-4</v>
      </c>
      <c r="F655" t="s">
        <v>13</v>
      </c>
      <c r="G655" t="s">
        <v>12</v>
      </c>
      <c r="H655">
        <v>4.4999999999999998E-2</v>
      </c>
      <c r="I655">
        <v>0.1</v>
      </c>
      <c r="J655" t="s">
        <v>10</v>
      </c>
      <c r="K655">
        <v>0.24</v>
      </c>
      <c r="L655">
        <v>0.92</v>
      </c>
      <c r="M655">
        <v>0.23663999999999999</v>
      </c>
      <c r="N655">
        <v>0.92018</v>
      </c>
      <c r="O655" t="s">
        <v>2833</v>
      </c>
      <c r="P655" t="s">
        <v>2833</v>
      </c>
      <c r="Q655" t="s">
        <v>2833</v>
      </c>
      <c r="R655">
        <f ca="1">RAND()*(Validation[[#This Row],[Range1_High]]-Validation[[#This Row],[Range1_Low]])+Validation[[#This Row],[Range1_Low]]</f>
        <v>0.30168207494883104</v>
      </c>
      <c r="S655">
        <f>Validation[[#This Row],[Range2_High]]</f>
        <v>0.1</v>
      </c>
      <c r="T655" t="str" cm="1">
        <f t="array" aca="1" ref="T655" ca="1">RoundToTwoSigFigs(Validation[[#This Row],[Test Reading]]*Validation[[#This Row],[Mult]]+Validation[[#This Row],[Base]]) &amp;" "&amp;Validation[[#This Row],[Uncert_Units]]</f>
        <v>0.52 mA</v>
      </c>
      <c r="U6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mA</v>
      </c>
      <c r="V655" t="b">
        <f ca="1">Validation[[#This Row],[Desired Result]]=Validation[[#This Row],[Result]]</f>
        <v>1</v>
      </c>
      <c r="W655" t="b">
        <v>1</v>
      </c>
      <c r="X655" t="b">
        <f>Validation[[#This Row],[Range1_Low]]&gt;=Validation[[#This Row],[Range1_High]]</f>
        <v>0</v>
      </c>
      <c r="Y655" s="111" t="s">
        <v>2843</v>
      </c>
    </row>
    <row r="656" spans="1:25" ht="16.5" thickTop="1" thickBot="1" x14ac:dyDescent="0.3">
      <c r="A656" t="s">
        <v>54</v>
      </c>
      <c r="B656" t="s">
        <v>47</v>
      </c>
      <c r="C656" s="113">
        <v>3.3E-3</v>
      </c>
      <c r="D656" s="113">
        <v>3.3001000000000003E-2</v>
      </c>
      <c r="E656">
        <v>1.0000000000000001E-5</v>
      </c>
      <c r="F656" t="s">
        <v>13</v>
      </c>
      <c r="G656" t="s">
        <v>11</v>
      </c>
      <c r="H656">
        <v>10</v>
      </c>
      <c r="I656">
        <v>30</v>
      </c>
      <c r="J656" t="s">
        <v>10</v>
      </c>
      <c r="K656">
        <v>49.259</v>
      </c>
      <c r="L656">
        <v>3578.8</v>
      </c>
      <c r="M656">
        <v>49.247</v>
      </c>
      <c r="N656">
        <v>3578.8</v>
      </c>
      <c r="O656" t="s">
        <v>2833</v>
      </c>
      <c r="P656" t="s">
        <v>2833</v>
      </c>
      <c r="Q656" t="s">
        <v>2833</v>
      </c>
      <c r="R656">
        <f ca="1">RAND()*(Validation[[#This Row],[Range1_High]]-Validation[[#This Row],[Range1_Low]])+Validation[[#This Row],[Range1_Low]]</f>
        <v>2.603476459716034E-2</v>
      </c>
      <c r="S656">
        <f>Validation[[#This Row],[Range2_High]]</f>
        <v>30</v>
      </c>
      <c r="T656" t="str" cm="1">
        <f t="array" aca="1" ref="T656" ca="1">RoundToTwoSigFigs(Validation[[#This Row],[Test Reading]]*Validation[[#This Row],[Mult]]+Validation[[#This Row],[Base]]) &amp;" "&amp;Validation[[#This Row],[Uncert_Units]]</f>
        <v>140 µA</v>
      </c>
      <c r="U6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V656" t="b">
        <f ca="1">Validation[[#This Row],[Desired Result]]=Validation[[#This Row],[Result]]</f>
        <v>1</v>
      </c>
      <c r="W656" t="b">
        <v>1</v>
      </c>
      <c r="X656" t="b">
        <f>Validation[[#This Row],[Range1_Low]]&gt;=Validation[[#This Row],[Range1_High]]</f>
        <v>0</v>
      </c>
      <c r="Y656" s="111" t="s">
        <v>2843</v>
      </c>
    </row>
    <row r="657" spans="1:25" ht="16.5" thickTop="1" thickBot="1" x14ac:dyDescent="0.3">
      <c r="A657" t="s">
        <v>54</v>
      </c>
      <c r="B657" t="s">
        <v>47</v>
      </c>
      <c r="C657" s="113">
        <v>3</v>
      </c>
      <c r="D657" s="113">
        <v>11.000999999999999</v>
      </c>
      <c r="E657">
        <v>1E-3</v>
      </c>
      <c r="F657" t="s">
        <v>13</v>
      </c>
      <c r="G657" t="s">
        <v>12</v>
      </c>
      <c r="H657">
        <v>5</v>
      </c>
      <c r="I657">
        <v>5.01</v>
      </c>
      <c r="J657" t="s">
        <v>10</v>
      </c>
      <c r="K657">
        <v>2.5</v>
      </c>
      <c r="L657">
        <v>35</v>
      </c>
      <c r="M657">
        <v>2.3111999999999999</v>
      </c>
      <c r="N657">
        <v>34.640999999999998</v>
      </c>
      <c r="O657" t="s">
        <v>2833</v>
      </c>
      <c r="P657" t="s">
        <v>2833</v>
      </c>
      <c r="Q657" t="s">
        <v>2833</v>
      </c>
      <c r="R657">
        <f ca="1">RAND()*(Validation[[#This Row],[Range1_High]]-Validation[[#This Row],[Range1_Low]])+Validation[[#This Row],[Range1_Low]]</f>
        <v>9.6175435610923223</v>
      </c>
      <c r="S657">
        <f>Validation[[#This Row],[Range2_High]]</f>
        <v>5.01</v>
      </c>
      <c r="T657" t="str" cm="1">
        <f t="array" aca="1" ref="T657" ca="1">RoundToTwoSigFigs(Validation[[#This Row],[Test Reading]]*Validation[[#This Row],[Mult]]+Validation[[#This Row],[Base]]) &amp;" "&amp;Validation[[#This Row],[Uncert_Units]]</f>
        <v>340 mA</v>
      </c>
      <c r="U6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V657" t="b">
        <f ca="1">Validation[[#This Row],[Desired Result]]=Validation[[#This Row],[Result]]</f>
        <v>1</v>
      </c>
      <c r="W657" t="b">
        <v>1</v>
      </c>
      <c r="X657" t="b">
        <f>Validation[[#This Row],[Range1_Low]]&gt;=Validation[[#This Row],[Range1_High]]</f>
        <v>0</v>
      </c>
      <c r="Y657" s="111" t="s">
        <v>2843</v>
      </c>
    </row>
    <row r="658" spans="1:25" ht="15.75" thickTop="1" x14ac:dyDescent="0.25">
      <c r="A658" t="s">
        <v>54</v>
      </c>
      <c r="B658" t="s">
        <v>47</v>
      </c>
      <c r="C658">
        <v>3.3000000000000002E-2</v>
      </c>
      <c r="D658">
        <v>0.33001000000000003</v>
      </c>
      <c r="E658">
        <v>0.01</v>
      </c>
      <c r="F658" t="s">
        <v>13</v>
      </c>
      <c r="G658" t="s">
        <v>12</v>
      </c>
      <c r="H658">
        <v>0.01</v>
      </c>
      <c r="I658">
        <v>2.001E-2</v>
      </c>
      <c r="J658" t="s">
        <v>10</v>
      </c>
      <c r="K658">
        <v>5.7694999999999999</v>
      </c>
      <c r="L658">
        <v>0.14516999999999999</v>
      </c>
      <c r="M658">
        <v>5.7694999999999999</v>
      </c>
      <c r="N658">
        <v>0.14515</v>
      </c>
      <c r="O658" t="s">
        <v>2833</v>
      </c>
      <c r="P658" t="s">
        <v>2833</v>
      </c>
      <c r="Q658" t="s">
        <v>2833</v>
      </c>
      <c r="R658">
        <f ca="1">RAND()*(Validation[[#This Row],[Range1_High]]-Validation[[#This Row],[Range1_Low]])+Validation[[#This Row],[Range1_Low]]</f>
        <v>0.24177097682353713</v>
      </c>
      <c r="S658">
        <f>Validation[[#This Row],[Range2_High]]</f>
        <v>2.001E-2</v>
      </c>
      <c r="T658" t="str" cm="1">
        <f t="array" aca="1" ref="T658" ca="1">RoundToTwoSigFigs(Validation[[#This Row],[Test Reading]]*Validation[[#This Row],[Mult]]+Validation[[#This Row],[Base]]) &amp;" "&amp;Validation[[#This Row],[Uncert_Units]]</f>
        <v>5.8 mA</v>
      </c>
      <c r="U6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658" t="b">
        <f ca="1">Validation[[#This Row],[Desired Result]]=Validation[[#This Row],[Result]]</f>
        <v>1</v>
      </c>
      <c r="W658" t="b">
        <v>0</v>
      </c>
      <c r="X658" t="b">
        <f>Validation[[#This Row],[Range1_Low]]&gt;=Validation[[#This Row],[Range1_High]]</f>
        <v>0</v>
      </c>
      <c r="Y658" s="111" t="s">
        <v>2845</v>
      </c>
    </row>
    <row r="659" spans="1:25" ht="15.75" thickBot="1" x14ac:dyDescent="0.3">
      <c r="A659" t="s">
        <v>54</v>
      </c>
      <c r="B659" t="s">
        <v>47</v>
      </c>
      <c r="C659">
        <v>3.3E-4</v>
      </c>
      <c r="D659">
        <v>3.3000999999999998E-3</v>
      </c>
      <c r="E659">
        <v>1E-4</v>
      </c>
      <c r="F659" t="s">
        <v>13</v>
      </c>
      <c r="G659" t="s">
        <v>11</v>
      </c>
      <c r="H659">
        <v>0.01</v>
      </c>
      <c r="I659">
        <v>2.001E-2</v>
      </c>
      <c r="J659" t="s">
        <v>10</v>
      </c>
      <c r="K659">
        <v>57.686</v>
      </c>
      <c r="L659">
        <v>174.69</v>
      </c>
      <c r="M659">
        <v>57.685000000000002</v>
      </c>
      <c r="N659">
        <v>174.66</v>
      </c>
      <c r="O659" t="s">
        <v>2833</v>
      </c>
      <c r="P659" t="s">
        <v>2833</v>
      </c>
      <c r="Q659" t="s">
        <v>2833</v>
      </c>
      <c r="R659">
        <f ca="1">RAND()*(Validation[[#This Row],[Range1_High]]-Validation[[#This Row],[Range1_Low]])+Validation[[#This Row],[Range1_Low]]</f>
        <v>1.6944038870704994E-3</v>
      </c>
      <c r="S659">
        <f>Validation[[#This Row],[Range2_High]]</f>
        <v>2.001E-2</v>
      </c>
      <c r="T659" t="str" cm="1">
        <f t="array" aca="1" ref="T659" ca="1">RoundToTwoSigFigs(Validation[[#This Row],[Test Reading]]*Validation[[#This Row],[Mult]]+Validation[[#This Row],[Base]]) &amp;" "&amp;Validation[[#This Row],[Uncert_Units]]</f>
        <v>58 µA</v>
      </c>
      <c r="U6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659" t="b">
        <f ca="1">Validation[[#This Row],[Desired Result]]=Validation[[#This Row],[Result]]</f>
        <v>1</v>
      </c>
      <c r="W659" t="b">
        <v>0</v>
      </c>
      <c r="X659" t="b">
        <f>Validation[[#This Row],[Range1_Low]]&gt;=Validation[[#This Row],[Range1_High]]</f>
        <v>0</v>
      </c>
      <c r="Y659" s="111" t="s">
        <v>2845</v>
      </c>
    </row>
    <row r="660" spans="1:25" ht="16.5" thickTop="1" thickBot="1" x14ac:dyDescent="0.3">
      <c r="A660" t="s">
        <v>54</v>
      </c>
      <c r="B660" t="s">
        <v>47</v>
      </c>
      <c r="C660" s="113">
        <v>3.3E-4</v>
      </c>
      <c r="D660" s="113">
        <v>3.3000999999999998E-3</v>
      </c>
      <c r="E660">
        <v>9.9999999999999995E-8</v>
      </c>
      <c r="F660" t="s">
        <v>13</v>
      </c>
      <c r="G660" t="s">
        <v>11</v>
      </c>
      <c r="H660">
        <v>0.01</v>
      </c>
      <c r="I660">
        <v>2.001E-2</v>
      </c>
      <c r="J660" t="s">
        <v>10</v>
      </c>
      <c r="K660">
        <v>0.23</v>
      </c>
      <c r="L660">
        <v>2300</v>
      </c>
      <c r="M660">
        <v>0.17480999999999999</v>
      </c>
      <c r="N660">
        <v>2314.9</v>
      </c>
      <c r="O660" t="s">
        <v>2833</v>
      </c>
      <c r="P660" t="s">
        <v>2833</v>
      </c>
      <c r="Q660" t="s">
        <v>2833</v>
      </c>
      <c r="R660">
        <f ca="1">RAND()*(Validation[[#This Row],[Range1_High]]-Validation[[#This Row],[Range1_Low]])+Validation[[#This Row],[Range1_Low]]</f>
        <v>2.9692679713847147E-3</v>
      </c>
      <c r="S660">
        <f>Validation[[#This Row],[Range2_High]]</f>
        <v>2.001E-2</v>
      </c>
      <c r="T660" t="str" cm="1">
        <f t="array" aca="1" ref="T660" ca="1">RoundToTwoSigFigs(Validation[[#This Row],[Test Reading]]*Validation[[#This Row],[Mult]]+Validation[[#This Row],[Base]]) &amp;" "&amp;Validation[[#This Row],[Uncert_Units]]</f>
        <v>7.1 µA</v>
      </c>
      <c r="U6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V660" t="b">
        <f ca="1">Validation[[#This Row],[Desired Result]]=Validation[[#This Row],[Result]]</f>
        <v>1</v>
      </c>
      <c r="W660" t="b">
        <v>1</v>
      </c>
      <c r="X660" t="b">
        <f>Validation[[#This Row],[Range1_Low]]&gt;=Validation[[#This Row],[Range1_High]]</f>
        <v>0</v>
      </c>
      <c r="Y660" s="111" t="s">
        <v>2843</v>
      </c>
    </row>
    <row r="661" spans="1:25" ht="16.5" thickTop="1" thickBot="1" x14ac:dyDescent="0.3">
      <c r="A661" t="s">
        <v>54</v>
      </c>
      <c r="B661" t="s">
        <v>47</v>
      </c>
      <c r="C661">
        <v>0</v>
      </c>
      <c r="D661">
        <v>3.3000999999999999E-4</v>
      </c>
      <c r="E661">
        <v>0.1</v>
      </c>
      <c r="F661" t="s">
        <v>13</v>
      </c>
      <c r="G661" t="s">
        <v>11</v>
      </c>
      <c r="H661">
        <v>0.02</v>
      </c>
      <c r="I661">
        <v>4.5010000000000001E-2</v>
      </c>
      <c r="J661" t="s">
        <v>10</v>
      </c>
      <c r="K661">
        <v>57736</v>
      </c>
      <c r="L661">
        <v>2.6846999999999999E-2</v>
      </c>
      <c r="M661">
        <v>57736</v>
      </c>
      <c r="N661">
        <v>1.2796E-2</v>
      </c>
      <c r="O661" t="s">
        <v>2833</v>
      </c>
      <c r="P661" t="s">
        <v>2833</v>
      </c>
      <c r="Q661" t="s">
        <v>2833</v>
      </c>
      <c r="R661">
        <f ca="1">RAND()*(Validation[[#This Row],[Range1_High]]-Validation[[#This Row],[Range1_Low]])+Validation[[#This Row],[Range1_Low]]</f>
        <v>1.2215451913735284E-4</v>
      </c>
      <c r="S661">
        <f>Validation[[#This Row],[Range2_High]]</f>
        <v>4.5010000000000001E-2</v>
      </c>
      <c r="T661" t="str" cm="1">
        <f t="array" aca="1" ref="T661" ca="1">RoundToTwoSigFigs(Validation[[#This Row],[Test Reading]]*Validation[[#This Row],[Mult]]+Validation[[#This Row],[Base]]) &amp;" "&amp;Validation[[#This Row],[Uncert_Units]]</f>
        <v>58000 µA</v>
      </c>
      <c r="U6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661" t="b">
        <f ca="1">Validation[[#This Row],[Desired Result]]=Validation[[#This Row],[Result]]</f>
        <v>1</v>
      </c>
      <c r="W661" t="b">
        <v>0</v>
      </c>
      <c r="X661" t="b">
        <f>Validation[[#This Row],[Range1_Low]]&gt;=Validation[[#This Row],[Range1_High]]</f>
        <v>0</v>
      </c>
      <c r="Y661" s="111" t="s">
        <v>2845</v>
      </c>
    </row>
    <row r="662" spans="1:25" ht="16.5" thickTop="1" thickBot="1" x14ac:dyDescent="0.3">
      <c r="A662" t="s">
        <v>55</v>
      </c>
      <c r="B662" t="s">
        <v>47</v>
      </c>
      <c r="C662" s="113">
        <v>0.1</v>
      </c>
      <c r="D662" s="113">
        <v>1</v>
      </c>
      <c r="E662">
        <v>1E-4</v>
      </c>
      <c r="F662" t="s">
        <v>13</v>
      </c>
      <c r="G662" t="s">
        <v>12</v>
      </c>
      <c r="H662">
        <v>0.1</v>
      </c>
      <c r="I662">
        <v>5</v>
      </c>
      <c r="J662" t="s">
        <v>10</v>
      </c>
      <c r="K662">
        <v>0.24</v>
      </c>
      <c r="L662">
        <v>1.2</v>
      </c>
      <c r="M662">
        <v>0.23355999999999999</v>
      </c>
      <c r="N662">
        <v>1.1814</v>
      </c>
      <c r="O662" t="s">
        <v>2833</v>
      </c>
      <c r="P662" t="s">
        <v>2833</v>
      </c>
      <c r="Q662" t="s">
        <v>2833</v>
      </c>
      <c r="R662">
        <f ca="1">RAND()*(Validation[[#This Row],[Range1_High]]-Validation[[#This Row],[Range1_Low]])+Validation[[#This Row],[Range1_Low]]</f>
        <v>0.57698669039706141</v>
      </c>
      <c r="S662">
        <f>Validation[[#This Row],[Range2_High]]</f>
        <v>5</v>
      </c>
      <c r="T662" t="str" cm="1">
        <f t="array" aca="1" ref="T662" ca="1">RoundToTwoSigFigs(Validation[[#This Row],[Test Reading]]*Validation[[#This Row],[Mult]]+Validation[[#This Row],[Base]]) &amp;" "&amp;Validation[[#This Row],[Uncert_Units]]</f>
        <v>0.93 mA</v>
      </c>
      <c r="U6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mA</v>
      </c>
      <c r="V662" t="b">
        <f ca="1">Validation[[#This Row],[Desired Result]]=Validation[[#This Row],[Result]]</f>
        <v>1</v>
      </c>
      <c r="W662" t="b">
        <v>1</v>
      </c>
      <c r="X662" t="b">
        <f>Validation[[#This Row],[Range1_Low]]&gt;=Validation[[#This Row],[Range1_High]]</f>
        <v>0</v>
      </c>
      <c r="Y662" s="111" t="s">
        <v>2843</v>
      </c>
    </row>
    <row r="663" spans="1:25" ht="16.5" thickTop="1" thickBot="1" x14ac:dyDescent="0.3">
      <c r="A663" t="s">
        <v>54</v>
      </c>
      <c r="B663" t="s">
        <v>47</v>
      </c>
      <c r="C663" s="113">
        <v>3.3000000000000002E-2</v>
      </c>
      <c r="D663" s="113">
        <v>0.33001000000000003</v>
      </c>
      <c r="E663">
        <v>1.0000000000000001E-5</v>
      </c>
      <c r="F663" t="s">
        <v>13</v>
      </c>
      <c r="G663" t="s">
        <v>12</v>
      </c>
      <c r="H663">
        <v>10</v>
      </c>
      <c r="I663">
        <v>30</v>
      </c>
      <c r="J663" t="s">
        <v>10</v>
      </c>
      <c r="K663">
        <v>0.24</v>
      </c>
      <c r="L663">
        <v>4.5999999999999996</v>
      </c>
      <c r="M663">
        <v>0.23089999999999999</v>
      </c>
      <c r="N663">
        <v>4.6218000000000004</v>
      </c>
      <c r="O663" t="s">
        <v>2833</v>
      </c>
      <c r="P663" t="s">
        <v>2833</v>
      </c>
      <c r="Q663" t="s">
        <v>2833</v>
      </c>
      <c r="R663">
        <f ca="1">RAND()*(Validation[[#This Row],[Range1_High]]-Validation[[#This Row],[Range1_Low]])+Validation[[#This Row],[Range1_Low]]</f>
        <v>0.24312979202745955</v>
      </c>
      <c r="S663">
        <f>Validation[[#This Row],[Range2_High]]</f>
        <v>30</v>
      </c>
      <c r="T663" t="str" cm="1">
        <f t="array" aca="1" ref="T663" ca="1">RoundToTwoSigFigs(Validation[[#This Row],[Test Reading]]*Validation[[#This Row],[Mult]]+Validation[[#This Row],[Base]]) &amp;" "&amp;Validation[[#This Row],[Uncert_Units]]</f>
        <v>1.4 mA</v>
      </c>
      <c r="U6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V663" t="b">
        <f ca="1">Validation[[#This Row],[Desired Result]]=Validation[[#This Row],[Result]]</f>
        <v>1</v>
      </c>
      <c r="W663" t="b">
        <v>1</v>
      </c>
      <c r="X663" t="b">
        <f>Validation[[#This Row],[Range1_Low]]&gt;=Validation[[#This Row],[Range1_High]]</f>
        <v>0</v>
      </c>
      <c r="Y663" s="111" t="s">
        <v>2843</v>
      </c>
    </row>
    <row r="664" spans="1:25" ht="16.5" thickTop="1" thickBot="1" x14ac:dyDescent="0.3">
      <c r="A664" t="s">
        <v>68</v>
      </c>
      <c r="B664" t="s">
        <v>47</v>
      </c>
      <c r="C664" s="113">
        <v>1</v>
      </c>
      <c r="D664" s="113">
        <v>10.4</v>
      </c>
      <c r="E664">
        <v>1E-3</v>
      </c>
      <c r="F664" t="s">
        <v>13</v>
      </c>
      <c r="G664" t="s">
        <v>12</v>
      </c>
      <c r="H664">
        <v>0.01</v>
      </c>
      <c r="I664">
        <v>2</v>
      </c>
      <c r="J664" t="s">
        <v>10</v>
      </c>
      <c r="K664">
        <v>18</v>
      </c>
      <c r="L664">
        <v>1.3998999999999999</v>
      </c>
      <c r="M664">
        <v>17.138000000000002</v>
      </c>
      <c r="N664">
        <v>1.3996999999999999</v>
      </c>
      <c r="O664" t="s">
        <v>2833</v>
      </c>
      <c r="P664" t="s">
        <v>2833</v>
      </c>
      <c r="Q664" t="s">
        <v>2833</v>
      </c>
      <c r="R664">
        <f ca="1">RAND()*(Validation[[#This Row],[Range1_High]]-Validation[[#This Row],[Range1_Low]])+Validation[[#This Row],[Range1_Low]]</f>
        <v>3.7476196922833029</v>
      </c>
      <c r="S664">
        <f>Validation[[#This Row],[Range2_High]]</f>
        <v>2</v>
      </c>
      <c r="T664" t="str" cm="1">
        <f t="array" aca="1" ref="T664" ca="1">RoundToTwoSigFigs(Validation[[#This Row],[Test Reading]]*Validation[[#This Row],[Mult]]+Validation[[#This Row],[Base]]) &amp;" "&amp;Validation[[#This Row],[Uncert_Units]]</f>
        <v>23 mA</v>
      </c>
      <c r="U6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V664" t="b">
        <f ca="1">Validation[[#This Row],[Desired Result]]=Validation[[#This Row],[Result]]</f>
        <v>1</v>
      </c>
      <c r="W664" t="b">
        <v>1</v>
      </c>
      <c r="X664" t="b">
        <f>Validation[[#This Row],[Range1_Low]]&gt;=Validation[[#This Row],[Range1_High]]</f>
        <v>0</v>
      </c>
      <c r="Y664" s="111" t="s">
        <v>2843</v>
      </c>
    </row>
    <row r="665" spans="1:25" ht="15.75" thickTop="1" x14ac:dyDescent="0.25">
      <c r="A665" t="s">
        <v>54</v>
      </c>
      <c r="B665" t="s">
        <v>47</v>
      </c>
      <c r="C665">
        <v>0</v>
      </c>
      <c r="D665">
        <v>3.3000999999999999E-4</v>
      </c>
      <c r="E665">
        <v>0.1</v>
      </c>
      <c r="F665" t="s">
        <v>13</v>
      </c>
      <c r="G665" t="s">
        <v>11</v>
      </c>
      <c r="H665">
        <v>5</v>
      </c>
      <c r="I665">
        <v>10.01</v>
      </c>
      <c r="J665" t="s">
        <v>10</v>
      </c>
      <c r="K665">
        <v>57736</v>
      </c>
      <c r="L665">
        <v>0.33223999999999998</v>
      </c>
      <c r="M665">
        <v>57736</v>
      </c>
      <c r="N665">
        <v>0.30225999999999997</v>
      </c>
      <c r="O665" t="s">
        <v>2833</v>
      </c>
      <c r="P665" t="s">
        <v>2833</v>
      </c>
      <c r="Q665" t="s">
        <v>2833</v>
      </c>
      <c r="R665">
        <f ca="1">RAND()*(Validation[[#This Row],[Range1_High]]-Validation[[#This Row],[Range1_Low]])+Validation[[#This Row],[Range1_Low]]</f>
        <v>3.0328775264947811E-5</v>
      </c>
      <c r="S665">
        <f>Validation[[#This Row],[Range2_High]]</f>
        <v>10.01</v>
      </c>
      <c r="T665" t="str" cm="1">
        <f t="array" aca="1" ref="T665" ca="1">RoundToTwoSigFigs(Validation[[#This Row],[Test Reading]]*Validation[[#This Row],[Mult]]+Validation[[#This Row],[Base]]) &amp;" "&amp;Validation[[#This Row],[Uncert_Units]]</f>
        <v>58000 µA</v>
      </c>
      <c r="U6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665" t="b">
        <f ca="1">Validation[[#This Row],[Desired Result]]=Validation[[#This Row],[Result]]</f>
        <v>1</v>
      </c>
      <c r="W665" t="b">
        <v>0</v>
      </c>
      <c r="X665" t="b">
        <f>Validation[[#This Row],[Range1_Low]]&gt;=Validation[[#This Row],[Range1_High]]</f>
        <v>0</v>
      </c>
      <c r="Y665" s="111" t="s">
        <v>2845</v>
      </c>
    </row>
    <row r="666" spans="1:25" ht="15.75" thickBot="1" x14ac:dyDescent="0.3">
      <c r="A666" t="s">
        <v>54</v>
      </c>
      <c r="B666" t="s">
        <v>47</v>
      </c>
      <c r="C666">
        <v>0</v>
      </c>
      <c r="D666">
        <v>3.3000999999999999E-4</v>
      </c>
      <c r="E666">
        <v>0.1</v>
      </c>
      <c r="F666" t="s">
        <v>13</v>
      </c>
      <c r="G666" t="s">
        <v>11</v>
      </c>
      <c r="H666">
        <v>0.01</v>
      </c>
      <c r="I666">
        <v>2.001E-2</v>
      </c>
      <c r="J666" t="s">
        <v>10</v>
      </c>
      <c r="K666">
        <v>58026</v>
      </c>
      <c r="L666">
        <v>-878960</v>
      </c>
      <c r="M666">
        <v>58000</v>
      </c>
      <c r="N666">
        <v>-878960</v>
      </c>
      <c r="O666" t="s">
        <v>2833</v>
      </c>
      <c r="P666" t="s">
        <v>2833</v>
      </c>
      <c r="Q666" t="s">
        <v>2833</v>
      </c>
      <c r="R666">
        <f ca="1">RAND()*(Validation[[#This Row],[Range1_High]]-Validation[[#This Row],[Range1_Low]])+Validation[[#This Row],[Range1_Low]]</f>
        <v>6.2325781423173866E-6</v>
      </c>
      <c r="S666">
        <f>Validation[[#This Row],[Range2_High]]</f>
        <v>2.001E-2</v>
      </c>
      <c r="T666" t="str" cm="1">
        <f t="array" aca="1" ref="T666" ca="1">RoundToTwoSigFigs(Validation[[#This Row],[Test Reading]]*Validation[[#This Row],[Mult]]+Validation[[#This Row],[Base]]) &amp;" "&amp;Validation[[#This Row],[Uncert_Units]]</f>
        <v>58000 µA</v>
      </c>
      <c r="U6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666" t="b">
        <f ca="1">Validation[[#This Row],[Desired Result]]=Validation[[#This Row],[Result]]</f>
        <v>1</v>
      </c>
      <c r="W666" t="b">
        <v>0</v>
      </c>
      <c r="X666" t="b">
        <f>Validation[[#This Row],[Range1_Low]]&gt;=Validation[[#This Row],[Range1_High]]</f>
        <v>0</v>
      </c>
      <c r="Y666" s="111" t="s">
        <v>2845</v>
      </c>
    </row>
    <row r="667" spans="1:25" ht="16.5" thickTop="1" thickBot="1" x14ac:dyDescent="0.3">
      <c r="A667" t="s">
        <v>54</v>
      </c>
      <c r="B667" t="s">
        <v>47</v>
      </c>
      <c r="C667" s="113">
        <v>3.3E-3</v>
      </c>
      <c r="D667" s="113">
        <v>3.3001000000000003E-2</v>
      </c>
      <c r="E667">
        <v>1.0000000000000001E-5</v>
      </c>
      <c r="F667" t="s">
        <v>13</v>
      </c>
      <c r="G667" t="s">
        <v>11</v>
      </c>
      <c r="H667">
        <v>0.01</v>
      </c>
      <c r="I667">
        <v>2.001E-2</v>
      </c>
      <c r="J667" t="s">
        <v>10</v>
      </c>
      <c r="K667">
        <v>54.774000000000001</v>
      </c>
      <c r="L667">
        <v>1117.8</v>
      </c>
      <c r="M667">
        <v>54.773000000000003</v>
      </c>
      <c r="N667">
        <v>1117.7</v>
      </c>
      <c r="O667" t="s">
        <v>2833</v>
      </c>
      <c r="P667" t="s">
        <v>2833</v>
      </c>
      <c r="Q667" t="s">
        <v>2833</v>
      </c>
      <c r="R667">
        <f ca="1">RAND()*(Validation[[#This Row],[Range1_High]]-Validation[[#This Row],[Range1_Low]])+Validation[[#This Row],[Range1_Low]]</f>
        <v>3.0054201990421144E-2</v>
      </c>
      <c r="S667">
        <f>Validation[[#This Row],[Range2_High]]</f>
        <v>2.001E-2</v>
      </c>
      <c r="T667" t="str" cm="1">
        <f t="array" aca="1" ref="T667" ca="1">RoundToTwoSigFigs(Validation[[#This Row],[Test Reading]]*Validation[[#This Row],[Mult]]+Validation[[#This Row],[Base]]) &amp;" "&amp;Validation[[#This Row],[Uncert_Units]]</f>
        <v>88 µA</v>
      </c>
      <c r="U6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V667" t="b">
        <f ca="1">Validation[[#This Row],[Desired Result]]=Validation[[#This Row],[Result]]</f>
        <v>0</v>
      </c>
      <c r="W667" t="b">
        <v>1</v>
      </c>
      <c r="X667" t="b">
        <f>Validation[[#This Row],[Range1_Low]]&gt;=Validation[[#This Row],[Range1_High]]</f>
        <v>0</v>
      </c>
      <c r="Y667" s="111" t="s">
        <v>2843</v>
      </c>
    </row>
    <row r="668" spans="1:25" ht="15.75" thickTop="1" x14ac:dyDescent="0.25">
      <c r="A668" t="s">
        <v>54</v>
      </c>
      <c r="B668" t="s">
        <v>47</v>
      </c>
      <c r="C668">
        <v>3.3E-4</v>
      </c>
      <c r="D668">
        <v>3.3000999999999998E-3</v>
      </c>
      <c r="E668">
        <v>1E-4</v>
      </c>
      <c r="F668" t="s">
        <v>13</v>
      </c>
      <c r="G668" t="s">
        <v>11</v>
      </c>
      <c r="H668">
        <v>4.4999999999999998E-2</v>
      </c>
      <c r="I668">
        <v>1.0000100000000001</v>
      </c>
      <c r="J668" t="s">
        <v>10</v>
      </c>
      <c r="K668">
        <v>57.722999999999999</v>
      </c>
      <c r="L668">
        <v>45.396999999999998</v>
      </c>
      <c r="M668">
        <v>57.722999999999999</v>
      </c>
      <c r="N668">
        <v>45.366</v>
      </c>
      <c r="O668" t="s">
        <v>2833</v>
      </c>
      <c r="P668" t="s">
        <v>2833</v>
      </c>
      <c r="Q668" t="s">
        <v>2833</v>
      </c>
      <c r="R668">
        <f ca="1">RAND()*(Validation[[#This Row],[Range1_High]]-Validation[[#This Row],[Range1_Low]])+Validation[[#This Row],[Range1_Low]]</f>
        <v>3.4356825987232357E-4</v>
      </c>
      <c r="S668">
        <f>Validation[[#This Row],[Range2_High]]</f>
        <v>1.0000100000000001</v>
      </c>
      <c r="T668" t="str" cm="1">
        <f t="array" aca="1" ref="T668" ca="1">RoundToTwoSigFigs(Validation[[#This Row],[Test Reading]]*Validation[[#This Row],[Mult]]+Validation[[#This Row],[Base]]) &amp;" "&amp;Validation[[#This Row],[Uncert_Units]]</f>
        <v>58 µA</v>
      </c>
      <c r="U6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668" t="b">
        <f ca="1">Validation[[#This Row],[Desired Result]]=Validation[[#This Row],[Result]]</f>
        <v>1</v>
      </c>
      <c r="W668" t="b">
        <v>0</v>
      </c>
      <c r="X668" t="b">
        <f>Validation[[#This Row],[Range1_Low]]&gt;=Validation[[#This Row],[Range1_High]]</f>
        <v>0</v>
      </c>
      <c r="Y668" s="111" t="s">
        <v>2845</v>
      </c>
    </row>
    <row r="669" spans="1:25" x14ac:dyDescent="0.25">
      <c r="A669" t="s">
        <v>54</v>
      </c>
      <c r="B669" t="s">
        <v>47</v>
      </c>
      <c r="C669">
        <v>11</v>
      </c>
      <c r="D669">
        <v>20.501000000000001</v>
      </c>
      <c r="E669">
        <v>0.01</v>
      </c>
      <c r="F669" t="s">
        <v>13</v>
      </c>
      <c r="G669" t="s">
        <v>12</v>
      </c>
      <c r="H669">
        <v>1</v>
      </c>
      <c r="I669">
        <v>5</v>
      </c>
      <c r="J669" t="s">
        <v>10</v>
      </c>
      <c r="K669">
        <v>5.9</v>
      </c>
      <c r="L669">
        <v>35</v>
      </c>
      <c r="M669">
        <v>5.8395000000000001</v>
      </c>
      <c r="N669">
        <v>34.639000000000003</v>
      </c>
      <c r="O669" t="s">
        <v>2833</v>
      </c>
      <c r="P669" t="s">
        <v>2833</v>
      </c>
      <c r="Q669" t="s">
        <v>2833</v>
      </c>
      <c r="R669">
        <f ca="1">RAND()*(Validation[[#This Row],[Range1_High]]-Validation[[#This Row],[Range1_Low]])+Validation[[#This Row],[Range1_Low]]</f>
        <v>15.234973146408649</v>
      </c>
      <c r="S669">
        <f>Validation[[#This Row],[Range2_High]]</f>
        <v>5</v>
      </c>
      <c r="T669" t="str" cm="1">
        <f t="array" aca="1" ref="T669" ca="1">RoundToTwoSigFigs(Validation[[#This Row],[Test Reading]]*Validation[[#This Row],[Mult]]+Validation[[#This Row],[Base]]) &amp;" "&amp;Validation[[#This Row],[Uncert_Units]]</f>
        <v>540 mA</v>
      </c>
      <c r="U6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mA</v>
      </c>
      <c r="V669" t="b">
        <f ca="1">Validation[[#This Row],[Desired Result]]=Validation[[#This Row],[Result]]</f>
        <v>1</v>
      </c>
      <c r="W669" t="b">
        <v>0</v>
      </c>
      <c r="X669" t="b">
        <f>Validation[[#This Row],[Range1_Low]]&gt;=Validation[[#This Row],[Range1_High]]</f>
        <v>0</v>
      </c>
      <c r="Y669" s="111" t="s">
        <v>2845</v>
      </c>
    </row>
    <row r="670" spans="1:25" x14ac:dyDescent="0.25">
      <c r="A670" t="s">
        <v>55</v>
      </c>
      <c r="B670" t="s">
        <v>47</v>
      </c>
      <c r="C670">
        <v>0</v>
      </c>
      <c r="D670">
        <v>1E-4</v>
      </c>
      <c r="E670">
        <v>1E-8</v>
      </c>
      <c r="F670" t="s">
        <v>13</v>
      </c>
      <c r="G670" t="s">
        <v>11</v>
      </c>
      <c r="H670">
        <v>4.4999999999999998E-2</v>
      </c>
      <c r="I670">
        <v>5</v>
      </c>
      <c r="J670" t="s">
        <v>10</v>
      </c>
      <c r="K670">
        <v>3.6999999999999998E-2</v>
      </c>
      <c r="L670">
        <v>703.27</v>
      </c>
      <c r="M670">
        <v>3.5899E-2</v>
      </c>
      <c r="N670">
        <v>702.95</v>
      </c>
      <c r="O670" t="s">
        <v>2833</v>
      </c>
      <c r="P670" t="s">
        <v>2833</v>
      </c>
      <c r="Q670" t="s">
        <v>2833</v>
      </c>
      <c r="R670">
        <f ca="1">RAND()*(Validation[[#This Row],[Range1_High]]-Validation[[#This Row],[Range1_Low]])+Validation[[#This Row],[Range1_Low]]</f>
        <v>7.3261323109536701E-5</v>
      </c>
      <c r="S670">
        <f>Validation[[#This Row],[Range2_High]]</f>
        <v>5</v>
      </c>
      <c r="T670" t="str" cm="1">
        <f t="array" aca="1" ref="T670" ca="1">RoundToTwoSigFigs(Validation[[#This Row],[Test Reading]]*Validation[[#This Row],[Mult]]+Validation[[#This Row],[Base]]) &amp;" "&amp;Validation[[#This Row],[Uncert_Units]]</f>
        <v>0.089 µA</v>
      </c>
      <c r="U6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0.089 µA</v>
      </c>
      <c r="V670" t="b">
        <f ca="1">Validation[[#This Row],[Desired Result]]=Validation[[#This Row],[Result]]</f>
        <v>1</v>
      </c>
      <c r="W670" t="b">
        <v>1</v>
      </c>
      <c r="X670" t="b">
        <f>Validation[[#This Row],[Range1_Low]]&gt;=Validation[[#This Row],[Range1_High]]</f>
        <v>0</v>
      </c>
      <c r="Y670" s="111" t="s">
        <v>2845</v>
      </c>
    </row>
    <row r="671" spans="1:25" x14ac:dyDescent="0.25">
      <c r="A671" t="s">
        <v>54</v>
      </c>
      <c r="B671" t="s">
        <v>47</v>
      </c>
      <c r="C671">
        <v>3.3000000000000002E-2</v>
      </c>
      <c r="D671">
        <v>0.33001000000000003</v>
      </c>
      <c r="E671">
        <v>1E-3</v>
      </c>
      <c r="F671" t="s">
        <v>13</v>
      </c>
      <c r="G671" t="s">
        <v>12</v>
      </c>
      <c r="H671">
        <v>4.4999999999999998E-2</v>
      </c>
      <c r="I671">
        <v>1.0000100000000001</v>
      </c>
      <c r="J671" t="s">
        <v>10</v>
      </c>
      <c r="K671">
        <v>0.57577999999999996</v>
      </c>
      <c r="L671">
        <v>8.6645E-2</v>
      </c>
      <c r="M671">
        <v>0.57577</v>
      </c>
      <c r="N671">
        <v>8.6583999999999994E-2</v>
      </c>
      <c r="O671" t="s">
        <v>2833</v>
      </c>
      <c r="P671" t="s">
        <v>2833</v>
      </c>
      <c r="Q671" t="s">
        <v>2833</v>
      </c>
      <c r="R671">
        <f ca="1">RAND()*(Validation[[#This Row],[Range1_High]]-Validation[[#This Row],[Range1_Low]])+Validation[[#This Row],[Range1_Low]]</f>
        <v>0.12760676954327055</v>
      </c>
      <c r="S671">
        <f>Validation[[#This Row],[Range2_High]]</f>
        <v>1.0000100000000001</v>
      </c>
      <c r="T671" t="str" cm="1">
        <f t="array" aca="1" ref="T671" ca="1">RoundToTwoSigFigs(Validation[[#This Row],[Test Reading]]*Validation[[#This Row],[Mult]]+Validation[[#This Row],[Base]]) &amp;" "&amp;Validation[[#This Row],[Uncert_Units]]</f>
        <v>0.59 mA</v>
      </c>
      <c r="U6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V671" t="b">
        <f ca="1">Validation[[#This Row],[Desired Result]]=Validation[[#This Row],[Result]]</f>
        <v>1</v>
      </c>
      <c r="W671" t="b">
        <v>0</v>
      </c>
      <c r="X671" t="b">
        <f>Validation[[#This Row],[Range1_Low]]&gt;=Validation[[#This Row],[Range1_High]]</f>
        <v>0</v>
      </c>
      <c r="Y671" s="111" t="s">
        <v>2845</v>
      </c>
    </row>
    <row r="672" spans="1:25" ht="15.75" thickBot="1" x14ac:dyDescent="0.3">
      <c r="A672" t="s">
        <v>55</v>
      </c>
      <c r="B672" t="s">
        <v>47</v>
      </c>
      <c r="C672">
        <v>1E-4</v>
      </c>
      <c r="D672">
        <v>1E-3</v>
      </c>
      <c r="E672">
        <v>1E-8</v>
      </c>
      <c r="F672" t="s">
        <v>13</v>
      </c>
      <c r="G672" t="s">
        <v>11</v>
      </c>
      <c r="H672">
        <v>20</v>
      </c>
      <c r="I672">
        <v>50</v>
      </c>
      <c r="J672" t="s">
        <v>10</v>
      </c>
      <c r="K672">
        <v>0.47</v>
      </c>
      <c r="L672">
        <v>4759.8999999999996</v>
      </c>
      <c r="M672">
        <v>0.46837000000000001</v>
      </c>
      <c r="N672">
        <v>4760</v>
      </c>
      <c r="O672" t="s">
        <v>2833</v>
      </c>
      <c r="P672" t="s">
        <v>2833</v>
      </c>
      <c r="Q672" t="s">
        <v>2833</v>
      </c>
      <c r="R672">
        <f ca="1">RAND()*(Validation[[#This Row],[Range1_High]]-Validation[[#This Row],[Range1_Low]])+Validation[[#This Row],[Range1_Low]]</f>
        <v>9.0932132502563622E-4</v>
      </c>
      <c r="S672">
        <f>Validation[[#This Row],[Range2_High]]</f>
        <v>50</v>
      </c>
      <c r="T672" t="str" cm="1">
        <f t="array" aca="1" ref="T672" ca="1">RoundToTwoSigFigs(Validation[[#This Row],[Test Reading]]*Validation[[#This Row],[Mult]]+Validation[[#This Row],[Base]]) &amp;" "&amp;Validation[[#This Row],[Uncert_Units]]</f>
        <v>4.8 µA</v>
      </c>
      <c r="U6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V672" t="b">
        <f ca="1">Validation[[#This Row],[Desired Result]]=Validation[[#This Row],[Result]]</f>
        <v>0</v>
      </c>
      <c r="W672" t="b">
        <v>1</v>
      </c>
      <c r="X672" t="b">
        <f>Validation[[#This Row],[Range1_Low]]&gt;=Validation[[#This Row],[Range1_High]]</f>
        <v>0</v>
      </c>
      <c r="Y672" s="111" t="s">
        <v>2845</v>
      </c>
    </row>
    <row r="673" spans="1:25" ht="16.5" thickTop="1" thickBot="1" x14ac:dyDescent="0.3">
      <c r="A673" t="s">
        <v>54</v>
      </c>
      <c r="B673" t="s">
        <v>47</v>
      </c>
      <c r="C673" s="113">
        <v>11</v>
      </c>
      <c r="D673" s="113">
        <v>20.501000000000001</v>
      </c>
      <c r="E673">
        <v>1E-3</v>
      </c>
      <c r="F673" t="s">
        <v>13</v>
      </c>
      <c r="G673" t="s">
        <v>12</v>
      </c>
      <c r="H673">
        <v>4.4999999999999998E-2</v>
      </c>
      <c r="I673">
        <v>0.10001</v>
      </c>
      <c r="J673" t="s">
        <v>10</v>
      </c>
      <c r="K673">
        <v>5.8</v>
      </c>
      <c r="L673">
        <v>1.4</v>
      </c>
      <c r="M673">
        <v>5.7854999999999999</v>
      </c>
      <c r="N673">
        <v>1.3856999999999999</v>
      </c>
      <c r="O673" t="s">
        <v>2833</v>
      </c>
      <c r="P673" t="s">
        <v>2833</v>
      </c>
      <c r="Q673" t="s">
        <v>2833</v>
      </c>
      <c r="R673">
        <f ca="1">RAND()*(Validation[[#This Row],[Range1_High]]-Validation[[#This Row],[Range1_Low]])+Validation[[#This Row],[Range1_Low]]</f>
        <v>19.881503615168345</v>
      </c>
      <c r="S673">
        <f>Validation[[#This Row],[Range2_High]]</f>
        <v>0.10001</v>
      </c>
      <c r="T673" t="str" cm="1">
        <f t="array" aca="1" ref="T673" ca="1">RoundToTwoSigFigs(Validation[[#This Row],[Test Reading]]*Validation[[#This Row],[Mult]]+Validation[[#This Row],[Base]]) &amp;" "&amp;Validation[[#This Row],[Uncert_Units]]</f>
        <v>34 mA</v>
      </c>
      <c r="U6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mA</v>
      </c>
      <c r="V673" t="b">
        <f ca="1">Validation[[#This Row],[Desired Result]]=Validation[[#This Row],[Result]]</f>
        <v>1</v>
      </c>
      <c r="W673" t="b">
        <v>1</v>
      </c>
      <c r="X673" t="b">
        <f>Validation[[#This Row],[Range1_Low]]&gt;=Validation[[#This Row],[Range1_High]]</f>
        <v>0</v>
      </c>
      <c r="Y673" s="111" t="s">
        <v>2843</v>
      </c>
    </row>
    <row r="674" spans="1:25" ht="16.5" thickTop="1" thickBot="1" x14ac:dyDescent="0.3">
      <c r="A674" t="s">
        <v>55</v>
      </c>
      <c r="B674" t="s">
        <v>47</v>
      </c>
      <c r="C674" s="113">
        <v>1E-3</v>
      </c>
      <c r="D674" s="113">
        <v>0.01</v>
      </c>
      <c r="E674">
        <v>1E-8</v>
      </c>
      <c r="F674" t="s">
        <v>13</v>
      </c>
      <c r="G674" t="s">
        <v>11</v>
      </c>
      <c r="H674">
        <v>0.02</v>
      </c>
      <c r="I674">
        <v>4.4999999999999998E-2</v>
      </c>
      <c r="J674" t="s">
        <v>10</v>
      </c>
      <c r="K674">
        <v>2.7</v>
      </c>
      <c r="L674">
        <v>1700</v>
      </c>
      <c r="M674">
        <v>2.3094999999999999</v>
      </c>
      <c r="N674">
        <v>1732.1</v>
      </c>
      <c r="O674" t="s">
        <v>2833</v>
      </c>
      <c r="P674" t="s">
        <v>2833</v>
      </c>
      <c r="Q674" t="s">
        <v>2833</v>
      </c>
      <c r="R674">
        <f ca="1">RAND()*(Validation[[#This Row],[Range1_High]]-Validation[[#This Row],[Range1_Low]])+Validation[[#This Row],[Range1_Low]]</f>
        <v>2.8884714916854563E-3</v>
      </c>
      <c r="S674">
        <f>Validation[[#This Row],[Range2_High]]</f>
        <v>4.4999999999999998E-2</v>
      </c>
      <c r="T674" t="str" cm="1">
        <f t="array" aca="1" ref="T674" ca="1">RoundToTwoSigFigs(Validation[[#This Row],[Test Reading]]*Validation[[#This Row],[Mult]]+Validation[[#This Row],[Base]]) &amp;" "&amp;Validation[[#This Row],[Uncert_Units]]</f>
        <v>7.6 µA</v>
      </c>
      <c r="U6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V674" t="b">
        <f ca="1">Validation[[#This Row],[Desired Result]]=Validation[[#This Row],[Result]]</f>
        <v>0</v>
      </c>
      <c r="W674" t="b">
        <v>1</v>
      </c>
      <c r="X674" t="b">
        <f>Validation[[#This Row],[Range1_Low]]&gt;=Validation[[#This Row],[Range1_High]]</f>
        <v>0</v>
      </c>
      <c r="Y674" s="111" t="s">
        <v>2843</v>
      </c>
    </row>
    <row r="675" spans="1:25" ht="15.75" thickTop="1" x14ac:dyDescent="0.25">
      <c r="A675" t="s">
        <v>54</v>
      </c>
      <c r="B675" t="s">
        <v>47</v>
      </c>
      <c r="C675">
        <v>1.1000000000000001</v>
      </c>
      <c r="D675">
        <v>3.0009999999999999</v>
      </c>
      <c r="E675">
        <v>0.1</v>
      </c>
      <c r="F675" t="s">
        <v>13</v>
      </c>
      <c r="G675" t="s">
        <v>12</v>
      </c>
      <c r="H675">
        <v>10</v>
      </c>
      <c r="I675">
        <v>10.01</v>
      </c>
      <c r="J675" t="s">
        <v>10</v>
      </c>
      <c r="K675">
        <v>45.661999999999999</v>
      </c>
      <c r="L675">
        <v>21.093</v>
      </c>
      <c r="M675">
        <v>45.658999999999999</v>
      </c>
      <c r="N675">
        <v>21.091999999999999</v>
      </c>
      <c r="O675" t="s">
        <v>2833</v>
      </c>
      <c r="P675" t="s">
        <v>2833</v>
      </c>
      <c r="Q675" t="s">
        <v>2833</v>
      </c>
      <c r="R675">
        <f ca="1">RAND()*(Validation[[#This Row],[Range1_High]]-Validation[[#This Row],[Range1_Low]])+Validation[[#This Row],[Range1_Low]]</f>
        <v>1.7369545034663227</v>
      </c>
      <c r="S675">
        <f>Validation[[#This Row],[Range2_High]]</f>
        <v>10.01</v>
      </c>
      <c r="T675" t="str" cm="1">
        <f t="array" aca="1" ref="T675" ca="1">RoundToTwoSigFigs(Validation[[#This Row],[Test Reading]]*Validation[[#This Row],[Mult]]+Validation[[#This Row],[Base]]) &amp;" "&amp;Validation[[#This Row],[Uncert_Units]]</f>
        <v>82 mA</v>
      </c>
      <c r="U6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V675" t="b">
        <f ca="1">Validation[[#This Row],[Desired Result]]=Validation[[#This Row],[Result]]</f>
        <v>1</v>
      </c>
      <c r="W675" t="b">
        <v>0</v>
      </c>
      <c r="X675" t="b">
        <f>Validation[[#This Row],[Range1_Low]]&gt;=Validation[[#This Row],[Range1_High]]</f>
        <v>0</v>
      </c>
      <c r="Y675" s="111" t="s">
        <v>2845</v>
      </c>
    </row>
    <row r="676" spans="1:25" ht="15.75" thickBot="1" x14ac:dyDescent="0.3">
      <c r="A676" t="s">
        <v>55</v>
      </c>
      <c r="B676" t="s">
        <v>47</v>
      </c>
      <c r="C676">
        <v>0.01</v>
      </c>
      <c r="D676">
        <v>0.1</v>
      </c>
      <c r="E676">
        <v>1E-3</v>
      </c>
      <c r="F676" t="s">
        <v>13</v>
      </c>
      <c r="G676" t="s">
        <v>11</v>
      </c>
      <c r="H676">
        <v>5</v>
      </c>
      <c r="I676">
        <v>20</v>
      </c>
      <c r="J676" t="s">
        <v>10</v>
      </c>
      <c r="K676">
        <v>577.41</v>
      </c>
      <c r="L676">
        <v>80.741</v>
      </c>
      <c r="M676">
        <v>577.37</v>
      </c>
      <c r="N676">
        <v>78.263000000000005</v>
      </c>
      <c r="O676" t="s">
        <v>2833</v>
      </c>
      <c r="P676" t="s">
        <v>2833</v>
      </c>
      <c r="Q676" t="s">
        <v>2833</v>
      </c>
      <c r="R676">
        <f ca="1">RAND()*(Validation[[#This Row],[Range1_High]]-Validation[[#This Row],[Range1_Low]])+Validation[[#This Row],[Range1_Low]]</f>
        <v>5.3353255332444255E-2</v>
      </c>
      <c r="S676">
        <f>Validation[[#This Row],[Range2_High]]</f>
        <v>20</v>
      </c>
      <c r="T676" t="str" cm="1">
        <f t="array" aca="1" ref="T676" ca="1">RoundToTwoSigFigs(Validation[[#This Row],[Test Reading]]*Validation[[#This Row],[Mult]]+Validation[[#This Row],[Base]]) &amp;" "&amp;Validation[[#This Row],[Uncert_Units]]</f>
        <v>580 µA</v>
      </c>
      <c r="U6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676" t="b">
        <f ca="1">Validation[[#This Row],[Desired Result]]=Validation[[#This Row],[Result]]</f>
        <v>1</v>
      </c>
      <c r="W676" t="b">
        <v>0</v>
      </c>
      <c r="X676" t="b">
        <f>Validation[[#This Row],[Range1_Low]]&gt;=Validation[[#This Row],[Range1_High]]</f>
        <v>0</v>
      </c>
      <c r="Y676" s="111" t="s">
        <v>2845</v>
      </c>
    </row>
    <row r="677" spans="1:25" ht="16.5" thickTop="1" thickBot="1" x14ac:dyDescent="0.3">
      <c r="A677" t="s">
        <v>54</v>
      </c>
      <c r="B677" t="s">
        <v>47</v>
      </c>
      <c r="C677" s="113">
        <v>3.3E-4</v>
      </c>
      <c r="D677" s="113">
        <v>3.3000999999999998E-3</v>
      </c>
      <c r="E677">
        <v>9.9999999999999995E-8</v>
      </c>
      <c r="F677" t="s">
        <v>13</v>
      </c>
      <c r="G677" t="s">
        <v>11</v>
      </c>
      <c r="H677">
        <v>0.02</v>
      </c>
      <c r="I677">
        <v>4.5010000000000001E-2</v>
      </c>
      <c r="J677" t="s">
        <v>10</v>
      </c>
      <c r="K677">
        <v>0.32</v>
      </c>
      <c r="L677">
        <v>1400</v>
      </c>
      <c r="M677">
        <v>0.17604</v>
      </c>
      <c r="N677">
        <v>1443.1</v>
      </c>
      <c r="O677" t="s">
        <v>2833</v>
      </c>
      <c r="P677" t="s">
        <v>2833</v>
      </c>
      <c r="Q677" t="s">
        <v>2833</v>
      </c>
      <c r="R677">
        <f ca="1">RAND()*(Validation[[#This Row],[Range1_High]]-Validation[[#This Row],[Range1_Low]])+Validation[[#This Row],[Range1_Low]]</f>
        <v>3.3116703738811918E-4</v>
      </c>
      <c r="S677">
        <f>Validation[[#This Row],[Range2_High]]</f>
        <v>4.5010000000000001E-2</v>
      </c>
      <c r="T677" t="str" cm="1">
        <f t="array" aca="1" ref="T677" ca="1">RoundToTwoSigFigs(Validation[[#This Row],[Test Reading]]*Validation[[#This Row],[Mult]]+Validation[[#This Row],[Base]]) &amp;" "&amp;Validation[[#This Row],[Uncert_Units]]</f>
        <v>0.78 µA</v>
      </c>
      <c r="U6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V677" t="b">
        <f ca="1">Validation[[#This Row],[Desired Result]]=Validation[[#This Row],[Result]]</f>
        <v>0</v>
      </c>
      <c r="W677" t="b">
        <v>1</v>
      </c>
      <c r="X677" t="b">
        <f>Validation[[#This Row],[Range1_Low]]&gt;=Validation[[#This Row],[Range1_High]]</f>
        <v>0</v>
      </c>
      <c r="Y677" s="111" t="s">
        <v>2843</v>
      </c>
    </row>
    <row r="678" spans="1:25" ht="16.5" thickTop="1" thickBot="1" x14ac:dyDescent="0.3">
      <c r="A678" t="s">
        <v>54</v>
      </c>
      <c r="B678" t="s">
        <v>47</v>
      </c>
      <c r="C678">
        <v>0</v>
      </c>
      <c r="D678">
        <v>3.3000999999999999E-4</v>
      </c>
      <c r="E678">
        <v>0.01</v>
      </c>
      <c r="F678" t="s">
        <v>13</v>
      </c>
      <c r="G678" t="s">
        <v>11</v>
      </c>
      <c r="H678">
        <v>5</v>
      </c>
      <c r="I678">
        <v>10.01</v>
      </c>
      <c r="J678" t="s">
        <v>10</v>
      </c>
      <c r="K678">
        <v>5773.6</v>
      </c>
      <c r="L678">
        <v>3.0975999999999999</v>
      </c>
      <c r="M678">
        <v>5773.5</v>
      </c>
      <c r="N678">
        <v>3.0226000000000002</v>
      </c>
      <c r="O678" t="s">
        <v>2833</v>
      </c>
      <c r="P678" t="s">
        <v>2833</v>
      </c>
      <c r="Q678" t="s">
        <v>2833</v>
      </c>
      <c r="R678">
        <f ca="1">RAND()*(Validation[[#This Row],[Range1_High]]-Validation[[#This Row],[Range1_Low]])+Validation[[#This Row],[Range1_Low]]</f>
        <v>3.1270796740710154E-4</v>
      </c>
      <c r="S678">
        <f>Validation[[#This Row],[Range2_High]]</f>
        <v>10.01</v>
      </c>
      <c r="T678" t="str" cm="1">
        <f t="array" aca="1" ref="T678" ca="1">RoundToTwoSigFigs(Validation[[#This Row],[Test Reading]]*Validation[[#This Row],[Mult]]+Validation[[#This Row],[Base]]) &amp;" "&amp;Validation[[#This Row],[Uncert_Units]]</f>
        <v>5800 µA</v>
      </c>
      <c r="U6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678" t="b">
        <f ca="1">Validation[[#This Row],[Desired Result]]=Validation[[#This Row],[Result]]</f>
        <v>1</v>
      </c>
      <c r="W678" t="b">
        <v>0</v>
      </c>
      <c r="X678" t="b">
        <f>Validation[[#This Row],[Range1_Low]]&gt;=Validation[[#This Row],[Range1_High]]</f>
        <v>0</v>
      </c>
      <c r="Y678" s="111" t="s">
        <v>2845</v>
      </c>
    </row>
    <row r="679" spans="1:25" ht="16.5" thickTop="1" thickBot="1" x14ac:dyDescent="0.3">
      <c r="A679" t="s">
        <v>55</v>
      </c>
      <c r="B679" t="s">
        <v>47</v>
      </c>
      <c r="C679" s="113">
        <v>1E-3</v>
      </c>
      <c r="D679" s="113">
        <v>0.01</v>
      </c>
      <c r="E679">
        <v>9.9999999999999995E-8</v>
      </c>
      <c r="F679" t="s">
        <v>13</v>
      </c>
      <c r="G679" t="s">
        <v>11</v>
      </c>
      <c r="H679">
        <v>50</v>
      </c>
      <c r="I679">
        <v>100</v>
      </c>
      <c r="J679" t="s">
        <v>10</v>
      </c>
      <c r="K679">
        <v>19</v>
      </c>
      <c r="L679">
        <v>6531.1</v>
      </c>
      <c r="M679">
        <v>17.152999999999999</v>
      </c>
      <c r="N679">
        <v>6602.1</v>
      </c>
      <c r="O679" t="s">
        <v>2833</v>
      </c>
      <c r="P679" t="s">
        <v>2833</v>
      </c>
      <c r="Q679" t="s">
        <v>2833</v>
      </c>
      <c r="R679">
        <f ca="1">RAND()*(Validation[[#This Row],[Range1_High]]-Validation[[#This Row],[Range1_Low]])+Validation[[#This Row],[Range1_Low]]</f>
        <v>1.9214800535729817E-3</v>
      </c>
      <c r="S679">
        <f>Validation[[#This Row],[Range2_High]]</f>
        <v>100</v>
      </c>
      <c r="T679" t="str" cm="1">
        <f t="array" aca="1" ref="T679" ca="1">RoundToTwoSigFigs(Validation[[#This Row],[Test Reading]]*Validation[[#This Row],[Mult]]+Validation[[#This Row],[Base]]) &amp;" "&amp;Validation[[#This Row],[Uncert_Units]]</f>
        <v>32 µA</v>
      </c>
      <c r="U6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V679" t="b">
        <f ca="1">Validation[[#This Row],[Desired Result]]=Validation[[#This Row],[Result]]</f>
        <v>1</v>
      </c>
      <c r="W679" t="b">
        <v>1</v>
      </c>
      <c r="X679" t="b">
        <f>Validation[[#This Row],[Range1_Low]]&gt;=Validation[[#This Row],[Range1_High]]</f>
        <v>0</v>
      </c>
      <c r="Y679" s="111" t="s">
        <v>2843</v>
      </c>
    </row>
    <row r="680" spans="1:25" ht="16.5" thickTop="1" thickBot="1" x14ac:dyDescent="0.3">
      <c r="A680" t="s">
        <v>54</v>
      </c>
      <c r="B680" t="s">
        <v>47</v>
      </c>
      <c r="C680">
        <v>3.3000000000000002E-2</v>
      </c>
      <c r="D680">
        <v>0.33001000000000003</v>
      </c>
      <c r="E680">
        <v>0.01</v>
      </c>
      <c r="F680" t="s">
        <v>13</v>
      </c>
      <c r="G680" t="s">
        <v>12</v>
      </c>
      <c r="H680">
        <v>1</v>
      </c>
      <c r="I680">
        <v>5.01</v>
      </c>
      <c r="J680" t="s">
        <v>10</v>
      </c>
      <c r="K680">
        <v>5.7725999999999997</v>
      </c>
      <c r="L680">
        <v>5.3741999999999998E-2</v>
      </c>
      <c r="M680">
        <v>5.7725999999999997</v>
      </c>
      <c r="N680">
        <v>5.3697000000000002E-2</v>
      </c>
      <c r="O680" t="s">
        <v>2833</v>
      </c>
      <c r="P680" t="s">
        <v>2833</v>
      </c>
      <c r="Q680" t="s">
        <v>2833</v>
      </c>
      <c r="R680">
        <f ca="1">RAND()*(Validation[[#This Row],[Range1_High]]-Validation[[#This Row],[Range1_Low]])+Validation[[#This Row],[Range1_Low]]</f>
        <v>0.12226553761801799</v>
      </c>
      <c r="S680">
        <f>Validation[[#This Row],[Range2_High]]</f>
        <v>5.01</v>
      </c>
      <c r="T680" t="str" cm="1">
        <f t="array" aca="1" ref="T680" ca="1">RoundToTwoSigFigs(Validation[[#This Row],[Test Reading]]*Validation[[#This Row],[Mult]]+Validation[[#This Row],[Base]]) &amp;" "&amp;Validation[[#This Row],[Uncert_Units]]</f>
        <v>5.8 mA</v>
      </c>
      <c r="U6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680" t="b">
        <f ca="1">Validation[[#This Row],[Desired Result]]=Validation[[#This Row],[Result]]</f>
        <v>1</v>
      </c>
      <c r="W680" t="b">
        <v>0</v>
      </c>
      <c r="X680" t="b">
        <f>Validation[[#This Row],[Range1_Low]]&gt;=Validation[[#This Row],[Range1_High]]</f>
        <v>0</v>
      </c>
      <c r="Y680" s="111" t="s">
        <v>2845</v>
      </c>
    </row>
    <row r="681" spans="1:25" ht="16.5" thickTop="1" thickBot="1" x14ac:dyDescent="0.3">
      <c r="A681" t="s">
        <v>55</v>
      </c>
      <c r="B681" t="s">
        <v>47</v>
      </c>
      <c r="C681" s="113">
        <v>0.1</v>
      </c>
      <c r="D681" s="113">
        <v>1</v>
      </c>
      <c r="E681">
        <v>9.9999999999999995E-7</v>
      </c>
      <c r="F681" t="s">
        <v>13</v>
      </c>
      <c r="G681" t="s">
        <v>12</v>
      </c>
      <c r="H681">
        <v>4.4999999999999998E-2</v>
      </c>
      <c r="I681">
        <v>0.1</v>
      </c>
      <c r="J681" t="s">
        <v>10</v>
      </c>
      <c r="K681">
        <v>0.24</v>
      </c>
      <c r="L681">
        <v>0.92</v>
      </c>
      <c r="M681">
        <v>0.23091</v>
      </c>
      <c r="N681">
        <v>0.92432000000000003</v>
      </c>
      <c r="O681" t="s">
        <v>2833</v>
      </c>
      <c r="P681" t="s">
        <v>2833</v>
      </c>
      <c r="Q681" t="s">
        <v>2833</v>
      </c>
      <c r="R681">
        <f ca="1">RAND()*(Validation[[#This Row],[Range1_High]]-Validation[[#This Row],[Range1_Low]])+Validation[[#This Row],[Range1_Low]]</f>
        <v>0.42936661489046157</v>
      </c>
      <c r="S681">
        <f>Validation[[#This Row],[Range2_High]]</f>
        <v>0.1</v>
      </c>
      <c r="T681" t="str" cm="1">
        <f t="array" aca="1" ref="T681" ca="1">RoundToTwoSigFigs(Validation[[#This Row],[Test Reading]]*Validation[[#This Row],[Mult]]+Validation[[#This Row],[Base]]) &amp;" "&amp;Validation[[#This Row],[Uncert_Units]]</f>
        <v>0.64 mA</v>
      </c>
      <c r="U6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mA</v>
      </c>
      <c r="V681" t="b">
        <f ca="1">Validation[[#This Row],[Desired Result]]=Validation[[#This Row],[Result]]</f>
        <v>0</v>
      </c>
      <c r="W681" t="b">
        <v>1</v>
      </c>
      <c r="X681" t="b">
        <f>Validation[[#This Row],[Range1_Low]]&gt;=Validation[[#This Row],[Range1_High]]</f>
        <v>0</v>
      </c>
      <c r="Y681" s="111" t="s">
        <v>2843</v>
      </c>
    </row>
    <row r="682" spans="1:25" ht="16.5" thickTop="1" thickBot="1" x14ac:dyDescent="0.3">
      <c r="A682" t="s">
        <v>55</v>
      </c>
      <c r="B682" t="s">
        <v>47</v>
      </c>
      <c r="C682">
        <v>1E-4</v>
      </c>
      <c r="D682">
        <v>1E-3</v>
      </c>
      <c r="E682">
        <v>9.9999999999999995E-8</v>
      </c>
      <c r="F682" t="s">
        <v>13</v>
      </c>
      <c r="G682" t="s">
        <v>11</v>
      </c>
      <c r="H682">
        <v>20</v>
      </c>
      <c r="I682">
        <v>50</v>
      </c>
      <c r="J682" t="s">
        <v>10</v>
      </c>
      <c r="K682">
        <v>0.64627000000000001</v>
      </c>
      <c r="L682">
        <v>4616</v>
      </c>
      <c r="M682">
        <v>0.64414000000000005</v>
      </c>
      <c r="N682">
        <v>4616.1000000000004</v>
      </c>
      <c r="O682" t="s">
        <v>2833</v>
      </c>
      <c r="P682" t="s">
        <v>2833</v>
      </c>
      <c r="Q682" t="s">
        <v>2833</v>
      </c>
      <c r="R682">
        <f ca="1">RAND()*(Validation[[#This Row],[Range1_High]]-Validation[[#This Row],[Range1_Low]])+Validation[[#This Row],[Range1_Low]]</f>
        <v>5.1901804880959644E-4</v>
      </c>
      <c r="S682">
        <f>Validation[[#This Row],[Range2_High]]</f>
        <v>50</v>
      </c>
      <c r="T682" t="str" cm="1">
        <f t="array" aca="1" ref="T682" ca="1">RoundToTwoSigFigs(Validation[[#This Row],[Test Reading]]*Validation[[#This Row],[Mult]]+Validation[[#This Row],[Base]]) &amp;" "&amp;Validation[[#This Row],[Uncert_Units]]</f>
        <v>3 µA</v>
      </c>
      <c r="U6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V682" t="b">
        <f ca="1">Validation[[#This Row],[Desired Result]]=Validation[[#This Row],[Result]]</f>
        <v>1</v>
      </c>
      <c r="W682" t="b">
        <v>0</v>
      </c>
      <c r="X682" t="b">
        <f>Validation[[#This Row],[Range1_Low]]&gt;=Validation[[#This Row],[Range1_High]]</f>
        <v>0</v>
      </c>
      <c r="Y682" s="111" t="s">
        <v>2845</v>
      </c>
    </row>
    <row r="683" spans="1:25" ht="16.5" thickTop="1" thickBot="1" x14ac:dyDescent="0.3">
      <c r="A683" t="s">
        <v>54</v>
      </c>
      <c r="B683" t="s">
        <v>47</v>
      </c>
      <c r="C683" s="113">
        <v>3.3000000000000002E-2</v>
      </c>
      <c r="D683" s="113">
        <v>0.33001000000000003</v>
      </c>
      <c r="E683">
        <v>9.9999999999999995E-7</v>
      </c>
      <c r="F683" t="s">
        <v>13</v>
      </c>
      <c r="G683" t="s">
        <v>12</v>
      </c>
      <c r="H683">
        <v>10</v>
      </c>
      <c r="I683">
        <v>30</v>
      </c>
      <c r="J683" t="s">
        <v>10</v>
      </c>
      <c r="K683">
        <v>0.24</v>
      </c>
      <c r="L683">
        <v>4.5999999999999996</v>
      </c>
      <c r="M683">
        <v>0.23085</v>
      </c>
      <c r="N683">
        <v>4.6219000000000001</v>
      </c>
      <c r="O683" t="s">
        <v>2833</v>
      </c>
      <c r="P683" t="s">
        <v>2833</v>
      </c>
      <c r="Q683" t="s">
        <v>2833</v>
      </c>
      <c r="R683">
        <f ca="1">RAND()*(Validation[[#This Row],[Range1_High]]-Validation[[#This Row],[Range1_Low]])+Validation[[#This Row],[Range1_Low]]</f>
        <v>8.5431983974732145E-2</v>
      </c>
      <c r="S683">
        <f>Validation[[#This Row],[Range2_High]]</f>
        <v>30</v>
      </c>
      <c r="T683" t="str" cm="1">
        <f t="array" aca="1" ref="T683" ca="1">RoundToTwoSigFigs(Validation[[#This Row],[Test Reading]]*Validation[[#This Row],[Mult]]+Validation[[#This Row],[Base]]) &amp;" "&amp;Validation[[#This Row],[Uncert_Units]]</f>
        <v>0.63 mA</v>
      </c>
      <c r="U6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mA</v>
      </c>
      <c r="V683" t="b">
        <f ca="1">Validation[[#This Row],[Desired Result]]=Validation[[#This Row],[Result]]</f>
        <v>1</v>
      </c>
      <c r="W683" t="b">
        <v>1</v>
      </c>
      <c r="X683" t="b">
        <f>Validation[[#This Row],[Range1_Low]]&gt;=Validation[[#This Row],[Range1_High]]</f>
        <v>0</v>
      </c>
      <c r="Y683" s="111" t="s">
        <v>2843</v>
      </c>
    </row>
    <row r="684" spans="1:25" ht="16.5" thickTop="1" thickBot="1" x14ac:dyDescent="0.3">
      <c r="A684" t="s">
        <v>54</v>
      </c>
      <c r="B684" t="s">
        <v>47</v>
      </c>
      <c r="C684" s="113">
        <v>3.3000000000000002E-2</v>
      </c>
      <c r="D684" s="113">
        <v>0.33001000000000003</v>
      </c>
      <c r="E684">
        <v>1.0000000000000001E-5</v>
      </c>
      <c r="F684" t="s">
        <v>13</v>
      </c>
      <c r="G684" t="s">
        <v>12</v>
      </c>
      <c r="H684">
        <v>0.01</v>
      </c>
      <c r="I684">
        <v>2.001E-2</v>
      </c>
      <c r="J684" t="s">
        <v>10</v>
      </c>
      <c r="K684">
        <v>2.3E-2</v>
      </c>
      <c r="L684">
        <v>2.1</v>
      </c>
      <c r="M684">
        <v>2.3129E-2</v>
      </c>
      <c r="N684">
        <v>2.0901000000000001</v>
      </c>
      <c r="O684" t="s">
        <v>2833</v>
      </c>
      <c r="P684" t="s">
        <v>2833</v>
      </c>
      <c r="Q684" t="s">
        <v>2833</v>
      </c>
      <c r="R684">
        <f ca="1">RAND()*(Validation[[#This Row],[Range1_High]]-Validation[[#This Row],[Range1_Low]])+Validation[[#This Row],[Range1_Low]]</f>
        <v>0.29202651044015571</v>
      </c>
      <c r="S684">
        <f>Validation[[#This Row],[Range2_High]]</f>
        <v>2.001E-2</v>
      </c>
      <c r="T684" t="str" cm="1">
        <f t="array" aca="1" ref="T684" ca="1">RoundToTwoSigFigs(Validation[[#This Row],[Test Reading]]*Validation[[#This Row],[Mult]]+Validation[[#This Row],[Base]]) &amp;" "&amp;Validation[[#This Row],[Uncert_Units]]</f>
        <v>0.64 mA</v>
      </c>
      <c r="U6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mA</v>
      </c>
      <c r="V684" t="b">
        <f ca="1">Validation[[#This Row],[Desired Result]]=Validation[[#This Row],[Result]]</f>
        <v>0</v>
      </c>
      <c r="W684" t="b">
        <v>1</v>
      </c>
      <c r="X684" t="b">
        <f>Validation[[#This Row],[Range1_Low]]&gt;=Validation[[#This Row],[Range1_High]]</f>
        <v>0</v>
      </c>
      <c r="Y684" s="111" t="s">
        <v>2843</v>
      </c>
    </row>
    <row r="685" spans="1:25" ht="16.5" thickTop="1" thickBot="1" x14ac:dyDescent="0.3">
      <c r="A685" t="s">
        <v>55</v>
      </c>
      <c r="B685" t="s">
        <v>47</v>
      </c>
      <c r="C685" s="113">
        <v>1E-3</v>
      </c>
      <c r="D685" s="113">
        <v>0.01</v>
      </c>
      <c r="E685">
        <v>9.9999999999999995E-7</v>
      </c>
      <c r="F685" t="s">
        <v>13</v>
      </c>
      <c r="G685" t="s">
        <v>11</v>
      </c>
      <c r="H685">
        <v>0.1</v>
      </c>
      <c r="I685">
        <v>5</v>
      </c>
      <c r="J685" t="s">
        <v>10</v>
      </c>
      <c r="K685">
        <v>2.5</v>
      </c>
      <c r="L685">
        <v>362.33</v>
      </c>
      <c r="M685">
        <v>2.3641000000000001</v>
      </c>
      <c r="N685">
        <v>361.33</v>
      </c>
      <c r="O685" t="s">
        <v>2833</v>
      </c>
      <c r="P685" t="s">
        <v>2833</v>
      </c>
      <c r="Q685" t="s">
        <v>2833</v>
      </c>
      <c r="R685">
        <f ca="1">RAND()*(Validation[[#This Row],[Range1_High]]-Validation[[#This Row],[Range1_Low]])+Validation[[#This Row],[Range1_Low]]</f>
        <v>3.8382433329926927E-3</v>
      </c>
      <c r="S685">
        <f>Validation[[#This Row],[Range2_High]]</f>
        <v>5</v>
      </c>
      <c r="T685" t="str" cm="1">
        <f t="array" aca="1" ref="T685" ca="1">RoundToTwoSigFigs(Validation[[#This Row],[Test Reading]]*Validation[[#This Row],[Mult]]+Validation[[#This Row],[Base]]) &amp;" "&amp;Validation[[#This Row],[Uncert_Units]]</f>
        <v>3.9 µA</v>
      </c>
      <c r="U6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µA</v>
      </c>
      <c r="V685" t="b">
        <f ca="1">Validation[[#This Row],[Desired Result]]=Validation[[#This Row],[Result]]</f>
        <v>0</v>
      </c>
      <c r="W685" t="b">
        <v>1</v>
      </c>
      <c r="X685" t="b">
        <f>Validation[[#This Row],[Range1_Low]]&gt;=Validation[[#This Row],[Range1_High]]</f>
        <v>0</v>
      </c>
      <c r="Y685" s="111" t="s">
        <v>2843</v>
      </c>
    </row>
    <row r="686" spans="1:25" ht="16.5" thickTop="1" thickBot="1" x14ac:dyDescent="0.3">
      <c r="A686" t="s">
        <v>55</v>
      </c>
      <c r="B686" t="s">
        <v>47</v>
      </c>
      <c r="C686" s="113">
        <v>0.01</v>
      </c>
      <c r="D686" s="113">
        <v>0.1</v>
      </c>
      <c r="E686">
        <v>9.9999999999999995E-8</v>
      </c>
      <c r="F686" t="s">
        <v>13</v>
      </c>
      <c r="G686" t="s">
        <v>11</v>
      </c>
      <c r="H686">
        <v>50</v>
      </c>
      <c r="I686">
        <v>100</v>
      </c>
      <c r="J686" t="s">
        <v>10</v>
      </c>
      <c r="K686">
        <v>190</v>
      </c>
      <c r="L686">
        <v>6500</v>
      </c>
      <c r="M686">
        <v>171.51</v>
      </c>
      <c r="N686">
        <v>6602.2</v>
      </c>
      <c r="O686" t="s">
        <v>2833</v>
      </c>
      <c r="P686" t="s">
        <v>2833</v>
      </c>
      <c r="Q686" t="s">
        <v>2833</v>
      </c>
      <c r="R686">
        <f ca="1">RAND()*(Validation[[#This Row],[Range1_High]]-Validation[[#This Row],[Range1_Low]])+Validation[[#This Row],[Range1_Low]]</f>
        <v>8.7092760376582423E-2</v>
      </c>
      <c r="S686">
        <f>Validation[[#This Row],[Range2_High]]</f>
        <v>100</v>
      </c>
      <c r="T686" t="str" cm="1">
        <f t="array" aca="1" ref="T686" ca="1">RoundToTwoSigFigs(Validation[[#This Row],[Test Reading]]*Validation[[#This Row],[Mult]]+Validation[[#This Row],[Base]]) &amp;" "&amp;Validation[[#This Row],[Uncert_Units]]</f>
        <v>760 µA</v>
      </c>
      <c r="U6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µA</v>
      </c>
      <c r="V686" t="b">
        <f ca="1">Validation[[#This Row],[Desired Result]]=Validation[[#This Row],[Result]]</f>
        <v>1</v>
      </c>
      <c r="W686" t="b">
        <v>1</v>
      </c>
      <c r="X686" t="b">
        <f>Validation[[#This Row],[Range1_Low]]&gt;=Validation[[#This Row],[Range1_High]]</f>
        <v>0</v>
      </c>
      <c r="Y686" s="111" t="s">
        <v>2843</v>
      </c>
    </row>
    <row r="687" spans="1:25" ht="16.5" thickTop="1" thickBot="1" x14ac:dyDescent="0.3">
      <c r="A687" t="s">
        <v>68</v>
      </c>
      <c r="B687" t="s">
        <v>47</v>
      </c>
      <c r="C687">
        <v>1.0000000000000001E-5</v>
      </c>
      <c r="D687">
        <v>1.0399999999999999E-4</v>
      </c>
      <c r="E687">
        <v>1E-8</v>
      </c>
      <c r="F687" t="s">
        <v>13</v>
      </c>
      <c r="G687" t="s">
        <v>11</v>
      </c>
      <c r="H687">
        <v>0.01</v>
      </c>
      <c r="I687">
        <v>2</v>
      </c>
      <c r="J687" t="s">
        <v>10</v>
      </c>
      <c r="K687">
        <v>0.47</v>
      </c>
      <c r="L687">
        <v>1234</v>
      </c>
      <c r="M687">
        <v>0.46307999999999999</v>
      </c>
      <c r="N687">
        <v>1233.9000000000001</v>
      </c>
      <c r="O687" t="s">
        <v>2833</v>
      </c>
      <c r="P687" t="s">
        <v>2833</v>
      </c>
      <c r="Q687" t="s">
        <v>2833</v>
      </c>
      <c r="R687">
        <f ca="1">RAND()*(Validation[[#This Row],[Range1_High]]-Validation[[#This Row],[Range1_Low]])+Validation[[#This Row],[Range1_Low]]</f>
        <v>5.2845090135099118E-5</v>
      </c>
      <c r="S687">
        <f>Validation[[#This Row],[Range2_High]]</f>
        <v>2</v>
      </c>
      <c r="T687" t="str" cm="1">
        <f t="array" aca="1" ref="T687" ca="1">RoundToTwoSigFigs(Validation[[#This Row],[Test Reading]]*Validation[[#This Row],[Mult]]+Validation[[#This Row],[Base]]) &amp;" "&amp;Validation[[#This Row],[Uncert_Units]]</f>
        <v>0.54 µA</v>
      </c>
      <c r="U6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V687" t="b">
        <f ca="1">Validation[[#This Row],[Desired Result]]=Validation[[#This Row],[Result]]</f>
        <v>1</v>
      </c>
      <c r="W687" t="b">
        <v>0</v>
      </c>
      <c r="X687" t="b">
        <f>Validation[[#This Row],[Range1_Low]]&gt;=Validation[[#This Row],[Range1_High]]</f>
        <v>0</v>
      </c>
      <c r="Y687" s="111" t="s">
        <v>2845</v>
      </c>
    </row>
    <row r="688" spans="1:25" ht="16.5" thickTop="1" thickBot="1" x14ac:dyDescent="0.3">
      <c r="A688" t="s">
        <v>55</v>
      </c>
      <c r="B688" t="s">
        <v>47</v>
      </c>
      <c r="C688" s="113">
        <v>0.01</v>
      </c>
      <c r="D688" s="113">
        <v>0.1</v>
      </c>
      <c r="E688">
        <v>9.9999999999999995E-7</v>
      </c>
      <c r="F688" t="s">
        <v>13</v>
      </c>
      <c r="G688" t="s">
        <v>11</v>
      </c>
      <c r="H688">
        <v>4.4999999999999998E-2</v>
      </c>
      <c r="I688">
        <v>0.1</v>
      </c>
      <c r="J688" t="s">
        <v>10</v>
      </c>
      <c r="K688">
        <v>24</v>
      </c>
      <c r="L688">
        <v>690</v>
      </c>
      <c r="M688">
        <v>23.103000000000002</v>
      </c>
      <c r="N688">
        <v>693.03</v>
      </c>
      <c r="O688" t="s">
        <v>2833</v>
      </c>
      <c r="P688" t="s">
        <v>2833</v>
      </c>
      <c r="Q688" t="s">
        <v>2833</v>
      </c>
      <c r="R688">
        <f ca="1">RAND()*(Validation[[#This Row],[Range1_High]]-Validation[[#This Row],[Range1_Low]])+Validation[[#This Row],[Range1_Low]]</f>
        <v>2.3427974881620305E-2</v>
      </c>
      <c r="S688">
        <f>Validation[[#This Row],[Range2_High]]</f>
        <v>0.1</v>
      </c>
      <c r="T688" t="str" cm="1">
        <f t="array" aca="1" ref="T688" ca="1">RoundToTwoSigFigs(Validation[[#This Row],[Test Reading]]*Validation[[#This Row],[Mult]]+Validation[[#This Row],[Base]]) &amp;" "&amp;Validation[[#This Row],[Uncert_Units]]</f>
        <v>40 µA</v>
      </c>
      <c r="U6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µA</v>
      </c>
      <c r="V688" t="b">
        <f ca="1">Validation[[#This Row],[Desired Result]]=Validation[[#This Row],[Result]]</f>
        <v>1</v>
      </c>
      <c r="W688" t="b">
        <v>1</v>
      </c>
      <c r="X688" t="b">
        <f>Validation[[#This Row],[Range1_Low]]&gt;=Validation[[#This Row],[Range1_High]]</f>
        <v>0</v>
      </c>
      <c r="Y688" s="111" t="s">
        <v>2843</v>
      </c>
    </row>
    <row r="689" spans="1:25" ht="16.5" thickTop="1" thickBot="1" x14ac:dyDescent="0.3">
      <c r="A689" t="s">
        <v>54</v>
      </c>
      <c r="B689" t="s">
        <v>47</v>
      </c>
      <c r="C689">
        <v>0</v>
      </c>
      <c r="D689">
        <v>3.3000999999999999E-4</v>
      </c>
      <c r="E689">
        <v>1.0000000000000001E-5</v>
      </c>
      <c r="F689" t="s">
        <v>13</v>
      </c>
      <c r="G689" t="s">
        <v>11</v>
      </c>
      <c r="H689">
        <v>4.4999999999999998E-2</v>
      </c>
      <c r="I689">
        <v>1.0000100000000001</v>
      </c>
      <c r="J689" t="s">
        <v>10</v>
      </c>
      <c r="K689">
        <v>5.7731000000000003</v>
      </c>
      <c r="L689">
        <v>93.963999999999999</v>
      </c>
      <c r="M689">
        <v>5.7729999999999997</v>
      </c>
      <c r="N689">
        <v>93.42</v>
      </c>
      <c r="O689" t="s">
        <v>2833</v>
      </c>
      <c r="P689" t="s">
        <v>2833</v>
      </c>
      <c r="Q689" t="s">
        <v>2833</v>
      </c>
      <c r="R689">
        <f ca="1">RAND()*(Validation[[#This Row],[Range1_High]]-Validation[[#This Row],[Range1_Low]])+Validation[[#This Row],[Range1_Low]]</f>
        <v>2.970723538669794E-4</v>
      </c>
      <c r="S689">
        <f>Validation[[#This Row],[Range2_High]]</f>
        <v>1.0000100000000001</v>
      </c>
      <c r="T689" t="str" cm="1">
        <f t="array" aca="1" ref="T689" ca="1">RoundToTwoSigFigs(Validation[[#This Row],[Test Reading]]*Validation[[#This Row],[Mult]]+Validation[[#This Row],[Base]]) &amp;" "&amp;Validation[[#This Row],[Uncert_Units]]</f>
        <v>5.8 µA</v>
      </c>
      <c r="U6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V689" t="b">
        <f ca="1">Validation[[#This Row],[Desired Result]]=Validation[[#This Row],[Result]]</f>
        <v>0</v>
      </c>
      <c r="W689" t="b">
        <v>0</v>
      </c>
      <c r="X689" t="b">
        <f>Validation[[#This Row],[Range1_Low]]&gt;=Validation[[#This Row],[Range1_High]]</f>
        <v>0</v>
      </c>
      <c r="Y689" s="111" t="s">
        <v>2845</v>
      </c>
    </row>
    <row r="690" spans="1:25" ht="16.5" thickTop="1" thickBot="1" x14ac:dyDescent="0.3">
      <c r="A690" t="s">
        <v>54</v>
      </c>
      <c r="B690" t="s">
        <v>47</v>
      </c>
      <c r="C690">
        <v>0.33</v>
      </c>
      <c r="D690">
        <v>1.1000099999999999</v>
      </c>
      <c r="E690">
        <v>0.1</v>
      </c>
      <c r="F690" t="s">
        <v>13</v>
      </c>
      <c r="G690" t="s">
        <v>12</v>
      </c>
      <c r="H690" s="113">
        <v>1</v>
      </c>
      <c r="I690" s="113">
        <v>5.01</v>
      </c>
      <c r="J690" t="s">
        <v>10</v>
      </c>
      <c r="K690">
        <v>57.597999999999999</v>
      </c>
      <c r="L690">
        <v>0.72965000000000002</v>
      </c>
      <c r="M690">
        <v>57.597999999999999</v>
      </c>
      <c r="N690">
        <v>0.72819</v>
      </c>
      <c r="O690" t="s">
        <v>2833</v>
      </c>
      <c r="P690" t="s">
        <v>2833</v>
      </c>
      <c r="Q690" t="s">
        <v>2833</v>
      </c>
      <c r="R690">
        <f ca="1">RAND()*(Validation[[#This Row],[Range1_High]]-Validation[[#This Row],[Range1_Low]])+Validation[[#This Row],[Range1_Low]]</f>
        <v>0.80940226081908817</v>
      </c>
      <c r="S690">
        <f>Validation[[#This Row],[Range2_High]]</f>
        <v>5.01</v>
      </c>
      <c r="T690" t="str" cm="1">
        <f t="array" aca="1" ref="T690" ca="1">RoundToTwoSigFigs(Validation[[#This Row],[Test Reading]]*Validation[[#This Row],[Mult]]+Validation[[#This Row],[Base]]) &amp;" "&amp;Validation[[#This Row],[Uncert_Units]]</f>
        <v>58 mA</v>
      </c>
      <c r="U6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V690" t="b">
        <f ca="1">Validation[[#This Row],[Desired Result]]=Validation[[#This Row],[Result]]</f>
        <v>0</v>
      </c>
      <c r="W690" t="b">
        <v>1</v>
      </c>
      <c r="X690" t="b">
        <f>Validation[[#This Row],[Range1_Low]]&gt;=Validation[[#This Row],[Range1_High]]</f>
        <v>0</v>
      </c>
      <c r="Y690" s="114" t="s">
        <v>2847</v>
      </c>
    </row>
    <row r="691" spans="1:25" ht="15.75" thickTop="1" x14ac:dyDescent="0.25">
      <c r="A691" t="s">
        <v>54</v>
      </c>
      <c r="B691" t="s">
        <v>47</v>
      </c>
      <c r="C691">
        <v>11</v>
      </c>
      <c r="D691">
        <v>20.501000000000001</v>
      </c>
      <c r="E691">
        <v>0.1</v>
      </c>
      <c r="F691" t="s">
        <v>13</v>
      </c>
      <c r="G691" t="s">
        <v>12</v>
      </c>
      <c r="H691">
        <v>5</v>
      </c>
      <c r="I691">
        <v>5.01</v>
      </c>
      <c r="J691" t="s">
        <v>10</v>
      </c>
      <c r="K691">
        <v>6.5765000000000002</v>
      </c>
      <c r="L691">
        <v>34.962000000000003</v>
      </c>
      <c r="M691">
        <v>12.385999999999999</v>
      </c>
      <c r="N691">
        <v>34.433</v>
      </c>
      <c r="O691" t="s">
        <v>2833</v>
      </c>
      <c r="P691" t="s">
        <v>2833</v>
      </c>
      <c r="Q691" t="s">
        <v>2833</v>
      </c>
      <c r="R691">
        <f ca="1">RAND()*(Validation[[#This Row],[Range1_High]]-Validation[[#This Row],[Range1_Low]])+Validation[[#This Row],[Range1_Low]]</f>
        <v>17.411532032781267</v>
      </c>
      <c r="S691">
        <f>Validation[[#This Row],[Range2_High]]</f>
        <v>5.01</v>
      </c>
      <c r="T691" t="str" cm="1">
        <f t="array" aca="1" ref="T691" ca="1">RoundToTwoSigFigs(Validation[[#This Row],[Test Reading]]*Validation[[#This Row],[Mult]]+Validation[[#This Row],[Base]]) &amp;" "&amp;Validation[[#This Row],[Uncert_Units]]</f>
        <v>620 mA</v>
      </c>
      <c r="U6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V691" t="b">
        <f ca="1">Validation[[#This Row],[Desired Result]]=Validation[[#This Row],[Result]]</f>
        <v>1</v>
      </c>
      <c r="W691" t="b">
        <v>0</v>
      </c>
      <c r="X691" t="b">
        <f>Validation[[#This Row],[Range1_Low]]&gt;=Validation[[#This Row],[Range1_High]]</f>
        <v>0</v>
      </c>
      <c r="Y691" s="111" t="s">
        <v>2845</v>
      </c>
    </row>
    <row r="692" spans="1:25" x14ac:dyDescent="0.25">
      <c r="A692" t="s">
        <v>54</v>
      </c>
      <c r="B692" t="s">
        <v>47</v>
      </c>
      <c r="C692">
        <v>0</v>
      </c>
      <c r="D692">
        <v>3.3000999999999999E-4</v>
      </c>
      <c r="E692">
        <v>1E-4</v>
      </c>
      <c r="F692" t="s">
        <v>13</v>
      </c>
      <c r="G692" t="s">
        <v>11</v>
      </c>
      <c r="H692">
        <v>0.02</v>
      </c>
      <c r="I692">
        <v>4.5010000000000001E-2</v>
      </c>
      <c r="J692" t="s">
        <v>10</v>
      </c>
      <c r="K692">
        <v>57.734999999999999</v>
      </c>
      <c r="L692">
        <v>13.015000000000001</v>
      </c>
      <c r="M692">
        <v>57.734999999999999</v>
      </c>
      <c r="N692">
        <v>12.795</v>
      </c>
      <c r="O692" t="s">
        <v>2833</v>
      </c>
      <c r="P692" t="s">
        <v>2833</v>
      </c>
      <c r="Q692" t="s">
        <v>2833</v>
      </c>
      <c r="R692">
        <f ca="1">RAND()*(Validation[[#This Row],[Range1_High]]-Validation[[#This Row],[Range1_Low]])+Validation[[#This Row],[Range1_Low]]</f>
        <v>3.0926425422596522E-4</v>
      </c>
      <c r="S692">
        <f>Validation[[#This Row],[Range2_High]]</f>
        <v>4.5010000000000001E-2</v>
      </c>
      <c r="T692" t="str" cm="1">
        <f t="array" aca="1" ref="T692" ca="1">RoundToTwoSigFigs(Validation[[#This Row],[Test Reading]]*Validation[[#This Row],[Mult]]+Validation[[#This Row],[Base]]) &amp;" "&amp;Validation[[#This Row],[Uncert_Units]]</f>
        <v>58 µA</v>
      </c>
      <c r="U6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692" t="b">
        <f ca="1">Validation[[#This Row],[Desired Result]]=Validation[[#This Row],[Result]]</f>
        <v>1</v>
      </c>
      <c r="W692" t="b">
        <v>0</v>
      </c>
      <c r="X692" t="b">
        <f>Validation[[#This Row],[Range1_Low]]&gt;=Validation[[#This Row],[Range1_High]]</f>
        <v>0</v>
      </c>
      <c r="Y692" s="111" t="s">
        <v>2845</v>
      </c>
    </row>
    <row r="693" spans="1:25" ht="15.75" thickBot="1" x14ac:dyDescent="0.3">
      <c r="A693" t="s">
        <v>54</v>
      </c>
      <c r="B693" t="s">
        <v>47</v>
      </c>
      <c r="C693">
        <v>3.3E-3</v>
      </c>
      <c r="D693">
        <v>3.3001000000000003E-2</v>
      </c>
      <c r="E693">
        <v>9.9999999999999995E-7</v>
      </c>
      <c r="F693" t="s">
        <v>13</v>
      </c>
      <c r="G693" t="s">
        <v>11</v>
      </c>
      <c r="H693">
        <v>1</v>
      </c>
      <c r="I693">
        <v>5.01</v>
      </c>
      <c r="J693" t="s">
        <v>10</v>
      </c>
      <c r="K693">
        <v>5.0491000000000001</v>
      </c>
      <c r="L693">
        <v>857.92</v>
      </c>
      <c r="M693">
        <v>5.0465999999999998</v>
      </c>
      <c r="N693">
        <v>857.92</v>
      </c>
      <c r="O693" t="s">
        <v>2833</v>
      </c>
      <c r="P693" t="s">
        <v>2833</v>
      </c>
      <c r="Q693" t="s">
        <v>2833</v>
      </c>
      <c r="R693">
        <f ca="1">RAND()*(Validation[[#This Row],[Range1_High]]-Validation[[#This Row],[Range1_Low]])+Validation[[#This Row],[Range1_Low]]</f>
        <v>9.7520085272649795E-3</v>
      </c>
      <c r="S693">
        <f>Validation[[#This Row],[Range2_High]]</f>
        <v>5.01</v>
      </c>
      <c r="T693" t="str" cm="1">
        <f t="array" aca="1" ref="T693" ca="1">RoundToTwoSigFigs(Validation[[#This Row],[Test Reading]]*Validation[[#This Row],[Mult]]+Validation[[#This Row],[Base]]) &amp;" "&amp;Validation[[#This Row],[Uncert_Units]]</f>
        <v>13 µA</v>
      </c>
      <c r="U6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µA</v>
      </c>
      <c r="V693" t="b">
        <f ca="1">Validation[[#This Row],[Desired Result]]=Validation[[#This Row],[Result]]</f>
        <v>0</v>
      </c>
      <c r="W693" t="b">
        <v>1</v>
      </c>
      <c r="X693" t="b">
        <f>Validation[[#This Row],[Range1_Low]]&gt;=Validation[[#This Row],[Range1_High]]</f>
        <v>0</v>
      </c>
      <c r="Y693" s="111" t="s">
        <v>2845</v>
      </c>
    </row>
    <row r="694" spans="1:25" ht="16.5" thickTop="1" thickBot="1" x14ac:dyDescent="0.3">
      <c r="A694" t="s">
        <v>54</v>
      </c>
      <c r="B694" t="s">
        <v>47</v>
      </c>
      <c r="C694" s="113">
        <v>3.3000000000000002E-2</v>
      </c>
      <c r="D694" s="113">
        <v>0.33001000000000003</v>
      </c>
      <c r="E694">
        <v>9.9999999999999995E-7</v>
      </c>
      <c r="F694" t="s">
        <v>13</v>
      </c>
      <c r="G694" t="s">
        <v>12</v>
      </c>
      <c r="H694">
        <v>1</v>
      </c>
      <c r="I694">
        <v>5.01</v>
      </c>
      <c r="J694" t="s">
        <v>10</v>
      </c>
      <c r="K694">
        <v>5.8000000000000003E-2</v>
      </c>
      <c r="L694">
        <v>1.2</v>
      </c>
      <c r="M694">
        <v>5.7624000000000002E-2</v>
      </c>
      <c r="N694">
        <v>1.1588000000000001</v>
      </c>
      <c r="O694" t="s">
        <v>2833</v>
      </c>
      <c r="P694" t="s">
        <v>2833</v>
      </c>
      <c r="Q694" t="s">
        <v>2833</v>
      </c>
      <c r="R694">
        <f ca="1">RAND()*(Validation[[#This Row],[Range1_High]]-Validation[[#This Row],[Range1_Low]])+Validation[[#This Row],[Range1_Low]]</f>
        <v>0.29723106029639401</v>
      </c>
      <c r="S694">
        <f>Validation[[#This Row],[Range2_High]]</f>
        <v>5.01</v>
      </c>
      <c r="T694" t="str" cm="1">
        <f t="array" aca="1" ref="T694" ca="1">RoundToTwoSigFigs(Validation[[#This Row],[Test Reading]]*Validation[[#This Row],[Mult]]+Validation[[#This Row],[Base]]) &amp;" "&amp;Validation[[#This Row],[Uncert_Units]]</f>
        <v>0.41 mA</v>
      </c>
      <c r="U6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mA</v>
      </c>
      <c r="V694" t="b">
        <f ca="1">Validation[[#This Row],[Desired Result]]=Validation[[#This Row],[Result]]</f>
        <v>0</v>
      </c>
      <c r="W694" t="b">
        <v>1</v>
      </c>
      <c r="X694" t="b">
        <f>Validation[[#This Row],[Range1_Low]]&gt;=Validation[[#This Row],[Range1_High]]</f>
        <v>0</v>
      </c>
      <c r="Y694" s="111" t="s">
        <v>2843</v>
      </c>
    </row>
    <row r="695" spans="1:25" ht="15.75" thickTop="1" x14ac:dyDescent="0.25">
      <c r="A695" t="s">
        <v>54</v>
      </c>
      <c r="B695" t="s">
        <v>47</v>
      </c>
      <c r="C695">
        <v>0</v>
      </c>
      <c r="D695">
        <v>3.3000999999999999E-4</v>
      </c>
      <c r="E695">
        <v>1E-3</v>
      </c>
      <c r="F695" t="s">
        <v>13</v>
      </c>
      <c r="G695" t="s">
        <v>11</v>
      </c>
      <c r="H695">
        <v>0.01</v>
      </c>
      <c r="I695">
        <v>2.001E-2</v>
      </c>
      <c r="J695" t="s">
        <v>10</v>
      </c>
      <c r="K695">
        <v>580.26</v>
      </c>
      <c r="L695">
        <v>-8787.4</v>
      </c>
      <c r="M695">
        <v>580.03</v>
      </c>
      <c r="N695">
        <v>-8787.5</v>
      </c>
      <c r="O695" t="s">
        <v>2833</v>
      </c>
      <c r="P695" t="s">
        <v>2833</v>
      </c>
      <c r="Q695" t="s">
        <v>2833</v>
      </c>
      <c r="R695">
        <f ca="1">RAND()*(Validation[[#This Row],[Range1_High]]-Validation[[#This Row],[Range1_Low]])+Validation[[#This Row],[Range1_Low]]</f>
        <v>8.8311875654635663E-5</v>
      </c>
      <c r="S695">
        <f>Validation[[#This Row],[Range2_High]]</f>
        <v>2.001E-2</v>
      </c>
      <c r="T695" t="str" cm="1">
        <f t="array" aca="1" ref="T695" ca="1">RoundToTwoSigFigs(Validation[[#This Row],[Test Reading]]*Validation[[#This Row],[Mult]]+Validation[[#This Row],[Base]]) &amp;" "&amp;Validation[[#This Row],[Uncert_Units]]</f>
        <v>580 µA</v>
      </c>
      <c r="U6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695" t="b">
        <f ca="1">Validation[[#This Row],[Desired Result]]=Validation[[#This Row],[Result]]</f>
        <v>1</v>
      </c>
      <c r="W695" t="b">
        <v>0</v>
      </c>
      <c r="X695" t="b">
        <f>Validation[[#This Row],[Range1_Low]]&gt;=Validation[[#This Row],[Range1_High]]</f>
        <v>0</v>
      </c>
      <c r="Y695" s="111" t="s">
        <v>2845</v>
      </c>
    </row>
    <row r="696" spans="1:25" ht="15.75" thickBot="1" x14ac:dyDescent="0.3">
      <c r="A696" t="s">
        <v>54</v>
      </c>
      <c r="B696" t="s">
        <v>47</v>
      </c>
      <c r="C696">
        <v>3.3000000000000002E-2</v>
      </c>
      <c r="D696">
        <v>0.33001000000000003</v>
      </c>
      <c r="E696">
        <v>1E-3</v>
      </c>
      <c r="F696" t="s">
        <v>13</v>
      </c>
      <c r="G696" t="s">
        <v>12</v>
      </c>
      <c r="H696">
        <v>30</v>
      </c>
      <c r="I696">
        <v>30.01</v>
      </c>
      <c r="J696" t="s">
        <v>10</v>
      </c>
      <c r="K696">
        <v>0.56477999999999995</v>
      </c>
      <c r="L696">
        <v>3.8904999999999998</v>
      </c>
      <c r="M696">
        <v>0.56466000000000005</v>
      </c>
      <c r="N696">
        <v>3.8906000000000001</v>
      </c>
      <c r="O696" t="s">
        <v>2833</v>
      </c>
      <c r="P696" t="s">
        <v>2833</v>
      </c>
      <c r="Q696" t="s">
        <v>2833</v>
      </c>
      <c r="R696">
        <f ca="1">RAND()*(Validation[[#This Row],[Range1_High]]-Validation[[#This Row],[Range1_Low]])+Validation[[#This Row],[Range1_Low]]</f>
        <v>9.1287609746713988E-2</v>
      </c>
      <c r="S696">
        <f>Validation[[#This Row],[Range2_High]]</f>
        <v>30.01</v>
      </c>
      <c r="T696" t="str" cm="1">
        <f t="array" aca="1" ref="T696" ca="1">RoundToTwoSigFigs(Validation[[#This Row],[Test Reading]]*Validation[[#This Row],[Mult]]+Validation[[#This Row],[Base]]) &amp;" "&amp;Validation[[#This Row],[Uncert_Units]]</f>
        <v>0.92 mA</v>
      </c>
      <c r="U6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mA</v>
      </c>
      <c r="V696" t="b">
        <f ca="1">Validation[[#This Row],[Desired Result]]=Validation[[#This Row],[Result]]</f>
        <v>1</v>
      </c>
      <c r="W696" t="b">
        <v>0</v>
      </c>
      <c r="X696" t="b">
        <f>Validation[[#This Row],[Range1_Low]]&gt;=Validation[[#This Row],[Range1_High]]</f>
        <v>0</v>
      </c>
      <c r="Y696" s="111" t="s">
        <v>2845</v>
      </c>
    </row>
    <row r="697" spans="1:25" ht="16.5" thickTop="1" thickBot="1" x14ac:dyDescent="0.3">
      <c r="A697" t="s">
        <v>54</v>
      </c>
      <c r="B697" t="s">
        <v>47</v>
      </c>
      <c r="C697" s="113">
        <v>3.3E-3</v>
      </c>
      <c r="D697" s="113">
        <v>3.3001000000000003E-2</v>
      </c>
      <c r="E697">
        <v>9.9999999999999995E-7</v>
      </c>
      <c r="F697" t="s">
        <v>13</v>
      </c>
      <c r="G697" t="s">
        <v>11</v>
      </c>
      <c r="H697">
        <v>5</v>
      </c>
      <c r="I697">
        <v>10.01</v>
      </c>
      <c r="J697" t="s">
        <v>10</v>
      </c>
      <c r="K697">
        <v>5.0186000000000002</v>
      </c>
      <c r="L697">
        <v>2268.6999999999998</v>
      </c>
      <c r="M697">
        <v>5.0129000000000001</v>
      </c>
      <c r="N697">
        <v>2268.8000000000002</v>
      </c>
      <c r="O697" t="s">
        <v>2833</v>
      </c>
      <c r="P697" t="s">
        <v>2833</v>
      </c>
      <c r="Q697" t="s">
        <v>2833</v>
      </c>
      <c r="R697">
        <f ca="1">RAND()*(Validation[[#This Row],[Range1_High]]-Validation[[#This Row],[Range1_Low]])+Validation[[#This Row],[Range1_Low]]</f>
        <v>2.4290023399682645E-2</v>
      </c>
      <c r="S697">
        <f>Validation[[#This Row],[Range2_High]]</f>
        <v>10.01</v>
      </c>
      <c r="T697" t="str" cm="1">
        <f t="array" aca="1" ref="T697" ca="1">RoundToTwoSigFigs(Validation[[#This Row],[Test Reading]]*Validation[[#This Row],[Mult]]+Validation[[#This Row],[Base]]) &amp;" "&amp;Validation[[#This Row],[Uncert_Units]]</f>
        <v>60 µA</v>
      </c>
      <c r="U6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V697" t="b">
        <f ca="1">Validation[[#This Row],[Desired Result]]=Validation[[#This Row],[Result]]</f>
        <v>1</v>
      </c>
      <c r="W697" t="b">
        <v>1</v>
      </c>
      <c r="X697" t="b">
        <f>Validation[[#This Row],[Range1_Low]]&gt;=Validation[[#This Row],[Range1_High]]</f>
        <v>0</v>
      </c>
      <c r="Y697" s="111" t="s">
        <v>2843</v>
      </c>
    </row>
    <row r="698" spans="1:25" ht="16.5" thickTop="1" thickBot="1" x14ac:dyDescent="0.3">
      <c r="A698" t="s">
        <v>55</v>
      </c>
      <c r="B698" t="s">
        <v>47</v>
      </c>
      <c r="C698" s="113">
        <v>0.01</v>
      </c>
      <c r="D698" s="113">
        <v>0.1</v>
      </c>
      <c r="E698">
        <v>9.9999999999999995E-7</v>
      </c>
      <c r="F698" t="s">
        <v>13</v>
      </c>
      <c r="G698" t="s">
        <v>11</v>
      </c>
      <c r="H698">
        <v>0.02</v>
      </c>
      <c r="I698">
        <v>4.4999999999999998E-2</v>
      </c>
      <c r="J698" t="s">
        <v>10</v>
      </c>
      <c r="K698">
        <v>27</v>
      </c>
      <c r="L698">
        <v>1700</v>
      </c>
      <c r="M698">
        <v>23.102</v>
      </c>
      <c r="N698">
        <v>1732.1</v>
      </c>
      <c r="O698" t="s">
        <v>2833</v>
      </c>
      <c r="P698" t="s">
        <v>2833</v>
      </c>
      <c r="Q698" t="s">
        <v>2833</v>
      </c>
      <c r="R698">
        <f ca="1">RAND()*(Validation[[#This Row],[Range1_High]]-Validation[[#This Row],[Range1_Low]])+Validation[[#This Row],[Range1_Low]]</f>
        <v>9.7068480386354128E-2</v>
      </c>
      <c r="S698">
        <f>Validation[[#This Row],[Range2_High]]</f>
        <v>4.4999999999999998E-2</v>
      </c>
      <c r="T698" t="str" cm="1">
        <f t="array" aca="1" ref="T698" ca="1">RoundToTwoSigFigs(Validation[[#This Row],[Test Reading]]*Validation[[#This Row],[Mult]]+Validation[[#This Row],[Base]]) &amp;" "&amp;Validation[[#This Row],[Uncert_Units]]</f>
        <v>190 µA</v>
      </c>
      <c r="U6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µA</v>
      </c>
      <c r="V698" t="b">
        <f ca="1">Validation[[#This Row],[Desired Result]]=Validation[[#This Row],[Result]]</f>
        <v>0</v>
      </c>
      <c r="W698" t="b">
        <v>1</v>
      </c>
      <c r="X698" t="b">
        <f>Validation[[#This Row],[Range1_Low]]&gt;=Validation[[#This Row],[Range1_High]]</f>
        <v>0</v>
      </c>
      <c r="Y698" s="111" t="s">
        <v>2843</v>
      </c>
    </row>
    <row r="699" spans="1:25" ht="16.5" thickTop="1" thickBot="1" x14ac:dyDescent="0.3">
      <c r="A699" t="s">
        <v>55</v>
      </c>
      <c r="B699" t="s">
        <v>47</v>
      </c>
      <c r="C699" s="113">
        <v>10</v>
      </c>
      <c r="D699" s="113">
        <v>20</v>
      </c>
      <c r="E699">
        <v>1E-4</v>
      </c>
      <c r="F699" t="s">
        <v>13</v>
      </c>
      <c r="G699" t="s">
        <v>12</v>
      </c>
      <c r="H699">
        <v>0.05</v>
      </c>
      <c r="I699">
        <v>1</v>
      </c>
      <c r="J699" t="s">
        <v>10</v>
      </c>
      <c r="K699">
        <v>0</v>
      </c>
      <c r="L699">
        <v>0.5</v>
      </c>
      <c r="M699">
        <v>2.1840999999999999</v>
      </c>
      <c r="N699">
        <v>0.11354</v>
      </c>
      <c r="O699" t="s">
        <v>2833</v>
      </c>
      <c r="P699" t="s">
        <v>2833</v>
      </c>
      <c r="Q699" t="s">
        <v>2833</v>
      </c>
      <c r="R699">
        <f ca="1">RAND()*(Validation[[#This Row],[Range1_High]]-Validation[[#This Row],[Range1_Low]])+Validation[[#This Row],[Range1_Low]]</f>
        <v>19.913926532813957</v>
      </c>
      <c r="S699">
        <f>Validation[[#This Row],[Range2_High]]</f>
        <v>1</v>
      </c>
      <c r="T699" t="str" cm="1">
        <f t="array" aca="1" ref="T699" ca="1">RoundToTwoSigFigs(Validation[[#This Row],[Test Reading]]*Validation[[#This Row],[Mult]]+Validation[[#This Row],[Base]]) &amp;" "&amp;Validation[[#This Row],[Uncert_Units]]</f>
        <v>10 mA</v>
      </c>
      <c r="U6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V699" t="b">
        <f ca="1">Validation[[#This Row],[Desired Result]]=Validation[[#This Row],[Result]]</f>
        <v>1</v>
      </c>
      <c r="W699" t="b">
        <v>1</v>
      </c>
      <c r="X699" t="b">
        <f>Validation[[#This Row],[Range1_Low]]&gt;=Validation[[#This Row],[Range1_High]]</f>
        <v>0</v>
      </c>
      <c r="Y699" s="111" t="s">
        <v>2843</v>
      </c>
    </row>
    <row r="700" spans="1:25" ht="16.5" thickTop="1" thickBot="1" x14ac:dyDescent="0.3">
      <c r="A700" t="s">
        <v>55</v>
      </c>
      <c r="B700" t="s">
        <v>47</v>
      </c>
      <c r="C700">
        <v>0</v>
      </c>
      <c r="D700">
        <v>1E-4</v>
      </c>
      <c r="E700">
        <v>1E-8</v>
      </c>
      <c r="F700" t="s">
        <v>13</v>
      </c>
      <c r="G700" t="s">
        <v>11</v>
      </c>
      <c r="H700">
        <v>1E-3</v>
      </c>
      <c r="I700">
        <v>0.02</v>
      </c>
      <c r="J700" t="s">
        <v>10</v>
      </c>
      <c r="K700">
        <v>7.6999999999999999E-2</v>
      </c>
      <c r="L700">
        <v>4200</v>
      </c>
      <c r="M700">
        <v>7.6839000000000005E-2</v>
      </c>
      <c r="N700">
        <v>4197.2</v>
      </c>
      <c r="O700" t="s">
        <v>2833</v>
      </c>
      <c r="P700" t="s">
        <v>2833</v>
      </c>
      <c r="Q700" t="s">
        <v>2833</v>
      </c>
      <c r="R700">
        <f ca="1">RAND()*(Validation[[#This Row],[Range1_High]]-Validation[[#This Row],[Range1_Low]])+Validation[[#This Row],[Range1_Low]]</f>
        <v>9.255344450447215E-5</v>
      </c>
      <c r="S700">
        <f>Validation[[#This Row],[Range2_High]]</f>
        <v>0.02</v>
      </c>
      <c r="T700" t="str" cm="1">
        <f t="array" aca="1" ref="T700" ca="1">RoundToTwoSigFigs(Validation[[#This Row],[Test Reading]]*Validation[[#This Row],[Mult]]+Validation[[#This Row],[Base]]) &amp;" "&amp;Validation[[#This Row],[Uncert_Units]]</f>
        <v>0.47 µA</v>
      </c>
      <c r="U7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V700" t="b">
        <f ca="1">Validation[[#This Row],[Desired Result]]=Validation[[#This Row],[Result]]</f>
        <v>0</v>
      </c>
      <c r="W700" t="b">
        <v>1</v>
      </c>
      <c r="X700" t="b">
        <f>Validation[[#This Row],[Range1_Low]]&gt;=Validation[[#This Row],[Range1_High]]</f>
        <v>0</v>
      </c>
      <c r="Y700" s="111" t="s">
        <v>2845</v>
      </c>
    </row>
    <row r="701" spans="1:25" ht="16.5" thickTop="1" thickBot="1" x14ac:dyDescent="0.3">
      <c r="A701" t="s">
        <v>55</v>
      </c>
      <c r="B701" t="s">
        <v>47</v>
      </c>
      <c r="C701" s="113">
        <v>10</v>
      </c>
      <c r="D701" s="113">
        <v>20</v>
      </c>
      <c r="E701">
        <v>1E-4</v>
      </c>
      <c r="F701" t="s">
        <v>13</v>
      </c>
      <c r="G701" t="s">
        <v>12</v>
      </c>
      <c r="H701">
        <v>1</v>
      </c>
      <c r="I701">
        <v>5</v>
      </c>
      <c r="J701" t="s">
        <v>10</v>
      </c>
      <c r="K701">
        <v>0</v>
      </c>
      <c r="L701">
        <v>0.95</v>
      </c>
      <c r="M701">
        <v>1.07</v>
      </c>
      <c r="N701">
        <v>0.66</v>
      </c>
      <c r="O701" t="s">
        <v>2833</v>
      </c>
      <c r="P701" t="s">
        <v>2833</v>
      </c>
      <c r="Q701" t="s">
        <v>2833</v>
      </c>
      <c r="R701">
        <f ca="1">RAND()*(Validation[[#This Row],[Range1_High]]-Validation[[#This Row],[Range1_Low]])+Validation[[#This Row],[Range1_Low]]</f>
        <v>15.836102808580549</v>
      </c>
      <c r="S701">
        <f>Validation[[#This Row],[Range2_High]]</f>
        <v>5</v>
      </c>
      <c r="T701" t="str" cm="1">
        <f t="array" aca="1" ref="T701" ca="1">RoundToTwoSigFigs(Validation[[#This Row],[Test Reading]]*Validation[[#This Row],[Mult]]+Validation[[#This Row],[Base]]) &amp;" "&amp;Validation[[#This Row],[Uncert_Units]]</f>
        <v>15 mA</v>
      </c>
      <c r="U7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V701" t="b">
        <f ca="1">Validation[[#This Row],[Desired Result]]=Validation[[#This Row],[Result]]</f>
        <v>1</v>
      </c>
      <c r="W701" t="b">
        <v>1</v>
      </c>
      <c r="X701" t="b">
        <f>Validation[[#This Row],[Range1_Low]]&gt;=Validation[[#This Row],[Range1_High]]</f>
        <v>0</v>
      </c>
      <c r="Y701" s="111" t="s">
        <v>2843</v>
      </c>
    </row>
    <row r="702" spans="1:25" ht="15.75" thickTop="1" x14ac:dyDescent="0.25">
      <c r="A702" t="s">
        <v>55</v>
      </c>
      <c r="B702" t="s">
        <v>47</v>
      </c>
      <c r="C702">
        <v>0</v>
      </c>
      <c r="D702">
        <v>1E-4</v>
      </c>
      <c r="E702">
        <v>1</v>
      </c>
      <c r="F702" t="s">
        <v>13</v>
      </c>
      <c r="G702" t="s">
        <v>11</v>
      </c>
      <c r="H702">
        <v>4.4999999999999998E-2</v>
      </c>
      <c r="I702">
        <v>5</v>
      </c>
      <c r="J702" t="s">
        <v>10</v>
      </c>
      <c r="K702">
        <v>577360</v>
      </c>
      <c r="L702">
        <v>7.2242000000000001E-3</v>
      </c>
      <c r="M702">
        <v>577360</v>
      </c>
      <c r="N702">
        <v>1.5173000000000001E-3</v>
      </c>
      <c r="O702" t="s">
        <v>2833</v>
      </c>
      <c r="P702" t="s">
        <v>2833</v>
      </c>
      <c r="Q702" t="s">
        <v>2833</v>
      </c>
      <c r="R702">
        <f ca="1">RAND()*(Validation[[#This Row],[Range1_High]]-Validation[[#This Row],[Range1_Low]])+Validation[[#This Row],[Range1_Low]]</f>
        <v>4.5133428135270674E-5</v>
      </c>
      <c r="S702">
        <f>Validation[[#This Row],[Range2_High]]</f>
        <v>5</v>
      </c>
      <c r="T702" t="str" cm="1">
        <f t="array" aca="1" ref="T702" ca="1">RoundToTwoSigFigs(Validation[[#This Row],[Test Reading]]*Validation[[#This Row],[Mult]]+Validation[[#This Row],[Base]]) &amp;" "&amp;Validation[[#This Row],[Uncert_Units]]</f>
        <v>580000 µA</v>
      </c>
      <c r="U7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702" t="b">
        <f ca="1">Validation[[#This Row],[Desired Result]]=Validation[[#This Row],[Result]]</f>
        <v>1</v>
      </c>
      <c r="W702" t="b">
        <v>0</v>
      </c>
      <c r="X702" t="b">
        <f>Validation[[#This Row],[Range1_Low]]&gt;=Validation[[#This Row],[Range1_High]]</f>
        <v>0</v>
      </c>
      <c r="Y702" s="111" t="s">
        <v>2845</v>
      </c>
    </row>
    <row r="703" spans="1:25" ht="15.75" thickBot="1" x14ac:dyDescent="0.3">
      <c r="A703" t="s">
        <v>54</v>
      </c>
      <c r="B703" t="s">
        <v>47</v>
      </c>
      <c r="C703">
        <v>3.3000000000000002E-2</v>
      </c>
      <c r="D703">
        <v>0.33001000000000003</v>
      </c>
      <c r="E703">
        <v>1E-3</v>
      </c>
      <c r="F703" t="s">
        <v>13</v>
      </c>
      <c r="G703" t="s">
        <v>12</v>
      </c>
      <c r="H703">
        <v>0.02</v>
      </c>
      <c r="I703">
        <v>4.5010000000000001E-2</v>
      </c>
      <c r="J703" t="s">
        <v>10</v>
      </c>
      <c r="K703">
        <v>0.56864000000000003</v>
      </c>
      <c r="L703">
        <v>0.35072999999999999</v>
      </c>
      <c r="M703">
        <v>0.56864000000000003</v>
      </c>
      <c r="N703">
        <v>0.35067999999999999</v>
      </c>
      <c r="O703" t="s">
        <v>2833</v>
      </c>
      <c r="P703" t="s">
        <v>2833</v>
      </c>
      <c r="Q703" t="s">
        <v>2833</v>
      </c>
      <c r="R703">
        <f ca="1">RAND()*(Validation[[#This Row],[Range1_High]]-Validation[[#This Row],[Range1_Low]])+Validation[[#This Row],[Range1_Low]]</f>
        <v>4.8820252869548025E-2</v>
      </c>
      <c r="S703">
        <f>Validation[[#This Row],[Range2_High]]</f>
        <v>4.5010000000000001E-2</v>
      </c>
      <c r="T703" t="str" cm="1">
        <f t="array" aca="1" ref="T703" ca="1">RoundToTwoSigFigs(Validation[[#This Row],[Test Reading]]*Validation[[#This Row],[Mult]]+Validation[[#This Row],[Base]]) &amp;" "&amp;Validation[[#This Row],[Uncert_Units]]</f>
        <v>0.59 mA</v>
      </c>
      <c r="U7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V703" t="b">
        <f ca="1">Validation[[#This Row],[Desired Result]]=Validation[[#This Row],[Result]]</f>
        <v>0</v>
      </c>
      <c r="W703" t="b">
        <v>1</v>
      </c>
      <c r="X703" t="b">
        <f>Validation[[#This Row],[Range1_Low]]&gt;=Validation[[#This Row],[Range1_High]]</f>
        <v>0</v>
      </c>
      <c r="Y703" s="111" t="s">
        <v>2845</v>
      </c>
    </row>
    <row r="704" spans="1:25" ht="16.5" thickTop="1" thickBot="1" x14ac:dyDescent="0.3">
      <c r="A704" t="s">
        <v>54</v>
      </c>
      <c r="B704" t="s">
        <v>47</v>
      </c>
      <c r="C704" s="113">
        <v>3.3E-4</v>
      </c>
      <c r="D704" s="113">
        <v>3.3000999999999998E-3</v>
      </c>
      <c r="E704">
        <v>9.9999999999999995E-7</v>
      </c>
      <c r="F704" t="s">
        <v>13</v>
      </c>
      <c r="G704" t="s">
        <v>11</v>
      </c>
      <c r="H704">
        <v>10</v>
      </c>
      <c r="I704">
        <v>30</v>
      </c>
      <c r="J704" t="s">
        <v>10</v>
      </c>
      <c r="K704">
        <v>0.7</v>
      </c>
      <c r="L704">
        <v>12000</v>
      </c>
      <c r="M704">
        <v>0.7339</v>
      </c>
      <c r="N704">
        <v>11536</v>
      </c>
      <c r="O704" t="s">
        <v>2833</v>
      </c>
      <c r="P704" t="s">
        <v>2833</v>
      </c>
      <c r="Q704" t="s">
        <v>2833</v>
      </c>
      <c r="R704">
        <f ca="1">RAND()*(Validation[[#This Row],[Range1_High]]-Validation[[#This Row],[Range1_Low]])+Validation[[#This Row],[Range1_Low]]</f>
        <v>5.1285252481532515E-4</v>
      </c>
      <c r="S704">
        <f>Validation[[#This Row],[Range2_High]]</f>
        <v>30</v>
      </c>
      <c r="T704" t="str" cm="1">
        <f t="array" aca="1" ref="T704" ca="1">RoundToTwoSigFigs(Validation[[#This Row],[Test Reading]]*Validation[[#This Row],[Mult]]+Validation[[#This Row],[Base]]) &amp;" "&amp;Validation[[#This Row],[Uncert_Units]]</f>
        <v>6.9 µA</v>
      </c>
      <c r="U7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V704" t="b">
        <f ca="1">Validation[[#This Row],[Desired Result]]=Validation[[#This Row],[Result]]</f>
        <v>1</v>
      </c>
      <c r="W704" t="b">
        <v>1</v>
      </c>
      <c r="X704" t="b">
        <f>Validation[[#This Row],[Range1_Low]]&gt;=Validation[[#This Row],[Range1_High]]</f>
        <v>0</v>
      </c>
      <c r="Y704" s="111" t="s">
        <v>2843</v>
      </c>
    </row>
    <row r="705" spans="1:25" ht="16.5" thickTop="1" thickBot="1" x14ac:dyDescent="0.3">
      <c r="A705" t="s">
        <v>55</v>
      </c>
      <c r="B705" t="s">
        <v>47</v>
      </c>
      <c r="C705">
        <v>1E-3</v>
      </c>
      <c r="D705">
        <v>0.01</v>
      </c>
      <c r="E705">
        <v>1.0000000000000001E-5</v>
      </c>
      <c r="F705" t="s">
        <v>13</v>
      </c>
      <c r="G705" t="s">
        <v>11</v>
      </c>
      <c r="H705">
        <v>0.02</v>
      </c>
      <c r="I705">
        <v>4.4999999999999998E-2</v>
      </c>
      <c r="J705" t="s">
        <v>10</v>
      </c>
      <c r="K705">
        <v>5.585</v>
      </c>
      <c r="L705">
        <v>1492.6</v>
      </c>
      <c r="M705">
        <v>5.5625999999999998</v>
      </c>
      <c r="N705">
        <v>1490.9</v>
      </c>
      <c r="O705" t="s">
        <v>2833</v>
      </c>
      <c r="P705" t="s">
        <v>2833</v>
      </c>
      <c r="Q705" t="s">
        <v>2833</v>
      </c>
      <c r="R705">
        <f ca="1">RAND()*(Validation[[#This Row],[Range1_High]]-Validation[[#This Row],[Range1_Low]])+Validation[[#This Row],[Range1_Low]]</f>
        <v>5.5917777527869465E-3</v>
      </c>
      <c r="S705">
        <f>Validation[[#This Row],[Range2_High]]</f>
        <v>4.4999999999999998E-2</v>
      </c>
      <c r="T705" t="str" cm="1">
        <f t="array" aca="1" ref="T705" ca="1">RoundToTwoSigFigs(Validation[[#This Row],[Test Reading]]*Validation[[#This Row],[Mult]]+Validation[[#This Row],[Base]]) &amp;" "&amp;Validation[[#This Row],[Uncert_Units]]</f>
        <v>14 µA</v>
      </c>
      <c r="U7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µA</v>
      </c>
      <c r="V705" t="b">
        <f ca="1">Validation[[#This Row],[Desired Result]]=Validation[[#This Row],[Result]]</f>
        <v>0</v>
      </c>
      <c r="W705" t="b">
        <v>1</v>
      </c>
      <c r="X705" t="b">
        <f>Validation[[#This Row],[Range1_Low]]&gt;=Validation[[#This Row],[Range1_High]]</f>
        <v>0</v>
      </c>
      <c r="Y705" s="111" t="s">
        <v>2845</v>
      </c>
    </row>
    <row r="706" spans="1:25" ht="16.5" thickTop="1" thickBot="1" x14ac:dyDescent="0.3">
      <c r="A706" t="s">
        <v>55</v>
      </c>
      <c r="B706" t="s">
        <v>47</v>
      </c>
      <c r="C706" s="113">
        <v>0.01</v>
      </c>
      <c r="D706" s="113">
        <v>0.1</v>
      </c>
      <c r="E706">
        <v>9.9999999999999995E-8</v>
      </c>
      <c r="F706" t="s">
        <v>13</v>
      </c>
      <c r="G706" t="s">
        <v>11</v>
      </c>
      <c r="H706">
        <v>0.1</v>
      </c>
      <c r="I706">
        <v>5</v>
      </c>
      <c r="J706" t="s">
        <v>10</v>
      </c>
      <c r="K706">
        <v>25</v>
      </c>
      <c r="L706">
        <v>350</v>
      </c>
      <c r="M706">
        <v>22.95</v>
      </c>
      <c r="N706">
        <v>364.61</v>
      </c>
      <c r="O706" t="s">
        <v>2833</v>
      </c>
      <c r="P706" t="s">
        <v>2833</v>
      </c>
      <c r="Q706" t="s">
        <v>2833</v>
      </c>
      <c r="R706">
        <f ca="1">RAND()*(Validation[[#This Row],[Range1_High]]-Validation[[#This Row],[Range1_Low]])+Validation[[#This Row],[Range1_Low]]</f>
        <v>6.2395484977891637E-2</v>
      </c>
      <c r="S706">
        <f>Validation[[#This Row],[Range2_High]]</f>
        <v>5</v>
      </c>
      <c r="T706" t="str" cm="1">
        <f t="array" aca="1" ref="T706" ca="1">RoundToTwoSigFigs(Validation[[#This Row],[Test Reading]]*Validation[[#This Row],[Mult]]+Validation[[#This Row],[Base]]) &amp;" "&amp;Validation[[#This Row],[Uncert_Units]]</f>
        <v>47 µA</v>
      </c>
      <c r="U7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V706" t="b">
        <f ca="1">Validation[[#This Row],[Desired Result]]=Validation[[#This Row],[Result]]</f>
        <v>0</v>
      </c>
      <c r="W706" t="b">
        <v>1</v>
      </c>
      <c r="X706" t="b">
        <f>Validation[[#This Row],[Range1_Low]]&gt;=Validation[[#This Row],[Range1_High]]</f>
        <v>0</v>
      </c>
      <c r="Y706" s="111" t="s">
        <v>2843</v>
      </c>
    </row>
    <row r="707" spans="1:25" ht="16.5" thickTop="1" thickBot="1" x14ac:dyDescent="0.3">
      <c r="A707" t="s">
        <v>54</v>
      </c>
      <c r="B707" t="s">
        <v>47</v>
      </c>
      <c r="C707" s="113">
        <v>11</v>
      </c>
      <c r="D707" s="113">
        <v>20.501000000000001</v>
      </c>
      <c r="E707">
        <v>1</v>
      </c>
      <c r="F707" t="s">
        <v>13</v>
      </c>
      <c r="G707" t="s">
        <v>12</v>
      </c>
      <c r="H707">
        <v>1</v>
      </c>
      <c r="I707">
        <v>5</v>
      </c>
      <c r="J707" t="s">
        <v>10</v>
      </c>
      <c r="K707">
        <v>437.55</v>
      </c>
      <c r="L707">
        <v>23.603000000000002</v>
      </c>
      <c r="M707">
        <v>437.54</v>
      </c>
      <c r="N707">
        <v>23.602</v>
      </c>
      <c r="O707" t="s">
        <v>2833</v>
      </c>
      <c r="P707" t="s">
        <v>2833</v>
      </c>
      <c r="Q707" t="s">
        <v>2833</v>
      </c>
      <c r="R707">
        <f ca="1">RAND()*(Validation[[#This Row],[Range1_High]]-Validation[[#This Row],[Range1_Low]])+Validation[[#This Row],[Range1_Low]]</f>
        <v>14.656700645290675</v>
      </c>
      <c r="S707">
        <f>Validation[[#This Row],[Range2_High]]</f>
        <v>5</v>
      </c>
      <c r="T707" t="str" cm="1">
        <f t="array" aca="1" ref="T707" ca="1">RoundToTwoSigFigs(Validation[[#This Row],[Test Reading]]*Validation[[#This Row],[Mult]]+Validation[[#This Row],[Base]]) &amp;" "&amp;Validation[[#This Row],[Uncert_Units]]</f>
        <v>780 mA</v>
      </c>
      <c r="U7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V707" t="b">
        <f ca="1">Validation[[#This Row],[Desired Result]]=Validation[[#This Row],[Result]]</f>
        <v>1</v>
      </c>
      <c r="W707" t="b">
        <v>1</v>
      </c>
      <c r="X707" t="b">
        <f>Validation[[#This Row],[Range1_Low]]&gt;=Validation[[#This Row],[Range1_High]]</f>
        <v>0</v>
      </c>
      <c r="Y707" s="111" t="s">
        <v>2843</v>
      </c>
    </row>
    <row r="708" spans="1:25" ht="15.75" thickTop="1" x14ac:dyDescent="0.25">
      <c r="A708" t="s">
        <v>54</v>
      </c>
      <c r="B708" t="s">
        <v>47</v>
      </c>
      <c r="C708">
        <v>0</v>
      </c>
      <c r="D708">
        <v>3.3000999999999999E-4</v>
      </c>
      <c r="E708">
        <v>0.01</v>
      </c>
      <c r="F708" t="s">
        <v>13</v>
      </c>
      <c r="G708" t="s">
        <v>11</v>
      </c>
      <c r="H708">
        <v>0.01</v>
      </c>
      <c r="I708">
        <v>2.001E-2</v>
      </c>
      <c r="J708" t="s">
        <v>10</v>
      </c>
      <c r="K708">
        <v>5802.6</v>
      </c>
      <c r="L708">
        <v>-87896</v>
      </c>
      <c r="M708">
        <v>5800</v>
      </c>
      <c r="N708">
        <v>-87896</v>
      </c>
      <c r="O708" t="s">
        <v>2833</v>
      </c>
      <c r="P708" t="s">
        <v>2833</v>
      </c>
      <c r="Q708" t="s">
        <v>2833</v>
      </c>
      <c r="R708">
        <f ca="1">RAND()*(Validation[[#This Row],[Range1_High]]-Validation[[#This Row],[Range1_Low]])+Validation[[#This Row],[Range1_Low]]</f>
        <v>1.6986403308898778E-4</v>
      </c>
      <c r="S708">
        <f>Validation[[#This Row],[Range2_High]]</f>
        <v>2.001E-2</v>
      </c>
      <c r="T708" t="str" cm="1">
        <f t="array" aca="1" ref="T708" ca="1">RoundToTwoSigFigs(Validation[[#This Row],[Test Reading]]*Validation[[#This Row],[Mult]]+Validation[[#This Row],[Base]]) &amp;" "&amp;Validation[[#This Row],[Uncert_Units]]</f>
        <v>5800 µA</v>
      </c>
      <c r="U7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708" t="b">
        <f ca="1">Validation[[#This Row],[Desired Result]]=Validation[[#This Row],[Result]]</f>
        <v>1</v>
      </c>
      <c r="W708" t="b">
        <v>0</v>
      </c>
      <c r="X708" t="b">
        <f>Validation[[#This Row],[Range1_Low]]&gt;=Validation[[#This Row],[Range1_High]]</f>
        <v>0</v>
      </c>
      <c r="Y708" s="111" t="s">
        <v>2845</v>
      </c>
    </row>
    <row r="709" spans="1:25" ht="15.75" thickBot="1" x14ac:dyDescent="0.3">
      <c r="A709" t="s">
        <v>55</v>
      </c>
      <c r="B709" t="s">
        <v>47</v>
      </c>
      <c r="C709">
        <v>1E-4</v>
      </c>
      <c r="D709">
        <v>1E-3</v>
      </c>
      <c r="E709">
        <v>1.0000000000000001E-9</v>
      </c>
      <c r="F709" t="s">
        <v>13</v>
      </c>
      <c r="G709" t="s">
        <v>11</v>
      </c>
      <c r="H709">
        <v>5</v>
      </c>
      <c r="I709">
        <v>20</v>
      </c>
      <c r="J709" t="s">
        <v>10</v>
      </c>
      <c r="K709">
        <v>0.25</v>
      </c>
      <c r="L709">
        <v>711.93</v>
      </c>
      <c r="M709">
        <v>0.23479</v>
      </c>
      <c r="N709">
        <v>715.8</v>
      </c>
      <c r="O709" t="s">
        <v>2833</v>
      </c>
      <c r="P709" t="s">
        <v>2833</v>
      </c>
      <c r="Q709" t="s">
        <v>2833</v>
      </c>
      <c r="R709">
        <f ca="1">RAND()*(Validation[[#This Row],[Range1_High]]-Validation[[#This Row],[Range1_Low]])+Validation[[#This Row],[Range1_Low]]</f>
        <v>7.6793109196769379E-4</v>
      </c>
      <c r="S709">
        <f>Validation[[#This Row],[Range2_High]]</f>
        <v>20</v>
      </c>
      <c r="T709" t="str" cm="1">
        <f t="array" aca="1" ref="T709" ca="1">RoundToTwoSigFigs(Validation[[#This Row],[Test Reading]]*Validation[[#This Row],[Mult]]+Validation[[#This Row],[Base]]) &amp;" "&amp;Validation[[#This Row],[Uncert_Units]]</f>
        <v>0.8 µA</v>
      </c>
      <c r="U7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V709" t="b">
        <f ca="1">Validation[[#This Row],[Desired Result]]=Validation[[#This Row],[Result]]</f>
        <v>0</v>
      </c>
      <c r="W709" t="b">
        <v>1</v>
      </c>
      <c r="X709" t="b">
        <f>Validation[[#This Row],[Range1_Low]]&gt;=Validation[[#This Row],[Range1_High]]</f>
        <v>0</v>
      </c>
      <c r="Y709" s="111" t="s">
        <v>2845</v>
      </c>
    </row>
    <row r="710" spans="1:25" ht="16.5" thickTop="1" thickBot="1" x14ac:dyDescent="0.3">
      <c r="A710" t="s">
        <v>68</v>
      </c>
      <c r="B710" t="s">
        <v>47</v>
      </c>
      <c r="C710" s="113">
        <v>1E-3</v>
      </c>
      <c r="D710" s="113">
        <v>1.04E-2</v>
      </c>
      <c r="E710">
        <v>1E-4</v>
      </c>
      <c r="F710" t="s">
        <v>13</v>
      </c>
      <c r="G710" t="s">
        <v>11</v>
      </c>
      <c r="H710">
        <v>0.01</v>
      </c>
      <c r="I710">
        <v>2</v>
      </c>
      <c r="J710" t="s">
        <v>10</v>
      </c>
      <c r="K710">
        <v>58.401000000000003</v>
      </c>
      <c r="L710">
        <v>353.65</v>
      </c>
      <c r="M710">
        <v>58.398000000000003</v>
      </c>
      <c r="N710">
        <v>351.6</v>
      </c>
      <c r="O710" t="s">
        <v>2833</v>
      </c>
      <c r="P710" t="s">
        <v>2833</v>
      </c>
      <c r="Q710" t="s">
        <v>2833</v>
      </c>
      <c r="R710">
        <f ca="1">RAND()*(Validation[[#This Row],[Range1_High]]-Validation[[#This Row],[Range1_Low]])+Validation[[#This Row],[Range1_Low]]</f>
        <v>5.1806006578223379E-3</v>
      </c>
      <c r="S710">
        <f>Validation[[#This Row],[Range2_High]]</f>
        <v>2</v>
      </c>
      <c r="T710" t="str" cm="1">
        <f t="array" aca="1" ref="T710" ca="1">RoundToTwoSigFigs(Validation[[#This Row],[Test Reading]]*Validation[[#This Row],[Mult]]+Validation[[#This Row],[Base]]) &amp;" "&amp;Validation[[#This Row],[Uncert_Units]]</f>
        <v>60 µA</v>
      </c>
      <c r="U7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V710" t="b">
        <f ca="1">Validation[[#This Row],[Desired Result]]=Validation[[#This Row],[Result]]</f>
        <v>1</v>
      </c>
      <c r="W710" t="b">
        <v>1</v>
      </c>
      <c r="X710" t="b">
        <f>Validation[[#This Row],[Range1_Low]]&gt;=Validation[[#This Row],[Range1_High]]</f>
        <v>0</v>
      </c>
      <c r="Y710" s="111" t="s">
        <v>2843</v>
      </c>
    </row>
    <row r="711" spans="1:25" ht="15.75" thickTop="1" x14ac:dyDescent="0.25">
      <c r="A711" t="s">
        <v>54</v>
      </c>
      <c r="B711" t="s">
        <v>47</v>
      </c>
      <c r="C711">
        <v>3.3E-4</v>
      </c>
      <c r="D711">
        <v>3.3000999999999998E-3</v>
      </c>
      <c r="E711">
        <v>1.0000000000000001E-5</v>
      </c>
      <c r="F711" t="s">
        <v>13</v>
      </c>
      <c r="G711" t="s">
        <v>11</v>
      </c>
      <c r="H711">
        <v>0.02</v>
      </c>
      <c r="I711">
        <v>4.5010000000000001E-2</v>
      </c>
      <c r="J711" t="s">
        <v>10</v>
      </c>
      <c r="K711">
        <v>5.6117999999999997</v>
      </c>
      <c r="L711">
        <v>601.75</v>
      </c>
      <c r="M711">
        <v>5.6113999999999997</v>
      </c>
      <c r="N711">
        <v>601.72</v>
      </c>
      <c r="O711" t="s">
        <v>2833</v>
      </c>
      <c r="P711" t="s">
        <v>2833</v>
      </c>
      <c r="Q711" t="s">
        <v>2833</v>
      </c>
      <c r="R711">
        <f ca="1">RAND()*(Validation[[#This Row],[Range1_High]]-Validation[[#This Row],[Range1_Low]])+Validation[[#This Row],[Range1_Low]]</f>
        <v>2.1410648405667948E-3</v>
      </c>
      <c r="S711">
        <f>Validation[[#This Row],[Range2_High]]</f>
        <v>4.5010000000000001E-2</v>
      </c>
      <c r="T711" t="str" cm="1">
        <f t="array" aca="1" ref="T711" ca="1">RoundToTwoSigFigs(Validation[[#This Row],[Test Reading]]*Validation[[#This Row],[Mult]]+Validation[[#This Row],[Base]]) &amp;" "&amp;Validation[[#This Row],[Uncert_Units]]</f>
        <v>6.9 µA</v>
      </c>
      <c r="U7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V711" t="b">
        <f ca="1">Validation[[#This Row],[Desired Result]]=Validation[[#This Row],[Result]]</f>
        <v>1</v>
      </c>
      <c r="W711" t="b">
        <v>0</v>
      </c>
      <c r="X711" t="b">
        <f>Validation[[#This Row],[Range1_Low]]&gt;=Validation[[#This Row],[Range1_High]]</f>
        <v>0</v>
      </c>
      <c r="Y711" s="111" t="s">
        <v>2845</v>
      </c>
    </row>
    <row r="712" spans="1:25" x14ac:dyDescent="0.25">
      <c r="A712" t="s">
        <v>54</v>
      </c>
      <c r="B712" t="s">
        <v>47</v>
      </c>
      <c r="C712">
        <v>0.33</v>
      </c>
      <c r="D712">
        <v>1.1000099999999999</v>
      </c>
      <c r="E712">
        <v>0.1</v>
      </c>
      <c r="F712" t="s">
        <v>13</v>
      </c>
      <c r="G712" t="s">
        <v>12</v>
      </c>
      <c r="H712">
        <v>10</v>
      </c>
      <c r="I712">
        <v>10.01</v>
      </c>
      <c r="J712" t="s">
        <v>10</v>
      </c>
      <c r="K712">
        <v>55.816000000000003</v>
      </c>
      <c r="L712">
        <v>11.862</v>
      </c>
      <c r="M712">
        <v>55.814999999999998</v>
      </c>
      <c r="N712">
        <v>11.86</v>
      </c>
      <c r="O712" t="s">
        <v>2833</v>
      </c>
      <c r="P712" t="s">
        <v>2833</v>
      </c>
      <c r="Q712" t="s">
        <v>2833</v>
      </c>
      <c r="R712">
        <f ca="1">RAND()*(Validation[[#This Row],[Range1_High]]-Validation[[#This Row],[Range1_Low]])+Validation[[#This Row],[Range1_Low]]</f>
        <v>1.0049434478406312</v>
      </c>
      <c r="S712">
        <f>Validation[[#This Row],[Range2_High]]</f>
        <v>10.01</v>
      </c>
      <c r="T712" t="str" cm="1">
        <f t="array" aca="1" ref="T712" ca="1">RoundToTwoSigFigs(Validation[[#This Row],[Test Reading]]*Validation[[#This Row],[Mult]]+Validation[[#This Row],[Base]]) &amp;" "&amp;Validation[[#This Row],[Uncert_Units]]</f>
        <v>68 mA</v>
      </c>
      <c r="U7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V712" t="b">
        <f ca="1">Validation[[#This Row],[Desired Result]]=Validation[[#This Row],[Result]]</f>
        <v>1</v>
      </c>
      <c r="W712" t="b">
        <v>0</v>
      </c>
      <c r="X712" t="b">
        <f>Validation[[#This Row],[Range1_Low]]&gt;=Validation[[#This Row],[Range1_High]]</f>
        <v>0</v>
      </c>
      <c r="Y712" s="111" t="s">
        <v>2845</v>
      </c>
    </row>
    <row r="713" spans="1:25" ht="15.75" thickBot="1" x14ac:dyDescent="0.3">
      <c r="A713" t="s">
        <v>54</v>
      </c>
      <c r="B713" t="s">
        <v>47</v>
      </c>
      <c r="C713">
        <v>11</v>
      </c>
      <c r="D713">
        <v>20.501000000000001</v>
      </c>
      <c r="E713">
        <v>0.01</v>
      </c>
      <c r="F713" t="s">
        <v>13</v>
      </c>
      <c r="G713" t="s">
        <v>12</v>
      </c>
      <c r="H713">
        <v>5</v>
      </c>
      <c r="I713">
        <v>5.01</v>
      </c>
      <c r="J713" t="s">
        <v>10</v>
      </c>
      <c r="K713">
        <v>5.9</v>
      </c>
      <c r="L713">
        <v>35</v>
      </c>
      <c r="M713">
        <v>5.8395000000000001</v>
      </c>
      <c r="N713">
        <v>34.639000000000003</v>
      </c>
      <c r="O713" t="s">
        <v>2833</v>
      </c>
      <c r="P713" t="s">
        <v>2833</v>
      </c>
      <c r="Q713" t="s">
        <v>2833</v>
      </c>
      <c r="R713">
        <f ca="1">RAND()*(Validation[[#This Row],[Range1_High]]-Validation[[#This Row],[Range1_Low]])+Validation[[#This Row],[Range1_Low]]</f>
        <v>14.433213446779838</v>
      </c>
      <c r="S713">
        <f>Validation[[#This Row],[Range2_High]]</f>
        <v>5.01</v>
      </c>
      <c r="T713" t="str" cm="1">
        <f t="array" aca="1" ref="T713" ca="1">RoundToTwoSigFigs(Validation[[#This Row],[Test Reading]]*Validation[[#This Row],[Mult]]+Validation[[#This Row],[Base]]) &amp;" "&amp;Validation[[#This Row],[Uncert_Units]]</f>
        <v>510 mA</v>
      </c>
      <c r="U7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V713" t="b">
        <f ca="1">Validation[[#This Row],[Desired Result]]=Validation[[#This Row],[Result]]</f>
        <v>1</v>
      </c>
      <c r="W713" t="b">
        <v>0</v>
      </c>
      <c r="X713" t="b">
        <f>Validation[[#This Row],[Range1_Low]]&gt;=Validation[[#This Row],[Range1_High]]</f>
        <v>0</v>
      </c>
      <c r="Y713" s="111" t="s">
        <v>2845</v>
      </c>
    </row>
    <row r="714" spans="1:25" ht="16.5" thickTop="1" thickBot="1" x14ac:dyDescent="0.3">
      <c r="A714" t="s">
        <v>54</v>
      </c>
      <c r="B714" t="s">
        <v>47</v>
      </c>
      <c r="C714">
        <v>0</v>
      </c>
      <c r="D714">
        <v>3.3000999999999999E-4</v>
      </c>
      <c r="E714">
        <v>1E-8</v>
      </c>
      <c r="F714" t="s">
        <v>13</v>
      </c>
      <c r="G714" t="s">
        <v>11</v>
      </c>
      <c r="H714" s="113">
        <v>0.02</v>
      </c>
      <c r="I714" s="113">
        <v>4.5010000000000001E-2</v>
      </c>
      <c r="J714" t="s">
        <v>10</v>
      </c>
      <c r="K714">
        <v>0.13</v>
      </c>
      <c r="L714">
        <v>1700</v>
      </c>
      <c r="M714">
        <v>0.11582000000000001</v>
      </c>
      <c r="N714">
        <v>1731.6</v>
      </c>
      <c r="O714" t="s">
        <v>2833</v>
      </c>
      <c r="P714" t="s">
        <v>2833</v>
      </c>
      <c r="Q714" t="s">
        <v>2833</v>
      </c>
      <c r="R714">
        <f ca="1">RAND()*(Validation[[#This Row],[Range1_High]]-Validation[[#This Row],[Range1_Low]])+Validation[[#This Row],[Range1_Low]]</f>
        <v>2.3517849180992138E-4</v>
      </c>
      <c r="S714">
        <f>Validation[[#This Row],[Range2_High]]</f>
        <v>4.5010000000000001E-2</v>
      </c>
      <c r="T714" t="str" cm="1">
        <f t="array" aca="1" ref="T714" ca="1">RoundToTwoSigFigs(Validation[[#This Row],[Test Reading]]*Validation[[#This Row],[Mult]]+Validation[[#This Row],[Base]]) &amp;" "&amp;Validation[[#This Row],[Uncert_Units]]</f>
        <v>0.53 µA</v>
      </c>
      <c r="U7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µA</v>
      </c>
      <c r="V714" t="b">
        <f ca="1">Validation[[#This Row],[Desired Result]]=Validation[[#This Row],[Result]]</f>
        <v>0</v>
      </c>
      <c r="W714" t="b">
        <v>1</v>
      </c>
      <c r="X714" t="b">
        <f>Validation[[#This Row],[Range1_Low]]&gt;=Validation[[#This Row],[Range1_High]]</f>
        <v>0</v>
      </c>
      <c r="Y714" s="114" t="s">
        <v>2846</v>
      </c>
    </row>
    <row r="715" spans="1:25" ht="16.5" thickTop="1" thickBot="1" x14ac:dyDescent="0.3">
      <c r="A715" t="s">
        <v>55</v>
      </c>
      <c r="B715" t="s">
        <v>47</v>
      </c>
      <c r="C715" s="113">
        <v>1E-3</v>
      </c>
      <c r="D715" s="113">
        <v>0.01</v>
      </c>
      <c r="E715">
        <v>1E-8</v>
      </c>
      <c r="F715" t="s">
        <v>13</v>
      </c>
      <c r="G715" t="s">
        <v>11</v>
      </c>
      <c r="H715">
        <v>0.1</v>
      </c>
      <c r="I715">
        <v>5</v>
      </c>
      <c r="J715" t="s">
        <v>10</v>
      </c>
      <c r="K715">
        <v>2.5</v>
      </c>
      <c r="L715">
        <v>350</v>
      </c>
      <c r="M715">
        <v>2.2951999999999999</v>
      </c>
      <c r="N715">
        <v>364.62</v>
      </c>
      <c r="O715" t="s">
        <v>2833</v>
      </c>
      <c r="P715" t="s">
        <v>2833</v>
      </c>
      <c r="Q715" t="s">
        <v>2833</v>
      </c>
      <c r="R715">
        <f ca="1">RAND()*(Validation[[#This Row],[Range1_High]]-Validation[[#This Row],[Range1_Low]])+Validation[[#This Row],[Range1_Low]]</f>
        <v>3.2369918022620817E-3</v>
      </c>
      <c r="S715">
        <f>Validation[[#This Row],[Range2_High]]</f>
        <v>5</v>
      </c>
      <c r="T715" t="str" cm="1">
        <f t="array" aca="1" ref="T715" ca="1">RoundToTwoSigFigs(Validation[[#This Row],[Test Reading]]*Validation[[#This Row],[Mult]]+Validation[[#This Row],[Base]]) &amp;" "&amp;Validation[[#This Row],[Uncert_Units]]</f>
        <v>3.6 µA</v>
      </c>
      <c r="U7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V715" t="b">
        <f ca="1">Validation[[#This Row],[Desired Result]]=Validation[[#This Row],[Result]]</f>
        <v>1</v>
      </c>
      <c r="W715" t="b">
        <v>1</v>
      </c>
      <c r="X715" t="b">
        <f>Validation[[#This Row],[Range1_Low]]&gt;=Validation[[#This Row],[Range1_High]]</f>
        <v>0</v>
      </c>
      <c r="Y715" s="111" t="s">
        <v>2843</v>
      </c>
    </row>
    <row r="716" spans="1:25" ht="15.75" thickTop="1" x14ac:dyDescent="0.25">
      <c r="A716" t="s">
        <v>55</v>
      </c>
      <c r="B716" t="s">
        <v>47</v>
      </c>
      <c r="C716">
        <v>0</v>
      </c>
      <c r="D716">
        <v>1E-4</v>
      </c>
      <c r="E716">
        <v>9.9999999999999995E-8</v>
      </c>
      <c r="F716" t="s">
        <v>13</v>
      </c>
      <c r="G716" t="s">
        <v>11</v>
      </c>
      <c r="H716">
        <v>4.4999999999999998E-2</v>
      </c>
      <c r="I716">
        <v>5</v>
      </c>
      <c r="J716" t="s">
        <v>10</v>
      </c>
      <c r="K716">
        <v>6.6314999999999999E-2</v>
      </c>
      <c r="L716">
        <v>546.37</v>
      </c>
      <c r="M716">
        <v>6.6275000000000001E-2</v>
      </c>
      <c r="N716">
        <v>544.96</v>
      </c>
      <c r="O716" t="s">
        <v>2833</v>
      </c>
      <c r="P716" t="s">
        <v>2833</v>
      </c>
      <c r="Q716" t="s">
        <v>2833</v>
      </c>
      <c r="R716">
        <f ca="1">RAND()*(Validation[[#This Row],[Range1_High]]-Validation[[#This Row],[Range1_Low]])+Validation[[#This Row],[Range1_Low]]</f>
        <v>1.0278135862107608E-5</v>
      </c>
      <c r="S716">
        <f>Validation[[#This Row],[Range2_High]]</f>
        <v>5</v>
      </c>
      <c r="T716" t="str" cm="1">
        <f t="array" aca="1" ref="T716" ca="1">RoundToTwoSigFigs(Validation[[#This Row],[Test Reading]]*Validation[[#This Row],[Mult]]+Validation[[#This Row],[Base]]) &amp;" "&amp;Validation[[#This Row],[Uncert_Units]]</f>
        <v>0.072 µA</v>
      </c>
      <c r="U7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µA</v>
      </c>
      <c r="V716" t="b">
        <f ca="1">Validation[[#This Row],[Desired Result]]=Validation[[#This Row],[Result]]</f>
        <v>1</v>
      </c>
      <c r="W716" t="b">
        <v>0</v>
      </c>
      <c r="X716" t="b">
        <f>Validation[[#This Row],[Range1_Low]]&gt;=Validation[[#This Row],[Range1_High]]</f>
        <v>0</v>
      </c>
      <c r="Y716" s="111" t="s">
        <v>2845</v>
      </c>
    </row>
    <row r="717" spans="1:25" ht="15.75" thickBot="1" x14ac:dyDescent="0.3">
      <c r="A717" t="s">
        <v>54</v>
      </c>
      <c r="B717" t="s">
        <v>47</v>
      </c>
      <c r="C717">
        <v>0</v>
      </c>
      <c r="D717">
        <v>3.3000999999999999E-4</v>
      </c>
      <c r="E717">
        <v>9.9999999999999995E-7</v>
      </c>
      <c r="F717" t="s">
        <v>13</v>
      </c>
      <c r="G717" t="s">
        <v>11</v>
      </c>
      <c r="H717">
        <v>4.4999999999999998E-2</v>
      </c>
      <c r="I717">
        <v>1.0000100000000001</v>
      </c>
      <c r="J717" t="s">
        <v>10</v>
      </c>
      <c r="K717">
        <v>0.57669999999999999</v>
      </c>
      <c r="L717">
        <v>759.64</v>
      </c>
      <c r="M717">
        <v>0.57647000000000004</v>
      </c>
      <c r="N717">
        <v>758.92</v>
      </c>
      <c r="O717" t="s">
        <v>2833</v>
      </c>
      <c r="P717" t="s">
        <v>2833</v>
      </c>
      <c r="Q717" t="s">
        <v>2833</v>
      </c>
      <c r="R717">
        <f ca="1">RAND()*(Validation[[#This Row],[Range1_High]]-Validation[[#This Row],[Range1_Low]])+Validation[[#This Row],[Range1_Low]]</f>
        <v>2.5083697204307152E-4</v>
      </c>
      <c r="S717">
        <f>Validation[[#This Row],[Range2_High]]</f>
        <v>1.0000100000000001</v>
      </c>
      <c r="T717" t="str" cm="1">
        <f t="array" aca="1" ref="T717" ca="1">RoundToTwoSigFigs(Validation[[#This Row],[Test Reading]]*Validation[[#This Row],[Mult]]+Validation[[#This Row],[Base]]) &amp;" "&amp;Validation[[#This Row],[Uncert_Units]]</f>
        <v>0.77 µA</v>
      </c>
      <c r="U7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µA</v>
      </c>
      <c r="V717" t="b">
        <f ca="1">Validation[[#This Row],[Desired Result]]=Validation[[#This Row],[Result]]</f>
        <v>1</v>
      </c>
      <c r="W717" t="b">
        <v>0</v>
      </c>
      <c r="X717" t="b">
        <f>Validation[[#This Row],[Range1_Low]]&gt;=Validation[[#This Row],[Range1_High]]</f>
        <v>0</v>
      </c>
      <c r="Y717" s="111" t="s">
        <v>2845</v>
      </c>
    </row>
    <row r="718" spans="1:25" ht="16.5" thickTop="1" thickBot="1" x14ac:dyDescent="0.3">
      <c r="A718" t="s">
        <v>54</v>
      </c>
      <c r="B718" t="s">
        <v>47</v>
      </c>
      <c r="C718" s="113">
        <v>0.33</v>
      </c>
      <c r="D718" s="113">
        <v>1.1000099999999999</v>
      </c>
      <c r="E718">
        <v>1E-4</v>
      </c>
      <c r="F718" t="s">
        <v>13</v>
      </c>
      <c r="G718" t="s">
        <v>12</v>
      </c>
      <c r="H718">
        <v>5</v>
      </c>
      <c r="I718">
        <v>10</v>
      </c>
      <c r="J718" t="s">
        <v>10</v>
      </c>
      <c r="K718">
        <v>5.8</v>
      </c>
      <c r="L718">
        <v>29</v>
      </c>
      <c r="M718">
        <v>5.7742000000000004</v>
      </c>
      <c r="N718">
        <v>28.867000000000001</v>
      </c>
      <c r="O718" t="s">
        <v>2833</v>
      </c>
      <c r="P718" t="s">
        <v>2833</v>
      </c>
      <c r="Q718" t="s">
        <v>2833</v>
      </c>
      <c r="R718">
        <f ca="1">RAND()*(Validation[[#This Row],[Range1_High]]-Validation[[#This Row],[Range1_Low]])+Validation[[#This Row],[Range1_Low]]</f>
        <v>0.76677875949396579</v>
      </c>
      <c r="S718">
        <f>Validation[[#This Row],[Range2_High]]</f>
        <v>10</v>
      </c>
      <c r="T718" t="str" cm="1">
        <f t="array" aca="1" ref="T718" ca="1">RoundToTwoSigFigs(Validation[[#This Row],[Test Reading]]*Validation[[#This Row],[Mult]]+Validation[[#This Row],[Base]]) &amp;" "&amp;Validation[[#This Row],[Uncert_Units]]</f>
        <v>28 mA</v>
      </c>
      <c r="U7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V718" t="b">
        <f ca="1">Validation[[#This Row],[Desired Result]]=Validation[[#This Row],[Result]]</f>
        <v>1</v>
      </c>
      <c r="W718" t="b">
        <v>1</v>
      </c>
      <c r="X718" t="b">
        <f>Validation[[#This Row],[Range1_Low]]&gt;=Validation[[#This Row],[Range1_High]]</f>
        <v>0</v>
      </c>
      <c r="Y718" s="111" t="s">
        <v>2843</v>
      </c>
    </row>
    <row r="719" spans="1:25" ht="16.5" thickTop="1" thickBot="1" x14ac:dyDescent="0.3">
      <c r="A719" t="s">
        <v>54</v>
      </c>
      <c r="B719" t="s">
        <v>47</v>
      </c>
      <c r="C719" s="113">
        <v>3.3E-3</v>
      </c>
      <c r="D719" s="113">
        <v>3.3001000000000003E-2</v>
      </c>
      <c r="E719">
        <v>9.9999999999999995E-8</v>
      </c>
      <c r="F719" t="s">
        <v>13</v>
      </c>
      <c r="G719" t="s">
        <v>11</v>
      </c>
      <c r="H719">
        <v>0.02</v>
      </c>
      <c r="I719">
        <v>4.5010000000000001E-2</v>
      </c>
      <c r="J719" t="s">
        <v>10</v>
      </c>
      <c r="K719">
        <v>3.8</v>
      </c>
      <c r="L719">
        <v>1000</v>
      </c>
      <c r="M719">
        <v>2.3281999999999998</v>
      </c>
      <c r="N719">
        <v>1042.8</v>
      </c>
      <c r="O719" t="s">
        <v>2833</v>
      </c>
      <c r="P719" t="s">
        <v>2833</v>
      </c>
      <c r="Q719" t="s">
        <v>2833</v>
      </c>
      <c r="R719">
        <f ca="1">RAND()*(Validation[[#This Row],[Range1_High]]-Validation[[#This Row],[Range1_Low]])+Validation[[#This Row],[Range1_Low]]</f>
        <v>8.9997536849448986E-3</v>
      </c>
      <c r="S719">
        <f>Validation[[#This Row],[Range2_High]]</f>
        <v>4.5010000000000001E-2</v>
      </c>
      <c r="T719" t="str" cm="1">
        <f t="array" aca="1" ref="T719" ca="1">RoundToTwoSigFigs(Validation[[#This Row],[Test Reading]]*Validation[[#This Row],[Mult]]+Validation[[#This Row],[Base]]) &amp;" "&amp;Validation[[#This Row],[Uncert_Units]]</f>
        <v>13 µA</v>
      </c>
      <c r="U7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V719" t="b">
        <f ca="1">Validation[[#This Row],[Desired Result]]=Validation[[#This Row],[Result]]</f>
        <v>1</v>
      </c>
      <c r="W719" t="b">
        <v>1</v>
      </c>
      <c r="X719" t="b">
        <f>Validation[[#This Row],[Range1_Low]]&gt;=Validation[[#This Row],[Range1_High]]</f>
        <v>0</v>
      </c>
      <c r="Y719" s="111" t="s">
        <v>2843</v>
      </c>
    </row>
    <row r="720" spans="1:25" ht="16.5" thickTop="1" thickBot="1" x14ac:dyDescent="0.3">
      <c r="A720" t="s">
        <v>55</v>
      </c>
      <c r="B720" t="s">
        <v>47</v>
      </c>
      <c r="C720">
        <v>1E-4</v>
      </c>
      <c r="D720">
        <v>1E-3</v>
      </c>
      <c r="E720">
        <v>1E-8</v>
      </c>
      <c r="F720" t="s">
        <v>13</v>
      </c>
      <c r="G720" t="s">
        <v>11</v>
      </c>
      <c r="H720">
        <v>50</v>
      </c>
      <c r="I720">
        <v>100</v>
      </c>
      <c r="J720" t="s">
        <v>10</v>
      </c>
      <c r="K720">
        <v>1.9</v>
      </c>
      <c r="L720">
        <v>6537.4</v>
      </c>
      <c r="M720">
        <v>1.7606999999999999</v>
      </c>
      <c r="N720">
        <v>6558</v>
      </c>
      <c r="O720" t="s">
        <v>2833</v>
      </c>
      <c r="P720" t="s">
        <v>2833</v>
      </c>
      <c r="Q720" t="s">
        <v>2833</v>
      </c>
      <c r="R720">
        <f ca="1">RAND()*(Validation[[#This Row],[Range1_High]]-Validation[[#This Row],[Range1_Low]])+Validation[[#This Row],[Range1_Low]]</f>
        <v>9.784293674719505E-4</v>
      </c>
      <c r="S720">
        <f>Validation[[#This Row],[Range2_High]]</f>
        <v>100</v>
      </c>
      <c r="T720" t="str" cm="1">
        <f t="array" aca="1" ref="T720" ca="1">RoundToTwoSigFigs(Validation[[#This Row],[Test Reading]]*Validation[[#This Row],[Mult]]+Validation[[#This Row],[Base]]) &amp;" "&amp;Validation[[#This Row],[Uncert_Units]]</f>
        <v>8.3 µA</v>
      </c>
      <c r="U7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µA</v>
      </c>
      <c r="V720" t="b">
        <f ca="1">Validation[[#This Row],[Desired Result]]=Validation[[#This Row],[Result]]</f>
        <v>1</v>
      </c>
      <c r="W720" t="b">
        <v>0</v>
      </c>
      <c r="X720" t="b">
        <f>Validation[[#This Row],[Range1_Low]]&gt;=Validation[[#This Row],[Range1_High]]</f>
        <v>0</v>
      </c>
      <c r="Y720" s="111" t="s">
        <v>2845</v>
      </c>
    </row>
    <row r="721" spans="1:25" ht="16.5" thickTop="1" thickBot="1" x14ac:dyDescent="0.3">
      <c r="A721" t="s">
        <v>55</v>
      </c>
      <c r="B721" t="s">
        <v>47</v>
      </c>
      <c r="C721" s="113">
        <v>1E-4</v>
      </c>
      <c r="D721" s="113">
        <v>1E-3</v>
      </c>
      <c r="E721">
        <v>1E-8</v>
      </c>
      <c r="F721" t="s">
        <v>13</v>
      </c>
      <c r="G721" t="s">
        <v>11</v>
      </c>
      <c r="H721">
        <v>0.02</v>
      </c>
      <c r="I721">
        <v>4.4999999999999998E-2</v>
      </c>
      <c r="J721" t="s">
        <v>10</v>
      </c>
      <c r="K721">
        <v>0.27</v>
      </c>
      <c r="L721">
        <v>1700</v>
      </c>
      <c r="M721">
        <v>0.23546</v>
      </c>
      <c r="N721">
        <v>1728.5</v>
      </c>
      <c r="O721" t="s">
        <v>2833</v>
      </c>
      <c r="P721" t="s">
        <v>2833</v>
      </c>
      <c r="Q721" t="s">
        <v>2833</v>
      </c>
      <c r="R721">
        <f ca="1">RAND()*(Validation[[#This Row],[Range1_High]]-Validation[[#This Row],[Range1_Low]])+Validation[[#This Row],[Range1_Low]]</f>
        <v>7.5271104459647656E-4</v>
      </c>
      <c r="S721">
        <f>Validation[[#This Row],[Range2_High]]</f>
        <v>4.4999999999999998E-2</v>
      </c>
      <c r="T721" t="str" cm="1">
        <f t="array" aca="1" ref="T721" ca="1">RoundToTwoSigFigs(Validation[[#This Row],[Test Reading]]*Validation[[#This Row],[Mult]]+Validation[[#This Row],[Base]]) &amp;" "&amp;Validation[[#This Row],[Uncert_Units]]</f>
        <v>1.5 µA</v>
      </c>
      <c r="U7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V721" t="b">
        <f ca="1">Validation[[#This Row],[Desired Result]]=Validation[[#This Row],[Result]]</f>
        <v>0</v>
      </c>
      <c r="W721" t="b">
        <v>1</v>
      </c>
      <c r="X721" t="b">
        <f>Validation[[#This Row],[Range1_Low]]&gt;=Validation[[#This Row],[Range1_High]]</f>
        <v>0</v>
      </c>
      <c r="Y721" s="111" t="s">
        <v>2843</v>
      </c>
    </row>
    <row r="722" spans="1:25" ht="16.5" thickTop="1" thickBot="1" x14ac:dyDescent="0.3">
      <c r="A722" t="s">
        <v>54</v>
      </c>
      <c r="B722" t="s">
        <v>47</v>
      </c>
      <c r="C722" s="113">
        <v>3.3E-3</v>
      </c>
      <c r="D722" s="113">
        <v>3.3001000000000003E-2</v>
      </c>
      <c r="E722">
        <v>1E-4</v>
      </c>
      <c r="F722" t="s">
        <v>13</v>
      </c>
      <c r="G722" t="s">
        <v>11</v>
      </c>
      <c r="H722">
        <v>5</v>
      </c>
      <c r="I722">
        <v>10.01</v>
      </c>
      <c r="J722" t="s">
        <v>10</v>
      </c>
      <c r="K722">
        <v>576.87</v>
      </c>
      <c r="L722">
        <v>180.75</v>
      </c>
      <c r="M722">
        <v>576.87</v>
      </c>
      <c r="N722">
        <v>180.65</v>
      </c>
      <c r="O722" t="s">
        <v>2833</v>
      </c>
      <c r="P722" t="s">
        <v>2833</v>
      </c>
      <c r="Q722" t="s">
        <v>2833</v>
      </c>
      <c r="R722">
        <f ca="1">RAND()*(Validation[[#This Row],[Range1_High]]-Validation[[#This Row],[Range1_Low]])+Validation[[#This Row],[Range1_Low]]</f>
        <v>3.2179635111043992E-2</v>
      </c>
      <c r="S722">
        <f>Validation[[#This Row],[Range2_High]]</f>
        <v>10.01</v>
      </c>
      <c r="T722" t="str" cm="1">
        <f t="array" aca="1" ref="T722" ca="1">RoundToTwoSigFigs(Validation[[#This Row],[Test Reading]]*Validation[[#This Row],[Mult]]+Validation[[#This Row],[Base]]) &amp;" "&amp;Validation[[#This Row],[Uncert_Units]]</f>
        <v>580 µA</v>
      </c>
      <c r="U7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V722" t="b">
        <f ca="1">Validation[[#This Row],[Desired Result]]=Validation[[#This Row],[Result]]</f>
        <v>0</v>
      </c>
      <c r="W722" t="b">
        <v>1</v>
      </c>
      <c r="X722" t="b">
        <f>Validation[[#This Row],[Range1_Low]]&gt;=Validation[[#This Row],[Range1_High]]</f>
        <v>0</v>
      </c>
      <c r="Y722" s="111" t="s">
        <v>2843</v>
      </c>
    </row>
    <row r="723" spans="1:25" ht="16.5" thickTop="1" thickBot="1" x14ac:dyDescent="0.3">
      <c r="A723" t="s">
        <v>55</v>
      </c>
      <c r="B723" t="s">
        <v>47</v>
      </c>
      <c r="C723">
        <v>1E-4</v>
      </c>
      <c r="D723">
        <v>1E-3</v>
      </c>
      <c r="E723">
        <v>1.0000000000000001E-9</v>
      </c>
      <c r="F723" t="s">
        <v>13</v>
      </c>
      <c r="G723" t="s">
        <v>11</v>
      </c>
      <c r="H723">
        <v>50</v>
      </c>
      <c r="I723">
        <v>100</v>
      </c>
      <c r="J723" t="s">
        <v>10</v>
      </c>
      <c r="K723">
        <v>1.9</v>
      </c>
      <c r="L723">
        <v>6531.9</v>
      </c>
      <c r="M723">
        <v>1.7594000000000001</v>
      </c>
      <c r="N723">
        <v>6558.1</v>
      </c>
      <c r="O723" t="s">
        <v>2833</v>
      </c>
      <c r="P723" t="s">
        <v>2833</v>
      </c>
      <c r="Q723" t="s">
        <v>2833</v>
      </c>
      <c r="R723">
        <f ca="1">RAND()*(Validation[[#This Row],[Range1_High]]-Validation[[#This Row],[Range1_Low]])+Validation[[#This Row],[Range1_Low]]</f>
        <v>6.1674056184400964E-4</v>
      </c>
      <c r="S723">
        <f>Validation[[#This Row],[Range2_High]]</f>
        <v>100</v>
      </c>
      <c r="T723" t="str" cm="1">
        <f t="array" aca="1" ref="T723" ca="1">RoundToTwoSigFigs(Validation[[#This Row],[Test Reading]]*Validation[[#This Row],[Mult]]+Validation[[#This Row],[Base]]) &amp;" "&amp;Validation[[#This Row],[Uncert_Units]]</f>
        <v>5.9 µA</v>
      </c>
      <c r="U7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V723" t="b">
        <f ca="1">Validation[[#This Row],[Desired Result]]=Validation[[#This Row],[Result]]</f>
        <v>1</v>
      </c>
      <c r="W723" t="b">
        <v>0</v>
      </c>
      <c r="X723" t="b">
        <f>Validation[[#This Row],[Range1_Low]]&gt;=Validation[[#This Row],[Range1_High]]</f>
        <v>0</v>
      </c>
      <c r="Y723" s="111" t="s">
        <v>2845</v>
      </c>
    </row>
    <row r="724" spans="1:25" ht="16.5" thickTop="1" thickBot="1" x14ac:dyDescent="0.3">
      <c r="A724" t="s">
        <v>55</v>
      </c>
      <c r="B724" t="s">
        <v>47</v>
      </c>
      <c r="C724" s="113">
        <v>1</v>
      </c>
      <c r="D724" s="113">
        <v>10</v>
      </c>
      <c r="E724">
        <v>1.0000000000000001E-5</v>
      </c>
      <c r="F724" t="s">
        <v>13</v>
      </c>
      <c r="G724" t="s">
        <v>12</v>
      </c>
      <c r="H724">
        <v>0.05</v>
      </c>
      <c r="I724">
        <v>1</v>
      </c>
      <c r="J724" t="s">
        <v>10</v>
      </c>
      <c r="K724">
        <v>0.46</v>
      </c>
      <c r="L724">
        <v>0.17</v>
      </c>
      <c r="M724">
        <v>0.49897000000000002</v>
      </c>
      <c r="N724">
        <v>0.12063</v>
      </c>
      <c r="O724" t="s">
        <v>2833</v>
      </c>
      <c r="P724" t="s">
        <v>2833</v>
      </c>
      <c r="Q724" t="s">
        <v>2833</v>
      </c>
      <c r="R724">
        <f ca="1">RAND()*(Validation[[#This Row],[Range1_High]]-Validation[[#This Row],[Range1_Low]])+Validation[[#This Row],[Range1_Low]]</f>
        <v>9.0491446039324526</v>
      </c>
      <c r="S724">
        <f>Validation[[#This Row],[Range2_High]]</f>
        <v>1</v>
      </c>
      <c r="T724" t="str" cm="1">
        <f t="array" aca="1" ref="T724" ca="1">RoundToTwoSigFigs(Validation[[#This Row],[Test Reading]]*Validation[[#This Row],[Mult]]+Validation[[#This Row],[Base]]) &amp;" "&amp;Validation[[#This Row],[Uncert_Units]]</f>
        <v>2 mA</v>
      </c>
      <c r="U7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V724" t="b">
        <f ca="1">Validation[[#This Row],[Desired Result]]=Validation[[#This Row],[Result]]</f>
        <v>0</v>
      </c>
      <c r="W724" t="b">
        <v>1</v>
      </c>
      <c r="X724" t="b">
        <f>Validation[[#This Row],[Range1_Low]]&gt;=Validation[[#This Row],[Range1_High]]</f>
        <v>0</v>
      </c>
      <c r="Y724" s="111" t="s">
        <v>2843</v>
      </c>
    </row>
    <row r="725" spans="1:25" ht="15.75" thickTop="1" x14ac:dyDescent="0.25">
      <c r="A725" t="s">
        <v>55</v>
      </c>
      <c r="B725" t="s">
        <v>47</v>
      </c>
      <c r="C725">
        <v>0</v>
      </c>
      <c r="D725">
        <v>1E-4</v>
      </c>
      <c r="E725">
        <v>1</v>
      </c>
      <c r="F725" t="s">
        <v>13</v>
      </c>
      <c r="G725" t="s">
        <v>11</v>
      </c>
      <c r="H725">
        <v>1E-3</v>
      </c>
      <c r="I725">
        <v>0.02</v>
      </c>
      <c r="J725" t="s">
        <v>10</v>
      </c>
      <c r="K725">
        <v>577360</v>
      </c>
      <c r="L725">
        <v>7.2871000000000003E-3</v>
      </c>
      <c r="M725">
        <v>577360</v>
      </c>
      <c r="N725">
        <v>2.0990000000000002E-3</v>
      </c>
      <c r="O725" t="s">
        <v>2833</v>
      </c>
      <c r="P725" t="s">
        <v>2833</v>
      </c>
      <c r="Q725" t="s">
        <v>2833</v>
      </c>
      <c r="R725">
        <f ca="1">RAND()*(Validation[[#This Row],[Range1_High]]-Validation[[#This Row],[Range1_Low]])+Validation[[#This Row],[Range1_Low]]</f>
        <v>6.932319043497359E-5</v>
      </c>
      <c r="S725">
        <f>Validation[[#This Row],[Range2_High]]</f>
        <v>0.02</v>
      </c>
      <c r="T725" t="str" cm="1">
        <f t="array" aca="1" ref="T725" ca="1">RoundToTwoSigFigs(Validation[[#This Row],[Test Reading]]*Validation[[#This Row],[Mult]]+Validation[[#This Row],[Base]]) &amp;" "&amp;Validation[[#This Row],[Uncert_Units]]</f>
        <v>580000 µA</v>
      </c>
      <c r="U7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725" t="b">
        <f ca="1">Validation[[#This Row],[Desired Result]]=Validation[[#This Row],[Result]]</f>
        <v>1</v>
      </c>
      <c r="W725" t="b">
        <v>0</v>
      </c>
      <c r="X725" t="b">
        <f>Validation[[#This Row],[Range1_Low]]&gt;=Validation[[#This Row],[Range1_High]]</f>
        <v>0</v>
      </c>
      <c r="Y725" s="111" t="s">
        <v>2845</v>
      </c>
    </row>
    <row r="726" spans="1:25" ht="15.75" thickBot="1" x14ac:dyDescent="0.3">
      <c r="A726" t="s">
        <v>54</v>
      </c>
      <c r="B726" t="s">
        <v>47</v>
      </c>
      <c r="C726">
        <v>0</v>
      </c>
      <c r="D726">
        <v>3.3000999999999999E-4</v>
      </c>
      <c r="E726">
        <v>0.1</v>
      </c>
      <c r="F726" t="s">
        <v>13</v>
      </c>
      <c r="G726" t="s">
        <v>11</v>
      </c>
      <c r="H726">
        <v>10</v>
      </c>
      <c r="I726">
        <v>30</v>
      </c>
      <c r="J726" t="s">
        <v>10</v>
      </c>
      <c r="K726">
        <v>57736</v>
      </c>
      <c r="L726">
        <v>1.2390000000000001</v>
      </c>
      <c r="M726">
        <v>57735</v>
      </c>
      <c r="N726">
        <v>1.2090000000000001</v>
      </c>
      <c r="O726" t="s">
        <v>2833</v>
      </c>
      <c r="P726" t="s">
        <v>2833</v>
      </c>
      <c r="Q726" t="s">
        <v>2833</v>
      </c>
      <c r="R726">
        <f ca="1">RAND()*(Validation[[#This Row],[Range1_High]]-Validation[[#This Row],[Range1_Low]])+Validation[[#This Row],[Range1_Low]]</f>
        <v>3.0918986641323507E-4</v>
      </c>
      <c r="S726">
        <f>Validation[[#This Row],[Range2_High]]</f>
        <v>30</v>
      </c>
      <c r="T726" t="str" cm="1">
        <f t="array" aca="1" ref="T726" ca="1">RoundToTwoSigFigs(Validation[[#This Row],[Test Reading]]*Validation[[#This Row],[Mult]]+Validation[[#This Row],[Base]]) &amp;" "&amp;Validation[[#This Row],[Uncert_Units]]</f>
        <v>58000 µA</v>
      </c>
      <c r="U7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726" t="b">
        <f ca="1">Validation[[#This Row],[Desired Result]]=Validation[[#This Row],[Result]]</f>
        <v>1</v>
      </c>
      <c r="W726" t="b">
        <v>0</v>
      </c>
      <c r="X726" t="b">
        <f>Validation[[#This Row],[Range1_Low]]&gt;=Validation[[#This Row],[Range1_High]]</f>
        <v>0</v>
      </c>
      <c r="Y726" s="111" t="s">
        <v>2845</v>
      </c>
    </row>
    <row r="727" spans="1:25" ht="16.5" thickTop="1" thickBot="1" x14ac:dyDescent="0.3">
      <c r="A727" t="s">
        <v>68</v>
      </c>
      <c r="B727" t="s">
        <v>47</v>
      </c>
      <c r="C727" s="113">
        <v>0.1</v>
      </c>
      <c r="D727" s="113">
        <v>1.04</v>
      </c>
      <c r="E727">
        <v>1E-3</v>
      </c>
      <c r="F727" t="s">
        <v>13</v>
      </c>
      <c r="G727" t="s">
        <v>12</v>
      </c>
      <c r="H727">
        <v>0.01</v>
      </c>
      <c r="I727">
        <v>2</v>
      </c>
      <c r="J727" t="s">
        <v>10</v>
      </c>
      <c r="K727">
        <v>1.1829000000000001</v>
      </c>
      <c r="L727">
        <v>1.4133</v>
      </c>
      <c r="M727">
        <v>1.1409</v>
      </c>
      <c r="N727">
        <v>1.4124000000000001</v>
      </c>
      <c r="O727" t="s">
        <v>2833</v>
      </c>
      <c r="P727" t="s">
        <v>2833</v>
      </c>
      <c r="Q727" t="s">
        <v>2833</v>
      </c>
      <c r="R727">
        <f ca="1">RAND()*(Validation[[#This Row],[Range1_High]]-Validation[[#This Row],[Range1_Low]])+Validation[[#This Row],[Range1_Low]]</f>
        <v>0.38703447812223712</v>
      </c>
      <c r="S727">
        <f>Validation[[#This Row],[Range2_High]]</f>
        <v>2</v>
      </c>
      <c r="T727" t="str" cm="1">
        <f t="array" aca="1" ref="T727" ca="1">RoundToTwoSigFigs(Validation[[#This Row],[Test Reading]]*Validation[[#This Row],[Mult]]+Validation[[#This Row],[Base]]) &amp;" "&amp;Validation[[#This Row],[Uncert_Units]]</f>
        <v>1.7 mA</v>
      </c>
      <c r="U7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V727" t="b">
        <f ca="1">Validation[[#This Row],[Desired Result]]=Validation[[#This Row],[Result]]</f>
        <v>1</v>
      </c>
      <c r="W727" t="b">
        <v>1</v>
      </c>
      <c r="X727" t="b">
        <f>Validation[[#This Row],[Range1_Low]]&gt;=Validation[[#This Row],[Range1_High]]</f>
        <v>0</v>
      </c>
      <c r="Y727" s="111" t="s">
        <v>2843</v>
      </c>
    </row>
    <row r="728" spans="1:25" ht="16.5" thickTop="1" thickBot="1" x14ac:dyDescent="0.3">
      <c r="A728" t="s">
        <v>54</v>
      </c>
      <c r="B728" t="s">
        <v>47</v>
      </c>
      <c r="C728">
        <v>3.3000000000000002E-2</v>
      </c>
      <c r="D728">
        <v>0.33001000000000003</v>
      </c>
      <c r="E728">
        <v>0.01</v>
      </c>
      <c r="F728" t="s">
        <v>13</v>
      </c>
      <c r="G728" t="s">
        <v>12</v>
      </c>
      <c r="H728">
        <v>30</v>
      </c>
      <c r="I728">
        <v>30.01</v>
      </c>
      <c r="J728" t="s">
        <v>10</v>
      </c>
      <c r="K728">
        <v>5.7587000000000002</v>
      </c>
      <c r="L728">
        <v>0.83674000000000004</v>
      </c>
      <c r="M728">
        <v>5.7587000000000002</v>
      </c>
      <c r="N728">
        <v>0.83650999999999998</v>
      </c>
      <c r="O728" t="s">
        <v>2833</v>
      </c>
      <c r="P728" t="s">
        <v>2833</v>
      </c>
      <c r="Q728" t="s">
        <v>2833</v>
      </c>
      <c r="R728">
        <f ca="1">RAND()*(Validation[[#This Row],[Range1_High]]-Validation[[#This Row],[Range1_Low]])+Validation[[#This Row],[Range1_Low]]</f>
        <v>0.18484814934399668</v>
      </c>
      <c r="S728">
        <f>Validation[[#This Row],[Range2_High]]</f>
        <v>30.01</v>
      </c>
      <c r="T728" t="str" cm="1">
        <f t="array" aca="1" ref="T728" ca="1">RoundToTwoSigFigs(Validation[[#This Row],[Test Reading]]*Validation[[#This Row],[Mult]]+Validation[[#This Row],[Base]]) &amp;" "&amp;Validation[[#This Row],[Uncert_Units]]</f>
        <v>5.9 mA</v>
      </c>
      <c r="U7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V728" t="b">
        <f ca="1">Validation[[#This Row],[Desired Result]]=Validation[[#This Row],[Result]]</f>
        <v>1</v>
      </c>
      <c r="W728" t="b">
        <v>0</v>
      </c>
      <c r="X728" t="b">
        <f>Validation[[#This Row],[Range1_Low]]&gt;=Validation[[#This Row],[Range1_High]]</f>
        <v>0</v>
      </c>
      <c r="Y728" s="111" t="s">
        <v>2845</v>
      </c>
    </row>
    <row r="729" spans="1:25" ht="16.5" thickTop="1" thickBot="1" x14ac:dyDescent="0.3">
      <c r="A729" t="s">
        <v>54</v>
      </c>
      <c r="B729" t="s">
        <v>47</v>
      </c>
      <c r="C729" s="113">
        <v>3.3000000000000002E-2</v>
      </c>
      <c r="D729" s="113">
        <v>0.33001000000000003</v>
      </c>
      <c r="E729">
        <v>9.9999999999999995E-7</v>
      </c>
      <c r="F729" t="s">
        <v>13</v>
      </c>
      <c r="G729" t="s">
        <v>12</v>
      </c>
      <c r="H729">
        <v>0.02</v>
      </c>
      <c r="I729">
        <v>4.5010000000000001E-2</v>
      </c>
      <c r="J729" t="s">
        <v>10</v>
      </c>
      <c r="K729">
        <v>3.7999999999999999E-2</v>
      </c>
      <c r="L729">
        <v>1</v>
      </c>
      <c r="M729">
        <v>2.3094E-2</v>
      </c>
      <c r="N729">
        <v>1.0436000000000001</v>
      </c>
      <c r="O729" t="s">
        <v>2833</v>
      </c>
      <c r="P729" t="s">
        <v>2833</v>
      </c>
      <c r="Q729" t="s">
        <v>2833</v>
      </c>
      <c r="R729">
        <f ca="1">RAND()*(Validation[[#This Row],[Range1_High]]-Validation[[#This Row],[Range1_Low]])+Validation[[#This Row],[Range1_Low]]</f>
        <v>0.2648435592062871</v>
      </c>
      <c r="S729">
        <f>Validation[[#This Row],[Range2_High]]</f>
        <v>4.5010000000000001E-2</v>
      </c>
      <c r="T729" t="str" cm="1">
        <f t="array" aca="1" ref="T729" ca="1">RoundToTwoSigFigs(Validation[[#This Row],[Test Reading]]*Validation[[#This Row],[Mult]]+Validation[[#This Row],[Base]]) &amp;" "&amp;Validation[[#This Row],[Uncert_Units]]</f>
        <v>0.3 mA</v>
      </c>
      <c r="U7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V729" t="b">
        <f ca="1">Validation[[#This Row],[Desired Result]]=Validation[[#This Row],[Result]]</f>
        <v>0</v>
      </c>
      <c r="W729" t="b">
        <v>1</v>
      </c>
      <c r="X729" t="b">
        <f>Validation[[#This Row],[Range1_Low]]&gt;=Validation[[#This Row],[Range1_High]]</f>
        <v>0</v>
      </c>
      <c r="Y729" s="111" t="s">
        <v>2843</v>
      </c>
    </row>
    <row r="730" spans="1:25" ht="16.5" thickTop="1" thickBot="1" x14ac:dyDescent="0.3">
      <c r="A730" t="s">
        <v>54</v>
      </c>
      <c r="B730" t="s">
        <v>47</v>
      </c>
      <c r="C730">
        <v>0</v>
      </c>
      <c r="D730">
        <v>3.3000999999999999E-4</v>
      </c>
      <c r="E730">
        <v>1E-8</v>
      </c>
      <c r="F730" t="s">
        <v>13</v>
      </c>
      <c r="G730" t="s">
        <v>11</v>
      </c>
      <c r="H730">
        <v>0.01</v>
      </c>
      <c r="I730">
        <v>2.001E-2</v>
      </c>
      <c r="J730" t="s">
        <v>10</v>
      </c>
      <c r="K730">
        <v>0.13</v>
      </c>
      <c r="L730">
        <v>2300</v>
      </c>
      <c r="M730">
        <v>0.11565</v>
      </c>
      <c r="N730">
        <v>2314.1999999999998</v>
      </c>
      <c r="O730" t="s">
        <v>2833</v>
      </c>
      <c r="P730" t="s">
        <v>2833</v>
      </c>
      <c r="Q730" t="s">
        <v>2833</v>
      </c>
      <c r="R730">
        <f ca="1">RAND()*(Validation[[#This Row],[Range1_High]]-Validation[[#This Row],[Range1_Low]])+Validation[[#This Row],[Range1_Low]]</f>
        <v>2.4199313563679962E-4</v>
      </c>
      <c r="S730">
        <f>Validation[[#This Row],[Range2_High]]</f>
        <v>2.001E-2</v>
      </c>
      <c r="T730" t="str" cm="1">
        <f t="array" aca="1" ref="T730" ca="1">RoundToTwoSigFigs(Validation[[#This Row],[Test Reading]]*Validation[[#This Row],[Mult]]+Validation[[#This Row],[Base]]) &amp;" "&amp;Validation[[#This Row],[Uncert_Units]]</f>
        <v>0.69 µA</v>
      </c>
      <c r="U7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µA</v>
      </c>
      <c r="V730" t="b">
        <f ca="1">Validation[[#This Row],[Desired Result]]=Validation[[#This Row],[Result]]</f>
        <v>1</v>
      </c>
      <c r="W730" t="b">
        <v>0</v>
      </c>
      <c r="X730" t="b">
        <f>Validation[[#This Row],[Range1_Low]]&gt;=Validation[[#This Row],[Range1_High]]</f>
        <v>0</v>
      </c>
      <c r="Y730" s="111" t="s">
        <v>2845</v>
      </c>
    </row>
    <row r="731" spans="1:25" ht="16.5" thickTop="1" thickBot="1" x14ac:dyDescent="0.3">
      <c r="A731" t="s">
        <v>54</v>
      </c>
      <c r="B731" t="s">
        <v>47</v>
      </c>
      <c r="C731" s="113">
        <v>0.33</v>
      </c>
      <c r="D731" s="113">
        <v>1.1000099999999999</v>
      </c>
      <c r="E731">
        <v>1.0000000000000001E-5</v>
      </c>
      <c r="F731" t="s">
        <v>13</v>
      </c>
      <c r="G731" t="s">
        <v>12</v>
      </c>
      <c r="H731">
        <v>10</v>
      </c>
      <c r="I731">
        <v>10.01</v>
      </c>
      <c r="J731" t="s">
        <v>10</v>
      </c>
      <c r="K731">
        <v>5.8</v>
      </c>
      <c r="L731">
        <v>29</v>
      </c>
      <c r="M731">
        <v>5.7733999999999996</v>
      </c>
      <c r="N731">
        <v>28.867999999999999</v>
      </c>
      <c r="O731" t="s">
        <v>2833</v>
      </c>
      <c r="P731" t="s">
        <v>2833</v>
      </c>
      <c r="Q731" t="s">
        <v>2833</v>
      </c>
      <c r="R731">
        <f ca="1">RAND()*(Validation[[#This Row],[Range1_High]]-Validation[[#This Row],[Range1_Low]])+Validation[[#This Row],[Range1_Low]]</f>
        <v>0.50751778680373016</v>
      </c>
      <c r="S731">
        <f>Validation[[#This Row],[Range2_High]]</f>
        <v>10.01</v>
      </c>
      <c r="T731" t="str" cm="1">
        <f t="array" aca="1" ref="T731" ca="1">RoundToTwoSigFigs(Validation[[#This Row],[Test Reading]]*Validation[[#This Row],[Mult]]+Validation[[#This Row],[Base]]) &amp;" "&amp;Validation[[#This Row],[Uncert_Units]]</f>
        <v>21 mA</v>
      </c>
      <c r="U7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V731" t="b">
        <f ca="1">Validation[[#This Row],[Desired Result]]=Validation[[#This Row],[Result]]</f>
        <v>1</v>
      </c>
      <c r="W731" t="b">
        <v>1</v>
      </c>
      <c r="X731" t="b">
        <f>Validation[[#This Row],[Range1_Low]]&gt;=Validation[[#This Row],[Range1_High]]</f>
        <v>0</v>
      </c>
      <c r="Y731" s="111" t="s">
        <v>2843</v>
      </c>
    </row>
    <row r="732" spans="1:25" ht="16.5" thickTop="1" thickBot="1" x14ac:dyDescent="0.3">
      <c r="A732" t="s">
        <v>54</v>
      </c>
      <c r="B732" t="s">
        <v>47</v>
      </c>
      <c r="C732">
        <v>0</v>
      </c>
      <c r="D732">
        <v>3.3000999999999999E-4</v>
      </c>
      <c r="E732">
        <v>1.0000000000000001E-5</v>
      </c>
      <c r="F732" t="s">
        <v>13</v>
      </c>
      <c r="G732" t="s">
        <v>11</v>
      </c>
      <c r="H732">
        <v>10</v>
      </c>
      <c r="I732">
        <v>30</v>
      </c>
      <c r="J732" t="s">
        <v>10</v>
      </c>
      <c r="K732">
        <v>5.5819999999999999</v>
      </c>
      <c r="L732">
        <v>9564.6</v>
      </c>
      <c r="M732">
        <v>5.5818000000000003</v>
      </c>
      <c r="N732">
        <v>9564.1</v>
      </c>
      <c r="O732" t="s">
        <v>2833</v>
      </c>
      <c r="P732" t="s">
        <v>2833</v>
      </c>
      <c r="Q732" t="s">
        <v>2833</v>
      </c>
      <c r="R732">
        <f ca="1">RAND()*(Validation[[#This Row],[Range1_High]]-Validation[[#This Row],[Range1_Low]])+Validation[[#This Row],[Range1_Low]]</f>
        <v>1.7247038539941044E-4</v>
      </c>
      <c r="S732">
        <f>Validation[[#This Row],[Range2_High]]</f>
        <v>30</v>
      </c>
      <c r="T732" t="str" cm="1">
        <f t="array" aca="1" ref="T732" ca="1">RoundToTwoSigFigs(Validation[[#This Row],[Test Reading]]*Validation[[#This Row],[Mult]]+Validation[[#This Row],[Base]]) &amp;" "&amp;Validation[[#This Row],[Uncert_Units]]</f>
        <v>7.2 µA</v>
      </c>
      <c r="U7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V732" t="b">
        <f ca="1">Validation[[#This Row],[Desired Result]]=Validation[[#This Row],[Result]]</f>
        <v>1</v>
      </c>
      <c r="W732" t="b">
        <v>0</v>
      </c>
      <c r="X732" t="b">
        <f>Validation[[#This Row],[Range1_Low]]&gt;=Validation[[#This Row],[Range1_High]]</f>
        <v>0</v>
      </c>
      <c r="Y732" s="111" t="s">
        <v>2845</v>
      </c>
    </row>
    <row r="733" spans="1:25" ht="16.5" thickTop="1" thickBot="1" x14ac:dyDescent="0.3">
      <c r="A733" t="s">
        <v>55</v>
      </c>
      <c r="B733" t="s">
        <v>47</v>
      </c>
      <c r="C733" s="113">
        <v>0.01</v>
      </c>
      <c r="D733" s="113">
        <v>0.1</v>
      </c>
      <c r="E733">
        <v>9.9999999999999995E-7</v>
      </c>
      <c r="F733" t="s">
        <v>13</v>
      </c>
      <c r="G733" t="s">
        <v>11</v>
      </c>
      <c r="H733">
        <v>20</v>
      </c>
      <c r="I733">
        <v>50</v>
      </c>
      <c r="J733" t="s">
        <v>10</v>
      </c>
      <c r="K733">
        <v>51</v>
      </c>
      <c r="L733">
        <v>4736.8</v>
      </c>
      <c r="M733">
        <v>45.606000000000002</v>
      </c>
      <c r="N733">
        <v>4746.8999999999996</v>
      </c>
      <c r="O733" t="s">
        <v>2833</v>
      </c>
      <c r="P733" t="s">
        <v>2833</v>
      </c>
      <c r="Q733" t="s">
        <v>2833</v>
      </c>
      <c r="R733">
        <f ca="1">RAND()*(Validation[[#This Row],[Range1_High]]-Validation[[#This Row],[Range1_Low]])+Validation[[#This Row],[Range1_Low]]</f>
        <v>7.3116114991355258E-2</v>
      </c>
      <c r="S733">
        <f>Validation[[#This Row],[Range2_High]]</f>
        <v>50</v>
      </c>
      <c r="T733" t="str" cm="1">
        <f t="array" aca="1" ref="T733" ca="1">RoundToTwoSigFigs(Validation[[#This Row],[Test Reading]]*Validation[[#This Row],[Mult]]+Validation[[#This Row],[Base]]) &amp;" "&amp;Validation[[#This Row],[Uncert_Units]]</f>
        <v>400 µA</v>
      </c>
      <c r="U7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µA</v>
      </c>
      <c r="V733" t="b">
        <f ca="1">Validation[[#This Row],[Desired Result]]=Validation[[#This Row],[Result]]</f>
        <v>1</v>
      </c>
      <c r="W733" t="b">
        <v>1</v>
      </c>
      <c r="X733" t="b">
        <f>Validation[[#This Row],[Range1_Low]]&gt;=Validation[[#This Row],[Range1_High]]</f>
        <v>0</v>
      </c>
      <c r="Y733" s="111" t="s">
        <v>2843</v>
      </c>
    </row>
    <row r="734" spans="1:25" ht="15.75" thickTop="1" x14ac:dyDescent="0.25">
      <c r="A734" t="s">
        <v>54</v>
      </c>
      <c r="B734" t="s">
        <v>47</v>
      </c>
      <c r="C734">
        <v>1.1000000000000001</v>
      </c>
      <c r="D734">
        <v>3.0009999999999999</v>
      </c>
      <c r="E734">
        <v>1.0000000000000001E-5</v>
      </c>
      <c r="F734" t="s">
        <v>13</v>
      </c>
      <c r="G734" t="s">
        <v>12</v>
      </c>
      <c r="H734">
        <v>0.01</v>
      </c>
      <c r="I734">
        <v>4.5010000000000001E-2</v>
      </c>
      <c r="J734" t="s">
        <v>10</v>
      </c>
      <c r="K734">
        <v>0.12</v>
      </c>
      <c r="L734">
        <v>2.1</v>
      </c>
      <c r="M734">
        <v>0.11589000000000001</v>
      </c>
      <c r="N734">
        <v>2.0787</v>
      </c>
      <c r="O734" t="s">
        <v>2833</v>
      </c>
      <c r="P734" t="s">
        <v>2833</v>
      </c>
      <c r="Q734" t="s">
        <v>2833</v>
      </c>
      <c r="R734">
        <f ca="1">RAND()*(Validation[[#This Row],[Range1_High]]-Validation[[#This Row],[Range1_Low]])+Validation[[#This Row],[Range1_Low]]</f>
        <v>2.3998279379603114</v>
      </c>
      <c r="S734">
        <f>Validation[[#This Row],[Range2_High]]</f>
        <v>4.5010000000000001E-2</v>
      </c>
      <c r="T734" t="str" cm="1">
        <f t="array" aca="1" ref="T734" ca="1">RoundToTwoSigFigs(Validation[[#This Row],[Test Reading]]*Validation[[#This Row],[Mult]]+Validation[[#This Row],[Base]]) &amp;" "&amp;Validation[[#This Row],[Uncert_Units]]</f>
        <v>5.2 mA</v>
      </c>
      <c r="U7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mA</v>
      </c>
      <c r="V734" t="b">
        <f ca="1">Validation[[#This Row],[Desired Result]]=Validation[[#This Row],[Result]]</f>
        <v>1</v>
      </c>
      <c r="W734" t="b">
        <v>0</v>
      </c>
      <c r="X734" t="b">
        <f>Validation[[#This Row],[Range1_Low]]&gt;=Validation[[#This Row],[Range1_High]]</f>
        <v>0</v>
      </c>
      <c r="Y734" s="111" t="s">
        <v>2845</v>
      </c>
    </row>
    <row r="735" spans="1:25" x14ac:dyDescent="0.25">
      <c r="A735" t="s">
        <v>55</v>
      </c>
      <c r="B735" t="s">
        <v>47</v>
      </c>
      <c r="C735">
        <v>1E-4</v>
      </c>
      <c r="D735">
        <v>1E-3</v>
      </c>
      <c r="E735">
        <v>9.9999999999999995E-7</v>
      </c>
      <c r="F735" t="s">
        <v>13</v>
      </c>
      <c r="G735" t="s">
        <v>11</v>
      </c>
      <c r="H735">
        <v>5</v>
      </c>
      <c r="I735">
        <v>20</v>
      </c>
      <c r="J735" t="s">
        <v>10</v>
      </c>
      <c r="K735">
        <v>5.7740999999999998</v>
      </c>
      <c r="L735">
        <v>79.209999999999994</v>
      </c>
      <c r="M735">
        <v>5.774</v>
      </c>
      <c r="N735">
        <v>77.712999999999994</v>
      </c>
      <c r="O735" t="s">
        <v>2833</v>
      </c>
      <c r="P735" t="s">
        <v>2833</v>
      </c>
      <c r="Q735" t="s">
        <v>2833</v>
      </c>
      <c r="R735">
        <f ca="1">RAND()*(Validation[[#This Row],[Range1_High]]-Validation[[#This Row],[Range1_Low]])+Validation[[#This Row],[Range1_Low]]</f>
        <v>2.4493211665112588E-4</v>
      </c>
      <c r="S735">
        <f>Validation[[#This Row],[Range2_High]]</f>
        <v>20</v>
      </c>
      <c r="T735" t="str" cm="1">
        <f t="array" aca="1" ref="T735" ca="1">RoundToTwoSigFigs(Validation[[#This Row],[Test Reading]]*Validation[[#This Row],[Mult]]+Validation[[#This Row],[Base]]) &amp;" "&amp;Validation[[#This Row],[Uncert_Units]]</f>
        <v>5.8 µA</v>
      </c>
      <c r="U7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735" t="b">
        <f ca="1">Validation[[#This Row],[Desired Result]]=Validation[[#This Row],[Result]]</f>
        <v>1</v>
      </c>
      <c r="W735" t="b">
        <v>0</v>
      </c>
      <c r="X735" t="b">
        <f>Validation[[#This Row],[Range1_Low]]&gt;=Validation[[#This Row],[Range1_High]]</f>
        <v>0</v>
      </c>
      <c r="Y735" s="111" t="s">
        <v>2845</v>
      </c>
    </row>
    <row r="736" spans="1:25" ht="15.75" thickBot="1" x14ac:dyDescent="0.3">
      <c r="A736" t="s">
        <v>55</v>
      </c>
      <c r="B736" t="s">
        <v>47</v>
      </c>
      <c r="C736">
        <v>10</v>
      </c>
      <c r="D736">
        <v>20</v>
      </c>
      <c r="E736">
        <v>0.1</v>
      </c>
      <c r="F736" t="s">
        <v>13</v>
      </c>
      <c r="G736" t="s">
        <v>12</v>
      </c>
      <c r="H736">
        <v>1E-3</v>
      </c>
      <c r="I736">
        <v>0.05</v>
      </c>
      <c r="J736" t="s">
        <v>10</v>
      </c>
      <c r="K736">
        <v>57.914000000000001</v>
      </c>
      <c r="L736">
        <v>8.2611000000000004E-3</v>
      </c>
      <c r="M736">
        <v>57.911000000000001</v>
      </c>
      <c r="N736">
        <v>8.2615999999999992E-3</v>
      </c>
      <c r="O736" t="s">
        <v>2833</v>
      </c>
      <c r="P736" t="s">
        <v>2833</v>
      </c>
      <c r="Q736" t="s">
        <v>2833</v>
      </c>
      <c r="R736">
        <f ca="1">RAND()*(Validation[[#This Row],[Range1_High]]-Validation[[#This Row],[Range1_Low]])+Validation[[#This Row],[Range1_Low]]</f>
        <v>11.427222542407316</v>
      </c>
      <c r="S736">
        <f>Validation[[#This Row],[Range2_High]]</f>
        <v>0.05</v>
      </c>
      <c r="T736" t="str" cm="1">
        <f t="array" aca="1" ref="T736" ca="1">RoundToTwoSigFigs(Validation[[#This Row],[Test Reading]]*Validation[[#This Row],[Mult]]+Validation[[#This Row],[Base]]) &amp;" "&amp;Validation[[#This Row],[Uncert_Units]]</f>
        <v>58 mA</v>
      </c>
      <c r="U7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736" t="b">
        <f ca="1">Validation[[#This Row],[Desired Result]]=Validation[[#This Row],[Result]]</f>
        <v>1</v>
      </c>
      <c r="W736" t="b">
        <v>0</v>
      </c>
      <c r="X736" t="b">
        <f>Validation[[#This Row],[Range1_Low]]&gt;=Validation[[#This Row],[Range1_High]]</f>
        <v>0</v>
      </c>
      <c r="Y736" s="111" t="s">
        <v>2845</v>
      </c>
    </row>
    <row r="737" spans="1:25" ht="16.5" thickTop="1" thickBot="1" x14ac:dyDescent="0.3">
      <c r="A737" t="s">
        <v>54</v>
      </c>
      <c r="B737" t="s">
        <v>47</v>
      </c>
      <c r="C737" s="113">
        <v>0.33</v>
      </c>
      <c r="D737" s="113">
        <v>1.1000099999999999</v>
      </c>
      <c r="E737">
        <v>1E-3</v>
      </c>
      <c r="F737" t="s">
        <v>13</v>
      </c>
      <c r="G737" t="s">
        <v>12</v>
      </c>
      <c r="H737">
        <v>0.01</v>
      </c>
      <c r="I737">
        <v>4.5010000000000001E-2</v>
      </c>
      <c r="J737" t="s">
        <v>10</v>
      </c>
      <c r="K737">
        <v>0.35291</v>
      </c>
      <c r="L737">
        <v>1.9255</v>
      </c>
      <c r="M737">
        <v>0.35283999999999999</v>
      </c>
      <c r="N737">
        <v>1.9254</v>
      </c>
      <c r="O737" t="s">
        <v>2833</v>
      </c>
      <c r="P737" t="s">
        <v>2833</v>
      </c>
      <c r="Q737" t="s">
        <v>2833</v>
      </c>
      <c r="R737">
        <f ca="1">RAND()*(Validation[[#This Row],[Range1_High]]-Validation[[#This Row],[Range1_Low]])+Validation[[#This Row],[Range1_Low]]</f>
        <v>0.43371803299832179</v>
      </c>
      <c r="S737">
        <f>Validation[[#This Row],[Range2_High]]</f>
        <v>4.5010000000000001E-2</v>
      </c>
      <c r="T737" t="str" cm="1">
        <f t="array" aca="1" ref="T737" ca="1">RoundToTwoSigFigs(Validation[[#This Row],[Test Reading]]*Validation[[#This Row],[Mult]]+Validation[[#This Row],[Base]]) &amp;" "&amp;Validation[[#This Row],[Uncert_Units]]</f>
        <v>1.2 mA</v>
      </c>
      <c r="U7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mA</v>
      </c>
      <c r="V737" t="b">
        <f ca="1">Validation[[#This Row],[Desired Result]]=Validation[[#This Row],[Result]]</f>
        <v>0</v>
      </c>
      <c r="W737" t="b">
        <v>1</v>
      </c>
      <c r="X737" t="b">
        <f>Validation[[#This Row],[Range1_Low]]&gt;=Validation[[#This Row],[Range1_High]]</f>
        <v>0</v>
      </c>
      <c r="Y737" s="111" t="s">
        <v>2843</v>
      </c>
    </row>
    <row r="738" spans="1:25" ht="15.75" thickTop="1" x14ac:dyDescent="0.25">
      <c r="A738" t="s">
        <v>55</v>
      </c>
      <c r="B738" t="s">
        <v>47</v>
      </c>
      <c r="C738">
        <v>0</v>
      </c>
      <c r="D738">
        <v>1E-4</v>
      </c>
      <c r="E738">
        <v>1E-10</v>
      </c>
      <c r="F738" t="s">
        <v>13</v>
      </c>
      <c r="G738" t="s">
        <v>11</v>
      </c>
      <c r="H738">
        <v>0.02</v>
      </c>
      <c r="I738">
        <v>4.4999999999999998E-2</v>
      </c>
      <c r="J738" t="s">
        <v>10</v>
      </c>
      <c r="K738">
        <v>3.7999999999999999E-2</v>
      </c>
      <c r="L738">
        <v>1700</v>
      </c>
      <c r="M738">
        <v>3.4644000000000001E-2</v>
      </c>
      <c r="N738">
        <v>1732.1</v>
      </c>
      <c r="O738" t="s">
        <v>2833</v>
      </c>
      <c r="P738" t="s">
        <v>2833</v>
      </c>
      <c r="Q738" t="s">
        <v>2833</v>
      </c>
      <c r="R738">
        <f ca="1">RAND()*(Validation[[#This Row],[Range1_High]]-Validation[[#This Row],[Range1_Low]])+Validation[[#This Row],[Range1_Low]]</f>
        <v>9.2007027015175445E-5</v>
      </c>
      <c r="S738">
        <f>Validation[[#This Row],[Range2_High]]</f>
        <v>4.4999999999999998E-2</v>
      </c>
      <c r="T738" t="str" cm="1">
        <f t="array" aca="1" ref="T738" ca="1">RoundToTwoSigFigs(Validation[[#This Row],[Test Reading]]*Validation[[#This Row],[Mult]]+Validation[[#This Row],[Base]]) &amp;" "&amp;Validation[[#This Row],[Uncert_Units]]</f>
        <v>0.19 µA</v>
      </c>
      <c r="U7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µA</v>
      </c>
      <c r="V738" t="b">
        <f ca="1">Validation[[#This Row],[Desired Result]]=Validation[[#This Row],[Result]]</f>
        <v>1</v>
      </c>
      <c r="W738" t="b">
        <v>0</v>
      </c>
      <c r="X738" t="b">
        <f>Validation[[#This Row],[Range1_Low]]&gt;=Validation[[#This Row],[Range1_High]]</f>
        <v>0</v>
      </c>
      <c r="Y738" s="111" t="s">
        <v>2845</v>
      </c>
    </row>
    <row r="739" spans="1:25" ht="15.75" thickBot="1" x14ac:dyDescent="0.3">
      <c r="A739" t="s">
        <v>55</v>
      </c>
      <c r="B739" t="s">
        <v>47</v>
      </c>
      <c r="C739">
        <v>1E-3</v>
      </c>
      <c r="D739">
        <v>0.01</v>
      </c>
      <c r="E739">
        <v>1.0000000000000001E-5</v>
      </c>
      <c r="F739" t="s">
        <v>13</v>
      </c>
      <c r="G739" t="s">
        <v>11</v>
      </c>
      <c r="H739">
        <v>4.4999999999999998E-2</v>
      </c>
      <c r="I739">
        <v>0.1</v>
      </c>
      <c r="J739" t="s">
        <v>10</v>
      </c>
      <c r="K739">
        <v>6.0457999999999998</v>
      </c>
      <c r="L739">
        <v>494.17</v>
      </c>
      <c r="M739">
        <v>6.0251999999999999</v>
      </c>
      <c r="N739">
        <v>488.84</v>
      </c>
      <c r="O739" t="s">
        <v>2833</v>
      </c>
      <c r="P739" t="s">
        <v>2833</v>
      </c>
      <c r="Q739" t="s">
        <v>2833</v>
      </c>
      <c r="R739">
        <f ca="1">RAND()*(Validation[[#This Row],[Range1_High]]-Validation[[#This Row],[Range1_Low]])+Validation[[#This Row],[Range1_Low]]</f>
        <v>5.1842224117002195E-3</v>
      </c>
      <c r="S739">
        <f>Validation[[#This Row],[Range2_High]]</f>
        <v>0.1</v>
      </c>
      <c r="T739" t="str" cm="1">
        <f t="array" aca="1" ref="T739" ca="1">RoundToTwoSigFigs(Validation[[#This Row],[Test Reading]]*Validation[[#This Row],[Mult]]+Validation[[#This Row],[Base]]) &amp;" "&amp;Validation[[#This Row],[Uncert_Units]]</f>
        <v>8.6 µA</v>
      </c>
      <c r="U7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V739" t="b">
        <f ca="1">Validation[[#This Row],[Desired Result]]=Validation[[#This Row],[Result]]</f>
        <v>1</v>
      </c>
      <c r="W739" t="b">
        <v>0</v>
      </c>
      <c r="X739" t="b">
        <f>Validation[[#This Row],[Range1_Low]]&gt;=Validation[[#This Row],[Range1_High]]</f>
        <v>0</v>
      </c>
      <c r="Y739" s="111" t="s">
        <v>2845</v>
      </c>
    </row>
    <row r="740" spans="1:25" ht="16.5" thickTop="1" thickBot="1" x14ac:dyDescent="0.3">
      <c r="A740" t="s">
        <v>55</v>
      </c>
      <c r="B740" t="s">
        <v>47</v>
      </c>
      <c r="C740" s="113">
        <v>0.1</v>
      </c>
      <c r="D740" s="113">
        <v>1</v>
      </c>
      <c r="E740">
        <v>9.9999999999999995E-7</v>
      </c>
      <c r="F740" t="s">
        <v>13</v>
      </c>
      <c r="G740" t="s">
        <v>12</v>
      </c>
      <c r="H740">
        <v>1E-3</v>
      </c>
      <c r="I740">
        <v>0.02</v>
      </c>
      <c r="J740" t="s">
        <v>10</v>
      </c>
      <c r="K740">
        <v>0.25</v>
      </c>
      <c r="L740">
        <v>4.5999999999999996</v>
      </c>
      <c r="M740">
        <v>0.23096</v>
      </c>
      <c r="N740">
        <v>4.6188000000000002</v>
      </c>
      <c r="O740" t="s">
        <v>2833</v>
      </c>
      <c r="P740" t="s">
        <v>2833</v>
      </c>
      <c r="Q740" t="s">
        <v>2833</v>
      </c>
      <c r="R740">
        <f ca="1">RAND()*(Validation[[#This Row],[Range1_High]]-Validation[[#This Row],[Range1_Low]])+Validation[[#This Row],[Range1_Low]]</f>
        <v>0.94648960613025312</v>
      </c>
      <c r="S740">
        <f>Validation[[#This Row],[Range2_High]]</f>
        <v>0.02</v>
      </c>
      <c r="T740" t="str" cm="1">
        <f t="array" aca="1" ref="T740" ca="1">RoundToTwoSigFigs(Validation[[#This Row],[Test Reading]]*Validation[[#This Row],[Mult]]+Validation[[#This Row],[Base]]) &amp;" "&amp;Validation[[#This Row],[Uncert_Units]]</f>
        <v>4.6 mA</v>
      </c>
      <c r="U7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V740" t="b">
        <f ca="1">Validation[[#This Row],[Desired Result]]=Validation[[#This Row],[Result]]</f>
        <v>0</v>
      </c>
      <c r="W740" t="b">
        <v>1</v>
      </c>
      <c r="X740" t="b">
        <f>Validation[[#This Row],[Range1_Low]]&gt;=Validation[[#This Row],[Range1_High]]</f>
        <v>0</v>
      </c>
      <c r="Y740" s="111" t="s">
        <v>2843</v>
      </c>
    </row>
    <row r="741" spans="1:25" ht="15.75" thickTop="1" x14ac:dyDescent="0.25">
      <c r="A741" t="s">
        <v>55</v>
      </c>
      <c r="B741" t="s">
        <v>47</v>
      </c>
      <c r="C741">
        <v>0</v>
      </c>
      <c r="D741">
        <v>1E-4</v>
      </c>
      <c r="E741">
        <v>0.01</v>
      </c>
      <c r="F741" t="s">
        <v>13</v>
      </c>
      <c r="G741" t="s">
        <v>11</v>
      </c>
      <c r="H741">
        <v>4.4999999999999998E-2</v>
      </c>
      <c r="I741">
        <v>5</v>
      </c>
      <c r="J741" t="s">
        <v>10</v>
      </c>
      <c r="K741">
        <v>5773.6</v>
      </c>
      <c r="L741">
        <v>5.3657000000000003E-2</v>
      </c>
      <c r="M741">
        <v>5773.6</v>
      </c>
      <c r="N741">
        <v>1.7992000000000001E-2</v>
      </c>
      <c r="O741" t="s">
        <v>2833</v>
      </c>
      <c r="P741" t="s">
        <v>2833</v>
      </c>
      <c r="Q741" t="s">
        <v>2833</v>
      </c>
      <c r="R741">
        <f ca="1">RAND()*(Validation[[#This Row],[Range1_High]]-Validation[[#This Row],[Range1_Low]])+Validation[[#This Row],[Range1_Low]]</f>
        <v>2.4546004112387956E-5</v>
      </c>
      <c r="S741">
        <f>Validation[[#This Row],[Range2_High]]</f>
        <v>5</v>
      </c>
      <c r="T741" t="str" cm="1">
        <f t="array" aca="1" ref="T741" ca="1">RoundToTwoSigFigs(Validation[[#This Row],[Test Reading]]*Validation[[#This Row],[Mult]]+Validation[[#This Row],[Base]]) &amp;" "&amp;Validation[[#This Row],[Uncert_Units]]</f>
        <v>5800 µA</v>
      </c>
      <c r="U7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741" t="b">
        <f ca="1">Validation[[#This Row],[Desired Result]]=Validation[[#This Row],[Result]]</f>
        <v>1</v>
      </c>
      <c r="W741" t="b">
        <v>0</v>
      </c>
      <c r="X741" t="b">
        <f>Validation[[#This Row],[Range1_Low]]&gt;=Validation[[#This Row],[Range1_High]]</f>
        <v>0</v>
      </c>
      <c r="Y741" s="111" t="s">
        <v>2845</v>
      </c>
    </row>
    <row r="742" spans="1:25" x14ac:dyDescent="0.25">
      <c r="A742" t="s">
        <v>54</v>
      </c>
      <c r="B742" t="s">
        <v>47</v>
      </c>
      <c r="C742">
        <v>0</v>
      </c>
      <c r="D742">
        <v>3.3000999999999999E-4</v>
      </c>
      <c r="E742">
        <v>0.1</v>
      </c>
      <c r="F742" t="s">
        <v>13</v>
      </c>
      <c r="G742" t="s">
        <v>11</v>
      </c>
      <c r="H742">
        <v>30</v>
      </c>
      <c r="I742">
        <v>30.1</v>
      </c>
      <c r="J742" t="s">
        <v>10</v>
      </c>
      <c r="K742">
        <v>57736</v>
      </c>
      <c r="L742">
        <v>1.2390000000000001</v>
      </c>
      <c r="M742">
        <v>57735</v>
      </c>
      <c r="N742">
        <v>1.2090000000000001</v>
      </c>
      <c r="O742" t="s">
        <v>2833</v>
      </c>
      <c r="P742" t="s">
        <v>2833</v>
      </c>
      <c r="Q742" t="s">
        <v>2833</v>
      </c>
      <c r="R742">
        <f ca="1">RAND()*(Validation[[#This Row],[Range1_High]]-Validation[[#This Row],[Range1_Low]])+Validation[[#This Row],[Range1_Low]]</f>
        <v>3.2519761655016763E-4</v>
      </c>
      <c r="S742">
        <f>Validation[[#This Row],[Range2_High]]</f>
        <v>30.1</v>
      </c>
      <c r="T742" t="str" cm="1">
        <f t="array" aca="1" ref="T742" ca="1">RoundToTwoSigFigs(Validation[[#This Row],[Test Reading]]*Validation[[#This Row],[Mult]]+Validation[[#This Row],[Base]]) &amp;" "&amp;Validation[[#This Row],[Uncert_Units]]</f>
        <v>58000 µA</v>
      </c>
      <c r="U7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742" t="b">
        <f ca="1">Validation[[#This Row],[Desired Result]]=Validation[[#This Row],[Result]]</f>
        <v>1</v>
      </c>
      <c r="W742" t="b">
        <v>0</v>
      </c>
      <c r="X742" t="b">
        <f>Validation[[#This Row],[Range1_Low]]&gt;=Validation[[#This Row],[Range1_High]]</f>
        <v>0</v>
      </c>
      <c r="Y742" s="111" t="s">
        <v>2845</v>
      </c>
    </row>
    <row r="743" spans="1:25" ht="15.75" thickBot="1" x14ac:dyDescent="0.3">
      <c r="A743" t="s">
        <v>55</v>
      </c>
      <c r="B743" t="s">
        <v>47</v>
      </c>
      <c r="C743">
        <v>0</v>
      </c>
      <c r="D743">
        <v>1E-4</v>
      </c>
      <c r="E743">
        <v>0.1</v>
      </c>
      <c r="F743" t="s">
        <v>13</v>
      </c>
      <c r="G743" t="s">
        <v>11</v>
      </c>
      <c r="H743">
        <v>0.02</v>
      </c>
      <c r="I743">
        <v>4.4999999999999998E-2</v>
      </c>
      <c r="J743" t="s">
        <v>10</v>
      </c>
      <c r="K743">
        <v>57736</v>
      </c>
      <c r="L743">
        <v>2.1729999999999999E-2</v>
      </c>
      <c r="M743">
        <v>57736</v>
      </c>
      <c r="N743">
        <v>7.4637999999999996E-3</v>
      </c>
      <c r="O743" t="s">
        <v>2833</v>
      </c>
      <c r="P743" t="s">
        <v>2833</v>
      </c>
      <c r="Q743" t="s">
        <v>2833</v>
      </c>
      <c r="R743">
        <f ca="1">RAND()*(Validation[[#This Row],[Range1_High]]-Validation[[#This Row],[Range1_Low]])+Validation[[#This Row],[Range1_Low]]</f>
        <v>6.510101354500187E-5</v>
      </c>
      <c r="S743">
        <f>Validation[[#This Row],[Range2_High]]</f>
        <v>4.4999999999999998E-2</v>
      </c>
      <c r="T743" t="str" cm="1">
        <f t="array" aca="1" ref="T743" ca="1">RoundToTwoSigFigs(Validation[[#This Row],[Test Reading]]*Validation[[#This Row],[Mult]]+Validation[[#This Row],[Base]]) &amp;" "&amp;Validation[[#This Row],[Uncert_Units]]</f>
        <v>58000 µA</v>
      </c>
      <c r="U7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743" t="b">
        <f ca="1">Validation[[#This Row],[Desired Result]]=Validation[[#This Row],[Result]]</f>
        <v>1</v>
      </c>
      <c r="W743" t="b">
        <v>0</v>
      </c>
      <c r="X743" t="b">
        <f>Validation[[#This Row],[Range1_Low]]&gt;=Validation[[#This Row],[Range1_High]]</f>
        <v>0</v>
      </c>
      <c r="Y743" s="111" t="s">
        <v>2845</v>
      </c>
    </row>
    <row r="744" spans="1:25" ht="16.5" thickTop="1" thickBot="1" x14ac:dyDescent="0.3">
      <c r="A744" t="s">
        <v>54</v>
      </c>
      <c r="B744" t="s">
        <v>47</v>
      </c>
      <c r="C744" s="113">
        <v>0.33</v>
      </c>
      <c r="D744" s="113">
        <v>1.1000099999999999</v>
      </c>
      <c r="E744">
        <v>1.0000000000000001E-5</v>
      </c>
      <c r="F744" t="s">
        <v>13</v>
      </c>
      <c r="G744" t="s">
        <v>12</v>
      </c>
      <c r="H744">
        <v>4.4999999999999998E-2</v>
      </c>
      <c r="I744">
        <v>1.0000100000000001</v>
      </c>
      <c r="J744" t="s">
        <v>10</v>
      </c>
      <c r="K744">
        <v>0.12</v>
      </c>
      <c r="L744">
        <v>0.57999999999999996</v>
      </c>
      <c r="M744">
        <v>0.11734</v>
      </c>
      <c r="N744">
        <v>0.57738999999999996</v>
      </c>
      <c r="O744" t="s">
        <v>2833</v>
      </c>
      <c r="P744" t="s">
        <v>2833</v>
      </c>
      <c r="Q744" t="s">
        <v>2833</v>
      </c>
      <c r="R744">
        <f ca="1">RAND()*(Validation[[#This Row],[Range1_High]]-Validation[[#This Row],[Range1_Low]])+Validation[[#This Row],[Range1_Low]]</f>
        <v>0.8169541068910543</v>
      </c>
      <c r="S744">
        <f>Validation[[#This Row],[Range2_High]]</f>
        <v>1.0000100000000001</v>
      </c>
      <c r="T744" t="str" cm="1">
        <f t="array" aca="1" ref="T744" ca="1">RoundToTwoSigFigs(Validation[[#This Row],[Test Reading]]*Validation[[#This Row],[Mult]]+Validation[[#This Row],[Base]]) &amp;" "&amp;Validation[[#This Row],[Uncert_Units]]</f>
        <v>0.59 mA</v>
      </c>
      <c r="U7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V744" t="b">
        <f ca="1">Validation[[#This Row],[Desired Result]]=Validation[[#This Row],[Result]]</f>
        <v>1</v>
      </c>
      <c r="W744" t="b">
        <v>1</v>
      </c>
      <c r="X744" t="b">
        <f>Validation[[#This Row],[Range1_Low]]&gt;=Validation[[#This Row],[Range1_High]]</f>
        <v>0</v>
      </c>
      <c r="Y744" s="111" t="s">
        <v>2843</v>
      </c>
    </row>
    <row r="745" spans="1:25" ht="16.5" thickTop="1" thickBot="1" x14ac:dyDescent="0.3">
      <c r="A745" t="s">
        <v>55</v>
      </c>
      <c r="B745" t="s">
        <v>47</v>
      </c>
      <c r="C745" s="113">
        <v>0.1</v>
      </c>
      <c r="D745" s="113">
        <v>1</v>
      </c>
      <c r="E745">
        <v>1E-3</v>
      </c>
      <c r="F745" t="s">
        <v>13</v>
      </c>
      <c r="G745" t="s">
        <v>12</v>
      </c>
      <c r="H745">
        <v>20</v>
      </c>
      <c r="I745">
        <v>50</v>
      </c>
      <c r="J745" t="s">
        <v>10</v>
      </c>
      <c r="K745">
        <v>0.53612000000000004</v>
      </c>
      <c r="L745">
        <v>11.933999999999999</v>
      </c>
      <c r="M745">
        <v>0.5524</v>
      </c>
      <c r="N745">
        <v>11.696999999999999</v>
      </c>
      <c r="O745" t="s">
        <v>2833</v>
      </c>
      <c r="P745" t="s">
        <v>2833</v>
      </c>
      <c r="Q745" t="s">
        <v>2833</v>
      </c>
      <c r="R745">
        <f ca="1">RAND()*(Validation[[#This Row],[Range1_High]]-Validation[[#This Row],[Range1_Low]])+Validation[[#This Row],[Range1_Low]]</f>
        <v>0.92560054877181397</v>
      </c>
      <c r="S745">
        <f>Validation[[#This Row],[Range2_High]]</f>
        <v>50</v>
      </c>
      <c r="T745" t="str" cm="1">
        <f t="array" aca="1" ref="T745" ca="1">RoundToTwoSigFigs(Validation[[#This Row],[Test Reading]]*Validation[[#This Row],[Mult]]+Validation[[#This Row],[Base]]) &amp;" "&amp;Validation[[#This Row],[Uncert_Units]]</f>
        <v>12 mA</v>
      </c>
      <c r="U7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V745" t="b">
        <f ca="1">Validation[[#This Row],[Desired Result]]=Validation[[#This Row],[Result]]</f>
        <v>1</v>
      </c>
      <c r="W745" t="b">
        <v>1</v>
      </c>
      <c r="X745" t="b">
        <f>Validation[[#This Row],[Range1_Low]]&gt;=Validation[[#This Row],[Range1_High]]</f>
        <v>0</v>
      </c>
      <c r="Y745" s="111" t="s">
        <v>2843</v>
      </c>
    </row>
    <row r="746" spans="1:25" ht="16.5" thickTop="1" thickBot="1" x14ac:dyDescent="0.3">
      <c r="A746" t="s">
        <v>68</v>
      </c>
      <c r="B746" t="s">
        <v>47</v>
      </c>
      <c r="C746" s="113">
        <v>1E-4</v>
      </c>
      <c r="D746" s="113">
        <v>1.0399999999999999E-3</v>
      </c>
      <c r="E746">
        <v>9.9999999999999995E-8</v>
      </c>
      <c r="F746" t="s">
        <v>13</v>
      </c>
      <c r="G746" t="s">
        <v>11</v>
      </c>
      <c r="H746">
        <v>0.01</v>
      </c>
      <c r="I746">
        <v>2</v>
      </c>
      <c r="J746" t="s">
        <v>10</v>
      </c>
      <c r="K746">
        <v>0.97</v>
      </c>
      <c r="L746">
        <v>1191.5</v>
      </c>
      <c r="M746">
        <v>0.96691000000000005</v>
      </c>
      <c r="N746">
        <v>1191.3</v>
      </c>
      <c r="O746" t="s">
        <v>2833</v>
      </c>
      <c r="P746" t="s">
        <v>2833</v>
      </c>
      <c r="Q746" t="s">
        <v>2833</v>
      </c>
      <c r="R746">
        <f ca="1">RAND()*(Validation[[#This Row],[Range1_High]]-Validation[[#This Row],[Range1_Low]])+Validation[[#This Row],[Range1_Low]]</f>
        <v>7.3700218342717997E-4</v>
      </c>
      <c r="S746">
        <f>Validation[[#This Row],[Range2_High]]</f>
        <v>2</v>
      </c>
      <c r="T746" t="str" cm="1">
        <f t="array" aca="1" ref="T746" ca="1">RoundToTwoSigFigs(Validation[[#This Row],[Test Reading]]*Validation[[#This Row],[Mult]]+Validation[[#This Row],[Base]]) &amp;" "&amp;Validation[[#This Row],[Uncert_Units]]</f>
        <v>1.8 µA</v>
      </c>
      <c r="U7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V746" t="b">
        <f ca="1">Validation[[#This Row],[Desired Result]]=Validation[[#This Row],[Result]]</f>
        <v>1</v>
      </c>
      <c r="W746" t="b">
        <v>1</v>
      </c>
      <c r="X746" t="b">
        <f>Validation[[#This Row],[Range1_Low]]&gt;=Validation[[#This Row],[Range1_High]]</f>
        <v>0</v>
      </c>
      <c r="Y746" s="111" t="s">
        <v>2843</v>
      </c>
    </row>
    <row r="747" spans="1:25" ht="16.5" thickTop="1" thickBot="1" x14ac:dyDescent="0.3">
      <c r="A747" t="s">
        <v>54</v>
      </c>
      <c r="B747" t="s">
        <v>47</v>
      </c>
      <c r="C747">
        <v>0</v>
      </c>
      <c r="D747">
        <v>3.3000999999999999E-4</v>
      </c>
      <c r="E747">
        <v>1E-3</v>
      </c>
      <c r="F747" t="s">
        <v>13</v>
      </c>
      <c r="G747" t="s">
        <v>11</v>
      </c>
      <c r="H747">
        <v>5</v>
      </c>
      <c r="I747">
        <v>10.01</v>
      </c>
      <c r="J747" t="s">
        <v>10</v>
      </c>
      <c r="K747">
        <v>577.35</v>
      </c>
      <c r="L747">
        <v>30.413</v>
      </c>
      <c r="M747">
        <v>577.35</v>
      </c>
      <c r="N747">
        <v>30.225999999999999</v>
      </c>
      <c r="O747" t="s">
        <v>2833</v>
      </c>
      <c r="P747" t="s">
        <v>2833</v>
      </c>
      <c r="Q747" t="s">
        <v>2833</v>
      </c>
      <c r="R747">
        <f ca="1">RAND()*(Validation[[#This Row],[Range1_High]]-Validation[[#This Row],[Range1_Low]])+Validation[[#This Row],[Range1_Low]]</f>
        <v>3.9641601587460283E-5</v>
      </c>
      <c r="S747">
        <f>Validation[[#This Row],[Range2_High]]</f>
        <v>10.01</v>
      </c>
      <c r="T747" t="str" cm="1">
        <f t="array" aca="1" ref="T747" ca="1">RoundToTwoSigFigs(Validation[[#This Row],[Test Reading]]*Validation[[#This Row],[Mult]]+Validation[[#This Row],[Base]]) &amp;" "&amp;Validation[[#This Row],[Uncert_Units]]</f>
        <v>580 µA</v>
      </c>
      <c r="U7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747" t="b">
        <f ca="1">Validation[[#This Row],[Desired Result]]=Validation[[#This Row],[Result]]</f>
        <v>1</v>
      </c>
      <c r="W747" t="b">
        <v>0</v>
      </c>
      <c r="X747" t="b">
        <f>Validation[[#This Row],[Range1_Low]]&gt;=Validation[[#This Row],[Range1_High]]</f>
        <v>0</v>
      </c>
      <c r="Y747" s="111" t="s">
        <v>2845</v>
      </c>
    </row>
    <row r="748" spans="1:25" ht="16.5" thickTop="1" thickBot="1" x14ac:dyDescent="0.3">
      <c r="A748" t="s">
        <v>54</v>
      </c>
      <c r="B748" t="s">
        <v>47</v>
      </c>
      <c r="C748" s="113">
        <v>1.1000000000000001</v>
      </c>
      <c r="D748" s="113">
        <v>3.0009999999999999</v>
      </c>
      <c r="E748">
        <v>1E-3</v>
      </c>
      <c r="F748" t="s">
        <v>13</v>
      </c>
      <c r="G748" t="s">
        <v>12</v>
      </c>
      <c r="H748">
        <v>4.4999999999999998E-2</v>
      </c>
      <c r="I748">
        <v>1.0000100000000001</v>
      </c>
      <c r="J748" t="s">
        <v>10</v>
      </c>
      <c r="K748">
        <v>0.35192000000000001</v>
      </c>
      <c r="L748">
        <v>0.64234000000000002</v>
      </c>
      <c r="M748">
        <v>0.34550999999999998</v>
      </c>
      <c r="N748">
        <v>0.6421</v>
      </c>
      <c r="O748" t="s">
        <v>2833</v>
      </c>
      <c r="P748" t="s">
        <v>2833</v>
      </c>
      <c r="Q748" t="s">
        <v>2833</v>
      </c>
      <c r="R748">
        <f ca="1">RAND()*(Validation[[#This Row],[Range1_High]]-Validation[[#This Row],[Range1_Low]])+Validation[[#This Row],[Range1_Low]]</f>
        <v>2.3979513131677885</v>
      </c>
      <c r="S748">
        <f>Validation[[#This Row],[Range2_High]]</f>
        <v>1.0000100000000001</v>
      </c>
      <c r="T748" t="str" cm="1">
        <f t="array" aca="1" ref="T748" ca="1">RoundToTwoSigFigs(Validation[[#This Row],[Test Reading]]*Validation[[#This Row],[Mult]]+Validation[[#This Row],[Base]]) &amp;" "&amp;Validation[[#This Row],[Uncert_Units]]</f>
        <v>1.9 mA</v>
      </c>
      <c r="U7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V748" t="b">
        <f ca="1">Validation[[#This Row],[Desired Result]]=Validation[[#This Row],[Result]]</f>
        <v>0</v>
      </c>
      <c r="W748" t="b">
        <v>1</v>
      </c>
      <c r="X748" t="b">
        <f>Validation[[#This Row],[Range1_Low]]&gt;=Validation[[#This Row],[Range1_High]]</f>
        <v>0</v>
      </c>
      <c r="Y748" s="111" t="s">
        <v>2843</v>
      </c>
    </row>
    <row r="749" spans="1:25" ht="16.5" thickTop="1" thickBot="1" x14ac:dyDescent="0.3">
      <c r="A749" t="s">
        <v>55</v>
      </c>
      <c r="B749" t="s">
        <v>47</v>
      </c>
      <c r="C749">
        <v>0.01</v>
      </c>
      <c r="D749">
        <v>0.1</v>
      </c>
      <c r="E749">
        <v>1E-3</v>
      </c>
      <c r="F749" t="s">
        <v>13</v>
      </c>
      <c r="G749" t="s">
        <v>11</v>
      </c>
      <c r="H749">
        <v>1E-3</v>
      </c>
      <c r="I749">
        <v>0.02</v>
      </c>
      <c r="J749" t="s">
        <v>10</v>
      </c>
      <c r="K749">
        <v>562.38</v>
      </c>
      <c r="L749">
        <v>1919.1</v>
      </c>
      <c r="M749">
        <v>562.34</v>
      </c>
      <c r="N749">
        <v>1917.3</v>
      </c>
      <c r="O749" t="s">
        <v>2833</v>
      </c>
      <c r="P749" t="s">
        <v>2833</v>
      </c>
      <c r="Q749" t="s">
        <v>2833</v>
      </c>
      <c r="R749">
        <f ca="1">RAND()*(Validation[[#This Row],[Range1_High]]-Validation[[#This Row],[Range1_Low]])+Validation[[#This Row],[Range1_Low]]</f>
        <v>6.6593970802096877E-2</v>
      </c>
      <c r="S749">
        <f>Validation[[#This Row],[Range2_High]]</f>
        <v>0.02</v>
      </c>
      <c r="T749" t="str" cm="1">
        <f t="array" aca="1" ref="T749" ca="1">RoundToTwoSigFigs(Validation[[#This Row],[Test Reading]]*Validation[[#This Row],[Mult]]+Validation[[#This Row],[Base]]) &amp;" "&amp;Validation[[#This Row],[Uncert_Units]]</f>
        <v>690 µA</v>
      </c>
      <c r="U7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V749" t="b">
        <f ca="1">Validation[[#This Row],[Desired Result]]=Validation[[#This Row],[Result]]</f>
        <v>0</v>
      </c>
      <c r="W749" t="b">
        <v>1</v>
      </c>
      <c r="X749" t="b">
        <f>Validation[[#This Row],[Range1_Low]]&gt;=Validation[[#This Row],[Range1_High]]</f>
        <v>0</v>
      </c>
      <c r="Y749" s="111" t="s">
        <v>2845</v>
      </c>
    </row>
    <row r="750" spans="1:25" ht="16.5" thickTop="1" thickBot="1" x14ac:dyDescent="0.3">
      <c r="A750" t="s">
        <v>55</v>
      </c>
      <c r="B750" t="s">
        <v>47</v>
      </c>
      <c r="C750" s="113">
        <v>10</v>
      </c>
      <c r="D750" s="113">
        <v>20</v>
      </c>
      <c r="E750">
        <v>1E-4</v>
      </c>
      <c r="F750" t="s">
        <v>13</v>
      </c>
      <c r="G750" t="s">
        <v>12</v>
      </c>
      <c r="H750">
        <v>1E-3</v>
      </c>
      <c r="I750">
        <v>0.05</v>
      </c>
      <c r="J750" t="s">
        <v>10</v>
      </c>
      <c r="K750">
        <v>0.92</v>
      </c>
      <c r="L750">
        <v>0.49</v>
      </c>
      <c r="M750">
        <v>4.6379000000000001</v>
      </c>
      <c r="N750">
        <v>8.1758999999999998E-2</v>
      </c>
      <c r="O750" t="s">
        <v>2833</v>
      </c>
      <c r="P750" t="s">
        <v>2833</v>
      </c>
      <c r="Q750" t="s">
        <v>2833</v>
      </c>
      <c r="R750">
        <f ca="1">RAND()*(Validation[[#This Row],[Range1_High]]-Validation[[#This Row],[Range1_Low]])+Validation[[#This Row],[Range1_Low]]</f>
        <v>10.418076866363359</v>
      </c>
      <c r="S750">
        <f>Validation[[#This Row],[Range2_High]]</f>
        <v>0.05</v>
      </c>
      <c r="T750" t="str" cm="1">
        <f t="array" aca="1" ref="T750" ca="1">RoundToTwoSigFigs(Validation[[#This Row],[Test Reading]]*Validation[[#This Row],[Mult]]+Validation[[#This Row],[Base]]) &amp;" "&amp;Validation[[#This Row],[Uncert_Units]]</f>
        <v>6 mA</v>
      </c>
      <c r="U7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mA</v>
      </c>
      <c r="V750" t="b">
        <f ca="1">Validation[[#This Row],[Desired Result]]=Validation[[#This Row],[Result]]</f>
        <v>0</v>
      </c>
      <c r="W750" t="b">
        <v>1</v>
      </c>
      <c r="X750" t="b">
        <f>Validation[[#This Row],[Range1_Low]]&gt;=Validation[[#This Row],[Range1_High]]</f>
        <v>0</v>
      </c>
      <c r="Y750" s="111" t="s">
        <v>2843</v>
      </c>
    </row>
    <row r="751" spans="1:25" ht="15.75" thickTop="1" x14ac:dyDescent="0.25">
      <c r="A751" t="s">
        <v>54</v>
      </c>
      <c r="B751" t="s">
        <v>47</v>
      </c>
      <c r="C751">
        <v>0</v>
      </c>
      <c r="D751">
        <v>3.3000999999999999E-4</v>
      </c>
      <c r="E751">
        <v>1</v>
      </c>
      <c r="F751" t="s">
        <v>13</v>
      </c>
      <c r="G751" t="s">
        <v>11</v>
      </c>
      <c r="H751">
        <v>0.01</v>
      </c>
      <c r="I751">
        <v>2.001E-2</v>
      </c>
      <c r="J751" t="s">
        <v>10</v>
      </c>
      <c r="K751">
        <v>580260</v>
      </c>
      <c r="L751">
        <v>-8789600</v>
      </c>
      <c r="M751">
        <v>580000</v>
      </c>
      <c r="N751">
        <v>-8789600</v>
      </c>
      <c r="O751" t="s">
        <v>2833</v>
      </c>
      <c r="P751" t="s">
        <v>2833</v>
      </c>
      <c r="Q751" t="s">
        <v>2833</v>
      </c>
      <c r="R751">
        <f ca="1">RAND()*(Validation[[#This Row],[Range1_High]]-Validation[[#This Row],[Range1_Low]])+Validation[[#This Row],[Range1_Low]]</f>
        <v>4.5982948392950158E-6</v>
      </c>
      <c r="S751">
        <f>Validation[[#This Row],[Range2_High]]</f>
        <v>2.001E-2</v>
      </c>
      <c r="T751" t="str" cm="1">
        <f t="array" aca="1" ref="T751" ca="1">RoundToTwoSigFigs(Validation[[#This Row],[Test Reading]]*Validation[[#This Row],[Mult]]+Validation[[#This Row],[Base]]) &amp;" "&amp;Validation[[#This Row],[Uncert_Units]]</f>
        <v>580000 µA</v>
      </c>
      <c r="U7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751" t="b">
        <f ca="1">Validation[[#This Row],[Desired Result]]=Validation[[#This Row],[Result]]</f>
        <v>1</v>
      </c>
      <c r="W751" t="b">
        <v>0</v>
      </c>
      <c r="X751" t="b">
        <f>Validation[[#This Row],[Range1_Low]]&gt;=Validation[[#This Row],[Range1_High]]</f>
        <v>0</v>
      </c>
      <c r="Y751" s="111" t="s">
        <v>2845</v>
      </c>
    </row>
    <row r="752" spans="1:25" x14ac:dyDescent="0.25">
      <c r="A752" t="s">
        <v>54</v>
      </c>
      <c r="B752" t="s">
        <v>47</v>
      </c>
      <c r="C752">
        <v>3.3000000000000002E-2</v>
      </c>
      <c r="D752">
        <v>0.33001000000000003</v>
      </c>
      <c r="E752">
        <v>1.0000000000000001E-5</v>
      </c>
      <c r="F752" t="s">
        <v>13</v>
      </c>
      <c r="G752" t="s">
        <v>12</v>
      </c>
      <c r="H752">
        <v>30</v>
      </c>
      <c r="I752">
        <v>30.01</v>
      </c>
      <c r="J752" t="s">
        <v>10</v>
      </c>
      <c r="K752">
        <v>0.24</v>
      </c>
      <c r="L752">
        <v>4.5999999999999996</v>
      </c>
      <c r="M752">
        <v>0.23089999999999999</v>
      </c>
      <c r="N752">
        <v>4.6218000000000004</v>
      </c>
      <c r="O752" t="s">
        <v>2833</v>
      </c>
      <c r="P752" t="s">
        <v>2833</v>
      </c>
      <c r="Q752" t="s">
        <v>2833</v>
      </c>
      <c r="R752">
        <f ca="1">RAND()*(Validation[[#This Row],[Range1_High]]-Validation[[#This Row],[Range1_Low]])+Validation[[#This Row],[Range1_Low]]</f>
        <v>0.21069430895140137</v>
      </c>
      <c r="S752">
        <f>Validation[[#This Row],[Range2_High]]</f>
        <v>30.01</v>
      </c>
      <c r="T752" t="str" cm="1">
        <f t="array" aca="1" ref="T752" ca="1">RoundToTwoSigFigs(Validation[[#This Row],[Test Reading]]*Validation[[#This Row],[Mult]]+Validation[[#This Row],[Base]]) &amp;" "&amp;Validation[[#This Row],[Uncert_Units]]</f>
        <v>1.2 mA</v>
      </c>
      <c r="U7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V752" t="b">
        <f ca="1">Validation[[#This Row],[Desired Result]]=Validation[[#This Row],[Result]]</f>
        <v>1</v>
      </c>
      <c r="W752" t="b">
        <v>0</v>
      </c>
      <c r="X752" t="b">
        <f>Validation[[#This Row],[Range1_Low]]&gt;=Validation[[#This Row],[Range1_High]]</f>
        <v>0</v>
      </c>
      <c r="Y752" s="111" t="s">
        <v>2845</v>
      </c>
    </row>
    <row r="753" spans="1:25" ht="15.75" thickBot="1" x14ac:dyDescent="0.3">
      <c r="A753" t="s">
        <v>55</v>
      </c>
      <c r="B753" t="s">
        <v>47</v>
      </c>
      <c r="C753">
        <v>1E-3</v>
      </c>
      <c r="D753">
        <v>0.01</v>
      </c>
      <c r="E753">
        <v>1E-4</v>
      </c>
      <c r="F753" t="s">
        <v>13</v>
      </c>
      <c r="G753" t="s">
        <v>11</v>
      </c>
      <c r="H753">
        <v>50</v>
      </c>
      <c r="I753">
        <v>100</v>
      </c>
      <c r="J753" t="s">
        <v>10</v>
      </c>
      <c r="K753">
        <v>58.261000000000003</v>
      </c>
      <c r="L753">
        <v>4342.2</v>
      </c>
      <c r="M753">
        <v>58.146000000000001</v>
      </c>
      <c r="N753">
        <v>4318.8</v>
      </c>
      <c r="O753" t="s">
        <v>2833</v>
      </c>
      <c r="P753" t="s">
        <v>2833</v>
      </c>
      <c r="Q753" t="s">
        <v>2833</v>
      </c>
      <c r="R753">
        <f ca="1">RAND()*(Validation[[#This Row],[Range1_High]]-Validation[[#This Row],[Range1_Low]])+Validation[[#This Row],[Range1_Low]]</f>
        <v>3.5737952967607473E-3</v>
      </c>
      <c r="S753">
        <f>Validation[[#This Row],[Range2_High]]</f>
        <v>100</v>
      </c>
      <c r="T753" t="str" cm="1">
        <f t="array" aca="1" ref="T753" ca="1">RoundToTwoSigFigs(Validation[[#This Row],[Test Reading]]*Validation[[#This Row],[Mult]]+Validation[[#This Row],[Base]]) &amp;" "&amp;Validation[[#This Row],[Uncert_Units]]</f>
        <v>74 µA</v>
      </c>
      <c r="U7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µA</v>
      </c>
      <c r="V753" t="b">
        <f ca="1">Validation[[#This Row],[Desired Result]]=Validation[[#This Row],[Result]]</f>
        <v>1</v>
      </c>
      <c r="W753" t="b">
        <v>1</v>
      </c>
      <c r="X753" t="b">
        <f>Validation[[#This Row],[Range1_Low]]&gt;=Validation[[#This Row],[Range1_High]]</f>
        <v>0</v>
      </c>
      <c r="Y753" s="111" t="s">
        <v>2845</v>
      </c>
    </row>
    <row r="754" spans="1:25" ht="16.5" thickTop="1" thickBot="1" x14ac:dyDescent="0.3">
      <c r="A754" t="s">
        <v>55</v>
      </c>
      <c r="B754" t="s">
        <v>47</v>
      </c>
      <c r="C754" s="113">
        <v>1</v>
      </c>
      <c r="D754" s="113">
        <v>10</v>
      </c>
      <c r="E754">
        <v>1E-4</v>
      </c>
      <c r="F754" t="s">
        <v>13</v>
      </c>
      <c r="G754" t="s">
        <v>12</v>
      </c>
      <c r="H754">
        <v>1E-3</v>
      </c>
      <c r="I754">
        <v>0.05</v>
      </c>
      <c r="J754" t="s">
        <v>10</v>
      </c>
      <c r="K754">
        <v>0.55000000000000004</v>
      </c>
      <c r="L754">
        <v>0.12</v>
      </c>
      <c r="M754">
        <v>0.52375000000000005</v>
      </c>
      <c r="N754">
        <v>9.2860999999999999E-2</v>
      </c>
      <c r="O754" t="s">
        <v>2833</v>
      </c>
      <c r="P754" t="s">
        <v>2833</v>
      </c>
      <c r="Q754" t="s">
        <v>2833</v>
      </c>
      <c r="R754">
        <f ca="1">RAND()*(Validation[[#This Row],[Range1_High]]-Validation[[#This Row],[Range1_Low]])+Validation[[#This Row],[Range1_Low]]</f>
        <v>4.4572712236872558</v>
      </c>
      <c r="S754">
        <f>Validation[[#This Row],[Range2_High]]</f>
        <v>0.05</v>
      </c>
      <c r="T754" t="str" cm="1">
        <f t="array" aca="1" ref="T754" ca="1">RoundToTwoSigFigs(Validation[[#This Row],[Test Reading]]*Validation[[#This Row],[Mult]]+Validation[[#This Row],[Base]]) &amp;" "&amp;Validation[[#This Row],[Uncert_Units]]</f>
        <v>1.1 mA</v>
      </c>
      <c r="U7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V754" t="b">
        <f ca="1">Validation[[#This Row],[Desired Result]]=Validation[[#This Row],[Result]]</f>
        <v>1</v>
      </c>
      <c r="W754" t="b">
        <v>1</v>
      </c>
      <c r="X754" t="b">
        <f>Validation[[#This Row],[Range1_Low]]&gt;=Validation[[#This Row],[Range1_High]]</f>
        <v>0</v>
      </c>
      <c r="Y754" s="111" t="s">
        <v>2843</v>
      </c>
    </row>
    <row r="755" spans="1:25" ht="16.5" thickTop="1" thickBot="1" x14ac:dyDescent="0.3">
      <c r="A755" t="s">
        <v>54</v>
      </c>
      <c r="B755" t="s">
        <v>47</v>
      </c>
      <c r="C755" s="113">
        <v>3.3E-4</v>
      </c>
      <c r="D755" s="113">
        <v>3.3000999999999998E-3</v>
      </c>
      <c r="E755">
        <v>9.9999999999999995E-8</v>
      </c>
      <c r="F755" t="s">
        <v>13</v>
      </c>
      <c r="G755" t="s">
        <v>11</v>
      </c>
      <c r="H755">
        <v>1</v>
      </c>
      <c r="I755">
        <v>5.01</v>
      </c>
      <c r="J755" t="s">
        <v>10</v>
      </c>
      <c r="K755">
        <v>0.27</v>
      </c>
      <c r="L755">
        <v>2300</v>
      </c>
      <c r="M755">
        <v>0.23280000000000001</v>
      </c>
      <c r="N755">
        <v>2309.1999999999998</v>
      </c>
      <c r="O755" t="s">
        <v>2833</v>
      </c>
      <c r="P755" t="s">
        <v>2833</v>
      </c>
      <c r="Q755" t="s">
        <v>2833</v>
      </c>
      <c r="R755">
        <f ca="1">RAND()*(Validation[[#This Row],[Range1_High]]-Validation[[#This Row],[Range1_Low]])+Validation[[#This Row],[Range1_Low]]</f>
        <v>3.2232818765198451E-3</v>
      </c>
      <c r="S755">
        <f>Validation[[#This Row],[Range2_High]]</f>
        <v>5.01</v>
      </c>
      <c r="T755" t="str" cm="1">
        <f t="array" aca="1" ref="T755" ca="1">RoundToTwoSigFigs(Validation[[#This Row],[Test Reading]]*Validation[[#This Row],[Mult]]+Validation[[#This Row],[Base]]) &amp;" "&amp;Validation[[#This Row],[Uncert_Units]]</f>
        <v>7.7 µA</v>
      </c>
      <c r="U7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V755" t="b">
        <f ca="1">Validation[[#This Row],[Desired Result]]=Validation[[#This Row],[Result]]</f>
        <v>1</v>
      </c>
      <c r="W755" t="b">
        <v>1</v>
      </c>
      <c r="X755" t="b">
        <f>Validation[[#This Row],[Range1_Low]]&gt;=Validation[[#This Row],[Range1_High]]</f>
        <v>0</v>
      </c>
      <c r="Y755" s="111" t="s">
        <v>2843</v>
      </c>
    </row>
    <row r="756" spans="1:25" ht="15.75" thickTop="1" x14ac:dyDescent="0.25">
      <c r="A756" t="s">
        <v>54</v>
      </c>
      <c r="B756" t="s">
        <v>47</v>
      </c>
      <c r="C756">
        <v>0</v>
      </c>
      <c r="D756">
        <v>3.3000999999999999E-4</v>
      </c>
      <c r="E756">
        <v>1</v>
      </c>
      <c r="F756" t="s">
        <v>13</v>
      </c>
      <c r="G756" t="s">
        <v>11</v>
      </c>
      <c r="H756">
        <v>30</v>
      </c>
      <c r="I756">
        <v>30.1</v>
      </c>
      <c r="J756" t="s">
        <v>10</v>
      </c>
      <c r="K756">
        <v>577360</v>
      </c>
      <c r="L756">
        <v>0.13289999999999999</v>
      </c>
      <c r="M756">
        <v>577360</v>
      </c>
      <c r="N756">
        <v>0.12089999999999999</v>
      </c>
      <c r="O756" t="s">
        <v>2833</v>
      </c>
      <c r="P756" t="s">
        <v>2833</v>
      </c>
      <c r="Q756" t="s">
        <v>2833</v>
      </c>
      <c r="R756">
        <f ca="1">RAND()*(Validation[[#This Row],[Range1_High]]-Validation[[#This Row],[Range1_Low]])+Validation[[#This Row],[Range1_Low]]</f>
        <v>2.0974870205266784E-4</v>
      </c>
      <c r="S756">
        <f>Validation[[#This Row],[Range2_High]]</f>
        <v>30.1</v>
      </c>
      <c r="T756" t="str" cm="1">
        <f t="array" aca="1" ref="T756" ca="1">RoundToTwoSigFigs(Validation[[#This Row],[Test Reading]]*Validation[[#This Row],[Mult]]+Validation[[#This Row],[Base]]) &amp;" "&amp;Validation[[#This Row],[Uncert_Units]]</f>
        <v>580000 µA</v>
      </c>
      <c r="U7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756" t="b">
        <f ca="1">Validation[[#This Row],[Desired Result]]=Validation[[#This Row],[Result]]</f>
        <v>1</v>
      </c>
      <c r="W756" t="b">
        <v>0</v>
      </c>
      <c r="X756" t="b">
        <f>Validation[[#This Row],[Range1_Low]]&gt;=Validation[[#This Row],[Range1_High]]</f>
        <v>0</v>
      </c>
      <c r="Y756" s="111" t="s">
        <v>2845</v>
      </c>
    </row>
    <row r="757" spans="1:25" x14ac:dyDescent="0.25">
      <c r="A757" t="s">
        <v>55</v>
      </c>
      <c r="B757" t="s">
        <v>47</v>
      </c>
      <c r="C757">
        <v>1E-3</v>
      </c>
      <c r="D757">
        <v>0.01</v>
      </c>
      <c r="E757">
        <v>1.0000000000000001E-5</v>
      </c>
      <c r="F757" t="s">
        <v>13</v>
      </c>
      <c r="G757" t="s">
        <v>11</v>
      </c>
      <c r="H757">
        <v>1E-3</v>
      </c>
      <c r="I757">
        <v>0.02</v>
      </c>
      <c r="J757" t="s">
        <v>10</v>
      </c>
      <c r="K757">
        <v>4.6177000000000001</v>
      </c>
      <c r="L757">
        <v>4424.3</v>
      </c>
      <c r="M757">
        <v>4.5991</v>
      </c>
      <c r="N757">
        <v>4424.5</v>
      </c>
      <c r="O757" t="s">
        <v>2833</v>
      </c>
      <c r="P757" t="s">
        <v>2833</v>
      </c>
      <c r="Q757" t="s">
        <v>2833</v>
      </c>
      <c r="R757">
        <f ca="1">RAND()*(Validation[[#This Row],[Range1_High]]-Validation[[#This Row],[Range1_Low]])+Validation[[#This Row],[Range1_Low]]</f>
        <v>4.7638853320858109E-3</v>
      </c>
      <c r="S757">
        <f>Validation[[#This Row],[Range2_High]]</f>
        <v>0.02</v>
      </c>
      <c r="T757" t="str" cm="1">
        <f t="array" aca="1" ref="T757" ca="1">RoundToTwoSigFigs(Validation[[#This Row],[Test Reading]]*Validation[[#This Row],[Mult]]+Validation[[#This Row],[Base]]) &amp;" "&amp;Validation[[#This Row],[Uncert_Units]]</f>
        <v>26 µA</v>
      </c>
      <c r="U7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V757" t="b">
        <f ca="1">Validation[[#This Row],[Desired Result]]=Validation[[#This Row],[Result]]</f>
        <v>1</v>
      </c>
      <c r="W757" t="b">
        <v>0</v>
      </c>
      <c r="X757" t="b">
        <f>Validation[[#This Row],[Range1_Low]]&gt;=Validation[[#This Row],[Range1_High]]</f>
        <v>0</v>
      </c>
      <c r="Y757" s="111" t="s">
        <v>2845</v>
      </c>
    </row>
    <row r="758" spans="1:25" x14ac:dyDescent="0.25">
      <c r="A758" t="s">
        <v>54</v>
      </c>
      <c r="B758" t="s">
        <v>47</v>
      </c>
      <c r="C758">
        <v>3.3E-4</v>
      </c>
      <c r="D758">
        <v>3.3000999999999998E-3</v>
      </c>
      <c r="E758">
        <v>1E-4</v>
      </c>
      <c r="F758" t="s">
        <v>13</v>
      </c>
      <c r="G758" t="s">
        <v>11</v>
      </c>
      <c r="H758">
        <v>0.02</v>
      </c>
      <c r="I758">
        <v>4.5010000000000001E-2</v>
      </c>
      <c r="J758" t="s">
        <v>10</v>
      </c>
      <c r="K758">
        <v>57.716000000000001</v>
      </c>
      <c r="L758">
        <v>69.766000000000005</v>
      </c>
      <c r="M758">
        <v>57.716000000000001</v>
      </c>
      <c r="N758">
        <v>69.734999999999999</v>
      </c>
      <c r="O758" t="s">
        <v>2833</v>
      </c>
      <c r="P758" t="s">
        <v>2833</v>
      </c>
      <c r="Q758" t="s">
        <v>2833</v>
      </c>
      <c r="R758">
        <f ca="1">RAND()*(Validation[[#This Row],[Range1_High]]-Validation[[#This Row],[Range1_Low]])+Validation[[#This Row],[Range1_Low]]</f>
        <v>1.3301725680025126E-3</v>
      </c>
      <c r="S758">
        <f>Validation[[#This Row],[Range2_High]]</f>
        <v>4.5010000000000001E-2</v>
      </c>
      <c r="T758" t="str" cm="1">
        <f t="array" aca="1" ref="T758" ca="1">RoundToTwoSigFigs(Validation[[#This Row],[Test Reading]]*Validation[[#This Row],[Mult]]+Validation[[#This Row],[Base]]) &amp;" "&amp;Validation[[#This Row],[Uncert_Units]]</f>
        <v>58 µA</v>
      </c>
      <c r="U7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758" t="b">
        <f ca="1">Validation[[#This Row],[Desired Result]]=Validation[[#This Row],[Result]]</f>
        <v>1</v>
      </c>
      <c r="W758" t="b">
        <v>0</v>
      </c>
      <c r="X758" t="b">
        <f>Validation[[#This Row],[Range1_Low]]&gt;=Validation[[#This Row],[Range1_High]]</f>
        <v>0</v>
      </c>
      <c r="Y758" s="111" t="s">
        <v>2845</v>
      </c>
    </row>
    <row r="759" spans="1:25" ht="15.75" thickBot="1" x14ac:dyDescent="0.3">
      <c r="A759" t="s">
        <v>55</v>
      </c>
      <c r="B759" t="s">
        <v>47</v>
      </c>
      <c r="C759">
        <v>1E-4</v>
      </c>
      <c r="D759">
        <v>1E-3</v>
      </c>
      <c r="E759">
        <v>9.9999999999999995E-8</v>
      </c>
      <c r="F759" t="s">
        <v>13</v>
      </c>
      <c r="G759" t="s">
        <v>11</v>
      </c>
      <c r="H759">
        <v>5</v>
      </c>
      <c r="I759">
        <v>20</v>
      </c>
      <c r="J759" t="s">
        <v>10</v>
      </c>
      <c r="K759">
        <v>0.60309999999999997</v>
      </c>
      <c r="L759">
        <v>511.67</v>
      </c>
      <c r="M759">
        <v>0.60272000000000003</v>
      </c>
      <c r="N759">
        <v>509.95</v>
      </c>
      <c r="O759" t="s">
        <v>2833</v>
      </c>
      <c r="P759" t="s">
        <v>2833</v>
      </c>
      <c r="Q759" t="s">
        <v>2833</v>
      </c>
      <c r="R759">
        <f ca="1">RAND()*(Validation[[#This Row],[Range1_High]]-Validation[[#This Row],[Range1_Low]])+Validation[[#This Row],[Range1_Low]]</f>
        <v>6.1819641317163059E-4</v>
      </c>
      <c r="S759">
        <f>Validation[[#This Row],[Range2_High]]</f>
        <v>20</v>
      </c>
      <c r="T759" t="str" cm="1">
        <f t="array" aca="1" ref="T759" ca="1">RoundToTwoSigFigs(Validation[[#This Row],[Test Reading]]*Validation[[#This Row],[Mult]]+Validation[[#This Row],[Base]]) &amp;" "&amp;Validation[[#This Row],[Uncert_Units]]</f>
        <v>0.92 µA</v>
      </c>
      <c r="U7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V759" t="b">
        <f ca="1">Validation[[#This Row],[Desired Result]]=Validation[[#This Row],[Result]]</f>
        <v>0</v>
      </c>
      <c r="W759" t="b">
        <v>1</v>
      </c>
      <c r="X759" t="b">
        <f>Validation[[#This Row],[Range1_Low]]&gt;=Validation[[#This Row],[Range1_High]]</f>
        <v>0</v>
      </c>
      <c r="Y759" s="111" t="s">
        <v>2845</v>
      </c>
    </row>
    <row r="760" spans="1:25" ht="16.5" thickTop="1" thickBot="1" x14ac:dyDescent="0.3">
      <c r="A760" t="s">
        <v>55</v>
      </c>
      <c r="B760" t="s">
        <v>47</v>
      </c>
      <c r="C760" s="113">
        <v>1E-3</v>
      </c>
      <c r="D760" s="113">
        <v>0.01</v>
      </c>
      <c r="E760">
        <v>9.9999999999999995E-8</v>
      </c>
      <c r="F760" t="s">
        <v>13</v>
      </c>
      <c r="G760" t="s">
        <v>11</v>
      </c>
      <c r="H760">
        <v>20</v>
      </c>
      <c r="I760">
        <v>50</v>
      </c>
      <c r="J760" t="s">
        <v>10</v>
      </c>
      <c r="K760">
        <v>5.0999999999999996</v>
      </c>
      <c r="L760">
        <v>4739.1000000000004</v>
      </c>
      <c r="M760">
        <v>4.5721999999999996</v>
      </c>
      <c r="N760">
        <v>4747.8999999999996</v>
      </c>
      <c r="O760" t="s">
        <v>2833</v>
      </c>
      <c r="P760" t="s">
        <v>2833</v>
      </c>
      <c r="Q760" t="s">
        <v>2833</v>
      </c>
      <c r="R760">
        <f ca="1">RAND()*(Validation[[#This Row],[Range1_High]]-Validation[[#This Row],[Range1_Low]])+Validation[[#This Row],[Range1_Low]]</f>
        <v>6.5235979691212996E-3</v>
      </c>
      <c r="S760">
        <f>Validation[[#This Row],[Range2_High]]</f>
        <v>50</v>
      </c>
      <c r="T760" t="str" cm="1">
        <f t="array" aca="1" ref="T760" ca="1">RoundToTwoSigFigs(Validation[[#This Row],[Test Reading]]*Validation[[#This Row],[Mult]]+Validation[[#This Row],[Base]]) &amp;" "&amp;Validation[[#This Row],[Uncert_Units]]</f>
        <v>36 µA</v>
      </c>
      <c r="U7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V760" t="b">
        <f ca="1">Validation[[#This Row],[Desired Result]]=Validation[[#This Row],[Result]]</f>
        <v>1</v>
      </c>
      <c r="W760" t="b">
        <v>1</v>
      </c>
      <c r="X760" t="b">
        <f>Validation[[#This Row],[Range1_Low]]&gt;=Validation[[#This Row],[Range1_High]]</f>
        <v>0</v>
      </c>
      <c r="Y760" s="111" t="s">
        <v>2843</v>
      </c>
    </row>
    <row r="761" spans="1:25" ht="15.75" thickTop="1" x14ac:dyDescent="0.25">
      <c r="A761" t="s">
        <v>68</v>
      </c>
      <c r="B761" t="s">
        <v>47</v>
      </c>
      <c r="C761">
        <v>0.1</v>
      </c>
      <c r="D761">
        <v>1.04</v>
      </c>
      <c r="E761">
        <v>0.1</v>
      </c>
      <c r="F761" t="s">
        <v>13</v>
      </c>
      <c r="G761" t="s">
        <v>12</v>
      </c>
      <c r="H761">
        <v>0.01</v>
      </c>
      <c r="I761">
        <v>2</v>
      </c>
      <c r="J761" t="s">
        <v>10</v>
      </c>
      <c r="K761">
        <v>57.947000000000003</v>
      </c>
      <c r="L761">
        <v>0.32961000000000001</v>
      </c>
      <c r="M761">
        <v>57.91</v>
      </c>
      <c r="N761">
        <v>0.32873000000000002</v>
      </c>
      <c r="O761" t="s">
        <v>2833</v>
      </c>
      <c r="P761" t="s">
        <v>2833</v>
      </c>
      <c r="Q761" t="s">
        <v>2833</v>
      </c>
      <c r="R761">
        <f ca="1">RAND()*(Validation[[#This Row],[Range1_High]]-Validation[[#This Row],[Range1_Low]])+Validation[[#This Row],[Range1_Low]]</f>
        <v>0.20819158688106004</v>
      </c>
      <c r="S761">
        <f>Validation[[#This Row],[Range2_High]]</f>
        <v>2</v>
      </c>
      <c r="T761" t="str" cm="1">
        <f t="array" aca="1" ref="T761" ca="1">RoundToTwoSigFigs(Validation[[#This Row],[Test Reading]]*Validation[[#This Row],[Mult]]+Validation[[#This Row],[Base]]) &amp;" "&amp;Validation[[#This Row],[Uncert_Units]]</f>
        <v>58 mA</v>
      </c>
      <c r="U7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761" t="b">
        <f ca="1">Validation[[#This Row],[Desired Result]]=Validation[[#This Row],[Result]]</f>
        <v>1</v>
      </c>
      <c r="W761" t="b">
        <v>0</v>
      </c>
      <c r="X761" t="b">
        <f>Validation[[#This Row],[Range1_Low]]&gt;=Validation[[#This Row],[Range1_High]]</f>
        <v>0</v>
      </c>
      <c r="Y761" s="111" t="s">
        <v>2845</v>
      </c>
    </row>
    <row r="762" spans="1:25" ht="15.75" thickBot="1" x14ac:dyDescent="0.3">
      <c r="A762" t="s">
        <v>54</v>
      </c>
      <c r="B762" t="s">
        <v>47</v>
      </c>
      <c r="C762">
        <v>0</v>
      </c>
      <c r="D762">
        <v>3.3000999999999999E-4</v>
      </c>
      <c r="E762">
        <v>1</v>
      </c>
      <c r="F762" t="s">
        <v>13</v>
      </c>
      <c r="G762" t="s">
        <v>11</v>
      </c>
      <c r="H762">
        <v>1</v>
      </c>
      <c r="I762">
        <v>5.01</v>
      </c>
      <c r="J762" t="s">
        <v>10</v>
      </c>
      <c r="K762">
        <v>577360</v>
      </c>
      <c r="L762">
        <v>1.0390999999999999E-2</v>
      </c>
      <c r="M762">
        <v>577360</v>
      </c>
      <c r="N762">
        <v>4.7702999999999999E-3</v>
      </c>
      <c r="O762" t="s">
        <v>2833</v>
      </c>
      <c r="P762" t="s">
        <v>2833</v>
      </c>
      <c r="Q762" t="s">
        <v>2833</v>
      </c>
      <c r="R762">
        <f ca="1">RAND()*(Validation[[#This Row],[Range1_High]]-Validation[[#This Row],[Range1_Low]])+Validation[[#This Row],[Range1_Low]]</f>
        <v>2.4465479946296509E-4</v>
      </c>
      <c r="S762">
        <f>Validation[[#This Row],[Range2_High]]</f>
        <v>5.01</v>
      </c>
      <c r="T762" t="str" cm="1">
        <f t="array" aca="1" ref="T762" ca="1">RoundToTwoSigFigs(Validation[[#This Row],[Test Reading]]*Validation[[#This Row],[Mult]]+Validation[[#This Row],[Base]]) &amp;" "&amp;Validation[[#This Row],[Uncert_Units]]</f>
        <v>580000 µA</v>
      </c>
      <c r="U7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762" t="b">
        <f ca="1">Validation[[#This Row],[Desired Result]]=Validation[[#This Row],[Result]]</f>
        <v>1</v>
      </c>
      <c r="W762" t="b">
        <v>0</v>
      </c>
      <c r="X762" t="b">
        <f>Validation[[#This Row],[Range1_Low]]&gt;=Validation[[#This Row],[Range1_High]]</f>
        <v>0</v>
      </c>
      <c r="Y762" s="111" t="s">
        <v>2845</v>
      </c>
    </row>
    <row r="763" spans="1:25" ht="16.5" thickTop="1" thickBot="1" x14ac:dyDescent="0.3">
      <c r="A763" t="s">
        <v>55</v>
      </c>
      <c r="B763" t="s">
        <v>47</v>
      </c>
      <c r="C763" s="113">
        <v>1E-4</v>
      </c>
      <c r="D763" s="113">
        <v>1E-3</v>
      </c>
      <c r="E763">
        <v>1E-10</v>
      </c>
      <c r="F763" t="s">
        <v>13</v>
      </c>
      <c r="G763" t="s">
        <v>11</v>
      </c>
      <c r="H763">
        <v>4.4999999999999998E-2</v>
      </c>
      <c r="I763">
        <v>0.1</v>
      </c>
      <c r="J763" t="s">
        <v>10</v>
      </c>
      <c r="K763">
        <v>0.24</v>
      </c>
      <c r="L763">
        <v>690</v>
      </c>
      <c r="M763">
        <v>0.23094000000000001</v>
      </c>
      <c r="N763">
        <v>693.02</v>
      </c>
      <c r="O763" t="s">
        <v>2833</v>
      </c>
      <c r="P763" t="s">
        <v>2833</v>
      </c>
      <c r="Q763" t="s">
        <v>2833</v>
      </c>
      <c r="R763">
        <f ca="1">RAND()*(Validation[[#This Row],[Range1_High]]-Validation[[#This Row],[Range1_Low]])+Validation[[#This Row],[Range1_Low]]</f>
        <v>9.6804275804833495E-4</v>
      </c>
      <c r="S763">
        <f>Validation[[#This Row],[Range2_High]]</f>
        <v>0.1</v>
      </c>
      <c r="T763" t="str" cm="1">
        <f t="array" aca="1" ref="T763" ca="1">RoundToTwoSigFigs(Validation[[#This Row],[Test Reading]]*Validation[[#This Row],[Mult]]+Validation[[#This Row],[Base]]) &amp;" "&amp;Validation[[#This Row],[Uncert_Units]]</f>
        <v>0.91 µA</v>
      </c>
      <c r="U7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µA</v>
      </c>
      <c r="V763" t="b">
        <f ca="1">Validation[[#This Row],[Desired Result]]=Validation[[#This Row],[Result]]</f>
        <v>1</v>
      </c>
      <c r="W763" t="b">
        <v>1</v>
      </c>
      <c r="X763" t="b">
        <f>Validation[[#This Row],[Range1_Low]]&gt;=Validation[[#This Row],[Range1_High]]</f>
        <v>0</v>
      </c>
      <c r="Y763" s="111" t="s">
        <v>2843</v>
      </c>
    </row>
    <row r="764" spans="1:25" ht="16.5" thickTop="1" thickBot="1" x14ac:dyDescent="0.3">
      <c r="A764" t="s">
        <v>54</v>
      </c>
      <c r="B764" t="s">
        <v>47</v>
      </c>
      <c r="C764" s="113">
        <v>0.33</v>
      </c>
      <c r="D764" s="113">
        <v>1.1000099999999999</v>
      </c>
      <c r="E764">
        <v>1E-4</v>
      </c>
      <c r="F764" t="s">
        <v>13</v>
      </c>
      <c r="G764" t="s">
        <v>12</v>
      </c>
      <c r="H764">
        <v>1</v>
      </c>
      <c r="I764">
        <v>5.01</v>
      </c>
      <c r="J764" t="s">
        <v>10</v>
      </c>
      <c r="K764">
        <v>1.2</v>
      </c>
      <c r="L764">
        <v>6.9</v>
      </c>
      <c r="M764">
        <v>1.1555</v>
      </c>
      <c r="N764">
        <v>6.9278000000000004</v>
      </c>
      <c r="O764" t="s">
        <v>2833</v>
      </c>
      <c r="P764" t="s">
        <v>2833</v>
      </c>
      <c r="Q764" t="s">
        <v>2833</v>
      </c>
      <c r="R764">
        <f ca="1">RAND()*(Validation[[#This Row],[Range1_High]]-Validation[[#This Row],[Range1_Low]])+Validation[[#This Row],[Range1_Low]]</f>
        <v>1.0473578372150192</v>
      </c>
      <c r="S764">
        <f>Validation[[#This Row],[Range2_High]]</f>
        <v>5.01</v>
      </c>
      <c r="T764" t="str" cm="1">
        <f t="array" aca="1" ref="T764" ca="1">RoundToTwoSigFigs(Validation[[#This Row],[Test Reading]]*Validation[[#This Row],[Mult]]+Validation[[#This Row],[Base]]) &amp;" "&amp;Validation[[#This Row],[Uncert_Units]]</f>
        <v>8.4 mA</v>
      </c>
      <c r="U7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V764" t="b">
        <f ca="1">Validation[[#This Row],[Desired Result]]=Validation[[#This Row],[Result]]</f>
        <v>1</v>
      </c>
      <c r="W764" t="b">
        <v>1</v>
      </c>
      <c r="X764" t="b">
        <f>Validation[[#This Row],[Range1_Low]]&gt;=Validation[[#This Row],[Range1_High]]</f>
        <v>0</v>
      </c>
      <c r="Y764" s="111" t="s">
        <v>2843</v>
      </c>
    </row>
    <row r="765" spans="1:25" ht="16.5" thickTop="1" thickBot="1" x14ac:dyDescent="0.3">
      <c r="A765" t="s">
        <v>54</v>
      </c>
      <c r="B765" t="s">
        <v>47</v>
      </c>
      <c r="C765">
        <v>0</v>
      </c>
      <c r="D765">
        <v>3.3000999999999999E-4</v>
      </c>
      <c r="E765">
        <v>1E-3</v>
      </c>
      <c r="F765" t="s">
        <v>13</v>
      </c>
      <c r="G765" t="s">
        <v>11</v>
      </c>
      <c r="H765">
        <v>10</v>
      </c>
      <c r="I765">
        <v>30</v>
      </c>
      <c r="J765" t="s">
        <v>10</v>
      </c>
      <c r="K765">
        <v>577.35</v>
      </c>
      <c r="L765">
        <v>121.09</v>
      </c>
      <c r="M765">
        <v>577.32000000000005</v>
      </c>
      <c r="N765">
        <v>120.9</v>
      </c>
      <c r="O765" t="s">
        <v>2833</v>
      </c>
      <c r="P765" t="s">
        <v>2833</v>
      </c>
      <c r="Q765" t="s">
        <v>2833</v>
      </c>
      <c r="R765">
        <f ca="1">RAND()*(Validation[[#This Row],[Range1_High]]-Validation[[#This Row],[Range1_Low]])+Validation[[#This Row],[Range1_Low]]</f>
        <v>1.6241567101721739E-4</v>
      </c>
      <c r="S765">
        <f>Validation[[#This Row],[Range2_High]]</f>
        <v>30</v>
      </c>
      <c r="T765" t="str" cm="1">
        <f t="array" aca="1" ref="T765" ca="1">RoundToTwoSigFigs(Validation[[#This Row],[Test Reading]]*Validation[[#This Row],[Mult]]+Validation[[#This Row],[Base]]) &amp;" "&amp;Validation[[#This Row],[Uncert_Units]]</f>
        <v>580 µA</v>
      </c>
      <c r="U7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765" t="b">
        <f ca="1">Validation[[#This Row],[Desired Result]]=Validation[[#This Row],[Result]]</f>
        <v>1</v>
      </c>
      <c r="W765" t="b">
        <v>0</v>
      </c>
      <c r="X765" t="b">
        <f>Validation[[#This Row],[Range1_Low]]&gt;=Validation[[#This Row],[Range1_High]]</f>
        <v>0</v>
      </c>
      <c r="Y765" s="111" t="s">
        <v>2845</v>
      </c>
    </row>
    <row r="766" spans="1:25" ht="16.5" thickTop="1" thickBot="1" x14ac:dyDescent="0.3">
      <c r="A766" t="s">
        <v>68</v>
      </c>
      <c r="B766" t="s">
        <v>47</v>
      </c>
      <c r="C766" s="113">
        <v>0.01</v>
      </c>
      <c r="D766" s="113">
        <v>0.104</v>
      </c>
      <c r="E766">
        <v>1E-3</v>
      </c>
      <c r="F766" t="s">
        <v>13</v>
      </c>
      <c r="G766" t="s">
        <v>11</v>
      </c>
      <c r="H766">
        <v>0.01</v>
      </c>
      <c r="I766">
        <v>2</v>
      </c>
      <c r="J766" t="s">
        <v>10</v>
      </c>
      <c r="K766">
        <v>583.96</v>
      </c>
      <c r="L766">
        <v>353.65</v>
      </c>
      <c r="M766">
        <v>583.98</v>
      </c>
      <c r="N766">
        <v>351.6</v>
      </c>
      <c r="O766" t="s">
        <v>2833</v>
      </c>
      <c r="P766" t="s">
        <v>2833</v>
      </c>
      <c r="Q766" t="s">
        <v>2833</v>
      </c>
      <c r="R766">
        <f ca="1">RAND()*(Validation[[#This Row],[Range1_High]]-Validation[[#This Row],[Range1_Low]])+Validation[[#This Row],[Range1_Low]]</f>
        <v>5.2238207121212174E-2</v>
      </c>
      <c r="S766">
        <f>Validation[[#This Row],[Range2_High]]</f>
        <v>2</v>
      </c>
      <c r="T766" t="str" cm="1">
        <f t="array" aca="1" ref="T766" ca="1">RoundToTwoSigFigs(Validation[[#This Row],[Test Reading]]*Validation[[#This Row],[Mult]]+Validation[[#This Row],[Base]]) &amp;" "&amp;Validation[[#This Row],[Uncert_Units]]</f>
        <v>600 µA</v>
      </c>
      <c r="U7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V766" t="b">
        <f ca="1">Validation[[#This Row],[Desired Result]]=Validation[[#This Row],[Result]]</f>
        <v>1</v>
      </c>
      <c r="W766" t="b">
        <v>1</v>
      </c>
      <c r="X766" t="b">
        <f>Validation[[#This Row],[Range1_Low]]&gt;=Validation[[#This Row],[Range1_High]]</f>
        <v>0</v>
      </c>
      <c r="Y766" s="111" t="s">
        <v>2843</v>
      </c>
    </row>
    <row r="767" spans="1:25" ht="16.5" thickTop="1" thickBot="1" x14ac:dyDescent="0.3">
      <c r="A767" t="s">
        <v>54</v>
      </c>
      <c r="B767" t="s">
        <v>47</v>
      </c>
      <c r="C767">
        <v>0</v>
      </c>
      <c r="D767">
        <v>3.3000999999999999E-4</v>
      </c>
      <c r="E767">
        <v>9.9999999999999995E-7</v>
      </c>
      <c r="F767" t="s">
        <v>13</v>
      </c>
      <c r="G767" t="s">
        <v>11</v>
      </c>
      <c r="H767">
        <v>5</v>
      </c>
      <c r="I767">
        <v>10.01</v>
      </c>
      <c r="J767" t="s">
        <v>10</v>
      </c>
      <c r="K767">
        <v>0.51629999999999998</v>
      </c>
      <c r="L767">
        <v>8526.7000000000007</v>
      </c>
      <c r="M767">
        <v>0.51576</v>
      </c>
      <c r="N767">
        <v>8527.5</v>
      </c>
      <c r="O767" t="s">
        <v>2833</v>
      </c>
      <c r="P767" t="s">
        <v>2833</v>
      </c>
      <c r="Q767" t="s">
        <v>2833</v>
      </c>
      <c r="R767">
        <f ca="1">RAND()*(Validation[[#This Row],[Range1_High]]-Validation[[#This Row],[Range1_Low]])+Validation[[#This Row],[Range1_Low]]</f>
        <v>5.8978036832412375E-5</v>
      </c>
      <c r="S767">
        <f>Validation[[#This Row],[Range2_High]]</f>
        <v>10.01</v>
      </c>
      <c r="T767" t="str" cm="1">
        <f t="array" aca="1" ref="T767" ca="1">RoundToTwoSigFigs(Validation[[#This Row],[Test Reading]]*Validation[[#This Row],[Mult]]+Validation[[#This Row],[Base]]) &amp;" "&amp;Validation[[#This Row],[Uncert_Units]]</f>
        <v>1 µA</v>
      </c>
      <c r="U7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V767" t="b">
        <f ca="1">Validation[[#This Row],[Desired Result]]=Validation[[#This Row],[Result]]</f>
        <v>0</v>
      </c>
      <c r="W767" t="b">
        <v>1</v>
      </c>
      <c r="X767" t="b">
        <f>Validation[[#This Row],[Range1_Low]]&gt;=Validation[[#This Row],[Range1_High]]</f>
        <v>0</v>
      </c>
      <c r="Y767" s="111" t="s">
        <v>2845</v>
      </c>
    </row>
    <row r="768" spans="1:25" ht="16.5" thickTop="1" thickBot="1" x14ac:dyDescent="0.3">
      <c r="A768" t="s">
        <v>55</v>
      </c>
      <c r="B768" t="s">
        <v>47</v>
      </c>
      <c r="C768" s="113">
        <v>0.1</v>
      </c>
      <c r="D768" s="113">
        <v>1</v>
      </c>
      <c r="E768">
        <v>1E-4</v>
      </c>
      <c r="F768" t="s">
        <v>13</v>
      </c>
      <c r="G768" t="s">
        <v>12</v>
      </c>
      <c r="H768">
        <v>20</v>
      </c>
      <c r="I768">
        <v>50</v>
      </c>
      <c r="J768" t="s">
        <v>10</v>
      </c>
      <c r="K768">
        <v>0.47</v>
      </c>
      <c r="L768">
        <v>12</v>
      </c>
      <c r="M768">
        <v>0.44312000000000001</v>
      </c>
      <c r="N768">
        <v>11.791</v>
      </c>
      <c r="O768" t="s">
        <v>2833</v>
      </c>
      <c r="P768" t="s">
        <v>2833</v>
      </c>
      <c r="Q768" t="s">
        <v>2833</v>
      </c>
      <c r="R768">
        <f ca="1">RAND()*(Validation[[#This Row],[Range1_High]]-Validation[[#This Row],[Range1_Low]])+Validation[[#This Row],[Range1_Low]]</f>
        <v>0.56825906799922654</v>
      </c>
      <c r="S768">
        <f>Validation[[#This Row],[Range2_High]]</f>
        <v>50</v>
      </c>
      <c r="T768" t="str" cm="1">
        <f t="array" aca="1" ref="T768" ca="1">RoundToTwoSigFigs(Validation[[#This Row],[Test Reading]]*Validation[[#This Row],[Mult]]+Validation[[#This Row],[Base]]) &amp;" "&amp;Validation[[#This Row],[Uncert_Units]]</f>
        <v>7.3 mA</v>
      </c>
      <c r="U7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mA</v>
      </c>
      <c r="V768" t="b">
        <f ca="1">Validation[[#This Row],[Desired Result]]=Validation[[#This Row],[Result]]</f>
        <v>1</v>
      </c>
      <c r="W768" t="b">
        <v>1</v>
      </c>
      <c r="X768" t="b">
        <f>Validation[[#This Row],[Range1_Low]]&gt;=Validation[[#This Row],[Range1_High]]</f>
        <v>0</v>
      </c>
      <c r="Y768" s="111" t="s">
        <v>2843</v>
      </c>
    </row>
    <row r="769" spans="1:25" ht="15.75" thickTop="1" x14ac:dyDescent="0.25">
      <c r="A769" t="s">
        <v>55</v>
      </c>
      <c r="B769" t="s">
        <v>47</v>
      </c>
      <c r="C769">
        <v>1E-3</v>
      </c>
      <c r="D769">
        <v>0.01</v>
      </c>
      <c r="E769">
        <v>1E-4</v>
      </c>
      <c r="F769" t="s">
        <v>13</v>
      </c>
      <c r="G769" t="s">
        <v>11</v>
      </c>
      <c r="H769">
        <v>0.02</v>
      </c>
      <c r="I769">
        <v>4.4999999999999998E-2</v>
      </c>
      <c r="J769" t="s">
        <v>10</v>
      </c>
      <c r="K769">
        <v>57.540999999999997</v>
      </c>
      <c r="L769">
        <v>350.7</v>
      </c>
      <c r="M769">
        <v>57.533999999999999</v>
      </c>
      <c r="N769">
        <v>346.11</v>
      </c>
      <c r="O769" t="s">
        <v>2833</v>
      </c>
      <c r="P769" t="s">
        <v>2833</v>
      </c>
      <c r="Q769" t="s">
        <v>2833</v>
      </c>
      <c r="R769">
        <f ca="1">RAND()*(Validation[[#This Row],[Range1_High]]-Validation[[#This Row],[Range1_Low]])+Validation[[#This Row],[Range1_Low]]</f>
        <v>1.972155973579498E-3</v>
      </c>
      <c r="S769">
        <f>Validation[[#This Row],[Range2_High]]</f>
        <v>4.4999999999999998E-2</v>
      </c>
      <c r="T769" t="str" cm="1">
        <f t="array" aca="1" ref="T769" ca="1">RoundToTwoSigFigs(Validation[[#This Row],[Test Reading]]*Validation[[#This Row],[Mult]]+Validation[[#This Row],[Base]]) &amp;" "&amp;Validation[[#This Row],[Uncert_Units]]</f>
        <v>58 µA</v>
      </c>
      <c r="U7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769" t="b">
        <f ca="1">Validation[[#This Row],[Desired Result]]=Validation[[#This Row],[Result]]</f>
        <v>1</v>
      </c>
      <c r="W769" t="b">
        <v>0</v>
      </c>
      <c r="X769" t="b">
        <f>Validation[[#This Row],[Range1_Low]]&gt;=Validation[[#This Row],[Range1_High]]</f>
        <v>0</v>
      </c>
      <c r="Y769" s="111" t="s">
        <v>2845</v>
      </c>
    </row>
    <row r="770" spans="1:25" ht="15.75" thickBot="1" x14ac:dyDescent="0.3">
      <c r="A770" t="s">
        <v>55</v>
      </c>
      <c r="B770" t="s">
        <v>47</v>
      </c>
      <c r="C770">
        <v>0.01</v>
      </c>
      <c r="D770">
        <v>0.1</v>
      </c>
      <c r="E770">
        <v>1E-3</v>
      </c>
      <c r="F770" t="s">
        <v>13</v>
      </c>
      <c r="G770" t="s">
        <v>11</v>
      </c>
      <c r="H770">
        <v>0.02</v>
      </c>
      <c r="I770">
        <v>4.4999999999999998E-2</v>
      </c>
      <c r="J770" t="s">
        <v>10</v>
      </c>
      <c r="K770">
        <v>575.37</v>
      </c>
      <c r="L770">
        <v>347.9</v>
      </c>
      <c r="M770">
        <v>575.33000000000004</v>
      </c>
      <c r="N770">
        <v>345.55</v>
      </c>
      <c r="O770" t="s">
        <v>2833</v>
      </c>
      <c r="P770" t="s">
        <v>2833</v>
      </c>
      <c r="Q770" t="s">
        <v>2833</v>
      </c>
      <c r="R770">
        <f ca="1">RAND()*(Validation[[#This Row],[Range1_High]]-Validation[[#This Row],[Range1_Low]])+Validation[[#This Row],[Range1_Low]]</f>
        <v>6.6011767730765156E-2</v>
      </c>
      <c r="S770">
        <f>Validation[[#This Row],[Range2_High]]</f>
        <v>4.4999999999999998E-2</v>
      </c>
      <c r="T770" t="str" cm="1">
        <f t="array" aca="1" ref="T770" ca="1">RoundToTwoSigFigs(Validation[[#This Row],[Test Reading]]*Validation[[#This Row],[Mult]]+Validation[[#This Row],[Base]]) &amp;" "&amp;Validation[[#This Row],[Uncert_Units]]</f>
        <v>600 µA</v>
      </c>
      <c r="U7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V770" t="b">
        <f ca="1">Validation[[#This Row],[Desired Result]]=Validation[[#This Row],[Result]]</f>
        <v>1</v>
      </c>
      <c r="W770" t="b">
        <v>0</v>
      </c>
      <c r="X770" t="b">
        <f>Validation[[#This Row],[Range1_Low]]&gt;=Validation[[#This Row],[Range1_High]]</f>
        <v>0</v>
      </c>
      <c r="Y770" s="111" t="s">
        <v>2845</v>
      </c>
    </row>
    <row r="771" spans="1:25" ht="16.5" thickTop="1" thickBot="1" x14ac:dyDescent="0.3">
      <c r="A771" t="s">
        <v>55</v>
      </c>
      <c r="B771" t="s">
        <v>47</v>
      </c>
      <c r="C771" s="113">
        <v>0.1</v>
      </c>
      <c r="D771" s="113">
        <v>1</v>
      </c>
      <c r="E771">
        <v>9.9999999999999995E-7</v>
      </c>
      <c r="F771" t="s">
        <v>13</v>
      </c>
      <c r="G771" t="s">
        <v>12</v>
      </c>
      <c r="H771">
        <v>20</v>
      </c>
      <c r="I771">
        <v>50</v>
      </c>
      <c r="J771" t="s">
        <v>10</v>
      </c>
      <c r="K771">
        <v>0.47</v>
      </c>
      <c r="L771">
        <v>12</v>
      </c>
      <c r="M771">
        <v>0.44152000000000002</v>
      </c>
      <c r="N771">
        <v>11.792</v>
      </c>
      <c r="O771" t="s">
        <v>2833</v>
      </c>
      <c r="P771" t="s">
        <v>2833</v>
      </c>
      <c r="Q771" t="s">
        <v>2833</v>
      </c>
      <c r="R771">
        <f ca="1">RAND()*(Validation[[#This Row],[Range1_High]]-Validation[[#This Row],[Range1_Low]])+Validation[[#This Row],[Range1_Low]]</f>
        <v>0.91384840699289815</v>
      </c>
      <c r="S771">
        <f>Validation[[#This Row],[Range2_High]]</f>
        <v>50</v>
      </c>
      <c r="T771" t="str" cm="1">
        <f t="array" aca="1" ref="T771" ca="1">RoundToTwoSigFigs(Validation[[#This Row],[Test Reading]]*Validation[[#This Row],[Mult]]+Validation[[#This Row],[Base]]) &amp;" "&amp;Validation[[#This Row],[Uncert_Units]]</f>
        <v>11 mA</v>
      </c>
      <c r="U7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V771" t="b">
        <f ca="1">Validation[[#This Row],[Desired Result]]=Validation[[#This Row],[Result]]</f>
        <v>1</v>
      </c>
      <c r="W771" t="b">
        <v>1</v>
      </c>
      <c r="X771" t="b">
        <f>Validation[[#This Row],[Range1_Low]]&gt;=Validation[[#This Row],[Range1_High]]</f>
        <v>0</v>
      </c>
      <c r="Y771" s="111" t="s">
        <v>2843</v>
      </c>
    </row>
    <row r="772" spans="1:25" ht="16.5" thickTop="1" thickBot="1" x14ac:dyDescent="0.3">
      <c r="A772" t="s">
        <v>68</v>
      </c>
      <c r="B772" t="s">
        <v>47</v>
      </c>
      <c r="C772" s="113">
        <v>0.1</v>
      </c>
      <c r="D772" s="113">
        <v>1.04</v>
      </c>
      <c r="E772">
        <v>1E-4</v>
      </c>
      <c r="F772" t="s">
        <v>13</v>
      </c>
      <c r="G772" t="s">
        <v>12</v>
      </c>
      <c r="H772">
        <v>0.01</v>
      </c>
      <c r="I772">
        <v>2</v>
      </c>
      <c r="J772" t="s">
        <v>10</v>
      </c>
      <c r="K772">
        <v>1</v>
      </c>
      <c r="L772">
        <v>1.4883999999999999</v>
      </c>
      <c r="M772">
        <v>0.99738000000000004</v>
      </c>
      <c r="N772">
        <v>1.4882</v>
      </c>
      <c r="O772" t="s">
        <v>2833</v>
      </c>
      <c r="P772" t="s">
        <v>2833</v>
      </c>
      <c r="Q772" t="s">
        <v>2833</v>
      </c>
      <c r="R772">
        <f ca="1">RAND()*(Validation[[#This Row],[Range1_High]]-Validation[[#This Row],[Range1_Low]])+Validation[[#This Row],[Range1_Low]]</f>
        <v>0.37676402856253655</v>
      </c>
      <c r="S772">
        <f>Validation[[#This Row],[Range2_High]]</f>
        <v>2</v>
      </c>
      <c r="T772" t="str" cm="1">
        <f t="array" aca="1" ref="T772" ca="1">RoundToTwoSigFigs(Validation[[#This Row],[Test Reading]]*Validation[[#This Row],[Mult]]+Validation[[#This Row],[Base]]) &amp;" "&amp;Validation[[#This Row],[Uncert_Units]]</f>
        <v>1.6 mA</v>
      </c>
      <c r="U7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V772" t="b">
        <f ca="1">Validation[[#This Row],[Desired Result]]=Validation[[#This Row],[Result]]</f>
        <v>1</v>
      </c>
      <c r="W772" t="b">
        <v>1</v>
      </c>
      <c r="X772" t="b">
        <f>Validation[[#This Row],[Range1_Low]]&gt;=Validation[[#This Row],[Range1_High]]</f>
        <v>0</v>
      </c>
      <c r="Y772" s="111" t="s">
        <v>2843</v>
      </c>
    </row>
    <row r="773" spans="1:25" ht="16.5" thickTop="1" thickBot="1" x14ac:dyDescent="0.3">
      <c r="A773" t="s">
        <v>54</v>
      </c>
      <c r="B773" t="s">
        <v>47</v>
      </c>
      <c r="C773" s="113">
        <v>3</v>
      </c>
      <c r="D773" s="113">
        <v>11.000999999999999</v>
      </c>
      <c r="E773">
        <v>0.01</v>
      </c>
      <c r="F773" t="s">
        <v>13</v>
      </c>
      <c r="G773" t="s">
        <v>12</v>
      </c>
      <c r="H773">
        <v>0.1</v>
      </c>
      <c r="I773">
        <v>1.0000100000000001</v>
      </c>
      <c r="J773" t="s">
        <v>10</v>
      </c>
      <c r="K773">
        <v>5.1971999999999996</v>
      </c>
      <c r="L773">
        <v>0.99041000000000001</v>
      </c>
      <c r="M773">
        <v>5.1951000000000001</v>
      </c>
      <c r="N773">
        <v>0.99036000000000002</v>
      </c>
      <c r="O773" t="s">
        <v>2833</v>
      </c>
      <c r="P773" t="s">
        <v>2833</v>
      </c>
      <c r="Q773" t="s">
        <v>2833</v>
      </c>
      <c r="R773">
        <f ca="1">RAND()*(Validation[[#This Row],[Range1_High]]-Validation[[#This Row],[Range1_Low]])+Validation[[#This Row],[Range1_Low]]</f>
        <v>5.6119624282455227</v>
      </c>
      <c r="S773">
        <f>Validation[[#This Row],[Range2_High]]</f>
        <v>1.0000100000000001</v>
      </c>
      <c r="T773" t="str" cm="1">
        <f t="array" aca="1" ref="T773" ca="1">RoundToTwoSigFigs(Validation[[#This Row],[Test Reading]]*Validation[[#This Row],[Mult]]+Validation[[#This Row],[Base]]) &amp;" "&amp;Validation[[#This Row],[Uncert_Units]]</f>
        <v>11 mA</v>
      </c>
      <c r="U7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V773" t="b">
        <f ca="1">Validation[[#This Row],[Desired Result]]=Validation[[#This Row],[Result]]</f>
        <v>1</v>
      </c>
      <c r="W773" t="b">
        <v>1</v>
      </c>
      <c r="X773" t="b">
        <f>Validation[[#This Row],[Range1_Low]]&gt;=Validation[[#This Row],[Range1_High]]</f>
        <v>0</v>
      </c>
      <c r="Y773" s="111" t="s">
        <v>2843</v>
      </c>
    </row>
    <row r="774" spans="1:25" ht="15.75" thickTop="1" x14ac:dyDescent="0.25">
      <c r="A774" t="s">
        <v>54</v>
      </c>
      <c r="B774" t="s">
        <v>47</v>
      </c>
      <c r="C774">
        <v>1.1000000000000001</v>
      </c>
      <c r="D774">
        <v>3.0009999999999999</v>
      </c>
      <c r="E774">
        <v>1.0000000000000001E-5</v>
      </c>
      <c r="F774" t="s">
        <v>13</v>
      </c>
      <c r="G774" t="s">
        <v>12</v>
      </c>
      <c r="H774">
        <v>10</v>
      </c>
      <c r="I774">
        <v>10.01</v>
      </c>
      <c r="J774" t="s">
        <v>10</v>
      </c>
      <c r="K774">
        <v>5.8</v>
      </c>
      <c r="L774">
        <v>29</v>
      </c>
      <c r="M774">
        <v>5.7729999999999997</v>
      </c>
      <c r="N774">
        <v>28.867999999999999</v>
      </c>
      <c r="O774" t="s">
        <v>2833</v>
      </c>
      <c r="P774" t="s">
        <v>2833</v>
      </c>
      <c r="Q774" t="s">
        <v>2833</v>
      </c>
      <c r="R774">
        <f ca="1">RAND()*(Validation[[#This Row],[Range1_High]]-Validation[[#This Row],[Range1_Low]])+Validation[[#This Row],[Range1_Low]]</f>
        <v>1.5540369643492735</v>
      </c>
      <c r="S774">
        <f>Validation[[#This Row],[Range2_High]]</f>
        <v>10.01</v>
      </c>
      <c r="T774" t="str" cm="1">
        <f t="array" aca="1" ref="T774" ca="1">RoundToTwoSigFigs(Validation[[#This Row],[Test Reading]]*Validation[[#This Row],[Mult]]+Validation[[#This Row],[Base]]) &amp;" "&amp;Validation[[#This Row],[Uncert_Units]]</f>
        <v>51 mA</v>
      </c>
      <c r="U7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mA</v>
      </c>
      <c r="V774" t="b">
        <f ca="1">Validation[[#This Row],[Desired Result]]=Validation[[#This Row],[Result]]</f>
        <v>1</v>
      </c>
      <c r="W774" t="b">
        <v>0</v>
      </c>
      <c r="X774" t="b">
        <f>Validation[[#This Row],[Range1_Low]]&gt;=Validation[[#This Row],[Range1_High]]</f>
        <v>0</v>
      </c>
      <c r="Y774" s="111" t="s">
        <v>2845</v>
      </c>
    </row>
    <row r="775" spans="1:25" ht="15.75" thickBot="1" x14ac:dyDescent="0.3">
      <c r="A775" t="s">
        <v>54</v>
      </c>
      <c r="B775" t="s">
        <v>61</v>
      </c>
      <c r="C775">
        <v>11</v>
      </c>
      <c r="D775">
        <v>30.001000000000001</v>
      </c>
      <c r="E775">
        <v>10</v>
      </c>
      <c r="F775" t="s">
        <v>13</v>
      </c>
      <c r="G775" t="s">
        <v>12</v>
      </c>
      <c r="H775">
        <v>1</v>
      </c>
      <c r="I775">
        <v>5.01</v>
      </c>
      <c r="J775" t="s">
        <v>10</v>
      </c>
      <c r="K775">
        <v>5798.5</v>
      </c>
      <c r="L775">
        <v>0.19808000000000001</v>
      </c>
      <c r="M775">
        <v>5798.5</v>
      </c>
      <c r="N775">
        <v>0.19750000000000001</v>
      </c>
      <c r="O775" t="s">
        <v>2833</v>
      </c>
      <c r="P775" t="s">
        <v>157</v>
      </c>
      <c r="Q775" t="s">
        <v>2833</v>
      </c>
      <c r="R775">
        <f ca="1">RAND()*(Validation[[#This Row],[Range1_High]]-Validation[[#This Row],[Range1_Low]])+Validation[[#This Row],[Range1_Low]]</f>
        <v>14.757633161564009</v>
      </c>
      <c r="S775">
        <f>Validation[[#This Row],[Range2_High]]</f>
        <v>5.01</v>
      </c>
      <c r="T775" t="str" cm="1">
        <f t="array" aca="1" ref="T775" ca="1">RoundToTwoSigFigs(Validation[[#This Row],[Test Reading]]*Validation[[#This Row],[Mult]]+Validation[[#This Row],[Base]]) &amp;" "&amp;Validation[[#This Row],[Uncert_Units]]</f>
        <v>5800 mA</v>
      </c>
      <c r="U7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775" t="b">
        <f ca="1">Validation[[#This Row],[Desired Result]]=Validation[[#This Row],[Result]]</f>
        <v>1</v>
      </c>
      <c r="W775" t="b">
        <v>0</v>
      </c>
      <c r="X775" t="b">
        <f>Validation[[#This Row],[Range1_Low]]&gt;=Validation[[#This Row],[Range1_High]]</f>
        <v>0</v>
      </c>
      <c r="Y775" s="111" t="s">
        <v>2845</v>
      </c>
    </row>
    <row r="776" spans="1:25" ht="16.5" thickTop="1" thickBot="1" x14ac:dyDescent="0.3">
      <c r="A776" t="s">
        <v>54</v>
      </c>
      <c r="B776" t="s">
        <v>61</v>
      </c>
      <c r="C776" s="113">
        <v>30</v>
      </c>
      <c r="D776" s="113">
        <v>110.01</v>
      </c>
      <c r="E776">
        <v>0.1</v>
      </c>
      <c r="F776" t="s">
        <v>13</v>
      </c>
      <c r="G776" t="s">
        <v>12</v>
      </c>
      <c r="H776">
        <v>5</v>
      </c>
      <c r="I776">
        <v>5.01</v>
      </c>
      <c r="J776" t="s">
        <v>10</v>
      </c>
      <c r="K776">
        <v>24</v>
      </c>
      <c r="L776">
        <v>35</v>
      </c>
      <c r="M776">
        <v>25.111999999999998</v>
      </c>
      <c r="N776">
        <v>34.683999999999997</v>
      </c>
      <c r="O776" t="s">
        <v>2833</v>
      </c>
      <c r="P776" t="s">
        <v>157</v>
      </c>
      <c r="Q776" t="s">
        <v>2833</v>
      </c>
      <c r="R776">
        <f ca="1">RAND()*(Validation[[#This Row],[Range1_High]]-Validation[[#This Row],[Range1_Low]])+Validation[[#This Row],[Range1_Low]]</f>
        <v>82.607727640886054</v>
      </c>
      <c r="S776">
        <f>Validation[[#This Row],[Range2_High]]</f>
        <v>5.01</v>
      </c>
      <c r="T776" t="str" cm="1">
        <f t="array" aca="1" ref="T776" ca="1">RoundToTwoSigFigs(Validation[[#This Row],[Test Reading]]*Validation[[#This Row],[Mult]]+Validation[[#This Row],[Base]]) &amp;" "&amp;Validation[[#This Row],[Uncert_Units]]</f>
        <v>2900 mA</v>
      </c>
      <c r="U7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V776" t="b">
        <f ca="1">Validation[[#This Row],[Desired Result]]=Validation[[#This Row],[Result]]</f>
        <v>1</v>
      </c>
      <c r="W776" t="b">
        <v>1</v>
      </c>
      <c r="X776" t="b">
        <f>Validation[[#This Row],[Range1_Low]]&gt;=Validation[[#This Row],[Range1_High]]</f>
        <v>0</v>
      </c>
      <c r="Y776" s="111" t="s">
        <v>2843</v>
      </c>
    </row>
    <row r="777" spans="1:25" ht="16.5" thickTop="1" thickBot="1" x14ac:dyDescent="0.3">
      <c r="A777" t="s">
        <v>54</v>
      </c>
      <c r="B777" t="s">
        <v>61</v>
      </c>
      <c r="C777">
        <v>1</v>
      </c>
      <c r="D777">
        <v>11.000999999999999</v>
      </c>
      <c r="E777">
        <v>0.1</v>
      </c>
      <c r="F777" t="s">
        <v>13</v>
      </c>
      <c r="G777" t="s">
        <v>12</v>
      </c>
      <c r="H777">
        <v>0.01</v>
      </c>
      <c r="I777">
        <v>4.5010000000000001E-2</v>
      </c>
      <c r="J777" t="s">
        <v>10</v>
      </c>
      <c r="K777">
        <v>579.91999999999996</v>
      </c>
      <c r="L777">
        <v>9.0643000000000001E-2</v>
      </c>
      <c r="M777">
        <v>579.91999999999996</v>
      </c>
      <c r="N777">
        <v>9.0135999999999994E-2</v>
      </c>
      <c r="O777" t="s">
        <v>2833</v>
      </c>
      <c r="P777" t="s">
        <v>157</v>
      </c>
      <c r="Q777" t="s">
        <v>2833</v>
      </c>
      <c r="R777">
        <f ca="1">RAND()*(Validation[[#This Row],[Range1_High]]-Validation[[#This Row],[Range1_Low]])+Validation[[#This Row],[Range1_Low]]</f>
        <v>4.8269857098055642</v>
      </c>
      <c r="S777">
        <f>Validation[[#This Row],[Range2_High]]</f>
        <v>4.5010000000000001E-2</v>
      </c>
      <c r="T777" t="str" cm="1">
        <f t="array" aca="1" ref="T777" ca="1">RoundToTwoSigFigs(Validation[[#This Row],[Test Reading]]*Validation[[#This Row],[Mult]]+Validation[[#This Row],[Base]]) &amp;" "&amp;Validation[[#This Row],[Uncert_Units]]</f>
        <v>580 mA</v>
      </c>
      <c r="U7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777" t="b">
        <f ca="1">Validation[[#This Row],[Desired Result]]=Validation[[#This Row],[Result]]</f>
        <v>1</v>
      </c>
      <c r="W777" t="b">
        <v>0</v>
      </c>
      <c r="X777" t="b">
        <f>Validation[[#This Row],[Range1_Low]]&gt;=Validation[[#This Row],[Range1_High]]</f>
        <v>0</v>
      </c>
      <c r="Y777" s="111" t="s">
        <v>2845</v>
      </c>
    </row>
    <row r="778" spans="1:25" ht="16.5" thickTop="1" thickBot="1" x14ac:dyDescent="0.3">
      <c r="A778" t="s">
        <v>54</v>
      </c>
      <c r="B778" t="s">
        <v>61</v>
      </c>
      <c r="C778">
        <v>1</v>
      </c>
      <c r="D778">
        <v>11.000999999999999</v>
      </c>
      <c r="E778">
        <v>1E-3</v>
      </c>
      <c r="F778" t="s">
        <v>13</v>
      </c>
      <c r="G778" t="s">
        <v>12</v>
      </c>
      <c r="H778" s="113">
        <v>1</v>
      </c>
      <c r="I778" s="113">
        <v>5.01</v>
      </c>
      <c r="J778" t="s">
        <v>10</v>
      </c>
      <c r="K778">
        <v>12</v>
      </c>
      <c r="L778">
        <v>7.2</v>
      </c>
      <c r="M778">
        <v>11.404999999999999</v>
      </c>
      <c r="N778">
        <v>7.1882000000000001</v>
      </c>
      <c r="O778" t="s">
        <v>2833</v>
      </c>
      <c r="P778" t="s">
        <v>157</v>
      </c>
      <c r="Q778" t="s">
        <v>2833</v>
      </c>
      <c r="R778">
        <f ca="1">RAND()*(Validation[[#This Row],[Range1_High]]-Validation[[#This Row],[Range1_Low]])+Validation[[#This Row],[Range1_Low]]</f>
        <v>7.9691229364625622</v>
      </c>
      <c r="S778">
        <f>Validation[[#This Row],[Range2_High]]</f>
        <v>5.01</v>
      </c>
      <c r="T778" t="str" cm="1">
        <f t="array" aca="1" ref="T778" ca="1">RoundToTwoSigFigs(Validation[[#This Row],[Test Reading]]*Validation[[#This Row],[Mult]]+Validation[[#This Row],[Base]]) &amp;" "&amp;Validation[[#This Row],[Uncert_Units]]</f>
        <v>69 mA</v>
      </c>
      <c r="U7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V778" t="b">
        <f ca="1">Validation[[#This Row],[Desired Result]]=Validation[[#This Row],[Result]]</f>
        <v>0</v>
      </c>
      <c r="W778" t="b">
        <v>1</v>
      </c>
      <c r="X778" t="b">
        <f>Validation[[#This Row],[Range1_Low]]&gt;=Validation[[#This Row],[Range1_High]]</f>
        <v>0</v>
      </c>
      <c r="Y778" s="114" t="s">
        <v>2847</v>
      </c>
    </row>
    <row r="779" spans="1:25" ht="16.5" thickTop="1" thickBot="1" x14ac:dyDescent="0.3">
      <c r="A779" t="s">
        <v>54</v>
      </c>
      <c r="B779" t="s">
        <v>61</v>
      </c>
      <c r="C779" s="113">
        <v>30</v>
      </c>
      <c r="D779" s="113">
        <v>110.01</v>
      </c>
      <c r="E779">
        <v>1</v>
      </c>
      <c r="F779" t="s">
        <v>13</v>
      </c>
      <c r="G779" t="s">
        <v>12</v>
      </c>
      <c r="H779">
        <v>1</v>
      </c>
      <c r="I779">
        <v>5</v>
      </c>
      <c r="J779" t="s">
        <v>10</v>
      </c>
      <c r="K779">
        <v>210.04</v>
      </c>
      <c r="L779">
        <v>33.396000000000001</v>
      </c>
      <c r="M779">
        <v>210.02</v>
      </c>
      <c r="N779">
        <v>33.395000000000003</v>
      </c>
      <c r="O779" t="s">
        <v>2833</v>
      </c>
      <c r="P779" t="s">
        <v>157</v>
      </c>
      <c r="Q779" t="s">
        <v>2833</v>
      </c>
      <c r="R779">
        <f ca="1">RAND()*(Validation[[#This Row],[Range1_High]]-Validation[[#This Row],[Range1_Low]])+Validation[[#This Row],[Range1_Low]]</f>
        <v>59.233416730576216</v>
      </c>
      <c r="S779">
        <f>Validation[[#This Row],[Range2_High]]</f>
        <v>5</v>
      </c>
      <c r="T779" t="str" cm="1">
        <f t="array" aca="1" ref="T779" ca="1">RoundToTwoSigFigs(Validation[[#This Row],[Test Reading]]*Validation[[#This Row],[Mult]]+Validation[[#This Row],[Base]]) &amp;" "&amp;Validation[[#This Row],[Uncert_Units]]</f>
        <v>2200 mA</v>
      </c>
      <c r="U7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V779" t="b">
        <f ca="1">Validation[[#This Row],[Desired Result]]=Validation[[#This Row],[Result]]</f>
        <v>1</v>
      </c>
      <c r="W779" t="b">
        <v>1</v>
      </c>
      <c r="X779" t="b">
        <f>Validation[[#This Row],[Range1_Low]]&gt;=Validation[[#This Row],[Range1_High]]</f>
        <v>0</v>
      </c>
      <c r="Y779" s="111" t="s">
        <v>2843</v>
      </c>
    </row>
    <row r="780" spans="1:25" ht="15.75" thickTop="1" x14ac:dyDescent="0.25">
      <c r="A780" t="s">
        <v>54</v>
      </c>
      <c r="B780" t="s">
        <v>61</v>
      </c>
      <c r="C780">
        <v>30</v>
      </c>
      <c r="D780">
        <v>110.01</v>
      </c>
      <c r="E780">
        <v>10</v>
      </c>
      <c r="F780" t="s">
        <v>13</v>
      </c>
      <c r="G780" t="s">
        <v>12</v>
      </c>
      <c r="H780">
        <v>5</v>
      </c>
      <c r="I780">
        <v>5.01</v>
      </c>
      <c r="J780" t="s">
        <v>10</v>
      </c>
      <c r="K780">
        <v>5499.6</v>
      </c>
      <c r="L780">
        <v>13.241</v>
      </c>
      <c r="M780">
        <v>5499.7</v>
      </c>
      <c r="N780">
        <v>13.239000000000001</v>
      </c>
      <c r="O780" t="s">
        <v>2833</v>
      </c>
      <c r="P780" t="s">
        <v>157</v>
      </c>
      <c r="Q780" t="s">
        <v>2833</v>
      </c>
      <c r="R780">
        <f ca="1">RAND()*(Validation[[#This Row],[Range1_High]]-Validation[[#This Row],[Range1_Low]])+Validation[[#This Row],[Range1_Low]]</f>
        <v>49.062380769121162</v>
      </c>
      <c r="S780">
        <f>Validation[[#This Row],[Range2_High]]</f>
        <v>5.01</v>
      </c>
      <c r="T780" t="str" cm="1">
        <f t="array" aca="1" ref="T780" ca="1">RoundToTwoSigFigs(Validation[[#This Row],[Test Reading]]*Validation[[#This Row],[Mult]]+Validation[[#This Row],[Base]]) &amp;" "&amp;Validation[[#This Row],[Uncert_Units]]</f>
        <v>6100 mA</v>
      </c>
      <c r="U7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V780" t="b">
        <f ca="1">Validation[[#This Row],[Desired Result]]=Validation[[#This Row],[Result]]</f>
        <v>1</v>
      </c>
      <c r="W780" t="b">
        <v>0</v>
      </c>
      <c r="X780" t="b">
        <f>Validation[[#This Row],[Range1_Low]]&gt;=Validation[[#This Row],[Range1_High]]</f>
        <v>0</v>
      </c>
      <c r="Y780" s="111" t="s">
        <v>2845</v>
      </c>
    </row>
    <row r="781" spans="1:25" ht="15.75" thickBot="1" x14ac:dyDescent="0.3">
      <c r="A781" t="s">
        <v>54</v>
      </c>
      <c r="B781" t="s">
        <v>61</v>
      </c>
      <c r="C781">
        <v>110</v>
      </c>
      <c r="D781">
        <v>205.01</v>
      </c>
      <c r="E781">
        <v>10</v>
      </c>
      <c r="F781" t="s">
        <v>13</v>
      </c>
      <c r="G781" t="s">
        <v>12</v>
      </c>
      <c r="H781">
        <v>5</v>
      </c>
      <c r="I781">
        <v>5.01</v>
      </c>
      <c r="J781" t="s">
        <v>10</v>
      </c>
      <c r="K781">
        <v>4372.5</v>
      </c>
      <c r="L781">
        <v>23.661999999999999</v>
      </c>
      <c r="M781">
        <v>4372.3999999999996</v>
      </c>
      <c r="N781">
        <v>23.661000000000001</v>
      </c>
      <c r="O781" t="s">
        <v>2833</v>
      </c>
      <c r="P781" t="s">
        <v>157</v>
      </c>
      <c r="Q781" t="s">
        <v>2833</v>
      </c>
      <c r="R781">
        <f ca="1">RAND()*(Validation[[#This Row],[Range1_High]]-Validation[[#This Row],[Range1_Low]])+Validation[[#This Row],[Range1_Low]]</f>
        <v>116.41956357264215</v>
      </c>
      <c r="S781">
        <f>Validation[[#This Row],[Range2_High]]</f>
        <v>5.01</v>
      </c>
      <c r="T781" t="str" cm="1">
        <f t="array" aca="1" ref="T781" ca="1">RoundToTwoSigFigs(Validation[[#This Row],[Test Reading]]*Validation[[#This Row],[Mult]]+Validation[[#This Row],[Base]]) &amp;" "&amp;Validation[[#This Row],[Uncert_Units]]</f>
        <v>7100 mA</v>
      </c>
      <c r="U7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mA</v>
      </c>
      <c r="V781" t="b">
        <f ca="1">Validation[[#This Row],[Desired Result]]=Validation[[#This Row],[Result]]</f>
        <v>1</v>
      </c>
      <c r="W781" t="b">
        <v>0</v>
      </c>
      <c r="X781" t="b">
        <f>Validation[[#This Row],[Range1_Low]]&gt;=Validation[[#This Row],[Range1_High]]</f>
        <v>0</v>
      </c>
      <c r="Y781" s="111" t="s">
        <v>2845</v>
      </c>
    </row>
    <row r="782" spans="1:25" ht="16.5" thickTop="1" thickBot="1" x14ac:dyDescent="0.3">
      <c r="A782" t="s">
        <v>54</v>
      </c>
      <c r="B782" t="s">
        <v>61</v>
      </c>
      <c r="C782" s="113">
        <v>30</v>
      </c>
      <c r="D782" s="113">
        <v>110.01</v>
      </c>
      <c r="E782">
        <v>0.01</v>
      </c>
      <c r="F782" t="s">
        <v>13</v>
      </c>
      <c r="G782" t="s">
        <v>12</v>
      </c>
      <c r="H782">
        <v>5</v>
      </c>
      <c r="I782">
        <v>5.01</v>
      </c>
      <c r="J782" t="s">
        <v>10</v>
      </c>
      <c r="K782">
        <v>24</v>
      </c>
      <c r="L782">
        <v>35</v>
      </c>
      <c r="M782">
        <v>23.064</v>
      </c>
      <c r="N782">
        <v>34.698999999999998</v>
      </c>
      <c r="O782" t="s">
        <v>2833</v>
      </c>
      <c r="P782" t="s">
        <v>157</v>
      </c>
      <c r="Q782" t="s">
        <v>2833</v>
      </c>
      <c r="R782">
        <f ca="1">RAND()*(Validation[[#This Row],[Range1_High]]-Validation[[#This Row],[Range1_Low]])+Validation[[#This Row],[Range1_Low]]</f>
        <v>73.353105104407547</v>
      </c>
      <c r="S782">
        <f>Validation[[#This Row],[Range2_High]]</f>
        <v>5.01</v>
      </c>
      <c r="T782" t="str" cm="1">
        <f t="array" aca="1" ref="T782" ca="1">RoundToTwoSigFigs(Validation[[#This Row],[Test Reading]]*Validation[[#This Row],[Mult]]+Validation[[#This Row],[Base]]) &amp;" "&amp;Validation[[#This Row],[Uncert_Units]]</f>
        <v>2600 mA</v>
      </c>
      <c r="U7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V782" t="b">
        <f ca="1">Validation[[#This Row],[Desired Result]]=Validation[[#This Row],[Result]]</f>
        <v>1</v>
      </c>
      <c r="W782" t="b">
        <v>1</v>
      </c>
      <c r="X782" t="b">
        <f>Validation[[#This Row],[Range1_Low]]&gt;=Validation[[#This Row],[Range1_High]]</f>
        <v>0</v>
      </c>
      <c r="Y782" s="111" t="s">
        <v>2843</v>
      </c>
    </row>
    <row r="783" spans="1:25" ht="15.75" thickTop="1" x14ac:dyDescent="0.25">
      <c r="A783" t="s">
        <v>54</v>
      </c>
      <c r="B783" t="s">
        <v>61</v>
      </c>
      <c r="C783">
        <v>110</v>
      </c>
      <c r="D783">
        <v>205.01</v>
      </c>
      <c r="E783">
        <v>100</v>
      </c>
      <c r="F783" t="s">
        <v>13</v>
      </c>
      <c r="G783" t="s">
        <v>12</v>
      </c>
      <c r="H783">
        <v>0.1</v>
      </c>
      <c r="I783">
        <v>1.0000100000000001</v>
      </c>
      <c r="J783" t="s">
        <v>10</v>
      </c>
      <c r="K783">
        <v>57999</v>
      </c>
      <c r="L783">
        <v>2.1802999999999999E-2</v>
      </c>
      <c r="M783">
        <v>57999</v>
      </c>
      <c r="N783">
        <v>2.0732E-2</v>
      </c>
      <c r="O783" t="s">
        <v>2833</v>
      </c>
      <c r="P783" t="s">
        <v>157</v>
      </c>
      <c r="Q783" t="s">
        <v>2833</v>
      </c>
      <c r="R783">
        <f ca="1">RAND()*(Validation[[#This Row],[Range1_High]]-Validation[[#This Row],[Range1_Low]])+Validation[[#This Row],[Range1_Low]]</f>
        <v>138.53316993971015</v>
      </c>
      <c r="S783">
        <f>Validation[[#This Row],[Range2_High]]</f>
        <v>1.0000100000000001</v>
      </c>
      <c r="T783" t="str" cm="1">
        <f t="array" aca="1" ref="T783" ca="1">RoundToTwoSigFigs(Validation[[#This Row],[Test Reading]]*Validation[[#This Row],[Mult]]+Validation[[#This Row],[Base]]) &amp;" "&amp;Validation[[#This Row],[Uncert_Units]]</f>
        <v>58000 mA</v>
      </c>
      <c r="U7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783" t="b">
        <f ca="1">Validation[[#This Row],[Desired Result]]=Validation[[#This Row],[Result]]</f>
        <v>1</v>
      </c>
      <c r="W783" t="b">
        <v>0</v>
      </c>
      <c r="X783" t="b">
        <f>Validation[[#This Row],[Range1_Low]]&gt;=Validation[[#This Row],[Range1_High]]</f>
        <v>0</v>
      </c>
      <c r="Y783" s="111" t="s">
        <v>2845</v>
      </c>
    </row>
    <row r="784" spans="1:25" ht="15.75" thickBot="1" x14ac:dyDescent="0.3">
      <c r="A784" t="s">
        <v>54</v>
      </c>
      <c r="B784" t="s">
        <v>61</v>
      </c>
      <c r="C784">
        <v>11</v>
      </c>
      <c r="D784">
        <v>30.001000000000001</v>
      </c>
      <c r="E784">
        <v>1E-3</v>
      </c>
      <c r="F784" t="s">
        <v>13</v>
      </c>
      <c r="G784" t="s">
        <v>12</v>
      </c>
      <c r="H784">
        <v>10</v>
      </c>
      <c r="I784">
        <v>10.01</v>
      </c>
      <c r="J784" t="s">
        <v>10</v>
      </c>
      <c r="K784">
        <v>58</v>
      </c>
      <c r="L784">
        <v>29</v>
      </c>
      <c r="M784">
        <v>57.627000000000002</v>
      </c>
      <c r="N784">
        <v>28.936</v>
      </c>
      <c r="O784" t="s">
        <v>2833</v>
      </c>
      <c r="P784" t="s">
        <v>157</v>
      </c>
      <c r="Q784" t="s">
        <v>2833</v>
      </c>
      <c r="R784">
        <f ca="1">RAND()*(Validation[[#This Row],[Range1_High]]-Validation[[#This Row],[Range1_Low]])+Validation[[#This Row],[Range1_Low]]</f>
        <v>19.611792689048169</v>
      </c>
      <c r="S784">
        <f>Validation[[#This Row],[Range2_High]]</f>
        <v>10.01</v>
      </c>
      <c r="T784" t="str" cm="1">
        <f t="array" aca="1" ref="T784" ca="1">RoundToTwoSigFigs(Validation[[#This Row],[Test Reading]]*Validation[[#This Row],[Mult]]+Validation[[#This Row],[Base]]) &amp;" "&amp;Validation[[#This Row],[Uncert_Units]]</f>
        <v>630 mA</v>
      </c>
      <c r="U7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V784" t="b">
        <f ca="1">Validation[[#This Row],[Desired Result]]=Validation[[#This Row],[Result]]</f>
        <v>1</v>
      </c>
      <c r="W784" t="b">
        <v>0</v>
      </c>
      <c r="X784" t="b">
        <f>Validation[[#This Row],[Range1_Low]]&gt;=Validation[[#This Row],[Range1_High]]</f>
        <v>0</v>
      </c>
      <c r="Y784" s="111" t="s">
        <v>2845</v>
      </c>
    </row>
    <row r="785" spans="1:25" ht="16.5" thickTop="1" thickBot="1" x14ac:dyDescent="0.3">
      <c r="A785" t="s">
        <v>54</v>
      </c>
      <c r="B785" t="s">
        <v>61</v>
      </c>
      <c r="C785" s="113">
        <v>110</v>
      </c>
      <c r="D785" s="113">
        <v>205.01</v>
      </c>
      <c r="E785">
        <v>1</v>
      </c>
      <c r="F785" t="s">
        <v>13</v>
      </c>
      <c r="G785" t="s">
        <v>12</v>
      </c>
      <c r="H785">
        <v>0.1</v>
      </c>
      <c r="I785">
        <v>1.0000100000000001</v>
      </c>
      <c r="J785" t="s">
        <v>10</v>
      </c>
      <c r="K785">
        <v>490.55</v>
      </c>
      <c r="L785">
        <v>1.6184000000000001</v>
      </c>
      <c r="M785">
        <v>490.58</v>
      </c>
      <c r="N785">
        <v>1.6144000000000001</v>
      </c>
      <c r="O785" t="s">
        <v>2833</v>
      </c>
      <c r="P785" t="s">
        <v>157</v>
      </c>
      <c r="Q785" t="s">
        <v>2833</v>
      </c>
      <c r="R785">
        <f ca="1">RAND()*(Validation[[#This Row],[Range1_High]]-Validation[[#This Row],[Range1_Low]])+Validation[[#This Row],[Range1_Low]]</f>
        <v>175.42074498646417</v>
      </c>
      <c r="S785">
        <f>Validation[[#This Row],[Range2_High]]</f>
        <v>1.0000100000000001</v>
      </c>
      <c r="T785" t="str" cm="1">
        <f t="array" aca="1" ref="T785" ca="1">RoundToTwoSigFigs(Validation[[#This Row],[Test Reading]]*Validation[[#This Row],[Mult]]+Validation[[#This Row],[Base]]) &amp;" "&amp;Validation[[#This Row],[Uncert_Units]]</f>
        <v>770 mA</v>
      </c>
      <c r="U7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V785" t="b">
        <f ca="1">Validation[[#This Row],[Desired Result]]=Validation[[#This Row],[Result]]</f>
        <v>1</v>
      </c>
      <c r="W785" t="b">
        <v>1</v>
      </c>
      <c r="X785" t="b">
        <f>Validation[[#This Row],[Range1_Low]]&gt;=Validation[[#This Row],[Range1_High]]</f>
        <v>0</v>
      </c>
      <c r="Y785" s="111" t="s">
        <v>2843</v>
      </c>
    </row>
    <row r="786" spans="1:25" ht="16.5" thickTop="1" thickBot="1" x14ac:dyDescent="0.3">
      <c r="A786" t="s">
        <v>54</v>
      </c>
      <c r="B786" t="s">
        <v>61</v>
      </c>
      <c r="C786" s="113">
        <v>30</v>
      </c>
      <c r="D786" s="113">
        <v>110.01</v>
      </c>
      <c r="E786">
        <v>10</v>
      </c>
      <c r="F786" t="s">
        <v>13</v>
      </c>
      <c r="G786" t="s">
        <v>12</v>
      </c>
      <c r="H786">
        <v>1</v>
      </c>
      <c r="I786">
        <v>5</v>
      </c>
      <c r="J786" t="s">
        <v>10</v>
      </c>
      <c r="K786">
        <v>5499.6</v>
      </c>
      <c r="L786">
        <v>13.241</v>
      </c>
      <c r="M786">
        <v>5499.7</v>
      </c>
      <c r="N786">
        <v>13.239000000000001</v>
      </c>
      <c r="O786" t="s">
        <v>2833</v>
      </c>
      <c r="P786" t="s">
        <v>157</v>
      </c>
      <c r="Q786" t="s">
        <v>2833</v>
      </c>
      <c r="R786">
        <f ca="1">RAND()*(Validation[[#This Row],[Range1_High]]-Validation[[#This Row],[Range1_Low]])+Validation[[#This Row],[Range1_Low]]</f>
        <v>76.060907813190255</v>
      </c>
      <c r="S786">
        <f>Validation[[#This Row],[Range2_High]]</f>
        <v>5</v>
      </c>
      <c r="T786" t="str" cm="1">
        <f t="array" aca="1" ref="T786" ca="1">RoundToTwoSigFigs(Validation[[#This Row],[Test Reading]]*Validation[[#This Row],[Mult]]+Validation[[#This Row],[Base]]) &amp;" "&amp;Validation[[#This Row],[Uncert_Units]]</f>
        <v>6500 mA</v>
      </c>
      <c r="U7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V786" t="b">
        <f ca="1">Validation[[#This Row],[Desired Result]]=Validation[[#This Row],[Result]]</f>
        <v>1</v>
      </c>
      <c r="W786" t="b">
        <v>1</v>
      </c>
      <c r="X786" t="b">
        <f>Validation[[#This Row],[Range1_Low]]&gt;=Validation[[#This Row],[Range1_High]]</f>
        <v>0</v>
      </c>
      <c r="Y786" s="111" t="s">
        <v>2843</v>
      </c>
    </row>
    <row r="787" spans="1:25" ht="16.5" thickTop="1" thickBot="1" x14ac:dyDescent="0.3">
      <c r="A787" t="s">
        <v>54</v>
      </c>
      <c r="B787" t="s">
        <v>61</v>
      </c>
      <c r="C787">
        <v>110</v>
      </c>
      <c r="D787">
        <v>205.01</v>
      </c>
      <c r="E787">
        <v>100</v>
      </c>
      <c r="F787" t="s">
        <v>13</v>
      </c>
      <c r="G787" t="s">
        <v>12</v>
      </c>
      <c r="H787">
        <v>5</v>
      </c>
      <c r="I787">
        <v>5.01</v>
      </c>
      <c r="J787" t="s">
        <v>10</v>
      </c>
      <c r="K787">
        <v>57768</v>
      </c>
      <c r="L787">
        <v>3.2888999999999999</v>
      </c>
      <c r="M787">
        <v>57768</v>
      </c>
      <c r="N787">
        <v>3.2877999999999998</v>
      </c>
      <c r="O787" t="s">
        <v>2833</v>
      </c>
      <c r="P787" t="s">
        <v>157</v>
      </c>
      <c r="Q787" t="s">
        <v>2833</v>
      </c>
      <c r="R787">
        <f ca="1">RAND()*(Validation[[#This Row],[Range1_High]]-Validation[[#This Row],[Range1_Low]])+Validation[[#This Row],[Range1_Low]]</f>
        <v>173.42144966840581</v>
      </c>
      <c r="S787">
        <f>Validation[[#This Row],[Range2_High]]</f>
        <v>5.01</v>
      </c>
      <c r="T787" t="str" cm="1">
        <f t="array" aca="1" ref="T787" ca="1">RoundToTwoSigFigs(Validation[[#This Row],[Test Reading]]*Validation[[#This Row],[Mult]]+Validation[[#This Row],[Base]]) &amp;" "&amp;Validation[[#This Row],[Uncert_Units]]</f>
        <v>58000 mA</v>
      </c>
      <c r="U7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787" t="b">
        <f ca="1">Validation[[#This Row],[Desired Result]]=Validation[[#This Row],[Result]]</f>
        <v>1</v>
      </c>
      <c r="W787" t="b">
        <v>0</v>
      </c>
      <c r="X787" t="b">
        <f>Validation[[#This Row],[Range1_Low]]&gt;=Validation[[#This Row],[Range1_High]]</f>
        <v>0</v>
      </c>
      <c r="Y787" s="111" t="s">
        <v>2845</v>
      </c>
    </row>
    <row r="788" spans="1:25" ht="16.5" thickTop="1" thickBot="1" x14ac:dyDescent="0.3">
      <c r="A788" t="s">
        <v>54</v>
      </c>
      <c r="B788" t="s">
        <v>61</v>
      </c>
      <c r="C788" s="113">
        <v>11</v>
      </c>
      <c r="D788" s="113">
        <v>30.001000000000001</v>
      </c>
      <c r="E788">
        <v>0.1</v>
      </c>
      <c r="F788" t="s">
        <v>13</v>
      </c>
      <c r="G788" t="s">
        <v>12</v>
      </c>
      <c r="H788">
        <v>4.4999999999999998E-2</v>
      </c>
      <c r="I788">
        <v>1.0000100000000001</v>
      </c>
      <c r="J788" t="s">
        <v>10</v>
      </c>
      <c r="K788">
        <v>48.985999999999997</v>
      </c>
      <c r="L788">
        <v>1.2457</v>
      </c>
      <c r="M788">
        <v>48.966999999999999</v>
      </c>
      <c r="N788">
        <v>1.244</v>
      </c>
      <c r="O788" t="s">
        <v>2833</v>
      </c>
      <c r="P788" t="s">
        <v>157</v>
      </c>
      <c r="Q788" t="s">
        <v>2833</v>
      </c>
      <c r="R788">
        <f ca="1">RAND()*(Validation[[#This Row],[Range1_High]]-Validation[[#This Row],[Range1_Low]])+Validation[[#This Row],[Range1_Low]]</f>
        <v>21.133781911733518</v>
      </c>
      <c r="S788">
        <f>Validation[[#This Row],[Range2_High]]</f>
        <v>1.0000100000000001</v>
      </c>
      <c r="T788" t="str" cm="1">
        <f t="array" aca="1" ref="T788" ca="1">RoundToTwoSigFigs(Validation[[#This Row],[Test Reading]]*Validation[[#This Row],[Mult]]+Validation[[#This Row],[Base]]) &amp;" "&amp;Validation[[#This Row],[Uncert_Units]]</f>
        <v>75 mA</v>
      </c>
      <c r="U7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V788" t="b">
        <f ca="1">Validation[[#This Row],[Desired Result]]=Validation[[#This Row],[Result]]</f>
        <v>0</v>
      </c>
      <c r="W788" t="b">
        <v>1</v>
      </c>
      <c r="X788" t="b">
        <f>Validation[[#This Row],[Range1_Low]]&gt;=Validation[[#This Row],[Range1_High]]</f>
        <v>0</v>
      </c>
      <c r="Y788" s="111" t="s">
        <v>2843</v>
      </c>
    </row>
    <row r="789" spans="1:25" ht="16.5" thickTop="1" thickBot="1" x14ac:dyDescent="0.3">
      <c r="A789" t="s">
        <v>54</v>
      </c>
      <c r="B789" t="s">
        <v>61</v>
      </c>
      <c r="C789">
        <v>11</v>
      </c>
      <c r="D789">
        <v>30.001000000000001</v>
      </c>
      <c r="E789">
        <v>1E-3</v>
      </c>
      <c r="F789" t="s">
        <v>13</v>
      </c>
      <c r="G789" t="s">
        <v>12</v>
      </c>
      <c r="H789">
        <v>1</v>
      </c>
      <c r="I789">
        <v>5.01</v>
      </c>
      <c r="J789" t="s">
        <v>10</v>
      </c>
      <c r="K789">
        <v>12</v>
      </c>
      <c r="L789">
        <v>7.2</v>
      </c>
      <c r="M789">
        <v>11.173999999999999</v>
      </c>
      <c r="N789">
        <v>7.2092000000000001</v>
      </c>
      <c r="O789" t="s">
        <v>2833</v>
      </c>
      <c r="P789" t="s">
        <v>157</v>
      </c>
      <c r="Q789" t="s">
        <v>2833</v>
      </c>
      <c r="R789">
        <f ca="1">RAND()*(Validation[[#This Row],[Range1_High]]-Validation[[#This Row],[Range1_Low]])+Validation[[#This Row],[Range1_Low]]</f>
        <v>24.154637301668302</v>
      </c>
      <c r="S789">
        <f>Validation[[#This Row],[Range2_High]]</f>
        <v>5.01</v>
      </c>
      <c r="T789" t="str" cm="1">
        <f t="array" aca="1" ref="T789" ca="1">RoundToTwoSigFigs(Validation[[#This Row],[Test Reading]]*Validation[[#This Row],[Mult]]+Validation[[#This Row],[Base]]) &amp;" "&amp;Validation[[#This Row],[Uncert_Units]]</f>
        <v>190 mA</v>
      </c>
      <c r="U7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V789" t="b">
        <f ca="1">Validation[[#This Row],[Desired Result]]=Validation[[#This Row],[Result]]</f>
        <v>0</v>
      </c>
      <c r="W789" t="b">
        <v>1</v>
      </c>
      <c r="X789" t="b">
        <f>Validation[[#This Row],[Range1_Low]]&gt;=Validation[[#This Row],[Range1_High]]</f>
        <v>0</v>
      </c>
      <c r="Y789" s="111" t="s">
        <v>2845</v>
      </c>
    </row>
    <row r="790" spans="1:25" ht="16.5" thickTop="1" thickBot="1" x14ac:dyDescent="0.3">
      <c r="A790" t="s">
        <v>54</v>
      </c>
      <c r="B790" t="s">
        <v>61</v>
      </c>
      <c r="C790">
        <v>11</v>
      </c>
      <c r="D790">
        <v>30.001000000000001</v>
      </c>
      <c r="E790">
        <v>0.1</v>
      </c>
      <c r="F790" t="s">
        <v>13</v>
      </c>
      <c r="G790" t="s">
        <v>12</v>
      </c>
      <c r="H790" s="113">
        <v>5</v>
      </c>
      <c r="I790" s="113">
        <v>10</v>
      </c>
      <c r="J790" t="s">
        <v>10</v>
      </c>
      <c r="K790">
        <v>63.353000000000002</v>
      </c>
      <c r="L790">
        <v>28.821999999999999</v>
      </c>
      <c r="M790">
        <v>63.613</v>
      </c>
      <c r="N790">
        <v>28.797000000000001</v>
      </c>
      <c r="O790" t="s">
        <v>2833</v>
      </c>
      <c r="P790" t="s">
        <v>157</v>
      </c>
      <c r="Q790" t="s">
        <v>2833</v>
      </c>
      <c r="R790">
        <f ca="1">RAND()*(Validation[[#This Row],[Range1_High]]-Validation[[#This Row],[Range1_Low]])+Validation[[#This Row],[Range1_Low]]</f>
        <v>26.17484253938418</v>
      </c>
      <c r="S790">
        <f>Validation[[#This Row],[Range2_High]]</f>
        <v>10</v>
      </c>
      <c r="T790" t="str" cm="1">
        <f t="array" aca="1" ref="T790" ca="1">RoundToTwoSigFigs(Validation[[#This Row],[Test Reading]]*Validation[[#This Row],[Mult]]+Validation[[#This Row],[Base]]) &amp;" "&amp;Validation[[#This Row],[Uncert_Units]]</f>
        <v>820 mA</v>
      </c>
      <c r="U7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mA</v>
      </c>
      <c r="V790" t="b">
        <f ca="1">Validation[[#This Row],[Desired Result]]=Validation[[#This Row],[Result]]</f>
        <v>1</v>
      </c>
      <c r="W790" t="b">
        <v>1</v>
      </c>
      <c r="X790" t="b">
        <f>Validation[[#This Row],[Range1_Low]]&gt;=Validation[[#This Row],[Range1_High]]</f>
        <v>0</v>
      </c>
      <c r="Y790" s="114" t="s">
        <v>2846</v>
      </c>
    </row>
    <row r="791" spans="1:25" ht="15.75" thickTop="1" x14ac:dyDescent="0.25">
      <c r="A791" t="s">
        <v>54</v>
      </c>
      <c r="B791" t="s">
        <v>61</v>
      </c>
      <c r="C791">
        <v>110</v>
      </c>
      <c r="D791">
        <v>205.01</v>
      </c>
      <c r="E791">
        <v>100</v>
      </c>
      <c r="F791" t="s">
        <v>13</v>
      </c>
      <c r="G791" t="s">
        <v>12</v>
      </c>
      <c r="H791">
        <v>4.4999999999999998E-2</v>
      </c>
      <c r="I791">
        <v>0.10001</v>
      </c>
      <c r="J791" t="s">
        <v>10</v>
      </c>
      <c r="K791">
        <v>57999</v>
      </c>
      <c r="L791">
        <v>1.8526000000000001E-2</v>
      </c>
      <c r="M791">
        <v>57999</v>
      </c>
      <c r="N791">
        <v>1.7454999999999998E-2</v>
      </c>
      <c r="O791" t="s">
        <v>2833</v>
      </c>
      <c r="P791" t="s">
        <v>157</v>
      </c>
      <c r="Q791" t="s">
        <v>2833</v>
      </c>
      <c r="R791">
        <f ca="1">RAND()*(Validation[[#This Row],[Range1_High]]-Validation[[#This Row],[Range1_Low]])+Validation[[#This Row],[Range1_Low]]</f>
        <v>139.74818411492384</v>
      </c>
      <c r="S791">
        <f>Validation[[#This Row],[Range2_High]]</f>
        <v>0.10001</v>
      </c>
      <c r="T791" t="str" cm="1">
        <f t="array" aca="1" ref="T791" ca="1">RoundToTwoSigFigs(Validation[[#This Row],[Test Reading]]*Validation[[#This Row],[Mult]]+Validation[[#This Row],[Base]]) &amp;" "&amp;Validation[[#This Row],[Uncert_Units]]</f>
        <v>58000 mA</v>
      </c>
      <c r="U7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791" t="b">
        <f ca="1">Validation[[#This Row],[Desired Result]]=Validation[[#This Row],[Result]]</f>
        <v>1</v>
      </c>
      <c r="W791" t="b">
        <v>0</v>
      </c>
      <c r="X791" t="b">
        <f>Validation[[#This Row],[Range1_Low]]&gt;=Validation[[#This Row],[Range1_High]]</f>
        <v>0</v>
      </c>
      <c r="Y791" s="111" t="s">
        <v>2845</v>
      </c>
    </row>
    <row r="792" spans="1:25" x14ac:dyDescent="0.25">
      <c r="A792" t="s">
        <v>54</v>
      </c>
      <c r="B792" t="s">
        <v>61</v>
      </c>
      <c r="C792">
        <v>30</v>
      </c>
      <c r="D792">
        <v>110.01</v>
      </c>
      <c r="E792">
        <v>100</v>
      </c>
      <c r="F792" t="s">
        <v>13</v>
      </c>
      <c r="G792" t="s">
        <v>12</v>
      </c>
      <c r="H792">
        <v>4.4999999999999998E-2</v>
      </c>
      <c r="I792">
        <v>0.10001</v>
      </c>
      <c r="J792" t="s">
        <v>10</v>
      </c>
      <c r="K792">
        <v>58000</v>
      </c>
      <c r="L792">
        <v>5.9370999999999998E-3</v>
      </c>
      <c r="M792">
        <v>58000</v>
      </c>
      <c r="N792">
        <v>5.6828E-3</v>
      </c>
      <c r="O792" t="s">
        <v>2833</v>
      </c>
      <c r="P792" t="s">
        <v>157</v>
      </c>
      <c r="Q792" t="s">
        <v>2833</v>
      </c>
      <c r="R792">
        <f ca="1">RAND()*(Validation[[#This Row],[Range1_High]]-Validation[[#This Row],[Range1_Low]])+Validation[[#This Row],[Range1_Low]]</f>
        <v>57.459271446066509</v>
      </c>
      <c r="S792">
        <f>Validation[[#This Row],[Range2_High]]</f>
        <v>0.10001</v>
      </c>
      <c r="T792" t="str" cm="1">
        <f t="array" aca="1" ref="T792" ca="1">RoundToTwoSigFigs(Validation[[#This Row],[Test Reading]]*Validation[[#This Row],[Mult]]+Validation[[#This Row],[Base]]) &amp;" "&amp;Validation[[#This Row],[Uncert_Units]]</f>
        <v>58000 mA</v>
      </c>
      <c r="U7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792" t="b">
        <f ca="1">Validation[[#This Row],[Desired Result]]=Validation[[#This Row],[Result]]</f>
        <v>1</v>
      </c>
      <c r="W792" t="b">
        <v>0</v>
      </c>
      <c r="X792" t="b">
        <f>Validation[[#This Row],[Range1_Low]]&gt;=Validation[[#This Row],[Range1_High]]</f>
        <v>0</v>
      </c>
      <c r="Y792" s="111" t="s">
        <v>2845</v>
      </c>
    </row>
    <row r="793" spans="1:25" x14ac:dyDescent="0.25">
      <c r="A793" t="s">
        <v>54</v>
      </c>
      <c r="B793" t="s">
        <v>61</v>
      </c>
      <c r="C793">
        <v>1</v>
      </c>
      <c r="D793">
        <v>11.000999999999999</v>
      </c>
      <c r="E793">
        <v>10</v>
      </c>
      <c r="F793" t="s">
        <v>13</v>
      </c>
      <c r="G793" t="s">
        <v>12</v>
      </c>
      <c r="H793">
        <v>0.01</v>
      </c>
      <c r="I793">
        <v>4.5010000000000001E-2</v>
      </c>
      <c r="J793" t="s">
        <v>10</v>
      </c>
      <c r="K793">
        <v>58000</v>
      </c>
      <c r="L793">
        <v>9.8346000000000002E-4</v>
      </c>
      <c r="M793">
        <v>58000</v>
      </c>
      <c r="N793">
        <v>9.0207999999999998E-4</v>
      </c>
      <c r="O793" t="s">
        <v>2833</v>
      </c>
      <c r="P793" t="s">
        <v>157</v>
      </c>
      <c r="Q793" t="s">
        <v>2833</v>
      </c>
      <c r="R793">
        <f ca="1">RAND()*(Validation[[#This Row],[Range1_High]]-Validation[[#This Row],[Range1_Low]])+Validation[[#This Row],[Range1_Low]]</f>
        <v>8.2866549799125888</v>
      </c>
      <c r="S793">
        <f>Validation[[#This Row],[Range2_High]]</f>
        <v>4.5010000000000001E-2</v>
      </c>
      <c r="T793" t="str" cm="1">
        <f t="array" aca="1" ref="T793" ca="1">RoundToTwoSigFigs(Validation[[#This Row],[Test Reading]]*Validation[[#This Row],[Mult]]+Validation[[#This Row],[Base]]) &amp;" "&amp;Validation[[#This Row],[Uncert_Units]]</f>
        <v>58000 mA</v>
      </c>
      <c r="U7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793" t="b">
        <f ca="1">Validation[[#This Row],[Desired Result]]=Validation[[#This Row],[Result]]</f>
        <v>0</v>
      </c>
      <c r="W793" t="b">
        <v>1</v>
      </c>
      <c r="X793" t="b">
        <f>Validation[[#This Row],[Range1_Low]]&gt;=Validation[[#This Row],[Range1_High]]</f>
        <v>0</v>
      </c>
      <c r="Y793" s="111" t="s">
        <v>2845</v>
      </c>
    </row>
    <row r="794" spans="1:25" x14ac:dyDescent="0.25">
      <c r="A794" t="s">
        <v>54</v>
      </c>
      <c r="B794" t="s">
        <v>61</v>
      </c>
      <c r="C794">
        <v>11</v>
      </c>
      <c r="D794">
        <v>30.001000000000001</v>
      </c>
      <c r="E794">
        <v>0.01</v>
      </c>
      <c r="F794" t="s">
        <v>13</v>
      </c>
      <c r="G794" t="s">
        <v>12</v>
      </c>
      <c r="H794">
        <v>1</v>
      </c>
      <c r="I794">
        <v>5.01</v>
      </c>
      <c r="J794" t="s">
        <v>10</v>
      </c>
      <c r="K794">
        <v>12</v>
      </c>
      <c r="L794">
        <v>7.2</v>
      </c>
      <c r="M794">
        <v>11.422000000000001</v>
      </c>
      <c r="N794">
        <v>7.2034000000000002</v>
      </c>
      <c r="O794" t="s">
        <v>2833</v>
      </c>
      <c r="P794" t="s">
        <v>157</v>
      </c>
      <c r="Q794" t="s">
        <v>2833</v>
      </c>
      <c r="R794">
        <f ca="1">RAND()*(Validation[[#This Row],[Range1_High]]-Validation[[#This Row],[Range1_Low]])+Validation[[#This Row],[Range1_Low]]</f>
        <v>21.999168764983381</v>
      </c>
      <c r="S794">
        <f>Validation[[#This Row],[Range2_High]]</f>
        <v>5.01</v>
      </c>
      <c r="T794" t="str" cm="1">
        <f t="array" aca="1" ref="T794" ca="1">RoundToTwoSigFigs(Validation[[#This Row],[Test Reading]]*Validation[[#This Row],[Mult]]+Validation[[#This Row],[Base]]) &amp;" "&amp;Validation[[#This Row],[Uncert_Units]]</f>
        <v>170 mA</v>
      </c>
      <c r="U7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V794" t="b">
        <f ca="1">Validation[[#This Row],[Desired Result]]=Validation[[#This Row],[Result]]</f>
        <v>1</v>
      </c>
      <c r="W794" t="b">
        <v>0</v>
      </c>
      <c r="X794" t="b">
        <f>Validation[[#This Row],[Range1_Low]]&gt;=Validation[[#This Row],[Range1_High]]</f>
        <v>0</v>
      </c>
      <c r="Y794" s="111" t="s">
        <v>2845</v>
      </c>
    </row>
    <row r="795" spans="1:25" x14ac:dyDescent="0.25">
      <c r="A795" t="s">
        <v>54</v>
      </c>
      <c r="B795" t="s">
        <v>61</v>
      </c>
      <c r="C795">
        <v>1</v>
      </c>
      <c r="D795">
        <v>11.000999999999999</v>
      </c>
      <c r="E795">
        <v>1E-4</v>
      </c>
      <c r="F795" t="s">
        <v>13</v>
      </c>
      <c r="G795" t="s">
        <v>12</v>
      </c>
      <c r="H795">
        <v>0.01</v>
      </c>
      <c r="I795">
        <v>4.5010000000000001E-2</v>
      </c>
      <c r="J795" t="s">
        <v>10</v>
      </c>
      <c r="K795">
        <v>3.3</v>
      </c>
      <c r="L795">
        <v>2.7</v>
      </c>
      <c r="M795">
        <v>0.97318000000000005</v>
      </c>
      <c r="N795">
        <v>2.8730000000000002</v>
      </c>
      <c r="O795" t="s">
        <v>2833</v>
      </c>
      <c r="P795" t="s">
        <v>157</v>
      </c>
      <c r="Q795" t="s">
        <v>2833</v>
      </c>
      <c r="R795">
        <f ca="1">RAND()*(Validation[[#This Row],[Range1_High]]-Validation[[#This Row],[Range1_Low]])+Validation[[#This Row],[Range1_Low]]</f>
        <v>9.3839119154691311</v>
      </c>
      <c r="S795">
        <f>Validation[[#This Row],[Range2_High]]</f>
        <v>4.5010000000000001E-2</v>
      </c>
      <c r="T795" t="str" cm="1">
        <f t="array" aca="1" ref="T795" ca="1">RoundToTwoSigFigs(Validation[[#This Row],[Test Reading]]*Validation[[#This Row],[Mult]]+Validation[[#This Row],[Base]]) &amp;" "&amp;Validation[[#This Row],[Uncert_Units]]</f>
        <v>29 mA</v>
      </c>
      <c r="U7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mA</v>
      </c>
      <c r="V795" t="b">
        <f ca="1">Validation[[#This Row],[Desired Result]]=Validation[[#This Row],[Result]]</f>
        <v>1</v>
      </c>
      <c r="W795" t="b">
        <v>0</v>
      </c>
      <c r="X795" t="b">
        <f>Validation[[#This Row],[Range1_Low]]&gt;=Validation[[#This Row],[Range1_High]]</f>
        <v>0</v>
      </c>
      <c r="Y795" s="111" t="s">
        <v>2845</v>
      </c>
    </row>
    <row r="796" spans="1:25" x14ac:dyDescent="0.25">
      <c r="A796" t="s">
        <v>54</v>
      </c>
      <c r="B796" t="s">
        <v>61</v>
      </c>
      <c r="C796">
        <v>1</v>
      </c>
      <c r="D796">
        <v>11.000999999999999</v>
      </c>
      <c r="E796">
        <v>1E-3</v>
      </c>
      <c r="F796" t="s">
        <v>13</v>
      </c>
      <c r="G796" t="s">
        <v>12</v>
      </c>
      <c r="H796">
        <v>4.4999999999999998E-2</v>
      </c>
      <c r="I796">
        <v>1.0000100000000001</v>
      </c>
      <c r="J796" t="s">
        <v>10</v>
      </c>
      <c r="K796">
        <v>0.66</v>
      </c>
      <c r="L796">
        <v>2.1</v>
      </c>
      <c r="M796">
        <v>0.65508</v>
      </c>
      <c r="N796">
        <v>2.0543</v>
      </c>
      <c r="O796" t="s">
        <v>2833</v>
      </c>
      <c r="P796" t="s">
        <v>157</v>
      </c>
      <c r="Q796" t="s">
        <v>2833</v>
      </c>
      <c r="R796">
        <f ca="1">RAND()*(Validation[[#This Row],[Range1_High]]-Validation[[#This Row],[Range1_Low]])+Validation[[#This Row],[Range1_Low]]</f>
        <v>6.3963038226633966</v>
      </c>
      <c r="S796">
        <f>Validation[[#This Row],[Range2_High]]</f>
        <v>1.0000100000000001</v>
      </c>
      <c r="T796" t="str" cm="1">
        <f t="array" aca="1" ref="T796" ca="1">RoundToTwoSigFigs(Validation[[#This Row],[Test Reading]]*Validation[[#This Row],[Mult]]+Validation[[#This Row],[Base]]) &amp;" "&amp;Validation[[#This Row],[Uncert_Units]]</f>
        <v>14 mA</v>
      </c>
      <c r="U7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796" t="b">
        <f ca="1">Validation[[#This Row],[Desired Result]]=Validation[[#This Row],[Result]]</f>
        <v>0</v>
      </c>
      <c r="W796" t="b">
        <v>1</v>
      </c>
      <c r="X796" t="b">
        <f>Validation[[#This Row],[Range1_Low]]&gt;=Validation[[#This Row],[Range1_High]]</f>
        <v>0</v>
      </c>
      <c r="Y796" s="111" t="s">
        <v>2845</v>
      </c>
    </row>
    <row r="797" spans="1:25" x14ac:dyDescent="0.25">
      <c r="A797" t="s">
        <v>54</v>
      </c>
      <c r="B797" t="s">
        <v>61</v>
      </c>
      <c r="C797">
        <v>1</v>
      </c>
      <c r="D797">
        <v>11.000999999999999</v>
      </c>
      <c r="E797">
        <v>10</v>
      </c>
      <c r="F797" t="s">
        <v>13</v>
      </c>
      <c r="G797" t="s">
        <v>12</v>
      </c>
      <c r="H797">
        <v>10</v>
      </c>
      <c r="I797">
        <v>10.01</v>
      </c>
      <c r="J797" t="s">
        <v>10</v>
      </c>
      <c r="K797">
        <v>5799.5</v>
      </c>
      <c r="L797">
        <v>1.1535</v>
      </c>
      <c r="M797">
        <v>5799.5</v>
      </c>
      <c r="N797">
        <v>1.1523000000000001</v>
      </c>
      <c r="O797" t="s">
        <v>2833</v>
      </c>
      <c r="P797" t="s">
        <v>157</v>
      </c>
      <c r="Q797" t="s">
        <v>2833</v>
      </c>
      <c r="R797">
        <f ca="1">RAND()*(Validation[[#This Row],[Range1_High]]-Validation[[#This Row],[Range1_Low]])+Validation[[#This Row],[Range1_Low]]</f>
        <v>8.2962220115535068</v>
      </c>
      <c r="S797">
        <f>Validation[[#This Row],[Range2_High]]</f>
        <v>10.01</v>
      </c>
      <c r="T797" t="str" cm="1">
        <f t="array" aca="1" ref="T797" ca="1">RoundToTwoSigFigs(Validation[[#This Row],[Test Reading]]*Validation[[#This Row],[Mult]]+Validation[[#This Row],[Base]]) &amp;" "&amp;Validation[[#This Row],[Uncert_Units]]</f>
        <v>5800 mA</v>
      </c>
      <c r="U7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797" t="b">
        <f ca="1">Validation[[#This Row],[Desired Result]]=Validation[[#This Row],[Result]]</f>
        <v>1</v>
      </c>
      <c r="W797" t="b">
        <v>0</v>
      </c>
      <c r="X797" t="b">
        <f>Validation[[#This Row],[Range1_Low]]&gt;=Validation[[#This Row],[Range1_High]]</f>
        <v>0</v>
      </c>
      <c r="Y797" s="111" t="s">
        <v>2845</v>
      </c>
    </row>
    <row r="798" spans="1:25" x14ac:dyDescent="0.25">
      <c r="A798" t="s">
        <v>54</v>
      </c>
      <c r="B798" t="s">
        <v>61</v>
      </c>
      <c r="C798">
        <v>11</v>
      </c>
      <c r="D798">
        <v>30.001000000000001</v>
      </c>
      <c r="E798">
        <v>1</v>
      </c>
      <c r="F798" t="s">
        <v>13</v>
      </c>
      <c r="G798" t="s">
        <v>12</v>
      </c>
      <c r="H798">
        <v>5</v>
      </c>
      <c r="I798">
        <v>10</v>
      </c>
      <c r="J798" t="s">
        <v>10</v>
      </c>
      <c r="K798">
        <v>458.92</v>
      </c>
      <c r="L798">
        <v>21.117999999999999</v>
      </c>
      <c r="M798">
        <v>458.89</v>
      </c>
      <c r="N798">
        <v>21.117000000000001</v>
      </c>
      <c r="O798" t="s">
        <v>2833</v>
      </c>
      <c r="P798" t="s">
        <v>157</v>
      </c>
      <c r="Q798" t="s">
        <v>2833</v>
      </c>
      <c r="R798">
        <f ca="1">RAND()*(Validation[[#This Row],[Range1_High]]-Validation[[#This Row],[Range1_Low]])+Validation[[#This Row],[Range1_Low]]</f>
        <v>26.572122839344821</v>
      </c>
      <c r="S798">
        <f>Validation[[#This Row],[Range2_High]]</f>
        <v>10</v>
      </c>
      <c r="T798" t="str" cm="1">
        <f t="array" aca="1" ref="T798" ca="1">RoundToTwoSigFigs(Validation[[#This Row],[Test Reading]]*Validation[[#This Row],[Mult]]+Validation[[#This Row],[Base]]) &amp;" "&amp;Validation[[#This Row],[Uncert_Units]]</f>
        <v>1000 mA</v>
      </c>
      <c r="U7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V798" t="b">
        <f ca="1">Validation[[#This Row],[Desired Result]]=Validation[[#This Row],[Result]]</f>
        <v>1</v>
      </c>
      <c r="W798" t="b">
        <v>1</v>
      </c>
      <c r="X798" t="b">
        <f>Validation[[#This Row],[Range1_Low]]&gt;=Validation[[#This Row],[Range1_High]]</f>
        <v>0</v>
      </c>
      <c r="Y798" s="111" t="s">
        <v>2845</v>
      </c>
    </row>
    <row r="799" spans="1:25" x14ac:dyDescent="0.25">
      <c r="A799" t="s">
        <v>54</v>
      </c>
      <c r="B799" t="s">
        <v>61</v>
      </c>
      <c r="C799">
        <v>11</v>
      </c>
      <c r="D799">
        <v>30.001000000000001</v>
      </c>
      <c r="E799">
        <v>1E-3</v>
      </c>
      <c r="F799" t="s">
        <v>13</v>
      </c>
      <c r="G799" t="s">
        <v>12</v>
      </c>
      <c r="H799">
        <v>4.4999999999999998E-2</v>
      </c>
      <c r="I799">
        <v>1.0000100000000001</v>
      </c>
      <c r="J799" t="s">
        <v>10</v>
      </c>
      <c r="K799">
        <v>0.9</v>
      </c>
      <c r="L799">
        <v>2.1</v>
      </c>
      <c r="M799">
        <v>0.42297000000000001</v>
      </c>
      <c r="N799">
        <v>2.1154999999999999</v>
      </c>
      <c r="O799" t="s">
        <v>2833</v>
      </c>
      <c r="P799" t="s">
        <v>157</v>
      </c>
      <c r="Q799" t="s">
        <v>2833</v>
      </c>
      <c r="R799">
        <f ca="1">RAND()*(Validation[[#This Row],[Range1_High]]-Validation[[#This Row],[Range1_Low]])+Validation[[#This Row],[Range1_Low]]</f>
        <v>22.249387472418825</v>
      </c>
      <c r="S799">
        <f>Validation[[#This Row],[Range2_High]]</f>
        <v>1.0000100000000001</v>
      </c>
      <c r="T799" t="str" cm="1">
        <f t="array" aca="1" ref="T799" ca="1">RoundToTwoSigFigs(Validation[[#This Row],[Test Reading]]*Validation[[#This Row],[Mult]]+Validation[[#This Row],[Base]]) &amp;" "&amp;Validation[[#This Row],[Uncert_Units]]</f>
        <v>48 mA</v>
      </c>
      <c r="U7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mA</v>
      </c>
      <c r="V799" t="b">
        <f ca="1">Validation[[#This Row],[Desired Result]]=Validation[[#This Row],[Result]]</f>
        <v>1</v>
      </c>
      <c r="W799" t="b">
        <v>1</v>
      </c>
      <c r="X799" t="b">
        <f>Validation[[#This Row],[Range1_Low]]&gt;=Validation[[#This Row],[Range1_High]]</f>
        <v>0</v>
      </c>
      <c r="Y799" s="111" t="s">
        <v>2845</v>
      </c>
    </row>
    <row r="800" spans="1:25" x14ac:dyDescent="0.25">
      <c r="A800" t="s">
        <v>54</v>
      </c>
      <c r="B800" t="s">
        <v>61</v>
      </c>
      <c r="C800">
        <v>1</v>
      </c>
      <c r="D800">
        <v>11.000999999999999</v>
      </c>
      <c r="E800">
        <v>1</v>
      </c>
      <c r="F800" t="s">
        <v>13</v>
      </c>
      <c r="G800" t="s">
        <v>12</v>
      </c>
      <c r="H800">
        <v>0.01</v>
      </c>
      <c r="I800">
        <v>4.5010000000000001E-2</v>
      </c>
      <c r="J800" t="s">
        <v>10</v>
      </c>
      <c r="K800">
        <v>5800</v>
      </c>
      <c r="L800">
        <v>9.2241000000000007E-3</v>
      </c>
      <c r="M800">
        <v>5800</v>
      </c>
      <c r="N800">
        <v>9.0206999999999996E-3</v>
      </c>
      <c r="O800" t="s">
        <v>2833</v>
      </c>
      <c r="P800" t="s">
        <v>157</v>
      </c>
      <c r="Q800" t="s">
        <v>2833</v>
      </c>
      <c r="R800">
        <f ca="1">RAND()*(Validation[[#This Row],[Range1_High]]-Validation[[#This Row],[Range1_Low]])+Validation[[#This Row],[Range1_Low]]</f>
        <v>4.7535848010964852</v>
      </c>
      <c r="S800">
        <f>Validation[[#This Row],[Range2_High]]</f>
        <v>4.5010000000000001E-2</v>
      </c>
      <c r="T800" t="str" cm="1">
        <f t="array" aca="1" ref="T800" ca="1">RoundToTwoSigFigs(Validation[[#This Row],[Test Reading]]*Validation[[#This Row],[Mult]]+Validation[[#This Row],[Base]]) &amp;" "&amp;Validation[[#This Row],[Uncert_Units]]</f>
        <v>5800 mA</v>
      </c>
      <c r="U8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800" t="b">
        <f ca="1">Validation[[#This Row],[Desired Result]]=Validation[[#This Row],[Result]]</f>
        <v>1</v>
      </c>
      <c r="W800" t="b">
        <v>0</v>
      </c>
      <c r="X800" t="b">
        <f>Validation[[#This Row],[Range1_Low]]&gt;=Validation[[#This Row],[Range1_High]]</f>
        <v>0</v>
      </c>
      <c r="Y800" s="111" t="s">
        <v>2845</v>
      </c>
    </row>
    <row r="801" spans="1:25" ht="15.75" thickBot="1" x14ac:dyDescent="0.3">
      <c r="A801" t="s">
        <v>54</v>
      </c>
      <c r="B801" t="s">
        <v>61</v>
      </c>
      <c r="C801">
        <v>30</v>
      </c>
      <c r="D801">
        <v>110.01</v>
      </c>
      <c r="E801">
        <v>100</v>
      </c>
      <c r="F801" t="s">
        <v>13</v>
      </c>
      <c r="G801" t="s">
        <v>12</v>
      </c>
      <c r="H801">
        <v>0.1</v>
      </c>
      <c r="I801">
        <v>1.0000100000000001</v>
      </c>
      <c r="J801" t="s">
        <v>10</v>
      </c>
      <c r="K801">
        <v>58000</v>
      </c>
      <c r="L801">
        <v>7.1509E-3</v>
      </c>
      <c r="M801">
        <v>58000</v>
      </c>
      <c r="N801">
        <v>6.8966000000000001E-3</v>
      </c>
      <c r="O801" t="s">
        <v>2833</v>
      </c>
      <c r="P801" t="s">
        <v>157</v>
      </c>
      <c r="Q801" t="s">
        <v>2833</v>
      </c>
      <c r="R801">
        <f ca="1">RAND()*(Validation[[#This Row],[Range1_High]]-Validation[[#This Row],[Range1_Low]])+Validation[[#This Row],[Range1_Low]]</f>
        <v>33.674731243906614</v>
      </c>
      <c r="S801">
        <f>Validation[[#This Row],[Range2_High]]</f>
        <v>1.0000100000000001</v>
      </c>
      <c r="T801" t="str" cm="1">
        <f t="array" aca="1" ref="T801" ca="1">RoundToTwoSigFigs(Validation[[#This Row],[Test Reading]]*Validation[[#This Row],[Mult]]+Validation[[#This Row],[Base]]) &amp;" "&amp;Validation[[#This Row],[Uncert_Units]]</f>
        <v>58000 mA</v>
      </c>
      <c r="U8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01" t="b">
        <f ca="1">Validation[[#This Row],[Desired Result]]=Validation[[#This Row],[Result]]</f>
        <v>1</v>
      </c>
      <c r="W801" t="b">
        <v>0</v>
      </c>
      <c r="X801" t="b">
        <f>Validation[[#This Row],[Range1_Low]]&gt;=Validation[[#This Row],[Range1_High]]</f>
        <v>0</v>
      </c>
      <c r="Y801" s="111" t="s">
        <v>2845</v>
      </c>
    </row>
    <row r="802" spans="1:25" ht="16.5" thickTop="1" thickBot="1" x14ac:dyDescent="0.3">
      <c r="A802" t="s">
        <v>54</v>
      </c>
      <c r="B802" t="s">
        <v>61</v>
      </c>
      <c r="C802" s="113">
        <v>110</v>
      </c>
      <c r="D802" s="113">
        <v>205.01</v>
      </c>
      <c r="E802">
        <v>1</v>
      </c>
      <c r="F802" t="s">
        <v>13</v>
      </c>
      <c r="G802" t="s">
        <v>12</v>
      </c>
      <c r="H802">
        <v>4.4999999999999998E-2</v>
      </c>
      <c r="I802">
        <v>0.10001</v>
      </c>
      <c r="J802" t="s">
        <v>10</v>
      </c>
      <c r="K802">
        <v>500.59</v>
      </c>
      <c r="L802">
        <v>1.4072</v>
      </c>
      <c r="M802">
        <v>500.63</v>
      </c>
      <c r="N802">
        <v>1.403</v>
      </c>
      <c r="O802" t="s">
        <v>2833</v>
      </c>
      <c r="P802" t="s">
        <v>157</v>
      </c>
      <c r="Q802" t="s">
        <v>2833</v>
      </c>
      <c r="R802">
        <f ca="1">RAND()*(Validation[[#This Row],[Range1_High]]-Validation[[#This Row],[Range1_Low]])+Validation[[#This Row],[Range1_Low]]</f>
        <v>145.63138728559596</v>
      </c>
      <c r="S802">
        <f>Validation[[#This Row],[Range2_High]]</f>
        <v>0.10001</v>
      </c>
      <c r="T802" t="str" cm="1">
        <f t="array" aca="1" ref="T802" ca="1">RoundToTwoSigFigs(Validation[[#This Row],[Test Reading]]*Validation[[#This Row],[Mult]]+Validation[[#This Row],[Base]]) &amp;" "&amp;Validation[[#This Row],[Uncert_Units]]</f>
        <v>710 mA</v>
      </c>
      <c r="U8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V802" t="b">
        <f ca="1">Validation[[#This Row],[Desired Result]]=Validation[[#This Row],[Result]]</f>
        <v>0</v>
      </c>
      <c r="W802" t="b">
        <v>1</v>
      </c>
      <c r="X802" t="b">
        <f>Validation[[#This Row],[Range1_Low]]&gt;=Validation[[#This Row],[Range1_High]]</f>
        <v>0</v>
      </c>
      <c r="Y802" s="111" t="s">
        <v>2843</v>
      </c>
    </row>
    <row r="803" spans="1:25" ht="16.5" thickTop="1" thickBot="1" x14ac:dyDescent="0.3">
      <c r="A803" t="s">
        <v>54</v>
      </c>
      <c r="B803" t="s">
        <v>61</v>
      </c>
      <c r="C803">
        <v>11</v>
      </c>
      <c r="D803">
        <v>30.001000000000001</v>
      </c>
      <c r="E803">
        <v>1</v>
      </c>
      <c r="F803" t="s">
        <v>13</v>
      </c>
      <c r="G803" t="s">
        <v>12</v>
      </c>
      <c r="H803">
        <v>1</v>
      </c>
      <c r="I803">
        <v>5.01</v>
      </c>
      <c r="J803" t="s">
        <v>10</v>
      </c>
      <c r="K803">
        <v>566.19000000000005</v>
      </c>
      <c r="L803">
        <v>1.8955</v>
      </c>
      <c r="M803">
        <v>566.17999999999995</v>
      </c>
      <c r="N803">
        <v>1.8942000000000001</v>
      </c>
      <c r="O803" t="s">
        <v>2833</v>
      </c>
      <c r="P803" t="s">
        <v>157</v>
      </c>
      <c r="Q803" t="s">
        <v>2833</v>
      </c>
      <c r="R803">
        <f ca="1">RAND()*(Validation[[#This Row],[Range1_High]]-Validation[[#This Row],[Range1_Low]])+Validation[[#This Row],[Range1_Low]]</f>
        <v>20.34767245882761</v>
      </c>
      <c r="S803">
        <f>Validation[[#This Row],[Range2_High]]</f>
        <v>5.01</v>
      </c>
      <c r="T803" t="str" cm="1">
        <f t="array" aca="1" ref="T803" ca="1">RoundToTwoSigFigs(Validation[[#This Row],[Test Reading]]*Validation[[#This Row],[Mult]]+Validation[[#This Row],[Base]]) &amp;" "&amp;Validation[[#This Row],[Uncert_Units]]</f>
        <v>600 mA</v>
      </c>
      <c r="U8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V803" t="b">
        <f ca="1">Validation[[#This Row],[Desired Result]]=Validation[[#This Row],[Result]]</f>
        <v>1</v>
      </c>
      <c r="W803" t="b">
        <v>0</v>
      </c>
      <c r="X803" t="b">
        <f>Validation[[#This Row],[Range1_Low]]&gt;=Validation[[#This Row],[Range1_High]]</f>
        <v>0</v>
      </c>
      <c r="Y803" s="111" t="s">
        <v>2845</v>
      </c>
    </row>
    <row r="804" spans="1:25" ht="16.5" thickTop="1" thickBot="1" x14ac:dyDescent="0.3">
      <c r="A804" t="s">
        <v>54</v>
      </c>
      <c r="B804" t="s">
        <v>61</v>
      </c>
      <c r="C804" s="113">
        <v>11</v>
      </c>
      <c r="D804" s="113">
        <v>30.001000000000001</v>
      </c>
      <c r="E804">
        <v>0.01</v>
      </c>
      <c r="F804" t="s">
        <v>13</v>
      </c>
      <c r="G804" t="s">
        <v>12</v>
      </c>
      <c r="H804">
        <v>0.01</v>
      </c>
      <c r="I804">
        <v>4.5010000000000001E-2</v>
      </c>
      <c r="J804" t="s">
        <v>10</v>
      </c>
      <c r="K804">
        <v>1.4280999999999999</v>
      </c>
      <c r="L804">
        <v>2.8814000000000002</v>
      </c>
      <c r="M804">
        <v>1.5428999999999999</v>
      </c>
      <c r="N804">
        <v>2.8673000000000002</v>
      </c>
      <c r="O804" t="s">
        <v>2833</v>
      </c>
      <c r="P804" t="s">
        <v>157</v>
      </c>
      <c r="Q804" t="s">
        <v>2833</v>
      </c>
      <c r="R804">
        <f ca="1">RAND()*(Validation[[#This Row],[Range1_High]]-Validation[[#This Row],[Range1_Low]])+Validation[[#This Row],[Range1_Low]]</f>
        <v>12.479047763893178</v>
      </c>
      <c r="S804">
        <f>Validation[[#This Row],[Range2_High]]</f>
        <v>4.5010000000000001E-2</v>
      </c>
      <c r="T804" t="str" cm="1">
        <f t="array" aca="1" ref="T804" ca="1">RoundToTwoSigFigs(Validation[[#This Row],[Test Reading]]*Validation[[#This Row],[Mult]]+Validation[[#This Row],[Base]]) &amp;" "&amp;Validation[[#This Row],[Uncert_Units]]</f>
        <v>37 mA</v>
      </c>
      <c r="U8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V804" t="b">
        <f ca="1">Validation[[#This Row],[Desired Result]]=Validation[[#This Row],[Result]]</f>
        <v>0</v>
      </c>
      <c r="W804" t="b">
        <v>1</v>
      </c>
      <c r="X804" t="b">
        <f>Validation[[#This Row],[Range1_Low]]&gt;=Validation[[#This Row],[Range1_High]]</f>
        <v>0</v>
      </c>
      <c r="Y804" s="111" t="s">
        <v>2843</v>
      </c>
    </row>
    <row r="805" spans="1:25" ht="15.75" thickTop="1" x14ac:dyDescent="0.25">
      <c r="A805" t="s">
        <v>54</v>
      </c>
      <c r="B805" t="s">
        <v>61</v>
      </c>
      <c r="C805">
        <v>1</v>
      </c>
      <c r="D805">
        <v>11.000999999999999</v>
      </c>
      <c r="E805">
        <v>1E-3</v>
      </c>
      <c r="F805" t="s">
        <v>13</v>
      </c>
      <c r="G805" t="s">
        <v>12</v>
      </c>
      <c r="H805">
        <v>5</v>
      </c>
      <c r="I805">
        <v>10</v>
      </c>
      <c r="J805" t="s">
        <v>10</v>
      </c>
      <c r="K805">
        <v>58</v>
      </c>
      <c r="L805">
        <v>29</v>
      </c>
      <c r="M805">
        <v>57.703000000000003</v>
      </c>
      <c r="N805">
        <v>28.928999999999998</v>
      </c>
      <c r="O805" t="s">
        <v>2833</v>
      </c>
      <c r="P805" t="s">
        <v>157</v>
      </c>
      <c r="Q805" t="s">
        <v>2833</v>
      </c>
      <c r="R805">
        <f ca="1">RAND()*(Validation[[#This Row],[Range1_High]]-Validation[[#This Row],[Range1_Low]])+Validation[[#This Row],[Range1_Low]]</f>
        <v>8.1883783452324828</v>
      </c>
      <c r="S805">
        <f>Validation[[#This Row],[Range2_High]]</f>
        <v>10</v>
      </c>
      <c r="T805" t="str" cm="1">
        <f t="array" aca="1" ref="T805" ca="1">RoundToTwoSigFigs(Validation[[#This Row],[Test Reading]]*Validation[[#This Row],[Mult]]+Validation[[#This Row],[Base]]) &amp;" "&amp;Validation[[#This Row],[Uncert_Units]]</f>
        <v>300 mA</v>
      </c>
      <c r="U8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V805" t="b">
        <f ca="1">Validation[[#This Row],[Desired Result]]=Validation[[#This Row],[Result]]</f>
        <v>1</v>
      </c>
      <c r="W805" t="b">
        <v>0</v>
      </c>
      <c r="X805" t="b">
        <f>Validation[[#This Row],[Range1_Low]]&gt;=Validation[[#This Row],[Range1_High]]</f>
        <v>0</v>
      </c>
      <c r="Y805" s="111" t="s">
        <v>2845</v>
      </c>
    </row>
    <row r="806" spans="1:25" x14ac:dyDescent="0.25">
      <c r="A806" t="s">
        <v>54</v>
      </c>
      <c r="B806" t="s">
        <v>61</v>
      </c>
      <c r="C806">
        <v>11</v>
      </c>
      <c r="D806">
        <v>30.001000000000001</v>
      </c>
      <c r="E806">
        <v>0.01</v>
      </c>
      <c r="F806" t="s">
        <v>13</v>
      </c>
      <c r="G806" t="s">
        <v>12</v>
      </c>
      <c r="H806">
        <v>10</v>
      </c>
      <c r="I806">
        <v>10.01</v>
      </c>
      <c r="J806" t="s">
        <v>10</v>
      </c>
      <c r="K806">
        <v>58</v>
      </c>
      <c r="L806">
        <v>29</v>
      </c>
      <c r="M806">
        <v>57.682000000000002</v>
      </c>
      <c r="N806">
        <v>28.934999999999999</v>
      </c>
      <c r="O806" t="s">
        <v>2833</v>
      </c>
      <c r="P806" t="s">
        <v>157</v>
      </c>
      <c r="Q806" t="s">
        <v>2833</v>
      </c>
      <c r="R806">
        <f ca="1">RAND()*(Validation[[#This Row],[Range1_High]]-Validation[[#This Row],[Range1_Low]])+Validation[[#This Row],[Range1_Low]]</f>
        <v>27.109166559466242</v>
      </c>
      <c r="S806">
        <f>Validation[[#This Row],[Range2_High]]</f>
        <v>10.01</v>
      </c>
      <c r="T806" t="str" cm="1">
        <f t="array" aca="1" ref="T806" ca="1">RoundToTwoSigFigs(Validation[[#This Row],[Test Reading]]*Validation[[#This Row],[Mult]]+Validation[[#This Row],[Base]]) &amp;" "&amp;Validation[[#This Row],[Uncert_Units]]</f>
        <v>840 mA</v>
      </c>
      <c r="U8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V806" t="b">
        <f ca="1">Validation[[#This Row],[Desired Result]]=Validation[[#This Row],[Result]]</f>
        <v>1</v>
      </c>
      <c r="W806" t="b">
        <v>0</v>
      </c>
      <c r="X806" t="b">
        <f>Validation[[#This Row],[Range1_Low]]&gt;=Validation[[#This Row],[Range1_High]]</f>
        <v>0</v>
      </c>
      <c r="Y806" s="111" t="s">
        <v>2845</v>
      </c>
    </row>
    <row r="807" spans="1:25" ht="15.75" thickBot="1" x14ac:dyDescent="0.3">
      <c r="A807" t="s">
        <v>54</v>
      </c>
      <c r="B807" t="s">
        <v>61</v>
      </c>
      <c r="C807">
        <v>11</v>
      </c>
      <c r="D807">
        <v>30.001000000000001</v>
      </c>
      <c r="E807">
        <v>1</v>
      </c>
      <c r="F807" t="s">
        <v>13</v>
      </c>
      <c r="G807" t="s">
        <v>12</v>
      </c>
      <c r="H807">
        <v>10</v>
      </c>
      <c r="I807">
        <v>10.01</v>
      </c>
      <c r="J807" t="s">
        <v>10</v>
      </c>
      <c r="K807">
        <v>458.92</v>
      </c>
      <c r="L807">
        <v>21.117999999999999</v>
      </c>
      <c r="M807">
        <v>458.89</v>
      </c>
      <c r="N807">
        <v>21.117000000000001</v>
      </c>
      <c r="O807" t="s">
        <v>2833</v>
      </c>
      <c r="P807" t="s">
        <v>157</v>
      </c>
      <c r="Q807" t="s">
        <v>2833</v>
      </c>
      <c r="R807">
        <f ca="1">RAND()*(Validation[[#This Row],[Range1_High]]-Validation[[#This Row],[Range1_Low]])+Validation[[#This Row],[Range1_Low]]</f>
        <v>20.23386436645394</v>
      </c>
      <c r="S807">
        <f>Validation[[#This Row],[Range2_High]]</f>
        <v>10.01</v>
      </c>
      <c r="T807" t="str" cm="1">
        <f t="array" aca="1" ref="T807" ca="1">RoundToTwoSigFigs(Validation[[#This Row],[Test Reading]]*Validation[[#This Row],[Mult]]+Validation[[#This Row],[Base]]) &amp;" "&amp;Validation[[#This Row],[Uncert_Units]]</f>
        <v>890 mA</v>
      </c>
      <c r="U8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V807" t="b">
        <f ca="1">Validation[[#This Row],[Desired Result]]=Validation[[#This Row],[Result]]</f>
        <v>1</v>
      </c>
      <c r="W807" t="b">
        <v>0</v>
      </c>
      <c r="X807" t="b">
        <f>Validation[[#This Row],[Range1_Low]]&gt;=Validation[[#This Row],[Range1_High]]</f>
        <v>0</v>
      </c>
      <c r="Y807" s="111" t="s">
        <v>2845</v>
      </c>
    </row>
    <row r="808" spans="1:25" ht="16.5" thickTop="1" thickBot="1" x14ac:dyDescent="0.3">
      <c r="A808" t="s">
        <v>54</v>
      </c>
      <c r="B808" t="s">
        <v>61</v>
      </c>
      <c r="C808" s="113">
        <v>110</v>
      </c>
      <c r="D808" s="113">
        <v>205.01</v>
      </c>
      <c r="E808">
        <v>0.01</v>
      </c>
      <c r="F808" t="s">
        <v>13</v>
      </c>
      <c r="G808" t="s">
        <v>12</v>
      </c>
      <c r="H808">
        <v>4.4999999999999998E-2</v>
      </c>
      <c r="I808">
        <v>0.10001</v>
      </c>
      <c r="J808" t="s">
        <v>10</v>
      </c>
      <c r="K808">
        <v>42</v>
      </c>
      <c r="L808">
        <v>2.4</v>
      </c>
      <c r="M808">
        <v>38.552999999999997</v>
      </c>
      <c r="N808">
        <v>2.4159000000000002</v>
      </c>
      <c r="O808" t="s">
        <v>2833</v>
      </c>
      <c r="P808" t="s">
        <v>157</v>
      </c>
      <c r="Q808" t="s">
        <v>2833</v>
      </c>
      <c r="R808">
        <f ca="1">RAND()*(Validation[[#This Row],[Range1_High]]-Validation[[#This Row],[Range1_Low]])+Validation[[#This Row],[Range1_Low]]</f>
        <v>154.95869417881261</v>
      </c>
      <c r="S808">
        <f>Validation[[#This Row],[Range2_High]]</f>
        <v>0.10001</v>
      </c>
      <c r="T808" t="str" cm="1">
        <f t="array" aca="1" ref="T808" ca="1">RoundToTwoSigFigs(Validation[[#This Row],[Test Reading]]*Validation[[#This Row],[Mult]]+Validation[[#This Row],[Base]]) &amp;" "&amp;Validation[[#This Row],[Uncert_Units]]</f>
        <v>410 mA</v>
      </c>
      <c r="U8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V808" t="b">
        <f ca="1">Validation[[#This Row],[Desired Result]]=Validation[[#This Row],[Result]]</f>
        <v>0</v>
      </c>
      <c r="W808" t="b">
        <v>1</v>
      </c>
      <c r="X808" t="b">
        <f>Validation[[#This Row],[Range1_Low]]&gt;=Validation[[#This Row],[Range1_High]]</f>
        <v>0</v>
      </c>
      <c r="Y808" s="111" t="s">
        <v>2843</v>
      </c>
    </row>
    <row r="809" spans="1:25" ht="15.75" thickTop="1" x14ac:dyDescent="0.25">
      <c r="A809" t="s">
        <v>54</v>
      </c>
      <c r="B809" t="s">
        <v>61</v>
      </c>
      <c r="C809">
        <v>30</v>
      </c>
      <c r="D809">
        <v>110.01</v>
      </c>
      <c r="E809">
        <v>10</v>
      </c>
      <c r="F809" t="s">
        <v>13</v>
      </c>
      <c r="G809" t="s">
        <v>12</v>
      </c>
      <c r="H809">
        <v>4.4999999999999998E-2</v>
      </c>
      <c r="I809">
        <v>0.10001</v>
      </c>
      <c r="J809" t="s">
        <v>10</v>
      </c>
      <c r="K809">
        <v>5798.8</v>
      </c>
      <c r="L809">
        <v>5.7436000000000001E-2</v>
      </c>
      <c r="M809">
        <v>5798.8</v>
      </c>
      <c r="N809">
        <v>5.6800999999999997E-2</v>
      </c>
      <c r="O809" t="s">
        <v>2833</v>
      </c>
      <c r="P809" t="s">
        <v>157</v>
      </c>
      <c r="Q809" t="s">
        <v>2833</v>
      </c>
      <c r="R809">
        <f ca="1">RAND()*(Validation[[#This Row],[Range1_High]]-Validation[[#This Row],[Range1_Low]])+Validation[[#This Row],[Range1_Low]]</f>
        <v>51.819139584048159</v>
      </c>
      <c r="S809">
        <f>Validation[[#This Row],[Range2_High]]</f>
        <v>0.10001</v>
      </c>
      <c r="T809" t="str" cm="1">
        <f t="array" aca="1" ref="T809" ca="1">RoundToTwoSigFigs(Validation[[#This Row],[Test Reading]]*Validation[[#This Row],[Mult]]+Validation[[#This Row],[Base]]) &amp;" "&amp;Validation[[#This Row],[Uncert_Units]]</f>
        <v>5800 mA</v>
      </c>
      <c r="U8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809" t="b">
        <f ca="1">Validation[[#This Row],[Desired Result]]=Validation[[#This Row],[Result]]</f>
        <v>1</v>
      </c>
      <c r="W809" t="b">
        <v>0</v>
      </c>
      <c r="X809" t="b">
        <f>Validation[[#This Row],[Range1_Low]]&gt;=Validation[[#This Row],[Range1_High]]</f>
        <v>0</v>
      </c>
      <c r="Y809" s="111" t="s">
        <v>2845</v>
      </c>
    </row>
    <row r="810" spans="1:25" ht="15.75" thickBot="1" x14ac:dyDescent="0.3">
      <c r="A810" t="s">
        <v>54</v>
      </c>
      <c r="B810" t="s">
        <v>61</v>
      </c>
      <c r="C810">
        <v>1</v>
      </c>
      <c r="D810">
        <v>11.000999999999999</v>
      </c>
      <c r="E810">
        <v>1</v>
      </c>
      <c r="F810" t="s">
        <v>13</v>
      </c>
      <c r="G810" t="s">
        <v>12</v>
      </c>
      <c r="H810">
        <v>4.4999999999999998E-2</v>
      </c>
      <c r="I810">
        <v>1.0000100000000001</v>
      </c>
      <c r="J810" t="s">
        <v>10</v>
      </c>
      <c r="K810">
        <v>579.96</v>
      </c>
      <c r="L810">
        <v>4.6302000000000003E-2</v>
      </c>
      <c r="M810">
        <v>579.96</v>
      </c>
      <c r="N810">
        <v>4.5959E-2</v>
      </c>
      <c r="O810" t="s">
        <v>2833</v>
      </c>
      <c r="P810" t="s">
        <v>157</v>
      </c>
      <c r="Q810" t="s">
        <v>2833</v>
      </c>
      <c r="R810">
        <f ca="1">RAND()*(Validation[[#This Row],[Range1_High]]-Validation[[#This Row],[Range1_Low]])+Validation[[#This Row],[Range1_Low]]</f>
        <v>7.8533747805442751</v>
      </c>
      <c r="S810">
        <f>Validation[[#This Row],[Range2_High]]</f>
        <v>1.0000100000000001</v>
      </c>
      <c r="T810" t="str" cm="1">
        <f t="array" aca="1" ref="T810" ca="1">RoundToTwoSigFigs(Validation[[#This Row],[Test Reading]]*Validation[[#This Row],[Mult]]+Validation[[#This Row],[Base]]) &amp;" "&amp;Validation[[#This Row],[Uncert_Units]]</f>
        <v>580 mA</v>
      </c>
      <c r="U8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810" t="b">
        <f ca="1">Validation[[#This Row],[Desired Result]]=Validation[[#This Row],[Result]]</f>
        <v>1</v>
      </c>
      <c r="W810" t="b">
        <v>1</v>
      </c>
      <c r="X810" t="b">
        <f>Validation[[#This Row],[Range1_Low]]&gt;=Validation[[#This Row],[Range1_High]]</f>
        <v>0</v>
      </c>
      <c r="Y810" s="111" t="s">
        <v>2845</v>
      </c>
    </row>
    <row r="811" spans="1:25" ht="16.5" thickTop="1" thickBot="1" x14ac:dyDescent="0.3">
      <c r="A811" t="s">
        <v>54</v>
      </c>
      <c r="B811" t="s">
        <v>61</v>
      </c>
      <c r="C811" s="113">
        <v>11</v>
      </c>
      <c r="D811" s="113">
        <v>30.001000000000001</v>
      </c>
      <c r="E811">
        <v>1</v>
      </c>
      <c r="F811" t="s">
        <v>13</v>
      </c>
      <c r="G811" t="s">
        <v>12</v>
      </c>
      <c r="H811">
        <v>0.01</v>
      </c>
      <c r="I811">
        <v>4.5010000000000001E-2</v>
      </c>
      <c r="J811" t="s">
        <v>10</v>
      </c>
      <c r="K811">
        <v>577.67999999999995</v>
      </c>
      <c r="L811">
        <v>0.29774</v>
      </c>
      <c r="M811">
        <v>577.66</v>
      </c>
      <c r="N811">
        <v>0.29630000000000001</v>
      </c>
      <c r="O811" t="s">
        <v>2833</v>
      </c>
      <c r="P811" t="s">
        <v>157</v>
      </c>
      <c r="Q811" t="s">
        <v>2833</v>
      </c>
      <c r="R811">
        <f ca="1">RAND()*(Validation[[#This Row],[Range1_High]]-Validation[[#This Row],[Range1_Low]])+Validation[[#This Row],[Range1_Low]]</f>
        <v>26.247848172017413</v>
      </c>
      <c r="S811">
        <f>Validation[[#This Row],[Range2_High]]</f>
        <v>4.5010000000000001E-2</v>
      </c>
      <c r="T811" t="str" cm="1">
        <f t="array" aca="1" ref="T811" ca="1">RoundToTwoSigFigs(Validation[[#This Row],[Test Reading]]*Validation[[#This Row],[Mult]]+Validation[[#This Row],[Base]]) &amp;" "&amp;Validation[[#This Row],[Uncert_Units]]</f>
        <v>590 mA</v>
      </c>
      <c r="U8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811" t="b">
        <f ca="1">Validation[[#This Row],[Desired Result]]=Validation[[#This Row],[Result]]</f>
        <v>0</v>
      </c>
      <c r="W811" t="b">
        <v>1</v>
      </c>
      <c r="X811" t="b">
        <f>Validation[[#This Row],[Range1_Low]]&gt;=Validation[[#This Row],[Range1_High]]</f>
        <v>0</v>
      </c>
      <c r="Y811" s="111" t="s">
        <v>2843</v>
      </c>
    </row>
    <row r="812" spans="1:25" ht="16.5" thickTop="1" thickBot="1" x14ac:dyDescent="0.3">
      <c r="A812" t="s">
        <v>54</v>
      </c>
      <c r="B812" t="s">
        <v>61</v>
      </c>
      <c r="C812" s="113">
        <v>11</v>
      </c>
      <c r="D812" s="113">
        <v>30.001000000000001</v>
      </c>
      <c r="E812">
        <v>0.1</v>
      </c>
      <c r="F812" t="s">
        <v>13</v>
      </c>
      <c r="G812" t="s">
        <v>12</v>
      </c>
      <c r="H812">
        <v>0.01</v>
      </c>
      <c r="I812">
        <v>4.5010000000000001E-2</v>
      </c>
      <c r="J812" t="s">
        <v>10</v>
      </c>
      <c r="K812">
        <v>44.393999999999998</v>
      </c>
      <c r="L812">
        <v>2.0188000000000001</v>
      </c>
      <c r="M812">
        <v>44.317</v>
      </c>
      <c r="N812">
        <v>2.0184000000000002</v>
      </c>
      <c r="O812" t="s">
        <v>2833</v>
      </c>
      <c r="P812" t="s">
        <v>157</v>
      </c>
      <c r="Q812" t="s">
        <v>2833</v>
      </c>
      <c r="R812">
        <f ca="1">RAND()*(Validation[[#This Row],[Range1_High]]-Validation[[#This Row],[Range1_Low]])+Validation[[#This Row],[Range1_Low]]</f>
        <v>15.179618759372826</v>
      </c>
      <c r="S812">
        <f>Validation[[#This Row],[Range2_High]]</f>
        <v>4.5010000000000001E-2</v>
      </c>
      <c r="T812" t="str" cm="1">
        <f t="array" aca="1" ref="T812" ca="1">RoundToTwoSigFigs(Validation[[#This Row],[Test Reading]]*Validation[[#This Row],[Mult]]+Validation[[#This Row],[Base]]) &amp;" "&amp;Validation[[#This Row],[Uncert_Units]]</f>
        <v>75 mA</v>
      </c>
      <c r="U8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mA</v>
      </c>
      <c r="V812" t="b">
        <f ca="1">Validation[[#This Row],[Desired Result]]=Validation[[#This Row],[Result]]</f>
        <v>1</v>
      </c>
      <c r="W812" t="b">
        <v>1</v>
      </c>
      <c r="X812" t="b">
        <f>Validation[[#This Row],[Range1_Low]]&gt;=Validation[[#This Row],[Range1_High]]</f>
        <v>0</v>
      </c>
      <c r="Y812" s="111" t="s">
        <v>2843</v>
      </c>
    </row>
    <row r="813" spans="1:25" ht="16.5" thickTop="1" thickBot="1" x14ac:dyDescent="0.3">
      <c r="A813" t="s">
        <v>54</v>
      </c>
      <c r="B813" t="s">
        <v>61</v>
      </c>
      <c r="C813">
        <v>1</v>
      </c>
      <c r="D813">
        <v>11.000999999999999</v>
      </c>
      <c r="E813">
        <v>1E-3</v>
      </c>
      <c r="F813" t="s">
        <v>13</v>
      </c>
      <c r="G813" t="s">
        <v>12</v>
      </c>
      <c r="H813">
        <v>10</v>
      </c>
      <c r="I813">
        <v>10.01</v>
      </c>
      <c r="J813" t="s">
        <v>10</v>
      </c>
      <c r="K813">
        <v>58</v>
      </c>
      <c r="L813">
        <v>29</v>
      </c>
      <c r="M813">
        <v>57.703000000000003</v>
      </c>
      <c r="N813">
        <v>28.928999999999998</v>
      </c>
      <c r="O813" t="s">
        <v>2833</v>
      </c>
      <c r="P813" t="s">
        <v>157</v>
      </c>
      <c r="Q813" t="s">
        <v>2833</v>
      </c>
      <c r="R813">
        <f ca="1">RAND()*(Validation[[#This Row],[Range1_High]]-Validation[[#This Row],[Range1_Low]])+Validation[[#This Row],[Range1_Low]]</f>
        <v>6.6120436345574456</v>
      </c>
      <c r="S813">
        <f>Validation[[#This Row],[Range2_High]]</f>
        <v>10.01</v>
      </c>
      <c r="T813" t="str" cm="1">
        <f t="array" aca="1" ref="T813" ca="1">RoundToTwoSigFigs(Validation[[#This Row],[Test Reading]]*Validation[[#This Row],[Mult]]+Validation[[#This Row],[Base]]) &amp;" "&amp;Validation[[#This Row],[Uncert_Units]]</f>
        <v>250 mA</v>
      </c>
      <c r="U8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V813" t="b">
        <f ca="1">Validation[[#This Row],[Desired Result]]=Validation[[#This Row],[Result]]</f>
        <v>1</v>
      </c>
      <c r="W813" t="b">
        <v>0</v>
      </c>
      <c r="X813" t="b">
        <f>Validation[[#This Row],[Range1_Low]]&gt;=Validation[[#This Row],[Range1_High]]</f>
        <v>0</v>
      </c>
      <c r="Y813" s="111" t="s">
        <v>2845</v>
      </c>
    </row>
    <row r="814" spans="1:25" ht="16.5" thickTop="1" thickBot="1" x14ac:dyDescent="0.3">
      <c r="A814" t="s">
        <v>54</v>
      </c>
      <c r="B814" t="s">
        <v>61</v>
      </c>
      <c r="C814" s="113">
        <v>30</v>
      </c>
      <c r="D814" s="113">
        <v>110.01</v>
      </c>
      <c r="E814">
        <v>0.1</v>
      </c>
      <c r="F814" t="s">
        <v>13</v>
      </c>
      <c r="G814" t="s">
        <v>12</v>
      </c>
      <c r="H814">
        <v>1</v>
      </c>
      <c r="I814">
        <v>5</v>
      </c>
      <c r="J814" t="s">
        <v>10</v>
      </c>
      <c r="K814">
        <v>24</v>
      </c>
      <c r="L814">
        <v>35</v>
      </c>
      <c r="M814">
        <v>25.111999999999998</v>
      </c>
      <c r="N814">
        <v>34.683999999999997</v>
      </c>
      <c r="O814" t="s">
        <v>2833</v>
      </c>
      <c r="P814" t="s">
        <v>157</v>
      </c>
      <c r="Q814" t="s">
        <v>2833</v>
      </c>
      <c r="R814">
        <f ca="1">RAND()*(Validation[[#This Row],[Range1_High]]-Validation[[#This Row],[Range1_Low]])+Validation[[#This Row],[Range1_Low]]</f>
        <v>60.364182149806368</v>
      </c>
      <c r="S814">
        <f>Validation[[#This Row],[Range2_High]]</f>
        <v>5</v>
      </c>
      <c r="T814" t="str" cm="1">
        <f t="array" aca="1" ref="T814" ca="1">RoundToTwoSigFigs(Validation[[#This Row],[Test Reading]]*Validation[[#This Row],[Mult]]+Validation[[#This Row],[Base]]) &amp;" "&amp;Validation[[#This Row],[Uncert_Units]]</f>
        <v>2100 mA</v>
      </c>
      <c r="U8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V814" t="b">
        <f ca="1">Validation[[#This Row],[Desired Result]]=Validation[[#This Row],[Result]]</f>
        <v>1</v>
      </c>
      <c r="W814" t="b">
        <v>1</v>
      </c>
      <c r="X814" t="b">
        <f>Validation[[#This Row],[Range1_Low]]&gt;=Validation[[#This Row],[Range1_High]]</f>
        <v>0</v>
      </c>
      <c r="Y814" s="111" t="s">
        <v>2843</v>
      </c>
    </row>
    <row r="815" spans="1:25" ht="15.75" thickTop="1" x14ac:dyDescent="0.25">
      <c r="A815" t="s">
        <v>54</v>
      </c>
      <c r="B815" t="s">
        <v>61</v>
      </c>
      <c r="C815">
        <v>11</v>
      </c>
      <c r="D815">
        <v>30.001000000000001</v>
      </c>
      <c r="E815">
        <v>10</v>
      </c>
      <c r="F815" t="s">
        <v>13</v>
      </c>
      <c r="G815" t="s">
        <v>12</v>
      </c>
      <c r="H815">
        <v>5</v>
      </c>
      <c r="I815">
        <v>10</v>
      </c>
      <c r="J815" t="s">
        <v>10</v>
      </c>
      <c r="K815">
        <v>5776.7</v>
      </c>
      <c r="L815">
        <v>3.2241</v>
      </c>
      <c r="M815">
        <v>5776.7</v>
      </c>
      <c r="N815">
        <v>3.2231000000000001</v>
      </c>
      <c r="O815" t="s">
        <v>2833</v>
      </c>
      <c r="P815" t="s">
        <v>157</v>
      </c>
      <c r="Q815" t="s">
        <v>2833</v>
      </c>
      <c r="R815">
        <f ca="1">RAND()*(Validation[[#This Row],[Range1_High]]-Validation[[#This Row],[Range1_Low]])+Validation[[#This Row],[Range1_Low]]</f>
        <v>22.935115609136204</v>
      </c>
      <c r="S815">
        <f>Validation[[#This Row],[Range2_High]]</f>
        <v>10</v>
      </c>
      <c r="T815" t="str" cm="1">
        <f t="array" aca="1" ref="T815" ca="1">RoundToTwoSigFigs(Validation[[#This Row],[Test Reading]]*Validation[[#This Row],[Mult]]+Validation[[#This Row],[Base]]) &amp;" "&amp;Validation[[#This Row],[Uncert_Units]]</f>
        <v>5900 mA</v>
      </c>
      <c r="U8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815" t="b">
        <f ca="1">Validation[[#This Row],[Desired Result]]=Validation[[#This Row],[Result]]</f>
        <v>1</v>
      </c>
      <c r="W815" t="b">
        <v>0</v>
      </c>
      <c r="X815" t="b">
        <f>Validation[[#This Row],[Range1_Low]]&gt;=Validation[[#This Row],[Range1_High]]</f>
        <v>0</v>
      </c>
      <c r="Y815" s="111" t="s">
        <v>2845</v>
      </c>
    </row>
    <row r="816" spans="1:25" ht="15.75" thickBot="1" x14ac:dyDescent="0.3">
      <c r="A816" t="s">
        <v>54</v>
      </c>
      <c r="B816" t="s">
        <v>61</v>
      </c>
      <c r="C816">
        <v>1</v>
      </c>
      <c r="D816">
        <v>11.000999999999999</v>
      </c>
      <c r="E816">
        <v>0.01</v>
      </c>
      <c r="F816" t="s">
        <v>13</v>
      </c>
      <c r="G816" t="s">
        <v>12</v>
      </c>
      <c r="H816">
        <v>4.4999999999999998E-2</v>
      </c>
      <c r="I816">
        <v>1.0000100000000001</v>
      </c>
      <c r="J816" t="s">
        <v>10</v>
      </c>
      <c r="K816">
        <v>4.6182999999999996</v>
      </c>
      <c r="L816">
        <v>1.7586999999999999</v>
      </c>
      <c r="M816">
        <v>4.6169000000000002</v>
      </c>
      <c r="N816">
        <v>1.7583</v>
      </c>
      <c r="O816" t="s">
        <v>2833</v>
      </c>
      <c r="P816" t="s">
        <v>157</v>
      </c>
      <c r="Q816" t="s">
        <v>2833</v>
      </c>
      <c r="R816">
        <f ca="1">RAND()*(Validation[[#This Row],[Range1_High]]-Validation[[#This Row],[Range1_Low]])+Validation[[#This Row],[Range1_Low]]</f>
        <v>6.41234624358568</v>
      </c>
      <c r="S816">
        <f>Validation[[#This Row],[Range2_High]]</f>
        <v>1.0000100000000001</v>
      </c>
      <c r="T816" t="str" cm="1">
        <f t="array" aca="1" ref="T816" ca="1">RoundToTwoSigFigs(Validation[[#This Row],[Test Reading]]*Validation[[#This Row],[Mult]]+Validation[[#This Row],[Base]]) &amp;" "&amp;Validation[[#This Row],[Uncert_Units]]</f>
        <v>16 mA</v>
      </c>
      <c r="U8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816" t="b">
        <f ca="1">Validation[[#This Row],[Desired Result]]=Validation[[#This Row],[Result]]</f>
        <v>0</v>
      </c>
      <c r="W816" t="b">
        <v>1</v>
      </c>
      <c r="X816" t="b">
        <f>Validation[[#This Row],[Range1_Low]]&gt;=Validation[[#This Row],[Range1_High]]</f>
        <v>0</v>
      </c>
      <c r="Y816" s="111" t="s">
        <v>2845</v>
      </c>
    </row>
    <row r="817" spans="1:25" ht="16.5" thickTop="1" thickBot="1" x14ac:dyDescent="0.3">
      <c r="A817" t="s">
        <v>54</v>
      </c>
      <c r="B817" t="s">
        <v>61</v>
      </c>
      <c r="C817">
        <v>1</v>
      </c>
      <c r="D817">
        <v>11.000999999999999</v>
      </c>
      <c r="E817">
        <v>1E-3</v>
      </c>
      <c r="F817" t="s">
        <v>13</v>
      </c>
      <c r="G817" t="s">
        <v>12</v>
      </c>
      <c r="H817" s="113">
        <v>0.01</v>
      </c>
      <c r="I817" s="113">
        <v>4.5010000000000001E-2</v>
      </c>
      <c r="J817" t="s">
        <v>10</v>
      </c>
      <c r="K817">
        <v>4.3265000000000002</v>
      </c>
      <c r="L817">
        <v>2.6149</v>
      </c>
      <c r="M817">
        <v>4.3204000000000002</v>
      </c>
      <c r="N817">
        <v>2.6147999999999998</v>
      </c>
      <c r="O817" t="s">
        <v>2833</v>
      </c>
      <c r="P817" t="s">
        <v>157</v>
      </c>
      <c r="Q817" t="s">
        <v>2833</v>
      </c>
      <c r="R817">
        <f ca="1">RAND()*(Validation[[#This Row],[Range1_High]]-Validation[[#This Row],[Range1_Low]])+Validation[[#This Row],[Range1_Low]]</f>
        <v>2.4309845660073277</v>
      </c>
      <c r="S817">
        <f>Validation[[#This Row],[Range2_High]]</f>
        <v>4.5010000000000001E-2</v>
      </c>
      <c r="T817" t="str" cm="1">
        <f t="array" aca="1" ref="T817" ca="1">RoundToTwoSigFigs(Validation[[#This Row],[Test Reading]]*Validation[[#This Row],[Mult]]+Validation[[#This Row],[Base]]) &amp;" "&amp;Validation[[#This Row],[Uncert_Units]]</f>
        <v>11 mA</v>
      </c>
      <c r="U8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817" t="b">
        <f ca="1">Validation[[#This Row],[Desired Result]]=Validation[[#This Row],[Result]]</f>
        <v>0</v>
      </c>
      <c r="W817" t="b">
        <v>1</v>
      </c>
      <c r="X817" t="b">
        <f>Validation[[#This Row],[Range1_Low]]&gt;=Validation[[#This Row],[Range1_High]]</f>
        <v>0</v>
      </c>
      <c r="Y817" s="114" t="s">
        <v>2847</v>
      </c>
    </row>
    <row r="818" spans="1:25" ht="16.5" thickTop="1" thickBot="1" x14ac:dyDescent="0.3">
      <c r="A818" t="s">
        <v>54</v>
      </c>
      <c r="B818" t="s">
        <v>62</v>
      </c>
      <c r="C818">
        <v>22</v>
      </c>
      <c r="D818">
        <v>60.000999999999998</v>
      </c>
      <c r="E818">
        <v>0.01</v>
      </c>
      <c r="F818" t="s">
        <v>13</v>
      </c>
      <c r="G818" t="s">
        <v>12</v>
      </c>
      <c r="H818">
        <v>10</v>
      </c>
      <c r="I818">
        <v>10.01</v>
      </c>
      <c r="J818" t="s">
        <v>10</v>
      </c>
      <c r="K818">
        <v>52</v>
      </c>
      <c r="L818">
        <v>30.457999999999998</v>
      </c>
      <c r="M818">
        <v>34.545000000000002</v>
      </c>
      <c r="N818">
        <v>30.459</v>
      </c>
      <c r="O818" t="s">
        <v>2833</v>
      </c>
      <c r="P818" t="s">
        <v>158</v>
      </c>
      <c r="Q818" t="s">
        <v>2833</v>
      </c>
      <c r="R818">
        <f ca="1">RAND()*(Validation[[#This Row],[Range1_High]]-Validation[[#This Row],[Range1_Low]])+Validation[[#This Row],[Range1_Low]]</f>
        <v>23.130526627811374</v>
      </c>
      <c r="S818">
        <f>Validation[[#This Row],[Range2_High]]</f>
        <v>10.01</v>
      </c>
      <c r="T818" t="str" cm="1">
        <f t="array" aca="1" ref="T818" ca="1">RoundToTwoSigFigs(Validation[[#This Row],[Test Reading]]*Validation[[#This Row],[Mult]]+Validation[[#This Row],[Base]]) &amp;" "&amp;Validation[[#This Row],[Uncert_Units]]</f>
        <v>760 mA</v>
      </c>
      <c r="U8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V818" t="b">
        <f ca="1">Validation[[#This Row],[Desired Result]]=Validation[[#This Row],[Result]]</f>
        <v>1</v>
      </c>
      <c r="W818" t="b">
        <v>0</v>
      </c>
      <c r="X818" t="b">
        <f>Validation[[#This Row],[Range1_Low]]&gt;=Validation[[#This Row],[Range1_High]]</f>
        <v>0</v>
      </c>
      <c r="Y818" s="111" t="s">
        <v>2845</v>
      </c>
    </row>
    <row r="819" spans="1:25" ht="16.5" thickTop="1" thickBot="1" x14ac:dyDescent="0.3">
      <c r="A819" t="s">
        <v>54</v>
      </c>
      <c r="B819" t="s">
        <v>62</v>
      </c>
      <c r="C819" s="113">
        <v>220</v>
      </c>
      <c r="D819" s="113">
        <v>410.01</v>
      </c>
      <c r="E819">
        <v>0.1</v>
      </c>
      <c r="F819" t="s">
        <v>13</v>
      </c>
      <c r="G819" t="s">
        <v>12</v>
      </c>
      <c r="H819">
        <v>5</v>
      </c>
      <c r="I819">
        <v>5.01</v>
      </c>
      <c r="J819" t="s">
        <v>10</v>
      </c>
      <c r="K819">
        <v>120</v>
      </c>
      <c r="L819">
        <v>35</v>
      </c>
      <c r="M819">
        <v>115.69</v>
      </c>
      <c r="N819">
        <v>34.698</v>
      </c>
      <c r="O819" t="s">
        <v>2833</v>
      </c>
      <c r="P819" t="s">
        <v>158</v>
      </c>
      <c r="Q819" t="s">
        <v>2833</v>
      </c>
      <c r="R819">
        <f ca="1">RAND()*(Validation[[#This Row],[Range1_High]]-Validation[[#This Row],[Range1_Low]])+Validation[[#This Row],[Range1_Low]]</f>
        <v>307.22217364375479</v>
      </c>
      <c r="S819">
        <f>Validation[[#This Row],[Range2_High]]</f>
        <v>5.01</v>
      </c>
      <c r="T819" t="str" cm="1">
        <f t="array" aca="1" ref="T819" ca="1">RoundToTwoSigFigs(Validation[[#This Row],[Test Reading]]*Validation[[#This Row],[Mult]]+Validation[[#This Row],[Base]]) &amp;" "&amp;Validation[[#This Row],[Uncert_Units]]</f>
        <v>11000 mA</v>
      </c>
      <c r="U8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V819" t="b">
        <f ca="1">Validation[[#This Row],[Desired Result]]=Validation[[#This Row],[Result]]</f>
        <v>1</v>
      </c>
      <c r="W819" t="b">
        <v>1</v>
      </c>
      <c r="X819" t="b">
        <f>Validation[[#This Row],[Range1_Low]]&gt;=Validation[[#This Row],[Range1_High]]</f>
        <v>0</v>
      </c>
      <c r="Y819" s="111" t="s">
        <v>2843</v>
      </c>
    </row>
    <row r="820" spans="1:25" ht="16.5" thickTop="1" thickBot="1" x14ac:dyDescent="0.3">
      <c r="A820" t="s">
        <v>54</v>
      </c>
      <c r="B820" t="s">
        <v>62</v>
      </c>
      <c r="C820" s="113">
        <v>60</v>
      </c>
      <c r="D820" s="113">
        <v>220.01</v>
      </c>
      <c r="E820">
        <v>1</v>
      </c>
      <c r="F820" t="s">
        <v>13</v>
      </c>
      <c r="G820" t="s">
        <v>12</v>
      </c>
      <c r="H820">
        <v>0.1</v>
      </c>
      <c r="I820">
        <v>1.0000100000000001</v>
      </c>
      <c r="J820" t="s">
        <v>10</v>
      </c>
      <c r="K820">
        <v>534.45000000000005</v>
      </c>
      <c r="L820">
        <v>1.1508</v>
      </c>
      <c r="M820">
        <v>534.41999999999996</v>
      </c>
      <c r="N820">
        <v>1.1503000000000001</v>
      </c>
      <c r="O820" t="s">
        <v>2833</v>
      </c>
      <c r="P820" t="s">
        <v>158</v>
      </c>
      <c r="Q820" t="s">
        <v>2833</v>
      </c>
      <c r="R820">
        <f ca="1">RAND()*(Validation[[#This Row],[Range1_High]]-Validation[[#This Row],[Range1_Low]])+Validation[[#This Row],[Range1_Low]]</f>
        <v>113.18474526183921</v>
      </c>
      <c r="S820">
        <f>Validation[[#This Row],[Range2_High]]</f>
        <v>1.0000100000000001</v>
      </c>
      <c r="T820" t="str" cm="1">
        <f t="array" aca="1" ref="T820" ca="1">RoundToTwoSigFigs(Validation[[#This Row],[Test Reading]]*Validation[[#This Row],[Mult]]+Validation[[#This Row],[Base]]) &amp;" "&amp;Validation[[#This Row],[Uncert_Units]]</f>
        <v>660 mA</v>
      </c>
      <c r="U8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V820" t="b">
        <f ca="1">Validation[[#This Row],[Desired Result]]=Validation[[#This Row],[Result]]</f>
        <v>0</v>
      </c>
      <c r="W820" t="b">
        <v>1</v>
      </c>
      <c r="X820" t="b">
        <f>Validation[[#This Row],[Range1_Low]]&gt;=Validation[[#This Row],[Range1_High]]</f>
        <v>0</v>
      </c>
      <c r="Y820" s="111" t="s">
        <v>2843</v>
      </c>
    </row>
    <row r="821" spans="1:25" ht="16.5" thickTop="1" thickBot="1" x14ac:dyDescent="0.3">
      <c r="A821" t="s">
        <v>54</v>
      </c>
      <c r="B821" t="s">
        <v>62</v>
      </c>
      <c r="C821" s="113">
        <v>60</v>
      </c>
      <c r="D821" s="113">
        <v>220.01</v>
      </c>
      <c r="E821">
        <v>10</v>
      </c>
      <c r="F821" t="s">
        <v>13</v>
      </c>
      <c r="G821" t="s">
        <v>12</v>
      </c>
      <c r="H821">
        <v>1</v>
      </c>
      <c r="I821">
        <v>5</v>
      </c>
      <c r="J821" t="s">
        <v>10</v>
      </c>
      <c r="K821">
        <v>4885.8999999999996</v>
      </c>
      <c r="L821">
        <v>21.536999999999999</v>
      </c>
      <c r="M821">
        <v>4885.8999999999996</v>
      </c>
      <c r="N821">
        <v>21.536999999999999</v>
      </c>
      <c r="O821" t="s">
        <v>2833</v>
      </c>
      <c r="P821" t="s">
        <v>158</v>
      </c>
      <c r="Q821" t="s">
        <v>2833</v>
      </c>
      <c r="R821">
        <f ca="1">RAND()*(Validation[[#This Row],[Range1_High]]-Validation[[#This Row],[Range1_Low]])+Validation[[#This Row],[Range1_Low]]</f>
        <v>69.825332799043792</v>
      </c>
      <c r="S821">
        <f>Validation[[#This Row],[Range2_High]]</f>
        <v>5</v>
      </c>
      <c r="T821" t="str" cm="1">
        <f t="array" aca="1" ref="T821" ca="1">RoundToTwoSigFigs(Validation[[#This Row],[Test Reading]]*Validation[[#This Row],[Mult]]+Validation[[#This Row],[Base]]) &amp;" "&amp;Validation[[#This Row],[Uncert_Units]]</f>
        <v>6400 mA</v>
      </c>
      <c r="U8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V821" t="b">
        <f ca="1">Validation[[#This Row],[Desired Result]]=Validation[[#This Row],[Result]]</f>
        <v>1</v>
      </c>
      <c r="W821" t="b">
        <v>1</v>
      </c>
      <c r="X821" t="b">
        <f>Validation[[#This Row],[Range1_Low]]&gt;=Validation[[#This Row],[Range1_High]]</f>
        <v>0</v>
      </c>
      <c r="Y821" s="111" t="s">
        <v>2843</v>
      </c>
    </row>
    <row r="822" spans="1:25" ht="15.75" thickTop="1" x14ac:dyDescent="0.25">
      <c r="A822" t="s">
        <v>54</v>
      </c>
      <c r="B822" t="s">
        <v>62</v>
      </c>
      <c r="C822">
        <v>22</v>
      </c>
      <c r="D822">
        <v>60.000999999999998</v>
      </c>
      <c r="E822">
        <v>1</v>
      </c>
      <c r="F822" t="s">
        <v>13</v>
      </c>
      <c r="G822" t="s">
        <v>12</v>
      </c>
      <c r="H822">
        <v>1</v>
      </c>
      <c r="I822">
        <v>5.01</v>
      </c>
      <c r="J822" t="s">
        <v>10</v>
      </c>
      <c r="K822">
        <v>526.04999999999995</v>
      </c>
      <c r="L822">
        <v>3.5184000000000002</v>
      </c>
      <c r="M822">
        <v>526.04999999999995</v>
      </c>
      <c r="N822">
        <v>3.5177999999999998</v>
      </c>
      <c r="O822" t="s">
        <v>2833</v>
      </c>
      <c r="P822" t="s">
        <v>158</v>
      </c>
      <c r="Q822" t="s">
        <v>2833</v>
      </c>
      <c r="R822">
        <f ca="1">RAND()*(Validation[[#This Row],[Range1_High]]-Validation[[#This Row],[Range1_Low]])+Validation[[#This Row],[Range1_Low]]</f>
        <v>51.960781712389483</v>
      </c>
      <c r="S822">
        <f>Validation[[#This Row],[Range2_High]]</f>
        <v>5.01</v>
      </c>
      <c r="T822" t="str" cm="1">
        <f t="array" aca="1" ref="T822" ca="1">RoundToTwoSigFigs(Validation[[#This Row],[Test Reading]]*Validation[[#This Row],[Mult]]+Validation[[#This Row],[Base]]) &amp;" "&amp;Validation[[#This Row],[Uncert_Units]]</f>
        <v>710 mA</v>
      </c>
      <c r="U8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V822" t="b">
        <f ca="1">Validation[[#This Row],[Desired Result]]=Validation[[#This Row],[Result]]</f>
        <v>1</v>
      </c>
      <c r="W822" t="b">
        <v>0</v>
      </c>
      <c r="X822" t="b">
        <f>Validation[[#This Row],[Range1_Low]]&gt;=Validation[[#This Row],[Range1_High]]</f>
        <v>0</v>
      </c>
      <c r="Y822" s="111" t="s">
        <v>2845</v>
      </c>
    </row>
    <row r="823" spans="1:25" x14ac:dyDescent="0.25">
      <c r="A823" t="s">
        <v>54</v>
      </c>
      <c r="B823" t="s">
        <v>62</v>
      </c>
      <c r="C823">
        <v>22</v>
      </c>
      <c r="D823">
        <v>60.000999999999998</v>
      </c>
      <c r="E823">
        <v>1E-3</v>
      </c>
      <c r="F823" t="s">
        <v>13</v>
      </c>
      <c r="G823" t="s">
        <v>12</v>
      </c>
      <c r="H823">
        <v>10</v>
      </c>
      <c r="I823">
        <v>10.01</v>
      </c>
      <c r="J823" t="s">
        <v>10</v>
      </c>
      <c r="K823">
        <v>52</v>
      </c>
      <c r="L823">
        <v>30</v>
      </c>
      <c r="M823">
        <v>34.529000000000003</v>
      </c>
      <c r="N823">
        <v>30.459</v>
      </c>
      <c r="O823" t="s">
        <v>2833</v>
      </c>
      <c r="P823" t="s">
        <v>158</v>
      </c>
      <c r="Q823" t="s">
        <v>2833</v>
      </c>
      <c r="R823">
        <f ca="1">RAND()*(Validation[[#This Row],[Range1_High]]-Validation[[#This Row],[Range1_Low]])+Validation[[#This Row],[Range1_Low]]</f>
        <v>57.841522996946296</v>
      </c>
      <c r="S823">
        <f>Validation[[#This Row],[Range2_High]]</f>
        <v>10.01</v>
      </c>
      <c r="T823" t="str" cm="1">
        <f t="array" aca="1" ref="T823" ca="1">RoundToTwoSigFigs(Validation[[#This Row],[Test Reading]]*Validation[[#This Row],[Mult]]+Validation[[#This Row],[Base]]) &amp;" "&amp;Validation[[#This Row],[Uncert_Units]]</f>
        <v>1800 mA</v>
      </c>
      <c r="U8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V823" t="b">
        <f ca="1">Validation[[#This Row],[Desired Result]]=Validation[[#This Row],[Result]]</f>
        <v>1</v>
      </c>
      <c r="W823" t="b">
        <v>0</v>
      </c>
      <c r="X823" t="b">
        <f>Validation[[#This Row],[Range1_Low]]&gt;=Validation[[#This Row],[Range1_High]]</f>
        <v>0</v>
      </c>
      <c r="Y823" s="111" t="s">
        <v>2845</v>
      </c>
    </row>
    <row r="824" spans="1:25" ht="15.75" thickBot="1" x14ac:dyDescent="0.3">
      <c r="A824" t="s">
        <v>54</v>
      </c>
      <c r="B824" t="s">
        <v>62</v>
      </c>
      <c r="C824">
        <v>60</v>
      </c>
      <c r="D824">
        <v>220.01</v>
      </c>
      <c r="E824">
        <v>10</v>
      </c>
      <c r="F824" t="s">
        <v>13</v>
      </c>
      <c r="G824" t="s">
        <v>12</v>
      </c>
      <c r="H824">
        <v>4.4999999999999998E-2</v>
      </c>
      <c r="I824">
        <v>0.10001</v>
      </c>
      <c r="J824" t="s">
        <v>10</v>
      </c>
      <c r="K824">
        <v>5795.1</v>
      </c>
      <c r="L824">
        <v>0.11376</v>
      </c>
      <c r="M824">
        <v>5795.1</v>
      </c>
      <c r="N824">
        <v>0.11344</v>
      </c>
      <c r="O824" t="s">
        <v>2833</v>
      </c>
      <c r="P824" t="s">
        <v>158</v>
      </c>
      <c r="Q824" t="s">
        <v>2833</v>
      </c>
      <c r="R824">
        <f ca="1">RAND()*(Validation[[#This Row],[Range1_High]]-Validation[[#This Row],[Range1_Low]])+Validation[[#This Row],[Range1_Low]]</f>
        <v>110.68261485462716</v>
      </c>
      <c r="S824">
        <f>Validation[[#This Row],[Range2_High]]</f>
        <v>0.10001</v>
      </c>
      <c r="T824" t="str" cm="1">
        <f t="array" aca="1" ref="T824" ca="1">RoundToTwoSigFigs(Validation[[#This Row],[Test Reading]]*Validation[[#This Row],[Mult]]+Validation[[#This Row],[Base]]) &amp;" "&amp;Validation[[#This Row],[Uncert_Units]]</f>
        <v>5800 mA</v>
      </c>
      <c r="U8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824" t="b">
        <f ca="1">Validation[[#This Row],[Desired Result]]=Validation[[#This Row],[Result]]</f>
        <v>1</v>
      </c>
      <c r="W824" t="b">
        <v>0</v>
      </c>
      <c r="X824" t="b">
        <f>Validation[[#This Row],[Range1_Low]]&gt;=Validation[[#This Row],[Range1_High]]</f>
        <v>0</v>
      </c>
      <c r="Y824" s="111" t="s">
        <v>2845</v>
      </c>
    </row>
    <row r="825" spans="1:25" ht="16.5" thickTop="1" thickBot="1" x14ac:dyDescent="0.3">
      <c r="A825" t="s">
        <v>54</v>
      </c>
      <c r="B825" t="s">
        <v>62</v>
      </c>
      <c r="C825" s="113">
        <v>60</v>
      </c>
      <c r="D825" s="113">
        <v>220.01</v>
      </c>
      <c r="E825">
        <v>10</v>
      </c>
      <c r="F825" t="s">
        <v>13</v>
      </c>
      <c r="G825" t="s">
        <v>12</v>
      </c>
      <c r="H825">
        <v>5</v>
      </c>
      <c r="I825">
        <v>5.01</v>
      </c>
      <c r="J825" t="s">
        <v>10</v>
      </c>
      <c r="K825">
        <v>4885.8999999999996</v>
      </c>
      <c r="L825">
        <v>21.536999999999999</v>
      </c>
      <c r="M825">
        <v>4885.8999999999996</v>
      </c>
      <c r="N825">
        <v>21.536999999999999</v>
      </c>
      <c r="O825" t="s">
        <v>2833</v>
      </c>
      <c r="P825" t="s">
        <v>158</v>
      </c>
      <c r="Q825" t="s">
        <v>2833</v>
      </c>
      <c r="R825">
        <f ca="1">RAND()*(Validation[[#This Row],[Range1_High]]-Validation[[#This Row],[Range1_Low]])+Validation[[#This Row],[Range1_Low]]</f>
        <v>148.70469179720072</v>
      </c>
      <c r="S825">
        <f>Validation[[#This Row],[Range2_High]]</f>
        <v>5.01</v>
      </c>
      <c r="T825" t="str" cm="1">
        <f t="array" aca="1" ref="T825" ca="1">RoundToTwoSigFigs(Validation[[#This Row],[Test Reading]]*Validation[[#This Row],[Mult]]+Validation[[#This Row],[Base]]) &amp;" "&amp;Validation[[#This Row],[Uncert_Units]]</f>
        <v>8100 mA</v>
      </c>
      <c r="U8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mA</v>
      </c>
      <c r="V825" t="b">
        <f ca="1">Validation[[#This Row],[Desired Result]]=Validation[[#This Row],[Result]]</f>
        <v>1</v>
      </c>
      <c r="W825" t="b">
        <v>1</v>
      </c>
      <c r="X825" t="b">
        <f>Validation[[#This Row],[Range1_Low]]&gt;=Validation[[#This Row],[Range1_High]]</f>
        <v>0</v>
      </c>
      <c r="Y825" s="111" t="s">
        <v>2843</v>
      </c>
    </row>
    <row r="826" spans="1:25" ht="15.75" thickTop="1" x14ac:dyDescent="0.25">
      <c r="A826" t="s">
        <v>54</v>
      </c>
      <c r="B826" t="s">
        <v>62</v>
      </c>
      <c r="C826">
        <v>60</v>
      </c>
      <c r="D826">
        <v>220.01</v>
      </c>
      <c r="E826">
        <v>10</v>
      </c>
      <c r="F826" t="s">
        <v>13</v>
      </c>
      <c r="G826" t="s">
        <v>12</v>
      </c>
      <c r="H826">
        <v>0.1</v>
      </c>
      <c r="I826">
        <v>1.0000100000000001</v>
      </c>
      <c r="J826" t="s">
        <v>10</v>
      </c>
      <c r="K826">
        <v>5794.1</v>
      </c>
      <c r="L826">
        <v>0.13793</v>
      </c>
      <c r="M826">
        <v>5794.1</v>
      </c>
      <c r="N826">
        <v>0.13761000000000001</v>
      </c>
      <c r="O826" t="s">
        <v>2833</v>
      </c>
      <c r="P826" t="s">
        <v>158</v>
      </c>
      <c r="Q826" t="s">
        <v>2833</v>
      </c>
      <c r="R826">
        <f ca="1">RAND()*(Validation[[#This Row],[Range1_High]]-Validation[[#This Row],[Range1_Low]])+Validation[[#This Row],[Range1_Low]]</f>
        <v>109.97487566044097</v>
      </c>
      <c r="S826">
        <f>Validation[[#This Row],[Range2_High]]</f>
        <v>1.0000100000000001</v>
      </c>
      <c r="T826" t="str" cm="1">
        <f t="array" aca="1" ref="T826" ca="1">RoundToTwoSigFigs(Validation[[#This Row],[Test Reading]]*Validation[[#This Row],[Mult]]+Validation[[#This Row],[Base]]) &amp;" "&amp;Validation[[#This Row],[Uncert_Units]]</f>
        <v>5800 mA</v>
      </c>
      <c r="U8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mA</v>
      </c>
      <c r="V826" t="b">
        <f ca="1">Validation[[#This Row],[Desired Result]]=Validation[[#This Row],[Result]]</f>
        <v>0</v>
      </c>
      <c r="W826" t="b">
        <v>1</v>
      </c>
      <c r="X826" t="b">
        <f>Validation[[#This Row],[Range1_Low]]&gt;=Validation[[#This Row],[Range1_High]]</f>
        <v>0</v>
      </c>
      <c r="Y826" s="111" t="s">
        <v>2845</v>
      </c>
    </row>
    <row r="827" spans="1:25" ht="15.75" thickBot="1" x14ac:dyDescent="0.3">
      <c r="A827" t="s">
        <v>54</v>
      </c>
      <c r="B827" t="s">
        <v>62</v>
      </c>
      <c r="C827">
        <v>22</v>
      </c>
      <c r="D827">
        <v>60.000999999999998</v>
      </c>
      <c r="E827">
        <v>0.01</v>
      </c>
      <c r="F827" t="s">
        <v>13</v>
      </c>
      <c r="G827" t="s">
        <v>12</v>
      </c>
      <c r="H827">
        <v>0.01</v>
      </c>
      <c r="I827">
        <v>4.5010000000000001E-2</v>
      </c>
      <c r="J827" t="s">
        <v>10</v>
      </c>
      <c r="K827">
        <v>-5.2</v>
      </c>
      <c r="L827">
        <v>3.0308999999999999</v>
      </c>
      <c r="M827">
        <v>-6.0166000000000004</v>
      </c>
      <c r="N827">
        <v>3.0310000000000001</v>
      </c>
      <c r="O827" t="s">
        <v>2833</v>
      </c>
      <c r="P827" t="s">
        <v>158</v>
      </c>
      <c r="Q827" t="s">
        <v>2833</v>
      </c>
      <c r="R827">
        <f ca="1">RAND()*(Validation[[#This Row],[Range1_High]]-Validation[[#This Row],[Range1_Low]])+Validation[[#This Row],[Range1_Low]]</f>
        <v>36.988763230326342</v>
      </c>
      <c r="S827">
        <f>Validation[[#This Row],[Range2_High]]</f>
        <v>4.5010000000000001E-2</v>
      </c>
      <c r="T827" t="str" cm="1">
        <f t="array" aca="1" ref="T827" ca="1">RoundToTwoSigFigs(Validation[[#This Row],[Test Reading]]*Validation[[#This Row],[Mult]]+Validation[[#This Row],[Base]]) &amp;" "&amp;Validation[[#This Row],[Uncert_Units]]</f>
        <v>110 mA</v>
      </c>
      <c r="U8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V827" t="b">
        <f ca="1">Validation[[#This Row],[Desired Result]]=Validation[[#This Row],[Result]]</f>
        <v>0</v>
      </c>
      <c r="W827" t="b">
        <v>1</v>
      </c>
      <c r="X827" t="b">
        <f>Validation[[#This Row],[Range1_Low]]&gt;=Validation[[#This Row],[Range1_High]]</f>
        <v>0</v>
      </c>
      <c r="Y827" s="111" t="s">
        <v>2845</v>
      </c>
    </row>
    <row r="828" spans="1:25" ht="16.5" thickTop="1" thickBot="1" x14ac:dyDescent="0.3">
      <c r="A828" t="s">
        <v>54</v>
      </c>
      <c r="B828" t="s">
        <v>62</v>
      </c>
      <c r="C828" s="113">
        <v>60</v>
      </c>
      <c r="D828" s="113">
        <v>220.01</v>
      </c>
      <c r="E828">
        <v>0.1</v>
      </c>
      <c r="F828" t="s">
        <v>13</v>
      </c>
      <c r="G828" t="s">
        <v>12</v>
      </c>
      <c r="H828">
        <v>0.1</v>
      </c>
      <c r="I828">
        <v>1.0000100000000001</v>
      </c>
      <c r="J828" t="s">
        <v>10</v>
      </c>
      <c r="K828">
        <v>41.543999999999997</v>
      </c>
      <c r="L828">
        <v>2.2475000000000001</v>
      </c>
      <c r="M828">
        <v>41.546999999999997</v>
      </c>
      <c r="N828">
        <v>2.2467000000000001</v>
      </c>
      <c r="O828" t="s">
        <v>2833</v>
      </c>
      <c r="P828" t="s">
        <v>158</v>
      </c>
      <c r="Q828" t="s">
        <v>2833</v>
      </c>
      <c r="R828">
        <f ca="1">RAND()*(Validation[[#This Row],[Range1_High]]-Validation[[#This Row],[Range1_Low]])+Validation[[#This Row],[Range1_Low]]</f>
        <v>156.17217423931186</v>
      </c>
      <c r="S828">
        <f>Validation[[#This Row],[Range2_High]]</f>
        <v>1.0000100000000001</v>
      </c>
      <c r="T828" t="str" cm="1">
        <f t="array" aca="1" ref="T828" ca="1">RoundToTwoSigFigs(Validation[[#This Row],[Test Reading]]*Validation[[#This Row],[Mult]]+Validation[[#This Row],[Base]]) &amp;" "&amp;Validation[[#This Row],[Uncert_Units]]</f>
        <v>390 mA</v>
      </c>
      <c r="U8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mA</v>
      </c>
      <c r="V828" t="b">
        <f ca="1">Validation[[#This Row],[Desired Result]]=Validation[[#This Row],[Result]]</f>
        <v>0</v>
      </c>
      <c r="W828" t="b">
        <v>1</v>
      </c>
      <c r="X828" t="b">
        <f>Validation[[#This Row],[Range1_Low]]&gt;=Validation[[#This Row],[Range1_High]]</f>
        <v>0</v>
      </c>
      <c r="Y828" s="111" t="s">
        <v>2843</v>
      </c>
    </row>
    <row r="829" spans="1:25" ht="16.5" thickTop="1" thickBot="1" x14ac:dyDescent="0.3">
      <c r="A829" t="s">
        <v>54</v>
      </c>
      <c r="B829" t="s">
        <v>62</v>
      </c>
      <c r="C829" s="113">
        <v>220</v>
      </c>
      <c r="D829" s="113">
        <v>410.01</v>
      </c>
      <c r="E829">
        <v>10</v>
      </c>
      <c r="F829" t="s">
        <v>13</v>
      </c>
      <c r="G829" t="s">
        <v>12</v>
      </c>
      <c r="H829">
        <v>1</v>
      </c>
      <c r="I829">
        <v>5</v>
      </c>
      <c r="J829" t="s">
        <v>10</v>
      </c>
      <c r="K829">
        <v>2974.4</v>
      </c>
      <c r="L829">
        <v>30.478999999999999</v>
      </c>
      <c r="M829">
        <v>2973.8</v>
      </c>
      <c r="N829">
        <v>30.478999999999999</v>
      </c>
      <c r="O829" t="s">
        <v>2833</v>
      </c>
      <c r="P829" t="s">
        <v>158</v>
      </c>
      <c r="Q829" t="s">
        <v>2833</v>
      </c>
      <c r="R829">
        <f ca="1">RAND()*(Validation[[#This Row],[Range1_High]]-Validation[[#This Row],[Range1_Low]])+Validation[[#This Row],[Range1_Low]]</f>
        <v>369.44737868328747</v>
      </c>
      <c r="S829">
        <f>Validation[[#This Row],[Range2_High]]</f>
        <v>5</v>
      </c>
      <c r="T829" t="str" cm="1">
        <f t="array" aca="1" ref="T829" ca="1">RoundToTwoSigFigs(Validation[[#This Row],[Test Reading]]*Validation[[#This Row],[Mult]]+Validation[[#This Row],[Base]]) &amp;" "&amp;Validation[[#This Row],[Uncert_Units]]</f>
        <v>14000 mA</v>
      </c>
      <c r="U8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V829" t="b">
        <f ca="1">Validation[[#This Row],[Desired Result]]=Validation[[#This Row],[Result]]</f>
        <v>1</v>
      </c>
      <c r="W829" t="b">
        <v>1</v>
      </c>
      <c r="X829" t="b">
        <f>Validation[[#This Row],[Range1_Low]]&gt;=Validation[[#This Row],[Range1_High]]</f>
        <v>0</v>
      </c>
      <c r="Y829" s="111" t="s">
        <v>2843</v>
      </c>
    </row>
    <row r="830" spans="1:25" ht="15.75" thickTop="1" x14ac:dyDescent="0.25">
      <c r="A830" t="s">
        <v>54</v>
      </c>
      <c r="B830" t="s">
        <v>62</v>
      </c>
      <c r="C830">
        <v>22</v>
      </c>
      <c r="D830">
        <v>60.000999999999998</v>
      </c>
      <c r="E830">
        <v>1E-3</v>
      </c>
      <c r="F830" t="s">
        <v>13</v>
      </c>
      <c r="G830" t="s">
        <v>12</v>
      </c>
      <c r="H830">
        <v>0.01</v>
      </c>
      <c r="I830">
        <v>4.5010000000000001E-2</v>
      </c>
      <c r="J830" t="s">
        <v>10</v>
      </c>
      <c r="K830">
        <v>-5.2</v>
      </c>
      <c r="L830">
        <v>3</v>
      </c>
      <c r="M830">
        <v>-6.3514999999999997</v>
      </c>
      <c r="N830">
        <v>3.0358000000000001</v>
      </c>
      <c r="O830" t="s">
        <v>2833</v>
      </c>
      <c r="P830" t="s">
        <v>158</v>
      </c>
      <c r="Q830" t="s">
        <v>2833</v>
      </c>
      <c r="R830">
        <f ca="1">RAND()*(Validation[[#This Row],[Range1_High]]-Validation[[#This Row],[Range1_Low]])+Validation[[#This Row],[Range1_Low]]</f>
        <v>37.846704421521437</v>
      </c>
      <c r="S830">
        <f>Validation[[#This Row],[Range2_High]]</f>
        <v>4.5010000000000001E-2</v>
      </c>
      <c r="T830" t="str" cm="1">
        <f t="array" aca="1" ref="T830" ca="1">RoundToTwoSigFigs(Validation[[#This Row],[Test Reading]]*Validation[[#This Row],[Mult]]+Validation[[#This Row],[Base]]) &amp;" "&amp;Validation[[#This Row],[Uncert_Units]]</f>
        <v>110 mA</v>
      </c>
      <c r="U8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V830" t="b">
        <f ca="1">Validation[[#This Row],[Desired Result]]=Validation[[#This Row],[Result]]</f>
        <v>1</v>
      </c>
      <c r="W830" t="b">
        <v>0</v>
      </c>
      <c r="X830" t="b">
        <f>Validation[[#This Row],[Range1_Low]]&gt;=Validation[[#This Row],[Range1_High]]</f>
        <v>0</v>
      </c>
      <c r="Y830" s="111" t="s">
        <v>2845</v>
      </c>
    </row>
    <row r="831" spans="1:25" ht="15.75" thickBot="1" x14ac:dyDescent="0.3">
      <c r="A831" t="s">
        <v>54</v>
      </c>
      <c r="B831" t="s">
        <v>62</v>
      </c>
      <c r="C831">
        <v>22</v>
      </c>
      <c r="D831">
        <v>60.000999999999998</v>
      </c>
      <c r="E831">
        <v>1E-3</v>
      </c>
      <c r="F831" t="s">
        <v>13</v>
      </c>
      <c r="G831" t="s">
        <v>12</v>
      </c>
      <c r="H831">
        <v>1</v>
      </c>
      <c r="I831">
        <v>5.01</v>
      </c>
      <c r="J831" t="s">
        <v>10</v>
      </c>
      <c r="K831">
        <v>2.2999999999999998</v>
      </c>
      <c r="L831">
        <v>7.6</v>
      </c>
      <c r="M831">
        <v>2.2214999999999998</v>
      </c>
      <c r="N831">
        <v>7.5885999999999996</v>
      </c>
      <c r="O831" t="s">
        <v>2833</v>
      </c>
      <c r="P831" t="s">
        <v>158</v>
      </c>
      <c r="Q831" t="s">
        <v>2833</v>
      </c>
      <c r="R831">
        <f ca="1">RAND()*(Validation[[#This Row],[Range1_High]]-Validation[[#This Row],[Range1_Low]])+Validation[[#This Row],[Range1_Low]]</f>
        <v>43.025997382588102</v>
      </c>
      <c r="S831">
        <f>Validation[[#This Row],[Range2_High]]</f>
        <v>5.01</v>
      </c>
      <c r="T831" t="str" cm="1">
        <f t="array" aca="1" ref="T831" ca="1">RoundToTwoSigFigs(Validation[[#This Row],[Test Reading]]*Validation[[#This Row],[Mult]]+Validation[[#This Row],[Base]]) &amp;" "&amp;Validation[[#This Row],[Uncert_Units]]</f>
        <v>330 mA</v>
      </c>
      <c r="U8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V831" t="b">
        <f ca="1">Validation[[#This Row],[Desired Result]]=Validation[[#This Row],[Result]]</f>
        <v>1</v>
      </c>
      <c r="W831" t="b">
        <v>0</v>
      </c>
      <c r="X831" t="b">
        <f>Validation[[#This Row],[Range1_Low]]&gt;=Validation[[#This Row],[Range1_High]]</f>
        <v>0</v>
      </c>
      <c r="Y831" s="111" t="s">
        <v>2845</v>
      </c>
    </row>
    <row r="832" spans="1:25" ht="16.5" thickTop="1" thickBot="1" x14ac:dyDescent="0.3">
      <c r="A832" t="s">
        <v>54</v>
      </c>
      <c r="B832" t="s">
        <v>62</v>
      </c>
      <c r="C832" s="113">
        <v>220</v>
      </c>
      <c r="D832" s="113">
        <v>410.01</v>
      </c>
      <c r="E832">
        <v>10</v>
      </c>
      <c r="F832" t="s">
        <v>13</v>
      </c>
      <c r="G832" t="s">
        <v>12</v>
      </c>
      <c r="H832">
        <v>5</v>
      </c>
      <c r="I832">
        <v>5.01</v>
      </c>
      <c r="J832" t="s">
        <v>10</v>
      </c>
      <c r="K832">
        <v>2974.4</v>
      </c>
      <c r="L832">
        <v>30.478999999999999</v>
      </c>
      <c r="M832">
        <v>2973.8</v>
      </c>
      <c r="N832">
        <v>30.478999999999999</v>
      </c>
      <c r="O832" t="s">
        <v>2833</v>
      </c>
      <c r="P832" t="s">
        <v>158</v>
      </c>
      <c r="Q832" t="s">
        <v>2833</v>
      </c>
      <c r="R832">
        <f ca="1">RAND()*(Validation[[#This Row],[Range1_High]]-Validation[[#This Row],[Range1_Low]])+Validation[[#This Row],[Range1_Low]]</f>
        <v>266.78282637601194</v>
      </c>
      <c r="S832">
        <f>Validation[[#This Row],[Range2_High]]</f>
        <v>5.01</v>
      </c>
      <c r="T832" t="str" cm="1">
        <f t="array" aca="1" ref="T832" ca="1">RoundToTwoSigFigs(Validation[[#This Row],[Test Reading]]*Validation[[#This Row],[Mult]]+Validation[[#This Row],[Base]]) &amp;" "&amp;Validation[[#This Row],[Uncert_Units]]</f>
        <v>11000 mA</v>
      </c>
      <c r="U8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V832" t="b">
        <f ca="1">Validation[[#This Row],[Desired Result]]=Validation[[#This Row],[Result]]</f>
        <v>1</v>
      </c>
      <c r="W832" t="b">
        <v>1</v>
      </c>
      <c r="X832" t="b">
        <f>Validation[[#This Row],[Range1_Low]]&gt;=Validation[[#This Row],[Range1_High]]</f>
        <v>0</v>
      </c>
      <c r="Y832" s="111" t="s">
        <v>2843</v>
      </c>
    </row>
    <row r="833" spans="1:25" ht="16.5" thickTop="1" thickBot="1" x14ac:dyDescent="0.3">
      <c r="A833" t="s">
        <v>54</v>
      </c>
      <c r="B833" t="s">
        <v>62</v>
      </c>
      <c r="C833" s="113">
        <v>220</v>
      </c>
      <c r="D833" s="113">
        <v>410.01</v>
      </c>
      <c r="E833">
        <v>1</v>
      </c>
      <c r="F833" t="s">
        <v>13</v>
      </c>
      <c r="G833" t="s">
        <v>12</v>
      </c>
      <c r="H833">
        <v>1</v>
      </c>
      <c r="I833">
        <v>5</v>
      </c>
      <c r="J833" t="s">
        <v>10</v>
      </c>
      <c r="K833">
        <v>120</v>
      </c>
      <c r="L833">
        <v>35</v>
      </c>
      <c r="M833">
        <v>148.62</v>
      </c>
      <c r="N833">
        <v>34.646000000000001</v>
      </c>
      <c r="O833" t="s">
        <v>2833</v>
      </c>
      <c r="P833" t="s">
        <v>158</v>
      </c>
      <c r="Q833" t="s">
        <v>2833</v>
      </c>
      <c r="R833">
        <f ca="1">RAND()*(Validation[[#This Row],[Range1_High]]-Validation[[#This Row],[Range1_Low]])+Validation[[#This Row],[Range1_Low]]</f>
        <v>249.64445894092137</v>
      </c>
      <c r="S833">
        <f>Validation[[#This Row],[Range2_High]]</f>
        <v>5</v>
      </c>
      <c r="T833" t="str" cm="1">
        <f t="array" aca="1" ref="T833" ca="1">RoundToTwoSigFigs(Validation[[#This Row],[Test Reading]]*Validation[[#This Row],[Mult]]+Validation[[#This Row],[Base]]) &amp;" "&amp;Validation[[#This Row],[Uncert_Units]]</f>
        <v>8900 mA</v>
      </c>
      <c r="U8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mA</v>
      </c>
      <c r="V833" t="b">
        <f ca="1">Validation[[#This Row],[Desired Result]]=Validation[[#This Row],[Result]]</f>
        <v>1</v>
      </c>
      <c r="W833" t="b">
        <v>1</v>
      </c>
      <c r="X833" t="b">
        <f>Validation[[#This Row],[Range1_Low]]&gt;=Validation[[#This Row],[Range1_High]]</f>
        <v>0</v>
      </c>
      <c r="Y833" s="111" t="s">
        <v>2843</v>
      </c>
    </row>
    <row r="834" spans="1:25" ht="16.5" thickTop="1" thickBot="1" x14ac:dyDescent="0.3">
      <c r="A834" t="s">
        <v>54</v>
      </c>
      <c r="B834" t="s">
        <v>62</v>
      </c>
      <c r="C834">
        <v>220</v>
      </c>
      <c r="D834">
        <v>410.01</v>
      </c>
      <c r="E834">
        <v>100</v>
      </c>
      <c r="F834" t="s">
        <v>13</v>
      </c>
      <c r="G834" t="s">
        <v>12</v>
      </c>
      <c r="H834">
        <v>0.1</v>
      </c>
      <c r="I834">
        <v>1.0000100000000001</v>
      </c>
      <c r="J834" t="s">
        <v>10</v>
      </c>
      <c r="K834">
        <v>57995</v>
      </c>
      <c r="L834">
        <v>4.2063000000000003E-2</v>
      </c>
      <c r="M834">
        <v>57995</v>
      </c>
      <c r="N834">
        <v>4.1459999999999997E-2</v>
      </c>
      <c r="O834" t="s">
        <v>2833</v>
      </c>
      <c r="P834" t="s">
        <v>158</v>
      </c>
      <c r="Q834" t="s">
        <v>2833</v>
      </c>
      <c r="R834">
        <f ca="1">RAND()*(Validation[[#This Row],[Range1_High]]-Validation[[#This Row],[Range1_Low]])+Validation[[#This Row],[Range1_Low]]</f>
        <v>385.49936139512079</v>
      </c>
      <c r="S834">
        <f>Validation[[#This Row],[Range2_High]]</f>
        <v>1.0000100000000001</v>
      </c>
      <c r="T834" t="str" cm="1">
        <f t="array" aca="1" ref="T834" ca="1">RoundToTwoSigFigs(Validation[[#This Row],[Test Reading]]*Validation[[#This Row],[Mult]]+Validation[[#This Row],[Base]]) &amp;" "&amp;Validation[[#This Row],[Uncert_Units]]</f>
        <v>58000 mA</v>
      </c>
      <c r="U8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34" t="b">
        <f ca="1">Validation[[#This Row],[Desired Result]]=Validation[[#This Row],[Result]]</f>
        <v>1</v>
      </c>
      <c r="W834" t="b">
        <v>0</v>
      </c>
      <c r="X834" t="b">
        <f>Validation[[#This Row],[Range1_Low]]&gt;=Validation[[#This Row],[Range1_High]]</f>
        <v>0</v>
      </c>
      <c r="Y834" s="111" t="s">
        <v>2845</v>
      </c>
    </row>
    <row r="835" spans="1:25" ht="16.5" thickTop="1" thickBot="1" x14ac:dyDescent="0.3">
      <c r="A835" t="s">
        <v>54</v>
      </c>
      <c r="B835" t="s">
        <v>62</v>
      </c>
      <c r="C835" s="113">
        <v>220</v>
      </c>
      <c r="D835" s="113">
        <v>410.01</v>
      </c>
      <c r="E835">
        <v>1</v>
      </c>
      <c r="F835" t="s">
        <v>13</v>
      </c>
      <c r="G835" t="s">
        <v>12</v>
      </c>
      <c r="H835">
        <v>4.4999999999999998E-2</v>
      </c>
      <c r="I835">
        <v>0.10001</v>
      </c>
      <c r="J835" t="s">
        <v>10</v>
      </c>
      <c r="K835">
        <v>407.38</v>
      </c>
      <c r="L835">
        <v>1.9712000000000001</v>
      </c>
      <c r="M835">
        <v>407.21</v>
      </c>
      <c r="N835">
        <v>1.9701</v>
      </c>
      <c r="O835" t="s">
        <v>2833</v>
      </c>
      <c r="P835" t="s">
        <v>158</v>
      </c>
      <c r="Q835" t="s">
        <v>2833</v>
      </c>
      <c r="R835">
        <f ca="1">RAND()*(Validation[[#This Row],[Range1_High]]-Validation[[#This Row],[Range1_Low]])+Validation[[#This Row],[Range1_Low]]</f>
        <v>230.93821211546995</v>
      </c>
      <c r="S835">
        <f>Validation[[#This Row],[Range2_High]]</f>
        <v>0.10001</v>
      </c>
      <c r="T835" t="str" cm="1">
        <f t="array" aca="1" ref="T835" ca="1">RoundToTwoSigFigs(Validation[[#This Row],[Test Reading]]*Validation[[#This Row],[Mult]]+Validation[[#This Row],[Base]]) &amp;" "&amp;Validation[[#This Row],[Uncert_Units]]</f>
        <v>860 mA</v>
      </c>
      <c r="U8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V835" t="b">
        <f ca="1">Validation[[#This Row],[Desired Result]]=Validation[[#This Row],[Result]]</f>
        <v>0</v>
      </c>
      <c r="W835" t="b">
        <v>1</v>
      </c>
      <c r="X835" t="b">
        <f>Validation[[#This Row],[Range1_Low]]&gt;=Validation[[#This Row],[Range1_High]]</f>
        <v>0</v>
      </c>
      <c r="Y835" s="111" t="s">
        <v>2843</v>
      </c>
    </row>
    <row r="836" spans="1:25" ht="15.75" thickTop="1" x14ac:dyDescent="0.25">
      <c r="A836" t="s">
        <v>54</v>
      </c>
      <c r="B836" t="s">
        <v>62</v>
      </c>
      <c r="C836">
        <v>60</v>
      </c>
      <c r="D836">
        <v>220.01</v>
      </c>
      <c r="E836">
        <v>100</v>
      </c>
      <c r="F836" t="s">
        <v>13</v>
      </c>
      <c r="G836" t="s">
        <v>12</v>
      </c>
      <c r="H836">
        <v>4.4999999999999998E-2</v>
      </c>
      <c r="I836">
        <v>0.10001</v>
      </c>
      <c r="J836" t="s">
        <v>10</v>
      </c>
      <c r="K836">
        <v>58000</v>
      </c>
      <c r="L836">
        <v>1.1493E-2</v>
      </c>
      <c r="M836">
        <v>58000</v>
      </c>
      <c r="N836">
        <v>1.1365E-2</v>
      </c>
      <c r="O836" t="s">
        <v>2833</v>
      </c>
      <c r="P836" t="s">
        <v>158</v>
      </c>
      <c r="Q836" t="s">
        <v>2833</v>
      </c>
      <c r="R836">
        <f ca="1">RAND()*(Validation[[#This Row],[Range1_High]]-Validation[[#This Row],[Range1_Low]])+Validation[[#This Row],[Range1_Low]]</f>
        <v>171.78061488440005</v>
      </c>
      <c r="S836">
        <f>Validation[[#This Row],[Range2_High]]</f>
        <v>0.10001</v>
      </c>
      <c r="T836" t="str" cm="1">
        <f t="array" aca="1" ref="T836" ca="1">RoundToTwoSigFigs(Validation[[#This Row],[Test Reading]]*Validation[[#This Row],[Mult]]+Validation[[#This Row],[Base]]) &amp;" "&amp;Validation[[#This Row],[Uncert_Units]]</f>
        <v>58000 mA</v>
      </c>
      <c r="U8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36" t="b">
        <f ca="1">Validation[[#This Row],[Desired Result]]=Validation[[#This Row],[Result]]</f>
        <v>1</v>
      </c>
      <c r="W836" t="b">
        <v>0</v>
      </c>
      <c r="X836" t="b">
        <f>Validation[[#This Row],[Range1_Low]]&gt;=Validation[[#This Row],[Range1_High]]</f>
        <v>0</v>
      </c>
      <c r="Y836" s="111" t="s">
        <v>2845</v>
      </c>
    </row>
    <row r="837" spans="1:25" x14ac:dyDescent="0.25">
      <c r="A837" t="s">
        <v>54</v>
      </c>
      <c r="B837" t="s">
        <v>62</v>
      </c>
      <c r="C837">
        <v>22</v>
      </c>
      <c r="D837">
        <v>60.000999999999998</v>
      </c>
      <c r="E837">
        <v>0.1</v>
      </c>
      <c r="F837" t="s">
        <v>13</v>
      </c>
      <c r="G837" t="s">
        <v>12</v>
      </c>
      <c r="H837">
        <v>5</v>
      </c>
      <c r="I837">
        <v>10</v>
      </c>
      <c r="J837" t="s">
        <v>10</v>
      </c>
      <c r="K837">
        <v>52</v>
      </c>
      <c r="L837">
        <v>30.419</v>
      </c>
      <c r="M837">
        <v>37.46</v>
      </c>
      <c r="N837">
        <v>30.419</v>
      </c>
      <c r="O837" t="s">
        <v>2833</v>
      </c>
      <c r="P837" t="s">
        <v>158</v>
      </c>
      <c r="Q837" t="s">
        <v>2833</v>
      </c>
      <c r="R837">
        <f ca="1">RAND()*(Validation[[#This Row],[Range1_High]]-Validation[[#This Row],[Range1_Low]])+Validation[[#This Row],[Range1_Low]]</f>
        <v>53.333860540590059</v>
      </c>
      <c r="S837">
        <f>Validation[[#This Row],[Range2_High]]</f>
        <v>10</v>
      </c>
      <c r="T837" t="str" cm="1">
        <f t="array" aca="1" ref="T837" ca="1">RoundToTwoSigFigs(Validation[[#This Row],[Test Reading]]*Validation[[#This Row],[Mult]]+Validation[[#This Row],[Base]]) &amp;" "&amp;Validation[[#This Row],[Uncert_Units]]</f>
        <v>1700 mA</v>
      </c>
      <c r="U8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V837" t="b">
        <f ca="1">Validation[[#This Row],[Desired Result]]=Validation[[#This Row],[Result]]</f>
        <v>1</v>
      </c>
      <c r="W837" t="b">
        <v>0</v>
      </c>
      <c r="X837" t="b">
        <f>Validation[[#This Row],[Range1_Low]]&gt;=Validation[[#This Row],[Range1_High]]</f>
        <v>0</v>
      </c>
      <c r="Y837" s="111" t="s">
        <v>2845</v>
      </c>
    </row>
    <row r="838" spans="1:25" ht="15.75" thickBot="1" x14ac:dyDescent="0.3">
      <c r="A838" t="s">
        <v>54</v>
      </c>
      <c r="B838" t="s">
        <v>62</v>
      </c>
      <c r="C838">
        <v>220</v>
      </c>
      <c r="D838">
        <v>410.01</v>
      </c>
      <c r="E838">
        <v>10</v>
      </c>
      <c r="F838" t="s">
        <v>13</v>
      </c>
      <c r="G838" t="s">
        <v>12</v>
      </c>
      <c r="H838">
        <v>0.1</v>
      </c>
      <c r="I838">
        <v>1.0000100000000001</v>
      </c>
      <c r="J838" t="s">
        <v>10</v>
      </c>
      <c r="K838">
        <v>5747.7</v>
      </c>
      <c r="L838">
        <v>0.41071000000000002</v>
      </c>
      <c r="M838">
        <v>5747.8</v>
      </c>
      <c r="N838">
        <v>0.40925</v>
      </c>
      <c r="O838" t="s">
        <v>2833</v>
      </c>
      <c r="P838" t="s">
        <v>158</v>
      </c>
      <c r="Q838" t="s">
        <v>2833</v>
      </c>
      <c r="R838">
        <f ca="1">RAND()*(Validation[[#This Row],[Range1_High]]-Validation[[#This Row],[Range1_Low]])+Validation[[#This Row],[Range1_Low]]</f>
        <v>257.63082455226015</v>
      </c>
      <c r="S838">
        <f>Validation[[#This Row],[Range2_High]]</f>
        <v>1.0000100000000001</v>
      </c>
      <c r="T838" t="str" cm="1">
        <f t="array" aca="1" ref="T838" ca="1">RoundToTwoSigFigs(Validation[[#This Row],[Test Reading]]*Validation[[#This Row],[Mult]]+Validation[[#This Row],[Base]]) &amp;" "&amp;Validation[[#This Row],[Uncert_Units]]</f>
        <v>5900 mA</v>
      </c>
      <c r="U8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V838" t="b">
        <f ca="1">Validation[[#This Row],[Desired Result]]=Validation[[#This Row],[Result]]</f>
        <v>0</v>
      </c>
      <c r="W838" t="b">
        <v>1</v>
      </c>
      <c r="X838" t="b">
        <f>Validation[[#This Row],[Range1_Low]]&gt;=Validation[[#This Row],[Range1_High]]</f>
        <v>0</v>
      </c>
      <c r="Y838" s="111" t="s">
        <v>2845</v>
      </c>
    </row>
    <row r="839" spans="1:25" ht="16.5" thickTop="1" thickBot="1" x14ac:dyDescent="0.3">
      <c r="A839" t="s">
        <v>54</v>
      </c>
      <c r="B839" t="s">
        <v>62</v>
      </c>
      <c r="C839" s="113">
        <v>220</v>
      </c>
      <c r="D839" s="113">
        <v>410.01</v>
      </c>
      <c r="E839">
        <v>0.01</v>
      </c>
      <c r="F839" t="s">
        <v>13</v>
      </c>
      <c r="G839" t="s">
        <v>12</v>
      </c>
      <c r="H839">
        <v>4.4999999999999998E-2</v>
      </c>
      <c r="I839">
        <v>0.10001</v>
      </c>
      <c r="J839" t="s">
        <v>10</v>
      </c>
      <c r="K839">
        <v>84</v>
      </c>
      <c r="L839">
        <v>2.4</v>
      </c>
      <c r="M839">
        <v>76.977999999999994</v>
      </c>
      <c r="N839">
        <v>2.4161000000000001</v>
      </c>
      <c r="O839" t="s">
        <v>2833</v>
      </c>
      <c r="P839" t="s">
        <v>158</v>
      </c>
      <c r="Q839" t="s">
        <v>2833</v>
      </c>
      <c r="R839">
        <f ca="1">RAND()*(Validation[[#This Row],[Range1_High]]-Validation[[#This Row],[Range1_Low]])+Validation[[#This Row],[Range1_Low]]</f>
        <v>332.5228005621168</v>
      </c>
      <c r="S839">
        <f>Validation[[#This Row],[Range2_High]]</f>
        <v>0.10001</v>
      </c>
      <c r="T839" t="str" cm="1">
        <f t="array" aca="1" ref="T839" ca="1">RoundToTwoSigFigs(Validation[[#This Row],[Test Reading]]*Validation[[#This Row],[Mult]]+Validation[[#This Row],[Base]]) &amp;" "&amp;Validation[[#This Row],[Uncert_Units]]</f>
        <v>880 mA</v>
      </c>
      <c r="U8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mA</v>
      </c>
      <c r="V839" t="b">
        <f ca="1">Validation[[#This Row],[Desired Result]]=Validation[[#This Row],[Result]]</f>
        <v>1</v>
      </c>
      <c r="W839" t="b">
        <v>1</v>
      </c>
      <c r="X839" t="b">
        <f>Validation[[#This Row],[Range1_Low]]&gt;=Validation[[#This Row],[Range1_High]]</f>
        <v>0</v>
      </c>
      <c r="Y839" s="111" t="s">
        <v>2843</v>
      </c>
    </row>
    <row r="840" spans="1:25" ht="16.5" thickTop="1" thickBot="1" x14ac:dyDescent="0.3">
      <c r="A840" t="s">
        <v>54</v>
      </c>
      <c r="B840" t="s">
        <v>62</v>
      </c>
      <c r="C840">
        <v>60</v>
      </c>
      <c r="D840">
        <v>220.01</v>
      </c>
      <c r="E840">
        <v>100</v>
      </c>
      <c r="F840" t="s">
        <v>13</v>
      </c>
      <c r="G840" t="s">
        <v>12</v>
      </c>
      <c r="H840">
        <v>1</v>
      </c>
      <c r="I840">
        <v>5</v>
      </c>
      <c r="J840" t="s">
        <v>10</v>
      </c>
      <c r="K840">
        <v>57864</v>
      </c>
      <c r="L840">
        <v>2.9205000000000001</v>
      </c>
      <c r="M840">
        <v>57864</v>
      </c>
      <c r="N840">
        <v>2.9201000000000001</v>
      </c>
      <c r="O840" t="s">
        <v>2833</v>
      </c>
      <c r="P840" t="s">
        <v>158</v>
      </c>
      <c r="Q840" t="s">
        <v>2833</v>
      </c>
      <c r="R840">
        <f ca="1">RAND()*(Validation[[#This Row],[Range1_High]]-Validation[[#This Row],[Range1_Low]])+Validation[[#This Row],[Range1_Low]]</f>
        <v>99.262523621696346</v>
      </c>
      <c r="S840">
        <f>Validation[[#This Row],[Range2_High]]</f>
        <v>5</v>
      </c>
      <c r="T840" t="str" cm="1">
        <f t="array" aca="1" ref="T840" ca="1">RoundToTwoSigFigs(Validation[[#This Row],[Test Reading]]*Validation[[#This Row],[Mult]]+Validation[[#This Row],[Base]]) &amp;" "&amp;Validation[[#This Row],[Uncert_Units]]</f>
        <v>58000 mA</v>
      </c>
      <c r="U8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40" t="b">
        <f ca="1">Validation[[#This Row],[Desired Result]]=Validation[[#This Row],[Result]]</f>
        <v>1</v>
      </c>
      <c r="W840" t="b">
        <v>0</v>
      </c>
      <c r="X840" t="b">
        <f>Validation[[#This Row],[Range1_Low]]&gt;=Validation[[#This Row],[Range1_High]]</f>
        <v>0</v>
      </c>
      <c r="Y840" s="111" t="s">
        <v>2845</v>
      </c>
    </row>
    <row r="841" spans="1:25" ht="16.5" thickTop="1" thickBot="1" x14ac:dyDescent="0.3">
      <c r="A841" t="s">
        <v>54</v>
      </c>
      <c r="B841" t="s">
        <v>62</v>
      </c>
      <c r="C841" s="113">
        <v>60</v>
      </c>
      <c r="D841" s="113">
        <v>220.01</v>
      </c>
      <c r="E841">
        <v>0.01</v>
      </c>
      <c r="F841" t="s">
        <v>13</v>
      </c>
      <c r="G841" t="s">
        <v>12</v>
      </c>
      <c r="H841">
        <v>5</v>
      </c>
      <c r="I841">
        <v>5.01</v>
      </c>
      <c r="J841" t="s">
        <v>10</v>
      </c>
      <c r="K841">
        <v>47</v>
      </c>
      <c r="L841">
        <v>35</v>
      </c>
      <c r="M841">
        <v>46.103000000000002</v>
      </c>
      <c r="N841">
        <v>34.698999999999998</v>
      </c>
      <c r="O841" t="s">
        <v>2833</v>
      </c>
      <c r="P841" t="s">
        <v>158</v>
      </c>
      <c r="Q841" t="s">
        <v>2833</v>
      </c>
      <c r="R841">
        <f ca="1">RAND()*(Validation[[#This Row],[Range1_High]]-Validation[[#This Row],[Range1_Low]])+Validation[[#This Row],[Range1_Low]]</f>
        <v>142.78814959161588</v>
      </c>
      <c r="S841">
        <f>Validation[[#This Row],[Range2_High]]</f>
        <v>5.01</v>
      </c>
      <c r="T841" t="str" cm="1">
        <f t="array" aca="1" ref="T841" ca="1">RoundToTwoSigFigs(Validation[[#This Row],[Test Reading]]*Validation[[#This Row],[Mult]]+Validation[[#This Row],[Base]]) &amp;" "&amp;Validation[[#This Row],[Uncert_Units]]</f>
        <v>5000 mA</v>
      </c>
      <c r="U8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V841" t="b">
        <f ca="1">Validation[[#This Row],[Desired Result]]=Validation[[#This Row],[Result]]</f>
        <v>1</v>
      </c>
      <c r="W841" t="b">
        <v>1</v>
      </c>
      <c r="X841" t="b">
        <f>Validation[[#This Row],[Range1_Low]]&gt;=Validation[[#This Row],[Range1_High]]</f>
        <v>0</v>
      </c>
      <c r="Y841" s="111" t="s">
        <v>2843</v>
      </c>
    </row>
    <row r="842" spans="1:25" ht="16.5" thickTop="1" thickBot="1" x14ac:dyDescent="0.3">
      <c r="A842" t="s">
        <v>54</v>
      </c>
      <c r="B842" t="s">
        <v>62</v>
      </c>
      <c r="C842" s="113">
        <v>220</v>
      </c>
      <c r="D842" s="113">
        <v>410.01</v>
      </c>
      <c r="E842">
        <v>0.1</v>
      </c>
      <c r="F842" t="s">
        <v>13</v>
      </c>
      <c r="G842" t="s">
        <v>12</v>
      </c>
      <c r="H842">
        <v>4.4999999999999998E-2</v>
      </c>
      <c r="I842">
        <v>0.10001</v>
      </c>
      <c r="J842" t="s">
        <v>10</v>
      </c>
      <c r="K842">
        <v>84</v>
      </c>
      <c r="L842">
        <v>2.4068999999999998</v>
      </c>
      <c r="M842">
        <v>81.076999999999998</v>
      </c>
      <c r="N842">
        <v>2.4098999999999999</v>
      </c>
      <c r="O842" t="s">
        <v>2833</v>
      </c>
      <c r="P842" t="s">
        <v>158</v>
      </c>
      <c r="Q842" t="s">
        <v>2833</v>
      </c>
      <c r="R842">
        <f ca="1">RAND()*(Validation[[#This Row],[Range1_High]]-Validation[[#This Row],[Range1_Low]])+Validation[[#This Row],[Range1_Low]]</f>
        <v>353.02735570441018</v>
      </c>
      <c r="S842">
        <f>Validation[[#This Row],[Range2_High]]</f>
        <v>0.10001</v>
      </c>
      <c r="T842" t="str" cm="1">
        <f t="array" aca="1" ref="T842" ca="1">RoundToTwoSigFigs(Validation[[#This Row],[Test Reading]]*Validation[[#This Row],[Mult]]+Validation[[#This Row],[Base]]) &amp;" "&amp;Validation[[#This Row],[Uncert_Units]]</f>
        <v>930 mA</v>
      </c>
      <c r="U8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mA</v>
      </c>
      <c r="V842" t="b">
        <f ca="1">Validation[[#This Row],[Desired Result]]=Validation[[#This Row],[Result]]</f>
        <v>1</v>
      </c>
      <c r="W842" t="b">
        <v>1</v>
      </c>
      <c r="X842" t="b">
        <f>Validation[[#This Row],[Range1_Low]]&gt;=Validation[[#This Row],[Range1_High]]</f>
        <v>0</v>
      </c>
      <c r="Y842" s="111" t="s">
        <v>2843</v>
      </c>
    </row>
    <row r="843" spans="1:25" ht="16.5" thickTop="1" thickBot="1" x14ac:dyDescent="0.3">
      <c r="A843" t="s">
        <v>54</v>
      </c>
      <c r="B843" t="s">
        <v>62</v>
      </c>
      <c r="C843" s="113">
        <v>220</v>
      </c>
      <c r="D843" s="113">
        <v>410.01</v>
      </c>
      <c r="E843">
        <v>0.01</v>
      </c>
      <c r="F843" t="s">
        <v>13</v>
      </c>
      <c r="G843" t="s">
        <v>12</v>
      </c>
      <c r="H843">
        <v>1</v>
      </c>
      <c r="I843">
        <v>5</v>
      </c>
      <c r="J843" t="s">
        <v>10</v>
      </c>
      <c r="K843">
        <v>120</v>
      </c>
      <c r="L843">
        <v>35</v>
      </c>
      <c r="M843">
        <v>115.22</v>
      </c>
      <c r="N843">
        <v>34.698999999999998</v>
      </c>
      <c r="O843" t="s">
        <v>2833</v>
      </c>
      <c r="P843" t="s">
        <v>158</v>
      </c>
      <c r="Q843" t="s">
        <v>2833</v>
      </c>
      <c r="R843">
        <f ca="1">RAND()*(Validation[[#This Row],[Range1_High]]-Validation[[#This Row],[Range1_Low]])+Validation[[#This Row],[Range1_Low]]</f>
        <v>321.13111382725674</v>
      </c>
      <c r="S843">
        <f>Validation[[#This Row],[Range2_High]]</f>
        <v>5</v>
      </c>
      <c r="T843" t="str" cm="1">
        <f t="array" aca="1" ref="T843" ca="1">RoundToTwoSigFigs(Validation[[#This Row],[Test Reading]]*Validation[[#This Row],[Mult]]+Validation[[#This Row],[Base]]) &amp;" "&amp;Validation[[#This Row],[Uncert_Units]]</f>
        <v>11000 mA</v>
      </c>
      <c r="U8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V843" t="b">
        <f ca="1">Validation[[#This Row],[Desired Result]]=Validation[[#This Row],[Result]]</f>
        <v>1</v>
      </c>
      <c r="W843" t="b">
        <v>1</v>
      </c>
      <c r="X843" t="b">
        <f>Validation[[#This Row],[Range1_Low]]&gt;=Validation[[#This Row],[Range1_High]]</f>
        <v>0</v>
      </c>
      <c r="Y843" s="111" t="s">
        <v>2843</v>
      </c>
    </row>
    <row r="844" spans="1:25" ht="16.5" thickTop="1" thickBot="1" x14ac:dyDescent="0.3">
      <c r="A844" t="s">
        <v>54</v>
      </c>
      <c r="B844" t="s">
        <v>62</v>
      </c>
      <c r="C844" s="113">
        <v>60</v>
      </c>
      <c r="D844" s="113">
        <v>220.01</v>
      </c>
      <c r="E844">
        <v>0.01</v>
      </c>
      <c r="F844" t="s">
        <v>13</v>
      </c>
      <c r="G844" t="s">
        <v>12</v>
      </c>
      <c r="H844">
        <v>1</v>
      </c>
      <c r="I844">
        <v>5</v>
      </c>
      <c r="J844" t="s">
        <v>10</v>
      </c>
      <c r="K844">
        <v>47</v>
      </c>
      <c r="L844">
        <v>35</v>
      </c>
      <c r="M844">
        <v>46.103000000000002</v>
      </c>
      <c r="N844">
        <v>34.698999999999998</v>
      </c>
      <c r="O844" t="s">
        <v>2833</v>
      </c>
      <c r="P844" t="s">
        <v>158</v>
      </c>
      <c r="Q844" t="s">
        <v>2833</v>
      </c>
      <c r="R844">
        <f ca="1">RAND()*(Validation[[#This Row],[Range1_High]]-Validation[[#This Row],[Range1_Low]])+Validation[[#This Row],[Range1_Low]]</f>
        <v>149.78140997882281</v>
      </c>
      <c r="S844">
        <f>Validation[[#This Row],[Range2_High]]</f>
        <v>5</v>
      </c>
      <c r="T844" t="str" cm="1">
        <f t="array" aca="1" ref="T844" ca="1">RoundToTwoSigFigs(Validation[[#This Row],[Test Reading]]*Validation[[#This Row],[Mult]]+Validation[[#This Row],[Base]]) &amp;" "&amp;Validation[[#This Row],[Uncert_Units]]</f>
        <v>5300 mA</v>
      </c>
      <c r="U8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mA</v>
      </c>
      <c r="V844" t="b">
        <f ca="1">Validation[[#This Row],[Desired Result]]=Validation[[#This Row],[Result]]</f>
        <v>1</v>
      </c>
      <c r="W844" t="b">
        <v>1</v>
      </c>
      <c r="X844" t="b">
        <f>Validation[[#This Row],[Range1_Low]]&gt;=Validation[[#This Row],[Range1_High]]</f>
        <v>0</v>
      </c>
      <c r="Y844" s="111" t="s">
        <v>2843</v>
      </c>
    </row>
    <row r="845" spans="1:25" ht="16.5" thickTop="1" thickBot="1" x14ac:dyDescent="0.3">
      <c r="A845" t="s">
        <v>54</v>
      </c>
      <c r="B845" t="s">
        <v>62</v>
      </c>
      <c r="C845" s="113">
        <v>60</v>
      </c>
      <c r="D845" s="113">
        <v>220.01</v>
      </c>
      <c r="E845">
        <v>1</v>
      </c>
      <c r="F845" t="s">
        <v>13</v>
      </c>
      <c r="G845" t="s">
        <v>12</v>
      </c>
      <c r="H845">
        <v>5</v>
      </c>
      <c r="I845">
        <v>5.01</v>
      </c>
      <c r="J845" t="s">
        <v>10</v>
      </c>
      <c r="K845">
        <v>127.73</v>
      </c>
      <c r="L845">
        <v>34.633000000000003</v>
      </c>
      <c r="M845">
        <v>144.69999999999999</v>
      </c>
      <c r="N845">
        <v>34.35</v>
      </c>
      <c r="O845" t="s">
        <v>2833</v>
      </c>
      <c r="P845" t="s">
        <v>158</v>
      </c>
      <c r="Q845" t="s">
        <v>2833</v>
      </c>
      <c r="R845">
        <f ca="1">RAND()*(Validation[[#This Row],[Range1_High]]-Validation[[#This Row],[Range1_Low]])+Validation[[#This Row],[Range1_Low]]</f>
        <v>115.92396040951597</v>
      </c>
      <c r="S845">
        <f>Validation[[#This Row],[Range2_High]]</f>
        <v>5.01</v>
      </c>
      <c r="T845" t="str" cm="1">
        <f t="array" aca="1" ref="T845" ca="1">RoundToTwoSigFigs(Validation[[#This Row],[Test Reading]]*Validation[[#This Row],[Mult]]+Validation[[#This Row],[Base]]) &amp;" "&amp;Validation[[#This Row],[Uncert_Units]]</f>
        <v>4100 mA</v>
      </c>
      <c r="U8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V845" t="b">
        <f ca="1">Validation[[#This Row],[Desired Result]]=Validation[[#This Row],[Result]]</f>
        <v>1</v>
      </c>
      <c r="W845" t="b">
        <v>1</v>
      </c>
      <c r="X845" t="b">
        <f>Validation[[#This Row],[Range1_Low]]&gt;=Validation[[#This Row],[Range1_High]]</f>
        <v>0</v>
      </c>
      <c r="Y845" s="111" t="s">
        <v>2843</v>
      </c>
    </row>
    <row r="846" spans="1:25" ht="16.5" thickTop="1" thickBot="1" x14ac:dyDescent="0.3">
      <c r="A846" t="s">
        <v>54</v>
      </c>
      <c r="B846" t="s">
        <v>63</v>
      </c>
      <c r="C846" s="113">
        <v>550</v>
      </c>
      <c r="D846" s="113">
        <v>1025.01</v>
      </c>
      <c r="E846">
        <v>0.01</v>
      </c>
      <c r="F846" t="s">
        <v>13</v>
      </c>
      <c r="G846" t="s">
        <v>12</v>
      </c>
      <c r="H846">
        <v>0.1</v>
      </c>
      <c r="I846">
        <v>1</v>
      </c>
      <c r="J846" t="s">
        <v>10</v>
      </c>
      <c r="K846">
        <v>250</v>
      </c>
      <c r="L846">
        <v>2.6</v>
      </c>
      <c r="M846">
        <v>210.67</v>
      </c>
      <c r="N846">
        <v>2.6326000000000001</v>
      </c>
      <c r="O846" t="s">
        <v>2833</v>
      </c>
      <c r="P846" t="s">
        <v>159</v>
      </c>
      <c r="Q846" t="s">
        <v>2833</v>
      </c>
      <c r="R846">
        <f ca="1">RAND()*(Validation[[#This Row],[Range1_High]]-Validation[[#This Row],[Range1_Low]])+Validation[[#This Row],[Range1_Low]]</f>
        <v>588.73808282660639</v>
      </c>
      <c r="S846">
        <f>Validation[[#This Row],[Range2_High]]</f>
        <v>1</v>
      </c>
      <c r="T846" t="str" cm="1">
        <f t="array" aca="1" ref="T846" ca="1">RoundToTwoSigFigs(Validation[[#This Row],[Test Reading]]*Validation[[#This Row],[Mult]]+Validation[[#This Row],[Base]]) &amp;" "&amp;Validation[[#This Row],[Uncert_Units]]</f>
        <v>1800 mA</v>
      </c>
      <c r="U8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V846" t="b">
        <f ca="1">Validation[[#This Row],[Desired Result]]=Validation[[#This Row],[Result]]</f>
        <v>1</v>
      </c>
      <c r="W846" t="b">
        <v>1</v>
      </c>
      <c r="X846" t="b">
        <f>Validation[[#This Row],[Range1_Low]]&gt;=Validation[[#This Row],[Range1_High]]</f>
        <v>0</v>
      </c>
      <c r="Y846" s="111" t="s">
        <v>2843</v>
      </c>
    </row>
    <row r="847" spans="1:25" ht="15.75" thickTop="1" x14ac:dyDescent="0.25">
      <c r="A847" t="s">
        <v>54</v>
      </c>
      <c r="B847" t="s">
        <v>63</v>
      </c>
      <c r="C847">
        <v>55</v>
      </c>
      <c r="D847">
        <v>150.01</v>
      </c>
      <c r="E847">
        <v>1E-3</v>
      </c>
      <c r="F847" t="s">
        <v>13</v>
      </c>
      <c r="G847" t="s">
        <v>12</v>
      </c>
      <c r="H847">
        <v>5</v>
      </c>
      <c r="I847">
        <v>10</v>
      </c>
      <c r="J847" t="s">
        <v>10</v>
      </c>
      <c r="K847">
        <v>290</v>
      </c>
      <c r="L847">
        <v>29</v>
      </c>
      <c r="M847">
        <v>288.13</v>
      </c>
      <c r="N847">
        <v>28.936</v>
      </c>
      <c r="O847" t="s">
        <v>2833</v>
      </c>
      <c r="P847" t="s">
        <v>159</v>
      </c>
      <c r="Q847" t="s">
        <v>2833</v>
      </c>
      <c r="R847">
        <f ca="1">RAND()*(Validation[[#This Row],[Range1_High]]-Validation[[#This Row],[Range1_Low]])+Validation[[#This Row],[Range1_Low]]</f>
        <v>82.497818826552674</v>
      </c>
      <c r="S847">
        <f>Validation[[#This Row],[Range2_High]]</f>
        <v>10</v>
      </c>
      <c r="T847" t="str" cm="1">
        <f t="array" aca="1" ref="T847" ca="1">RoundToTwoSigFigs(Validation[[#This Row],[Test Reading]]*Validation[[#This Row],[Mult]]+Validation[[#This Row],[Base]]) &amp;" "&amp;Validation[[#This Row],[Uncert_Units]]</f>
        <v>2700 mA</v>
      </c>
      <c r="U8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V847" t="b">
        <f ca="1">Validation[[#This Row],[Desired Result]]=Validation[[#This Row],[Result]]</f>
        <v>1</v>
      </c>
      <c r="W847" t="b">
        <v>1</v>
      </c>
      <c r="X847" t="b">
        <f>Validation[[#This Row],[Range1_Low]]&gt;=Validation[[#This Row],[Range1_High]]</f>
        <v>0</v>
      </c>
      <c r="Y847" s="111" t="s">
        <v>2845</v>
      </c>
    </row>
    <row r="848" spans="1:25" x14ac:dyDescent="0.25">
      <c r="A848" t="s">
        <v>54</v>
      </c>
      <c r="B848" t="s">
        <v>63</v>
      </c>
      <c r="C848">
        <v>55</v>
      </c>
      <c r="D848">
        <v>150.01</v>
      </c>
      <c r="E848">
        <v>1</v>
      </c>
      <c r="F848" t="s">
        <v>13</v>
      </c>
      <c r="G848" t="s">
        <v>12</v>
      </c>
      <c r="H848">
        <v>10</v>
      </c>
      <c r="I848">
        <v>10.01</v>
      </c>
      <c r="J848" t="s">
        <v>10</v>
      </c>
      <c r="K848">
        <v>405.34</v>
      </c>
      <c r="L848">
        <v>28.398</v>
      </c>
      <c r="M848">
        <v>405.23</v>
      </c>
      <c r="N848">
        <v>28.396999999999998</v>
      </c>
      <c r="O848" t="s">
        <v>2833</v>
      </c>
      <c r="P848" t="s">
        <v>159</v>
      </c>
      <c r="Q848" t="s">
        <v>2833</v>
      </c>
      <c r="R848">
        <f ca="1">RAND()*(Validation[[#This Row],[Range1_High]]-Validation[[#This Row],[Range1_Low]])+Validation[[#This Row],[Range1_Low]]</f>
        <v>93.941174990233293</v>
      </c>
      <c r="S848">
        <f>Validation[[#This Row],[Range2_High]]</f>
        <v>10.01</v>
      </c>
      <c r="T848" t="str" cm="1">
        <f t="array" aca="1" ref="T848" ca="1">RoundToTwoSigFigs(Validation[[#This Row],[Test Reading]]*Validation[[#This Row],[Mult]]+Validation[[#This Row],[Base]]) &amp;" "&amp;Validation[[#This Row],[Uncert_Units]]</f>
        <v>3100 mA</v>
      </c>
      <c r="U8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mA</v>
      </c>
      <c r="V848" t="b">
        <f ca="1">Validation[[#This Row],[Desired Result]]=Validation[[#This Row],[Result]]</f>
        <v>1</v>
      </c>
      <c r="W848" t="b">
        <v>0</v>
      </c>
      <c r="X848" t="b">
        <f>Validation[[#This Row],[Range1_Low]]&gt;=Validation[[#This Row],[Range1_High]]</f>
        <v>0</v>
      </c>
      <c r="Y848" s="111" t="s">
        <v>2845</v>
      </c>
    </row>
    <row r="849" spans="1:25" x14ac:dyDescent="0.25">
      <c r="A849" t="s">
        <v>54</v>
      </c>
      <c r="B849" t="s">
        <v>63</v>
      </c>
      <c r="C849">
        <v>55</v>
      </c>
      <c r="D849">
        <v>150.01</v>
      </c>
      <c r="E849">
        <v>1</v>
      </c>
      <c r="F849" t="s">
        <v>13</v>
      </c>
      <c r="G849" t="s">
        <v>12</v>
      </c>
      <c r="H849">
        <v>1</v>
      </c>
      <c r="I849">
        <v>5.01</v>
      </c>
      <c r="J849" t="s">
        <v>10</v>
      </c>
      <c r="K849">
        <v>422.41</v>
      </c>
      <c r="L849">
        <v>5.6955999999999998</v>
      </c>
      <c r="M849">
        <v>422.3</v>
      </c>
      <c r="N849">
        <v>5.6954000000000002</v>
      </c>
      <c r="O849" t="s">
        <v>2833</v>
      </c>
      <c r="P849" t="s">
        <v>159</v>
      </c>
      <c r="Q849" t="s">
        <v>2833</v>
      </c>
      <c r="R849">
        <f ca="1">RAND()*(Validation[[#This Row],[Range1_High]]-Validation[[#This Row],[Range1_Low]])+Validation[[#This Row],[Range1_Low]]</f>
        <v>148.7503055043795</v>
      </c>
      <c r="S849">
        <f>Validation[[#This Row],[Range2_High]]</f>
        <v>5.01</v>
      </c>
      <c r="T849" t="str" cm="1">
        <f t="array" aca="1" ref="T849" ca="1">RoundToTwoSigFigs(Validation[[#This Row],[Test Reading]]*Validation[[#This Row],[Mult]]+Validation[[#This Row],[Base]]) &amp;" "&amp;Validation[[#This Row],[Uncert_Units]]</f>
        <v>1300 mA</v>
      </c>
      <c r="U8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V849" t="b">
        <f ca="1">Validation[[#This Row],[Desired Result]]=Validation[[#This Row],[Result]]</f>
        <v>1</v>
      </c>
      <c r="W849" t="b">
        <v>1</v>
      </c>
      <c r="X849" t="b">
        <f>Validation[[#This Row],[Range1_Low]]&gt;=Validation[[#This Row],[Range1_High]]</f>
        <v>0</v>
      </c>
      <c r="Y849" s="111" t="s">
        <v>2845</v>
      </c>
    </row>
    <row r="850" spans="1:25" x14ac:dyDescent="0.25">
      <c r="A850" t="s">
        <v>54</v>
      </c>
      <c r="B850" t="s">
        <v>63</v>
      </c>
      <c r="C850">
        <v>55</v>
      </c>
      <c r="D850">
        <v>150.01</v>
      </c>
      <c r="E850">
        <v>0.1</v>
      </c>
      <c r="F850" t="s">
        <v>13</v>
      </c>
      <c r="G850" t="s">
        <v>12</v>
      </c>
      <c r="H850">
        <v>5</v>
      </c>
      <c r="I850">
        <v>10</v>
      </c>
      <c r="J850" t="s">
        <v>10</v>
      </c>
      <c r="K850">
        <v>290</v>
      </c>
      <c r="L850">
        <v>28.931000000000001</v>
      </c>
      <c r="M850">
        <v>289.39999999999998</v>
      </c>
      <c r="N850">
        <v>28.93</v>
      </c>
      <c r="O850" t="s">
        <v>2833</v>
      </c>
      <c r="P850" t="s">
        <v>159</v>
      </c>
      <c r="Q850" t="s">
        <v>2833</v>
      </c>
      <c r="R850">
        <f ca="1">RAND()*(Validation[[#This Row],[Range1_High]]-Validation[[#This Row],[Range1_Low]])+Validation[[#This Row],[Range1_Low]]</f>
        <v>133.08575672562426</v>
      </c>
      <c r="S850">
        <f>Validation[[#This Row],[Range2_High]]</f>
        <v>10</v>
      </c>
      <c r="T850" t="str" cm="1">
        <f t="array" aca="1" ref="T850" ca="1">RoundToTwoSigFigs(Validation[[#This Row],[Test Reading]]*Validation[[#This Row],[Mult]]+Validation[[#This Row],[Base]]) &amp;" "&amp;Validation[[#This Row],[Uncert_Units]]</f>
        <v>4100 mA</v>
      </c>
      <c r="U8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V850" t="b">
        <f ca="1">Validation[[#This Row],[Desired Result]]=Validation[[#This Row],[Result]]</f>
        <v>1</v>
      </c>
      <c r="W850" t="b">
        <v>1</v>
      </c>
      <c r="X850" t="b">
        <f>Validation[[#This Row],[Range1_Low]]&gt;=Validation[[#This Row],[Range1_High]]</f>
        <v>0</v>
      </c>
      <c r="Y850" s="111" t="s">
        <v>2845</v>
      </c>
    </row>
    <row r="851" spans="1:25" ht="15.75" thickBot="1" x14ac:dyDescent="0.3">
      <c r="A851" t="s">
        <v>54</v>
      </c>
      <c r="B851" t="s">
        <v>63</v>
      </c>
      <c r="C851">
        <v>55</v>
      </c>
      <c r="D851">
        <v>150.01</v>
      </c>
      <c r="E851">
        <v>100</v>
      </c>
      <c r="F851" t="s">
        <v>13</v>
      </c>
      <c r="G851" t="s">
        <v>12</v>
      </c>
      <c r="H851">
        <v>1</v>
      </c>
      <c r="I851">
        <v>5.01</v>
      </c>
      <c r="J851" t="s">
        <v>10</v>
      </c>
      <c r="K851">
        <v>57996</v>
      </c>
      <c r="L851">
        <v>9.9046999999999996E-2</v>
      </c>
      <c r="M851">
        <v>57948</v>
      </c>
      <c r="N851">
        <v>9.8782999999999996E-2</v>
      </c>
      <c r="O851" t="s">
        <v>2833</v>
      </c>
      <c r="P851" t="s">
        <v>159</v>
      </c>
      <c r="Q851" t="s">
        <v>2833</v>
      </c>
      <c r="R851">
        <f ca="1">RAND()*(Validation[[#This Row],[Range1_High]]-Validation[[#This Row],[Range1_Low]])+Validation[[#This Row],[Range1_Low]]</f>
        <v>137.10228720850773</v>
      </c>
      <c r="S851">
        <f>Validation[[#This Row],[Range2_High]]</f>
        <v>5.01</v>
      </c>
      <c r="T851" t="str" cm="1">
        <f t="array" aca="1" ref="T851" ca="1">RoundToTwoSigFigs(Validation[[#This Row],[Test Reading]]*Validation[[#This Row],[Mult]]+Validation[[#This Row],[Base]]) &amp;" "&amp;Validation[[#This Row],[Uncert_Units]]</f>
        <v>58000 mA</v>
      </c>
      <c r="U8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51" t="b">
        <f ca="1">Validation[[#This Row],[Desired Result]]=Validation[[#This Row],[Result]]</f>
        <v>1</v>
      </c>
      <c r="W851" t="b">
        <v>0</v>
      </c>
      <c r="X851" t="b">
        <f>Validation[[#This Row],[Range1_Low]]&gt;=Validation[[#This Row],[Range1_High]]</f>
        <v>0</v>
      </c>
      <c r="Y851" s="111" t="s">
        <v>2845</v>
      </c>
    </row>
    <row r="852" spans="1:25" ht="16.5" thickTop="1" thickBot="1" x14ac:dyDescent="0.3">
      <c r="A852" t="s">
        <v>54</v>
      </c>
      <c r="B852" t="s">
        <v>63</v>
      </c>
      <c r="C852" s="113">
        <v>150</v>
      </c>
      <c r="D852" s="113">
        <v>550.01</v>
      </c>
      <c r="E852">
        <v>0.01</v>
      </c>
      <c r="F852" t="s">
        <v>13</v>
      </c>
      <c r="G852" t="s">
        <v>12</v>
      </c>
      <c r="H852">
        <v>0.1</v>
      </c>
      <c r="I852">
        <v>1.0000100000000001</v>
      </c>
      <c r="J852" t="s">
        <v>10</v>
      </c>
      <c r="K852">
        <v>74</v>
      </c>
      <c r="L852">
        <v>2.2999999999999998</v>
      </c>
      <c r="M852">
        <v>73.171000000000006</v>
      </c>
      <c r="N852">
        <v>2.2881999999999998</v>
      </c>
      <c r="O852" t="s">
        <v>2833</v>
      </c>
      <c r="P852" t="s">
        <v>159</v>
      </c>
      <c r="Q852" t="s">
        <v>2833</v>
      </c>
      <c r="R852">
        <f ca="1">RAND()*(Validation[[#This Row],[Range1_High]]-Validation[[#This Row],[Range1_Low]])+Validation[[#This Row],[Range1_Low]]</f>
        <v>426.14107697972509</v>
      </c>
      <c r="S852">
        <f>Validation[[#This Row],[Range2_High]]</f>
        <v>1.0000100000000001</v>
      </c>
      <c r="T852" t="str" cm="1">
        <f t="array" aca="1" ref="T852" ca="1">RoundToTwoSigFigs(Validation[[#This Row],[Test Reading]]*Validation[[#This Row],[Mult]]+Validation[[#This Row],[Base]]) &amp;" "&amp;Validation[[#This Row],[Uncert_Units]]</f>
        <v>1100 mA</v>
      </c>
      <c r="U8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V852" t="b">
        <f ca="1">Validation[[#This Row],[Desired Result]]=Validation[[#This Row],[Result]]</f>
        <v>1</v>
      </c>
      <c r="W852" t="b">
        <v>1</v>
      </c>
      <c r="X852" t="b">
        <f>Validation[[#This Row],[Range1_Low]]&gt;=Validation[[#This Row],[Range1_High]]</f>
        <v>0</v>
      </c>
      <c r="Y852" s="111" t="s">
        <v>2843</v>
      </c>
    </row>
    <row r="853" spans="1:25" ht="16.5" thickTop="1" thickBot="1" x14ac:dyDescent="0.3">
      <c r="A853" t="s">
        <v>54</v>
      </c>
      <c r="B853" t="s">
        <v>63</v>
      </c>
      <c r="C853" s="113">
        <v>150</v>
      </c>
      <c r="D853" s="113">
        <v>550.01</v>
      </c>
      <c r="E853">
        <v>0.1</v>
      </c>
      <c r="F853" t="s">
        <v>13</v>
      </c>
      <c r="G853" t="s">
        <v>12</v>
      </c>
      <c r="H853">
        <v>1</v>
      </c>
      <c r="I853">
        <v>5</v>
      </c>
      <c r="J853" t="s">
        <v>10</v>
      </c>
      <c r="K853">
        <v>120</v>
      </c>
      <c r="L853">
        <v>35</v>
      </c>
      <c r="M853">
        <v>115.76</v>
      </c>
      <c r="N853">
        <v>34.698</v>
      </c>
      <c r="O853" t="s">
        <v>2833</v>
      </c>
      <c r="P853" t="s">
        <v>159</v>
      </c>
      <c r="Q853" t="s">
        <v>2833</v>
      </c>
      <c r="R853">
        <f ca="1">RAND()*(Validation[[#This Row],[Range1_High]]-Validation[[#This Row],[Range1_Low]])+Validation[[#This Row],[Range1_Low]]</f>
        <v>407.45291866326556</v>
      </c>
      <c r="S853">
        <f>Validation[[#This Row],[Range2_High]]</f>
        <v>5</v>
      </c>
      <c r="T853" t="str" cm="1">
        <f t="array" aca="1" ref="T853" ca="1">RoundToTwoSigFigs(Validation[[#This Row],[Test Reading]]*Validation[[#This Row],[Mult]]+Validation[[#This Row],[Base]]) &amp;" "&amp;Validation[[#This Row],[Uncert_Units]]</f>
        <v>14000 mA</v>
      </c>
      <c r="U8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V853" t="b">
        <f ca="1">Validation[[#This Row],[Desired Result]]=Validation[[#This Row],[Result]]</f>
        <v>1</v>
      </c>
      <c r="W853" t="b">
        <v>1</v>
      </c>
      <c r="X853" t="b">
        <f>Validation[[#This Row],[Range1_Low]]&gt;=Validation[[#This Row],[Range1_High]]</f>
        <v>0</v>
      </c>
      <c r="Y853" s="111" t="s">
        <v>2843</v>
      </c>
    </row>
    <row r="854" spans="1:25" ht="15.75" thickTop="1" x14ac:dyDescent="0.25">
      <c r="A854" t="s">
        <v>54</v>
      </c>
      <c r="B854" t="s">
        <v>63</v>
      </c>
      <c r="C854">
        <v>55</v>
      </c>
      <c r="D854">
        <v>150.01</v>
      </c>
      <c r="E854">
        <v>0.1</v>
      </c>
      <c r="F854" t="s">
        <v>13</v>
      </c>
      <c r="G854" t="s">
        <v>12</v>
      </c>
      <c r="H854">
        <v>10</v>
      </c>
      <c r="I854">
        <v>10.01</v>
      </c>
      <c r="J854" t="s">
        <v>10</v>
      </c>
      <c r="K854">
        <v>290</v>
      </c>
      <c r="L854">
        <v>28.931000000000001</v>
      </c>
      <c r="M854">
        <v>289.39999999999998</v>
      </c>
      <c r="N854">
        <v>28.93</v>
      </c>
      <c r="O854" t="s">
        <v>2833</v>
      </c>
      <c r="P854" t="s">
        <v>159</v>
      </c>
      <c r="Q854" t="s">
        <v>2833</v>
      </c>
      <c r="R854">
        <f ca="1">RAND()*(Validation[[#This Row],[Range1_High]]-Validation[[#This Row],[Range1_Low]])+Validation[[#This Row],[Range1_Low]]</f>
        <v>148.86271228465228</v>
      </c>
      <c r="S854">
        <f>Validation[[#This Row],[Range2_High]]</f>
        <v>10.01</v>
      </c>
      <c r="T854" t="str" cm="1">
        <f t="array" aca="1" ref="T854" ca="1">RoundToTwoSigFigs(Validation[[#This Row],[Test Reading]]*Validation[[#This Row],[Mult]]+Validation[[#This Row],[Base]]) &amp;" "&amp;Validation[[#This Row],[Uncert_Units]]</f>
        <v>4600 mA</v>
      </c>
      <c r="U8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mA</v>
      </c>
      <c r="V854" t="b">
        <f ca="1">Validation[[#This Row],[Desired Result]]=Validation[[#This Row],[Result]]</f>
        <v>1</v>
      </c>
      <c r="W854" t="b">
        <v>0</v>
      </c>
      <c r="X854" t="b">
        <f>Validation[[#This Row],[Range1_Low]]&gt;=Validation[[#This Row],[Range1_High]]</f>
        <v>0</v>
      </c>
      <c r="Y854" s="111" t="s">
        <v>2845</v>
      </c>
    </row>
    <row r="855" spans="1:25" x14ac:dyDescent="0.25">
      <c r="A855" t="s">
        <v>54</v>
      </c>
      <c r="B855" t="s">
        <v>63</v>
      </c>
      <c r="C855">
        <v>55</v>
      </c>
      <c r="D855">
        <v>150.01</v>
      </c>
      <c r="E855">
        <v>0.01</v>
      </c>
      <c r="F855" t="s">
        <v>13</v>
      </c>
      <c r="G855" t="s">
        <v>12</v>
      </c>
      <c r="H855">
        <v>0.01</v>
      </c>
      <c r="I855">
        <v>4.4999999999999998E-2</v>
      </c>
      <c r="J855" t="s">
        <v>10</v>
      </c>
      <c r="K855">
        <v>22</v>
      </c>
      <c r="L855">
        <v>2.7673000000000001</v>
      </c>
      <c r="M855">
        <v>4.3733000000000004</v>
      </c>
      <c r="N855">
        <v>2.8834</v>
      </c>
      <c r="O855" t="s">
        <v>2833</v>
      </c>
      <c r="P855" t="s">
        <v>159</v>
      </c>
      <c r="Q855" t="s">
        <v>2833</v>
      </c>
      <c r="R855">
        <f ca="1">RAND()*(Validation[[#This Row],[Range1_High]]-Validation[[#This Row],[Range1_Low]])+Validation[[#This Row],[Range1_Low]]</f>
        <v>81.042110736467421</v>
      </c>
      <c r="S855">
        <f>Validation[[#This Row],[Range2_High]]</f>
        <v>4.4999999999999998E-2</v>
      </c>
      <c r="T855" t="str" cm="1">
        <f t="array" aca="1" ref="T855" ca="1">RoundToTwoSigFigs(Validation[[#This Row],[Test Reading]]*Validation[[#This Row],[Mult]]+Validation[[#This Row],[Base]]) &amp;" "&amp;Validation[[#This Row],[Uncert_Units]]</f>
        <v>250 mA</v>
      </c>
      <c r="U8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V855" t="b">
        <f ca="1">Validation[[#This Row],[Desired Result]]=Validation[[#This Row],[Result]]</f>
        <v>1</v>
      </c>
      <c r="W855" t="b">
        <v>0</v>
      </c>
      <c r="X855" t="b">
        <f>Validation[[#This Row],[Range1_Low]]&gt;=Validation[[#This Row],[Range1_High]]</f>
        <v>0</v>
      </c>
      <c r="Y855" s="111" t="s">
        <v>2845</v>
      </c>
    </row>
    <row r="856" spans="1:25" ht="15.75" thickBot="1" x14ac:dyDescent="0.3">
      <c r="A856" t="s">
        <v>54</v>
      </c>
      <c r="B856" t="s">
        <v>63</v>
      </c>
      <c r="C856">
        <v>55</v>
      </c>
      <c r="D856">
        <v>150.01</v>
      </c>
      <c r="E856">
        <v>0.1</v>
      </c>
      <c r="F856" t="s">
        <v>13</v>
      </c>
      <c r="G856" t="s">
        <v>12</v>
      </c>
      <c r="H856">
        <v>4.4999999999999998E-2</v>
      </c>
      <c r="I856">
        <v>0.1</v>
      </c>
      <c r="J856" t="s">
        <v>10</v>
      </c>
      <c r="K856">
        <v>49</v>
      </c>
      <c r="L856">
        <v>2.6</v>
      </c>
      <c r="M856">
        <v>20.257000000000001</v>
      </c>
      <c r="N856">
        <v>2.0293000000000001</v>
      </c>
      <c r="O856" t="s">
        <v>2833</v>
      </c>
      <c r="P856" t="s">
        <v>159</v>
      </c>
      <c r="Q856" t="s">
        <v>2833</v>
      </c>
      <c r="R856">
        <f ca="1">RAND()*(Validation[[#This Row],[Range1_High]]-Validation[[#This Row],[Range1_Low]])+Validation[[#This Row],[Range1_Low]]</f>
        <v>74.751087053436223</v>
      </c>
      <c r="S856">
        <f>Validation[[#This Row],[Range2_High]]</f>
        <v>0.1</v>
      </c>
      <c r="T856" t="str" cm="1">
        <f t="array" aca="1" ref="T856" ca="1">RoundToTwoSigFigs(Validation[[#This Row],[Test Reading]]*Validation[[#This Row],[Mult]]+Validation[[#This Row],[Base]]) &amp;" "&amp;Validation[[#This Row],[Uncert_Units]]</f>
        <v>240 mA</v>
      </c>
      <c r="U8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V856" t="b">
        <f ca="1">Validation[[#This Row],[Desired Result]]=Validation[[#This Row],[Result]]</f>
        <v>1</v>
      </c>
      <c r="W856" t="b">
        <v>1</v>
      </c>
      <c r="X856" t="b">
        <f>Validation[[#This Row],[Range1_Low]]&gt;=Validation[[#This Row],[Range1_High]]</f>
        <v>0</v>
      </c>
      <c r="Y856" s="111" t="s">
        <v>2845</v>
      </c>
    </row>
    <row r="857" spans="1:25" ht="16.5" thickTop="1" thickBot="1" x14ac:dyDescent="0.3">
      <c r="A857" t="s">
        <v>54</v>
      </c>
      <c r="B857" t="s">
        <v>63</v>
      </c>
      <c r="C857" s="113">
        <v>550</v>
      </c>
      <c r="D857" s="113">
        <v>1025.01</v>
      </c>
      <c r="E857">
        <v>1</v>
      </c>
      <c r="F857" t="s">
        <v>13</v>
      </c>
      <c r="G857" t="s">
        <v>12</v>
      </c>
      <c r="H857">
        <v>0.1</v>
      </c>
      <c r="I857">
        <v>1</v>
      </c>
      <c r="J857" t="s">
        <v>10</v>
      </c>
      <c r="K857">
        <v>357.02</v>
      </c>
      <c r="L857">
        <v>2.5468999999999999</v>
      </c>
      <c r="M857">
        <v>356.89</v>
      </c>
      <c r="N857">
        <v>2.5457999999999998</v>
      </c>
      <c r="O857" t="s">
        <v>2833</v>
      </c>
      <c r="P857" t="s">
        <v>159</v>
      </c>
      <c r="Q857" t="s">
        <v>2833</v>
      </c>
      <c r="R857">
        <f ca="1">RAND()*(Validation[[#This Row],[Range1_High]]-Validation[[#This Row],[Range1_Low]])+Validation[[#This Row],[Range1_Low]]</f>
        <v>597.99203386798717</v>
      </c>
      <c r="S857">
        <f>Validation[[#This Row],[Range2_High]]</f>
        <v>1</v>
      </c>
      <c r="T857" t="str" cm="1">
        <f t="array" aca="1" ref="T857" ca="1">RoundToTwoSigFigs(Validation[[#This Row],[Test Reading]]*Validation[[#This Row],[Mult]]+Validation[[#This Row],[Base]]) &amp;" "&amp;Validation[[#This Row],[Uncert_Units]]</f>
        <v>1900 mA</v>
      </c>
      <c r="U8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V857" t="b">
        <f ca="1">Validation[[#This Row],[Desired Result]]=Validation[[#This Row],[Result]]</f>
        <v>1</v>
      </c>
      <c r="W857" t="b">
        <v>1</v>
      </c>
      <c r="X857" t="b">
        <f>Validation[[#This Row],[Range1_Low]]&gt;=Validation[[#This Row],[Range1_High]]</f>
        <v>0</v>
      </c>
      <c r="Y857" s="111" t="s">
        <v>2843</v>
      </c>
    </row>
    <row r="858" spans="1:25" ht="15.75" thickTop="1" x14ac:dyDescent="0.25">
      <c r="A858" t="s">
        <v>54</v>
      </c>
      <c r="B858" t="s">
        <v>63</v>
      </c>
      <c r="C858">
        <v>55</v>
      </c>
      <c r="D858">
        <v>150.01</v>
      </c>
      <c r="E858">
        <v>0.1</v>
      </c>
      <c r="F858" t="s">
        <v>13</v>
      </c>
      <c r="G858" t="s">
        <v>12</v>
      </c>
      <c r="H858">
        <v>0.1</v>
      </c>
      <c r="I858">
        <v>1</v>
      </c>
      <c r="J858" t="s">
        <v>10</v>
      </c>
      <c r="K858">
        <v>49</v>
      </c>
      <c r="L858">
        <v>2.6</v>
      </c>
      <c r="M858">
        <v>20.257000000000001</v>
      </c>
      <c r="N858">
        <v>2.0293000000000001</v>
      </c>
      <c r="O858" t="s">
        <v>2833</v>
      </c>
      <c r="P858" t="s">
        <v>159</v>
      </c>
      <c r="Q858" t="s">
        <v>2833</v>
      </c>
      <c r="R858">
        <f ca="1">RAND()*(Validation[[#This Row],[Range1_High]]-Validation[[#This Row],[Range1_Low]])+Validation[[#This Row],[Range1_Low]]</f>
        <v>70.078549811347656</v>
      </c>
      <c r="S858">
        <f>Validation[[#This Row],[Range2_High]]</f>
        <v>1</v>
      </c>
      <c r="T858" t="str" cm="1">
        <f t="array" aca="1" ref="T858" ca="1">RoundToTwoSigFigs(Validation[[#This Row],[Test Reading]]*Validation[[#This Row],[Mult]]+Validation[[#This Row],[Base]]) &amp;" "&amp;Validation[[#This Row],[Uncert_Units]]</f>
        <v>230 mA</v>
      </c>
      <c r="U8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V858" t="b">
        <f ca="1">Validation[[#This Row],[Desired Result]]=Validation[[#This Row],[Result]]</f>
        <v>0</v>
      </c>
      <c r="W858" t="b">
        <v>1</v>
      </c>
      <c r="X858" t="b">
        <f>Validation[[#This Row],[Range1_Low]]&gt;=Validation[[#This Row],[Range1_High]]</f>
        <v>0</v>
      </c>
      <c r="Y858" s="111" t="s">
        <v>2845</v>
      </c>
    </row>
    <row r="859" spans="1:25" x14ac:dyDescent="0.25">
      <c r="A859" t="s">
        <v>54</v>
      </c>
      <c r="B859" t="s">
        <v>63</v>
      </c>
      <c r="C859">
        <v>55</v>
      </c>
      <c r="D859">
        <v>150.01</v>
      </c>
      <c r="E859">
        <v>100</v>
      </c>
      <c r="F859" t="s">
        <v>13</v>
      </c>
      <c r="G859" t="s">
        <v>12</v>
      </c>
      <c r="H859">
        <v>5</v>
      </c>
      <c r="I859">
        <v>10</v>
      </c>
      <c r="J859" t="s">
        <v>10</v>
      </c>
      <c r="K859">
        <v>57941</v>
      </c>
      <c r="L859">
        <v>1.6236999999999999</v>
      </c>
      <c r="M859">
        <v>57264</v>
      </c>
      <c r="N859">
        <v>1.6205000000000001</v>
      </c>
      <c r="O859" t="s">
        <v>2833</v>
      </c>
      <c r="P859" t="s">
        <v>159</v>
      </c>
      <c r="Q859" t="s">
        <v>2833</v>
      </c>
      <c r="R859">
        <f ca="1">RAND()*(Validation[[#This Row],[Range1_High]]-Validation[[#This Row],[Range1_Low]])+Validation[[#This Row],[Range1_Low]]</f>
        <v>63.018095124284599</v>
      </c>
      <c r="S859">
        <f>Validation[[#This Row],[Range2_High]]</f>
        <v>10</v>
      </c>
      <c r="T859" t="str" cm="1">
        <f t="array" aca="1" ref="T859" ca="1">RoundToTwoSigFigs(Validation[[#This Row],[Test Reading]]*Validation[[#This Row],[Mult]]+Validation[[#This Row],[Base]]) &amp;" "&amp;Validation[[#This Row],[Uncert_Units]]</f>
        <v>58000 mA</v>
      </c>
      <c r="U8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59" t="b">
        <f ca="1">Validation[[#This Row],[Desired Result]]=Validation[[#This Row],[Result]]</f>
        <v>1</v>
      </c>
      <c r="W859" t="b">
        <v>0</v>
      </c>
      <c r="X859" t="b">
        <f>Validation[[#This Row],[Range1_Low]]&gt;=Validation[[#This Row],[Range1_High]]</f>
        <v>0</v>
      </c>
      <c r="Y859" s="111" t="s">
        <v>2845</v>
      </c>
    </row>
    <row r="860" spans="1:25" x14ac:dyDescent="0.25">
      <c r="A860" t="s">
        <v>54</v>
      </c>
      <c r="B860" t="s">
        <v>63</v>
      </c>
      <c r="C860">
        <v>150</v>
      </c>
      <c r="D860">
        <v>550.01</v>
      </c>
      <c r="E860">
        <v>100</v>
      </c>
      <c r="F860" t="s">
        <v>13</v>
      </c>
      <c r="G860" t="s">
        <v>12</v>
      </c>
      <c r="H860">
        <v>1</v>
      </c>
      <c r="I860">
        <v>5</v>
      </c>
      <c r="J860" t="s">
        <v>10</v>
      </c>
      <c r="K860">
        <v>57174</v>
      </c>
      <c r="L860">
        <v>7.1298000000000004</v>
      </c>
      <c r="M860">
        <v>57174</v>
      </c>
      <c r="N860">
        <v>7.1292999999999997</v>
      </c>
      <c r="O860" t="s">
        <v>2833</v>
      </c>
      <c r="P860" t="s">
        <v>159</v>
      </c>
      <c r="Q860" t="s">
        <v>2833</v>
      </c>
      <c r="R860">
        <f ca="1">RAND()*(Validation[[#This Row],[Range1_High]]-Validation[[#This Row],[Range1_Low]])+Validation[[#This Row],[Range1_Low]]</f>
        <v>194.71684927247455</v>
      </c>
      <c r="S860">
        <f>Validation[[#This Row],[Range2_High]]</f>
        <v>5</v>
      </c>
      <c r="T860" t="str" cm="1">
        <f t="array" aca="1" ref="T860" ca="1">RoundToTwoSigFigs(Validation[[#This Row],[Test Reading]]*Validation[[#This Row],[Mult]]+Validation[[#This Row],[Base]]) &amp;" "&amp;Validation[[#This Row],[Uncert_Units]]</f>
        <v>59000 mA</v>
      </c>
      <c r="U8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V860" t="b">
        <f ca="1">Validation[[#This Row],[Desired Result]]=Validation[[#This Row],[Result]]</f>
        <v>1</v>
      </c>
      <c r="W860" t="b">
        <v>0</v>
      </c>
      <c r="X860" t="b">
        <f>Validation[[#This Row],[Range1_Low]]&gt;=Validation[[#This Row],[Range1_High]]</f>
        <v>0</v>
      </c>
      <c r="Y860" s="111" t="s">
        <v>2845</v>
      </c>
    </row>
    <row r="861" spans="1:25" ht="15.75" thickBot="1" x14ac:dyDescent="0.3">
      <c r="A861" t="s">
        <v>54</v>
      </c>
      <c r="B861" t="s">
        <v>63</v>
      </c>
      <c r="C861">
        <v>55</v>
      </c>
      <c r="D861">
        <v>150.01</v>
      </c>
      <c r="E861">
        <v>0.01</v>
      </c>
      <c r="F861" t="s">
        <v>13</v>
      </c>
      <c r="G861" t="s">
        <v>12</v>
      </c>
      <c r="H861">
        <v>10</v>
      </c>
      <c r="I861">
        <v>10.01</v>
      </c>
      <c r="J861" t="s">
        <v>10</v>
      </c>
      <c r="K861">
        <v>290</v>
      </c>
      <c r="L861">
        <v>28.936</v>
      </c>
      <c r="M861">
        <v>288.14</v>
      </c>
      <c r="N861">
        <v>28.936</v>
      </c>
      <c r="O861" t="s">
        <v>2833</v>
      </c>
      <c r="P861" t="s">
        <v>159</v>
      </c>
      <c r="Q861" t="s">
        <v>2833</v>
      </c>
      <c r="R861">
        <f ca="1">RAND()*(Validation[[#This Row],[Range1_High]]-Validation[[#This Row],[Range1_Low]])+Validation[[#This Row],[Range1_Low]]</f>
        <v>109.55611567103084</v>
      </c>
      <c r="S861">
        <f>Validation[[#This Row],[Range2_High]]</f>
        <v>10.01</v>
      </c>
      <c r="T861" t="str" cm="1">
        <f t="array" aca="1" ref="T861" ca="1">RoundToTwoSigFigs(Validation[[#This Row],[Test Reading]]*Validation[[#This Row],[Mult]]+Validation[[#This Row],[Base]]) &amp;" "&amp;Validation[[#This Row],[Uncert_Units]]</f>
        <v>3500 mA</v>
      </c>
      <c r="U8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mA</v>
      </c>
      <c r="V861" t="b">
        <f ca="1">Validation[[#This Row],[Desired Result]]=Validation[[#This Row],[Result]]</f>
        <v>1</v>
      </c>
      <c r="W861" t="b">
        <v>0</v>
      </c>
      <c r="X861" t="b">
        <f>Validation[[#This Row],[Range1_Low]]&gt;=Validation[[#This Row],[Range1_High]]</f>
        <v>0</v>
      </c>
      <c r="Y861" s="111" t="s">
        <v>2845</v>
      </c>
    </row>
    <row r="862" spans="1:25" ht="16.5" thickTop="1" thickBot="1" x14ac:dyDescent="0.3">
      <c r="A862" t="s">
        <v>54</v>
      </c>
      <c r="B862" t="s">
        <v>63</v>
      </c>
      <c r="C862" s="113">
        <v>550</v>
      </c>
      <c r="D862" s="113">
        <v>1025.01</v>
      </c>
      <c r="E862">
        <v>0.1</v>
      </c>
      <c r="F862" t="s">
        <v>13</v>
      </c>
      <c r="G862" t="s">
        <v>12</v>
      </c>
      <c r="H862">
        <v>4.4999999999999998E-2</v>
      </c>
      <c r="I862">
        <v>0.10001</v>
      </c>
      <c r="J862" t="s">
        <v>10</v>
      </c>
      <c r="K862">
        <v>210</v>
      </c>
      <c r="L862">
        <v>2.4</v>
      </c>
      <c r="M862">
        <v>193.98</v>
      </c>
      <c r="N862">
        <v>2.4152</v>
      </c>
      <c r="O862" t="s">
        <v>2833</v>
      </c>
      <c r="P862" t="s">
        <v>159</v>
      </c>
      <c r="Q862" t="s">
        <v>2833</v>
      </c>
      <c r="R862">
        <f ca="1">RAND()*(Validation[[#This Row],[Range1_High]]-Validation[[#This Row],[Range1_Low]])+Validation[[#This Row],[Range1_Low]]</f>
        <v>728.13960578602973</v>
      </c>
      <c r="S862">
        <f>Validation[[#This Row],[Range2_High]]</f>
        <v>0.10001</v>
      </c>
      <c r="T862" t="str" cm="1">
        <f t="array" aca="1" ref="T862" ca="1">RoundToTwoSigFigs(Validation[[#This Row],[Test Reading]]*Validation[[#This Row],[Mult]]+Validation[[#This Row],[Base]]) &amp;" "&amp;Validation[[#This Row],[Uncert_Units]]</f>
        <v>2000 mA</v>
      </c>
      <c r="U8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V862" t="b">
        <f ca="1">Validation[[#This Row],[Desired Result]]=Validation[[#This Row],[Result]]</f>
        <v>1</v>
      </c>
      <c r="W862" t="b">
        <v>1</v>
      </c>
      <c r="X862" t="b">
        <f>Validation[[#This Row],[Range1_Low]]&gt;=Validation[[#This Row],[Range1_High]]</f>
        <v>0</v>
      </c>
      <c r="Y862" s="111" t="s">
        <v>2843</v>
      </c>
    </row>
    <row r="863" spans="1:25" ht="16.5" thickTop="1" thickBot="1" x14ac:dyDescent="0.3">
      <c r="A863" t="s">
        <v>54</v>
      </c>
      <c r="B863" t="s">
        <v>63</v>
      </c>
      <c r="C863" s="113">
        <v>150</v>
      </c>
      <c r="D863" s="113">
        <v>550.01</v>
      </c>
      <c r="E863">
        <v>1</v>
      </c>
      <c r="F863" t="s">
        <v>13</v>
      </c>
      <c r="G863" t="s">
        <v>12</v>
      </c>
      <c r="H863">
        <v>1</v>
      </c>
      <c r="I863">
        <v>5</v>
      </c>
      <c r="J863" t="s">
        <v>10</v>
      </c>
      <c r="K863">
        <v>120</v>
      </c>
      <c r="L863">
        <v>35</v>
      </c>
      <c r="M863">
        <v>155.32</v>
      </c>
      <c r="N863">
        <v>34.642000000000003</v>
      </c>
      <c r="O863" t="s">
        <v>2833</v>
      </c>
      <c r="P863" t="s">
        <v>159</v>
      </c>
      <c r="Q863" t="s">
        <v>2833</v>
      </c>
      <c r="R863">
        <f ca="1">RAND()*(Validation[[#This Row],[Range1_High]]-Validation[[#This Row],[Range1_Low]])+Validation[[#This Row],[Range1_Low]]</f>
        <v>182.27407343093</v>
      </c>
      <c r="S863">
        <f>Validation[[#This Row],[Range2_High]]</f>
        <v>5</v>
      </c>
      <c r="T863" t="str" cm="1">
        <f t="array" aca="1" ref="T863" ca="1">RoundToTwoSigFigs(Validation[[#This Row],[Test Reading]]*Validation[[#This Row],[Mult]]+Validation[[#This Row],[Base]]) &amp;" "&amp;Validation[[#This Row],[Uncert_Units]]</f>
        <v>6500 mA</v>
      </c>
      <c r="U8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V863" t="b">
        <f ca="1">Validation[[#This Row],[Desired Result]]=Validation[[#This Row],[Result]]</f>
        <v>1</v>
      </c>
      <c r="W863" t="b">
        <v>1</v>
      </c>
      <c r="X863" t="b">
        <f>Validation[[#This Row],[Range1_Low]]&gt;=Validation[[#This Row],[Range1_High]]</f>
        <v>0</v>
      </c>
      <c r="Y863" s="111" t="s">
        <v>2843</v>
      </c>
    </row>
    <row r="864" spans="1:25" ht="16.5" thickTop="1" thickBot="1" x14ac:dyDescent="0.3">
      <c r="A864" t="s">
        <v>54</v>
      </c>
      <c r="B864" t="s">
        <v>63</v>
      </c>
      <c r="C864">
        <v>55</v>
      </c>
      <c r="D864">
        <v>150.01</v>
      </c>
      <c r="E864">
        <v>0.01</v>
      </c>
      <c r="F864" t="s">
        <v>13</v>
      </c>
      <c r="G864" t="s">
        <v>12</v>
      </c>
      <c r="H864">
        <v>1</v>
      </c>
      <c r="I864">
        <v>5.01</v>
      </c>
      <c r="J864" t="s">
        <v>10</v>
      </c>
      <c r="K864">
        <v>58</v>
      </c>
      <c r="L864">
        <v>7.2089999999999996</v>
      </c>
      <c r="M864">
        <v>55.901000000000003</v>
      </c>
      <c r="N864">
        <v>7.2091000000000003</v>
      </c>
      <c r="O864" t="s">
        <v>2833</v>
      </c>
      <c r="P864" t="s">
        <v>159</v>
      </c>
      <c r="Q864" t="s">
        <v>2833</v>
      </c>
      <c r="R864">
        <f ca="1">RAND()*(Validation[[#This Row],[Range1_High]]-Validation[[#This Row],[Range1_Low]])+Validation[[#This Row],[Range1_Low]]</f>
        <v>78.714839053471962</v>
      </c>
      <c r="S864">
        <f>Validation[[#This Row],[Range2_High]]</f>
        <v>5.01</v>
      </c>
      <c r="T864" t="str" cm="1">
        <f t="array" aca="1" ref="T864" ca="1">RoundToTwoSigFigs(Validation[[#This Row],[Test Reading]]*Validation[[#This Row],[Mult]]+Validation[[#This Row],[Base]]) &amp;" "&amp;Validation[[#This Row],[Uncert_Units]]</f>
        <v>630 mA</v>
      </c>
      <c r="U8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V864" t="b">
        <f ca="1">Validation[[#This Row],[Desired Result]]=Validation[[#This Row],[Result]]</f>
        <v>0</v>
      </c>
      <c r="W864" t="b">
        <v>1</v>
      </c>
      <c r="X864" t="b">
        <f>Validation[[#This Row],[Range1_Low]]&gt;=Validation[[#This Row],[Range1_High]]</f>
        <v>0</v>
      </c>
      <c r="Y864" s="111" t="s">
        <v>2845</v>
      </c>
    </row>
    <row r="865" spans="1:25" ht="16.5" thickTop="1" thickBot="1" x14ac:dyDescent="0.3">
      <c r="A865" t="s">
        <v>54</v>
      </c>
      <c r="B865" t="s">
        <v>63</v>
      </c>
      <c r="C865" s="113">
        <v>550</v>
      </c>
      <c r="D865" s="113">
        <v>1025.01</v>
      </c>
      <c r="E865">
        <v>10</v>
      </c>
      <c r="F865" t="s">
        <v>13</v>
      </c>
      <c r="G865" t="s">
        <v>12</v>
      </c>
      <c r="H865">
        <v>4.4999999999999998E-2</v>
      </c>
      <c r="I865">
        <v>0.10001</v>
      </c>
      <c r="J865" t="s">
        <v>10</v>
      </c>
      <c r="K865">
        <v>5545.6</v>
      </c>
      <c r="L865">
        <v>0.82077999999999995</v>
      </c>
      <c r="M865">
        <v>5546.4</v>
      </c>
      <c r="N865">
        <v>0.81772</v>
      </c>
      <c r="O865" t="s">
        <v>2833</v>
      </c>
      <c r="P865" t="s">
        <v>159</v>
      </c>
      <c r="Q865" t="s">
        <v>2833</v>
      </c>
      <c r="R865">
        <f ca="1">RAND()*(Validation[[#This Row],[Range1_High]]-Validation[[#This Row],[Range1_Low]])+Validation[[#This Row],[Range1_Low]]</f>
        <v>702.22710257606013</v>
      </c>
      <c r="S865">
        <f>Validation[[#This Row],[Range2_High]]</f>
        <v>0.10001</v>
      </c>
      <c r="T865" t="str" cm="1">
        <f t="array" aca="1" ref="T865" ca="1">RoundToTwoSigFigs(Validation[[#This Row],[Test Reading]]*Validation[[#This Row],[Mult]]+Validation[[#This Row],[Base]]) &amp;" "&amp;Validation[[#This Row],[Uncert_Units]]</f>
        <v>6100 mA</v>
      </c>
      <c r="U8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V865" t="b">
        <f ca="1">Validation[[#This Row],[Desired Result]]=Validation[[#This Row],[Result]]</f>
        <v>1</v>
      </c>
      <c r="W865" t="b">
        <v>1</v>
      </c>
      <c r="X865" t="b">
        <f>Validation[[#This Row],[Range1_Low]]&gt;=Validation[[#This Row],[Range1_High]]</f>
        <v>0</v>
      </c>
      <c r="Y865" s="111" t="s">
        <v>2843</v>
      </c>
    </row>
    <row r="866" spans="1:25" ht="16.5" thickTop="1" thickBot="1" x14ac:dyDescent="0.3">
      <c r="A866" t="s">
        <v>54</v>
      </c>
      <c r="B866" t="s">
        <v>63</v>
      </c>
      <c r="C866">
        <v>55</v>
      </c>
      <c r="D866">
        <v>150.01</v>
      </c>
      <c r="E866">
        <v>100</v>
      </c>
      <c r="F866" t="s">
        <v>13</v>
      </c>
      <c r="G866" t="s">
        <v>12</v>
      </c>
      <c r="H866">
        <v>10</v>
      </c>
      <c r="I866">
        <v>10.01</v>
      </c>
      <c r="J866" t="s">
        <v>10</v>
      </c>
      <c r="K866">
        <v>57941</v>
      </c>
      <c r="L866">
        <v>1.6236999999999999</v>
      </c>
      <c r="M866">
        <v>57264</v>
      </c>
      <c r="N866">
        <v>1.6205000000000001</v>
      </c>
      <c r="O866" t="s">
        <v>2833</v>
      </c>
      <c r="P866" t="s">
        <v>159</v>
      </c>
      <c r="Q866" t="s">
        <v>2833</v>
      </c>
      <c r="R866">
        <f ca="1">RAND()*(Validation[[#This Row],[Range1_High]]-Validation[[#This Row],[Range1_Low]])+Validation[[#This Row],[Range1_Low]]</f>
        <v>73.717469221711127</v>
      </c>
      <c r="S866">
        <f>Validation[[#This Row],[Range2_High]]</f>
        <v>10.01</v>
      </c>
      <c r="T866" t="str" cm="1">
        <f t="array" aca="1" ref="T866" ca="1">RoundToTwoSigFigs(Validation[[#This Row],[Test Reading]]*Validation[[#This Row],[Mult]]+Validation[[#This Row],[Base]]) &amp;" "&amp;Validation[[#This Row],[Uncert_Units]]</f>
        <v>58000 mA</v>
      </c>
      <c r="U8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66" t="b">
        <f ca="1">Validation[[#This Row],[Desired Result]]=Validation[[#This Row],[Result]]</f>
        <v>1</v>
      </c>
      <c r="W866" t="b">
        <v>0</v>
      </c>
      <c r="X866" t="b">
        <f>Validation[[#This Row],[Range1_Low]]&gt;=Validation[[#This Row],[Range1_High]]</f>
        <v>0</v>
      </c>
      <c r="Y866" s="111" t="s">
        <v>2845</v>
      </c>
    </row>
    <row r="867" spans="1:25" ht="16.5" thickTop="1" thickBot="1" x14ac:dyDescent="0.3">
      <c r="A867" t="s">
        <v>54</v>
      </c>
      <c r="B867" t="s">
        <v>63</v>
      </c>
      <c r="C867" s="113">
        <v>150</v>
      </c>
      <c r="D867" s="113">
        <v>550.01</v>
      </c>
      <c r="E867">
        <v>0.1</v>
      </c>
      <c r="F867" t="s">
        <v>13</v>
      </c>
      <c r="G867" t="s">
        <v>12</v>
      </c>
      <c r="H867">
        <v>0.1</v>
      </c>
      <c r="I867">
        <v>1.0000100000000001</v>
      </c>
      <c r="J867" t="s">
        <v>10</v>
      </c>
      <c r="K867">
        <v>76.075999999999993</v>
      </c>
      <c r="L867">
        <v>2.2961999999999998</v>
      </c>
      <c r="M867">
        <v>78.162000000000006</v>
      </c>
      <c r="N867">
        <v>2.2814000000000001</v>
      </c>
      <c r="O867" t="s">
        <v>2833</v>
      </c>
      <c r="P867" t="s">
        <v>159</v>
      </c>
      <c r="Q867" t="s">
        <v>2833</v>
      </c>
      <c r="R867">
        <f ca="1">RAND()*(Validation[[#This Row],[Range1_High]]-Validation[[#This Row],[Range1_Low]])+Validation[[#This Row],[Range1_Low]]</f>
        <v>290.66778137011215</v>
      </c>
      <c r="S867">
        <f>Validation[[#This Row],[Range2_High]]</f>
        <v>1.0000100000000001</v>
      </c>
      <c r="T867" t="str" cm="1">
        <f t="array" aca="1" ref="T867" ca="1">RoundToTwoSigFigs(Validation[[#This Row],[Test Reading]]*Validation[[#This Row],[Mult]]+Validation[[#This Row],[Base]]) &amp;" "&amp;Validation[[#This Row],[Uncert_Units]]</f>
        <v>740 mA</v>
      </c>
      <c r="U8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V867" t="b">
        <f ca="1">Validation[[#This Row],[Desired Result]]=Validation[[#This Row],[Result]]</f>
        <v>0</v>
      </c>
      <c r="W867" t="b">
        <v>1</v>
      </c>
      <c r="X867" t="b">
        <f>Validation[[#This Row],[Range1_Low]]&gt;=Validation[[#This Row],[Range1_High]]</f>
        <v>0</v>
      </c>
      <c r="Y867" s="111" t="s">
        <v>2843</v>
      </c>
    </row>
    <row r="868" spans="1:25" ht="15.75" thickTop="1" x14ac:dyDescent="0.25">
      <c r="A868" t="s">
        <v>54</v>
      </c>
      <c r="B868" t="s">
        <v>63</v>
      </c>
      <c r="C868">
        <v>55</v>
      </c>
      <c r="D868">
        <v>150.01</v>
      </c>
      <c r="E868">
        <v>10</v>
      </c>
      <c r="F868" t="s">
        <v>13</v>
      </c>
      <c r="G868" t="s">
        <v>12</v>
      </c>
      <c r="H868">
        <v>4.4999999999999998E-2</v>
      </c>
      <c r="I868">
        <v>0.1</v>
      </c>
      <c r="J868" t="s">
        <v>10</v>
      </c>
      <c r="K868">
        <v>5796.8</v>
      </c>
      <c r="L868">
        <v>8.0168000000000003E-2</v>
      </c>
      <c r="M868">
        <v>5796.8</v>
      </c>
      <c r="N868">
        <v>7.9794000000000004E-2</v>
      </c>
      <c r="O868" t="s">
        <v>2833</v>
      </c>
      <c r="P868" t="s">
        <v>159</v>
      </c>
      <c r="Q868" t="s">
        <v>2833</v>
      </c>
      <c r="R868">
        <f ca="1">RAND()*(Validation[[#This Row],[Range1_High]]-Validation[[#This Row],[Range1_Low]])+Validation[[#This Row],[Range1_Low]]</f>
        <v>125.7847985606651</v>
      </c>
      <c r="S868">
        <f>Validation[[#This Row],[Range2_High]]</f>
        <v>0.1</v>
      </c>
      <c r="T868" t="str" cm="1">
        <f t="array" aca="1" ref="T868" ca="1">RoundToTwoSigFigs(Validation[[#This Row],[Test Reading]]*Validation[[#This Row],[Mult]]+Validation[[#This Row],[Base]]) &amp;" "&amp;Validation[[#This Row],[Uncert_Units]]</f>
        <v>5800 mA</v>
      </c>
      <c r="U8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868" t="b">
        <f ca="1">Validation[[#This Row],[Desired Result]]=Validation[[#This Row],[Result]]</f>
        <v>1</v>
      </c>
      <c r="W868" t="b">
        <v>0</v>
      </c>
      <c r="X868" t="b">
        <f>Validation[[#This Row],[Range1_Low]]&gt;=Validation[[#This Row],[Range1_High]]</f>
        <v>0</v>
      </c>
      <c r="Y868" s="111" t="s">
        <v>2845</v>
      </c>
    </row>
    <row r="869" spans="1:25" ht="15.75" thickBot="1" x14ac:dyDescent="0.3">
      <c r="A869" t="s">
        <v>54</v>
      </c>
      <c r="B869" t="s">
        <v>63</v>
      </c>
      <c r="C869">
        <v>55</v>
      </c>
      <c r="D869">
        <v>150.01</v>
      </c>
      <c r="E869">
        <v>1E-3</v>
      </c>
      <c r="F869" t="s">
        <v>13</v>
      </c>
      <c r="G869" t="s">
        <v>12</v>
      </c>
      <c r="H869">
        <v>0.01</v>
      </c>
      <c r="I869">
        <v>4.4999999999999998E-2</v>
      </c>
      <c r="J869" t="s">
        <v>10</v>
      </c>
      <c r="K869">
        <v>22</v>
      </c>
      <c r="L869">
        <v>2.8</v>
      </c>
      <c r="M869">
        <v>4.2301000000000002</v>
      </c>
      <c r="N869">
        <v>2.8841000000000001</v>
      </c>
      <c r="O869" t="s">
        <v>2833</v>
      </c>
      <c r="P869" t="s">
        <v>159</v>
      </c>
      <c r="Q869" t="s">
        <v>2833</v>
      </c>
      <c r="R869">
        <f ca="1">RAND()*(Validation[[#This Row],[Range1_High]]-Validation[[#This Row],[Range1_Low]])+Validation[[#This Row],[Range1_Low]]</f>
        <v>145.32662593276422</v>
      </c>
      <c r="S869">
        <f>Validation[[#This Row],[Range2_High]]</f>
        <v>4.4999999999999998E-2</v>
      </c>
      <c r="T869" t="str" cm="1">
        <f t="array" aca="1" ref="T869" ca="1">RoundToTwoSigFigs(Validation[[#This Row],[Test Reading]]*Validation[[#This Row],[Mult]]+Validation[[#This Row],[Base]]) &amp;" "&amp;Validation[[#This Row],[Uncert_Units]]</f>
        <v>430 mA</v>
      </c>
      <c r="U8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V869" t="b">
        <f ca="1">Validation[[#This Row],[Desired Result]]=Validation[[#This Row],[Result]]</f>
        <v>1</v>
      </c>
      <c r="W869" t="b">
        <v>1</v>
      </c>
      <c r="X869" t="b">
        <f>Validation[[#This Row],[Range1_Low]]&gt;=Validation[[#This Row],[Range1_High]]</f>
        <v>0</v>
      </c>
      <c r="Y869" s="111" t="s">
        <v>2845</v>
      </c>
    </row>
    <row r="870" spans="1:25" ht="16.5" thickTop="1" thickBot="1" x14ac:dyDescent="0.3">
      <c r="A870" t="s">
        <v>54</v>
      </c>
      <c r="B870" t="s">
        <v>63</v>
      </c>
      <c r="C870" s="113">
        <v>150</v>
      </c>
      <c r="D870" s="113">
        <v>550.01</v>
      </c>
      <c r="E870">
        <v>0.01</v>
      </c>
      <c r="F870" t="s">
        <v>13</v>
      </c>
      <c r="G870" t="s">
        <v>12</v>
      </c>
      <c r="H870">
        <v>1</v>
      </c>
      <c r="I870">
        <v>5</v>
      </c>
      <c r="J870" t="s">
        <v>10</v>
      </c>
      <c r="K870">
        <v>120</v>
      </c>
      <c r="L870">
        <v>35</v>
      </c>
      <c r="M870">
        <v>115.24</v>
      </c>
      <c r="N870">
        <v>34.698999999999998</v>
      </c>
      <c r="O870" t="s">
        <v>2833</v>
      </c>
      <c r="P870" t="s">
        <v>159</v>
      </c>
      <c r="Q870" t="s">
        <v>2833</v>
      </c>
      <c r="R870">
        <f ca="1">RAND()*(Validation[[#This Row],[Range1_High]]-Validation[[#This Row],[Range1_Low]])+Validation[[#This Row],[Range1_Low]]</f>
        <v>357.33176207441045</v>
      </c>
      <c r="S870">
        <f>Validation[[#This Row],[Range2_High]]</f>
        <v>5</v>
      </c>
      <c r="T870" t="str" cm="1">
        <f t="array" aca="1" ref="T870" ca="1">RoundToTwoSigFigs(Validation[[#This Row],[Test Reading]]*Validation[[#This Row],[Mult]]+Validation[[#This Row],[Base]]) &amp;" "&amp;Validation[[#This Row],[Uncert_Units]]</f>
        <v>13000 mA</v>
      </c>
      <c r="U8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V870" t="b">
        <f ca="1">Validation[[#This Row],[Desired Result]]=Validation[[#This Row],[Result]]</f>
        <v>1</v>
      </c>
      <c r="W870" t="b">
        <v>1</v>
      </c>
      <c r="X870" t="b">
        <f>Validation[[#This Row],[Range1_Low]]&gt;=Validation[[#This Row],[Range1_High]]</f>
        <v>0</v>
      </c>
      <c r="Y870" s="111" t="s">
        <v>2843</v>
      </c>
    </row>
    <row r="871" spans="1:25" ht="15.75" thickTop="1" x14ac:dyDescent="0.25">
      <c r="A871" t="s">
        <v>54</v>
      </c>
      <c r="B871" t="s">
        <v>63</v>
      </c>
      <c r="C871">
        <v>55</v>
      </c>
      <c r="D871">
        <v>150.01</v>
      </c>
      <c r="E871">
        <v>10</v>
      </c>
      <c r="F871" t="s">
        <v>13</v>
      </c>
      <c r="G871" t="s">
        <v>12</v>
      </c>
      <c r="H871">
        <v>10</v>
      </c>
      <c r="I871">
        <v>10.01</v>
      </c>
      <c r="J871" t="s">
        <v>10</v>
      </c>
      <c r="K871">
        <v>5330.6</v>
      </c>
      <c r="L871">
        <v>13.938000000000001</v>
      </c>
      <c r="M871">
        <v>5330.7</v>
      </c>
      <c r="N871">
        <v>13.932</v>
      </c>
      <c r="O871" t="s">
        <v>2833</v>
      </c>
      <c r="P871" t="s">
        <v>159</v>
      </c>
      <c r="Q871" t="s">
        <v>2833</v>
      </c>
      <c r="R871">
        <f ca="1">RAND()*(Validation[[#This Row],[Range1_High]]-Validation[[#This Row],[Range1_Low]])+Validation[[#This Row],[Range1_Low]]</f>
        <v>78.132831625401252</v>
      </c>
      <c r="S871">
        <f>Validation[[#This Row],[Range2_High]]</f>
        <v>10.01</v>
      </c>
      <c r="T871" t="str" cm="1">
        <f t="array" aca="1" ref="T871" ca="1">RoundToTwoSigFigs(Validation[[#This Row],[Test Reading]]*Validation[[#This Row],[Mult]]+Validation[[#This Row],[Base]]) &amp;" "&amp;Validation[[#This Row],[Uncert_Units]]</f>
        <v>6400 mA</v>
      </c>
      <c r="U8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V871" t="b">
        <f ca="1">Validation[[#This Row],[Desired Result]]=Validation[[#This Row],[Result]]</f>
        <v>1</v>
      </c>
      <c r="W871" t="b">
        <v>0</v>
      </c>
      <c r="X871" t="b">
        <f>Validation[[#This Row],[Range1_Low]]&gt;=Validation[[#This Row],[Range1_High]]</f>
        <v>0</v>
      </c>
      <c r="Y871" s="111" t="s">
        <v>2845</v>
      </c>
    </row>
    <row r="872" spans="1:25" x14ac:dyDescent="0.25">
      <c r="A872" t="s">
        <v>54</v>
      </c>
      <c r="B872" t="s">
        <v>63</v>
      </c>
      <c r="C872">
        <v>55</v>
      </c>
      <c r="D872">
        <v>150.01</v>
      </c>
      <c r="E872">
        <v>1E-3</v>
      </c>
      <c r="F872" t="s">
        <v>13</v>
      </c>
      <c r="G872" t="s">
        <v>12</v>
      </c>
      <c r="H872">
        <v>0.1</v>
      </c>
      <c r="I872">
        <v>1</v>
      </c>
      <c r="J872" t="s">
        <v>10</v>
      </c>
      <c r="K872">
        <v>49</v>
      </c>
      <c r="L872">
        <v>2.6</v>
      </c>
      <c r="M872">
        <v>2.0611000000000002</v>
      </c>
      <c r="N872">
        <v>2.1158000000000001</v>
      </c>
      <c r="O872" t="s">
        <v>2833</v>
      </c>
      <c r="P872" t="s">
        <v>159</v>
      </c>
      <c r="Q872" t="s">
        <v>2833</v>
      </c>
      <c r="R872">
        <f ca="1">RAND()*(Validation[[#This Row],[Range1_High]]-Validation[[#This Row],[Range1_Low]])+Validation[[#This Row],[Range1_Low]]</f>
        <v>118.70241415711845</v>
      </c>
      <c r="S872">
        <f>Validation[[#This Row],[Range2_High]]</f>
        <v>1</v>
      </c>
      <c r="T872" t="str" cm="1">
        <f t="array" aca="1" ref="T872" ca="1">RoundToTwoSigFigs(Validation[[#This Row],[Test Reading]]*Validation[[#This Row],[Mult]]+Validation[[#This Row],[Base]]) &amp;" "&amp;Validation[[#This Row],[Uncert_Units]]</f>
        <v>360 mA</v>
      </c>
      <c r="U8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V872" t="b">
        <f ca="1">Validation[[#This Row],[Desired Result]]=Validation[[#This Row],[Result]]</f>
        <v>0</v>
      </c>
      <c r="W872" t="b">
        <v>1</v>
      </c>
      <c r="X872" t="b">
        <f>Validation[[#This Row],[Range1_Low]]&gt;=Validation[[#This Row],[Range1_High]]</f>
        <v>0</v>
      </c>
      <c r="Y872" s="111" t="s">
        <v>2845</v>
      </c>
    </row>
    <row r="873" spans="1:25" x14ac:dyDescent="0.25">
      <c r="A873" t="s">
        <v>54</v>
      </c>
      <c r="B873" t="s">
        <v>63</v>
      </c>
      <c r="C873">
        <v>55</v>
      </c>
      <c r="D873">
        <v>150.01</v>
      </c>
      <c r="E873">
        <v>1E-3</v>
      </c>
      <c r="F873" t="s">
        <v>13</v>
      </c>
      <c r="G873" t="s">
        <v>12</v>
      </c>
      <c r="H873">
        <v>4.4999999999999998E-2</v>
      </c>
      <c r="I873">
        <v>0.1</v>
      </c>
      <c r="J873" t="s">
        <v>10</v>
      </c>
      <c r="K873">
        <v>49</v>
      </c>
      <c r="L873">
        <v>2.6</v>
      </c>
      <c r="M873">
        <v>2.0611000000000002</v>
      </c>
      <c r="N873">
        <v>2.1158000000000001</v>
      </c>
      <c r="O873" t="s">
        <v>2833</v>
      </c>
      <c r="P873" t="s">
        <v>159</v>
      </c>
      <c r="Q873" t="s">
        <v>2833</v>
      </c>
      <c r="R873">
        <f ca="1">RAND()*(Validation[[#This Row],[Range1_High]]-Validation[[#This Row],[Range1_Low]])+Validation[[#This Row],[Range1_Low]]</f>
        <v>58.540677462635635</v>
      </c>
      <c r="S873">
        <f>Validation[[#This Row],[Range2_High]]</f>
        <v>0.1</v>
      </c>
      <c r="T873" t="str" cm="1">
        <f t="array" aca="1" ref="T873" ca="1">RoundToTwoSigFigs(Validation[[#This Row],[Test Reading]]*Validation[[#This Row],[Mult]]+Validation[[#This Row],[Base]]) &amp;" "&amp;Validation[[#This Row],[Uncert_Units]]</f>
        <v>200 mA</v>
      </c>
      <c r="U8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V873" t="b">
        <f ca="1">Validation[[#This Row],[Desired Result]]=Validation[[#This Row],[Result]]</f>
        <v>1</v>
      </c>
      <c r="W873" t="b">
        <v>0</v>
      </c>
      <c r="X873" t="b">
        <f>Validation[[#This Row],[Range1_Low]]&gt;=Validation[[#This Row],[Range1_High]]</f>
        <v>0</v>
      </c>
      <c r="Y873" s="111" t="s">
        <v>2845</v>
      </c>
    </row>
    <row r="874" spans="1:25" ht="15.75" thickBot="1" x14ac:dyDescent="0.3">
      <c r="A874" t="s">
        <v>54</v>
      </c>
      <c r="B874" t="s">
        <v>63</v>
      </c>
      <c r="C874">
        <v>55</v>
      </c>
      <c r="D874">
        <v>150.01</v>
      </c>
      <c r="E874">
        <v>10</v>
      </c>
      <c r="F874" t="s">
        <v>13</v>
      </c>
      <c r="G874" t="s">
        <v>12</v>
      </c>
      <c r="H874">
        <v>0.01</v>
      </c>
      <c r="I874">
        <v>4.4999999999999998E-2</v>
      </c>
      <c r="J874" t="s">
        <v>10</v>
      </c>
      <c r="K874">
        <v>5794.1</v>
      </c>
      <c r="L874">
        <v>0.14924000000000001</v>
      </c>
      <c r="M874">
        <v>5794.1</v>
      </c>
      <c r="N874">
        <v>0.14885999999999999</v>
      </c>
      <c r="O874" t="s">
        <v>2833</v>
      </c>
      <c r="P874" t="s">
        <v>159</v>
      </c>
      <c r="Q874" t="s">
        <v>2833</v>
      </c>
      <c r="R874">
        <f ca="1">RAND()*(Validation[[#This Row],[Range1_High]]-Validation[[#This Row],[Range1_Low]])+Validation[[#This Row],[Range1_Low]]</f>
        <v>97.656818284152223</v>
      </c>
      <c r="S874">
        <f>Validation[[#This Row],[Range2_High]]</f>
        <v>4.4999999999999998E-2</v>
      </c>
      <c r="T874" t="str" cm="1">
        <f t="array" aca="1" ref="T874" ca="1">RoundToTwoSigFigs(Validation[[#This Row],[Test Reading]]*Validation[[#This Row],[Mult]]+Validation[[#This Row],[Base]]) &amp;" "&amp;Validation[[#This Row],[Uncert_Units]]</f>
        <v>5800 mA</v>
      </c>
      <c r="U8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874" t="b">
        <f ca="1">Validation[[#This Row],[Desired Result]]=Validation[[#This Row],[Result]]</f>
        <v>1</v>
      </c>
      <c r="W874" t="b">
        <v>0</v>
      </c>
      <c r="X874" t="b">
        <f>Validation[[#This Row],[Range1_Low]]&gt;=Validation[[#This Row],[Range1_High]]</f>
        <v>0</v>
      </c>
      <c r="Y874" s="111" t="s">
        <v>2845</v>
      </c>
    </row>
    <row r="875" spans="1:25" ht="16.5" thickTop="1" thickBot="1" x14ac:dyDescent="0.3">
      <c r="A875" t="s">
        <v>54</v>
      </c>
      <c r="B875" t="s">
        <v>63</v>
      </c>
      <c r="C875" s="113">
        <v>150</v>
      </c>
      <c r="D875" s="113">
        <v>550.01</v>
      </c>
      <c r="E875">
        <v>0.01</v>
      </c>
      <c r="F875" t="s">
        <v>13</v>
      </c>
      <c r="G875" t="s">
        <v>12</v>
      </c>
      <c r="H875">
        <v>4.4999999999999998E-2</v>
      </c>
      <c r="I875">
        <v>0.10001</v>
      </c>
      <c r="J875" t="s">
        <v>10</v>
      </c>
      <c r="K875">
        <v>59</v>
      </c>
      <c r="L875">
        <v>2.1</v>
      </c>
      <c r="M875">
        <v>58.542000000000002</v>
      </c>
      <c r="N875">
        <v>2.0878999999999999</v>
      </c>
      <c r="O875" t="s">
        <v>2833</v>
      </c>
      <c r="P875" t="s">
        <v>159</v>
      </c>
      <c r="Q875" t="s">
        <v>2833</v>
      </c>
      <c r="R875">
        <f ca="1">RAND()*(Validation[[#This Row],[Range1_High]]-Validation[[#This Row],[Range1_Low]])+Validation[[#This Row],[Range1_Low]]</f>
        <v>157.11638189846238</v>
      </c>
      <c r="S875">
        <f>Validation[[#This Row],[Range2_High]]</f>
        <v>0.10001</v>
      </c>
      <c r="T875" t="str" cm="1">
        <f t="array" aca="1" ref="T875" ca="1">RoundToTwoSigFigs(Validation[[#This Row],[Test Reading]]*Validation[[#This Row],[Mult]]+Validation[[#This Row],[Base]]) &amp;" "&amp;Validation[[#This Row],[Uncert_Units]]</f>
        <v>390 mA</v>
      </c>
      <c r="U8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mA</v>
      </c>
      <c r="V875" t="b">
        <f ca="1">Validation[[#This Row],[Desired Result]]=Validation[[#This Row],[Result]]</f>
        <v>1</v>
      </c>
      <c r="W875" t="b">
        <v>1</v>
      </c>
      <c r="X875" t="b">
        <f>Validation[[#This Row],[Range1_Low]]&gt;=Validation[[#This Row],[Range1_High]]</f>
        <v>0</v>
      </c>
      <c r="Y875" s="111" t="s">
        <v>2843</v>
      </c>
    </row>
    <row r="876" spans="1:25" ht="15.75" thickTop="1" x14ac:dyDescent="0.25">
      <c r="A876" t="s">
        <v>54</v>
      </c>
      <c r="B876" t="s">
        <v>63</v>
      </c>
      <c r="C876">
        <v>55</v>
      </c>
      <c r="D876">
        <v>150.01</v>
      </c>
      <c r="E876">
        <v>10</v>
      </c>
      <c r="F876" t="s">
        <v>13</v>
      </c>
      <c r="G876" t="s">
        <v>12</v>
      </c>
      <c r="H876">
        <v>0.1</v>
      </c>
      <c r="I876">
        <v>1</v>
      </c>
      <c r="J876" t="s">
        <v>10</v>
      </c>
      <c r="K876">
        <v>5796.8</v>
      </c>
      <c r="L876">
        <v>8.0168000000000003E-2</v>
      </c>
      <c r="M876">
        <v>5796.8</v>
      </c>
      <c r="N876">
        <v>7.9794000000000004E-2</v>
      </c>
      <c r="O876" t="s">
        <v>2833</v>
      </c>
      <c r="P876" t="s">
        <v>159</v>
      </c>
      <c r="Q876" t="s">
        <v>2833</v>
      </c>
      <c r="R876">
        <f ca="1">RAND()*(Validation[[#This Row],[Range1_High]]-Validation[[#This Row],[Range1_Low]])+Validation[[#This Row],[Range1_Low]]</f>
        <v>110.70164579839742</v>
      </c>
      <c r="S876">
        <f>Validation[[#This Row],[Range2_High]]</f>
        <v>1</v>
      </c>
      <c r="T876" t="str" cm="1">
        <f t="array" aca="1" ref="T876" ca="1">RoundToTwoSigFigs(Validation[[#This Row],[Test Reading]]*Validation[[#This Row],[Mult]]+Validation[[#This Row],[Base]]) &amp;" "&amp;Validation[[#This Row],[Uncert_Units]]</f>
        <v>5800 mA</v>
      </c>
      <c r="U8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876" t="b">
        <f ca="1">Validation[[#This Row],[Desired Result]]=Validation[[#This Row],[Result]]</f>
        <v>0</v>
      </c>
      <c r="W876" t="b">
        <v>0</v>
      </c>
      <c r="X876" t="b">
        <f>Validation[[#This Row],[Range1_Low]]&gt;=Validation[[#This Row],[Range1_High]]</f>
        <v>0</v>
      </c>
      <c r="Y876" s="111" t="s">
        <v>2845</v>
      </c>
    </row>
    <row r="877" spans="1:25" x14ac:dyDescent="0.25">
      <c r="A877" t="s">
        <v>54</v>
      </c>
      <c r="B877" t="s">
        <v>63</v>
      </c>
      <c r="C877">
        <v>550</v>
      </c>
      <c r="D877">
        <v>1025.01</v>
      </c>
      <c r="E877">
        <v>100</v>
      </c>
      <c r="F877" t="s">
        <v>13</v>
      </c>
      <c r="G877" t="s">
        <v>12</v>
      </c>
      <c r="H877">
        <v>4.4999999999999998E-2</v>
      </c>
      <c r="I877">
        <v>0.10001</v>
      </c>
      <c r="J877" t="s">
        <v>10</v>
      </c>
      <c r="K877">
        <v>57972</v>
      </c>
      <c r="L877">
        <v>8.8607000000000005E-2</v>
      </c>
      <c r="M877">
        <v>57972</v>
      </c>
      <c r="N877">
        <v>8.7215000000000001E-2</v>
      </c>
      <c r="O877" t="s">
        <v>2833</v>
      </c>
      <c r="P877" t="s">
        <v>159</v>
      </c>
      <c r="Q877" t="s">
        <v>2833</v>
      </c>
      <c r="R877">
        <f ca="1">RAND()*(Validation[[#This Row],[Range1_High]]-Validation[[#This Row],[Range1_Low]])+Validation[[#This Row],[Range1_Low]]</f>
        <v>745.67905019012642</v>
      </c>
      <c r="S877">
        <f>Validation[[#This Row],[Range2_High]]</f>
        <v>0.10001</v>
      </c>
      <c r="T877" t="str" cm="1">
        <f t="array" aca="1" ref="T877" ca="1">RoundToTwoSigFigs(Validation[[#This Row],[Test Reading]]*Validation[[#This Row],[Mult]]+Validation[[#This Row],[Base]]) &amp;" "&amp;Validation[[#This Row],[Uncert_Units]]</f>
        <v>58000 mA</v>
      </c>
      <c r="U8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877" t="b">
        <f ca="1">Validation[[#This Row],[Desired Result]]=Validation[[#This Row],[Result]]</f>
        <v>1</v>
      </c>
      <c r="W877" t="b">
        <v>0</v>
      </c>
      <c r="X877" t="b">
        <f>Validation[[#This Row],[Range1_Low]]&gt;=Validation[[#This Row],[Range1_High]]</f>
        <v>0</v>
      </c>
      <c r="Y877" s="111" t="s">
        <v>2845</v>
      </c>
    </row>
    <row r="878" spans="1:25" x14ac:dyDescent="0.25">
      <c r="A878" t="s">
        <v>54</v>
      </c>
      <c r="B878" t="s">
        <v>63</v>
      </c>
      <c r="C878">
        <v>55</v>
      </c>
      <c r="D878">
        <v>150.01</v>
      </c>
      <c r="E878">
        <v>0.01</v>
      </c>
      <c r="F878" t="s">
        <v>13</v>
      </c>
      <c r="G878" t="s">
        <v>12</v>
      </c>
      <c r="H878">
        <v>4.4999999999999998E-2</v>
      </c>
      <c r="I878">
        <v>0.1</v>
      </c>
      <c r="J878" t="s">
        <v>10</v>
      </c>
      <c r="K878">
        <v>49</v>
      </c>
      <c r="L878">
        <v>2.6</v>
      </c>
      <c r="M878">
        <v>2.2593000000000001</v>
      </c>
      <c r="N878">
        <v>2.1147999999999998</v>
      </c>
      <c r="O878" t="s">
        <v>2833</v>
      </c>
      <c r="P878" t="s">
        <v>159</v>
      </c>
      <c r="Q878" t="s">
        <v>2833</v>
      </c>
      <c r="R878">
        <f ca="1">RAND()*(Validation[[#This Row],[Range1_High]]-Validation[[#This Row],[Range1_Low]])+Validation[[#This Row],[Range1_Low]]</f>
        <v>56.61418114439428</v>
      </c>
      <c r="S878">
        <f>Validation[[#This Row],[Range2_High]]</f>
        <v>0.1</v>
      </c>
      <c r="T878" t="str" cm="1">
        <f t="array" aca="1" ref="T878" ca="1">RoundToTwoSigFigs(Validation[[#This Row],[Test Reading]]*Validation[[#This Row],[Mult]]+Validation[[#This Row],[Base]]) &amp;" "&amp;Validation[[#This Row],[Uncert_Units]]</f>
        <v>200 mA</v>
      </c>
      <c r="U8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V878" t="b">
        <f ca="1">Validation[[#This Row],[Desired Result]]=Validation[[#This Row],[Result]]</f>
        <v>1</v>
      </c>
      <c r="W878" t="b">
        <v>1</v>
      </c>
      <c r="X878" t="b">
        <f>Validation[[#This Row],[Range1_Low]]&gt;=Validation[[#This Row],[Range1_High]]</f>
        <v>0</v>
      </c>
      <c r="Y878" s="111" t="s">
        <v>2845</v>
      </c>
    </row>
    <row r="879" spans="1:25" x14ac:dyDescent="0.25">
      <c r="A879" t="s">
        <v>54</v>
      </c>
      <c r="B879" t="s">
        <v>63</v>
      </c>
      <c r="C879">
        <v>55</v>
      </c>
      <c r="D879">
        <v>150.01</v>
      </c>
      <c r="E879">
        <v>1</v>
      </c>
      <c r="F879" t="s">
        <v>13</v>
      </c>
      <c r="G879" t="s">
        <v>12</v>
      </c>
      <c r="H879">
        <v>4.4999999999999998E-2</v>
      </c>
      <c r="I879">
        <v>0.1</v>
      </c>
      <c r="J879" t="s">
        <v>10</v>
      </c>
      <c r="K879">
        <v>551.36</v>
      </c>
      <c r="L879">
        <v>0.73945000000000005</v>
      </c>
      <c r="M879">
        <v>551.34</v>
      </c>
      <c r="N879">
        <v>0.73870000000000002</v>
      </c>
      <c r="O879" t="s">
        <v>2833</v>
      </c>
      <c r="P879" t="s">
        <v>159</v>
      </c>
      <c r="Q879" t="s">
        <v>2833</v>
      </c>
      <c r="R879">
        <f ca="1">RAND()*(Validation[[#This Row],[Range1_High]]-Validation[[#This Row],[Range1_Low]])+Validation[[#This Row],[Range1_Low]]</f>
        <v>127.77326372667997</v>
      </c>
      <c r="S879">
        <f>Validation[[#This Row],[Range2_High]]</f>
        <v>0.1</v>
      </c>
      <c r="T879" t="str" cm="1">
        <f t="array" aca="1" ref="T879" ca="1">RoundToTwoSigFigs(Validation[[#This Row],[Test Reading]]*Validation[[#This Row],[Mult]]+Validation[[#This Row],[Base]]) &amp;" "&amp;Validation[[#This Row],[Uncert_Units]]</f>
        <v>650 mA</v>
      </c>
      <c r="U8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V879" t="b">
        <f ca="1">Validation[[#This Row],[Desired Result]]=Validation[[#This Row],[Result]]</f>
        <v>1</v>
      </c>
      <c r="W879" t="b">
        <v>0</v>
      </c>
      <c r="X879" t="b">
        <f>Validation[[#This Row],[Range1_Low]]&gt;=Validation[[#This Row],[Range1_High]]</f>
        <v>0</v>
      </c>
      <c r="Y879" s="111" t="s">
        <v>2845</v>
      </c>
    </row>
    <row r="880" spans="1:25" x14ac:dyDescent="0.25">
      <c r="A880" t="s">
        <v>54</v>
      </c>
      <c r="B880" t="s">
        <v>63</v>
      </c>
      <c r="C880">
        <v>150</v>
      </c>
      <c r="D880">
        <v>550.01</v>
      </c>
      <c r="E880">
        <v>100</v>
      </c>
      <c r="F880" t="s">
        <v>13</v>
      </c>
      <c r="G880" t="s">
        <v>12</v>
      </c>
      <c r="H880">
        <v>0.1</v>
      </c>
      <c r="I880">
        <v>1.0000100000000001</v>
      </c>
      <c r="J880" t="s">
        <v>10</v>
      </c>
      <c r="K880">
        <v>57996</v>
      </c>
      <c r="L880">
        <v>3.4757999999999997E-2</v>
      </c>
      <c r="M880">
        <v>57996</v>
      </c>
      <c r="N880">
        <v>3.4478000000000002E-2</v>
      </c>
      <c r="O880" t="s">
        <v>2833</v>
      </c>
      <c r="P880" t="s">
        <v>159</v>
      </c>
      <c r="Q880" t="s">
        <v>2833</v>
      </c>
      <c r="R880">
        <f ca="1">RAND()*(Validation[[#This Row],[Range1_High]]-Validation[[#This Row],[Range1_Low]])+Validation[[#This Row],[Range1_Low]]</f>
        <v>236.85389339903176</v>
      </c>
      <c r="S880">
        <f>Validation[[#This Row],[Range2_High]]</f>
        <v>1.0000100000000001</v>
      </c>
      <c r="T880" t="str" cm="1">
        <f t="array" aca="1" ref="T880" ca="1">RoundToTwoSigFigs(Validation[[#This Row],[Test Reading]]*Validation[[#This Row],[Mult]]+Validation[[#This Row],[Base]]) &amp;" "&amp;Validation[[#This Row],[Uncert_Units]]</f>
        <v>58000 mA</v>
      </c>
      <c r="U8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V880" t="b">
        <f ca="1">Validation[[#This Row],[Desired Result]]=Validation[[#This Row],[Result]]</f>
        <v>0</v>
      </c>
      <c r="W880" t="b">
        <v>1</v>
      </c>
      <c r="X880" t="b">
        <f>Validation[[#This Row],[Range1_Low]]&gt;=Validation[[#This Row],[Range1_High]]</f>
        <v>0</v>
      </c>
      <c r="Y880" s="111" t="s">
        <v>2845</v>
      </c>
    </row>
    <row r="881" spans="1:25" ht="15.75" thickBot="1" x14ac:dyDescent="0.3">
      <c r="A881" t="s">
        <v>54</v>
      </c>
      <c r="B881" t="s">
        <v>63</v>
      </c>
      <c r="C881">
        <v>550</v>
      </c>
      <c r="D881">
        <v>1030</v>
      </c>
      <c r="E881">
        <v>10</v>
      </c>
      <c r="F881" t="s">
        <v>13</v>
      </c>
      <c r="G881" t="s">
        <v>12</v>
      </c>
      <c r="H881">
        <v>0.1</v>
      </c>
      <c r="I881">
        <v>1</v>
      </c>
      <c r="J881" t="s">
        <v>10</v>
      </c>
      <c r="K881">
        <v>5503.5</v>
      </c>
      <c r="L881">
        <v>0.96336999999999995</v>
      </c>
      <c r="M881">
        <v>5504.3</v>
      </c>
      <c r="N881">
        <v>0.96038000000000001</v>
      </c>
      <c r="O881" t="s">
        <v>2833</v>
      </c>
      <c r="P881" t="s">
        <v>159</v>
      </c>
      <c r="Q881" t="s">
        <v>2833</v>
      </c>
      <c r="R881">
        <f ca="1">RAND()*(Validation[[#This Row],[Range1_High]]-Validation[[#This Row],[Range1_Low]])+Validation[[#This Row],[Range1_Low]]</f>
        <v>822.69664686123917</v>
      </c>
      <c r="S881">
        <f>Validation[[#This Row],[Range2_High]]</f>
        <v>1</v>
      </c>
      <c r="T881" t="str" cm="1">
        <f t="array" aca="1" ref="T881" ca="1">RoundToTwoSigFigs(Validation[[#This Row],[Test Reading]]*Validation[[#This Row],[Mult]]+Validation[[#This Row],[Base]]) &amp;" "&amp;Validation[[#This Row],[Uncert_Units]]</f>
        <v>6300 mA</v>
      </c>
      <c r="U8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V881" t="b">
        <f ca="1">Validation[[#This Row],[Desired Result]]=Validation[[#This Row],[Result]]</f>
        <v>1</v>
      </c>
      <c r="W881" t="b">
        <v>1</v>
      </c>
      <c r="X881" t="b">
        <f>Validation[[#This Row],[Range1_Low]]&gt;=Validation[[#This Row],[Range1_High]]</f>
        <v>0</v>
      </c>
      <c r="Y881" s="111" t="s">
        <v>2845</v>
      </c>
    </row>
    <row r="882" spans="1:25" ht="16.5" thickTop="1" thickBot="1" x14ac:dyDescent="0.3">
      <c r="A882" t="s">
        <v>54</v>
      </c>
      <c r="B882" t="s">
        <v>63</v>
      </c>
      <c r="C882" s="113">
        <v>550</v>
      </c>
      <c r="D882" s="113">
        <v>1025.01</v>
      </c>
      <c r="E882">
        <v>1</v>
      </c>
      <c r="F882" t="s">
        <v>13</v>
      </c>
      <c r="G882" t="s">
        <v>12</v>
      </c>
      <c r="H882">
        <v>4.4999999999999998E-2</v>
      </c>
      <c r="I882">
        <v>0.10001</v>
      </c>
      <c r="J882" t="s">
        <v>10</v>
      </c>
      <c r="K882">
        <v>350.89</v>
      </c>
      <c r="L882">
        <v>2.3235999999999999</v>
      </c>
      <c r="M882">
        <v>350.74</v>
      </c>
      <c r="N882">
        <v>2.3224</v>
      </c>
      <c r="O882" t="s">
        <v>2833</v>
      </c>
      <c r="P882" t="s">
        <v>159</v>
      </c>
      <c r="Q882" t="s">
        <v>2833</v>
      </c>
      <c r="R882">
        <f ca="1">RAND()*(Validation[[#This Row],[Range1_High]]-Validation[[#This Row],[Range1_Low]])+Validation[[#This Row],[Range1_Low]]</f>
        <v>645.63179170131366</v>
      </c>
      <c r="S882">
        <f>Validation[[#This Row],[Range2_High]]</f>
        <v>0.10001</v>
      </c>
      <c r="T882" t="str" cm="1">
        <f t="array" aca="1" ref="T882" ca="1">RoundToTwoSigFigs(Validation[[#This Row],[Test Reading]]*Validation[[#This Row],[Mult]]+Validation[[#This Row],[Base]]) &amp;" "&amp;Validation[[#This Row],[Uncert_Units]]</f>
        <v>1900 mA</v>
      </c>
      <c r="U8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V882" t="b">
        <f ca="1">Validation[[#This Row],[Desired Result]]=Validation[[#This Row],[Result]]</f>
        <v>0</v>
      </c>
      <c r="W882" t="b">
        <v>1</v>
      </c>
      <c r="X882" t="b">
        <f>Validation[[#This Row],[Range1_Low]]&gt;=Validation[[#This Row],[Range1_High]]</f>
        <v>0</v>
      </c>
      <c r="Y882" s="111" t="s">
        <v>2843</v>
      </c>
    </row>
    <row r="883" spans="1:25" ht="16.5" thickTop="1" thickBot="1" x14ac:dyDescent="0.3">
      <c r="A883" t="s">
        <v>54</v>
      </c>
      <c r="B883" t="s">
        <v>14</v>
      </c>
      <c r="C883" s="113">
        <v>3.3000000000000002E-2</v>
      </c>
      <c r="D883" s="113">
        <v>0.11001</v>
      </c>
      <c r="E883">
        <v>1E-4</v>
      </c>
      <c r="F883" t="s">
        <v>140</v>
      </c>
      <c r="G883" t="s">
        <v>64</v>
      </c>
      <c r="H883">
        <v>0</v>
      </c>
      <c r="I883">
        <v>0</v>
      </c>
      <c r="J883" t="s">
        <v>2833</v>
      </c>
      <c r="K883">
        <v>120</v>
      </c>
      <c r="L883">
        <v>13000</v>
      </c>
      <c r="M883">
        <v>119.5</v>
      </c>
      <c r="N883">
        <v>12676</v>
      </c>
      <c r="O883" t="s">
        <v>2833</v>
      </c>
      <c r="P883" t="s">
        <v>2833</v>
      </c>
      <c r="Q883" t="s">
        <v>2833</v>
      </c>
      <c r="R883">
        <f ca="1">RAND()*(Validation[[#This Row],[Range1_High]]-Validation[[#This Row],[Range1_Low]])+Validation[[#This Row],[Range1_Low]]</f>
        <v>9.5824044650747314E-2</v>
      </c>
      <c r="S883">
        <f>Validation[[#This Row],[Range2_High]]</f>
        <v>0</v>
      </c>
      <c r="T883" t="str" cm="1">
        <f t="array" aca="1" ref="T883" ca="1">RoundToTwoSigFigs(Validation[[#This Row],[Test Reading]]*Validation[[#This Row],[Mult]]+Validation[[#This Row],[Base]]) &amp;" "&amp;Validation[[#This Row],[Uncert_Units]]</f>
        <v>1400 µF*</v>
      </c>
      <c r="U8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µF*</v>
      </c>
      <c r="V883" t="b">
        <f ca="1">Validation[[#This Row],[Desired Result]]=Validation[[#This Row],[Result]]</f>
        <v>1</v>
      </c>
      <c r="W883" t="b">
        <v>1</v>
      </c>
      <c r="X883" t="b">
        <f>Validation[[#This Row],[Range1_Low]]&gt;=Validation[[#This Row],[Range1_High]]</f>
        <v>0</v>
      </c>
      <c r="Y883" s="111" t="s">
        <v>2843</v>
      </c>
    </row>
    <row r="884" spans="1:25" ht="16.5" thickTop="1" thickBot="1" x14ac:dyDescent="0.3">
      <c r="A884" t="s">
        <v>54</v>
      </c>
      <c r="B884" t="s">
        <v>14</v>
      </c>
      <c r="C884" s="113">
        <v>3.3000000000000003E-5</v>
      </c>
      <c r="D884" s="113">
        <v>1.1001E-4</v>
      </c>
      <c r="E884">
        <v>9.9999999999999995E-7</v>
      </c>
      <c r="F884" t="s">
        <v>140</v>
      </c>
      <c r="G884" t="s">
        <v>15</v>
      </c>
      <c r="H884">
        <v>0</v>
      </c>
      <c r="I884">
        <v>0</v>
      </c>
      <c r="J884" t="s">
        <v>2833</v>
      </c>
      <c r="K884">
        <v>536.63</v>
      </c>
      <c r="L884">
        <v>3284200</v>
      </c>
      <c r="M884">
        <v>536.45000000000005</v>
      </c>
      <c r="N884">
        <v>3282000</v>
      </c>
      <c r="O884" t="s">
        <v>2833</v>
      </c>
      <c r="P884" t="s">
        <v>2833</v>
      </c>
      <c r="Q884" t="s">
        <v>2833</v>
      </c>
      <c r="R884">
        <f ca="1">RAND()*(Validation[[#This Row],[Range1_High]]-Validation[[#This Row],[Range1_Low]])+Validation[[#This Row],[Range1_Low]]</f>
        <v>1.0345663934838251E-4</v>
      </c>
      <c r="S884">
        <f>Validation[[#This Row],[Range2_High]]</f>
        <v>0</v>
      </c>
      <c r="T884" t="str" cm="1">
        <f t="array" aca="1" ref="T884" ca="1">RoundToTwoSigFigs(Validation[[#This Row],[Test Reading]]*Validation[[#This Row],[Mult]]+Validation[[#This Row],[Base]]) &amp;" "&amp;Validation[[#This Row],[Uncert_Units]]</f>
        <v>880 nF</v>
      </c>
      <c r="U8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nF</v>
      </c>
      <c r="V884" t="b">
        <f ca="1">Validation[[#This Row],[Desired Result]]=Validation[[#This Row],[Result]]</f>
        <v>1</v>
      </c>
      <c r="W884" t="b">
        <v>1</v>
      </c>
      <c r="X884" t="b">
        <f>Validation[[#This Row],[Range1_Low]]&gt;=Validation[[#This Row],[Range1_High]]</f>
        <v>0</v>
      </c>
      <c r="Y884" s="111" t="s">
        <v>2843</v>
      </c>
    </row>
    <row r="885" spans="1:25" ht="16.5" thickTop="1" thickBot="1" x14ac:dyDescent="0.3">
      <c r="A885" t="s">
        <v>54</v>
      </c>
      <c r="B885" t="s">
        <v>14</v>
      </c>
      <c r="C885">
        <v>2.1999999999999999E-10</v>
      </c>
      <c r="D885">
        <v>3.3000000000000002E-9</v>
      </c>
      <c r="E885">
        <v>1.0000000000000001E-9</v>
      </c>
      <c r="F885" t="s">
        <v>140</v>
      </c>
      <c r="G885" t="s">
        <v>15</v>
      </c>
      <c r="H885">
        <v>0</v>
      </c>
      <c r="I885">
        <v>0</v>
      </c>
      <c r="J885" t="s">
        <v>2833</v>
      </c>
      <c r="K885">
        <v>0.57745000000000002</v>
      </c>
      <c r="L885">
        <v>218190</v>
      </c>
      <c r="M885">
        <v>0.57745000000000002</v>
      </c>
      <c r="N885">
        <v>217000</v>
      </c>
      <c r="O885" t="s">
        <v>2833</v>
      </c>
      <c r="P885" t="s">
        <v>2833</v>
      </c>
      <c r="Q885" t="s">
        <v>2833</v>
      </c>
      <c r="R885">
        <f ca="1">RAND()*(Validation[[#This Row],[Range1_High]]-Validation[[#This Row],[Range1_Low]])+Validation[[#This Row],[Range1_Low]]</f>
        <v>2.1861193027284177E-9</v>
      </c>
      <c r="S885">
        <f>Validation[[#This Row],[Range2_High]]</f>
        <v>0</v>
      </c>
      <c r="T885" t="str" cm="1">
        <f t="array" aca="1" ref="T885" ca="1">RoundToTwoSigFigs(Validation[[#This Row],[Test Reading]]*Validation[[#This Row],[Mult]]+Validation[[#This Row],[Base]]) &amp;" "&amp;Validation[[#This Row],[Uncert_Units]]</f>
        <v>0.58 nF</v>
      </c>
      <c r="U8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V885" t="b">
        <f ca="1">Validation[[#This Row],[Desired Result]]=Validation[[#This Row],[Result]]</f>
        <v>1</v>
      </c>
      <c r="W885" t="b">
        <v>0</v>
      </c>
      <c r="X885" t="b">
        <f>Validation[[#This Row],[Range1_Low]]&gt;=Validation[[#This Row],[Range1_High]]</f>
        <v>0</v>
      </c>
      <c r="Y885" s="111" t="s">
        <v>2845</v>
      </c>
    </row>
    <row r="886" spans="1:25" ht="16.5" thickTop="1" thickBot="1" x14ac:dyDescent="0.3">
      <c r="A886" t="s">
        <v>54</v>
      </c>
      <c r="B886" t="s">
        <v>14</v>
      </c>
      <c r="C886" s="113">
        <v>1.0999999999999999E-8</v>
      </c>
      <c r="D886" s="113">
        <v>3.2999999999999998E-8</v>
      </c>
      <c r="E886">
        <v>1.0000000000000001E-9</v>
      </c>
      <c r="F886" t="s">
        <v>140</v>
      </c>
      <c r="G886" t="s">
        <v>15</v>
      </c>
      <c r="H886">
        <v>0</v>
      </c>
      <c r="I886">
        <v>0</v>
      </c>
      <c r="J886" t="s">
        <v>2833</v>
      </c>
      <c r="K886">
        <v>0.58647000000000005</v>
      </c>
      <c r="L886">
        <v>856770</v>
      </c>
      <c r="M886">
        <v>0.58643999999999996</v>
      </c>
      <c r="N886">
        <v>853690</v>
      </c>
      <c r="O886" t="s">
        <v>2833</v>
      </c>
      <c r="P886" t="s">
        <v>2833</v>
      </c>
      <c r="Q886" t="s">
        <v>2833</v>
      </c>
      <c r="R886">
        <f ca="1">RAND()*(Validation[[#This Row],[Range1_High]]-Validation[[#This Row],[Range1_Low]])+Validation[[#This Row],[Range1_Low]]</f>
        <v>2.3344361923463678E-8</v>
      </c>
      <c r="S886">
        <f>Validation[[#This Row],[Range2_High]]</f>
        <v>0</v>
      </c>
      <c r="T886" t="str" cm="1">
        <f t="array" aca="1" ref="T886" ca="1">RoundToTwoSigFigs(Validation[[#This Row],[Test Reading]]*Validation[[#This Row],[Mult]]+Validation[[#This Row],[Base]]) &amp;" "&amp;Validation[[#This Row],[Uncert_Units]]</f>
        <v>0.61 nF</v>
      </c>
      <c r="U8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nF</v>
      </c>
      <c r="V886" t="b">
        <f ca="1">Validation[[#This Row],[Desired Result]]=Validation[[#This Row],[Result]]</f>
        <v>1</v>
      </c>
      <c r="W886" t="b">
        <v>1</v>
      </c>
      <c r="X886" t="b">
        <f>Validation[[#This Row],[Range1_Low]]&gt;=Validation[[#This Row],[Range1_High]]</f>
        <v>0</v>
      </c>
      <c r="Y886" s="111" t="s">
        <v>2843</v>
      </c>
    </row>
    <row r="887" spans="1:25" ht="16.5" thickTop="1" thickBot="1" x14ac:dyDescent="0.3">
      <c r="A887" t="s">
        <v>68</v>
      </c>
      <c r="B887" t="s">
        <v>14</v>
      </c>
      <c r="C887" s="113">
        <v>1E-8</v>
      </c>
      <c r="D887" s="113">
        <v>9.9999999999999995E-8</v>
      </c>
      <c r="E887">
        <v>1.0000000000000001E-9</v>
      </c>
      <c r="F887" t="s">
        <v>140</v>
      </c>
      <c r="G887" t="s">
        <v>15</v>
      </c>
      <c r="H887">
        <v>0</v>
      </c>
      <c r="I887">
        <v>0</v>
      </c>
      <c r="J887" t="s">
        <v>2833</v>
      </c>
      <c r="K887">
        <v>0.74933000000000005</v>
      </c>
      <c r="L887">
        <v>4690300</v>
      </c>
      <c r="M887">
        <v>0.74914000000000003</v>
      </c>
      <c r="N887">
        <v>4679800</v>
      </c>
      <c r="O887" t="s">
        <v>2833</v>
      </c>
      <c r="P887" t="s">
        <v>2833</v>
      </c>
      <c r="Q887" t="s">
        <v>2833</v>
      </c>
      <c r="R887">
        <f ca="1">RAND()*(Validation[[#This Row],[Range1_High]]-Validation[[#This Row],[Range1_Low]])+Validation[[#This Row],[Range1_Low]]</f>
        <v>4.6567640503584303E-8</v>
      </c>
      <c r="S887">
        <f>Validation[[#This Row],[Range2_High]]</f>
        <v>0</v>
      </c>
      <c r="T887" t="str" cm="1">
        <f t="array" aca="1" ref="T887" ca="1">RoundToTwoSigFigs(Validation[[#This Row],[Test Reading]]*Validation[[#This Row],[Mult]]+Validation[[#This Row],[Base]]) &amp;" "&amp;Validation[[#This Row],[Uncert_Units]]</f>
        <v>0.97 nF</v>
      </c>
      <c r="U8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nF</v>
      </c>
      <c r="V887" t="b">
        <f ca="1">Validation[[#This Row],[Desired Result]]=Validation[[#This Row],[Result]]</f>
        <v>1</v>
      </c>
      <c r="W887" t="b">
        <v>1</v>
      </c>
      <c r="X887" t="b">
        <f>Validation[[#This Row],[Range1_Low]]&gt;=Validation[[#This Row],[Range1_High]]</f>
        <v>0</v>
      </c>
      <c r="Y887" s="111" t="s">
        <v>2843</v>
      </c>
    </row>
    <row r="888" spans="1:25" ht="16.5" thickTop="1" thickBot="1" x14ac:dyDescent="0.3">
      <c r="A888" t="s">
        <v>54</v>
      </c>
      <c r="B888" t="s">
        <v>14</v>
      </c>
      <c r="C888" s="113">
        <v>1.1E-5</v>
      </c>
      <c r="D888" s="113">
        <v>3.3000999999999998E-5</v>
      </c>
      <c r="E888">
        <v>1E-8</v>
      </c>
      <c r="F888" t="s">
        <v>140</v>
      </c>
      <c r="G888" t="s">
        <v>15</v>
      </c>
      <c r="H888">
        <v>0</v>
      </c>
      <c r="I888">
        <v>0</v>
      </c>
      <c r="J888" t="s">
        <v>2833</v>
      </c>
      <c r="K888">
        <v>36</v>
      </c>
      <c r="L888">
        <v>4600000</v>
      </c>
      <c r="M888">
        <v>34.893999999999998</v>
      </c>
      <c r="N888">
        <v>4613900</v>
      </c>
      <c r="O888" t="s">
        <v>2833</v>
      </c>
      <c r="P888" t="s">
        <v>2833</v>
      </c>
      <c r="Q888" t="s">
        <v>2833</v>
      </c>
      <c r="R888">
        <f ca="1">RAND()*(Validation[[#This Row],[Range1_High]]-Validation[[#This Row],[Range1_Low]])+Validation[[#This Row],[Range1_Low]]</f>
        <v>1.1849389988608574E-5</v>
      </c>
      <c r="S888">
        <f>Validation[[#This Row],[Range2_High]]</f>
        <v>0</v>
      </c>
      <c r="T888" t="str" cm="1">
        <f t="array" aca="1" ref="T888" ca="1">RoundToTwoSigFigs(Validation[[#This Row],[Test Reading]]*Validation[[#This Row],[Mult]]+Validation[[#This Row],[Base]]) &amp;" "&amp;Validation[[#This Row],[Uncert_Units]]</f>
        <v>91 nF</v>
      </c>
      <c r="U8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nF</v>
      </c>
      <c r="V888" t="b">
        <f ca="1">Validation[[#This Row],[Desired Result]]=Validation[[#This Row],[Result]]</f>
        <v>1</v>
      </c>
      <c r="W888" t="b">
        <v>1</v>
      </c>
      <c r="X888" t="b">
        <f>Validation[[#This Row],[Range1_Low]]&gt;=Validation[[#This Row],[Range1_High]]</f>
        <v>0</v>
      </c>
      <c r="Y888" s="111" t="s">
        <v>2843</v>
      </c>
    </row>
    <row r="889" spans="1:25" ht="16.5" thickTop="1" thickBot="1" x14ac:dyDescent="0.3">
      <c r="A889" t="s">
        <v>54</v>
      </c>
      <c r="B889" t="s">
        <v>14</v>
      </c>
      <c r="C889" s="113">
        <v>1.1000000000000001E-7</v>
      </c>
      <c r="D889" s="113">
        <v>3.3000000000000002E-7</v>
      </c>
      <c r="E889">
        <v>1E-10</v>
      </c>
      <c r="F889" t="s">
        <v>140</v>
      </c>
      <c r="G889" t="s">
        <v>15</v>
      </c>
      <c r="H889">
        <v>0</v>
      </c>
      <c r="I889">
        <v>0</v>
      </c>
      <c r="J889" t="s">
        <v>2833</v>
      </c>
      <c r="K889">
        <v>0.35</v>
      </c>
      <c r="L889">
        <v>2900000</v>
      </c>
      <c r="M889">
        <v>0.34958</v>
      </c>
      <c r="N889">
        <v>2881200</v>
      </c>
      <c r="O889" t="s">
        <v>2833</v>
      </c>
      <c r="P889" t="s">
        <v>2833</v>
      </c>
      <c r="Q889" t="s">
        <v>2833</v>
      </c>
      <c r="R889">
        <f ca="1">RAND()*(Validation[[#This Row],[Range1_High]]-Validation[[#This Row],[Range1_Low]])+Validation[[#This Row],[Range1_Low]]</f>
        <v>1.9319216589898906E-7</v>
      </c>
      <c r="S889">
        <f>Validation[[#This Row],[Range2_High]]</f>
        <v>0</v>
      </c>
      <c r="T889" t="str" cm="1">
        <f t="array" aca="1" ref="T889" ca="1">RoundToTwoSigFigs(Validation[[#This Row],[Test Reading]]*Validation[[#This Row],[Mult]]+Validation[[#This Row],[Base]]) &amp;" "&amp;Validation[[#This Row],[Uncert_Units]]</f>
        <v>0.91 nF</v>
      </c>
      <c r="U8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nF</v>
      </c>
      <c r="V889" t="b">
        <f ca="1">Validation[[#This Row],[Desired Result]]=Validation[[#This Row],[Result]]</f>
        <v>1</v>
      </c>
      <c r="W889" t="b">
        <v>1</v>
      </c>
      <c r="X889" t="b">
        <f>Validation[[#This Row],[Range1_Low]]&gt;=Validation[[#This Row],[Range1_High]]</f>
        <v>0</v>
      </c>
      <c r="Y889" s="111" t="s">
        <v>2843</v>
      </c>
    </row>
    <row r="890" spans="1:25" ht="15.75" thickTop="1" x14ac:dyDescent="0.25">
      <c r="A890" t="s">
        <v>54</v>
      </c>
      <c r="B890" t="s">
        <v>14</v>
      </c>
      <c r="C890">
        <v>1.1000000000000001E-6</v>
      </c>
      <c r="D890">
        <v>3.3001E-6</v>
      </c>
      <c r="E890">
        <v>9.9999999999999995E-8</v>
      </c>
      <c r="F890" t="s">
        <v>140</v>
      </c>
      <c r="G890" t="s">
        <v>15</v>
      </c>
      <c r="H890">
        <v>0</v>
      </c>
      <c r="I890">
        <v>0</v>
      </c>
      <c r="J890" t="s">
        <v>2833</v>
      </c>
      <c r="K890">
        <v>57.585000000000001</v>
      </c>
      <c r="L890">
        <v>484680</v>
      </c>
      <c r="M890">
        <v>57.585000000000001</v>
      </c>
      <c r="N890">
        <v>483140</v>
      </c>
      <c r="O890" t="s">
        <v>2833</v>
      </c>
      <c r="P890" t="s">
        <v>2833</v>
      </c>
      <c r="Q890" t="s">
        <v>2833</v>
      </c>
      <c r="R890">
        <f ca="1">RAND()*(Validation[[#This Row],[Range1_High]]-Validation[[#This Row],[Range1_Low]])+Validation[[#This Row],[Range1_Low]]</f>
        <v>2.4519173659508283E-6</v>
      </c>
      <c r="S890">
        <f>Validation[[#This Row],[Range2_High]]</f>
        <v>0</v>
      </c>
      <c r="T890" t="str" cm="1">
        <f t="array" aca="1" ref="T890" ca="1">RoundToTwoSigFigs(Validation[[#This Row],[Test Reading]]*Validation[[#This Row],[Mult]]+Validation[[#This Row],[Base]]) &amp;" "&amp;Validation[[#This Row],[Uncert_Units]]</f>
        <v>59 nF</v>
      </c>
      <c r="U8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V890" t="b">
        <f ca="1">Validation[[#This Row],[Desired Result]]=Validation[[#This Row],[Result]]</f>
        <v>1</v>
      </c>
      <c r="W890" t="b">
        <v>0</v>
      </c>
      <c r="X890" t="b">
        <f>Validation[[#This Row],[Range1_Low]]&gt;=Validation[[#This Row],[Range1_High]]</f>
        <v>0</v>
      </c>
      <c r="Y890" s="111" t="s">
        <v>2845</v>
      </c>
    </row>
    <row r="891" spans="1:25" ht="15.75" thickBot="1" x14ac:dyDescent="0.3">
      <c r="A891" t="s">
        <v>54</v>
      </c>
      <c r="B891" t="s">
        <v>14</v>
      </c>
      <c r="C891">
        <v>2.1999999999999999E-10</v>
      </c>
      <c r="D891">
        <v>3.3000000000000002E-9</v>
      </c>
      <c r="E891">
        <v>9.9999999999999998E-13</v>
      </c>
      <c r="F891" t="s">
        <v>140</v>
      </c>
      <c r="G891" t="s">
        <v>15</v>
      </c>
      <c r="H891">
        <v>0</v>
      </c>
      <c r="I891">
        <v>0</v>
      </c>
      <c r="J891" t="s">
        <v>2833</v>
      </c>
      <c r="K891">
        <v>1.2E-2</v>
      </c>
      <c r="L891">
        <v>5800000</v>
      </c>
      <c r="M891">
        <v>1.1563E-2</v>
      </c>
      <c r="N891">
        <v>5772800</v>
      </c>
      <c r="O891" t="s">
        <v>2833</v>
      </c>
      <c r="P891" t="s">
        <v>2833</v>
      </c>
      <c r="Q891" t="s">
        <v>2833</v>
      </c>
      <c r="R891">
        <f ca="1">RAND()*(Validation[[#This Row],[Range1_High]]-Validation[[#This Row],[Range1_Low]])+Validation[[#This Row],[Range1_Low]]</f>
        <v>1.3851757922303923E-9</v>
      </c>
      <c r="S891">
        <f>Validation[[#This Row],[Range2_High]]</f>
        <v>0</v>
      </c>
      <c r="T891" t="str" cm="1">
        <f t="array" aca="1" ref="T891" ca="1">RoundToTwoSigFigs(Validation[[#This Row],[Test Reading]]*Validation[[#This Row],[Mult]]+Validation[[#This Row],[Base]]) &amp;" "&amp;Validation[[#This Row],[Uncert_Units]]</f>
        <v>0.02 nF</v>
      </c>
      <c r="U8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nF</v>
      </c>
      <c r="V891" t="b">
        <f ca="1">Validation[[#This Row],[Desired Result]]=Validation[[#This Row],[Result]]</f>
        <v>1</v>
      </c>
      <c r="W891" t="b">
        <v>0</v>
      </c>
      <c r="X891" t="b">
        <f>Validation[[#This Row],[Range1_Low]]&gt;=Validation[[#This Row],[Range1_High]]</f>
        <v>0</v>
      </c>
      <c r="Y891" s="111" t="s">
        <v>2845</v>
      </c>
    </row>
    <row r="892" spans="1:25" ht="16.5" thickTop="1" thickBot="1" x14ac:dyDescent="0.3">
      <c r="A892" t="s">
        <v>54</v>
      </c>
      <c r="B892" t="s">
        <v>14</v>
      </c>
      <c r="C892" s="113">
        <v>3.3E-3</v>
      </c>
      <c r="D892" s="113">
        <v>1.1001E-2</v>
      </c>
      <c r="E892">
        <v>1E-4</v>
      </c>
      <c r="F892" t="s">
        <v>140</v>
      </c>
      <c r="G892" t="s">
        <v>16</v>
      </c>
      <c r="H892">
        <v>0</v>
      </c>
      <c r="I892">
        <v>0</v>
      </c>
      <c r="J892" t="s">
        <v>2833</v>
      </c>
      <c r="K892">
        <v>53.665999999999997</v>
      </c>
      <c r="L892">
        <v>3287.9</v>
      </c>
      <c r="M892">
        <v>53.64</v>
      </c>
      <c r="N892">
        <v>3284.3</v>
      </c>
      <c r="O892" t="s">
        <v>2833</v>
      </c>
      <c r="P892" t="s">
        <v>2833</v>
      </c>
      <c r="Q892" t="s">
        <v>2833</v>
      </c>
      <c r="R892">
        <f ca="1">RAND()*(Validation[[#This Row],[Range1_High]]-Validation[[#This Row],[Range1_Low]])+Validation[[#This Row],[Range1_Low]]</f>
        <v>6.8880737091831096E-3</v>
      </c>
      <c r="S892">
        <f>Validation[[#This Row],[Range2_High]]</f>
        <v>0</v>
      </c>
      <c r="T892" t="str" cm="1">
        <f t="array" aca="1" ref="T892" ca="1">RoundToTwoSigFigs(Validation[[#This Row],[Test Reading]]*Validation[[#This Row],[Mult]]+Validation[[#This Row],[Base]]) &amp;" "&amp;Validation[[#This Row],[Uncert_Units]]</f>
        <v>76 µF</v>
      </c>
      <c r="U8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µF</v>
      </c>
      <c r="V892" t="b">
        <f ca="1">Validation[[#This Row],[Desired Result]]=Validation[[#This Row],[Result]]</f>
        <v>1</v>
      </c>
      <c r="W892" t="b">
        <v>1</v>
      </c>
      <c r="X892" t="b">
        <f>Validation[[#This Row],[Range1_Low]]&gt;=Validation[[#This Row],[Range1_High]]</f>
        <v>0</v>
      </c>
      <c r="Y892" s="111" t="s">
        <v>2843</v>
      </c>
    </row>
    <row r="893" spans="1:25" ht="16.5" thickTop="1" thickBot="1" x14ac:dyDescent="0.3">
      <c r="A893" t="s">
        <v>68</v>
      </c>
      <c r="B893" t="s">
        <v>14</v>
      </c>
      <c r="C893">
        <v>9.9999999999999995E-8</v>
      </c>
      <c r="D893">
        <v>9.9999999999999995E-7</v>
      </c>
      <c r="E893">
        <v>9.9999999999999995E-7</v>
      </c>
      <c r="F893" t="s">
        <v>140</v>
      </c>
      <c r="G893" t="s">
        <v>15</v>
      </c>
      <c r="H893">
        <v>0</v>
      </c>
      <c r="I893">
        <v>0</v>
      </c>
      <c r="J893" t="s">
        <v>2833</v>
      </c>
      <c r="K893">
        <v>579.04999999999995</v>
      </c>
      <c r="L893">
        <v>3024200</v>
      </c>
      <c r="M893">
        <v>579.04999999999995</v>
      </c>
      <c r="N893">
        <v>3020300</v>
      </c>
      <c r="O893" t="s">
        <v>2833</v>
      </c>
      <c r="P893" t="s">
        <v>2833</v>
      </c>
      <c r="Q893" t="s">
        <v>2833</v>
      </c>
      <c r="R893">
        <f ca="1">RAND()*(Validation[[#This Row],[Range1_High]]-Validation[[#This Row],[Range1_Low]])+Validation[[#This Row],[Range1_Low]]</f>
        <v>9.4308845538232343E-7</v>
      </c>
      <c r="S893">
        <f>Validation[[#This Row],[Range2_High]]</f>
        <v>0</v>
      </c>
      <c r="T893" t="str" cm="1">
        <f t="array" aca="1" ref="T893" ca="1">RoundToTwoSigFigs(Validation[[#This Row],[Test Reading]]*Validation[[#This Row],[Mult]]+Validation[[#This Row],[Base]]) &amp;" "&amp;Validation[[#This Row],[Uncert_Units]]</f>
        <v>580 nF</v>
      </c>
      <c r="U8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V893" t="b">
        <f ca="1">Validation[[#This Row],[Desired Result]]=Validation[[#This Row],[Result]]</f>
        <v>1</v>
      </c>
      <c r="W893" t="b">
        <v>0</v>
      </c>
      <c r="X893" t="b">
        <f>Validation[[#This Row],[Range1_Low]]&gt;=Validation[[#This Row],[Range1_High]]</f>
        <v>0</v>
      </c>
      <c r="Y893" s="111" t="s">
        <v>2845</v>
      </c>
    </row>
    <row r="894" spans="1:25" ht="16.5" thickTop="1" thickBot="1" x14ac:dyDescent="0.3">
      <c r="A894" t="s">
        <v>54</v>
      </c>
      <c r="B894" t="s">
        <v>14</v>
      </c>
      <c r="C894" s="113">
        <v>3.3000000000000002E-2</v>
      </c>
      <c r="D894" s="113">
        <v>0.11001</v>
      </c>
      <c r="E894">
        <v>1E-3</v>
      </c>
      <c r="F894" t="s">
        <v>140</v>
      </c>
      <c r="G894" t="s">
        <v>64</v>
      </c>
      <c r="H894">
        <v>0</v>
      </c>
      <c r="I894">
        <v>0</v>
      </c>
      <c r="J894" t="s">
        <v>2833</v>
      </c>
      <c r="K894">
        <v>430.99</v>
      </c>
      <c r="L894">
        <v>10809</v>
      </c>
      <c r="M894">
        <v>430.28</v>
      </c>
      <c r="N894">
        <v>10808</v>
      </c>
      <c r="O894" t="s">
        <v>2833</v>
      </c>
      <c r="P894" t="s">
        <v>2833</v>
      </c>
      <c r="Q894" t="s">
        <v>2833</v>
      </c>
      <c r="R894">
        <f ca="1">RAND()*(Validation[[#This Row],[Range1_High]]-Validation[[#This Row],[Range1_Low]])+Validation[[#This Row],[Range1_Low]]</f>
        <v>6.7754679463913392E-2</v>
      </c>
      <c r="S894">
        <f>Validation[[#This Row],[Range2_High]]</f>
        <v>0</v>
      </c>
      <c r="T894" t="str" cm="1">
        <f t="array" aca="1" ref="T894" ca="1">RoundToTwoSigFigs(Validation[[#This Row],[Test Reading]]*Validation[[#This Row],[Mult]]+Validation[[#This Row],[Base]]) &amp;" "&amp;Validation[[#This Row],[Uncert_Units]]</f>
        <v>1200 µF*</v>
      </c>
      <c r="U8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µF*</v>
      </c>
      <c r="V894" t="b">
        <f ca="1">Validation[[#This Row],[Desired Result]]=Validation[[#This Row],[Result]]</f>
        <v>1</v>
      </c>
      <c r="W894" t="b">
        <v>1</v>
      </c>
      <c r="X894" t="b">
        <f>Validation[[#This Row],[Range1_Low]]&gt;=Validation[[#This Row],[Range1_High]]</f>
        <v>0</v>
      </c>
      <c r="Y894" s="111" t="s">
        <v>2843</v>
      </c>
    </row>
    <row r="895" spans="1:25" ht="16.5" thickTop="1" thickBot="1" x14ac:dyDescent="0.3">
      <c r="A895" t="s">
        <v>54</v>
      </c>
      <c r="B895" t="s">
        <v>14</v>
      </c>
      <c r="C895" s="113">
        <v>3.3000000000000003E-5</v>
      </c>
      <c r="D895" s="113">
        <v>1.1001E-4</v>
      </c>
      <c r="E895">
        <v>1E-8</v>
      </c>
      <c r="F895" t="s">
        <v>140</v>
      </c>
      <c r="G895" t="s">
        <v>15</v>
      </c>
      <c r="H895">
        <v>0</v>
      </c>
      <c r="I895">
        <v>0</v>
      </c>
      <c r="J895" t="s">
        <v>2833</v>
      </c>
      <c r="K895">
        <v>120</v>
      </c>
      <c r="L895">
        <v>5200000</v>
      </c>
      <c r="M895">
        <v>115.61</v>
      </c>
      <c r="N895">
        <v>5195600</v>
      </c>
      <c r="O895" t="s">
        <v>2833</v>
      </c>
      <c r="P895" t="s">
        <v>2833</v>
      </c>
      <c r="Q895" t="s">
        <v>2833</v>
      </c>
      <c r="R895">
        <f ca="1">RAND()*(Validation[[#This Row],[Range1_High]]-Validation[[#This Row],[Range1_Low]])+Validation[[#This Row],[Range1_Low]]</f>
        <v>8.559492112940514E-5</v>
      </c>
      <c r="S895">
        <f>Validation[[#This Row],[Range2_High]]</f>
        <v>0</v>
      </c>
      <c r="T895" t="str" cm="1">
        <f t="array" aca="1" ref="T895" ca="1">RoundToTwoSigFigs(Validation[[#This Row],[Test Reading]]*Validation[[#This Row],[Mult]]+Validation[[#This Row],[Base]]) &amp;" "&amp;Validation[[#This Row],[Uncert_Units]]</f>
        <v>570 nF</v>
      </c>
      <c r="U8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nF</v>
      </c>
      <c r="V895" t="b">
        <f ca="1">Validation[[#This Row],[Desired Result]]=Validation[[#This Row],[Result]]</f>
        <v>1</v>
      </c>
      <c r="W895" t="b">
        <v>1</v>
      </c>
      <c r="X895" t="b">
        <f>Validation[[#This Row],[Range1_Low]]&gt;=Validation[[#This Row],[Range1_High]]</f>
        <v>0</v>
      </c>
      <c r="Y895" s="111" t="s">
        <v>2843</v>
      </c>
    </row>
    <row r="896" spans="1:25" ht="16.5" thickTop="1" thickBot="1" x14ac:dyDescent="0.3">
      <c r="A896" t="s">
        <v>54</v>
      </c>
      <c r="B896" t="s">
        <v>14</v>
      </c>
      <c r="C896" s="113">
        <v>3.3000000000000002E-9</v>
      </c>
      <c r="D896" s="113">
        <v>1.0999999999999999E-8</v>
      </c>
      <c r="E896">
        <v>9.9999999999999998E-13</v>
      </c>
      <c r="F896" t="s">
        <v>140</v>
      </c>
      <c r="G896" t="s">
        <v>15</v>
      </c>
      <c r="H896">
        <v>0</v>
      </c>
      <c r="I896">
        <v>0</v>
      </c>
      <c r="J896" t="s">
        <v>2833</v>
      </c>
      <c r="K896">
        <v>1.2E-2</v>
      </c>
      <c r="L896">
        <v>2900000</v>
      </c>
      <c r="M896">
        <v>1.1575999999999999E-2</v>
      </c>
      <c r="N896">
        <v>2885200</v>
      </c>
      <c r="O896" t="s">
        <v>2833</v>
      </c>
      <c r="P896" t="s">
        <v>2833</v>
      </c>
      <c r="Q896" t="s">
        <v>2833</v>
      </c>
      <c r="R896">
        <f ca="1">RAND()*(Validation[[#This Row],[Range1_High]]-Validation[[#This Row],[Range1_Low]])+Validation[[#This Row],[Range1_Low]]</f>
        <v>4.790641224556196E-9</v>
      </c>
      <c r="S896">
        <f>Validation[[#This Row],[Range2_High]]</f>
        <v>0</v>
      </c>
      <c r="T896" t="str" cm="1">
        <f t="array" aca="1" ref="T896" ca="1">RoundToTwoSigFigs(Validation[[#This Row],[Test Reading]]*Validation[[#This Row],[Mult]]+Validation[[#This Row],[Base]]) &amp;" "&amp;Validation[[#This Row],[Uncert_Units]]</f>
        <v>0.026 nF</v>
      </c>
      <c r="U8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nF</v>
      </c>
      <c r="V896" t="b">
        <f ca="1">Validation[[#This Row],[Desired Result]]=Validation[[#This Row],[Result]]</f>
        <v>1</v>
      </c>
      <c r="W896" t="b">
        <v>1</v>
      </c>
      <c r="X896" t="b">
        <f>Validation[[#This Row],[Range1_Low]]&gt;=Validation[[#This Row],[Range1_High]]</f>
        <v>0</v>
      </c>
      <c r="Y896" s="111" t="s">
        <v>2843</v>
      </c>
    </row>
    <row r="897" spans="1:25" ht="16.5" thickTop="1" thickBot="1" x14ac:dyDescent="0.3">
      <c r="A897" t="s">
        <v>68</v>
      </c>
      <c r="B897" t="s">
        <v>14</v>
      </c>
      <c r="C897" s="113">
        <v>9.9999999999999995E-8</v>
      </c>
      <c r="D897" s="113">
        <v>9.9999999999999995E-7</v>
      </c>
      <c r="E897">
        <v>1E-10</v>
      </c>
      <c r="F897" t="s">
        <v>140</v>
      </c>
      <c r="G897" t="s">
        <v>15</v>
      </c>
      <c r="H897">
        <v>0</v>
      </c>
      <c r="I897">
        <v>0</v>
      </c>
      <c r="J897" t="s">
        <v>2833</v>
      </c>
      <c r="K897">
        <v>6.2</v>
      </c>
      <c r="L897">
        <v>5200000</v>
      </c>
      <c r="M897">
        <v>6.1439000000000004</v>
      </c>
      <c r="N897">
        <v>5209500</v>
      </c>
      <c r="O897" t="s">
        <v>2833</v>
      </c>
      <c r="P897" t="s">
        <v>2833</v>
      </c>
      <c r="Q897" t="s">
        <v>2833</v>
      </c>
      <c r="R897">
        <f ca="1">RAND()*(Validation[[#This Row],[Range1_High]]-Validation[[#This Row],[Range1_Low]])+Validation[[#This Row],[Range1_Low]]</f>
        <v>3.4174676624333903E-7</v>
      </c>
      <c r="S897">
        <f>Validation[[#This Row],[Range2_High]]</f>
        <v>0</v>
      </c>
      <c r="T897" t="str" cm="1">
        <f t="array" aca="1" ref="T897" ca="1">RoundToTwoSigFigs(Validation[[#This Row],[Test Reading]]*Validation[[#This Row],[Mult]]+Validation[[#This Row],[Base]]) &amp;" "&amp;Validation[[#This Row],[Uncert_Units]]</f>
        <v>8 nF</v>
      </c>
      <c r="U8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nF</v>
      </c>
      <c r="V897" t="b">
        <f ca="1">Validation[[#This Row],[Desired Result]]=Validation[[#This Row],[Result]]</f>
        <v>1</v>
      </c>
      <c r="W897" t="b">
        <v>1</v>
      </c>
      <c r="X897" t="b">
        <f>Validation[[#This Row],[Range1_Low]]&gt;=Validation[[#This Row],[Range1_High]]</f>
        <v>0</v>
      </c>
      <c r="Y897" s="111" t="s">
        <v>2843</v>
      </c>
    </row>
    <row r="898" spans="1:25" ht="16.5" thickTop="1" thickBot="1" x14ac:dyDescent="0.3">
      <c r="A898" t="s">
        <v>54</v>
      </c>
      <c r="B898" t="s">
        <v>14</v>
      </c>
      <c r="C898" s="113">
        <v>1.1000000000000001E-3</v>
      </c>
      <c r="D898" s="113">
        <v>3.3000999999999998E-3</v>
      </c>
      <c r="E898">
        <v>9.9999999999999995E-8</v>
      </c>
      <c r="F898" t="s">
        <v>140</v>
      </c>
      <c r="G898" t="s">
        <v>16</v>
      </c>
      <c r="H898">
        <v>0</v>
      </c>
      <c r="I898">
        <v>0</v>
      </c>
      <c r="J898" t="s">
        <v>2833</v>
      </c>
      <c r="K898">
        <v>3.5</v>
      </c>
      <c r="L898">
        <v>5200</v>
      </c>
      <c r="M898">
        <v>3.4636</v>
      </c>
      <c r="N898">
        <v>5198.8999999999996</v>
      </c>
      <c r="O898" t="s">
        <v>2833</v>
      </c>
      <c r="P898" t="s">
        <v>2833</v>
      </c>
      <c r="Q898" t="s">
        <v>2833</v>
      </c>
      <c r="R898">
        <f ca="1">RAND()*(Validation[[#This Row],[Range1_High]]-Validation[[#This Row],[Range1_Low]])+Validation[[#This Row],[Range1_Low]]</f>
        <v>1.4097434598274686E-3</v>
      </c>
      <c r="S898">
        <f>Validation[[#This Row],[Range2_High]]</f>
        <v>0</v>
      </c>
      <c r="T898" t="str" cm="1">
        <f t="array" aca="1" ref="T898" ca="1">RoundToTwoSigFigs(Validation[[#This Row],[Test Reading]]*Validation[[#This Row],[Mult]]+Validation[[#This Row],[Base]]) &amp;" "&amp;Validation[[#This Row],[Uncert_Units]]</f>
        <v>11 µF</v>
      </c>
      <c r="U8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µF</v>
      </c>
      <c r="V898" t="b">
        <f ca="1">Validation[[#This Row],[Desired Result]]=Validation[[#This Row],[Result]]</f>
        <v>1</v>
      </c>
      <c r="W898" t="b">
        <v>1</v>
      </c>
      <c r="X898" t="b">
        <f>Validation[[#This Row],[Range1_Low]]&gt;=Validation[[#This Row],[Range1_High]]</f>
        <v>0</v>
      </c>
      <c r="Y898" s="111" t="s">
        <v>2843</v>
      </c>
    </row>
    <row r="899" spans="1:25" ht="15.75" thickTop="1" x14ac:dyDescent="0.25">
      <c r="A899" t="s">
        <v>54</v>
      </c>
      <c r="B899" t="s">
        <v>14</v>
      </c>
      <c r="C899">
        <v>1.1000000000000001E-3</v>
      </c>
      <c r="D899">
        <v>3.3000999999999998E-3</v>
      </c>
      <c r="E899">
        <v>1E-4</v>
      </c>
      <c r="F899" t="s">
        <v>140</v>
      </c>
      <c r="G899" t="s">
        <v>16</v>
      </c>
      <c r="H899">
        <v>0</v>
      </c>
      <c r="I899">
        <v>0</v>
      </c>
      <c r="J899" t="s">
        <v>2833</v>
      </c>
      <c r="K899">
        <v>57.042999999999999</v>
      </c>
      <c r="L899">
        <v>1299.0999999999999</v>
      </c>
      <c r="M899">
        <v>57.037999999999997</v>
      </c>
      <c r="N899">
        <v>1293.7</v>
      </c>
      <c r="O899" t="s">
        <v>2833</v>
      </c>
      <c r="P899" t="s">
        <v>2833</v>
      </c>
      <c r="Q899" t="s">
        <v>2833</v>
      </c>
      <c r="R899">
        <f ca="1">RAND()*(Validation[[#This Row],[Range1_High]]-Validation[[#This Row],[Range1_Low]])+Validation[[#This Row],[Range1_Low]]</f>
        <v>1.5512591922046087E-3</v>
      </c>
      <c r="S899">
        <f>Validation[[#This Row],[Range2_High]]</f>
        <v>0</v>
      </c>
      <c r="T899" t="str" cm="1">
        <f t="array" aca="1" ref="T899" ca="1">RoundToTwoSigFigs(Validation[[#This Row],[Test Reading]]*Validation[[#This Row],[Mult]]+Validation[[#This Row],[Base]]) &amp;" "&amp;Validation[[#This Row],[Uncert_Units]]</f>
        <v>59 µF</v>
      </c>
      <c r="U8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µF</v>
      </c>
      <c r="V899" t="b">
        <f ca="1">Validation[[#This Row],[Desired Result]]=Validation[[#This Row],[Result]]</f>
        <v>1</v>
      </c>
      <c r="W899" t="b">
        <v>0</v>
      </c>
      <c r="X899" t="b">
        <f>Validation[[#This Row],[Range1_Low]]&gt;=Validation[[#This Row],[Range1_High]]</f>
        <v>0</v>
      </c>
      <c r="Y899" s="111" t="s">
        <v>2845</v>
      </c>
    </row>
    <row r="900" spans="1:25" ht="15.75" thickBot="1" x14ac:dyDescent="0.3">
      <c r="A900" t="s">
        <v>68</v>
      </c>
      <c r="B900" t="s">
        <v>14</v>
      </c>
      <c r="C900">
        <v>9.9999999999999995E-8</v>
      </c>
      <c r="D900">
        <v>9.9999999999999995E-7</v>
      </c>
      <c r="E900">
        <v>9.9999999999999995E-8</v>
      </c>
      <c r="F900" t="s">
        <v>140</v>
      </c>
      <c r="G900" t="s">
        <v>15</v>
      </c>
      <c r="H900">
        <v>0</v>
      </c>
      <c r="I900">
        <v>0</v>
      </c>
      <c r="J900" t="s">
        <v>2833</v>
      </c>
      <c r="K900">
        <v>58.094000000000001</v>
      </c>
      <c r="L900">
        <v>1100500</v>
      </c>
      <c r="M900">
        <v>58.094000000000001</v>
      </c>
      <c r="N900">
        <v>1091000</v>
      </c>
      <c r="O900" t="s">
        <v>2833</v>
      </c>
      <c r="P900" t="s">
        <v>2833</v>
      </c>
      <c r="Q900" t="s">
        <v>2833</v>
      </c>
      <c r="R900">
        <f ca="1">RAND()*(Validation[[#This Row],[Range1_High]]-Validation[[#This Row],[Range1_Low]])+Validation[[#This Row],[Range1_Low]]</f>
        <v>1.1715563051205643E-7</v>
      </c>
      <c r="S900">
        <f>Validation[[#This Row],[Range2_High]]</f>
        <v>0</v>
      </c>
      <c r="T900" t="str" cm="1">
        <f t="array" aca="1" ref="T900" ca="1">RoundToTwoSigFigs(Validation[[#This Row],[Test Reading]]*Validation[[#This Row],[Mult]]+Validation[[#This Row],[Base]]) &amp;" "&amp;Validation[[#This Row],[Uncert_Units]]</f>
        <v>58 nF</v>
      </c>
      <c r="U9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V900" t="b">
        <f ca="1">Validation[[#This Row],[Desired Result]]=Validation[[#This Row],[Result]]</f>
        <v>1</v>
      </c>
      <c r="W900" t="b">
        <v>0</v>
      </c>
      <c r="X900" t="b">
        <f>Validation[[#This Row],[Range1_Low]]&gt;=Validation[[#This Row],[Range1_High]]</f>
        <v>0</v>
      </c>
      <c r="Y900" s="111" t="s">
        <v>2845</v>
      </c>
    </row>
    <row r="901" spans="1:25" ht="16.5" thickTop="1" thickBot="1" x14ac:dyDescent="0.3">
      <c r="A901" t="s">
        <v>54</v>
      </c>
      <c r="B901" t="s">
        <v>14</v>
      </c>
      <c r="C901" s="113">
        <v>3.3E-3</v>
      </c>
      <c r="D901" s="113">
        <v>1.1001E-2</v>
      </c>
      <c r="E901">
        <v>9.9999999999999995E-7</v>
      </c>
      <c r="F901" t="s">
        <v>140</v>
      </c>
      <c r="G901" t="s">
        <v>16</v>
      </c>
      <c r="H901">
        <v>0</v>
      </c>
      <c r="I901">
        <v>0</v>
      </c>
      <c r="J901" t="s">
        <v>2833</v>
      </c>
      <c r="K901">
        <v>13</v>
      </c>
      <c r="L901">
        <v>5200</v>
      </c>
      <c r="M901">
        <v>12.076000000000001</v>
      </c>
      <c r="N901">
        <v>5198.3</v>
      </c>
      <c r="O901" t="s">
        <v>2833</v>
      </c>
      <c r="P901" t="s">
        <v>2833</v>
      </c>
      <c r="Q901" t="s">
        <v>2833</v>
      </c>
      <c r="R901">
        <f ca="1">RAND()*(Validation[[#This Row],[Range1_High]]-Validation[[#This Row],[Range1_Low]])+Validation[[#This Row],[Range1_Low]]</f>
        <v>3.3084429670683108E-3</v>
      </c>
      <c r="S901">
        <f>Validation[[#This Row],[Range2_High]]</f>
        <v>0</v>
      </c>
      <c r="T901" t="str" cm="1">
        <f t="array" aca="1" ref="T901" ca="1">RoundToTwoSigFigs(Validation[[#This Row],[Test Reading]]*Validation[[#This Row],[Mult]]+Validation[[#This Row],[Base]]) &amp;" "&amp;Validation[[#This Row],[Uncert_Units]]</f>
        <v>30 µF</v>
      </c>
      <c r="U9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µF</v>
      </c>
      <c r="V901" t="b">
        <f ca="1">Validation[[#This Row],[Desired Result]]=Validation[[#This Row],[Result]]</f>
        <v>1</v>
      </c>
      <c r="W901" t="b">
        <v>1</v>
      </c>
      <c r="X901" t="b">
        <f>Validation[[#This Row],[Range1_Low]]&gt;=Validation[[#This Row],[Range1_High]]</f>
        <v>0</v>
      </c>
      <c r="Y901" s="111" t="s">
        <v>2843</v>
      </c>
    </row>
    <row r="902" spans="1:25" ht="16.5" thickTop="1" thickBot="1" x14ac:dyDescent="0.3">
      <c r="A902" t="s">
        <v>68</v>
      </c>
      <c r="B902" t="s">
        <v>14</v>
      </c>
      <c r="C902">
        <v>1.0000000000000001E-9</v>
      </c>
      <c r="D902">
        <v>1E-8</v>
      </c>
      <c r="E902">
        <v>9.9999999999999998E-13</v>
      </c>
      <c r="F902" t="s">
        <v>140</v>
      </c>
      <c r="G902" t="s">
        <v>15</v>
      </c>
      <c r="H902">
        <v>0</v>
      </c>
      <c r="I902">
        <v>0</v>
      </c>
      <c r="J902" t="s">
        <v>2833</v>
      </c>
      <c r="K902">
        <v>3.5999999999999997E-2</v>
      </c>
      <c r="L902">
        <v>6600000</v>
      </c>
      <c r="M902">
        <v>3.5476000000000001E-2</v>
      </c>
      <c r="N902">
        <v>6559300</v>
      </c>
      <c r="O902" t="s">
        <v>2833</v>
      </c>
      <c r="P902" t="s">
        <v>2833</v>
      </c>
      <c r="Q902" t="s">
        <v>2833</v>
      </c>
      <c r="R902">
        <f ca="1">RAND()*(Validation[[#This Row],[Range1_High]]-Validation[[#This Row],[Range1_Low]])+Validation[[#This Row],[Range1_Low]]</f>
        <v>1.6006388030963318E-9</v>
      </c>
      <c r="S902">
        <f>Validation[[#This Row],[Range2_High]]</f>
        <v>0</v>
      </c>
      <c r="T902" t="str" cm="1">
        <f t="array" aca="1" ref="T902" ca="1">RoundToTwoSigFigs(Validation[[#This Row],[Test Reading]]*Validation[[#This Row],[Mult]]+Validation[[#This Row],[Base]]) &amp;" "&amp;Validation[[#This Row],[Uncert_Units]]</f>
        <v>0.047 nF</v>
      </c>
      <c r="U9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nF</v>
      </c>
      <c r="V902" t="b">
        <f ca="1">Validation[[#This Row],[Desired Result]]=Validation[[#This Row],[Result]]</f>
        <v>1</v>
      </c>
      <c r="W902" t="b">
        <v>0</v>
      </c>
      <c r="X902" t="b">
        <f>Validation[[#This Row],[Range1_Low]]&gt;=Validation[[#This Row],[Range1_High]]</f>
        <v>0</v>
      </c>
      <c r="Y902" s="111" t="s">
        <v>2845</v>
      </c>
    </row>
    <row r="903" spans="1:25" ht="16.5" thickTop="1" thickBot="1" x14ac:dyDescent="0.3">
      <c r="A903" t="s">
        <v>54</v>
      </c>
      <c r="B903" t="s">
        <v>14</v>
      </c>
      <c r="C903" s="113">
        <v>1.0999999999999999E-2</v>
      </c>
      <c r="D903" s="113">
        <v>3.3001000000000003E-2</v>
      </c>
      <c r="E903">
        <v>1E-4</v>
      </c>
      <c r="F903" t="s">
        <v>140</v>
      </c>
      <c r="G903" t="s">
        <v>16</v>
      </c>
      <c r="H903">
        <v>0</v>
      </c>
      <c r="I903">
        <v>0</v>
      </c>
      <c r="J903" t="s">
        <v>2833</v>
      </c>
      <c r="K903">
        <v>50.508000000000003</v>
      </c>
      <c r="L903">
        <v>8339.7000000000007</v>
      </c>
      <c r="M903">
        <v>50.436999999999998</v>
      </c>
      <c r="N903">
        <v>8339.6</v>
      </c>
      <c r="O903" t="s">
        <v>2833</v>
      </c>
      <c r="P903" t="s">
        <v>2833</v>
      </c>
      <c r="Q903" t="s">
        <v>2833</v>
      </c>
      <c r="R903">
        <f ca="1">RAND()*(Validation[[#This Row],[Range1_High]]-Validation[[#This Row],[Range1_Low]])+Validation[[#This Row],[Range1_Low]]</f>
        <v>2.8606337363612986E-2</v>
      </c>
      <c r="S903">
        <f>Validation[[#This Row],[Range2_High]]</f>
        <v>0</v>
      </c>
      <c r="T903" t="str" cm="1">
        <f t="array" aca="1" ref="T903" ca="1">RoundToTwoSigFigs(Validation[[#This Row],[Test Reading]]*Validation[[#This Row],[Mult]]+Validation[[#This Row],[Base]]) &amp;" "&amp;Validation[[#This Row],[Uncert_Units]]</f>
        <v>290 µF</v>
      </c>
      <c r="U9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µF</v>
      </c>
      <c r="V903" t="b">
        <f ca="1">Validation[[#This Row],[Desired Result]]=Validation[[#This Row],[Result]]</f>
        <v>1</v>
      </c>
      <c r="W903" t="b">
        <v>1</v>
      </c>
      <c r="X903" t="b">
        <f>Validation[[#This Row],[Range1_Low]]&gt;=Validation[[#This Row],[Range1_High]]</f>
        <v>0</v>
      </c>
      <c r="Y903" s="111" t="s">
        <v>2843</v>
      </c>
    </row>
    <row r="904" spans="1:25" ht="15.75" thickTop="1" x14ac:dyDescent="0.25">
      <c r="A904" t="s">
        <v>54</v>
      </c>
      <c r="B904" t="s">
        <v>14</v>
      </c>
      <c r="C904">
        <v>1.1000000000000001E-7</v>
      </c>
      <c r="D904">
        <v>3.3000000000000002E-7</v>
      </c>
      <c r="E904">
        <v>1E-8</v>
      </c>
      <c r="F904" t="s">
        <v>140</v>
      </c>
      <c r="G904" t="s">
        <v>15</v>
      </c>
      <c r="H904">
        <v>0</v>
      </c>
      <c r="I904">
        <v>0</v>
      </c>
      <c r="J904" t="s">
        <v>2833</v>
      </c>
      <c r="K904">
        <v>5.7584999999999997</v>
      </c>
      <c r="L904">
        <v>484500</v>
      </c>
      <c r="M904">
        <v>5.7584999999999997</v>
      </c>
      <c r="N904">
        <v>483140</v>
      </c>
      <c r="O904" t="s">
        <v>2833</v>
      </c>
      <c r="P904" t="s">
        <v>2833</v>
      </c>
      <c r="Q904" t="s">
        <v>2833</v>
      </c>
      <c r="R904">
        <f ca="1">RAND()*(Validation[[#This Row],[Range1_High]]-Validation[[#This Row],[Range1_Low]])+Validation[[#This Row],[Range1_Low]]</f>
        <v>1.3518615628023716E-7</v>
      </c>
      <c r="S904">
        <f>Validation[[#This Row],[Range2_High]]</f>
        <v>0</v>
      </c>
      <c r="T904" t="str" cm="1">
        <f t="array" aca="1" ref="T904" ca="1">RoundToTwoSigFigs(Validation[[#This Row],[Test Reading]]*Validation[[#This Row],[Mult]]+Validation[[#This Row],[Base]]) &amp;" "&amp;Validation[[#This Row],[Uncert_Units]]</f>
        <v>5.8 nF</v>
      </c>
      <c r="U9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V904" t="b">
        <f ca="1">Validation[[#This Row],[Desired Result]]=Validation[[#This Row],[Result]]</f>
        <v>1</v>
      </c>
      <c r="W904" t="b">
        <v>0</v>
      </c>
      <c r="X904" t="b">
        <f>Validation[[#This Row],[Range1_Low]]&gt;=Validation[[#This Row],[Range1_High]]</f>
        <v>0</v>
      </c>
      <c r="Y904" s="111" t="s">
        <v>2845</v>
      </c>
    </row>
    <row r="905" spans="1:25" ht="15.75" thickBot="1" x14ac:dyDescent="0.3">
      <c r="A905" t="s">
        <v>68</v>
      </c>
      <c r="B905" t="s">
        <v>14</v>
      </c>
      <c r="C905">
        <v>1.0000000000000001E-9</v>
      </c>
      <c r="D905">
        <v>1E-8</v>
      </c>
      <c r="E905">
        <v>1E-8</v>
      </c>
      <c r="F905" t="s">
        <v>140</v>
      </c>
      <c r="G905" t="s">
        <v>15</v>
      </c>
      <c r="H905">
        <v>0</v>
      </c>
      <c r="I905">
        <v>0</v>
      </c>
      <c r="J905" t="s">
        <v>2833</v>
      </c>
      <c r="K905">
        <v>5.7903000000000002</v>
      </c>
      <c r="L905">
        <v>3024400</v>
      </c>
      <c r="M905">
        <v>5.7903000000000002</v>
      </c>
      <c r="N905">
        <v>3020500</v>
      </c>
      <c r="O905" t="s">
        <v>2833</v>
      </c>
      <c r="P905" t="s">
        <v>2833</v>
      </c>
      <c r="Q905" t="s">
        <v>2833</v>
      </c>
      <c r="R905">
        <f ca="1">RAND()*(Validation[[#This Row],[Range1_High]]-Validation[[#This Row],[Range1_Low]])+Validation[[#This Row],[Range1_Low]]</f>
        <v>8.153592500884341E-9</v>
      </c>
      <c r="S905">
        <f>Validation[[#This Row],[Range2_High]]</f>
        <v>0</v>
      </c>
      <c r="T905" t="str" cm="1">
        <f t="array" aca="1" ref="T905" ca="1">RoundToTwoSigFigs(Validation[[#This Row],[Test Reading]]*Validation[[#This Row],[Mult]]+Validation[[#This Row],[Base]]) &amp;" "&amp;Validation[[#This Row],[Uncert_Units]]</f>
        <v>5.8 nF</v>
      </c>
      <c r="U9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V905" t="b">
        <f ca="1">Validation[[#This Row],[Desired Result]]=Validation[[#This Row],[Result]]</f>
        <v>1</v>
      </c>
      <c r="W905" t="b">
        <v>0</v>
      </c>
      <c r="X905" t="b">
        <f>Validation[[#This Row],[Range1_Low]]&gt;=Validation[[#This Row],[Range1_High]]</f>
        <v>0</v>
      </c>
      <c r="Y905" s="111" t="s">
        <v>2845</v>
      </c>
    </row>
    <row r="906" spans="1:25" ht="16.5" thickTop="1" thickBot="1" x14ac:dyDescent="0.3">
      <c r="A906" t="s">
        <v>54</v>
      </c>
      <c r="B906" t="s">
        <v>14</v>
      </c>
      <c r="C906" s="113">
        <v>1.1E-5</v>
      </c>
      <c r="D906" s="113">
        <v>3.3000999999999998E-5</v>
      </c>
      <c r="E906">
        <v>1.0000000000000001E-9</v>
      </c>
      <c r="F906" t="s">
        <v>140</v>
      </c>
      <c r="G906" t="s">
        <v>15</v>
      </c>
      <c r="H906">
        <v>0</v>
      </c>
      <c r="I906">
        <v>0</v>
      </c>
      <c r="J906" t="s">
        <v>2833</v>
      </c>
      <c r="K906">
        <v>36</v>
      </c>
      <c r="L906">
        <v>4600000</v>
      </c>
      <c r="M906">
        <v>34.648000000000003</v>
      </c>
      <c r="N906">
        <v>4618700</v>
      </c>
      <c r="O906" t="s">
        <v>2833</v>
      </c>
      <c r="P906" t="s">
        <v>2833</v>
      </c>
      <c r="Q906" t="s">
        <v>2833</v>
      </c>
      <c r="R906">
        <f ca="1">RAND()*(Validation[[#This Row],[Range1_High]]-Validation[[#This Row],[Range1_Low]])+Validation[[#This Row],[Range1_Low]]</f>
        <v>2.7610106145205914E-5</v>
      </c>
      <c r="S906">
        <f>Validation[[#This Row],[Range2_High]]</f>
        <v>0</v>
      </c>
      <c r="T906" t="str" cm="1">
        <f t="array" aca="1" ref="T906" ca="1">RoundToTwoSigFigs(Validation[[#This Row],[Test Reading]]*Validation[[#This Row],[Mult]]+Validation[[#This Row],[Base]]) &amp;" "&amp;Validation[[#This Row],[Uncert_Units]]</f>
        <v>160 nF</v>
      </c>
      <c r="U9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V906" t="b">
        <f ca="1">Validation[[#This Row],[Desired Result]]=Validation[[#This Row],[Result]]</f>
        <v>1</v>
      </c>
      <c r="W906" t="b">
        <v>1</v>
      </c>
      <c r="X906" t="b">
        <f>Validation[[#This Row],[Range1_Low]]&gt;=Validation[[#This Row],[Range1_High]]</f>
        <v>0</v>
      </c>
      <c r="Y906" s="111" t="s">
        <v>2843</v>
      </c>
    </row>
    <row r="907" spans="1:25" ht="16.5" thickTop="1" thickBot="1" x14ac:dyDescent="0.3">
      <c r="A907" t="s">
        <v>54</v>
      </c>
      <c r="B907" t="s">
        <v>14</v>
      </c>
      <c r="C907" s="113">
        <v>3.3000000000000002E-7</v>
      </c>
      <c r="D907" s="113">
        <v>1.1000000000000001E-6</v>
      </c>
      <c r="E907">
        <v>1E-10</v>
      </c>
      <c r="F907" t="s">
        <v>140</v>
      </c>
      <c r="G907" t="s">
        <v>15</v>
      </c>
      <c r="H907">
        <v>0</v>
      </c>
      <c r="I907">
        <v>0</v>
      </c>
      <c r="J907" t="s">
        <v>2833</v>
      </c>
      <c r="K907">
        <v>1.2</v>
      </c>
      <c r="L907">
        <v>2900000</v>
      </c>
      <c r="M907">
        <v>1.1566000000000001</v>
      </c>
      <c r="N907">
        <v>2886200</v>
      </c>
      <c r="O907" t="s">
        <v>2833</v>
      </c>
      <c r="P907" t="s">
        <v>2833</v>
      </c>
      <c r="Q907" t="s">
        <v>2833</v>
      </c>
      <c r="R907">
        <f ca="1">RAND()*(Validation[[#This Row],[Range1_High]]-Validation[[#This Row],[Range1_Low]])+Validation[[#This Row],[Range1_Low]]</f>
        <v>4.3780745270947966E-7</v>
      </c>
      <c r="S907">
        <f>Validation[[#This Row],[Range2_High]]</f>
        <v>0</v>
      </c>
      <c r="T907" t="str" cm="1">
        <f t="array" aca="1" ref="T907" ca="1">RoundToTwoSigFigs(Validation[[#This Row],[Test Reading]]*Validation[[#This Row],[Mult]]+Validation[[#This Row],[Base]]) &amp;" "&amp;Validation[[#This Row],[Uncert_Units]]</f>
        <v>2.5 nF</v>
      </c>
      <c r="U9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nF</v>
      </c>
      <c r="V907" t="b">
        <f ca="1">Validation[[#This Row],[Desired Result]]=Validation[[#This Row],[Result]]</f>
        <v>1</v>
      </c>
      <c r="W907" t="b">
        <v>1</v>
      </c>
      <c r="X907" t="b">
        <f>Validation[[#This Row],[Range1_Low]]&gt;=Validation[[#This Row],[Range1_High]]</f>
        <v>0</v>
      </c>
      <c r="Y907" s="111" t="s">
        <v>2843</v>
      </c>
    </row>
    <row r="908" spans="1:25" ht="16.5" thickTop="1" thickBot="1" x14ac:dyDescent="0.3">
      <c r="A908" t="s">
        <v>54</v>
      </c>
      <c r="B908" t="s">
        <v>14</v>
      </c>
      <c r="C908" s="113">
        <v>1.1000000000000001E-6</v>
      </c>
      <c r="D908" s="113">
        <v>3.3001E-6</v>
      </c>
      <c r="E908">
        <v>1E-8</v>
      </c>
      <c r="F908" t="s">
        <v>140</v>
      </c>
      <c r="G908" t="s">
        <v>15</v>
      </c>
      <c r="H908">
        <v>0</v>
      </c>
      <c r="I908">
        <v>0</v>
      </c>
      <c r="J908" t="s">
        <v>2833</v>
      </c>
      <c r="K908">
        <v>6.0937000000000001</v>
      </c>
      <c r="L908">
        <v>2463200</v>
      </c>
      <c r="M908">
        <v>6.0906000000000002</v>
      </c>
      <c r="N908">
        <v>2462300</v>
      </c>
      <c r="O908" t="s">
        <v>2833</v>
      </c>
      <c r="P908" t="s">
        <v>2833</v>
      </c>
      <c r="Q908" t="s">
        <v>2833</v>
      </c>
      <c r="R908">
        <f ca="1">RAND()*(Validation[[#This Row],[Range1_High]]-Validation[[#This Row],[Range1_Low]])+Validation[[#This Row],[Range1_Low]]</f>
        <v>2.7903425215412907E-6</v>
      </c>
      <c r="S908">
        <f>Validation[[#This Row],[Range2_High]]</f>
        <v>0</v>
      </c>
      <c r="T908" t="str" cm="1">
        <f t="array" aca="1" ref="T908" ca="1">RoundToTwoSigFigs(Validation[[#This Row],[Test Reading]]*Validation[[#This Row],[Mult]]+Validation[[#This Row],[Base]]) &amp;" "&amp;Validation[[#This Row],[Uncert_Units]]</f>
        <v>13 nF</v>
      </c>
      <c r="U9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nF</v>
      </c>
      <c r="V908" t="b">
        <f ca="1">Validation[[#This Row],[Desired Result]]=Validation[[#This Row],[Result]]</f>
        <v>1</v>
      </c>
      <c r="W908" t="b">
        <v>1</v>
      </c>
      <c r="X908" t="b">
        <f>Validation[[#This Row],[Range1_Low]]&gt;=Validation[[#This Row],[Range1_High]]</f>
        <v>0</v>
      </c>
      <c r="Y908" s="111" t="s">
        <v>2843</v>
      </c>
    </row>
    <row r="909" spans="1:25" ht="16.5" thickTop="1" thickBot="1" x14ac:dyDescent="0.3">
      <c r="A909" t="s">
        <v>54</v>
      </c>
      <c r="B909" t="s">
        <v>14</v>
      </c>
      <c r="C909">
        <v>3.3000000000000003E-5</v>
      </c>
      <c r="D909">
        <v>1.1001E-4</v>
      </c>
      <c r="E909">
        <v>1.0000000000000001E-5</v>
      </c>
      <c r="F909" t="s">
        <v>140</v>
      </c>
      <c r="G909" t="s">
        <v>15</v>
      </c>
      <c r="H909">
        <v>0</v>
      </c>
      <c r="I909">
        <v>0</v>
      </c>
      <c r="J909" t="s">
        <v>2833</v>
      </c>
      <c r="K909">
        <v>5766.3</v>
      </c>
      <c r="L909">
        <v>438500</v>
      </c>
      <c r="M909">
        <v>5766.3</v>
      </c>
      <c r="N909">
        <v>436530</v>
      </c>
      <c r="O909" t="s">
        <v>2833</v>
      </c>
      <c r="P909" t="s">
        <v>2833</v>
      </c>
      <c r="Q909" t="s">
        <v>2833</v>
      </c>
      <c r="R909">
        <f ca="1">RAND()*(Validation[[#This Row],[Range1_High]]-Validation[[#This Row],[Range1_Low]])+Validation[[#This Row],[Range1_Low]]</f>
        <v>9.8169684122630292E-5</v>
      </c>
      <c r="S909">
        <f>Validation[[#This Row],[Range2_High]]</f>
        <v>0</v>
      </c>
      <c r="T909" t="str" cm="1">
        <f t="array" aca="1" ref="T909" ca="1">RoundToTwoSigFigs(Validation[[#This Row],[Test Reading]]*Validation[[#This Row],[Mult]]+Validation[[#This Row],[Base]]) &amp;" "&amp;Validation[[#This Row],[Uncert_Units]]</f>
        <v>5800 nF</v>
      </c>
      <c r="U9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V909" t="b">
        <f ca="1">Validation[[#This Row],[Desired Result]]=Validation[[#This Row],[Result]]</f>
        <v>1</v>
      </c>
      <c r="W909" t="b">
        <v>0</v>
      </c>
      <c r="X909" t="b">
        <f>Validation[[#This Row],[Range1_Low]]&gt;=Validation[[#This Row],[Range1_High]]</f>
        <v>0</v>
      </c>
      <c r="Y909" s="111" t="s">
        <v>2845</v>
      </c>
    </row>
    <row r="910" spans="1:25" ht="16.5" thickTop="1" thickBot="1" x14ac:dyDescent="0.3">
      <c r="A910" t="s">
        <v>54</v>
      </c>
      <c r="B910" t="s">
        <v>14</v>
      </c>
      <c r="C910" s="113">
        <v>3.3000000000000002E-7</v>
      </c>
      <c r="D910" s="113">
        <v>1.1000000000000001E-6</v>
      </c>
      <c r="E910">
        <v>1E-8</v>
      </c>
      <c r="F910" t="s">
        <v>140</v>
      </c>
      <c r="G910" t="s">
        <v>15</v>
      </c>
      <c r="H910">
        <v>0</v>
      </c>
      <c r="I910">
        <v>0</v>
      </c>
      <c r="J910" t="s">
        <v>2833</v>
      </c>
      <c r="K910">
        <v>5.6890999999999998</v>
      </c>
      <c r="L910">
        <v>1394000</v>
      </c>
      <c r="M910">
        <v>5.6874000000000002</v>
      </c>
      <c r="N910">
        <v>1390900</v>
      </c>
      <c r="O910" t="s">
        <v>2833</v>
      </c>
      <c r="P910" t="s">
        <v>2833</v>
      </c>
      <c r="Q910" t="s">
        <v>2833</v>
      </c>
      <c r="R910">
        <f ca="1">RAND()*(Validation[[#This Row],[Range1_High]]-Validation[[#This Row],[Range1_Low]])+Validation[[#This Row],[Range1_Low]]</f>
        <v>1.0749139580338645E-6</v>
      </c>
      <c r="S910">
        <f>Validation[[#This Row],[Range2_High]]</f>
        <v>0</v>
      </c>
      <c r="T910" t="str" cm="1">
        <f t="array" aca="1" ref="T910" ca="1">RoundToTwoSigFigs(Validation[[#This Row],[Test Reading]]*Validation[[#This Row],[Mult]]+Validation[[#This Row],[Base]]) &amp;" "&amp;Validation[[#This Row],[Uncert_Units]]</f>
        <v>7.2 nF</v>
      </c>
      <c r="U9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nF</v>
      </c>
      <c r="V910" t="b">
        <f ca="1">Validation[[#This Row],[Desired Result]]=Validation[[#This Row],[Result]]</f>
        <v>1</v>
      </c>
      <c r="W910" t="b">
        <v>1</v>
      </c>
      <c r="X910" t="b">
        <f>Validation[[#This Row],[Range1_Low]]&gt;=Validation[[#This Row],[Range1_High]]</f>
        <v>0</v>
      </c>
      <c r="Y910" s="111" t="s">
        <v>2843</v>
      </c>
    </row>
    <row r="911" spans="1:25" ht="16.5" thickTop="1" thickBot="1" x14ac:dyDescent="0.3">
      <c r="A911" t="s">
        <v>54</v>
      </c>
      <c r="B911" t="s">
        <v>91</v>
      </c>
      <c r="C911" s="113">
        <v>650</v>
      </c>
      <c r="D911" s="113">
        <v>1000</v>
      </c>
      <c r="E911">
        <v>1</v>
      </c>
      <c r="F911" t="s">
        <v>23</v>
      </c>
      <c r="G911" t="s">
        <v>23</v>
      </c>
      <c r="H911">
        <v>0</v>
      </c>
      <c r="I911">
        <v>0</v>
      </c>
      <c r="J911" t="s">
        <v>2833</v>
      </c>
      <c r="K911">
        <v>0.62773495000000001</v>
      </c>
      <c r="L911">
        <v>0</v>
      </c>
      <c r="M911">
        <v>0.62705268000000003</v>
      </c>
      <c r="N911">
        <v>0</v>
      </c>
      <c r="O911" t="s">
        <v>2833</v>
      </c>
      <c r="P911" t="s">
        <v>2833</v>
      </c>
      <c r="Q911" t="s">
        <v>160</v>
      </c>
      <c r="R911">
        <f ca="1">RAND()*(Validation[[#This Row],[Range1_High]]-Validation[[#This Row],[Range1_Low]])+Validation[[#This Row],[Range1_Low]]</f>
        <v>881.50898704331496</v>
      </c>
      <c r="S911">
        <f>Validation[[#This Row],[Range2_High]]</f>
        <v>0</v>
      </c>
      <c r="T911" t="str" cm="1">
        <f t="array" aca="1" ref="T911" ca="1">RoundToTwoSigFigs(Validation[[#This Row],[Test Reading]]*Validation[[#This Row],[Mult]]+Validation[[#This Row],[Base]]) &amp;" "&amp;Validation[[#This Row],[Uncert_Units]]</f>
        <v>0.63 °C</v>
      </c>
      <c r="U9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V911" t="b">
        <f ca="1">Validation[[#This Row],[Desired Result]]=Validation[[#This Row],[Result]]</f>
        <v>1</v>
      </c>
      <c r="W911" t="b">
        <v>1</v>
      </c>
      <c r="X911" t="b">
        <f>Validation[[#This Row],[Range1_Low]]&gt;=Validation[[#This Row],[Range1_High]]</f>
        <v>0</v>
      </c>
      <c r="Y911" s="111" t="s">
        <v>2843</v>
      </c>
    </row>
    <row r="912" spans="1:25" ht="15.75" thickTop="1" x14ac:dyDescent="0.25">
      <c r="A912" t="s">
        <v>55</v>
      </c>
      <c r="B912" t="s">
        <v>91</v>
      </c>
      <c r="C912">
        <v>-270</v>
      </c>
      <c r="D912">
        <v>149</v>
      </c>
      <c r="E912">
        <v>0.1</v>
      </c>
      <c r="F912" t="s">
        <v>23</v>
      </c>
      <c r="G912" t="s">
        <v>23</v>
      </c>
      <c r="H912">
        <v>0</v>
      </c>
      <c r="I912">
        <v>0</v>
      </c>
      <c r="J912" t="s">
        <v>2833</v>
      </c>
      <c r="K912">
        <v>8.0416114999999996E-2</v>
      </c>
      <c r="L912">
        <v>0</v>
      </c>
      <c r="M912">
        <v>6.7383358000000004E-2</v>
      </c>
      <c r="N912">
        <v>0</v>
      </c>
      <c r="O912" t="s">
        <v>2833</v>
      </c>
      <c r="P912" t="s">
        <v>2833</v>
      </c>
      <c r="Q912" t="s">
        <v>160</v>
      </c>
      <c r="R912">
        <f ca="1">RAND()*(Validation[[#This Row],[Range1_High]]-Validation[[#This Row],[Range1_Low]])+Validation[[#This Row],[Range1_Low]]</f>
        <v>133.09096658240554</v>
      </c>
      <c r="S912">
        <f>Validation[[#This Row],[Range2_High]]</f>
        <v>0</v>
      </c>
      <c r="T912" t="str" cm="1">
        <f t="array" aca="1" ref="T912" ca="1">RoundToTwoSigFigs(Validation[[#This Row],[Test Reading]]*Validation[[#This Row],[Mult]]+Validation[[#This Row],[Base]]) &amp;" "&amp;Validation[[#This Row],[Uncert_Units]]</f>
        <v>0.08 °C</v>
      </c>
      <c r="U9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V912" t="b">
        <f ca="1">Validation[[#This Row],[Desired Result]]=Validation[[#This Row],[Result]]</f>
        <v>1</v>
      </c>
      <c r="W912" t="b">
        <v>0</v>
      </c>
      <c r="X912" t="b">
        <f>Validation[[#This Row],[Range1_Low]]&gt;=Validation[[#This Row],[Range1_High]]</f>
        <v>0</v>
      </c>
      <c r="Y912" s="111" t="s">
        <v>2845</v>
      </c>
    </row>
    <row r="913" spans="1:25" ht="15.75" thickBot="1" x14ac:dyDescent="0.3">
      <c r="A913" t="s">
        <v>55</v>
      </c>
      <c r="B913" t="s">
        <v>91</v>
      </c>
      <c r="C913">
        <v>593.00099999999998</v>
      </c>
      <c r="D913">
        <v>1000</v>
      </c>
      <c r="E913">
        <v>0.1</v>
      </c>
      <c r="F913" t="s">
        <v>23</v>
      </c>
      <c r="G913" t="s">
        <v>23</v>
      </c>
      <c r="H913">
        <v>0</v>
      </c>
      <c r="I913">
        <v>0</v>
      </c>
      <c r="J913" t="s">
        <v>2833</v>
      </c>
      <c r="K913">
        <v>7.1535916000000005E-2</v>
      </c>
      <c r="L913">
        <v>0</v>
      </c>
      <c r="M913">
        <v>7.0024005E-2</v>
      </c>
      <c r="N913">
        <v>0</v>
      </c>
      <c r="O913" t="s">
        <v>2833</v>
      </c>
      <c r="P913" t="s">
        <v>2833</v>
      </c>
      <c r="Q913" t="s">
        <v>160</v>
      </c>
      <c r="R913">
        <f ca="1">RAND()*(Validation[[#This Row],[Range1_High]]-Validation[[#This Row],[Range1_Low]])+Validation[[#This Row],[Range1_Low]]</f>
        <v>766.48091701437033</v>
      </c>
      <c r="S913">
        <f>Validation[[#This Row],[Range2_High]]</f>
        <v>0</v>
      </c>
      <c r="T913" t="str" cm="1">
        <f t="array" aca="1" ref="T913" ca="1">RoundToTwoSigFigs(Validation[[#This Row],[Test Reading]]*Validation[[#This Row],[Mult]]+Validation[[#This Row],[Base]]) &amp;" "&amp;Validation[[#This Row],[Uncert_Units]]</f>
        <v>0.072 °C</v>
      </c>
      <c r="U9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V913" t="b">
        <f ca="1">Validation[[#This Row],[Desired Result]]=Validation[[#This Row],[Result]]</f>
        <v>1</v>
      </c>
      <c r="W913" t="b">
        <v>0</v>
      </c>
      <c r="X913" t="b">
        <f>Validation[[#This Row],[Range1_Low]]&gt;=Validation[[#This Row],[Range1_High]]</f>
        <v>0</v>
      </c>
      <c r="Y913" s="111" t="s">
        <v>2845</v>
      </c>
    </row>
    <row r="914" spans="1:25" ht="16.5" thickTop="1" thickBot="1" x14ac:dyDescent="0.3">
      <c r="A914" t="s">
        <v>54</v>
      </c>
      <c r="B914" t="s">
        <v>91</v>
      </c>
      <c r="C914" s="113">
        <v>350</v>
      </c>
      <c r="D914" s="113">
        <v>650.1</v>
      </c>
      <c r="E914">
        <v>1</v>
      </c>
      <c r="F914" t="s">
        <v>23</v>
      </c>
      <c r="G914" t="s">
        <v>23</v>
      </c>
      <c r="H914">
        <v>0</v>
      </c>
      <c r="I914">
        <v>0</v>
      </c>
      <c r="J914" t="s">
        <v>2833</v>
      </c>
      <c r="K914">
        <v>0.60776950100000005</v>
      </c>
      <c r="L914">
        <v>0</v>
      </c>
      <c r="M914">
        <v>0.60706479199999996</v>
      </c>
      <c r="N914">
        <v>0</v>
      </c>
      <c r="O914" t="s">
        <v>2833</v>
      </c>
      <c r="P914" t="s">
        <v>2833</v>
      </c>
      <c r="Q914" t="s">
        <v>160</v>
      </c>
      <c r="R914">
        <f ca="1">RAND()*(Validation[[#This Row],[Range1_High]]-Validation[[#This Row],[Range1_Low]])+Validation[[#This Row],[Range1_Low]]</f>
        <v>439.14394933698156</v>
      </c>
      <c r="S914">
        <f>Validation[[#This Row],[Range2_High]]</f>
        <v>0</v>
      </c>
      <c r="T914" t="str" cm="1">
        <f t="array" aca="1" ref="T914" ca="1">RoundToTwoSigFigs(Validation[[#This Row],[Test Reading]]*Validation[[#This Row],[Mult]]+Validation[[#This Row],[Base]]) &amp;" "&amp;Validation[[#This Row],[Uncert_Units]]</f>
        <v>0.61 °C</v>
      </c>
      <c r="U9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914" t="b">
        <f ca="1">Validation[[#This Row],[Desired Result]]=Validation[[#This Row],[Result]]</f>
        <v>1</v>
      </c>
      <c r="W914" t="b">
        <v>1</v>
      </c>
      <c r="X914" t="b">
        <f>Validation[[#This Row],[Range1_Low]]&gt;=Validation[[#This Row],[Range1_High]]</f>
        <v>0</v>
      </c>
      <c r="Y914" s="111" t="s">
        <v>2843</v>
      </c>
    </row>
    <row r="915" spans="1:25" ht="15.75" thickTop="1" x14ac:dyDescent="0.25">
      <c r="A915" t="s">
        <v>55</v>
      </c>
      <c r="B915" t="s">
        <v>91</v>
      </c>
      <c r="C915">
        <v>-270</v>
      </c>
      <c r="D915">
        <v>149</v>
      </c>
      <c r="E915">
        <v>1</v>
      </c>
      <c r="F915" t="s">
        <v>23</v>
      </c>
      <c r="G915" t="s">
        <v>23</v>
      </c>
      <c r="H915">
        <v>0</v>
      </c>
      <c r="I915">
        <v>0</v>
      </c>
      <c r="J915" t="s">
        <v>2833</v>
      </c>
      <c r="K915">
        <v>0.585017483</v>
      </c>
      <c r="L915">
        <v>0</v>
      </c>
      <c r="M915">
        <v>0.578394776</v>
      </c>
      <c r="N915">
        <v>0</v>
      </c>
      <c r="O915" t="s">
        <v>2833</v>
      </c>
      <c r="P915" t="s">
        <v>2833</v>
      </c>
      <c r="Q915" t="s">
        <v>160</v>
      </c>
      <c r="R915">
        <f ca="1">RAND()*(Validation[[#This Row],[Range1_High]]-Validation[[#This Row],[Range1_Low]])+Validation[[#This Row],[Range1_Low]]</f>
        <v>-268.36249123256243</v>
      </c>
      <c r="S915">
        <f>Validation[[#This Row],[Range2_High]]</f>
        <v>0</v>
      </c>
      <c r="T915" t="str" cm="1">
        <f t="array" aca="1" ref="T915" ca="1">RoundToTwoSigFigs(Validation[[#This Row],[Test Reading]]*Validation[[#This Row],[Mult]]+Validation[[#This Row],[Base]]) &amp;" "&amp;Validation[[#This Row],[Uncert_Units]]</f>
        <v>0.59 °C</v>
      </c>
      <c r="U9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915" t="b">
        <f ca="1">Validation[[#This Row],[Desired Result]]=Validation[[#This Row],[Result]]</f>
        <v>1</v>
      </c>
      <c r="W915" t="b">
        <v>0</v>
      </c>
      <c r="X915" t="b">
        <f>Validation[[#This Row],[Range1_Low]]&gt;=Validation[[#This Row],[Range1_High]]</f>
        <v>0</v>
      </c>
      <c r="Y915" s="111" t="s">
        <v>2845</v>
      </c>
    </row>
    <row r="916" spans="1:25" x14ac:dyDescent="0.25">
      <c r="A916" t="s">
        <v>55</v>
      </c>
      <c r="B916" t="s">
        <v>91</v>
      </c>
      <c r="C916">
        <v>149.001</v>
      </c>
      <c r="D916">
        <v>593</v>
      </c>
      <c r="E916">
        <v>0.1</v>
      </c>
      <c r="F916" t="s">
        <v>23</v>
      </c>
      <c r="G916" t="s">
        <v>23</v>
      </c>
      <c r="H916">
        <v>0</v>
      </c>
      <c r="I916">
        <v>0</v>
      </c>
      <c r="J916" t="s">
        <v>2833</v>
      </c>
      <c r="K916">
        <v>6.9131376999999994E-2</v>
      </c>
      <c r="L916">
        <v>0</v>
      </c>
      <c r="M916">
        <v>6.7565681000000002E-2</v>
      </c>
      <c r="N916">
        <v>0</v>
      </c>
      <c r="O916" t="s">
        <v>2833</v>
      </c>
      <c r="P916" t="s">
        <v>2833</v>
      </c>
      <c r="Q916" t="s">
        <v>160</v>
      </c>
      <c r="R916">
        <f ca="1">RAND()*(Validation[[#This Row],[Range1_High]]-Validation[[#This Row],[Range1_Low]])+Validation[[#This Row],[Range1_Low]]</f>
        <v>342.46219134555804</v>
      </c>
      <c r="S916">
        <f>Validation[[#This Row],[Range2_High]]</f>
        <v>0</v>
      </c>
      <c r="T916" t="str" cm="1">
        <f t="array" aca="1" ref="T916" ca="1">RoundToTwoSigFigs(Validation[[#This Row],[Test Reading]]*Validation[[#This Row],[Mult]]+Validation[[#This Row],[Base]]) &amp;" "&amp;Validation[[#This Row],[Uncert_Units]]</f>
        <v>0.069 °C</v>
      </c>
      <c r="U9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V916" t="b">
        <f ca="1">Validation[[#This Row],[Desired Result]]=Validation[[#This Row],[Result]]</f>
        <v>1</v>
      </c>
      <c r="W916" t="b">
        <v>0</v>
      </c>
      <c r="X916" t="b">
        <f>Validation[[#This Row],[Range1_Low]]&gt;=Validation[[#This Row],[Range1_High]]</f>
        <v>0</v>
      </c>
      <c r="Y916" s="111" t="s">
        <v>2845</v>
      </c>
    </row>
    <row r="917" spans="1:25" x14ac:dyDescent="0.25">
      <c r="A917" t="s">
        <v>55</v>
      </c>
      <c r="B917" t="s">
        <v>90</v>
      </c>
      <c r="C917">
        <v>-210</v>
      </c>
      <c r="D917">
        <v>259.99900000000002</v>
      </c>
      <c r="E917">
        <v>0.1</v>
      </c>
      <c r="F917" t="s">
        <v>23</v>
      </c>
      <c r="G917" t="s">
        <v>23</v>
      </c>
      <c r="H917">
        <v>0</v>
      </c>
      <c r="I917">
        <v>0</v>
      </c>
      <c r="J917" t="s">
        <v>2833</v>
      </c>
      <c r="K917">
        <v>9.1700324999999999E-2</v>
      </c>
      <c r="L917">
        <v>0</v>
      </c>
      <c r="M917">
        <v>7.0601223000000005E-2</v>
      </c>
      <c r="N917">
        <v>0</v>
      </c>
      <c r="O917" t="s">
        <v>2833</v>
      </c>
      <c r="P917" t="s">
        <v>2833</v>
      </c>
      <c r="Q917" t="s">
        <v>161</v>
      </c>
      <c r="R917">
        <f ca="1">RAND()*(Validation[[#This Row],[Range1_High]]-Validation[[#This Row],[Range1_Low]])+Validation[[#This Row],[Range1_Low]]</f>
        <v>50.201637332701864</v>
      </c>
      <c r="S917">
        <f>Validation[[#This Row],[Range2_High]]</f>
        <v>0</v>
      </c>
      <c r="T917" t="str" cm="1">
        <f t="array" aca="1" ref="T917" ca="1">RoundToTwoSigFigs(Validation[[#This Row],[Test Reading]]*Validation[[#This Row],[Mult]]+Validation[[#This Row],[Base]]) &amp;" "&amp;Validation[[#This Row],[Uncert_Units]]</f>
        <v>0.092 °C</v>
      </c>
      <c r="U9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V917" t="b">
        <f ca="1">Validation[[#This Row],[Desired Result]]=Validation[[#This Row],[Result]]</f>
        <v>1</v>
      </c>
      <c r="W917" t="b">
        <v>0</v>
      </c>
      <c r="X917" t="b">
        <f>Validation[[#This Row],[Range1_Low]]&gt;=Validation[[#This Row],[Range1_High]]</f>
        <v>0</v>
      </c>
      <c r="Y917" s="111" t="s">
        <v>2845</v>
      </c>
    </row>
    <row r="918" spans="1:25" x14ac:dyDescent="0.25">
      <c r="A918" t="s">
        <v>54</v>
      </c>
      <c r="B918" t="s">
        <v>90</v>
      </c>
      <c r="C918">
        <v>1200</v>
      </c>
      <c r="D918">
        <v>1200.0999999999999</v>
      </c>
      <c r="E918">
        <v>0.1</v>
      </c>
      <c r="F918" t="s">
        <v>23</v>
      </c>
      <c r="G918" t="s">
        <v>23</v>
      </c>
      <c r="H918">
        <v>0</v>
      </c>
      <c r="I918">
        <v>0</v>
      </c>
      <c r="J918" t="s">
        <v>2833</v>
      </c>
      <c r="K918">
        <v>0.27502981300000001</v>
      </c>
      <c r="L918">
        <v>0</v>
      </c>
      <c r="M918">
        <v>0.27376233</v>
      </c>
      <c r="N918">
        <v>0</v>
      </c>
      <c r="O918" t="s">
        <v>2833</v>
      </c>
      <c r="P918" t="s">
        <v>2833</v>
      </c>
      <c r="Q918" t="s">
        <v>161</v>
      </c>
      <c r="R918">
        <f ca="1">RAND()*(Validation[[#This Row],[Range1_High]]-Validation[[#This Row],[Range1_Low]])+Validation[[#This Row],[Range1_Low]]</f>
        <v>1200.0087270600775</v>
      </c>
      <c r="S918">
        <f>Validation[[#This Row],[Range2_High]]</f>
        <v>0</v>
      </c>
      <c r="T918" t="str" cm="1">
        <f t="array" aca="1" ref="T918" ca="1">RoundToTwoSigFigs(Validation[[#This Row],[Test Reading]]*Validation[[#This Row],[Mult]]+Validation[[#This Row],[Base]]) &amp;" "&amp;Validation[[#This Row],[Uncert_Units]]</f>
        <v>0.28 °C</v>
      </c>
      <c r="U9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V918" t="b">
        <f ca="1">Validation[[#This Row],[Desired Result]]=Validation[[#This Row],[Result]]</f>
        <v>1</v>
      </c>
      <c r="W918" t="b">
        <v>0</v>
      </c>
      <c r="X918" t="b">
        <f>Validation[[#This Row],[Range1_Low]]&gt;=Validation[[#This Row],[Range1_High]]</f>
        <v>0</v>
      </c>
      <c r="Y918" s="111" t="s">
        <v>2845</v>
      </c>
    </row>
    <row r="919" spans="1:25" x14ac:dyDescent="0.25">
      <c r="A919" t="s">
        <v>55</v>
      </c>
      <c r="B919" t="s">
        <v>90</v>
      </c>
      <c r="C919">
        <v>260</v>
      </c>
      <c r="D919">
        <v>732</v>
      </c>
      <c r="E919">
        <v>1</v>
      </c>
      <c r="F919" t="s">
        <v>23</v>
      </c>
      <c r="G919" t="s">
        <v>23</v>
      </c>
      <c r="H919">
        <v>0</v>
      </c>
      <c r="I919">
        <v>0</v>
      </c>
      <c r="J919" t="s">
        <v>2833</v>
      </c>
      <c r="K919">
        <v>0.58165565500000005</v>
      </c>
      <c r="L919">
        <v>0</v>
      </c>
      <c r="M919">
        <v>0.57849229700000004</v>
      </c>
      <c r="N919">
        <v>0</v>
      </c>
      <c r="O919" t="s">
        <v>2833</v>
      </c>
      <c r="P919" t="s">
        <v>2833</v>
      </c>
      <c r="Q919" t="s">
        <v>161</v>
      </c>
      <c r="R919">
        <f ca="1">RAND()*(Validation[[#This Row],[Range1_High]]-Validation[[#This Row],[Range1_Low]])+Validation[[#This Row],[Range1_Low]]</f>
        <v>666.91333009430525</v>
      </c>
      <c r="S919">
        <f>Validation[[#This Row],[Range2_High]]</f>
        <v>0</v>
      </c>
      <c r="T919" t="str" cm="1">
        <f t="array" aca="1" ref="T919" ca="1">RoundToTwoSigFigs(Validation[[#This Row],[Test Reading]]*Validation[[#This Row],[Mult]]+Validation[[#This Row],[Base]]) &amp;" "&amp;Validation[[#This Row],[Uncert_Units]]</f>
        <v>0.58 °C</v>
      </c>
      <c r="U9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919" t="b">
        <f ca="1">Validation[[#This Row],[Desired Result]]=Validation[[#This Row],[Result]]</f>
        <v>1</v>
      </c>
      <c r="W919" t="b">
        <v>0</v>
      </c>
      <c r="X919" t="b">
        <f>Validation[[#This Row],[Range1_Low]]&gt;=Validation[[#This Row],[Range1_High]]</f>
        <v>0</v>
      </c>
      <c r="Y919" s="111" t="s">
        <v>2845</v>
      </c>
    </row>
    <row r="920" spans="1:25" x14ac:dyDescent="0.25">
      <c r="A920" t="s">
        <v>54</v>
      </c>
      <c r="B920" t="s">
        <v>90</v>
      </c>
      <c r="C920">
        <v>-210</v>
      </c>
      <c r="D920">
        <v>-99.9</v>
      </c>
      <c r="E920">
        <v>0.1</v>
      </c>
      <c r="F920" t="s">
        <v>23</v>
      </c>
      <c r="G920" t="s">
        <v>23</v>
      </c>
      <c r="H920">
        <v>0</v>
      </c>
      <c r="I920">
        <v>0</v>
      </c>
      <c r="J920" t="s">
        <v>2833</v>
      </c>
      <c r="K920">
        <v>0.32482492800000001</v>
      </c>
      <c r="L920">
        <v>0</v>
      </c>
      <c r="M920">
        <v>0.31951027599999998</v>
      </c>
      <c r="N920">
        <v>0</v>
      </c>
      <c r="O920" t="s">
        <v>2833</v>
      </c>
      <c r="P920" t="s">
        <v>2833</v>
      </c>
      <c r="Q920" t="s">
        <v>161</v>
      </c>
      <c r="R920">
        <f ca="1">RAND()*(Validation[[#This Row],[Range1_High]]-Validation[[#This Row],[Range1_Low]])+Validation[[#This Row],[Range1_Low]]</f>
        <v>-193.26469653614856</v>
      </c>
      <c r="S920">
        <f>Validation[[#This Row],[Range2_High]]</f>
        <v>0</v>
      </c>
      <c r="T920" t="str" cm="1">
        <f t="array" aca="1" ref="T920" ca="1">RoundToTwoSigFigs(Validation[[#This Row],[Test Reading]]*Validation[[#This Row],[Mult]]+Validation[[#This Row],[Base]]) &amp;" "&amp;Validation[[#This Row],[Uncert_Units]]</f>
        <v>0.32 °C</v>
      </c>
      <c r="U9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V920" t="b">
        <f ca="1">Validation[[#This Row],[Desired Result]]=Validation[[#This Row],[Result]]</f>
        <v>1</v>
      </c>
      <c r="W920" t="b">
        <v>0</v>
      </c>
      <c r="X920" t="b">
        <f>Validation[[#This Row],[Range1_Low]]&gt;=Validation[[#This Row],[Range1_High]]</f>
        <v>0</v>
      </c>
      <c r="Y920" s="111" t="s">
        <v>2845</v>
      </c>
    </row>
    <row r="921" spans="1:25" x14ac:dyDescent="0.25">
      <c r="A921" t="s">
        <v>54</v>
      </c>
      <c r="B921" t="s">
        <v>90</v>
      </c>
      <c r="C921">
        <v>150</v>
      </c>
      <c r="D921">
        <v>760.1</v>
      </c>
      <c r="E921">
        <v>1</v>
      </c>
      <c r="F921" t="s">
        <v>23</v>
      </c>
      <c r="G921" t="s">
        <v>23</v>
      </c>
      <c r="H921">
        <v>0</v>
      </c>
      <c r="I921">
        <v>0</v>
      </c>
      <c r="J921" t="s">
        <v>2833</v>
      </c>
      <c r="K921">
        <v>0.61296338699999997</v>
      </c>
      <c r="L921">
        <v>0</v>
      </c>
      <c r="M921">
        <v>0.61068959</v>
      </c>
      <c r="N921">
        <v>0</v>
      </c>
      <c r="O921" t="s">
        <v>2833</v>
      </c>
      <c r="P921" t="s">
        <v>2833</v>
      </c>
      <c r="Q921" t="s">
        <v>161</v>
      </c>
      <c r="R921">
        <f ca="1">RAND()*(Validation[[#This Row],[Range1_High]]-Validation[[#This Row],[Range1_Low]])+Validation[[#This Row],[Range1_Low]]</f>
        <v>692.64060546817484</v>
      </c>
      <c r="S921">
        <f>Validation[[#This Row],[Range2_High]]</f>
        <v>0</v>
      </c>
      <c r="T921" t="str" cm="1">
        <f t="array" aca="1" ref="T921" ca="1">RoundToTwoSigFigs(Validation[[#This Row],[Test Reading]]*Validation[[#This Row],[Mult]]+Validation[[#This Row],[Base]]) &amp;" "&amp;Validation[[#This Row],[Uncert_Units]]</f>
        <v>0.61 °C</v>
      </c>
      <c r="U9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921" t="b">
        <f ca="1">Validation[[#This Row],[Desired Result]]=Validation[[#This Row],[Result]]</f>
        <v>1</v>
      </c>
      <c r="W921" t="b">
        <v>0</v>
      </c>
      <c r="X921" t="b">
        <f>Validation[[#This Row],[Range1_Low]]&gt;=Validation[[#This Row],[Range1_High]]</f>
        <v>0</v>
      </c>
      <c r="Y921" s="111" t="s">
        <v>2845</v>
      </c>
    </row>
    <row r="922" spans="1:25" ht="15.75" thickBot="1" x14ac:dyDescent="0.3">
      <c r="A922" t="s">
        <v>55</v>
      </c>
      <c r="B922" t="s">
        <v>90</v>
      </c>
      <c r="C922">
        <v>-210</v>
      </c>
      <c r="D922">
        <v>259.99900000000002</v>
      </c>
      <c r="E922">
        <v>1</v>
      </c>
      <c r="F922" t="s">
        <v>23</v>
      </c>
      <c r="G922" t="s">
        <v>23</v>
      </c>
      <c r="H922">
        <v>0</v>
      </c>
      <c r="I922">
        <v>0</v>
      </c>
      <c r="J922" t="s">
        <v>2833</v>
      </c>
      <c r="K922">
        <v>0.59049318399999995</v>
      </c>
      <c r="L922">
        <v>0</v>
      </c>
      <c r="M922">
        <v>0.57877848300000001</v>
      </c>
      <c r="N922">
        <v>0</v>
      </c>
      <c r="O922" t="s">
        <v>2833</v>
      </c>
      <c r="P922" t="s">
        <v>2833</v>
      </c>
      <c r="Q922" t="s">
        <v>161</v>
      </c>
      <c r="R922">
        <f ca="1">RAND()*(Validation[[#This Row],[Range1_High]]-Validation[[#This Row],[Range1_Low]])+Validation[[#This Row],[Range1_Low]]</f>
        <v>144.55158133611536</v>
      </c>
      <c r="S922">
        <f>Validation[[#This Row],[Range2_High]]</f>
        <v>0</v>
      </c>
      <c r="T922" t="str" cm="1">
        <f t="array" aca="1" ref="T922" ca="1">RoundToTwoSigFigs(Validation[[#This Row],[Test Reading]]*Validation[[#This Row],[Mult]]+Validation[[#This Row],[Base]]) &amp;" "&amp;Validation[[#This Row],[Uncert_Units]]</f>
        <v>0.59 °C</v>
      </c>
      <c r="U9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922" t="b">
        <f ca="1">Validation[[#This Row],[Desired Result]]=Validation[[#This Row],[Result]]</f>
        <v>1</v>
      </c>
      <c r="W922" t="b">
        <v>0</v>
      </c>
      <c r="X922" t="b">
        <f>Validation[[#This Row],[Range1_Low]]&gt;=Validation[[#This Row],[Range1_High]]</f>
        <v>0</v>
      </c>
      <c r="Y922" s="111" t="s">
        <v>2845</v>
      </c>
    </row>
    <row r="923" spans="1:25" ht="16.5" thickTop="1" thickBot="1" x14ac:dyDescent="0.3">
      <c r="A923" t="s">
        <v>54</v>
      </c>
      <c r="B923" t="s">
        <v>90</v>
      </c>
      <c r="C923" s="113">
        <v>-30</v>
      </c>
      <c r="D923" s="113">
        <v>150.1</v>
      </c>
      <c r="E923">
        <v>1</v>
      </c>
      <c r="F923" t="s">
        <v>23</v>
      </c>
      <c r="G923" t="s">
        <v>23</v>
      </c>
      <c r="H923">
        <v>0</v>
      </c>
      <c r="I923">
        <v>0</v>
      </c>
      <c r="J923" t="s">
        <v>2833</v>
      </c>
      <c r="K923">
        <v>0.60862624499999995</v>
      </c>
      <c r="L923">
        <v>0</v>
      </c>
      <c r="M923">
        <v>0.60048372800000005</v>
      </c>
      <c r="N923">
        <v>0</v>
      </c>
      <c r="O923" t="s">
        <v>2833</v>
      </c>
      <c r="P923" t="s">
        <v>2833</v>
      </c>
      <c r="Q923" t="s">
        <v>161</v>
      </c>
      <c r="R923">
        <f ca="1">RAND()*(Validation[[#This Row],[Range1_High]]-Validation[[#This Row],[Range1_Low]])+Validation[[#This Row],[Range1_Low]]</f>
        <v>117.13317457048774</v>
      </c>
      <c r="S923">
        <f>Validation[[#This Row],[Range2_High]]</f>
        <v>0</v>
      </c>
      <c r="T923" t="str" cm="1">
        <f t="array" aca="1" ref="T923" ca="1">RoundToTwoSigFigs(Validation[[#This Row],[Test Reading]]*Validation[[#This Row],[Mult]]+Validation[[#This Row],[Base]]) &amp;" "&amp;Validation[[#This Row],[Uncert_Units]]</f>
        <v>0.61 °C</v>
      </c>
      <c r="U9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923" t="b">
        <f ca="1">Validation[[#This Row],[Desired Result]]=Validation[[#This Row],[Result]]</f>
        <v>1</v>
      </c>
      <c r="W923" t="b">
        <v>1</v>
      </c>
      <c r="X923" t="b">
        <f>Validation[[#This Row],[Range1_Low]]&gt;=Validation[[#This Row],[Range1_High]]</f>
        <v>0</v>
      </c>
      <c r="Y923" s="111" t="s">
        <v>2843</v>
      </c>
    </row>
    <row r="924" spans="1:25" ht="16.5" thickTop="1" thickBot="1" x14ac:dyDescent="0.3">
      <c r="A924" t="s">
        <v>55</v>
      </c>
      <c r="B924" t="s">
        <v>89</v>
      </c>
      <c r="C924">
        <v>-270</v>
      </c>
      <c r="D924">
        <v>-240.001</v>
      </c>
      <c r="E924">
        <v>0.1</v>
      </c>
      <c r="F924" t="s">
        <v>23</v>
      </c>
      <c r="G924" t="s">
        <v>23</v>
      </c>
      <c r="H924">
        <v>0</v>
      </c>
      <c r="I924">
        <v>0</v>
      </c>
      <c r="J924" t="s">
        <v>2833</v>
      </c>
      <c r="K924">
        <v>0.45662971600000002</v>
      </c>
      <c r="L924">
        <v>0</v>
      </c>
      <c r="M924">
        <v>0.45079213899999998</v>
      </c>
      <c r="N924">
        <v>0</v>
      </c>
      <c r="O924" t="s">
        <v>2833</v>
      </c>
      <c r="P924" t="s">
        <v>2833</v>
      </c>
      <c r="Q924" t="s">
        <v>111</v>
      </c>
      <c r="R924">
        <f ca="1">RAND()*(Validation[[#This Row],[Range1_High]]-Validation[[#This Row],[Range1_Low]])+Validation[[#This Row],[Range1_Low]]</f>
        <v>-249.64029710257387</v>
      </c>
      <c r="S924">
        <f>Validation[[#This Row],[Range2_High]]</f>
        <v>0</v>
      </c>
      <c r="T924" t="str" cm="1">
        <f t="array" aca="1" ref="T924" ca="1">RoundToTwoSigFigs(Validation[[#This Row],[Test Reading]]*Validation[[#This Row],[Mult]]+Validation[[#This Row],[Base]]) &amp;" "&amp;Validation[[#This Row],[Uncert_Units]]</f>
        <v>0.46 °C</v>
      </c>
      <c r="U9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V924" t="b">
        <f ca="1">Validation[[#This Row],[Desired Result]]=Validation[[#This Row],[Result]]</f>
        <v>1</v>
      </c>
      <c r="W924" t="b">
        <v>0</v>
      </c>
      <c r="X924" t="b">
        <f>Validation[[#This Row],[Range1_Low]]&gt;=Validation[[#This Row],[Range1_High]]</f>
        <v>0</v>
      </c>
      <c r="Y924" s="111" t="s">
        <v>2845</v>
      </c>
    </row>
    <row r="925" spans="1:25" ht="16.5" thickTop="1" thickBot="1" x14ac:dyDescent="0.3">
      <c r="A925" t="s">
        <v>54</v>
      </c>
      <c r="B925" t="s">
        <v>89</v>
      </c>
      <c r="C925" s="113">
        <v>-100</v>
      </c>
      <c r="D925" s="113">
        <v>-24.9</v>
      </c>
      <c r="E925">
        <v>1</v>
      </c>
      <c r="F925" t="s">
        <v>23</v>
      </c>
      <c r="G925" t="s">
        <v>23</v>
      </c>
      <c r="H925">
        <v>0</v>
      </c>
      <c r="I925">
        <v>0</v>
      </c>
      <c r="J925" t="s">
        <v>2833</v>
      </c>
      <c r="K925">
        <v>0.62924197199999998</v>
      </c>
      <c r="L925">
        <v>0</v>
      </c>
      <c r="M925">
        <v>0.61461633900000001</v>
      </c>
      <c r="N925">
        <v>0</v>
      </c>
      <c r="O925" t="s">
        <v>2833</v>
      </c>
      <c r="P925" t="s">
        <v>2833</v>
      </c>
      <c r="Q925" t="s">
        <v>111</v>
      </c>
      <c r="R925">
        <f ca="1">RAND()*(Validation[[#This Row],[Range1_High]]-Validation[[#This Row],[Range1_Low]])+Validation[[#This Row],[Range1_Low]]</f>
        <v>-49.325096342194549</v>
      </c>
      <c r="S925">
        <f>Validation[[#This Row],[Range2_High]]</f>
        <v>0</v>
      </c>
      <c r="T925" t="str" cm="1">
        <f t="array" aca="1" ref="T925" ca="1">RoundToTwoSigFigs(Validation[[#This Row],[Test Reading]]*Validation[[#This Row],[Mult]]+Validation[[#This Row],[Base]]) &amp;" "&amp;Validation[[#This Row],[Uncert_Units]]</f>
        <v>0.63 °C</v>
      </c>
      <c r="U9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V925" t="b">
        <f ca="1">Validation[[#This Row],[Desired Result]]=Validation[[#This Row],[Result]]</f>
        <v>1</v>
      </c>
      <c r="W925" t="b">
        <v>1</v>
      </c>
      <c r="X925" t="b">
        <f>Validation[[#This Row],[Range1_Low]]&gt;=Validation[[#This Row],[Range1_High]]</f>
        <v>0</v>
      </c>
      <c r="Y925" s="111" t="s">
        <v>2843</v>
      </c>
    </row>
    <row r="926" spans="1:25" ht="16.5" thickTop="1" thickBot="1" x14ac:dyDescent="0.3">
      <c r="A926" t="s">
        <v>55</v>
      </c>
      <c r="B926" t="s">
        <v>89</v>
      </c>
      <c r="C926">
        <v>-270</v>
      </c>
      <c r="D926">
        <v>-240.001</v>
      </c>
      <c r="E926">
        <v>1</v>
      </c>
      <c r="F926" t="s">
        <v>23</v>
      </c>
      <c r="G926" t="s">
        <v>23</v>
      </c>
      <c r="H926">
        <v>0</v>
      </c>
      <c r="I926">
        <v>0</v>
      </c>
      <c r="J926" t="s">
        <v>2833</v>
      </c>
      <c r="K926">
        <v>0.74458185099999996</v>
      </c>
      <c r="L926">
        <v>0</v>
      </c>
      <c r="M926">
        <v>0.73021473000000003</v>
      </c>
      <c r="N926">
        <v>0</v>
      </c>
      <c r="O926" t="s">
        <v>2833</v>
      </c>
      <c r="P926" t="s">
        <v>2833</v>
      </c>
      <c r="Q926" t="s">
        <v>111</v>
      </c>
      <c r="R926">
        <f ca="1">RAND()*(Validation[[#This Row],[Range1_High]]-Validation[[#This Row],[Range1_Low]])+Validation[[#This Row],[Range1_Low]]</f>
        <v>-248.81811779025239</v>
      </c>
      <c r="S926">
        <f>Validation[[#This Row],[Range2_High]]</f>
        <v>0</v>
      </c>
      <c r="T926" t="str" cm="1">
        <f t="array" aca="1" ref="T926" ca="1">RoundToTwoSigFigs(Validation[[#This Row],[Test Reading]]*Validation[[#This Row],[Mult]]+Validation[[#This Row],[Base]]) &amp;" "&amp;Validation[[#This Row],[Uncert_Units]]</f>
        <v>0.74 °C</v>
      </c>
      <c r="U9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V926" t="b">
        <f ca="1">Validation[[#This Row],[Desired Result]]=Validation[[#This Row],[Result]]</f>
        <v>1</v>
      </c>
      <c r="W926" t="b">
        <v>0</v>
      </c>
      <c r="X926" t="b">
        <f>Validation[[#This Row],[Range1_Low]]&gt;=Validation[[#This Row],[Range1_High]]</f>
        <v>0</v>
      </c>
      <c r="Y926" s="111" t="s">
        <v>2845</v>
      </c>
    </row>
    <row r="927" spans="1:25" ht="16.5" thickTop="1" thickBot="1" x14ac:dyDescent="0.3">
      <c r="A927" t="s">
        <v>54</v>
      </c>
      <c r="B927" t="s">
        <v>89</v>
      </c>
      <c r="C927" s="113">
        <v>-25</v>
      </c>
      <c r="D927" s="113">
        <v>120.1</v>
      </c>
      <c r="E927">
        <v>1</v>
      </c>
      <c r="F927" t="s">
        <v>23</v>
      </c>
      <c r="G927" t="s">
        <v>23</v>
      </c>
      <c r="H927">
        <v>0</v>
      </c>
      <c r="I927">
        <v>0</v>
      </c>
      <c r="J927" t="s">
        <v>2833</v>
      </c>
      <c r="K927">
        <v>0.61728342700000005</v>
      </c>
      <c r="L927">
        <v>0</v>
      </c>
      <c r="M927">
        <v>0.60714521899999996</v>
      </c>
      <c r="N927">
        <v>0</v>
      </c>
      <c r="O927" t="s">
        <v>2833</v>
      </c>
      <c r="P927" t="s">
        <v>2833</v>
      </c>
      <c r="Q927" t="s">
        <v>111</v>
      </c>
      <c r="R927">
        <f ca="1">RAND()*(Validation[[#This Row],[Range1_High]]-Validation[[#This Row],[Range1_Low]])+Validation[[#This Row],[Range1_Low]]</f>
        <v>41.134938901913543</v>
      </c>
      <c r="S927">
        <f>Validation[[#This Row],[Range2_High]]</f>
        <v>0</v>
      </c>
      <c r="T927" t="str" cm="1">
        <f t="array" aca="1" ref="T927" ca="1">RoundToTwoSigFigs(Validation[[#This Row],[Test Reading]]*Validation[[#This Row],[Mult]]+Validation[[#This Row],[Base]]) &amp;" "&amp;Validation[[#This Row],[Uncert_Units]]</f>
        <v>0.62 °C</v>
      </c>
      <c r="U9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V927" t="b">
        <f ca="1">Validation[[#This Row],[Desired Result]]=Validation[[#This Row],[Result]]</f>
        <v>1</v>
      </c>
      <c r="W927" t="b">
        <v>1</v>
      </c>
      <c r="X927" t="b">
        <f>Validation[[#This Row],[Range1_Low]]&gt;=Validation[[#This Row],[Range1_High]]</f>
        <v>0</v>
      </c>
      <c r="Y927" s="111" t="s">
        <v>2843</v>
      </c>
    </row>
    <row r="928" spans="1:25" ht="16.5" thickTop="1" thickBot="1" x14ac:dyDescent="0.3">
      <c r="A928" t="s">
        <v>54</v>
      </c>
      <c r="B928" t="s">
        <v>89</v>
      </c>
      <c r="C928" s="113">
        <v>1000</v>
      </c>
      <c r="D928" s="113">
        <v>1372</v>
      </c>
      <c r="E928">
        <v>0.1</v>
      </c>
      <c r="F928" t="s">
        <v>23</v>
      </c>
      <c r="G928" t="s">
        <v>23</v>
      </c>
      <c r="H928">
        <v>0</v>
      </c>
      <c r="I928">
        <v>0</v>
      </c>
      <c r="J928" t="s">
        <v>2833</v>
      </c>
      <c r="K928">
        <v>0.46917668400000001</v>
      </c>
      <c r="L928">
        <v>0</v>
      </c>
      <c r="M928">
        <v>0.466718309</v>
      </c>
      <c r="N928">
        <v>0</v>
      </c>
      <c r="O928" t="s">
        <v>2833</v>
      </c>
      <c r="P928" t="s">
        <v>2833</v>
      </c>
      <c r="Q928" t="s">
        <v>111</v>
      </c>
      <c r="R928">
        <f ca="1">RAND()*(Validation[[#This Row],[Range1_High]]-Validation[[#This Row],[Range1_Low]])+Validation[[#This Row],[Range1_Low]]</f>
        <v>1271.3279614420858</v>
      </c>
      <c r="S928">
        <f>Validation[[#This Row],[Range2_High]]</f>
        <v>0</v>
      </c>
      <c r="T928" t="str" cm="1">
        <f t="array" aca="1" ref="T928" ca="1">RoundToTwoSigFigs(Validation[[#This Row],[Test Reading]]*Validation[[#This Row],[Mult]]+Validation[[#This Row],[Base]]) &amp;" "&amp;Validation[[#This Row],[Uncert_Units]]</f>
        <v>0.47 °C</v>
      </c>
      <c r="U9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V928" t="b">
        <f ca="1">Validation[[#This Row],[Desired Result]]=Validation[[#This Row],[Result]]</f>
        <v>1</v>
      </c>
      <c r="W928" t="b">
        <v>1</v>
      </c>
      <c r="X928" t="b">
        <f>Validation[[#This Row],[Range1_Low]]&gt;=Validation[[#This Row],[Range1_High]]</f>
        <v>0</v>
      </c>
      <c r="Y928" s="111" t="s">
        <v>2843</v>
      </c>
    </row>
    <row r="929" spans="1:25" ht="15.75" thickTop="1" x14ac:dyDescent="0.25">
      <c r="A929" t="s">
        <v>55</v>
      </c>
      <c r="B929" t="s">
        <v>89</v>
      </c>
      <c r="C929">
        <v>-240</v>
      </c>
      <c r="D929">
        <v>259.99900000000002</v>
      </c>
      <c r="E929">
        <v>0.1</v>
      </c>
      <c r="F929" t="s">
        <v>23</v>
      </c>
      <c r="G929" t="s">
        <v>23</v>
      </c>
      <c r="H929">
        <v>0</v>
      </c>
      <c r="I929">
        <v>0</v>
      </c>
      <c r="J929" t="s">
        <v>2833</v>
      </c>
      <c r="K929">
        <v>0.113916513</v>
      </c>
      <c r="L929">
        <v>0</v>
      </c>
      <c r="M929">
        <v>9.1809138999999998E-2</v>
      </c>
      <c r="N929">
        <v>0</v>
      </c>
      <c r="O929" t="s">
        <v>2833</v>
      </c>
      <c r="P929" t="s">
        <v>2833</v>
      </c>
      <c r="Q929" t="s">
        <v>111</v>
      </c>
      <c r="R929">
        <f ca="1">RAND()*(Validation[[#This Row],[Range1_High]]-Validation[[#This Row],[Range1_Low]])+Validation[[#This Row],[Range1_Low]]</f>
        <v>-8.1271222624108361</v>
      </c>
      <c r="S929">
        <f>Validation[[#This Row],[Range2_High]]</f>
        <v>0</v>
      </c>
      <c r="T929" t="str" cm="1">
        <f t="array" aca="1" ref="T929" ca="1">RoundToTwoSigFigs(Validation[[#This Row],[Test Reading]]*Validation[[#This Row],[Mult]]+Validation[[#This Row],[Base]]) &amp;" "&amp;Validation[[#This Row],[Uncert_Units]]</f>
        <v>0.11 °C</v>
      </c>
      <c r="U9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V929" t="b">
        <f ca="1">Validation[[#This Row],[Desired Result]]=Validation[[#This Row],[Result]]</f>
        <v>1</v>
      </c>
      <c r="W929" t="b">
        <v>0</v>
      </c>
      <c r="X929" t="b">
        <f>Validation[[#This Row],[Range1_Low]]&gt;=Validation[[#This Row],[Range1_High]]</f>
        <v>0</v>
      </c>
      <c r="Y929" s="111" t="s">
        <v>2845</v>
      </c>
    </row>
    <row r="930" spans="1:25" x14ac:dyDescent="0.25">
      <c r="A930" t="s">
        <v>54</v>
      </c>
      <c r="B930" t="s">
        <v>89</v>
      </c>
      <c r="C930">
        <v>-200</v>
      </c>
      <c r="D930">
        <v>-99.9</v>
      </c>
      <c r="E930">
        <v>1</v>
      </c>
      <c r="F930" t="s">
        <v>23</v>
      </c>
      <c r="G930" t="s">
        <v>23</v>
      </c>
      <c r="H930">
        <v>0</v>
      </c>
      <c r="I930">
        <v>0</v>
      </c>
      <c r="J930" t="s">
        <v>2833</v>
      </c>
      <c r="K930">
        <v>0.70603263199999999</v>
      </c>
      <c r="L930">
        <v>0</v>
      </c>
      <c r="M930">
        <v>0.69302948200000003</v>
      </c>
      <c r="N930">
        <v>0</v>
      </c>
      <c r="O930" t="s">
        <v>2833</v>
      </c>
      <c r="P930" t="s">
        <v>2833</v>
      </c>
      <c r="Q930" t="s">
        <v>111</v>
      </c>
      <c r="R930">
        <f ca="1">RAND()*(Validation[[#This Row],[Range1_High]]-Validation[[#This Row],[Range1_Low]])+Validation[[#This Row],[Range1_Low]]</f>
        <v>-182.58780408387472</v>
      </c>
      <c r="S930">
        <f>Validation[[#This Row],[Range2_High]]</f>
        <v>0</v>
      </c>
      <c r="T930" t="str" cm="1">
        <f t="array" aca="1" ref="T930" ca="1">RoundToTwoSigFigs(Validation[[#This Row],[Test Reading]]*Validation[[#This Row],[Mult]]+Validation[[#This Row],[Base]]) &amp;" "&amp;Validation[[#This Row],[Uncert_Units]]</f>
        <v>0.71 °C</v>
      </c>
      <c r="U9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V930" t="b">
        <f ca="1">Validation[[#This Row],[Desired Result]]=Validation[[#This Row],[Result]]</f>
        <v>1</v>
      </c>
      <c r="W930" t="b">
        <v>0</v>
      </c>
      <c r="X930" t="b">
        <f>Validation[[#This Row],[Range1_Low]]&gt;=Validation[[#This Row],[Range1_High]]</f>
        <v>0</v>
      </c>
      <c r="Y930" s="111" t="s">
        <v>2845</v>
      </c>
    </row>
    <row r="931" spans="1:25" x14ac:dyDescent="0.25">
      <c r="A931" t="s">
        <v>55</v>
      </c>
      <c r="B931" t="s">
        <v>89</v>
      </c>
      <c r="C931">
        <v>816.00099999999998</v>
      </c>
      <c r="D931">
        <v>1371</v>
      </c>
      <c r="E931">
        <v>0.1</v>
      </c>
      <c r="F931" t="s">
        <v>23</v>
      </c>
      <c r="G931" t="s">
        <v>23</v>
      </c>
      <c r="H931">
        <v>0</v>
      </c>
      <c r="I931">
        <v>0</v>
      </c>
      <c r="J931" t="s">
        <v>2833</v>
      </c>
      <c r="K931">
        <v>9.0471350000000006E-2</v>
      </c>
      <c r="L931">
        <v>0</v>
      </c>
      <c r="M931">
        <v>7.6709093000000006E-2</v>
      </c>
      <c r="N931">
        <v>0</v>
      </c>
      <c r="O931" t="s">
        <v>2833</v>
      </c>
      <c r="P931" t="s">
        <v>2833</v>
      </c>
      <c r="Q931" t="s">
        <v>111</v>
      </c>
      <c r="R931">
        <f ca="1">RAND()*(Validation[[#This Row],[Range1_High]]-Validation[[#This Row],[Range1_Low]])+Validation[[#This Row],[Range1_Low]]</f>
        <v>1116.707579131385</v>
      </c>
      <c r="S931">
        <f>Validation[[#This Row],[Range2_High]]</f>
        <v>0</v>
      </c>
      <c r="T931" t="str" cm="1">
        <f t="array" aca="1" ref="T931" ca="1">RoundToTwoSigFigs(Validation[[#This Row],[Test Reading]]*Validation[[#This Row],[Mult]]+Validation[[#This Row],[Base]]) &amp;" "&amp;Validation[[#This Row],[Uncert_Units]]</f>
        <v>0.09 °C</v>
      </c>
      <c r="U9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V931" t="b">
        <f ca="1">Validation[[#This Row],[Desired Result]]=Validation[[#This Row],[Result]]</f>
        <v>1</v>
      </c>
      <c r="W931" t="b">
        <v>0</v>
      </c>
      <c r="X931" t="b">
        <f>Validation[[#This Row],[Range1_Low]]&gt;=Validation[[#This Row],[Range1_High]]</f>
        <v>0</v>
      </c>
      <c r="Y931" s="111" t="s">
        <v>2845</v>
      </c>
    </row>
    <row r="932" spans="1:25" x14ac:dyDescent="0.25">
      <c r="A932" t="s">
        <v>55</v>
      </c>
      <c r="B932" t="s">
        <v>89</v>
      </c>
      <c r="C932">
        <v>816.00099999999998</v>
      </c>
      <c r="D932">
        <v>1371</v>
      </c>
      <c r="E932">
        <v>1</v>
      </c>
      <c r="F932" t="s">
        <v>23</v>
      </c>
      <c r="G932" t="s">
        <v>23</v>
      </c>
      <c r="H932">
        <v>0</v>
      </c>
      <c r="I932">
        <v>0</v>
      </c>
      <c r="J932" t="s">
        <v>2833</v>
      </c>
      <c r="K932">
        <v>0.58744140600000005</v>
      </c>
      <c r="L932">
        <v>0</v>
      </c>
      <c r="M932">
        <v>0.57955524800000002</v>
      </c>
      <c r="N932">
        <v>0</v>
      </c>
      <c r="O932" t="s">
        <v>2833</v>
      </c>
      <c r="P932" t="s">
        <v>2833</v>
      </c>
      <c r="Q932" t="s">
        <v>111</v>
      </c>
      <c r="R932">
        <f ca="1">RAND()*(Validation[[#This Row],[Range1_High]]-Validation[[#This Row],[Range1_Low]])+Validation[[#This Row],[Range1_Low]]</f>
        <v>1366.8266064794238</v>
      </c>
      <c r="S932">
        <f>Validation[[#This Row],[Range2_High]]</f>
        <v>0</v>
      </c>
      <c r="T932" t="str" cm="1">
        <f t="array" aca="1" ref="T932" ca="1">RoundToTwoSigFigs(Validation[[#This Row],[Test Reading]]*Validation[[#This Row],[Mult]]+Validation[[#This Row],[Base]]) &amp;" "&amp;Validation[[#This Row],[Uncert_Units]]</f>
        <v>0.59 °C</v>
      </c>
      <c r="U9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932" t="b">
        <f ca="1">Validation[[#This Row],[Desired Result]]=Validation[[#This Row],[Result]]</f>
        <v>1</v>
      </c>
      <c r="W932" t="b">
        <v>0</v>
      </c>
      <c r="X932" t="b">
        <f>Validation[[#This Row],[Range1_Low]]&gt;=Validation[[#This Row],[Range1_High]]</f>
        <v>0</v>
      </c>
      <c r="Y932" s="111" t="s">
        <v>2845</v>
      </c>
    </row>
    <row r="933" spans="1:25" x14ac:dyDescent="0.25">
      <c r="A933" t="s">
        <v>54</v>
      </c>
      <c r="B933" t="s">
        <v>89</v>
      </c>
      <c r="C933">
        <v>1372</v>
      </c>
      <c r="D933">
        <v>1372.1</v>
      </c>
      <c r="E933">
        <v>1</v>
      </c>
      <c r="F933" t="s">
        <v>23</v>
      </c>
      <c r="G933" t="s">
        <v>23</v>
      </c>
      <c r="H933">
        <v>0</v>
      </c>
      <c r="I933">
        <v>0</v>
      </c>
      <c r="J933" t="s">
        <v>2833</v>
      </c>
      <c r="K933">
        <v>0.74634382200000005</v>
      </c>
      <c r="L933">
        <v>0</v>
      </c>
      <c r="M933">
        <v>0.74015267399999995</v>
      </c>
      <c r="N933">
        <v>0</v>
      </c>
      <c r="O933" t="s">
        <v>2833</v>
      </c>
      <c r="P933" t="s">
        <v>2833</v>
      </c>
      <c r="Q933" t="s">
        <v>111</v>
      </c>
      <c r="R933">
        <f ca="1">RAND()*(Validation[[#This Row],[Range1_High]]-Validation[[#This Row],[Range1_Low]])+Validation[[#This Row],[Range1_Low]]</f>
        <v>1372.0255837262762</v>
      </c>
      <c r="S933">
        <f>Validation[[#This Row],[Range2_High]]</f>
        <v>0</v>
      </c>
      <c r="T933" t="str" cm="1">
        <f t="array" aca="1" ref="T933" ca="1">RoundToTwoSigFigs(Validation[[#This Row],[Test Reading]]*Validation[[#This Row],[Mult]]+Validation[[#This Row],[Base]]) &amp;" "&amp;Validation[[#This Row],[Uncert_Units]]</f>
        <v>0.75 °C</v>
      </c>
      <c r="U9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V933" t="b">
        <f ca="1">Validation[[#This Row],[Desired Result]]=Validation[[#This Row],[Result]]</f>
        <v>1</v>
      </c>
      <c r="W933" t="b">
        <v>0</v>
      </c>
      <c r="X933" t="b">
        <f>Validation[[#This Row],[Range1_Low]]&gt;=Validation[[#This Row],[Range1_High]]</f>
        <v>0</v>
      </c>
      <c r="Y933" s="111" t="s">
        <v>2845</v>
      </c>
    </row>
    <row r="934" spans="1:25" ht="15.75" thickBot="1" x14ac:dyDescent="0.3">
      <c r="A934" t="s">
        <v>54</v>
      </c>
      <c r="B934" t="s">
        <v>89</v>
      </c>
      <c r="C934">
        <v>1372</v>
      </c>
      <c r="D934">
        <v>1372.1</v>
      </c>
      <c r="E934">
        <v>0.1</v>
      </c>
      <c r="F934" t="s">
        <v>23</v>
      </c>
      <c r="G934" t="s">
        <v>23</v>
      </c>
      <c r="H934">
        <v>0</v>
      </c>
      <c r="I934">
        <v>0</v>
      </c>
      <c r="J934" t="s">
        <v>2833</v>
      </c>
      <c r="K934">
        <v>0.46917668400000001</v>
      </c>
      <c r="L934">
        <v>0</v>
      </c>
      <c r="M934">
        <v>0.466718309</v>
      </c>
      <c r="N934">
        <v>0</v>
      </c>
      <c r="O934" t="s">
        <v>2833</v>
      </c>
      <c r="P934" t="s">
        <v>2833</v>
      </c>
      <c r="Q934" t="s">
        <v>111</v>
      </c>
      <c r="R934">
        <f ca="1">RAND()*(Validation[[#This Row],[Range1_High]]-Validation[[#This Row],[Range1_Low]])+Validation[[#This Row],[Range1_Low]]</f>
        <v>1372.0344322854125</v>
      </c>
      <c r="S934">
        <f>Validation[[#This Row],[Range2_High]]</f>
        <v>0</v>
      </c>
      <c r="T934" t="str" cm="1">
        <f t="array" aca="1" ref="T934" ca="1">RoundToTwoSigFigs(Validation[[#This Row],[Test Reading]]*Validation[[#This Row],[Mult]]+Validation[[#This Row],[Base]]) &amp;" "&amp;Validation[[#This Row],[Uncert_Units]]</f>
        <v>0.47 °C</v>
      </c>
      <c r="U9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V934" t="b">
        <f ca="1">Validation[[#This Row],[Desired Result]]=Validation[[#This Row],[Result]]</f>
        <v>1</v>
      </c>
      <c r="W934" t="b">
        <v>0</v>
      </c>
      <c r="X934" t="b">
        <f>Validation[[#This Row],[Range1_Low]]&gt;=Validation[[#This Row],[Range1_High]]</f>
        <v>0</v>
      </c>
      <c r="Y934" s="111" t="s">
        <v>2845</v>
      </c>
    </row>
    <row r="935" spans="1:25" ht="16.5" thickTop="1" thickBot="1" x14ac:dyDescent="0.3">
      <c r="A935" t="s">
        <v>54</v>
      </c>
      <c r="B935" t="s">
        <v>92</v>
      </c>
      <c r="C935" s="113">
        <v>-25</v>
      </c>
      <c r="D935" s="113">
        <v>120.1</v>
      </c>
      <c r="E935">
        <v>0.1</v>
      </c>
      <c r="F935" t="s">
        <v>23</v>
      </c>
      <c r="G935" t="s">
        <v>23</v>
      </c>
      <c r="H935">
        <v>0</v>
      </c>
      <c r="I935">
        <v>0</v>
      </c>
      <c r="J935" t="s">
        <v>2833</v>
      </c>
      <c r="K935">
        <v>0.23706429000000001</v>
      </c>
      <c r="L935">
        <v>0</v>
      </c>
      <c r="M935">
        <v>0.229728232</v>
      </c>
      <c r="N935">
        <v>0</v>
      </c>
      <c r="O935" t="s">
        <v>2833</v>
      </c>
      <c r="P935" t="s">
        <v>2833</v>
      </c>
      <c r="Q935" t="s">
        <v>162</v>
      </c>
      <c r="R935">
        <f ca="1">RAND()*(Validation[[#This Row],[Range1_High]]-Validation[[#This Row],[Range1_Low]])+Validation[[#This Row],[Range1_Low]]</f>
        <v>55.055051021988803</v>
      </c>
      <c r="S935">
        <f>Validation[[#This Row],[Range2_High]]</f>
        <v>0</v>
      </c>
      <c r="T935" t="str" cm="1">
        <f t="array" aca="1" ref="T935" ca="1">RoundToTwoSigFigs(Validation[[#This Row],[Test Reading]]*Validation[[#This Row],[Mult]]+Validation[[#This Row],[Base]]) &amp;" "&amp;Validation[[#This Row],[Uncert_Units]]</f>
        <v>0.24 °C</v>
      </c>
      <c r="U9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V935" t="b">
        <f ca="1">Validation[[#This Row],[Desired Result]]=Validation[[#This Row],[Result]]</f>
        <v>1</v>
      </c>
      <c r="W935" t="b">
        <v>1</v>
      </c>
      <c r="X935" t="b">
        <f>Validation[[#This Row],[Range1_Low]]&gt;=Validation[[#This Row],[Range1_High]]</f>
        <v>0</v>
      </c>
      <c r="Y935" s="111" t="s">
        <v>2843</v>
      </c>
    </row>
    <row r="936" spans="1:25" ht="15.75" thickTop="1" x14ac:dyDescent="0.25">
      <c r="A936" t="s">
        <v>55</v>
      </c>
      <c r="B936" t="s">
        <v>92</v>
      </c>
      <c r="C936">
        <v>-240</v>
      </c>
      <c r="D936">
        <v>-101.001</v>
      </c>
      <c r="E936">
        <v>1</v>
      </c>
      <c r="F936" t="s">
        <v>23</v>
      </c>
      <c r="G936" t="s">
        <v>23</v>
      </c>
      <c r="H936">
        <v>0</v>
      </c>
      <c r="I936">
        <v>0</v>
      </c>
      <c r="J936" t="s">
        <v>2833</v>
      </c>
      <c r="K936">
        <v>0.60401860600000001</v>
      </c>
      <c r="L936">
        <v>0</v>
      </c>
      <c r="M936">
        <v>0.58767516900000005</v>
      </c>
      <c r="N936">
        <v>0</v>
      </c>
      <c r="O936" t="s">
        <v>2833</v>
      </c>
      <c r="P936" t="s">
        <v>2833</v>
      </c>
      <c r="Q936" t="s">
        <v>162</v>
      </c>
      <c r="R936">
        <f ca="1">RAND()*(Validation[[#This Row],[Range1_High]]-Validation[[#This Row],[Range1_Low]])+Validation[[#This Row],[Range1_Low]]</f>
        <v>-109.00390981273398</v>
      </c>
      <c r="S936">
        <f>Validation[[#This Row],[Range2_High]]</f>
        <v>0</v>
      </c>
      <c r="T936" t="str" cm="1">
        <f t="array" aca="1" ref="T936" ca="1">RoundToTwoSigFigs(Validation[[#This Row],[Test Reading]]*Validation[[#This Row],[Mult]]+Validation[[#This Row],[Base]]) &amp;" "&amp;Validation[[#This Row],[Uncert_Units]]</f>
        <v>0.6 °C</v>
      </c>
      <c r="U9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936" t="b">
        <f ca="1">Validation[[#This Row],[Desired Result]]=Validation[[#This Row],[Result]]</f>
        <v>1</v>
      </c>
      <c r="W936" t="b">
        <v>0</v>
      </c>
      <c r="X936" t="b">
        <f>Validation[[#This Row],[Range1_Low]]&gt;=Validation[[#This Row],[Range1_High]]</f>
        <v>0</v>
      </c>
      <c r="Y936" s="111" t="s">
        <v>2845</v>
      </c>
    </row>
    <row r="937" spans="1:25" ht="15.75" thickBot="1" x14ac:dyDescent="0.3">
      <c r="A937" t="s">
        <v>55</v>
      </c>
      <c r="B937" t="s">
        <v>92</v>
      </c>
      <c r="C937">
        <v>816.00099999999998</v>
      </c>
      <c r="D937">
        <v>1300</v>
      </c>
      <c r="E937">
        <v>0.1</v>
      </c>
      <c r="F937" t="s">
        <v>23</v>
      </c>
      <c r="G937" t="s">
        <v>23</v>
      </c>
      <c r="H937">
        <v>0</v>
      </c>
      <c r="I937">
        <v>0</v>
      </c>
      <c r="J937" t="s">
        <v>2833</v>
      </c>
      <c r="K937">
        <v>8.6273836000000007E-2</v>
      </c>
      <c r="L937">
        <v>0</v>
      </c>
      <c r="M937">
        <v>7.3915043999999999E-2</v>
      </c>
      <c r="N937">
        <v>0</v>
      </c>
      <c r="O937" t="s">
        <v>2833</v>
      </c>
      <c r="P937" t="s">
        <v>2833</v>
      </c>
      <c r="Q937" t="s">
        <v>162</v>
      </c>
      <c r="R937">
        <f ca="1">RAND()*(Validation[[#This Row],[Range1_High]]-Validation[[#This Row],[Range1_Low]])+Validation[[#This Row],[Range1_Low]]</f>
        <v>1181.2436723490102</v>
      </c>
      <c r="S937">
        <f>Validation[[#This Row],[Range2_High]]</f>
        <v>0</v>
      </c>
      <c r="T937" t="str" cm="1">
        <f t="array" aca="1" ref="T937" ca="1">RoundToTwoSigFigs(Validation[[#This Row],[Test Reading]]*Validation[[#This Row],[Mult]]+Validation[[#This Row],[Base]]) &amp;" "&amp;Validation[[#This Row],[Uncert_Units]]</f>
        <v>0.086 °C</v>
      </c>
      <c r="U9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V937" t="b">
        <f ca="1">Validation[[#This Row],[Desired Result]]=Validation[[#This Row],[Result]]</f>
        <v>1</v>
      </c>
      <c r="W937" t="b">
        <v>0</v>
      </c>
      <c r="X937" t="b">
        <f>Validation[[#This Row],[Range1_Low]]&gt;=Validation[[#This Row],[Range1_High]]</f>
        <v>0</v>
      </c>
      <c r="Y937" s="111" t="s">
        <v>2845</v>
      </c>
    </row>
    <row r="938" spans="1:25" ht="16.5" thickTop="1" thickBot="1" x14ac:dyDescent="0.3">
      <c r="A938" t="s">
        <v>54</v>
      </c>
      <c r="B938" t="s">
        <v>92</v>
      </c>
      <c r="C938" s="113">
        <v>-25</v>
      </c>
      <c r="D938" s="113">
        <v>120.1</v>
      </c>
      <c r="E938">
        <v>1</v>
      </c>
      <c r="F938" t="s">
        <v>23</v>
      </c>
      <c r="G938" t="s">
        <v>23</v>
      </c>
      <c r="H938">
        <v>0</v>
      </c>
      <c r="I938">
        <v>0</v>
      </c>
      <c r="J938" t="s">
        <v>2833</v>
      </c>
      <c r="K938">
        <v>0.62966080400000002</v>
      </c>
      <c r="L938">
        <v>0</v>
      </c>
      <c r="M938">
        <v>0.61868817700000001</v>
      </c>
      <c r="N938">
        <v>0</v>
      </c>
      <c r="O938" t="s">
        <v>2833</v>
      </c>
      <c r="P938" t="s">
        <v>2833</v>
      </c>
      <c r="Q938" t="s">
        <v>162</v>
      </c>
      <c r="R938">
        <f ca="1">RAND()*(Validation[[#This Row],[Range1_High]]-Validation[[#This Row],[Range1_Low]])+Validation[[#This Row],[Range1_Low]]</f>
        <v>-21.545286552463928</v>
      </c>
      <c r="S938">
        <f>Validation[[#This Row],[Range2_High]]</f>
        <v>0</v>
      </c>
      <c r="T938" t="str" cm="1">
        <f t="array" aca="1" ref="T938" ca="1">RoundToTwoSigFigs(Validation[[#This Row],[Test Reading]]*Validation[[#This Row],[Mult]]+Validation[[#This Row],[Base]]) &amp;" "&amp;Validation[[#This Row],[Uncert_Units]]</f>
        <v>0.63 °C</v>
      </c>
      <c r="U9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V938" t="b">
        <f ca="1">Validation[[#This Row],[Desired Result]]=Validation[[#This Row],[Result]]</f>
        <v>1</v>
      </c>
      <c r="W938" t="b">
        <v>1</v>
      </c>
      <c r="X938" t="b">
        <f>Validation[[#This Row],[Range1_Low]]&gt;=Validation[[#This Row],[Range1_High]]</f>
        <v>0</v>
      </c>
      <c r="Y938" s="111" t="s">
        <v>2843</v>
      </c>
    </row>
    <row r="939" spans="1:25" ht="16.5" thickTop="1" thickBot="1" x14ac:dyDescent="0.3">
      <c r="A939" t="s">
        <v>54</v>
      </c>
      <c r="B939" t="s">
        <v>92</v>
      </c>
      <c r="C939" s="113">
        <v>120</v>
      </c>
      <c r="D939" s="113">
        <v>410.1</v>
      </c>
      <c r="E939">
        <v>0.1</v>
      </c>
      <c r="F939" t="s">
        <v>23</v>
      </c>
      <c r="G939" t="s">
        <v>23</v>
      </c>
      <c r="H939">
        <v>0</v>
      </c>
      <c r="I939">
        <v>0</v>
      </c>
      <c r="J939" t="s">
        <v>2833</v>
      </c>
      <c r="K939">
        <v>0.22303414499999999</v>
      </c>
      <c r="L939">
        <v>0</v>
      </c>
      <c r="M939">
        <v>0.218550883</v>
      </c>
      <c r="N939">
        <v>0</v>
      </c>
      <c r="O939" t="s">
        <v>2833</v>
      </c>
      <c r="P939" t="s">
        <v>2833</v>
      </c>
      <c r="Q939" t="s">
        <v>162</v>
      </c>
      <c r="R939">
        <f ca="1">RAND()*(Validation[[#This Row],[Range1_High]]-Validation[[#This Row],[Range1_Low]])+Validation[[#This Row],[Range1_Low]]</f>
        <v>224.58376301844345</v>
      </c>
      <c r="S939">
        <f>Validation[[#This Row],[Range2_High]]</f>
        <v>0</v>
      </c>
      <c r="T939" t="str" cm="1">
        <f t="array" aca="1" ref="T939" ca="1">RoundToTwoSigFigs(Validation[[#This Row],[Test Reading]]*Validation[[#This Row],[Mult]]+Validation[[#This Row],[Base]]) &amp;" "&amp;Validation[[#This Row],[Uncert_Units]]</f>
        <v>0.22 °C</v>
      </c>
      <c r="U9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V939" t="b">
        <f ca="1">Validation[[#This Row],[Desired Result]]=Validation[[#This Row],[Result]]</f>
        <v>1</v>
      </c>
      <c r="W939" t="b">
        <v>1</v>
      </c>
      <c r="X939" t="b">
        <f>Validation[[#This Row],[Range1_Low]]&gt;=Validation[[#This Row],[Range1_High]]</f>
        <v>0</v>
      </c>
      <c r="Y939" s="111" t="s">
        <v>2843</v>
      </c>
    </row>
    <row r="940" spans="1:25" ht="16.5" thickTop="1" thickBot="1" x14ac:dyDescent="0.3">
      <c r="A940" t="s">
        <v>54</v>
      </c>
      <c r="B940" t="s">
        <v>92</v>
      </c>
      <c r="C940">
        <v>-200</v>
      </c>
      <c r="D940">
        <v>-99.9</v>
      </c>
      <c r="E940">
        <v>0.1</v>
      </c>
      <c r="F940" t="s">
        <v>23</v>
      </c>
      <c r="G940" t="s">
        <v>23</v>
      </c>
      <c r="H940">
        <v>0</v>
      </c>
      <c r="I940">
        <v>0</v>
      </c>
      <c r="J940" t="s">
        <v>2833</v>
      </c>
      <c r="K940">
        <v>0.47200850999999999</v>
      </c>
      <c r="L940">
        <v>0</v>
      </c>
      <c r="M940">
        <v>0.46682217199999998</v>
      </c>
      <c r="N940">
        <v>0</v>
      </c>
      <c r="O940" t="s">
        <v>2833</v>
      </c>
      <c r="P940" t="s">
        <v>2833</v>
      </c>
      <c r="Q940" t="s">
        <v>162</v>
      </c>
      <c r="R940">
        <f ca="1">RAND()*(Validation[[#This Row],[Range1_High]]-Validation[[#This Row],[Range1_Low]])+Validation[[#This Row],[Range1_Low]]</f>
        <v>-144.561091791427</v>
      </c>
      <c r="S940">
        <f>Validation[[#This Row],[Range2_High]]</f>
        <v>0</v>
      </c>
      <c r="T940" t="str" cm="1">
        <f t="array" aca="1" ref="T940" ca="1">RoundToTwoSigFigs(Validation[[#This Row],[Test Reading]]*Validation[[#This Row],[Mult]]+Validation[[#This Row],[Base]]) &amp;" "&amp;Validation[[#This Row],[Uncert_Units]]</f>
        <v>0.47 °C</v>
      </c>
      <c r="U9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V940" t="b">
        <f ca="1">Validation[[#This Row],[Desired Result]]=Validation[[#This Row],[Result]]</f>
        <v>1</v>
      </c>
      <c r="W940" t="b">
        <v>0</v>
      </c>
      <c r="X940" t="b">
        <f>Validation[[#This Row],[Range1_Low]]&gt;=Validation[[#This Row],[Range1_High]]</f>
        <v>0</v>
      </c>
      <c r="Y940" s="111" t="s">
        <v>2845</v>
      </c>
    </row>
    <row r="941" spans="1:25" ht="16.5" thickTop="1" thickBot="1" x14ac:dyDescent="0.3">
      <c r="A941" t="s">
        <v>54</v>
      </c>
      <c r="B941" t="s">
        <v>92</v>
      </c>
      <c r="C941" s="113">
        <v>410</v>
      </c>
      <c r="D941" s="113">
        <v>1300</v>
      </c>
      <c r="E941">
        <v>1</v>
      </c>
      <c r="F941" t="s">
        <v>23</v>
      </c>
      <c r="G941" t="s">
        <v>23</v>
      </c>
      <c r="H941">
        <v>0</v>
      </c>
      <c r="I941">
        <v>0</v>
      </c>
      <c r="J941" t="s">
        <v>2833</v>
      </c>
      <c r="K941">
        <v>0.66302559000000005</v>
      </c>
      <c r="L941">
        <v>0</v>
      </c>
      <c r="M941">
        <v>0.65702661200000001</v>
      </c>
      <c r="N941">
        <v>0</v>
      </c>
      <c r="O941" t="s">
        <v>2833</v>
      </c>
      <c r="P941" t="s">
        <v>2833</v>
      </c>
      <c r="Q941" t="s">
        <v>162</v>
      </c>
      <c r="R941">
        <f ca="1">RAND()*(Validation[[#This Row],[Range1_High]]-Validation[[#This Row],[Range1_Low]])+Validation[[#This Row],[Range1_Low]]</f>
        <v>1006.1645273484816</v>
      </c>
      <c r="S941">
        <f>Validation[[#This Row],[Range2_High]]</f>
        <v>0</v>
      </c>
      <c r="T941" t="str" cm="1">
        <f t="array" aca="1" ref="T941" ca="1">RoundToTwoSigFigs(Validation[[#This Row],[Test Reading]]*Validation[[#This Row],[Mult]]+Validation[[#This Row],[Base]]) &amp;" "&amp;Validation[[#This Row],[Uncert_Units]]</f>
        <v>0.66 °C</v>
      </c>
      <c r="U9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V941" t="b">
        <f ca="1">Validation[[#This Row],[Desired Result]]=Validation[[#This Row],[Result]]</f>
        <v>1</v>
      </c>
      <c r="W941" t="b">
        <v>1</v>
      </c>
      <c r="X941" t="b">
        <f>Validation[[#This Row],[Range1_Low]]&gt;=Validation[[#This Row],[Range1_High]]</f>
        <v>0</v>
      </c>
      <c r="Y941" s="111" t="s">
        <v>2843</v>
      </c>
    </row>
    <row r="942" spans="1:25" ht="15.75" thickTop="1" x14ac:dyDescent="0.25">
      <c r="A942" t="s">
        <v>55</v>
      </c>
      <c r="B942" t="s">
        <v>93</v>
      </c>
      <c r="C942">
        <v>1204.001</v>
      </c>
      <c r="D942">
        <v>1768</v>
      </c>
      <c r="E942">
        <v>0.1</v>
      </c>
      <c r="F942" t="s">
        <v>23</v>
      </c>
      <c r="G942" t="s">
        <v>23</v>
      </c>
      <c r="H942">
        <v>0</v>
      </c>
      <c r="I942">
        <v>0</v>
      </c>
      <c r="J942" t="s">
        <v>2833</v>
      </c>
      <c r="K942">
        <v>0.108719156</v>
      </c>
      <c r="L942">
        <v>0</v>
      </c>
      <c r="M942">
        <v>8.8053164000000003E-2</v>
      </c>
      <c r="N942">
        <v>0</v>
      </c>
      <c r="O942" t="s">
        <v>2833</v>
      </c>
      <c r="P942" t="s">
        <v>2833</v>
      </c>
      <c r="Q942" t="s">
        <v>163</v>
      </c>
      <c r="R942">
        <f ca="1">RAND()*(Validation[[#This Row],[Range1_High]]-Validation[[#This Row],[Range1_Low]])+Validation[[#This Row],[Range1_Low]]</f>
        <v>1216.7437692461651</v>
      </c>
      <c r="S942">
        <f>Validation[[#This Row],[Range2_High]]</f>
        <v>0</v>
      </c>
      <c r="T942" t="str" cm="1">
        <f t="array" aca="1" ref="T942" ca="1">RoundToTwoSigFigs(Validation[[#This Row],[Test Reading]]*Validation[[#This Row],[Mult]]+Validation[[#This Row],[Base]]) &amp;" "&amp;Validation[[#This Row],[Uncert_Units]]</f>
        <v>0.11 °C</v>
      </c>
      <c r="U9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V942" t="b">
        <f ca="1">Validation[[#This Row],[Desired Result]]=Validation[[#This Row],[Result]]</f>
        <v>1</v>
      </c>
      <c r="W942" t="b">
        <v>0</v>
      </c>
      <c r="X942" t="b">
        <f>Validation[[#This Row],[Range1_Low]]&gt;=Validation[[#This Row],[Range1_High]]</f>
        <v>0</v>
      </c>
      <c r="Y942" s="111" t="s">
        <v>2845</v>
      </c>
    </row>
    <row r="943" spans="1:25" x14ac:dyDescent="0.25">
      <c r="A943" t="s">
        <v>55</v>
      </c>
      <c r="B943" t="s">
        <v>93</v>
      </c>
      <c r="C943">
        <v>-50</v>
      </c>
      <c r="D943">
        <v>-1E-3</v>
      </c>
      <c r="E943">
        <v>1</v>
      </c>
      <c r="F943" t="s">
        <v>23</v>
      </c>
      <c r="G943" t="s">
        <v>23</v>
      </c>
      <c r="H943">
        <v>0</v>
      </c>
      <c r="I943">
        <v>0</v>
      </c>
      <c r="J943" t="s">
        <v>2833</v>
      </c>
      <c r="K943">
        <v>0.605971394</v>
      </c>
      <c r="L943">
        <v>0</v>
      </c>
      <c r="M943">
        <v>0.58986353000000002</v>
      </c>
      <c r="N943">
        <v>0</v>
      </c>
      <c r="O943" t="s">
        <v>2833</v>
      </c>
      <c r="P943" t="s">
        <v>2833</v>
      </c>
      <c r="Q943" t="s">
        <v>163</v>
      </c>
      <c r="R943">
        <f ca="1">RAND()*(Validation[[#This Row],[Range1_High]]-Validation[[#This Row],[Range1_Low]])+Validation[[#This Row],[Range1_Low]]</f>
        <v>-41.743850926275172</v>
      </c>
      <c r="S943">
        <f>Validation[[#This Row],[Range2_High]]</f>
        <v>0</v>
      </c>
      <c r="T943" t="str" cm="1">
        <f t="array" aca="1" ref="T943" ca="1">RoundToTwoSigFigs(Validation[[#This Row],[Test Reading]]*Validation[[#This Row],[Mult]]+Validation[[#This Row],[Base]]) &amp;" "&amp;Validation[[#This Row],[Uncert_Units]]</f>
        <v>0.61 °C</v>
      </c>
      <c r="U9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943" t="b">
        <f ca="1">Validation[[#This Row],[Desired Result]]=Validation[[#This Row],[Result]]</f>
        <v>1</v>
      </c>
      <c r="W943" t="b">
        <v>0</v>
      </c>
      <c r="X943" t="b">
        <f>Validation[[#This Row],[Range1_Low]]&gt;=Validation[[#This Row],[Range1_High]]</f>
        <v>0</v>
      </c>
      <c r="Y943" s="111" t="s">
        <v>2845</v>
      </c>
    </row>
    <row r="944" spans="1:25" ht="15.75" thickBot="1" x14ac:dyDescent="0.3">
      <c r="A944" t="s">
        <v>54</v>
      </c>
      <c r="B944" t="s">
        <v>93</v>
      </c>
      <c r="C944">
        <v>0</v>
      </c>
      <c r="D944">
        <v>250.1</v>
      </c>
      <c r="E944">
        <v>0.1</v>
      </c>
      <c r="F944" t="s">
        <v>23</v>
      </c>
      <c r="G944" t="s">
        <v>23</v>
      </c>
      <c r="H944">
        <v>0</v>
      </c>
      <c r="I944">
        <v>0</v>
      </c>
      <c r="J944" t="s">
        <v>2833</v>
      </c>
      <c r="K944">
        <v>0.66952654300000003</v>
      </c>
      <c r="L944">
        <v>0</v>
      </c>
      <c r="M944">
        <v>0.66592057000000004</v>
      </c>
      <c r="N944">
        <v>0</v>
      </c>
      <c r="O944" t="s">
        <v>2833</v>
      </c>
      <c r="P944" t="s">
        <v>2833</v>
      </c>
      <c r="Q944" t="s">
        <v>163</v>
      </c>
      <c r="R944">
        <f ca="1">RAND()*(Validation[[#This Row],[Range1_High]]-Validation[[#This Row],[Range1_Low]])+Validation[[#This Row],[Range1_Low]]</f>
        <v>34.811097276076019</v>
      </c>
      <c r="S944">
        <f>Validation[[#This Row],[Range2_High]]</f>
        <v>0</v>
      </c>
      <c r="T944" t="str" cm="1">
        <f t="array" aca="1" ref="T944" ca="1">RoundToTwoSigFigs(Validation[[#This Row],[Test Reading]]*Validation[[#This Row],[Mult]]+Validation[[#This Row],[Base]]) &amp;" "&amp;Validation[[#This Row],[Uncert_Units]]</f>
        <v>0.67 °C</v>
      </c>
      <c r="U9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V944" t="b">
        <f ca="1">Validation[[#This Row],[Desired Result]]=Validation[[#This Row],[Result]]</f>
        <v>1</v>
      </c>
      <c r="W944" t="b">
        <v>0</v>
      </c>
      <c r="X944" t="b">
        <f>Validation[[#This Row],[Range1_Low]]&gt;=Validation[[#This Row],[Range1_High]]</f>
        <v>0</v>
      </c>
      <c r="Y944" s="111" t="s">
        <v>2845</v>
      </c>
    </row>
    <row r="945" spans="1:25" ht="16.5" thickTop="1" thickBot="1" x14ac:dyDescent="0.3">
      <c r="A945" t="s">
        <v>54</v>
      </c>
      <c r="B945" t="s">
        <v>93</v>
      </c>
      <c r="C945" s="113">
        <v>400</v>
      </c>
      <c r="D945" s="113">
        <v>1000.1</v>
      </c>
      <c r="E945">
        <v>1</v>
      </c>
      <c r="F945" t="s">
        <v>23</v>
      </c>
      <c r="G945" t="s">
        <v>23</v>
      </c>
      <c r="H945">
        <v>0</v>
      </c>
      <c r="I945">
        <v>0</v>
      </c>
      <c r="J945" t="s">
        <v>2833</v>
      </c>
      <c r="K945">
        <v>0.70538411599999995</v>
      </c>
      <c r="L945">
        <v>0</v>
      </c>
      <c r="M945">
        <v>0.69375843800000003</v>
      </c>
      <c r="N945">
        <v>0</v>
      </c>
      <c r="O945" t="s">
        <v>2833</v>
      </c>
      <c r="P945" t="s">
        <v>2833</v>
      </c>
      <c r="Q945" t="s">
        <v>163</v>
      </c>
      <c r="R945">
        <f ca="1">RAND()*(Validation[[#This Row],[Range1_High]]-Validation[[#This Row],[Range1_Low]])+Validation[[#This Row],[Range1_Low]]</f>
        <v>662.78395649463141</v>
      </c>
      <c r="S945">
        <f>Validation[[#This Row],[Range2_High]]</f>
        <v>0</v>
      </c>
      <c r="T945" t="str" cm="1">
        <f t="array" aca="1" ref="T945" ca="1">RoundToTwoSigFigs(Validation[[#This Row],[Test Reading]]*Validation[[#This Row],[Mult]]+Validation[[#This Row],[Base]]) &amp;" "&amp;Validation[[#This Row],[Uncert_Units]]</f>
        <v>0.71 °C</v>
      </c>
      <c r="U9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V945" t="b">
        <f ca="1">Validation[[#This Row],[Desired Result]]=Validation[[#This Row],[Result]]</f>
        <v>1</v>
      </c>
      <c r="W945" t="b">
        <v>1</v>
      </c>
      <c r="X945" t="b">
        <f>Validation[[#This Row],[Range1_Low]]&gt;=Validation[[#This Row],[Range1_High]]</f>
        <v>0</v>
      </c>
      <c r="Y945" s="111" t="s">
        <v>2843</v>
      </c>
    </row>
    <row r="946" spans="1:25" ht="16.5" thickTop="1" thickBot="1" x14ac:dyDescent="0.3">
      <c r="A946" t="s">
        <v>55</v>
      </c>
      <c r="B946" t="s">
        <v>93</v>
      </c>
      <c r="C946">
        <v>0</v>
      </c>
      <c r="D946">
        <v>593</v>
      </c>
      <c r="E946">
        <v>0.1</v>
      </c>
      <c r="F946" t="s">
        <v>23</v>
      </c>
      <c r="G946" t="s">
        <v>23</v>
      </c>
      <c r="H946">
        <v>0</v>
      </c>
      <c r="I946">
        <v>0</v>
      </c>
      <c r="J946" t="s">
        <v>2833</v>
      </c>
      <c r="K946">
        <v>0.11485242499999999</v>
      </c>
      <c r="L946">
        <v>0</v>
      </c>
      <c r="M946">
        <v>9.1517720999999996E-2</v>
      </c>
      <c r="N946">
        <v>0</v>
      </c>
      <c r="O946" t="s">
        <v>2833</v>
      </c>
      <c r="P946" t="s">
        <v>2833</v>
      </c>
      <c r="Q946" t="s">
        <v>163</v>
      </c>
      <c r="R946">
        <f ca="1">RAND()*(Validation[[#This Row],[Range1_High]]-Validation[[#This Row],[Range1_Low]])+Validation[[#This Row],[Range1_Low]]</f>
        <v>311.42548718279369</v>
      </c>
      <c r="S946">
        <f>Validation[[#This Row],[Range2_High]]</f>
        <v>0</v>
      </c>
      <c r="T946" t="str" cm="1">
        <f t="array" aca="1" ref="T946" ca="1">RoundToTwoSigFigs(Validation[[#This Row],[Test Reading]]*Validation[[#This Row],[Mult]]+Validation[[#This Row],[Base]]) &amp;" "&amp;Validation[[#This Row],[Uncert_Units]]</f>
        <v>0.11 °C</v>
      </c>
      <c r="U9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V946" t="b">
        <f ca="1">Validation[[#This Row],[Desired Result]]=Validation[[#This Row],[Result]]</f>
        <v>1</v>
      </c>
      <c r="W946" t="b">
        <v>0</v>
      </c>
      <c r="X946" t="b">
        <f>Validation[[#This Row],[Range1_Low]]&gt;=Validation[[#This Row],[Range1_High]]</f>
        <v>0</v>
      </c>
      <c r="Y946" s="111" t="s">
        <v>2845</v>
      </c>
    </row>
    <row r="947" spans="1:25" ht="16.5" thickTop="1" thickBot="1" x14ac:dyDescent="0.3">
      <c r="A947" t="s">
        <v>54</v>
      </c>
      <c r="B947" t="s">
        <v>93</v>
      </c>
      <c r="C947" s="113">
        <v>400</v>
      </c>
      <c r="D947" s="113">
        <v>1000.1</v>
      </c>
      <c r="E947">
        <v>0.1</v>
      </c>
      <c r="F947" t="s">
        <v>23</v>
      </c>
      <c r="G947" t="s">
        <v>23</v>
      </c>
      <c r="H947">
        <v>0</v>
      </c>
      <c r="I947">
        <v>0</v>
      </c>
      <c r="J947" t="s">
        <v>2833</v>
      </c>
      <c r="K947">
        <v>0.39416654600000001</v>
      </c>
      <c r="L947">
        <v>0</v>
      </c>
      <c r="M947">
        <v>0.38897399700000002</v>
      </c>
      <c r="N947">
        <v>0</v>
      </c>
      <c r="O947" t="s">
        <v>2833</v>
      </c>
      <c r="P947" t="s">
        <v>2833</v>
      </c>
      <c r="Q947" t="s">
        <v>163</v>
      </c>
      <c r="R947">
        <f ca="1">RAND()*(Validation[[#This Row],[Range1_High]]-Validation[[#This Row],[Range1_Low]])+Validation[[#This Row],[Range1_Low]]</f>
        <v>715.68876899520933</v>
      </c>
      <c r="S947">
        <f>Validation[[#This Row],[Range2_High]]</f>
        <v>0</v>
      </c>
      <c r="T947" t="str" cm="1">
        <f t="array" aca="1" ref="T947" ca="1">RoundToTwoSigFigs(Validation[[#This Row],[Test Reading]]*Validation[[#This Row],[Mult]]+Validation[[#This Row],[Base]]) &amp;" "&amp;Validation[[#This Row],[Uncert_Units]]</f>
        <v>0.39 °C</v>
      </c>
      <c r="U9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V947" t="b">
        <f ca="1">Validation[[#This Row],[Desired Result]]=Validation[[#This Row],[Result]]</f>
        <v>1</v>
      </c>
      <c r="W947" t="b">
        <v>1</v>
      </c>
      <c r="X947" t="b">
        <f>Validation[[#This Row],[Range1_Low]]&gt;=Validation[[#This Row],[Range1_High]]</f>
        <v>0</v>
      </c>
      <c r="Y947" s="111" t="s">
        <v>2843</v>
      </c>
    </row>
    <row r="948" spans="1:25" ht="15.75" thickTop="1" x14ac:dyDescent="0.25">
      <c r="A948" t="s">
        <v>55</v>
      </c>
      <c r="B948" t="s">
        <v>93</v>
      </c>
      <c r="C948">
        <v>0</v>
      </c>
      <c r="D948">
        <v>593</v>
      </c>
      <c r="E948">
        <v>1</v>
      </c>
      <c r="F948" t="s">
        <v>23</v>
      </c>
      <c r="G948" t="s">
        <v>23</v>
      </c>
      <c r="H948">
        <v>0</v>
      </c>
      <c r="I948">
        <v>0</v>
      </c>
      <c r="J948" t="s">
        <v>2833</v>
      </c>
      <c r="K948">
        <v>0.59802829300000004</v>
      </c>
      <c r="L948">
        <v>0</v>
      </c>
      <c r="M948">
        <v>0.581700518</v>
      </c>
      <c r="N948">
        <v>0</v>
      </c>
      <c r="O948" t="s">
        <v>2833</v>
      </c>
      <c r="P948" t="s">
        <v>2833</v>
      </c>
      <c r="Q948" t="s">
        <v>163</v>
      </c>
      <c r="R948">
        <f ca="1">RAND()*(Validation[[#This Row],[Range1_High]]-Validation[[#This Row],[Range1_Low]])+Validation[[#This Row],[Range1_Low]]</f>
        <v>28.711842455277701</v>
      </c>
      <c r="S948">
        <f>Validation[[#This Row],[Range2_High]]</f>
        <v>0</v>
      </c>
      <c r="T948" t="str" cm="1">
        <f t="array" aca="1" ref="T948" ca="1">RoundToTwoSigFigs(Validation[[#This Row],[Test Reading]]*Validation[[#This Row],[Mult]]+Validation[[#This Row],[Base]]) &amp;" "&amp;Validation[[#This Row],[Uncert_Units]]</f>
        <v>0.6 °C</v>
      </c>
      <c r="U9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948" t="b">
        <f ca="1">Validation[[#This Row],[Desired Result]]=Validation[[#This Row],[Result]]</f>
        <v>1</v>
      </c>
      <c r="W948" t="b">
        <v>0</v>
      </c>
      <c r="X948" t="b">
        <f>Validation[[#This Row],[Range1_Low]]&gt;=Validation[[#This Row],[Range1_High]]</f>
        <v>0</v>
      </c>
      <c r="Y948" s="111" t="s">
        <v>2845</v>
      </c>
    </row>
    <row r="949" spans="1:25" x14ac:dyDescent="0.25">
      <c r="A949" t="s">
        <v>55</v>
      </c>
      <c r="B949" t="s">
        <v>93</v>
      </c>
      <c r="C949">
        <v>593.00099999999998</v>
      </c>
      <c r="D949">
        <v>1204</v>
      </c>
      <c r="E949">
        <v>1</v>
      </c>
      <c r="F949" t="s">
        <v>23</v>
      </c>
      <c r="G949" t="s">
        <v>23</v>
      </c>
      <c r="H949">
        <v>0</v>
      </c>
      <c r="I949">
        <v>0</v>
      </c>
      <c r="J949" t="s">
        <v>2833</v>
      </c>
      <c r="K949">
        <v>0.59357086699999995</v>
      </c>
      <c r="L949">
        <v>0</v>
      </c>
      <c r="M949">
        <v>0.57970716200000005</v>
      </c>
      <c r="N949">
        <v>0</v>
      </c>
      <c r="O949" t="s">
        <v>2833</v>
      </c>
      <c r="P949" t="s">
        <v>2833</v>
      </c>
      <c r="Q949" t="s">
        <v>163</v>
      </c>
      <c r="R949">
        <f ca="1">RAND()*(Validation[[#This Row],[Range1_High]]-Validation[[#This Row],[Range1_Low]])+Validation[[#This Row],[Range1_Low]]</f>
        <v>639.83890286467988</v>
      </c>
      <c r="S949">
        <f>Validation[[#This Row],[Range2_High]]</f>
        <v>0</v>
      </c>
      <c r="T949" t="str" cm="1">
        <f t="array" aca="1" ref="T949" ca="1">RoundToTwoSigFigs(Validation[[#This Row],[Test Reading]]*Validation[[#This Row],[Mult]]+Validation[[#This Row],[Base]]) &amp;" "&amp;Validation[[#This Row],[Uncert_Units]]</f>
        <v>0.59 °C</v>
      </c>
      <c r="U9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949" t="b">
        <f ca="1">Validation[[#This Row],[Desired Result]]=Validation[[#This Row],[Result]]</f>
        <v>1</v>
      </c>
      <c r="W949" t="b">
        <v>0</v>
      </c>
      <c r="X949" t="b">
        <f>Validation[[#This Row],[Range1_Low]]&gt;=Validation[[#This Row],[Range1_High]]</f>
        <v>0</v>
      </c>
      <c r="Y949" s="111" t="s">
        <v>2845</v>
      </c>
    </row>
    <row r="950" spans="1:25" x14ac:dyDescent="0.25">
      <c r="A950" t="s">
        <v>54</v>
      </c>
      <c r="B950" t="s">
        <v>94</v>
      </c>
      <c r="C950">
        <v>0</v>
      </c>
      <c r="D950">
        <v>250.1</v>
      </c>
      <c r="E950">
        <v>1</v>
      </c>
      <c r="F950" t="s">
        <v>23</v>
      </c>
      <c r="G950" t="s">
        <v>23</v>
      </c>
      <c r="H950">
        <v>0</v>
      </c>
      <c r="I950">
        <v>0</v>
      </c>
      <c r="J950" t="s">
        <v>2833</v>
      </c>
      <c r="K950">
        <v>0.808466346</v>
      </c>
      <c r="L950">
        <v>0</v>
      </c>
      <c r="M950">
        <v>0.79673304099999998</v>
      </c>
      <c r="N950">
        <v>0</v>
      </c>
      <c r="O950" t="s">
        <v>2833</v>
      </c>
      <c r="P950" t="s">
        <v>2833</v>
      </c>
      <c r="Q950" t="s">
        <v>164</v>
      </c>
      <c r="R950">
        <f ca="1">RAND()*(Validation[[#This Row],[Range1_High]]-Validation[[#This Row],[Range1_Low]])+Validation[[#This Row],[Range1_Low]]</f>
        <v>126.53615794059628</v>
      </c>
      <c r="S950">
        <f>Validation[[#This Row],[Range2_High]]</f>
        <v>0</v>
      </c>
      <c r="T950" t="str" cm="1">
        <f t="array" aca="1" ref="T950" ca="1">RoundToTwoSigFigs(Validation[[#This Row],[Test Reading]]*Validation[[#This Row],[Mult]]+Validation[[#This Row],[Base]]) &amp;" "&amp;Validation[[#This Row],[Uncert_Units]]</f>
        <v>0.81 °C</v>
      </c>
      <c r="U9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V950" t="b">
        <f ca="1">Validation[[#This Row],[Desired Result]]=Validation[[#This Row],[Result]]</f>
        <v>1</v>
      </c>
      <c r="W950" t="b">
        <v>0</v>
      </c>
      <c r="X950" t="b">
        <f>Validation[[#This Row],[Range1_Low]]&gt;=Validation[[#This Row],[Range1_High]]</f>
        <v>0</v>
      </c>
      <c r="Y950" s="111" t="s">
        <v>2845</v>
      </c>
    </row>
    <row r="951" spans="1:25" x14ac:dyDescent="0.25">
      <c r="A951" t="s">
        <v>55</v>
      </c>
      <c r="B951" t="s">
        <v>94</v>
      </c>
      <c r="C951">
        <v>-50</v>
      </c>
      <c r="D951">
        <v>-1E-3</v>
      </c>
      <c r="E951">
        <v>1</v>
      </c>
      <c r="F951" t="s">
        <v>23</v>
      </c>
      <c r="G951" t="s">
        <v>23</v>
      </c>
      <c r="H951">
        <v>0</v>
      </c>
      <c r="I951">
        <v>0</v>
      </c>
      <c r="J951" t="s">
        <v>2833</v>
      </c>
      <c r="K951">
        <v>0.601446166</v>
      </c>
      <c r="L951">
        <v>0</v>
      </c>
      <c r="M951">
        <v>0.58521376000000003</v>
      </c>
      <c r="N951">
        <v>0</v>
      </c>
      <c r="O951" t="s">
        <v>2833</v>
      </c>
      <c r="P951" t="s">
        <v>2833</v>
      </c>
      <c r="Q951" t="s">
        <v>164</v>
      </c>
      <c r="R951">
        <f ca="1">RAND()*(Validation[[#This Row],[Range1_High]]-Validation[[#This Row],[Range1_Low]])+Validation[[#This Row],[Range1_Low]]</f>
        <v>-37.606150319893082</v>
      </c>
      <c r="S951">
        <f>Validation[[#This Row],[Range2_High]]</f>
        <v>0</v>
      </c>
      <c r="T951" t="str" cm="1">
        <f t="array" aca="1" ref="T951" ca="1">RoundToTwoSigFigs(Validation[[#This Row],[Test Reading]]*Validation[[#This Row],[Mult]]+Validation[[#This Row],[Base]]) &amp;" "&amp;Validation[[#This Row],[Uncert_Units]]</f>
        <v>0.6 °C</v>
      </c>
      <c r="U9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951" t="b">
        <f ca="1">Validation[[#This Row],[Desired Result]]=Validation[[#This Row],[Result]]</f>
        <v>1</v>
      </c>
      <c r="W951" t="b">
        <v>0</v>
      </c>
      <c r="X951" t="b">
        <f>Validation[[#This Row],[Range1_Low]]&gt;=Validation[[#This Row],[Range1_High]]</f>
        <v>0</v>
      </c>
      <c r="Y951" s="111" t="s">
        <v>2845</v>
      </c>
    </row>
    <row r="952" spans="1:25" x14ac:dyDescent="0.25">
      <c r="A952" t="s">
        <v>55</v>
      </c>
      <c r="B952" t="s">
        <v>94</v>
      </c>
      <c r="C952">
        <v>593.00099999999998</v>
      </c>
      <c r="D952">
        <v>1204</v>
      </c>
      <c r="E952">
        <v>0.1</v>
      </c>
      <c r="F952" t="s">
        <v>23</v>
      </c>
      <c r="G952" t="s">
        <v>23</v>
      </c>
      <c r="H952">
        <v>0</v>
      </c>
      <c r="I952">
        <v>0</v>
      </c>
      <c r="J952" t="s">
        <v>2833</v>
      </c>
      <c r="K952">
        <v>0.100632445</v>
      </c>
      <c r="L952">
        <v>0</v>
      </c>
      <c r="M952">
        <v>7.9868484000000003E-2</v>
      </c>
      <c r="N952">
        <v>0</v>
      </c>
      <c r="O952" t="s">
        <v>2833</v>
      </c>
      <c r="P952" t="s">
        <v>2833</v>
      </c>
      <c r="Q952" t="s">
        <v>164</v>
      </c>
      <c r="R952">
        <f ca="1">RAND()*(Validation[[#This Row],[Range1_High]]-Validation[[#This Row],[Range1_Low]])+Validation[[#This Row],[Range1_Low]]</f>
        <v>1187.7544809134165</v>
      </c>
      <c r="S952">
        <f>Validation[[#This Row],[Range2_High]]</f>
        <v>0</v>
      </c>
      <c r="T952" t="str" cm="1">
        <f t="array" aca="1" ref="T952" ca="1">RoundToTwoSigFigs(Validation[[#This Row],[Test Reading]]*Validation[[#This Row],[Mult]]+Validation[[#This Row],[Base]]) &amp;" "&amp;Validation[[#This Row],[Uncert_Units]]</f>
        <v>0.1 °C</v>
      </c>
      <c r="U9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V952" t="b">
        <f ca="1">Validation[[#This Row],[Desired Result]]=Validation[[#This Row],[Result]]</f>
        <v>1</v>
      </c>
      <c r="W952" t="b">
        <v>0</v>
      </c>
      <c r="X952" t="b">
        <f>Validation[[#This Row],[Range1_Low]]&gt;=Validation[[#This Row],[Range1_High]]</f>
        <v>0</v>
      </c>
      <c r="Y952" s="111" t="s">
        <v>2845</v>
      </c>
    </row>
    <row r="953" spans="1:25" ht="15.75" thickBot="1" x14ac:dyDescent="0.3">
      <c r="A953" t="s">
        <v>54</v>
      </c>
      <c r="B953" t="s">
        <v>94</v>
      </c>
      <c r="C953">
        <v>1767</v>
      </c>
      <c r="D953">
        <v>1767.1</v>
      </c>
      <c r="E953">
        <v>1</v>
      </c>
      <c r="F953" t="s">
        <v>23</v>
      </c>
      <c r="G953" t="s">
        <v>23</v>
      </c>
      <c r="H953">
        <v>0</v>
      </c>
      <c r="I953">
        <v>0</v>
      </c>
      <c r="J953" t="s">
        <v>2833</v>
      </c>
      <c r="K953">
        <v>0.79649861099999997</v>
      </c>
      <c r="L953">
        <v>0</v>
      </c>
      <c r="M953">
        <v>0.786221379</v>
      </c>
      <c r="N953">
        <v>0</v>
      </c>
      <c r="O953" t="s">
        <v>2833</v>
      </c>
      <c r="P953" t="s">
        <v>2833</v>
      </c>
      <c r="Q953" t="s">
        <v>164</v>
      </c>
      <c r="R953">
        <f ca="1">RAND()*(Validation[[#This Row],[Range1_High]]-Validation[[#This Row],[Range1_Low]])+Validation[[#This Row],[Range1_Low]]</f>
        <v>1767.0756082394498</v>
      </c>
      <c r="S953">
        <f>Validation[[#This Row],[Range2_High]]</f>
        <v>0</v>
      </c>
      <c r="T953" t="str" cm="1">
        <f t="array" aca="1" ref="T953" ca="1">RoundToTwoSigFigs(Validation[[#This Row],[Test Reading]]*Validation[[#This Row],[Mult]]+Validation[[#This Row],[Base]]) &amp;" "&amp;Validation[[#This Row],[Uncert_Units]]</f>
        <v>0.8 °C</v>
      </c>
      <c r="U9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V953" t="b">
        <f ca="1">Validation[[#This Row],[Desired Result]]=Validation[[#This Row],[Result]]</f>
        <v>1</v>
      </c>
      <c r="W953" t="b">
        <v>0</v>
      </c>
      <c r="X953" t="b">
        <f>Validation[[#This Row],[Range1_Low]]&gt;=Validation[[#This Row],[Range1_High]]</f>
        <v>0</v>
      </c>
      <c r="Y953" s="111" t="s">
        <v>2845</v>
      </c>
    </row>
    <row r="954" spans="1:25" ht="16.5" thickTop="1" thickBot="1" x14ac:dyDescent="0.3">
      <c r="A954" t="s">
        <v>54</v>
      </c>
      <c r="B954" t="s">
        <v>94</v>
      </c>
      <c r="C954" s="113">
        <v>1000</v>
      </c>
      <c r="D954" s="113">
        <v>1400.1</v>
      </c>
      <c r="E954">
        <v>0.1</v>
      </c>
      <c r="F954" t="s">
        <v>23</v>
      </c>
      <c r="G954" t="s">
        <v>23</v>
      </c>
      <c r="H954">
        <v>0</v>
      </c>
      <c r="I954">
        <v>0</v>
      </c>
      <c r="J954" t="s">
        <v>2833</v>
      </c>
      <c r="K954">
        <v>0.438600078</v>
      </c>
      <c r="L954">
        <v>0</v>
      </c>
      <c r="M954">
        <v>0.43393955000000001</v>
      </c>
      <c r="N954">
        <v>0</v>
      </c>
      <c r="O954" t="s">
        <v>2833</v>
      </c>
      <c r="P954" t="s">
        <v>2833</v>
      </c>
      <c r="Q954" t="s">
        <v>164</v>
      </c>
      <c r="R954">
        <f ca="1">RAND()*(Validation[[#This Row],[Range1_High]]-Validation[[#This Row],[Range1_Low]])+Validation[[#This Row],[Range1_Low]]</f>
        <v>1165.5394437343839</v>
      </c>
      <c r="S954">
        <f>Validation[[#This Row],[Range2_High]]</f>
        <v>0</v>
      </c>
      <c r="T954" t="str" cm="1">
        <f t="array" aca="1" ref="T954" ca="1">RoundToTwoSigFigs(Validation[[#This Row],[Test Reading]]*Validation[[#This Row],[Mult]]+Validation[[#This Row],[Base]]) &amp;" "&amp;Validation[[#This Row],[Uncert_Units]]</f>
        <v>0.44 °C</v>
      </c>
      <c r="U9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V954" t="b">
        <f ca="1">Validation[[#This Row],[Desired Result]]=Validation[[#This Row],[Result]]</f>
        <v>1</v>
      </c>
      <c r="W954" t="b">
        <v>1</v>
      </c>
      <c r="X954" t="b">
        <f>Validation[[#This Row],[Range1_Low]]&gt;=Validation[[#This Row],[Range1_High]]</f>
        <v>0</v>
      </c>
      <c r="Y954" s="111" t="s">
        <v>2843</v>
      </c>
    </row>
    <row r="955" spans="1:25" ht="15.75" thickTop="1" x14ac:dyDescent="0.25">
      <c r="A955" t="s">
        <v>55</v>
      </c>
      <c r="B955" t="s">
        <v>94</v>
      </c>
      <c r="C955">
        <v>0</v>
      </c>
      <c r="D955">
        <v>593</v>
      </c>
      <c r="E955">
        <v>0.1</v>
      </c>
      <c r="F955" t="s">
        <v>23</v>
      </c>
      <c r="G955" t="s">
        <v>23</v>
      </c>
      <c r="H955">
        <v>0</v>
      </c>
      <c r="I955">
        <v>0</v>
      </c>
      <c r="J955" t="s">
        <v>2833</v>
      </c>
      <c r="K955">
        <v>0.109757297</v>
      </c>
      <c r="L955">
        <v>0</v>
      </c>
      <c r="M955">
        <v>8.5662658000000003E-2</v>
      </c>
      <c r="N955">
        <v>0</v>
      </c>
      <c r="O955" t="s">
        <v>2833</v>
      </c>
      <c r="P955" t="s">
        <v>2833</v>
      </c>
      <c r="Q955" t="s">
        <v>164</v>
      </c>
      <c r="R955">
        <f ca="1">RAND()*(Validation[[#This Row],[Range1_High]]-Validation[[#This Row],[Range1_Low]])+Validation[[#This Row],[Range1_Low]]</f>
        <v>441.95980349039792</v>
      </c>
      <c r="S955">
        <f>Validation[[#This Row],[Range2_High]]</f>
        <v>0</v>
      </c>
      <c r="T955" t="str" cm="1">
        <f t="array" aca="1" ref="T955" ca="1">RoundToTwoSigFigs(Validation[[#This Row],[Test Reading]]*Validation[[#This Row],[Mult]]+Validation[[#This Row],[Base]]) &amp;" "&amp;Validation[[#This Row],[Uncert_Units]]</f>
        <v>0.11 °C</v>
      </c>
      <c r="U9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V955" t="b">
        <f ca="1">Validation[[#This Row],[Desired Result]]=Validation[[#This Row],[Result]]</f>
        <v>1</v>
      </c>
      <c r="W955" t="b">
        <v>0</v>
      </c>
      <c r="X955" t="b">
        <f>Validation[[#This Row],[Range1_Low]]&gt;=Validation[[#This Row],[Range1_High]]</f>
        <v>0</v>
      </c>
      <c r="Y955" s="111" t="s">
        <v>2845</v>
      </c>
    </row>
    <row r="956" spans="1:25" x14ac:dyDescent="0.25">
      <c r="A956" t="s">
        <v>54</v>
      </c>
      <c r="B956" t="s">
        <v>94</v>
      </c>
      <c r="C956">
        <v>1767</v>
      </c>
      <c r="D956">
        <v>1767.1</v>
      </c>
      <c r="E956">
        <v>0.1</v>
      </c>
      <c r="F956" t="s">
        <v>23</v>
      </c>
      <c r="G956" t="s">
        <v>23</v>
      </c>
      <c r="H956">
        <v>0</v>
      </c>
      <c r="I956">
        <v>0</v>
      </c>
      <c r="J956" t="s">
        <v>2833</v>
      </c>
      <c r="K956">
        <v>0.54056503099999997</v>
      </c>
      <c r="L956">
        <v>0</v>
      </c>
      <c r="M956">
        <v>0.53679051499999997</v>
      </c>
      <c r="N956">
        <v>0</v>
      </c>
      <c r="O956" t="s">
        <v>2833</v>
      </c>
      <c r="P956" t="s">
        <v>2833</v>
      </c>
      <c r="Q956" t="s">
        <v>164</v>
      </c>
      <c r="R956">
        <f ca="1">RAND()*(Validation[[#This Row],[Range1_High]]-Validation[[#This Row],[Range1_Low]])+Validation[[#This Row],[Range1_Low]]</f>
        <v>1767.0514107882898</v>
      </c>
      <c r="S956">
        <f>Validation[[#This Row],[Range2_High]]</f>
        <v>0</v>
      </c>
      <c r="T956" t="str" cm="1">
        <f t="array" aca="1" ref="T956" ca="1">RoundToTwoSigFigs(Validation[[#This Row],[Test Reading]]*Validation[[#This Row],[Mult]]+Validation[[#This Row],[Base]]) &amp;" "&amp;Validation[[#This Row],[Uncert_Units]]</f>
        <v>0.54 °C</v>
      </c>
      <c r="U9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V956" t="b">
        <f ca="1">Validation[[#This Row],[Desired Result]]=Validation[[#This Row],[Result]]</f>
        <v>1</v>
      </c>
      <c r="W956" t="b">
        <v>0</v>
      </c>
      <c r="X956" t="b">
        <f>Validation[[#This Row],[Range1_Low]]&gt;=Validation[[#This Row],[Range1_High]]</f>
        <v>0</v>
      </c>
      <c r="Y956" s="111" t="s">
        <v>2845</v>
      </c>
    </row>
    <row r="957" spans="1:25" x14ac:dyDescent="0.25">
      <c r="A957" t="s">
        <v>54</v>
      </c>
      <c r="B957" t="s">
        <v>94</v>
      </c>
      <c r="C957">
        <v>0</v>
      </c>
      <c r="D957">
        <v>250.1</v>
      </c>
      <c r="E957">
        <v>0.1</v>
      </c>
      <c r="F957" t="s">
        <v>23</v>
      </c>
      <c r="G957" t="s">
        <v>23</v>
      </c>
      <c r="H957">
        <v>0</v>
      </c>
      <c r="I957">
        <v>0</v>
      </c>
      <c r="J957" t="s">
        <v>2833</v>
      </c>
      <c r="K957">
        <v>0.55632015300000004</v>
      </c>
      <c r="L957">
        <v>0</v>
      </c>
      <c r="M957">
        <v>0.55207204200000004</v>
      </c>
      <c r="N957">
        <v>0</v>
      </c>
      <c r="O957" t="s">
        <v>2833</v>
      </c>
      <c r="P957" t="s">
        <v>2833</v>
      </c>
      <c r="Q957" t="s">
        <v>164</v>
      </c>
      <c r="R957">
        <f ca="1">RAND()*(Validation[[#This Row],[Range1_High]]-Validation[[#This Row],[Range1_Low]])+Validation[[#This Row],[Range1_Low]]</f>
        <v>195.30489104018483</v>
      </c>
      <c r="S957">
        <f>Validation[[#This Row],[Range2_High]]</f>
        <v>0</v>
      </c>
      <c r="T957" t="str" cm="1">
        <f t="array" aca="1" ref="T957" ca="1">RoundToTwoSigFigs(Validation[[#This Row],[Test Reading]]*Validation[[#This Row],[Mult]]+Validation[[#This Row],[Base]]) &amp;" "&amp;Validation[[#This Row],[Uncert_Units]]</f>
        <v>0.56 °C</v>
      </c>
      <c r="U9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V957" t="b">
        <f ca="1">Validation[[#This Row],[Desired Result]]=Validation[[#This Row],[Result]]</f>
        <v>1</v>
      </c>
      <c r="W957" t="b">
        <v>0</v>
      </c>
      <c r="X957" t="b">
        <f>Validation[[#This Row],[Range1_Low]]&gt;=Validation[[#This Row],[Range1_High]]</f>
        <v>0</v>
      </c>
      <c r="Y957" s="111" t="s">
        <v>2845</v>
      </c>
    </row>
    <row r="958" spans="1:25" ht="15.75" thickBot="1" x14ac:dyDescent="0.3">
      <c r="A958" t="s">
        <v>55</v>
      </c>
      <c r="B958" t="s">
        <v>95</v>
      </c>
      <c r="C958">
        <v>-240</v>
      </c>
      <c r="D958">
        <v>92.998999999999995</v>
      </c>
      <c r="E958">
        <v>1</v>
      </c>
      <c r="F958" t="s">
        <v>23</v>
      </c>
      <c r="G958" t="s">
        <v>23</v>
      </c>
      <c r="H958">
        <v>0</v>
      </c>
      <c r="I958">
        <v>0</v>
      </c>
      <c r="J958" t="s">
        <v>2833</v>
      </c>
      <c r="K958">
        <v>0.59574757499999997</v>
      </c>
      <c r="L958">
        <v>0</v>
      </c>
      <c r="M958">
        <v>0.58083133200000003</v>
      </c>
      <c r="N958">
        <v>0</v>
      </c>
      <c r="O958" t="s">
        <v>2833</v>
      </c>
      <c r="P958" t="s">
        <v>2833</v>
      </c>
      <c r="Q958" t="s">
        <v>165</v>
      </c>
      <c r="R958">
        <f ca="1">RAND()*(Validation[[#This Row],[Range1_High]]-Validation[[#This Row],[Range1_Low]])+Validation[[#This Row],[Range1_Low]]</f>
        <v>-92.645350646059455</v>
      </c>
      <c r="S958">
        <f>Validation[[#This Row],[Range2_High]]</f>
        <v>0</v>
      </c>
      <c r="T958" t="str" cm="1">
        <f t="array" aca="1" ref="T958" ca="1">RoundToTwoSigFigs(Validation[[#This Row],[Test Reading]]*Validation[[#This Row],[Mult]]+Validation[[#This Row],[Base]]) &amp;" "&amp;Validation[[#This Row],[Uncert_Units]]</f>
        <v>0.6 °C</v>
      </c>
      <c r="U9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958" t="b">
        <f ca="1">Validation[[#This Row],[Desired Result]]=Validation[[#This Row],[Result]]</f>
        <v>1</v>
      </c>
      <c r="W958" t="b">
        <v>0</v>
      </c>
      <c r="X958" t="b">
        <f>Validation[[#This Row],[Range1_Low]]&gt;=Validation[[#This Row],[Range1_High]]</f>
        <v>0</v>
      </c>
      <c r="Y958" s="111" t="s">
        <v>2845</v>
      </c>
    </row>
    <row r="959" spans="1:25" ht="16.5" thickTop="1" thickBot="1" x14ac:dyDescent="0.3">
      <c r="A959" t="s">
        <v>54</v>
      </c>
      <c r="B959" t="s">
        <v>95</v>
      </c>
      <c r="C959" s="113">
        <v>-150</v>
      </c>
      <c r="D959" s="113">
        <v>0.1</v>
      </c>
      <c r="E959">
        <v>0.1</v>
      </c>
      <c r="F959" t="s">
        <v>23</v>
      </c>
      <c r="G959" t="s">
        <v>23</v>
      </c>
      <c r="H959">
        <v>0</v>
      </c>
      <c r="I959">
        <v>0</v>
      </c>
      <c r="J959" t="s">
        <v>2833</v>
      </c>
      <c r="K959">
        <v>0.29307530900000001</v>
      </c>
      <c r="L959">
        <v>0</v>
      </c>
      <c r="M959">
        <v>0.28549186100000001</v>
      </c>
      <c r="N959">
        <v>0</v>
      </c>
      <c r="O959" t="s">
        <v>2833</v>
      </c>
      <c r="P959" t="s">
        <v>2833</v>
      </c>
      <c r="Q959" t="s">
        <v>165</v>
      </c>
      <c r="R959">
        <f ca="1">RAND()*(Validation[[#This Row],[Range1_High]]-Validation[[#This Row],[Range1_Low]])+Validation[[#This Row],[Range1_Low]]</f>
        <v>-71.73412691011751</v>
      </c>
      <c r="S959">
        <f>Validation[[#This Row],[Range2_High]]</f>
        <v>0</v>
      </c>
      <c r="T959" t="str" cm="1">
        <f t="array" aca="1" ref="T959" ca="1">RoundToTwoSigFigs(Validation[[#This Row],[Test Reading]]*Validation[[#This Row],[Mult]]+Validation[[#This Row],[Base]]) &amp;" "&amp;Validation[[#This Row],[Uncert_Units]]</f>
        <v>0.29 °C</v>
      </c>
      <c r="U9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V959" t="b">
        <f ca="1">Validation[[#This Row],[Desired Result]]=Validation[[#This Row],[Result]]</f>
        <v>1</v>
      </c>
      <c r="W959" t="b">
        <v>1</v>
      </c>
      <c r="X959" t="b">
        <f>Validation[[#This Row],[Range1_Low]]&gt;=Validation[[#This Row],[Range1_High]]</f>
        <v>0</v>
      </c>
      <c r="Y959" s="111" t="s">
        <v>2843</v>
      </c>
    </row>
    <row r="960" spans="1:25" ht="16.5" thickTop="1" thickBot="1" x14ac:dyDescent="0.3">
      <c r="A960" t="s">
        <v>54</v>
      </c>
      <c r="B960" t="s">
        <v>95</v>
      </c>
      <c r="C960">
        <v>400</v>
      </c>
      <c r="D960">
        <v>400.1</v>
      </c>
      <c r="E960">
        <v>1</v>
      </c>
      <c r="F960" t="s">
        <v>23</v>
      </c>
      <c r="G960" t="s">
        <v>23</v>
      </c>
      <c r="H960">
        <v>0</v>
      </c>
      <c r="I960">
        <v>0</v>
      </c>
      <c r="J960" t="s">
        <v>2833</v>
      </c>
      <c r="K960">
        <v>0.60527551300000004</v>
      </c>
      <c r="L960">
        <v>0</v>
      </c>
      <c r="M960">
        <v>0.600482925</v>
      </c>
      <c r="N960">
        <v>0</v>
      </c>
      <c r="O960" t="s">
        <v>2833</v>
      </c>
      <c r="P960" t="s">
        <v>2833</v>
      </c>
      <c r="Q960" t="s">
        <v>165</v>
      </c>
      <c r="R960">
        <f ca="1">RAND()*(Validation[[#This Row],[Range1_High]]-Validation[[#This Row],[Range1_Low]])+Validation[[#This Row],[Range1_Low]]</f>
        <v>400.09576039424041</v>
      </c>
      <c r="S960">
        <f>Validation[[#This Row],[Range2_High]]</f>
        <v>0</v>
      </c>
      <c r="T960" t="str" cm="1">
        <f t="array" aca="1" ref="T960" ca="1">RoundToTwoSigFigs(Validation[[#This Row],[Test Reading]]*Validation[[#This Row],[Mult]]+Validation[[#This Row],[Base]]) &amp;" "&amp;Validation[[#This Row],[Uncert_Units]]</f>
        <v>0.61 °C</v>
      </c>
      <c r="U9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960" t="b">
        <f ca="1">Validation[[#This Row],[Desired Result]]=Validation[[#This Row],[Result]]</f>
        <v>1</v>
      </c>
      <c r="W960" t="b">
        <v>0</v>
      </c>
      <c r="X960" t="b">
        <f>Validation[[#This Row],[Range1_Low]]&gt;=Validation[[#This Row],[Range1_High]]</f>
        <v>0</v>
      </c>
      <c r="Y960" s="111" t="s">
        <v>2845</v>
      </c>
    </row>
    <row r="961" spans="1:25" ht="16.5" thickTop="1" thickBot="1" x14ac:dyDescent="0.3">
      <c r="A961" t="s">
        <v>54</v>
      </c>
      <c r="B961" t="s">
        <v>95</v>
      </c>
      <c r="C961" s="113">
        <v>-150</v>
      </c>
      <c r="D961" s="113">
        <v>0.1</v>
      </c>
      <c r="E961">
        <v>1</v>
      </c>
      <c r="F961" t="s">
        <v>23</v>
      </c>
      <c r="G961" t="s">
        <v>23</v>
      </c>
      <c r="H961">
        <v>0</v>
      </c>
      <c r="I961">
        <v>0</v>
      </c>
      <c r="J961" t="s">
        <v>2833</v>
      </c>
      <c r="K961">
        <v>0.65502346499999997</v>
      </c>
      <c r="L961">
        <v>0</v>
      </c>
      <c r="M961">
        <v>0.64148702499999999</v>
      </c>
      <c r="N961">
        <v>0</v>
      </c>
      <c r="O961" t="s">
        <v>2833</v>
      </c>
      <c r="P961" t="s">
        <v>2833</v>
      </c>
      <c r="Q961" t="s">
        <v>165</v>
      </c>
      <c r="R961">
        <f ca="1">RAND()*(Validation[[#This Row],[Range1_High]]-Validation[[#This Row],[Range1_Low]])+Validation[[#This Row],[Range1_Low]]</f>
        <v>-75.26480830149049</v>
      </c>
      <c r="S961">
        <f>Validation[[#This Row],[Range2_High]]</f>
        <v>0</v>
      </c>
      <c r="T961" t="str" cm="1">
        <f t="array" aca="1" ref="T961" ca="1">RoundToTwoSigFigs(Validation[[#This Row],[Test Reading]]*Validation[[#This Row],[Mult]]+Validation[[#This Row],[Base]]) &amp;" "&amp;Validation[[#This Row],[Uncert_Units]]</f>
        <v>0.66 °C</v>
      </c>
      <c r="U9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V961" t="b">
        <f ca="1">Validation[[#This Row],[Desired Result]]=Validation[[#This Row],[Result]]</f>
        <v>1</v>
      </c>
      <c r="W961" t="b">
        <v>1</v>
      </c>
      <c r="X961" t="b">
        <f>Validation[[#This Row],[Range1_Low]]&gt;=Validation[[#This Row],[Range1_High]]</f>
        <v>0</v>
      </c>
      <c r="Y961" s="111" t="s">
        <v>2843</v>
      </c>
    </row>
    <row r="962" spans="1:25" ht="15.75" thickTop="1" x14ac:dyDescent="0.25">
      <c r="A962" t="s">
        <v>55</v>
      </c>
      <c r="B962" t="s">
        <v>95</v>
      </c>
      <c r="C962">
        <v>-270</v>
      </c>
      <c r="D962">
        <v>-240.001</v>
      </c>
      <c r="E962">
        <v>0.1</v>
      </c>
      <c r="F962" t="s">
        <v>23</v>
      </c>
      <c r="G962" t="s">
        <v>23</v>
      </c>
      <c r="H962">
        <v>0</v>
      </c>
      <c r="I962">
        <v>0</v>
      </c>
      <c r="J962" t="s">
        <v>2833</v>
      </c>
      <c r="K962">
        <v>0.24590050099999999</v>
      </c>
      <c r="L962">
        <v>0</v>
      </c>
      <c r="M962">
        <v>0.234882761</v>
      </c>
      <c r="N962">
        <v>0</v>
      </c>
      <c r="O962" t="s">
        <v>2833</v>
      </c>
      <c r="P962" t="s">
        <v>2833</v>
      </c>
      <c r="Q962" t="s">
        <v>165</v>
      </c>
      <c r="R962">
        <f ca="1">RAND()*(Validation[[#This Row],[Range1_High]]-Validation[[#This Row],[Range1_Low]])+Validation[[#This Row],[Range1_Low]]</f>
        <v>-267.90852886514995</v>
      </c>
      <c r="S962">
        <f>Validation[[#This Row],[Range2_High]]</f>
        <v>0</v>
      </c>
      <c r="T962" t="str" cm="1">
        <f t="array" aca="1" ref="T962" ca="1">RoundToTwoSigFigs(Validation[[#This Row],[Test Reading]]*Validation[[#This Row],[Mult]]+Validation[[#This Row],[Base]]) &amp;" "&amp;Validation[[#This Row],[Uncert_Units]]</f>
        <v>0.25 °C</v>
      </c>
      <c r="U9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V962" t="b">
        <f ca="1">Validation[[#This Row],[Desired Result]]=Validation[[#This Row],[Result]]</f>
        <v>1</v>
      </c>
      <c r="W962" t="b">
        <v>0</v>
      </c>
      <c r="X962" t="b">
        <f>Validation[[#This Row],[Range1_Low]]&gt;=Validation[[#This Row],[Range1_High]]</f>
        <v>0</v>
      </c>
      <c r="Y962" s="111" t="s">
        <v>2845</v>
      </c>
    </row>
    <row r="963" spans="1:25" x14ac:dyDescent="0.25">
      <c r="A963" t="s">
        <v>54</v>
      </c>
      <c r="B963" t="s">
        <v>95</v>
      </c>
      <c r="C963">
        <v>120</v>
      </c>
      <c r="D963">
        <v>400</v>
      </c>
      <c r="E963">
        <v>1</v>
      </c>
      <c r="F963" t="s">
        <v>23</v>
      </c>
      <c r="G963" t="s">
        <v>23</v>
      </c>
      <c r="H963">
        <v>0</v>
      </c>
      <c r="I963">
        <v>0</v>
      </c>
      <c r="J963" t="s">
        <v>2833</v>
      </c>
      <c r="K963">
        <v>0.60527551300000004</v>
      </c>
      <c r="L963">
        <v>0</v>
      </c>
      <c r="M963">
        <v>0.600482925</v>
      </c>
      <c r="N963">
        <v>0</v>
      </c>
      <c r="O963" t="s">
        <v>2833</v>
      </c>
      <c r="P963" t="s">
        <v>2833</v>
      </c>
      <c r="Q963" t="s">
        <v>165</v>
      </c>
      <c r="R963">
        <f ca="1">RAND()*(Validation[[#This Row],[Range1_High]]-Validation[[#This Row],[Range1_Low]])+Validation[[#This Row],[Range1_Low]]</f>
        <v>358.9500521357906</v>
      </c>
      <c r="S963">
        <f>Validation[[#This Row],[Range2_High]]</f>
        <v>0</v>
      </c>
      <c r="T963" t="str" cm="1">
        <f t="array" aca="1" ref="T963" ca="1">RoundToTwoSigFigs(Validation[[#This Row],[Test Reading]]*Validation[[#This Row],[Mult]]+Validation[[#This Row],[Base]]) &amp;" "&amp;Validation[[#This Row],[Uncert_Units]]</f>
        <v>0.61 °C</v>
      </c>
      <c r="U9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963" t="b">
        <f ca="1">Validation[[#This Row],[Desired Result]]=Validation[[#This Row],[Result]]</f>
        <v>1</v>
      </c>
      <c r="W963" t="b">
        <v>0</v>
      </c>
      <c r="X963" t="b">
        <f>Validation[[#This Row],[Range1_Low]]&gt;=Validation[[#This Row],[Range1_High]]</f>
        <v>0</v>
      </c>
      <c r="Y963" s="111" t="s">
        <v>2845</v>
      </c>
    </row>
    <row r="964" spans="1:25" x14ac:dyDescent="0.25">
      <c r="A964" t="s">
        <v>55</v>
      </c>
      <c r="B964" t="s">
        <v>96</v>
      </c>
      <c r="C964">
        <v>-195.6</v>
      </c>
      <c r="D964">
        <v>0</v>
      </c>
      <c r="E964">
        <v>0.01</v>
      </c>
      <c r="F964" t="s">
        <v>23</v>
      </c>
      <c r="G964" t="s">
        <v>23</v>
      </c>
      <c r="H964">
        <v>0</v>
      </c>
      <c r="I964">
        <v>0</v>
      </c>
      <c r="J964" t="s">
        <v>2833</v>
      </c>
      <c r="K964">
        <v>8.4850399999999992E-3</v>
      </c>
      <c r="L964">
        <v>0</v>
      </c>
      <c r="M964">
        <v>7.6317240000000003E-3</v>
      </c>
      <c r="N964">
        <v>0</v>
      </c>
      <c r="O964" t="s">
        <v>2833</v>
      </c>
      <c r="P964" t="s">
        <v>2833</v>
      </c>
      <c r="Q964" t="s">
        <v>166</v>
      </c>
      <c r="R964">
        <f ca="1">RAND()*(Validation[[#This Row],[Range1_High]]-Validation[[#This Row],[Range1_Low]])+Validation[[#This Row],[Range1_Low]]</f>
        <v>-55.686182166944604</v>
      </c>
      <c r="S964">
        <f>Validation[[#This Row],[Range2_High]]</f>
        <v>0</v>
      </c>
      <c r="T964" t="str" cm="1">
        <f t="array" aca="1" ref="T964" ca="1">RoundToTwoSigFigs(Validation[[#This Row],[Test Reading]]*Validation[[#This Row],[Mult]]+Validation[[#This Row],[Base]]) &amp;" "&amp;Validation[[#This Row],[Uncert_Units]]</f>
        <v>0.0085 °C</v>
      </c>
      <c r="U9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V964" t="b">
        <f ca="1">Validation[[#This Row],[Desired Result]]=Validation[[#This Row],[Result]]</f>
        <v>1</v>
      </c>
      <c r="W964" t="b">
        <v>0</v>
      </c>
      <c r="X964" t="b">
        <f>Validation[[#This Row],[Range1_Low]]&gt;=Validation[[#This Row],[Range1_High]]</f>
        <v>0</v>
      </c>
      <c r="Y964" s="111" t="s">
        <v>2845</v>
      </c>
    </row>
    <row r="965" spans="1:25" x14ac:dyDescent="0.25">
      <c r="A965" t="s">
        <v>55</v>
      </c>
      <c r="B965" t="s">
        <v>96</v>
      </c>
      <c r="C965">
        <v>-195.6</v>
      </c>
      <c r="D965">
        <v>0</v>
      </c>
      <c r="E965">
        <v>0.1</v>
      </c>
      <c r="F965" t="s">
        <v>23</v>
      </c>
      <c r="G965" t="s">
        <v>23</v>
      </c>
      <c r="H965">
        <v>0</v>
      </c>
      <c r="I965">
        <v>0</v>
      </c>
      <c r="J965" t="s">
        <v>2833</v>
      </c>
      <c r="K965">
        <v>5.8423059999999999E-2</v>
      </c>
      <c r="L965">
        <v>0</v>
      </c>
      <c r="M965">
        <v>5.7950350999999997E-2</v>
      </c>
      <c r="N965">
        <v>0</v>
      </c>
      <c r="O965" t="s">
        <v>2833</v>
      </c>
      <c r="P965" t="s">
        <v>2833</v>
      </c>
      <c r="Q965" t="s">
        <v>166</v>
      </c>
      <c r="R965">
        <f ca="1">RAND()*(Validation[[#This Row],[Range1_High]]-Validation[[#This Row],[Range1_Low]])+Validation[[#This Row],[Range1_Low]]</f>
        <v>-152.99500484656431</v>
      </c>
      <c r="S965">
        <f>Validation[[#This Row],[Range2_High]]</f>
        <v>0</v>
      </c>
      <c r="T965" t="str" cm="1">
        <f t="array" aca="1" ref="T965" ca="1">RoundToTwoSigFigs(Validation[[#This Row],[Test Reading]]*Validation[[#This Row],[Mult]]+Validation[[#This Row],[Base]]) &amp;" "&amp;Validation[[#This Row],[Uncert_Units]]</f>
        <v>0.058 °C</v>
      </c>
      <c r="U9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V965" t="b">
        <f ca="1">Validation[[#This Row],[Desired Result]]=Validation[[#This Row],[Result]]</f>
        <v>1</v>
      </c>
      <c r="W965" t="b">
        <v>0</v>
      </c>
      <c r="X965" t="b">
        <f>Validation[[#This Row],[Range1_Low]]&gt;=Validation[[#This Row],[Range1_High]]</f>
        <v>0</v>
      </c>
      <c r="Y965" s="111" t="s">
        <v>2845</v>
      </c>
    </row>
    <row r="966" spans="1:25" x14ac:dyDescent="0.25">
      <c r="A966" t="s">
        <v>54</v>
      </c>
      <c r="B966" t="s">
        <v>96</v>
      </c>
      <c r="C966">
        <v>800</v>
      </c>
      <c r="D966">
        <v>800.1</v>
      </c>
      <c r="E966">
        <v>0.1</v>
      </c>
      <c r="F966" t="s">
        <v>23</v>
      </c>
      <c r="G966" t="s">
        <v>23</v>
      </c>
      <c r="H966">
        <v>0</v>
      </c>
      <c r="I966">
        <v>0</v>
      </c>
      <c r="J966" t="s">
        <v>2833</v>
      </c>
      <c r="K966">
        <v>0.43496643800000001</v>
      </c>
      <c r="L966">
        <v>0</v>
      </c>
      <c r="M966">
        <v>0.43075251799999997</v>
      </c>
      <c r="N966">
        <v>0</v>
      </c>
      <c r="O966" t="s">
        <v>2833</v>
      </c>
      <c r="P966" t="s">
        <v>2833</v>
      </c>
      <c r="Q966" t="s">
        <v>166</v>
      </c>
      <c r="R966">
        <f ca="1">RAND()*(Validation[[#This Row],[Range1_High]]-Validation[[#This Row],[Range1_Low]])+Validation[[#This Row],[Range1_Low]]</f>
        <v>800.06986595063631</v>
      </c>
      <c r="S966">
        <f>Validation[[#This Row],[Range2_High]]</f>
        <v>0</v>
      </c>
      <c r="T966" t="str" cm="1">
        <f t="array" aca="1" ref="T966" ca="1">RoundToTwoSigFigs(Validation[[#This Row],[Test Reading]]*Validation[[#This Row],[Mult]]+Validation[[#This Row],[Base]]) &amp;" "&amp;Validation[[#This Row],[Uncert_Units]]</f>
        <v>0.43 °C</v>
      </c>
      <c r="U9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V966" t="b">
        <f ca="1">Validation[[#This Row],[Desired Result]]=Validation[[#This Row],[Result]]</f>
        <v>1</v>
      </c>
      <c r="W966" t="b">
        <v>0</v>
      </c>
      <c r="X966" t="b">
        <f>Validation[[#This Row],[Range1_Low]]&gt;=Validation[[#This Row],[Range1_High]]</f>
        <v>0</v>
      </c>
      <c r="Y966" s="111" t="s">
        <v>2845</v>
      </c>
    </row>
    <row r="967" spans="1:25" ht="15.75" thickBot="1" x14ac:dyDescent="0.3">
      <c r="A967" t="s">
        <v>55</v>
      </c>
      <c r="B967" t="s">
        <v>96</v>
      </c>
      <c r="C967">
        <v>648.89</v>
      </c>
      <c r="D967">
        <v>850</v>
      </c>
      <c r="E967">
        <v>1</v>
      </c>
      <c r="F967" t="s">
        <v>23</v>
      </c>
      <c r="G967" t="s">
        <v>23</v>
      </c>
      <c r="H967">
        <v>0</v>
      </c>
      <c r="I967">
        <v>0</v>
      </c>
      <c r="J967" t="s">
        <v>2833</v>
      </c>
      <c r="K967">
        <v>0.57809222500000002</v>
      </c>
      <c r="L967">
        <v>0</v>
      </c>
      <c r="M967">
        <v>0.57763002699999999</v>
      </c>
      <c r="N967">
        <v>0</v>
      </c>
      <c r="O967" t="s">
        <v>2833</v>
      </c>
      <c r="P967" t="s">
        <v>2833</v>
      </c>
      <c r="Q967" t="s">
        <v>166</v>
      </c>
      <c r="R967">
        <f ca="1">RAND()*(Validation[[#This Row],[Range1_High]]-Validation[[#This Row],[Range1_Low]])+Validation[[#This Row],[Range1_Low]]</f>
        <v>725.39151065435954</v>
      </c>
      <c r="S967">
        <f>Validation[[#This Row],[Range2_High]]</f>
        <v>0</v>
      </c>
      <c r="T967" t="str" cm="1">
        <f t="array" aca="1" ref="T967" ca="1">RoundToTwoSigFigs(Validation[[#This Row],[Test Reading]]*Validation[[#This Row],[Mult]]+Validation[[#This Row],[Base]]) &amp;" "&amp;Validation[[#This Row],[Uncert_Units]]</f>
        <v>0.58 °C</v>
      </c>
      <c r="U9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967" t="b">
        <f ca="1">Validation[[#This Row],[Desired Result]]=Validation[[#This Row],[Result]]</f>
        <v>1</v>
      </c>
      <c r="W967" t="b">
        <v>0</v>
      </c>
      <c r="X967" t="b">
        <f>Validation[[#This Row],[Range1_Low]]&gt;=Validation[[#This Row],[Range1_High]]</f>
        <v>0</v>
      </c>
      <c r="Y967" s="111" t="s">
        <v>2845</v>
      </c>
    </row>
    <row r="968" spans="1:25" ht="16.5" thickTop="1" thickBot="1" x14ac:dyDescent="0.3">
      <c r="A968" t="s">
        <v>54</v>
      </c>
      <c r="B968" t="s">
        <v>96</v>
      </c>
      <c r="C968" s="113">
        <v>0</v>
      </c>
      <c r="D968" s="113">
        <v>100.1</v>
      </c>
      <c r="E968">
        <v>0.1</v>
      </c>
      <c r="F968" t="s">
        <v>23</v>
      </c>
      <c r="G968" t="s">
        <v>23</v>
      </c>
      <c r="H968">
        <v>0</v>
      </c>
      <c r="I968">
        <v>0</v>
      </c>
      <c r="J968" t="s">
        <v>2833</v>
      </c>
      <c r="K968">
        <v>0.165710737</v>
      </c>
      <c r="L968">
        <v>0</v>
      </c>
      <c r="M968">
        <v>0.15431129900000001</v>
      </c>
      <c r="N968">
        <v>0</v>
      </c>
      <c r="O968" t="s">
        <v>2833</v>
      </c>
      <c r="P968" t="s">
        <v>2833</v>
      </c>
      <c r="Q968" t="s">
        <v>166</v>
      </c>
      <c r="R968">
        <f ca="1">RAND()*(Validation[[#This Row],[Range1_High]]-Validation[[#This Row],[Range1_Low]])+Validation[[#This Row],[Range1_Low]]</f>
        <v>56.991960789692506</v>
      </c>
      <c r="S968">
        <f>Validation[[#This Row],[Range2_High]]</f>
        <v>0</v>
      </c>
      <c r="T968" t="str" cm="1">
        <f t="array" aca="1" ref="T968" ca="1">RoundToTwoSigFigs(Validation[[#This Row],[Test Reading]]*Validation[[#This Row],[Mult]]+Validation[[#This Row],[Base]]) &amp;" "&amp;Validation[[#This Row],[Uncert_Units]]</f>
        <v>0.17 °C</v>
      </c>
      <c r="U9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V968" t="b">
        <f ca="1">Validation[[#This Row],[Desired Result]]=Validation[[#This Row],[Result]]</f>
        <v>1</v>
      </c>
      <c r="W968" t="b">
        <v>1</v>
      </c>
      <c r="X968" t="b">
        <f>Validation[[#This Row],[Range1_Low]]&gt;=Validation[[#This Row],[Range1_High]]</f>
        <v>0</v>
      </c>
      <c r="Y968" s="111" t="s">
        <v>2843</v>
      </c>
    </row>
    <row r="969" spans="1:25" ht="16.5" thickTop="1" thickBot="1" x14ac:dyDescent="0.3">
      <c r="A969" t="s">
        <v>54</v>
      </c>
      <c r="B969" t="s">
        <v>96</v>
      </c>
      <c r="C969" s="113">
        <v>630</v>
      </c>
      <c r="D969" s="113">
        <v>800</v>
      </c>
      <c r="E969">
        <v>1</v>
      </c>
      <c r="F969" t="s">
        <v>23</v>
      </c>
      <c r="G969" t="s">
        <v>23</v>
      </c>
      <c r="H969">
        <v>0</v>
      </c>
      <c r="I969">
        <v>0</v>
      </c>
      <c r="J969" t="s">
        <v>2833</v>
      </c>
      <c r="K969">
        <v>0.73018583500000001</v>
      </c>
      <c r="L969">
        <v>0</v>
      </c>
      <c r="M969">
        <v>0.72012434299999994</v>
      </c>
      <c r="N969">
        <v>0</v>
      </c>
      <c r="O969" t="s">
        <v>2833</v>
      </c>
      <c r="P969" t="s">
        <v>2833</v>
      </c>
      <c r="Q969" t="s">
        <v>166</v>
      </c>
      <c r="R969">
        <f ca="1">RAND()*(Validation[[#This Row],[Range1_High]]-Validation[[#This Row],[Range1_Low]])+Validation[[#This Row],[Range1_Low]]</f>
        <v>765.03279851083687</v>
      </c>
      <c r="S969">
        <f>Validation[[#This Row],[Range2_High]]</f>
        <v>0</v>
      </c>
      <c r="T969" t="str" cm="1">
        <f t="array" aca="1" ref="T969" ca="1">RoundToTwoSigFigs(Validation[[#This Row],[Test Reading]]*Validation[[#This Row],[Mult]]+Validation[[#This Row],[Base]]) &amp;" "&amp;Validation[[#This Row],[Uncert_Units]]</f>
        <v>0.73 °C</v>
      </c>
      <c r="U9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V969" t="b">
        <f ca="1">Validation[[#This Row],[Desired Result]]=Validation[[#This Row],[Result]]</f>
        <v>1</v>
      </c>
      <c r="W969" t="b">
        <v>1</v>
      </c>
      <c r="X969" t="b">
        <f>Validation[[#This Row],[Range1_Low]]&gt;=Validation[[#This Row],[Range1_High]]</f>
        <v>0</v>
      </c>
      <c r="Y969" s="111" t="s">
        <v>2843</v>
      </c>
    </row>
    <row r="970" spans="1:25" ht="16.5" thickTop="1" thickBot="1" x14ac:dyDescent="0.3">
      <c r="A970" t="s">
        <v>55</v>
      </c>
      <c r="B970" t="s">
        <v>96</v>
      </c>
      <c r="C970">
        <v>1E-3</v>
      </c>
      <c r="D970">
        <v>204.44399999999999</v>
      </c>
      <c r="E970">
        <v>0.1</v>
      </c>
      <c r="F970" t="s">
        <v>23</v>
      </c>
      <c r="G970" t="s">
        <v>23</v>
      </c>
      <c r="H970">
        <v>0</v>
      </c>
      <c r="I970">
        <v>0</v>
      </c>
      <c r="J970" t="s">
        <v>2833</v>
      </c>
      <c r="K970">
        <v>5.8677133999999999E-2</v>
      </c>
      <c r="L970">
        <v>0</v>
      </c>
      <c r="M970">
        <v>5.8206488000000001E-2</v>
      </c>
      <c r="N970">
        <v>0</v>
      </c>
      <c r="O970" t="s">
        <v>2833</v>
      </c>
      <c r="P970" t="s">
        <v>2833</v>
      </c>
      <c r="Q970" t="s">
        <v>166</v>
      </c>
      <c r="R970">
        <f ca="1">RAND()*(Validation[[#This Row],[Range1_High]]-Validation[[#This Row],[Range1_Low]])+Validation[[#This Row],[Range1_Low]]</f>
        <v>50.82259907180039</v>
      </c>
      <c r="S970">
        <f>Validation[[#This Row],[Range2_High]]</f>
        <v>0</v>
      </c>
      <c r="T970" t="str" cm="1">
        <f t="array" aca="1" ref="T970" ca="1">RoundToTwoSigFigs(Validation[[#This Row],[Test Reading]]*Validation[[#This Row],[Mult]]+Validation[[#This Row],[Base]]) &amp;" "&amp;Validation[[#This Row],[Uncert_Units]]</f>
        <v>0.059 °C</v>
      </c>
      <c r="U9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V970" t="b">
        <f ca="1">Validation[[#This Row],[Desired Result]]=Validation[[#This Row],[Result]]</f>
        <v>1</v>
      </c>
      <c r="W970" t="b">
        <v>0</v>
      </c>
      <c r="X970" t="b">
        <f>Validation[[#This Row],[Range1_Low]]&gt;=Validation[[#This Row],[Range1_High]]</f>
        <v>0</v>
      </c>
      <c r="Y970" s="111" t="s">
        <v>2845</v>
      </c>
    </row>
    <row r="971" spans="1:25" ht="16.5" thickTop="1" thickBot="1" x14ac:dyDescent="0.3">
      <c r="A971" t="s">
        <v>54</v>
      </c>
      <c r="B971" t="s">
        <v>96</v>
      </c>
      <c r="C971" s="113">
        <v>300</v>
      </c>
      <c r="D971" s="113">
        <v>400.1</v>
      </c>
      <c r="E971">
        <v>1</v>
      </c>
      <c r="F971" t="s">
        <v>23</v>
      </c>
      <c r="G971" t="s">
        <v>23</v>
      </c>
      <c r="H971">
        <v>0</v>
      </c>
      <c r="I971">
        <v>0</v>
      </c>
      <c r="J971" t="s">
        <v>2833</v>
      </c>
      <c r="K971">
        <v>0.62711565300000005</v>
      </c>
      <c r="L971">
        <v>0</v>
      </c>
      <c r="M971">
        <v>0.61537123599999999</v>
      </c>
      <c r="N971">
        <v>0</v>
      </c>
      <c r="O971" t="s">
        <v>2833</v>
      </c>
      <c r="P971" t="s">
        <v>2833</v>
      </c>
      <c r="Q971" t="s">
        <v>166</v>
      </c>
      <c r="R971">
        <f ca="1">RAND()*(Validation[[#This Row],[Range1_High]]-Validation[[#This Row],[Range1_Low]])+Validation[[#This Row],[Range1_Low]]</f>
        <v>320.79222608254577</v>
      </c>
      <c r="S971">
        <f>Validation[[#This Row],[Range2_High]]</f>
        <v>0</v>
      </c>
      <c r="T971" t="str" cm="1">
        <f t="array" aca="1" ref="T971" ca="1">RoundToTwoSigFigs(Validation[[#This Row],[Test Reading]]*Validation[[#This Row],[Mult]]+Validation[[#This Row],[Base]]) &amp;" "&amp;Validation[[#This Row],[Uncert_Units]]</f>
        <v>0.63 °C</v>
      </c>
      <c r="U9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V971" t="b">
        <f ca="1">Validation[[#This Row],[Desired Result]]=Validation[[#This Row],[Result]]</f>
        <v>1</v>
      </c>
      <c r="W971" t="b">
        <v>1</v>
      </c>
      <c r="X971" t="b">
        <f>Validation[[#This Row],[Range1_Low]]&gt;=Validation[[#This Row],[Range1_High]]</f>
        <v>0</v>
      </c>
      <c r="Y971" s="111" t="s">
        <v>2843</v>
      </c>
    </row>
    <row r="972" spans="1:25" ht="15.75" thickTop="1" x14ac:dyDescent="0.25">
      <c r="A972" t="s">
        <v>55</v>
      </c>
      <c r="B972" t="s">
        <v>96</v>
      </c>
      <c r="C972">
        <v>1E-3</v>
      </c>
      <c r="D972">
        <v>204.44399999999999</v>
      </c>
      <c r="E972">
        <v>0.01</v>
      </c>
      <c r="F972" t="s">
        <v>23</v>
      </c>
      <c r="G972" t="s">
        <v>23</v>
      </c>
      <c r="H972">
        <v>0</v>
      </c>
      <c r="I972">
        <v>0</v>
      </c>
      <c r="J972" t="s">
        <v>2833</v>
      </c>
      <c r="K972">
        <v>1.0087018999999999E-2</v>
      </c>
      <c r="L972">
        <v>0</v>
      </c>
      <c r="M972">
        <v>9.380579E-3</v>
      </c>
      <c r="N972">
        <v>0</v>
      </c>
      <c r="O972" t="s">
        <v>2833</v>
      </c>
      <c r="P972" t="s">
        <v>2833</v>
      </c>
      <c r="Q972" t="s">
        <v>166</v>
      </c>
      <c r="R972">
        <f ca="1">RAND()*(Validation[[#This Row],[Range1_High]]-Validation[[#This Row],[Range1_Low]])+Validation[[#This Row],[Range1_Low]]</f>
        <v>70.846792303940973</v>
      </c>
      <c r="S972">
        <f>Validation[[#This Row],[Range2_High]]</f>
        <v>0</v>
      </c>
      <c r="T972" t="str" cm="1">
        <f t="array" aca="1" ref="T972" ca="1">RoundToTwoSigFigs(Validation[[#This Row],[Test Reading]]*Validation[[#This Row],[Mult]]+Validation[[#This Row],[Base]]) &amp;" "&amp;Validation[[#This Row],[Uncert_Units]]</f>
        <v>0.01 °C</v>
      </c>
      <c r="U9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V972" t="b">
        <f ca="1">Validation[[#This Row],[Desired Result]]=Validation[[#This Row],[Result]]</f>
        <v>1</v>
      </c>
      <c r="W972" t="b">
        <v>0</v>
      </c>
      <c r="X972" t="b">
        <f>Validation[[#This Row],[Range1_Low]]&gt;=Validation[[#This Row],[Range1_High]]</f>
        <v>0</v>
      </c>
      <c r="Y972" s="111" t="s">
        <v>2845</v>
      </c>
    </row>
    <row r="973" spans="1:25" x14ac:dyDescent="0.25">
      <c r="A973" t="s">
        <v>55</v>
      </c>
      <c r="B973" t="s">
        <v>96</v>
      </c>
      <c r="C973">
        <v>426.66800000000001</v>
      </c>
      <c r="D973">
        <v>648.88900000000001</v>
      </c>
      <c r="E973">
        <v>1</v>
      </c>
      <c r="F973" t="s">
        <v>23</v>
      </c>
      <c r="G973" t="s">
        <v>23</v>
      </c>
      <c r="H973">
        <v>0</v>
      </c>
      <c r="I973">
        <v>0</v>
      </c>
      <c r="J973" t="s">
        <v>2833</v>
      </c>
      <c r="K973">
        <v>0.57778870900000001</v>
      </c>
      <c r="L973">
        <v>0</v>
      </c>
      <c r="M973">
        <v>0.57752337499999995</v>
      </c>
      <c r="N973">
        <v>0</v>
      </c>
      <c r="O973" t="s">
        <v>2833</v>
      </c>
      <c r="P973" t="s">
        <v>2833</v>
      </c>
      <c r="Q973" t="s">
        <v>166</v>
      </c>
      <c r="R973">
        <f ca="1">RAND()*(Validation[[#This Row],[Range1_High]]-Validation[[#This Row],[Range1_Low]])+Validation[[#This Row],[Range1_Low]]</f>
        <v>575.92947238545503</v>
      </c>
      <c r="S973">
        <f>Validation[[#This Row],[Range2_High]]</f>
        <v>0</v>
      </c>
      <c r="T973" t="str" cm="1">
        <f t="array" aca="1" ref="T973" ca="1">RoundToTwoSigFigs(Validation[[#This Row],[Test Reading]]*Validation[[#This Row],[Mult]]+Validation[[#This Row],[Base]]) &amp;" "&amp;Validation[[#This Row],[Uncert_Units]]</f>
        <v>0.58 °C</v>
      </c>
      <c r="U9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973" t="b">
        <f ca="1">Validation[[#This Row],[Desired Result]]=Validation[[#This Row],[Result]]</f>
        <v>1</v>
      </c>
      <c r="W973" t="b">
        <v>0</v>
      </c>
      <c r="X973" t="b">
        <f>Validation[[#This Row],[Range1_Low]]&gt;=Validation[[#This Row],[Range1_High]]</f>
        <v>0</v>
      </c>
      <c r="Y973" s="111" t="s">
        <v>2845</v>
      </c>
    </row>
    <row r="974" spans="1:25" x14ac:dyDescent="0.25">
      <c r="A974" t="s">
        <v>54</v>
      </c>
      <c r="B974" t="s">
        <v>96</v>
      </c>
      <c r="C974">
        <v>100</v>
      </c>
      <c r="D974">
        <v>300.10000000000002</v>
      </c>
      <c r="E974">
        <v>0.1</v>
      </c>
      <c r="F974" t="s">
        <v>23</v>
      </c>
      <c r="G974" t="s">
        <v>23</v>
      </c>
      <c r="H974">
        <v>0</v>
      </c>
      <c r="I974">
        <v>0</v>
      </c>
      <c r="J974" t="s">
        <v>2833</v>
      </c>
      <c r="K974">
        <v>0.165710737</v>
      </c>
      <c r="L974">
        <v>0</v>
      </c>
      <c r="M974">
        <v>0.15431129900000001</v>
      </c>
      <c r="N974">
        <v>0</v>
      </c>
      <c r="O974" t="s">
        <v>2833</v>
      </c>
      <c r="P974" t="s">
        <v>2833</v>
      </c>
      <c r="Q974" t="s">
        <v>166</v>
      </c>
      <c r="R974">
        <f ca="1">RAND()*(Validation[[#This Row],[Range1_High]]-Validation[[#This Row],[Range1_Low]])+Validation[[#This Row],[Range1_Low]]</f>
        <v>168.39816613744591</v>
      </c>
      <c r="S974">
        <f>Validation[[#This Row],[Range2_High]]</f>
        <v>0</v>
      </c>
      <c r="T974" t="str" cm="1">
        <f t="array" aca="1" ref="T974" ca="1">RoundToTwoSigFigs(Validation[[#This Row],[Test Reading]]*Validation[[#This Row],[Mult]]+Validation[[#This Row],[Base]]) &amp;" "&amp;Validation[[#This Row],[Uncert_Units]]</f>
        <v>0.17 °C</v>
      </c>
      <c r="U9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V974" t="b">
        <f ca="1">Validation[[#This Row],[Desired Result]]=Validation[[#This Row],[Result]]</f>
        <v>1</v>
      </c>
      <c r="W974" t="b">
        <v>0</v>
      </c>
      <c r="X974" t="b">
        <f>Validation[[#This Row],[Range1_Low]]&gt;=Validation[[#This Row],[Range1_High]]</f>
        <v>0</v>
      </c>
      <c r="Y974" s="111" t="s">
        <v>2845</v>
      </c>
    </row>
    <row r="975" spans="1:25" x14ac:dyDescent="0.25">
      <c r="A975" t="s">
        <v>55</v>
      </c>
      <c r="B975" t="s">
        <v>96</v>
      </c>
      <c r="C975">
        <v>426.66800000000001</v>
      </c>
      <c r="D975">
        <v>648.88900000000001</v>
      </c>
      <c r="E975">
        <v>0.1</v>
      </c>
      <c r="F975" t="s">
        <v>23</v>
      </c>
      <c r="G975" t="s">
        <v>23</v>
      </c>
      <c r="H975">
        <v>0</v>
      </c>
      <c r="I975">
        <v>0</v>
      </c>
      <c r="J975" t="s">
        <v>2833</v>
      </c>
      <c r="K975">
        <v>6.0082317000000003E-2</v>
      </c>
      <c r="L975">
        <v>0</v>
      </c>
      <c r="M975">
        <v>5.9441140000000003E-2</v>
      </c>
      <c r="N975">
        <v>0</v>
      </c>
      <c r="O975" t="s">
        <v>2833</v>
      </c>
      <c r="P975" t="s">
        <v>2833</v>
      </c>
      <c r="Q975" t="s">
        <v>166</v>
      </c>
      <c r="R975">
        <f ca="1">RAND()*(Validation[[#This Row],[Range1_High]]-Validation[[#This Row],[Range1_Low]])+Validation[[#This Row],[Range1_Low]]</f>
        <v>597.36685116290585</v>
      </c>
      <c r="S975">
        <f>Validation[[#This Row],[Range2_High]]</f>
        <v>0</v>
      </c>
      <c r="T975" t="str" cm="1">
        <f t="array" aca="1" ref="T975" ca="1">RoundToTwoSigFigs(Validation[[#This Row],[Test Reading]]*Validation[[#This Row],[Mult]]+Validation[[#This Row],[Base]]) &amp;" "&amp;Validation[[#This Row],[Uncert_Units]]</f>
        <v>0.06 °C</v>
      </c>
      <c r="U9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V975" t="b">
        <f ca="1">Validation[[#This Row],[Desired Result]]=Validation[[#This Row],[Result]]</f>
        <v>1</v>
      </c>
      <c r="W975" t="b">
        <v>0</v>
      </c>
      <c r="X975" t="b">
        <f>Validation[[#This Row],[Range1_Low]]&gt;=Validation[[#This Row],[Range1_High]]</f>
        <v>0</v>
      </c>
      <c r="Y975" s="111" t="s">
        <v>2845</v>
      </c>
    </row>
    <row r="976" spans="1:25" x14ac:dyDescent="0.25">
      <c r="A976" t="s">
        <v>55</v>
      </c>
      <c r="B976" t="s">
        <v>96</v>
      </c>
      <c r="C976">
        <v>204.44499999999999</v>
      </c>
      <c r="D976">
        <v>426.66699999999997</v>
      </c>
      <c r="E976">
        <v>0.01</v>
      </c>
      <c r="F976" t="s">
        <v>23</v>
      </c>
      <c r="G976" t="s">
        <v>23</v>
      </c>
      <c r="H976">
        <v>0</v>
      </c>
      <c r="I976">
        <v>0</v>
      </c>
      <c r="J976" t="s">
        <v>2833</v>
      </c>
      <c r="K976">
        <v>1.2329109E-2</v>
      </c>
      <c r="L976">
        <v>0</v>
      </c>
      <c r="M976">
        <v>1.1525970999999999E-2</v>
      </c>
      <c r="N976">
        <v>0</v>
      </c>
      <c r="O976" t="s">
        <v>2833</v>
      </c>
      <c r="P976" t="s">
        <v>2833</v>
      </c>
      <c r="Q976" t="s">
        <v>166</v>
      </c>
      <c r="R976">
        <f ca="1">RAND()*(Validation[[#This Row],[Range1_High]]-Validation[[#This Row],[Range1_Low]])+Validation[[#This Row],[Range1_Low]]</f>
        <v>217.36368849916263</v>
      </c>
      <c r="S976">
        <f>Validation[[#This Row],[Range2_High]]</f>
        <v>0</v>
      </c>
      <c r="T976" t="str" cm="1">
        <f t="array" aca="1" ref="T976" ca="1">RoundToTwoSigFigs(Validation[[#This Row],[Test Reading]]*Validation[[#This Row],[Mult]]+Validation[[#This Row],[Base]]) &amp;" "&amp;Validation[[#This Row],[Uncert_Units]]</f>
        <v>0.012 °C</v>
      </c>
      <c r="U9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V976" t="b">
        <f ca="1">Validation[[#This Row],[Desired Result]]=Validation[[#This Row],[Result]]</f>
        <v>1</v>
      </c>
      <c r="W976" t="b">
        <v>0</v>
      </c>
      <c r="X976" t="b">
        <f>Validation[[#This Row],[Range1_Low]]&gt;=Validation[[#This Row],[Range1_High]]</f>
        <v>0</v>
      </c>
      <c r="Y976" s="111" t="s">
        <v>2845</v>
      </c>
    </row>
    <row r="977" spans="1:25" x14ac:dyDescent="0.25">
      <c r="A977" t="s">
        <v>54</v>
      </c>
      <c r="B977" t="s">
        <v>96</v>
      </c>
      <c r="C977">
        <v>-200</v>
      </c>
      <c r="D977">
        <v>0.1</v>
      </c>
      <c r="E977">
        <v>1</v>
      </c>
      <c r="F977" t="s">
        <v>23</v>
      </c>
      <c r="G977" t="s">
        <v>23</v>
      </c>
      <c r="H977">
        <v>0</v>
      </c>
      <c r="I977">
        <v>0</v>
      </c>
      <c r="J977" t="s">
        <v>2833</v>
      </c>
      <c r="K977">
        <v>0.60095134800000005</v>
      </c>
      <c r="L977">
        <v>0</v>
      </c>
      <c r="M977">
        <v>0.588685177</v>
      </c>
      <c r="N977">
        <v>0</v>
      </c>
      <c r="O977" t="s">
        <v>2833</v>
      </c>
      <c r="P977" t="s">
        <v>2833</v>
      </c>
      <c r="Q977" t="s">
        <v>166</v>
      </c>
      <c r="R977">
        <f ca="1">RAND()*(Validation[[#This Row],[Range1_High]]-Validation[[#This Row],[Range1_Low]])+Validation[[#This Row],[Range1_Low]]</f>
        <v>-51.625355180179071</v>
      </c>
      <c r="S977">
        <f>Validation[[#This Row],[Range2_High]]</f>
        <v>0</v>
      </c>
      <c r="T977" t="str" cm="1">
        <f t="array" aca="1" ref="T977" ca="1">RoundToTwoSigFigs(Validation[[#This Row],[Test Reading]]*Validation[[#This Row],[Mult]]+Validation[[#This Row],[Base]]) &amp;" "&amp;Validation[[#This Row],[Uncert_Units]]</f>
        <v>0.6 °C</v>
      </c>
      <c r="U9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977" t="b">
        <f ca="1">Validation[[#This Row],[Desired Result]]=Validation[[#This Row],[Result]]</f>
        <v>1</v>
      </c>
      <c r="W977" t="b">
        <v>0</v>
      </c>
      <c r="X977" t="b">
        <f>Validation[[#This Row],[Range1_Low]]&gt;=Validation[[#This Row],[Range1_High]]</f>
        <v>0</v>
      </c>
      <c r="Y977" s="111" t="s">
        <v>2845</v>
      </c>
    </row>
    <row r="978" spans="1:25" ht="15.75" thickBot="1" x14ac:dyDescent="0.3">
      <c r="A978" t="s">
        <v>55</v>
      </c>
      <c r="B978" t="s">
        <v>96</v>
      </c>
      <c r="C978">
        <v>648.89</v>
      </c>
      <c r="D978">
        <v>850</v>
      </c>
      <c r="E978">
        <v>0.1</v>
      </c>
      <c r="F978" t="s">
        <v>23</v>
      </c>
      <c r="G978" t="s">
        <v>23</v>
      </c>
      <c r="H978">
        <v>0</v>
      </c>
      <c r="I978">
        <v>0</v>
      </c>
      <c r="J978" t="s">
        <v>2833</v>
      </c>
      <c r="K978">
        <v>6.1562903000000002E-2</v>
      </c>
      <c r="L978">
        <v>0</v>
      </c>
      <c r="M978">
        <v>6.0468567000000001E-2</v>
      </c>
      <c r="N978">
        <v>0</v>
      </c>
      <c r="O978" t="s">
        <v>2833</v>
      </c>
      <c r="P978" t="s">
        <v>2833</v>
      </c>
      <c r="Q978" t="s">
        <v>166</v>
      </c>
      <c r="R978">
        <f ca="1">RAND()*(Validation[[#This Row],[Range1_High]]-Validation[[#This Row],[Range1_Low]])+Validation[[#This Row],[Range1_Low]]</f>
        <v>669.36017494007285</v>
      </c>
      <c r="S978">
        <f>Validation[[#This Row],[Range2_High]]</f>
        <v>0</v>
      </c>
      <c r="T978" t="str" cm="1">
        <f t="array" aca="1" ref="T978" ca="1">RoundToTwoSigFigs(Validation[[#This Row],[Test Reading]]*Validation[[#This Row],[Mult]]+Validation[[#This Row],[Base]]) &amp;" "&amp;Validation[[#This Row],[Uncert_Units]]</f>
        <v>0.062 °C</v>
      </c>
      <c r="U9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V978" t="b">
        <f ca="1">Validation[[#This Row],[Desired Result]]=Validation[[#This Row],[Result]]</f>
        <v>1</v>
      </c>
      <c r="W978" t="b">
        <v>0</v>
      </c>
      <c r="X978" t="b">
        <f>Validation[[#This Row],[Range1_Low]]&gt;=Validation[[#This Row],[Range1_High]]</f>
        <v>0</v>
      </c>
      <c r="Y978" s="111" t="s">
        <v>2845</v>
      </c>
    </row>
    <row r="979" spans="1:25" ht="16.5" thickTop="1" thickBot="1" x14ac:dyDescent="0.3">
      <c r="A979" t="s">
        <v>54</v>
      </c>
      <c r="B979" t="s">
        <v>96</v>
      </c>
      <c r="C979" s="113">
        <v>400</v>
      </c>
      <c r="D979" s="113">
        <v>630.1</v>
      </c>
      <c r="E979">
        <v>0.1</v>
      </c>
      <c r="F979" t="s">
        <v>23</v>
      </c>
      <c r="G979" t="s">
        <v>23</v>
      </c>
      <c r="H979">
        <v>0</v>
      </c>
      <c r="I979">
        <v>0</v>
      </c>
      <c r="J979" t="s">
        <v>2833</v>
      </c>
      <c r="K979">
        <v>0.259995115</v>
      </c>
      <c r="L979">
        <v>0</v>
      </c>
      <c r="M979">
        <v>0.25288216299999999</v>
      </c>
      <c r="N979">
        <v>0</v>
      </c>
      <c r="O979" t="s">
        <v>2833</v>
      </c>
      <c r="P979" t="s">
        <v>2833</v>
      </c>
      <c r="Q979" t="s">
        <v>166</v>
      </c>
      <c r="R979">
        <f ca="1">RAND()*(Validation[[#This Row],[Range1_High]]-Validation[[#This Row],[Range1_Low]])+Validation[[#This Row],[Range1_Low]]</f>
        <v>613.41595026531877</v>
      </c>
      <c r="S979">
        <f>Validation[[#This Row],[Range2_High]]</f>
        <v>0</v>
      </c>
      <c r="T979" t="str" cm="1">
        <f t="array" aca="1" ref="T979" ca="1">RoundToTwoSigFigs(Validation[[#This Row],[Test Reading]]*Validation[[#This Row],[Mult]]+Validation[[#This Row],[Base]]) &amp;" "&amp;Validation[[#This Row],[Uncert_Units]]</f>
        <v>0.26 °C</v>
      </c>
      <c r="U9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V979" t="b">
        <f ca="1">Validation[[#This Row],[Desired Result]]=Validation[[#This Row],[Result]]</f>
        <v>1</v>
      </c>
      <c r="W979" t="b">
        <v>1</v>
      </c>
      <c r="X979" t="b">
        <f>Validation[[#This Row],[Range1_Low]]&gt;=Validation[[#This Row],[Range1_High]]</f>
        <v>0</v>
      </c>
      <c r="Y979" s="111" t="s">
        <v>2843</v>
      </c>
    </row>
    <row r="980" spans="1:25" ht="15.75" thickTop="1" x14ac:dyDescent="0.25">
      <c r="A980" t="s">
        <v>55</v>
      </c>
      <c r="B980" t="s">
        <v>97</v>
      </c>
      <c r="C980">
        <v>-195.6</v>
      </c>
      <c r="D980">
        <v>0</v>
      </c>
      <c r="E980">
        <v>0.01</v>
      </c>
      <c r="F980" t="s">
        <v>23</v>
      </c>
      <c r="G980" t="s">
        <v>23</v>
      </c>
      <c r="H980">
        <v>0</v>
      </c>
      <c r="I980">
        <v>0</v>
      </c>
      <c r="J980" t="s">
        <v>2833</v>
      </c>
      <c r="K980">
        <v>6.9514520000000003E-3</v>
      </c>
      <c r="L980">
        <v>0</v>
      </c>
      <c r="M980">
        <v>6.5655269999999998E-3</v>
      </c>
      <c r="N980">
        <v>0</v>
      </c>
      <c r="O980" t="s">
        <v>2833</v>
      </c>
      <c r="P980" t="s">
        <v>2833</v>
      </c>
      <c r="Q980" t="s">
        <v>167</v>
      </c>
      <c r="R980">
        <f ca="1">RAND()*(Validation[[#This Row],[Range1_High]]-Validation[[#This Row],[Range1_Low]])+Validation[[#This Row],[Range1_Low]]</f>
        <v>-73.668559201367302</v>
      </c>
      <c r="S980">
        <f>Validation[[#This Row],[Range2_High]]</f>
        <v>0</v>
      </c>
      <c r="T980" t="str" cm="1">
        <f t="array" aca="1" ref="T980" ca="1">RoundToTwoSigFigs(Validation[[#This Row],[Test Reading]]*Validation[[#This Row],[Mult]]+Validation[[#This Row],[Base]]) &amp;" "&amp;Validation[[#This Row],[Uncert_Units]]</f>
        <v>0.007 °C</v>
      </c>
      <c r="U9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V980" t="b">
        <f ca="1">Validation[[#This Row],[Desired Result]]=Validation[[#This Row],[Result]]</f>
        <v>1</v>
      </c>
      <c r="W980" t="b">
        <v>0</v>
      </c>
      <c r="X980" t="b">
        <f>Validation[[#This Row],[Range1_Low]]&gt;=Validation[[#This Row],[Range1_High]]</f>
        <v>0</v>
      </c>
      <c r="Y980" s="111" t="s">
        <v>2845</v>
      </c>
    </row>
    <row r="981" spans="1:25" x14ac:dyDescent="0.25">
      <c r="A981" t="s">
        <v>55</v>
      </c>
      <c r="B981" t="s">
        <v>97</v>
      </c>
      <c r="C981">
        <v>426.66800000000001</v>
      </c>
      <c r="D981">
        <v>648.88900000000001</v>
      </c>
      <c r="E981">
        <v>1</v>
      </c>
      <c r="F981" t="s">
        <v>23</v>
      </c>
      <c r="G981" t="s">
        <v>23</v>
      </c>
      <c r="H981">
        <v>0</v>
      </c>
      <c r="I981">
        <v>0</v>
      </c>
      <c r="J981" t="s">
        <v>2833</v>
      </c>
      <c r="K981">
        <v>0.577786091</v>
      </c>
      <c r="L981">
        <v>0</v>
      </c>
      <c r="M981">
        <v>0.57752075599999997</v>
      </c>
      <c r="N981">
        <v>0</v>
      </c>
      <c r="O981" t="s">
        <v>2833</v>
      </c>
      <c r="P981" t="s">
        <v>2833</v>
      </c>
      <c r="Q981" t="s">
        <v>167</v>
      </c>
      <c r="R981">
        <f ca="1">RAND()*(Validation[[#This Row],[Range1_High]]-Validation[[#This Row],[Range1_Low]])+Validation[[#This Row],[Range1_Low]]</f>
        <v>529.68698326794834</v>
      </c>
      <c r="S981">
        <f>Validation[[#This Row],[Range2_High]]</f>
        <v>0</v>
      </c>
      <c r="T981" t="str" cm="1">
        <f t="array" aca="1" ref="T981" ca="1">RoundToTwoSigFigs(Validation[[#This Row],[Test Reading]]*Validation[[#This Row],[Mult]]+Validation[[#This Row],[Base]]) &amp;" "&amp;Validation[[#This Row],[Uncert_Units]]</f>
        <v>0.58 °C</v>
      </c>
      <c r="U9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981" t="b">
        <f ca="1">Validation[[#This Row],[Desired Result]]=Validation[[#This Row],[Result]]</f>
        <v>1</v>
      </c>
      <c r="W981" t="b">
        <v>0</v>
      </c>
      <c r="X981" t="b">
        <f>Validation[[#This Row],[Range1_Low]]&gt;=Validation[[#This Row],[Range1_High]]</f>
        <v>0</v>
      </c>
      <c r="Y981" s="111" t="s">
        <v>2845</v>
      </c>
    </row>
    <row r="982" spans="1:25" x14ac:dyDescent="0.25">
      <c r="A982" t="s">
        <v>55</v>
      </c>
      <c r="B982" t="s">
        <v>97</v>
      </c>
      <c r="C982">
        <v>426.66800000000001</v>
      </c>
      <c r="D982">
        <v>648.88900000000001</v>
      </c>
      <c r="E982">
        <v>0.1</v>
      </c>
      <c r="F982" t="s">
        <v>23</v>
      </c>
      <c r="G982" t="s">
        <v>23</v>
      </c>
      <c r="H982">
        <v>0</v>
      </c>
      <c r="I982">
        <v>0</v>
      </c>
      <c r="J982" t="s">
        <v>2833</v>
      </c>
      <c r="K982">
        <v>6.0057138000000003E-2</v>
      </c>
      <c r="L982">
        <v>0</v>
      </c>
      <c r="M982">
        <v>5.941569E-2</v>
      </c>
      <c r="N982">
        <v>0</v>
      </c>
      <c r="O982" t="s">
        <v>2833</v>
      </c>
      <c r="P982" t="s">
        <v>2833</v>
      </c>
      <c r="Q982" t="s">
        <v>167</v>
      </c>
      <c r="R982">
        <f ca="1">RAND()*(Validation[[#This Row],[Range1_High]]-Validation[[#This Row],[Range1_Low]])+Validation[[#This Row],[Range1_Low]]</f>
        <v>488.01552617759057</v>
      </c>
      <c r="S982">
        <f>Validation[[#This Row],[Range2_High]]</f>
        <v>0</v>
      </c>
      <c r="T982" t="str" cm="1">
        <f t="array" aca="1" ref="T982" ca="1">RoundToTwoSigFigs(Validation[[#This Row],[Test Reading]]*Validation[[#This Row],[Mult]]+Validation[[#This Row],[Base]]) &amp;" "&amp;Validation[[#This Row],[Uncert_Units]]</f>
        <v>0.06 °C</v>
      </c>
      <c r="U9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V982" t="b">
        <f ca="1">Validation[[#This Row],[Desired Result]]=Validation[[#This Row],[Result]]</f>
        <v>1</v>
      </c>
      <c r="W982" t="b">
        <v>0</v>
      </c>
      <c r="X982" t="b">
        <f>Validation[[#This Row],[Range1_Low]]&gt;=Validation[[#This Row],[Range1_High]]</f>
        <v>0</v>
      </c>
      <c r="Y982" s="111" t="s">
        <v>2845</v>
      </c>
    </row>
    <row r="983" spans="1:25" x14ac:dyDescent="0.25">
      <c r="A983" t="s">
        <v>55</v>
      </c>
      <c r="B983" t="s">
        <v>97</v>
      </c>
      <c r="C983">
        <v>204.44499999999999</v>
      </c>
      <c r="D983">
        <v>426.66699999999997</v>
      </c>
      <c r="E983">
        <v>0.1</v>
      </c>
      <c r="F983" t="s">
        <v>23</v>
      </c>
      <c r="G983" t="s">
        <v>23</v>
      </c>
      <c r="H983">
        <v>0</v>
      </c>
      <c r="I983">
        <v>0</v>
      </c>
      <c r="J983" t="s">
        <v>2833</v>
      </c>
      <c r="K983">
        <v>5.8813007E-2</v>
      </c>
      <c r="L983">
        <v>0</v>
      </c>
      <c r="M983">
        <v>5.8580321999999997E-2</v>
      </c>
      <c r="N983">
        <v>0</v>
      </c>
      <c r="O983" t="s">
        <v>2833</v>
      </c>
      <c r="P983" t="s">
        <v>2833</v>
      </c>
      <c r="Q983" t="s">
        <v>167</v>
      </c>
      <c r="R983">
        <f ca="1">RAND()*(Validation[[#This Row],[Range1_High]]-Validation[[#This Row],[Range1_Low]])+Validation[[#This Row],[Range1_Low]]</f>
        <v>248.761875335214</v>
      </c>
      <c r="S983">
        <f>Validation[[#This Row],[Range2_High]]</f>
        <v>0</v>
      </c>
      <c r="T983" t="str" cm="1">
        <f t="array" aca="1" ref="T983" ca="1">RoundToTwoSigFigs(Validation[[#This Row],[Test Reading]]*Validation[[#This Row],[Mult]]+Validation[[#This Row],[Base]]) &amp;" "&amp;Validation[[#This Row],[Uncert_Units]]</f>
        <v>0.059 °C</v>
      </c>
      <c r="U9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V983" t="b">
        <f ca="1">Validation[[#This Row],[Desired Result]]=Validation[[#This Row],[Result]]</f>
        <v>1</v>
      </c>
      <c r="W983" t="b">
        <v>0</v>
      </c>
      <c r="X983" t="b">
        <f>Validation[[#This Row],[Range1_Low]]&gt;=Validation[[#This Row],[Range1_High]]</f>
        <v>0</v>
      </c>
      <c r="Y983" s="111" t="s">
        <v>2845</v>
      </c>
    </row>
    <row r="984" spans="1:25" ht="15.75" thickBot="1" x14ac:dyDescent="0.3">
      <c r="A984" t="s">
        <v>54</v>
      </c>
      <c r="B984" t="s">
        <v>97</v>
      </c>
      <c r="C984">
        <v>-200</v>
      </c>
      <c r="D984">
        <v>0.1</v>
      </c>
      <c r="E984">
        <v>0.1</v>
      </c>
      <c r="F984" t="s">
        <v>23</v>
      </c>
      <c r="G984" t="s">
        <v>23</v>
      </c>
      <c r="H984">
        <v>0</v>
      </c>
      <c r="I984">
        <v>0</v>
      </c>
      <c r="J984" t="s">
        <v>2833</v>
      </c>
      <c r="K984">
        <v>0.103093619</v>
      </c>
      <c r="L984">
        <v>0</v>
      </c>
      <c r="M984">
        <v>8.3547729000000001E-2</v>
      </c>
      <c r="N984">
        <v>0</v>
      </c>
      <c r="O984" t="s">
        <v>2833</v>
      </c>
      <c r="P984" t="s">
        <v>2833</v>
      </c>
      <c r="Q984" t="s">
        <v>167</v>
      </c>
      <c r="R984">
        <f ca="1">RAND()*(Validation[[#This Row],[Range1_High]]-Validation[[#This Row],[Range1_Low]])+Validation[[#This Row],[Range1_Low]]</f>
        <v>-172.93215682596457</v>
      </c>
      <c r="S984">
        <f>Validation[[#This Row],[Range2_High]]</f>
        <v>0</v>
      </c>
      <c r="T984" t="str" cm="1">
        <f t="array" aca="1" ref="T984" ca="1">RoundToTwoSigFigs(Validation[[#This Row],[Test Reading]]*Validation[[#This Row],[Mult]]+Validation[[#This Row],[Base]]) &amp;" "&amp;Validation[[#This Row],[Uncert_Units]]</f>
        <v>0.1 °C</v>
      </c>
      <c r="U9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V984" t="b">
        <f ca="1">Validation[[#This Row],[Desired Result]]=Validation[[#This Row],[Result]]</f>
        <v>1</v>
      </c>
      <c r="W984" t="b">
        <v>0</v>
      </c>
      <c r="X984" t="b">
        <f>Validation[[#This Row],[Range1_Low]]&gt;=Validation[[#This Row],[Range1_High]]</f>
        <v>0</v>
      </c>
      <c r="Y984" s="111" t="s">
        <v>2845</v>
      </c>
    </row>
    <row r="985" spans="1:25" ht="16.5" thickTop="1" thickBot="1" x14ac:dyDescent="0.3">
      <c r="A985" t="s">
        <v>54</v>
      </c>
      <c r="B985" t="s">
        <v>97</v>
      </c>
      <c r="C985" s="113">
        <v>300</v>
      </c>
      <c r="D985" s="113">
        <v>400.1</v>
      </c>
      <c r="E985">
        <v>0.1</v>
      </c>
      <c r="F985" t="s">
        <v>23</v>
      </c>
      <c r="G985" t="s">
        <v>23</v>
      </c>
      <c r="H985">
        <v>0</v>
      </c>
      <c r="I985">
        <v>0</v>
      </c>
      <c r="J985" t="s">
        <v>2833</v>
      </c>
      <c r="K985">
        <v>0.16999556299999999</v>
      </c>
      <c r="L985">
        <v>0</v>
      </c>
      <c r="M985">
        <v>0.15890380900000001</v>
      </c>
      <c r="N985">
        <v>0</v>
      </c>
      <c r="O985" t="s">
        <v>2833</v>
      </c>
      <c r="P985" t="s">
        <v>2833</v>
      </c>
      <c r="Q985" t="s">
        <v>167</v>
      </c>
      <c r="R985">
        <f ca="1">RAND()*(Validation[[#This Row],[Range1_High]]-Validation[[#This Row],[Range1_Low]])+Validation[[#This Row],[Range1_Low]]</f>
        <v>317.64488708345243</v>
      </c>
      <c r="S985">
        <f>Validation[[#This Row],[Range2_High]]</f>
        <v>0</v>
      </c>
      <c r="T985" t="str" cm="1">
        <f t="array" aca="1" ref="T985" ca="1">RoundToTwoSigFigs(Validation[[#This Row],[Test Reading]]*Validation[[#This Row],[Mult]]+Validation[[#This Row],[Base]]) &amp;" "&amp;Validation[[#This Row],[Uncert_Units]]</f>
        <v>0.17 °C</v>
      </c>
      <c r="U9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V985" t="b">
        <f ca="1">Validation[[#This Row],[Desired Result]]=Validation[[#This Row],[Result]]</f>
        <v>1</v>
      </c>
      <c r="W985" t="b">
        <v>1</v>
      </c>
      <c r="X985" t="b">
        <f>Validation[[#This Row],[Range1_Low]]&gt;=Validation[[#This Row],[Range1_High]]</f>
        <v>0</v>
      </c>
      <c r="Y985" s="111" t="s">
        <v>2843</v>
      </c>
    </row>
    <row r="986" spans="1:25" ht="16.5" thickTop="1" thickBot="1" x14ac:dyDescent="0.3">
      <c r="A986" t="s">
        <v>55</v>
      </c>
      <c r="B986" t="s">
        <v>97</v>
      </c>
      <c r="C986">
        <v>426.66800000000001</v>
      </c>
      <c r="D986">
        <v>648.88900000000001</v>
      </c>
      <c r="E986">
        <v>0.01</v>
      </c>
      <c r="F986" t="s">
        <v>23</v>
      </c>
      <c r="G986" t="s">
        <v>23</v>
      </c>
      <c r="H986">
        <v>0</v>
      </c>
      <c r="I986">
        <v>0</v>
      </c>
      <c r="J986" t="s">
        <v>2833</v>
      </c>
      <c r="K986">
        <v>1.5791868000000001E-2</v>
      </c>
      <c r="L986">
        <v>0</v>
      </c>
      <c r="M986">
        <v>1.517314E-2</v>
      </c>
      <c r="N986">
        <v>0</v>
      </c>
      <c r="O986" t="s">
        <v>2833</v>
      </c>
      <c r="P986" t="s">
        <v>2833</v>
      </c>
      <c r="Q986" t="s">
        <v>167</v>
      </c>
      <c r="R986">
        <f ca="1">RAND()*(Validation[[#This Row],[Range1_High]]-Validation[[#This Row],[Range1_Low]])+Validation[[#This Row],[Range1_Low]]</f>
        <v>639.41918673063105</v>
      </c>
      <c r="S986">
        <f>Validation[[#This Row],[Range2_High]]</f>
        <v>0</v>
      </c>
      <c r="T986" t="str" cm="1">
        <f t="array" aca="1" ref="T986" ca="1">RoundToTwoSigFigs(Validation[[#This Row],[Test Reading]]*Validation[[#This Row],[Mult]]+Validation[[#This Row],[Base]]) &amp;" "&amp;Validation[[#This Row],[Uncert_Units]]</f>
        <v>0.016 °C</v>
      </c>
      <c r="U9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V986" t="b">
        <f ca="1">Validation[[#This Row],[Desired Result]]=Validation[[#This Row],[Result]]</f>
        <v>1</v>
      </c>
      <c r="W986" t="b">
        <v>0</v>
      </c>
      <c r="X986" t="b">
        <f>Validation[[#This Row],[Range1_Low]]&gt;=Validation[[#This Row],[Range1_High]]</f>
        <v>0</v>
      </c>
      <c r="Y986" s="111" t="s">
        <v>2845</v>
      </c>
    </row>
    <row r="987" spans="1:25" ht="16.5" thickTop="1" thickBot="1" x14ac:dyDescent="0.3">
      <c r="A987" t="s">
        <v>54</v>
      </c>
      <c r="B987" t="s">
        <v>97</v>
      </c>
      <c r="C987" s="113">
        <v>600</v>
      </c>
      <c r="D987" s="113">
        <v>630</v>
      </c>
      <c r="E987">
        <v>0.1</v>
      </c>
      <c r="F987" t="s">
        <v>23</v>
      </c>
      <c r="G987" t="s">
        <v>23</v>
      </c>
      <c r="H987">
        <v>0</v>
      </c>
      <c r="I987">
        <v>0</v>
      </c>
      <c r="J987" t="s">
        <v>2833</v>
      </c>
      <c r="K987">
        <v>0.47301427699999998</v>
      </c>
      <c r="L987">
        <v>0</v>
      </c>
      <c r="M987">
        <v>0.46914223399999999</v>
      </c>
      <c r="N987">
        <v>0</v>
      </c>
      <c r="O987" t="s">
        <v>2833</v>
      </c>
      <c r="P987" t="s">
        <v>2833</v>
      </c>
      <c r="Q987" t="s">
        <v>167</v>
      </c>
      <c r="R987">
        <f ca="1">RAND()*(Validation[[#This Row],[Range1_High]]-Validation[[#This Row],[Range1_Low]])+Validation[[#This Row],[Range1_Low]]</f>
        <v>623.75464192580409</v>
      </c>
      <c r="S987">
        <f>Validation[[#This Row],[Range2_High]]</f>
        <v>0</v>
      </c>
      <c r="T987" t="str" cm="1">
        <f t="array" aca="1" ref="T987" ca="1">RoundToTwoSigFigs(Validation[[#This Row],[Test Reading]]*Validation[[#This Row],[Mult]]+Validation[[#This Row],[Base]]) &amp;" "&amp;Validation[[#This Row],[Uncert_Units]]</f>
        <v>0.47 °C</v>
      </c>
      <c r="U9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V987" t="b">
        <f ca="1">Validation[[#This Row],[Desired Result]]=Validation[[#This Row],[Result]]</f>
        <v>1</v>
      </c>
      <c r="W987" t="b">
        <v>1</v>
      </c>
      <c r="X987" t="b">
        <f>Validation[[#This Row],[Range1_Low]]&gt;=Validation[[#This Row],[Range1_High]]</f>
        <v>0</v>
      </c>
      <c r="Y987" s="111" t="s">
        <v>2843</v>
      </c>
    </row>
    <row r="988" spans="1:25" ht="15.75" thickTop="1" x14ac:dyDescent="0.25">
      <c r="A988" t="s">
        <v>55</v>
      </c>
      <c r="B988" t="s">
        <v>97</v>
      </c>
      <c r="C988">
        <v>648.89</v>
      </c>
      <c r="D988">
        <v>850</v>
      </c>
      <c r="E988">
        <v>0.1</v>
      </c>
      <c r="F988" t="s">
        <v>23</v>
      </c>
      <c r="G988" t="s">
        <v>23</v>
      </c>
      <c r="H988">
        <v>0</v>
      </c>
      <c r="I988">
        <v>0</v>
      </c>
      <c r="J988" t="s">
        <v>2833</v>
      </c>
      <c r="K988">
        <v>6.0807893000000002E-2</v>
      </c>
      <c r="L988">
        <v>0</v>
      </c>
      <c r="M988">
        <v>6.0422971999999998E-2</v>
      </c>
      <c r="N988">
        <v>0</v>
      </c>
      <c r="O988" t="s">
        <v>2833</v>
      </c>
      <c r="P988" t="s">
        <v>2833</v>
      </c>
      <c r="Q988" t="s">
        <v>167</v>
      </c>
      <c r="R988">
        <f ca="1">RAND()*(Validation[[#This Row],[Range1_High]]-Validation[[#This Row],[Range1_Low]])+Validation[[#This Row],[Range1_Low]]</f>
        <v>796.5712124607179</v>
      </c>
      <c r="S988">
        <f>Validation[[#This Row],[Range2_High]]</f>
        <v>0</v>
      </c>
      <c r="T988" t="str" cm="1">
        <f t="array" aca="1" ref="T988" ca="1">RoundToTwoSigFigs(Validation[[#This Row],[Test Reading]]*Validation[[#This Row],[Mult]]+Validation[[#This Row],[Base]]) &amp;" "&amp;Validation[[#This Row],[Uncert_Units]]</f>
        <v>0.061 °C</v>
      </c>
      <c r="U9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V988" t="b">
        <f ca="1">Validation[[#This Row],[Desired Result]]=Validation[[#This Row],[Result]]</f>
        <v>1</v>
      </c>
      <c r="W988" t="b">
        <v>0</v>
      </c>
      <c r="X988" t="b">
        <f>Validation[[#This Row],[Range1_Low]]&gt;=Validation[[#This Row],[Range1_High]]</f>
        <v>0</v>
      </c>
      <c r="Y988" s="111" t="s">
        <v>2845</v>
      </c>
    </row>
    <row r="989" spans="1:25" x14ac:dyDescent="0.25">
      <c r="A989" t="s">
        <v>55</v>
      </c>
      <c r="B989" t="s">
        <v>97</v>
      </c>
      <c r="C989">
        <v>-195.6</v>
      </c>
      <c r="D989">
        <v>0</v>
      </c>
      <c r="E989">
        <v>0.1</v>
      </c>
      <c r="F989" t="s">
        <v>23</v>
      </c>
      <c r="G989" t="s">
        <v>23</v>
      </c>
      <c r="H989">
        <v>0</v>
      </c>
      <c r="I989">
        <v>0</v>
      </c>
      <c r="J989" t="s">
        <v>2833</v>
      </c>
      <c r="K989">
        <v>5.7999760999999997E-2</v>
      </c>
      <c r="L989">
        <v>0</v>
      </c>
      <c r="M989">
        <v>5.7819599999999999E-2</v>
      </c>
      <c r="N989">
        <v>0</v>
      </c>
      <c r="O989" t="s">
        <v>2833</v>
      </c>
      <c r="P989" t="s">
        <v>2833</v>
      </c>
      <c r="Q989" t="s">
        <v>167</v>
      </c>
      <c r="R989">
        <f ca="1">RAND()*(Validation[[#This Row],[Range1_High]]-Validation[[#This Row],[Range1_Low]])+Validation[[#This Row],[Range1_Low]]</f>
        <v>-181.47009047408986</v>
      </c>
      <c r="S989">
        <f>Validation[[#This Row],[Range2_High]]</f>
        <v>0</v>
      </c>
      <c r="T989" t="str" cm="1">
        <f t="array" aca="1" ref="T989" ca="1">RoundToTwoSigFigs(Validation[[#This Row],[Test Reading]]*Validation[[#This Row],[Mult]]+Validation[[#This Row],[Base]]) &amp;" "&amp;Validation[[#This Row],[Uncert_Units]]</f>
        <v>0.058 °C</v>
      </c>
      <c r="U9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V989" t="b">
        <f ca="1">Validation[[#This Row],[Desired Result]]=Validation[[#This Row],[Result]]</f>
        <v>1</v>
      </c>
      <c r="W989" t="b">
        <v>0</v>
      </c>
      <c r="X989" t="b">
        <f>Validation[[#This Row],[Range1_Low]]&gt;=Validation[[#This Row],[Range1_High]]</f>
        <v>0</v>
      </c>
      <c r="Y989" s="111" t="s">
        <v>2845</v>
      </c>
    </row>
    <row r="990" spans="1:25" x14ac:dyDescent="0.25">
      <c r="A990" t="s">
        <v>54</v>
      </c>
      <c r="B990" t="s">
        <v>97</v>
      </c>
      <c r="C990">
        <v>400</v>
      </c>
      <c r="D990">
        <v>600.1</v>
      </c>
      <c r="E990">
        <v>0.1</v>
      </c>
      <c r="F990" t="s">
        <v>23</v>
      </c>
      <c r="G990" t="s">
        <v>23</v>
      </c>
      <c r="H990">
        <v>0</v>
      </c>
      <c r="I990">
        <v>0</v>
      </c>
      <c r="J990" t="s">
        <v>2833</v>
      </c>
      <c r="K990">
        <v>0.17203912299999999</v>
      </c>
      <c r="L990">
        <v>0</v>
      </c>
      <c r="M990">
        <v>0.16108813899999999</v>
      </c>
      <c r="N990">
        <v>0</v>
      </c>
      <c r="O990" t="s">
        <v>2833</v>
      </c>
      <c r="P990" t="s">
        <v>2833</v>
      </c>
      <c r="Q990" t="s">
        <v>167</v>
      </c>
      <c r="R990">
        <f ca="1">RAND()*(Validation[[#This Row],[Range1_High]]-Validation[[#This Row],[Range1_Low]])+Validation[[#This Row],[Range1_Low]]</f>
        <v>528.62245676755003</v>
      </c>
      <c r="S990">
        <f>Validation[[#This Row],[Range2_High]]</f>
        <v>0</v>
      </c>
      <c r="T990" t="str" cm="1">
        <f t="array" aca="1" ref="T990" ca="1">RoundToTwoSigFigs(Validation[[#This Row],[Test Reading]]*Validation[[#This Row],[Mult]]+Validation[[#This Row],[Base]]) &amp;" "&amp;Validation[[#This Row],[Uncert_Units]]</f>
        <v>0.17 °C</v>
      </c>
      <c r="U9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V990" t="b">
        <f ca="1">Validation[[#This Row],[Desired Result]]=Validation[[#This Row],[Result]]</f>
        <v>1</v>
      </c>
      <c r="W990" t="b">
        <v>0</v>
      </c>
      <c r="X990" t="b">
        <f>Validation[[#This Row],[Range1_Low]]&gt;=Validation[[#This Row],[Range1_High]]</f>
        <v>0</v>
      </c>
      <c r="Y990" s="111" t="s">
        <v>2845</v>
      </c>
    </row>
    <row r="991" spans="1:25" ht="15.75" thickBot="1" x14ac:dyDescent="0.3">
      <c r="A991" t="s">
        <v>55</v>
      </c>
      <c r="B991" t="s">
        <v>97</v>
      </c>
      <c r="C991">
        <v>204.44499999999999</v>
      </c>
      <c r="D991">
        <v>426.66699999999997</v>
      </c>
      <c r="E991">
        <v>1</v>
      </c>
      <c r="F991" t="s">
        <v>23</v>
      </c>
      <c r="G991" t="s">
        <v>23</v>
      </c>
      <c r="H991">
        <v>0</v>
      </c>
      <c r="I991">
        <v>0</v>
      </c>
      <c r="J991" t="s">
        <v>2833</v>
      </c>
      <c r="K991">
        <v>0.57753001400000004</v>
      </c>
      <c r="L991">
        <v>0</v>
      </c>
      <c r="M991">
        <v>0.57743541099999995</v>
      </c>
      <c r="N991">
        <v>0</v>
      </c>
      <c r="O991" t="s">
        <v>2833</v>
      </c>
      <c r="P991" t="s">
        <v>2833</v>
      </c>
      <c r="Q991" t="s">
        <v>167</v>
      </c>
      <c r="R991">
        <f ca="1">RAND()*(Validation[[#This Row],[Range1_High]]-Validation[[#This Row],[Range1_Low]])+Validation[[#This Row],[Range1_Low]]</f>
        <v>338.96917892092671</v>
      </c>
      <c r="S991">
        <f>Validation[[#This Row],[Range2_High]]</f>
        <v>0</v>
      </c>
      <c r="T991" t="str" cm="1">
        <f t="array" aca="1" ref="T991" ca="1">RoundToTwoSigFigs(Validation[[#This Row],[Test Reading]]*Validation[[#This Row],[Mult]]+Validation[[#This Row],[Base]]) &amp;" "&amp;Validation[[#This Row],[Uncert_Units]]</f>
        <v>0.58 °C</v>
      </c>
      <c r="U9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991" t="b">
        <f ca="1">Validation[[#This Row],[Desired Result]]=Validation[[#This Row],[Result]]</f>
        <v>1</v>
      </c>
      <c r="W991" t="b">
        <v>0</v>
      </c>
      <c r="X991" t="b">
        <f>Validation[[#This Row],[Range1_Low]]&gt;=Validation[[#This Row],[Range1_High]]</f>
        <v>0</v>
      </c>
      <c r="Y991" s="111" t="s">
        <v>2845</v>
      </c>
    </row>
    <row r="992" spans="1:25" ht="16.5" thickTop="1" thickBot="1" x14ac:dyDescent="0.3">
      <c r="A992" t="s">
        <v>54</v>
      </c>
      <c r="B992" t="s">
        <v>97</v>
      </c>
      <c r="C992" s="113">
        <v>600</v>
      </c>
      <c r="D992" s="113">
        <v>630</v>
      </c>
      <c r="E992">
        <v>1</v>
      </c>
      <c r="F992" t="s">
        <v>23</v>
      </c>
      <c r="G992" t="s">
        <v>23</v>
      </c>
      <c r="H992">
        <v>0</v>
      </c>
      <c r="I992">
        <v>0</v>
      </c>
      <c r="J992" t="s">
        <v>2833</v>
      </c>
      <c r="K992">
        <v>0.75347067499999998</v>
      </c>
      <c r="L992">
        <v>0</v>
      </c>
      <c r="M992">
        <v>0.74372425900000005</v>
      </c>
      <c r="N992">
        <v>0</v>
      </c>
      <c r="O992" t="s">
        <v>2833</v>
      </c>
      <c r="P992" t="s">
        <v>2833</v>
      </c>
      <c r="Q992" t="s">
        <v>167</v>
      </c>
      <c r="R992">
        <f ca="1">RAND()*(Validation[[#This Row],[Range1_High]]-Validation[[#This Row],[Range1_Low]])+Validation[[#This Row],[Range1_Low]]</f>
        <v>611.98703271986676</v>
      </c>
      <c r="S992">
        <f>Validation[[#This Row],[Range2_High]]</f>
        <v>0</v>
      </c>
      <c r="T992" t="str" cm="1">
        <f t="array" aca="1" ref="T992" ca="1">RoundToTwoSigFigs(Validation[[#This Row],[Test Reading]]*Validation[[#This Row],[Mult]]+Validation[[#This Row],[Base]]) &amp;" "&amp;Validation[[#This Row],[Uncert_Units]]</f>
        <v>0.75 °C</v>
      </c>
      <c r="U9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V992" t="b">
        <f ca="1">Validation[[#This Row],[Desired Result]]=Validation[[#This Row],[Result]]</f>
        <v>1</v>
      </c>
      <c r="W992" t="b">
        <v>1</v>
      </c>
      <c r="X992" t="b">
        <f>Validation[[#This Row],[Range1_Low]]&gt;=Validation[[#This Row],[Range1_High]]</f>
        <v>0</v>
      </c>
      <c r="Y992" s="111" t="s">
        <v>2843</v>
      </c>
    </row>
    <row r="993" spans="1:25" ht="15.75" thickTop="1" x14ac:dyDescent="0.25">
      <c r="A993" t="s">
        <v>54</v>
      </c>
      <c r="B993" t="s">
        <v>97</v>
      </c>
      <c r="C993">
        <v>630</v>
      </c>
      <c r="D993">
        <v>630.1</v>
      </c>
      <c r="E993">
        <v>0.1</v>
      </c>
      <c r="F993" t="s">
        <v>23</v>
      </c>
      <c r="G993" t="s">
        <v>23</v>
      </c>
      <c r="H993">
        <v>0</v>
      </c>
      <c r="I993">
        <v>0</v>
      </c>
      <c r="J993" t="s">
        <v>2833</v>
      </c>
      <c r="K993">
        <v>0.47301427699999998</v>
      </c>
      <c r="L993">
        <v>0</v>
      </c>
      <c r="M993">
        <v>0.46914223399999999</v>
      </c>
      <c r="N993">
        <v>0</v>
      </c>
      <c r="O993" t="s">
        <v>2833</v>
      </c>
      <c r="P993" t="s">
        <v>2833</v>
      </c>
      <c r="Q993" t="s">
        <v>167</v>
      </c>
      <c r="R993">
        <f ca="1">RAND()*(Validation[[#This Row],[Range1_High]]-Validation[[#This Row],[Range1_Low]])+Validation[[#This Row],[Range1_Low]]</f>
        <v>630.09220796282602</v>
      </c>
      <c r="S993">
        <f>Validation[[#This Row],[Range2_High]]</f>
        <v>0</v>
      </c>
      <c r="T993" t="str" cm="1">
        <f t="array" aca="1" ref="T993" ca="1">RoundToTwoSigFigs(Validation[[#This Row],[Test Reading]]*Validation[[#This Row],[Mult]]+Validation[[#This Row],[Base]]) &amp;" "&amp;Validation[[#This Row],[Uncert_Units]]</f>
        <v>0.47 °C</v>
      </c>
      <c r="U9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V993" t="b">
        <f ca="1">Validation[[#This Row],[Desired Result]]=Validation[[#This Row],[Result]]</f>
        <v>1</v>
      </c>
      <c r="W993" t="b">
        <v>0</v>
      </c>
      <c r="X993" t="b">
        <f>Validation[[#This Row],[Range1_Low]]&gt;=Validation[[#This Row],[Range1_High]]</f>
        <v>0</v>
      </c>
      <c r="Y993" s="111" t="s">
        <v>2845</v>
      </c>
    </row>
    <row r="994" spans="1:25" x14ac:dyDescent="0.25">
      <c r="A994" t="s">
        <v>55</v>
      </c>
      <c r="B994" t="s">
        <v>97</v>
      </c>
      <c r="C994">
        <v>-195.6</v>
      </c>
      <c r="D994">
        <v>0</v>
      </c>
      <c r="E994">
        <v>1</v>
      </c>
      <c r="F994" t="s">
        <v>23</v>
      </c>
      <c r="G994" t="s">
        <v>23</v>
      </c>
      <c r="H994">
        <v>0</v>
      </c>
      <c r="I994">
        <v>0</v>
      </c>
      <c r="J994" t="s">
        <v>2833</v>
      </c>
      <c r="K994">
        <v>0.57743100999999997</v>
      </c>
      <c r="L994">
        <v>0</v>
      </c>
      <c r="M994">
        <v>0.57735873299999996</v>
      </c>
      <c r="N994">
        <v>0</v>
      </c>
      <c r="O994" t="s">
        <v>2833</v>
      </c>
      <c r="P994" t="s">
        <v>2833</v>
      </c>
      <c r="Q994" t="s">
        <v>167</v>
      </c>
      <c r="R994">
        <f ca="1">RAND()*(Validation[[#This Row],[Range1_High]]-Validation[[#This Row],[Range1_Low]])+Validation[[#This Row],[Range1_Low]]</f>
        <v>-75.442884111909834</v>
      </c>
      <c r="S994">
        <f>Validation[[#This Row],[Range2_High]]</f>
        <v>0</v>
      </c>
      <c r="T994" t="str" cm="1">
        <f t="array" aca="1" ref="T994" ca="1">RoundToTwoSigFigs(Validation[[#This Row],[Test Reading]]*Validation[[#This Row],[Mult]]+Validation[[#This Row],[Base]]) &amp;" "&amp;Validation[[#This Row],[Uncert_Units]]</f>
        <v>0.58 °C</v>
      </c>
      <c r="U9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994" t="b">
        <f ca="1">Validation[[#This Row],[Desired Result]]=Validation[[#This Row],[Result]]</f>
        <v>1</v>
      </c>
      <c r="W994" t="b">
        <v>0</v>
      </c>
      <c r="X994" t="b">
        <f>Validation[[#This Row],[Range1_Low]]&gt;=Validation[[#This Row],[Range1_High]]</f>
        <v>0</v>
      </c>
      <c r="Y994" s="111" t="s">
        <v>2845</v>
      </c>
    </row>
    <row r="995" spans="1:25" ht="15.75" thickBot="1" x14ac:dyDescent="0.3">
      <c r="A995" t="s">
        <v>54</v>
      </c>
      <c r="B995" t="s">
        <v>97</v>
      </c>
      <c r="C995">
        <v>-200</v>
      </c>
      <c r="D995">
        <v>0.1</v>
      </c>
      <c r="E995">
        <v>1</v>
      </c>
      <c r="F995" t="s">
        <v>23</v>
      </c>
      <c r="G995" t="s">
        <v>23</v>
      </c>
      <c r="H995">
        <v>0</v>
      </c>
      <c r="I995">
        <v>0</v>
      </c>
      <c r="J995" t="s">
        <v>2833</v>
      </c>
      <c r="K995">
        <v>0.59548622600000001</v>
      </c>
      <c r="L995">
        <v>0</v>
      </c>
      <c r="M995">
        <v>0.58310510299999996</v>
      </c>
      <c r="N995">
        <v>0</v>
      </c>
      <c r="O995" t="s">
        <v>2833</v>
      </c>
      <c r="P995" t="s">
        <v>2833</v>
      </c>
      <c r="Q995" t="s">
        <v>167</v>
      </c>
      <c r="R995">
        <f ca="1">RAND()*(Validation[[#This Row],[Range1_High]]-Validation[[#This Row],[Range1_Low]])+Validation[[#This Row],[Range1_Low]]</f>
        <v>-58.147138051891375</v>
      </c>
      <c r="S995">
        <f>Validation[[#This Row],[Range2_High]]</f>
        <v>0</v>
      </c>
      <c r="T995" t="str" cm="1">
        <f t="array" aca="1" ref="T995" ca="1">RoundToTwoSigFigs(Validation[[#This Row],[Test Reading]]*Validation[[#This Row],[Mult]]+Validation[[#This Row],[Base]]) &amp;" "&amp;Validation[[#This Row],[Uncert_Units]]</f>
        <v>0.6 °C</v>
      </c>
      <c r="U9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995" t="b">
        <f ca="1">Validation[[#This Row],[Desired Result]]=Validation[[#This Row],[Result]]</f>
        <v>1</v>
      </c>
      <c r="W995" t="b">
        <v>0</v>
      </c>
      <c r="X995" t="b">
        <f>Validation[[#This Row],[Range1_Low]]&gt;=Validation[[#This Row],[Range1_High]]</f>
        <v>0</v>
      </c>
      <c r="Y995" s="111" t="s">
        <v>2845</v>
      </c>
    </row>
    <row r="996" spans="1:25" ht="16.5" thickTop="1" thickBot="1" x14ac:dyDescent="0.3">
      <c r="A996" t="s">
        <v>54</v>
      </c>
      <c r="B996" t="s">
        <v>80</v>
      </c>
      <c r="C996" s="113">
        <v>1202</v>
      </c>
      <c r="D996" s="113">
        <v>1832</v>
      </c>
      <c r="E996">
        <v>1</v>
      </c>
      <c r="F996" t="s">
        <v>26</v>
      </c>
      <c r="G996" t="s">
        <v>26</v>
      </c>
      <c r="H996">
        <v>0</v>
      </c>
      <c r="I996">
        <v>0</v>
      </c>
      <c r="J996" t="s">
        <v>2833</v>
      </c>
      <c r="K996">
        <v>0.72801676699999995</v>
      </c>
      <c r="L996">
        <v>0</v>
      </c>
      <c r="M996">
        <v>0.72610924499999996</v>
      </c>
      <c r="N996">
        <v>0</v>
      </c>
      <c r="O996" t="s">
        <v>2833</v>
      </c>
      <c r="P996" t="s">
        <v>2833</v>
      </c>
      <c r="Q996" t="s">
        <v>160</v>
      </c>
      <c r="R996">
        <f ca="1">RAND()*(Validation[[#This Row],[Range1_High]]-Validation[[#This Row],[Range1_Low]])+Validation[[#This Row],[Range1_Low]]</f>
        <v>1767.5887676872021</v>
      </c>
      <c r="S996">
        <f>Validation[[#This Row],[Range2_High]]</f>
        <v>0</v>
      </c>
      <c r="T996" t="str" cm="1">
        <f t="array" aca="1" ref="T996" ca="1">RoundToTwoSigFigs(Validation[[#This Row],[Test Reading]]*Validation[[#This Row],[Mult]]+Validation[[#This Row],[Base]]) &amp;" "&amp;Validation[[#This Row],[Uncert_Units]]</f>
        <v>0.73 °F</v>
      </c>
      <c r="U9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V996" t="b">
        <f ca="1">Validation[[#This Row],[Desired Result]]=Validation[[#This Row],[Result]]</f>
        <v>1</v>
      </c>
      <c r="W996" t="b">
        <v>1</v>
      </c>
      <c r="X996" t="b">
        <f>Validation[[#This Row],[Range1_Low]]&gt;=Validation[[#This Row],[Range1_High]]</f>
        <v>0</v>
      </c>
      <c r="Y996" s="111" t="s">
        <v>2843</v>
      </c>
    </row>
    <row r="997" spans="1:25" ht="16.5" thickTop="1" thickBot="1" x14ac:dyDescent="0.3">
      <c r="A997" t="s">
        <v>54</v>
      </c>
      <c r="B997" t="s">
        <v>80</v>
      </c>
      <c r="C997">
        <v>1832</v>
      </c>
      <c r="D997">
        <v>1832.1</v>
      </c>
      <c r="E997">
        <v>1</v>
      </c>
      <c r="F997" t="s">
        <v>26</v>
      </c>
      <c r="G997" t="s">
        <v>26</v>
      </c>
      <c r="H997">
        <v>0</v>
      </c>
      <c r="I997">
        <v>0</v>
      </c>
      <c r="J997" t="s">
        <v>2833</v>
      </c>
      <c r="K997">
        <v>0.72801676699999995</v>
      </c>
      <c r="L997">
        <v>0</v>
      </c>
      <c r="M997">
        <v>0.72610924499999996</v>
      </c>
      <c r="N997">
        <v>0</v>
      </c>
      <c r="O997" t="s">
        <v>2833</v>
      </c>
      <c r="P997" t="s">
        <v>2833</v>
      </c>
      <c r="Q997" t="s">
        <v>160</v>
      </c>
      <c r="R997">
        <f ca="1">RAND()*(Validation[[#This Row],[Range1_High]]-Validation[[#This Row],[Range1_Low]])+Validation[[#This Row],[Range1_Low]]</f>
        <v>1832.0716104839703</v>
      </c>
      <c r="S997">
        <f>Validation[[#This Row],[Range2_High]]</f>
        <v>0</v>
      </c>
      <c r="T997" t="str" cm="1">
        <f t="array" aca="1" ref="T997" ca="1">RoundToTwoSigFigs(Validation[[#This Row],[Test Reading]]*Validation[[#This Row],[Mult]]+Validation[[#This Row],[Base]]) &amp;" "&amp;Validation[[#This Row],[Uncert_Units]]</f>
        <v>0.73 °F</v>
      </c>
      <c r="U9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V997" t="b">
        <f ca="1">Validation[[#This Row],[Desired Result]]=Validation[[#This Row],[Result]]</f>
        <v>1</v>
      </c>
      <c r="W997" t="b">
        <v>0</v>
      </c>
      <c r="X997" t="b">
        <f>Validation[[#This Row],[Range1_Low]]&gt;=Validation[[#This Row],[Range1_High]]</f>
        <v>0</v>
      </c>
      <c r="Y997" s="111" t="s">
        <v>2845</v>
      </c>
    </row>
    <row r="998" spans="1:25" ht="16.5" thickTop="1" thickBot="1" x14ac:dyDescent="0.3">
      <c r="A998" t="s">
        <v>54</v>
      </c>
      <c r="B998" t="s">
        <v>80</v>
      </c>
      <c r="C998" s="113">
        <v>662</v>
      </c>
      <c r="D998" s="113">
        <v>1202.0999999999999</v>
      </c>
      <c r="E998">
        <v>1</v>
      </c>
      <c r="F998" t="s">
        <v>26</v>
      </c>
      <c r="G998" t="s">
        <v>26</v>
      </c>
      <c r="H998">
        <v>0</v>
      </c>
      <c r="I998">
        <v>0</v>
      </c>
      <c r="J998" t="s">
        <v>2833</v>
      </c>
      <c r="K998">
        <v>0.67088574199999995</v>
      </c>
      <c r="L998">
        <v>0</v>
      </c>
      <c r="M998">
        <v>0.668815296</v>
      </c>
      <c r="N998">
        <v>0</v>
      </c>
      <c r="O998" t="s">
        <v>2833</v>
      </c>
      <c r="P998" t="s">
        <v>2833</v>
      </c>
      <c r="Q998" t="s">
        <v>160</v>
      </c>
      <c r="R998">
        <f ca="1">RAND()*(Validation[[#This Row],[Range1_High]]-Validation[[#This Row],[Range1_Low]])+Validation[[#This Row],[Range1_Low]]</f>
        <v>758.99571462476479</v>
      </c>
      <c r="S998">
        <f>Validation[[#This Row],[Range2_High]]</f>
        <v>0</v>
      </c>
      <c r="T998" t="str" cm="1">
        <f t="array" aca="1" ref="T998" ca="1">RoundToTwoSigFigs(Validation[[#This Row],[Test Reading]]*Validation[[#This Row],[Mult]]+Validation[[#This Row],[Base]]) &amp;" "&amp;Validation[[#This Row],[Uncert_Units]]</f>
        <v>0.67 °F</v>
      </c>
      <c r="U9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V998" t="b">
        <f ca="1">Validation[[#This Row],[Desired Result]]=Validation[[#This Row],[Result]]</f>
        <v>1</v>
      </c>
      <c r="W998" t="b">
        <v>1</v>
      </c>
      <c r="X998" t="b">
        <f>Validation[[#This Row],[Range1_Low]]&gt;=Validation[[#This Row],[Range1_High]]</f>
        <v>0</v>
      </c>
      <c r="Y998" s="111" t="s">
        <v>2843</v>
      </c>
    </row>
    <row r="999" spans="1:25" ht="15.75" thickTop="1" x14ac:dyDescent="0.25">
      <c r="A999" t="s">
        <v>55</v>
      </c>
      <c r="B999" t="s">
        <v>80</v>
      </c>
      <c r="C999">
        <v>300.00099999999998</v>
      </c>
      <c r="D999">
        <v>1100</v>
      </c>
      <c r="E999">
        <v>0.1</v>
      </c>
      <c r="F999" t="s">
        <v>26</v>
      </c>
      <c r="G999" t="s">
        <v>26</v>
      </c>
      <c r="H999">
        <v>0</v>
      </c>
      <c r="I999">
        <v>0</v>
      </c>
      <c r="J999" t="s">
        <v>2833</v>
      </c>
      <c r="K999">
        <v>0.09</v>
      </c>
      <c r="L999">
        <v>0</v>
      </c>
      <c r="M999">
        <v>8.4258116999999993E-2</v>
      </c>
      <c r="N999">
        <v>0</v>
      </c>
      <c r="O999" t="s">
        <v>2833</v>
      </c>
      <c r="P999" t="s">
        <v>2833</v>
      </c>
      <c r="Q999" t="s">
        <v>160</v>
      </c>
      <c r="R999">
        <f ca="1">RAND()*(Validation[[#This Row],[Range1_High]]-Validation[[#This Row],[Range1_Low]])+Validation[[#This Row],[Range1_Low]]</f>
        <v>1006.165108729408</v>
      </c>
      <c r="S999">
        <f>Validation[[#This Row],[Range2_High]]</f>
        <v>0</v>
      </c>
      <c r="T999" t="str" cm="1">
        <f t="array" aca="1" ref="T999" ca="1">RoundToTwoSigFigs(Validation[[#This Row],[Test Reading]]*Validation[[#This Row],[Mult]]+Validation[[#This Row],[Base]]) &amp;" "&amp;Validation[[#This Row],[Uncert_Units]]</f>
        <v>0.09 °F</v>
      </c>
      <c r="U9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V999" t="b">
        <f ca="1">Validation[[#This Row],[Desired Result]]=Validation[[#This Row],[Result]]</f>
        <v>1</v>
      </c>
      <c r="W999" t="b">
        <v>0</v>
      </c>
      <c r="X999" t="b">
        <f>Validation[[#This Row],[Range1_Low]]&gt;=Validation[[#This Row],[Range1_High]]</f>
        <v>0</v>
      </c>
      <c r="Y999" s="111" t="s">
        <v>2845</v>
      </c>
    </row>
    <row r="1000" spans="1:25" x14ac:dyDescent="0.25">
      <c r="A1000" t="s">
        <v>54</v>
      </c>
      <c r="B1000" t="s">
        <v>80</v>
      </c>
      <c r="C1000">
        <v>-148</v>
      </c>
      <c r="D1000">
        <v>-12.9</v>
      </c>
      <c r="E1000">
        <v>1</v>
      </c>
      <c r="F1000" t="s">
        <v>26</v>
      </c>
      <c r="G1000" t="s">
        <v>26</v>
      </c>
      <c r="H1000">
        <v>0</v>
      </c>
      <c r="I1000">
        <v>0</v>
      </c>
      <c r="J1000" t="s">
        <v>2833</v>
      </c>
      <c r="K1000">
        <v>1.2013970430000001</v>
      </c>
      <c r="L1000">
        <v>0</v>
      </c>
      <c r="M1000">
        <v>1.190962155</v>
      </c>
      <c r="N1000">
        <v>0</v>
      </c>
      <c r="O1000" t="s">
        <v>2833</v>
      </c>
      <c r="P1000" t="s">
        <v>2833</v>
      </c>
      <c r="Q1000" t="s">
        <v>160</v>
      </c>
      <c r="R1000">
        <f ca="1">RAND()*(Validation[[#This Row],[Range1_High]]-Validation[[#This Row],[Range1_Low]])+Validation[[#This Row],[Range1_Low]]</f>
        <v>-88.466168179615607</v>
      </c>
      <c r="S1000">
        <f>Validation[[#This Row],[Range2_High]]</f>
        <v>0</v>
      </c>
      <c r="T1000" t="str" cm="1">
        <f t="array" aca="1" ref="T1000" ca="1">RoundToTwoSigFigs(Validation[[#This Row],[Test Reading]]*Validation[[#This Row],[Mult]]+Validation[[#This Row],[Base]]) &amp;" "&amp;Validation[[#This Row],[Uncert_Units]]</f>
        <v>1.2 °F</v>
      </c>
      <c r="U10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V1000" t="b">
        <f ca="1">Validation[[#This Row],[Desired Result]]=Validation[[#This Row],[Result]]</f>
        <v>1</v>
      </c>
      <c r="W1000" t="b">
        <v>0</v>
      </c>
      <c r="X1000" t="b">
        <f>Validation[[#This Row],[Range1_Low]]&gt;=Validation[[#This Row],[Range1_High]]</f>
        <v>0</v>
      </c>
      <c r="Y1000" s="111" t="s">
        <v>2845</v>
      </c>
    </row>
    <row r="1001" spans="1:25" x14ac:dyDescent="0.25">
      <c r="A1001" t="s">
        <v>55</v>
      </c>
      <c r="B1001" t="s">
        <v>80</v>
      </c>
      <c r="C1001">
        <v>1100.001</v>
      </c>
      <c r="D1001">
        <v>1832</v>
      </c>
      <c r="E1001">
        <v>1</v>
      </c>
      <c r="F1001" t="s">
        <v>26</v>
      </c>
      <c r="G1001" t="s">
        <v>26</v>
      </c>
      <c r="H1001">
        <v>0</v>
      </c>
      <c r="I1001">
        <v>0</v>
      </c>
      <c r="J1001" t="s">
        <v>2833</v>
      </c>
      <c r="K1001">
        <v>0.58352249499999997</v>
      </c>
      <c r="L1001">
        <v>0</v>
      </c>
      <c r="M1001">
        <v>0.58114088200000003</v>
      </c>
      <c r="N1001">
        <v>0</v>
      </c>
      <c r="O1001" t="s">
        <v>2833</v>
      </c>
      <c r="P1001" t="s">
        <v>2833</v>
      </c>
      <c r="Q1001" t="s">
        <v>160</v>
      </c>
      <c r="R1001">
        <f ca="1">RAND()*(Validation[[#This Row],[Range1_High]]-Validation[[#This Row],[Range1_Low]])+Validation[[#This Row],[Range1_Low]]</f>
        <v>1298.557674336176</v>
      </c>
      <c r="S1001">
        <f>Validation[[#This Row],[Range2_High]]</f>
        <v>0</v>
      </c>
      <c r="T1001" t="str" cm="1">
        <f t="array" aca="1" ref="T1001" ca="1">RoundToTwoSigFigs(Validation[[#This Row],[Test Reading]]*Validation[[#This Row],[Mult]]+Validation[[#This Row],[Base]]) &amp;" "&amp;Validation[[#This Row],[Uncert_Units]]</f>
        <v>0.58 °F</v>
      </c>
      <c r="U10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1001" t="b">
        <f ca="1">Validation[[#This Row],[Desired Result]]=Validation[[#This Row],[Result]]</f>
        <v>1</v>
      </c>
      <c r="W1001" t="b">
        <v>0</v>
      </c>
      <c r="X1001" t="b">
        <f>Validation[[#This Row],[Range1_Low]]&gt;=Validation[[#This Row],[Range1_High]]</f>
        <v>0</v>
      </c>
      <c r="Y1001" s="111" t="s">
        <v>2845</v>
      </c>
    </row>
    <row r="1002" spans="1:25" x14ac:dyDescent="0.25">
      <c r="A1002" t="s">
        <v>55</v>
      </c>
      <c r="B1002" t="s">
        <v>81</v>
      </c>
      <c r="C1002">
        <v>500</v>
      </c>
      <c r="D1002">
        <v>1350</v>
      </c>
      <c r="E1002">
        <v>1</v>
      </c>
      <c r="F1002" t="s">
        <v>26</v>
      </c>
      <c r="G1002" t="s">
        <v>26</v>
      </c>
      <c r="H1002">
        <v>0</v>
      </c>
      <c r="I1002">
        <v>0</v>
      </c>
      <c r="J1002" t="s">
        <v>2833</v>
      </c>
      <c r="K1002">
        <v>0.59112989000000005</v>
      </c>
      <c r="L1002">
        <v>0</v>
      </c>
      <c r="M1002">
        <v>0.580772234</v>
      </c>
      <c r="N1002">
        <v>0</v>
      </c>
      <c r="O1002" t="s">
        <v>2833</v>
      </c>
      <c r="P1002" t="s">
        <v>2833</v>
      </c>
      <c r="Q1002" t="s">
        <v>161</v>
      </c>
      <c r="R1002">
        <f ca="1">RAND()*(Validation[[#This Row],[Range1_High]]-Validation[[#This Row],[Range1_Low]])+Validation[[#This Row],[Range1_Low]]</f>
        <v>863.57804683436848</v>
      </c>
      <c r="S1002">
        <f>Validation[[#This Row],[Range2_High]]</f>
        <v>0</v>
      </c>
      <c r="T1002" t="str" cm="1">
        <f t="array" aca="1" ref="T1002" ca="1">RoundToTwoSigFigs(Validation[[#This Row],[Test Reading]]*Validation[[#This Row],[Mult]]+Validation[[#This Row],[Base]]) &amp;" "&amp;Validation[[#This Row],[Uncert_Units]]</f>
        <v>0.59 °F</v>
      </c>
      <c r="U10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V1002" t="b">
        <f ca="1">Validation[[#This Row],[Desired Result]]=Validation[[#This Row],[Result]]</f>
        <v>1</v>
      </c>
      <c r="W1002" t="b">
        <v>0</v>
      </c>
      <c r="X1002" t="b">
        <f>Validation[[#This Row],[Range1_Low]]&gt;=Validation[[#This Row],[Range1_High]]</f>
        <v>0</v>
      </c>
      <c r="Y1002" s="111" t="s">
        <v>2845</v>
      </c>
    </row>
    <row r="1003" spans="1:25" x14ac:dyDescent="0.25">
      <c r="A1003" t="s">
        <v>55</v>
      </c>
      <c r="B1003" t="s">
        <v>81</v>
      </c>
      <c r="C1003">
        <v>1350.001</v>
      </c>
      <c r="D1003">
        <v>2192</v>
      </c>
      <c r="E1003">
        <v>0.1</v>
      </c>
      <c r="F1003" t="s">
        <v>26</v>
      </c>
      <c r="G1003" t="s">
        <v>26</v>
      </c>
      <c r="H1003">
        <v>0</v>
      </c>
      <c r="I1003">
        <v>0</v>
      </c>
      <c r="J1003" t="s">
        <v>2833</v>
      </c>
      <c r="K1003">
        <v>0.11</v>
      </c>
      <c r="L1003">
        <v>0</v>
      </c>
      <c r="M1003">
        <v>9.0691639000000004E-2</v>
      </c>
      <c r="N1003">
        <v>0</v>
      </c>
      <c r="O1003" t="s">
        <v>2833</v>
      </c>
      <c r="P1003" t="s">
        <v>2833</v>
      </c>
      <c r="Q1003" t="s">
        <v>161</v>
      </c>
      <c r="R1003">
        <f ca="1">RAND()*(Validation[[#This Row],[Range1_High]]-Validation[[#This Row],[Range1_Low]])+Validation[[#This Row],[Range1_Low]]</f>
        <v>1994.2166868202892</v>
      </c>
      <c r="S1003">
        <f>Validation[[#This Row],[Range2_High]]</f>
        <v>0</v>
      </c>
      <c r="T1003" t="str" cm="1">
        <f t="array" aca="1" ref="T1003" ca="1">RoundToTwoSigFigs(Validation[[#This Row],[Test Reading]]*Validation[[#This Row],[Mult]]+Validation[[#This Row],[Base]]) &amp;" "&amp;Validation[[#This Row],[Uncert_Units]]</f>
        <v>0.11 °F</v>
      </c>
      <c r="U10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V1003" t="b">
        <f ca="1">Validation[[#This Row],[Desired Result]]=Validation[[#This Row],[Result]]</f>
        <v>1</v>
      </c>
      <c r="W1003" t="b">
        <v>0</v>
      </c>
      <c r="X1003" t="b">
        <f>Validation[[#This Row],[Range1_Low]]&gt;=Validation[[#This Row],[Range1_High]]</f>
        <v>0</v>
      </c>
      <c r="Y1003" s="111" t="s">
        <v>2845</v>
      </c>
    </row>
    <row r="1004" spans="1:25" ht="15.75" thickBot="1" x14ac:dyDescent="0.3">
      <c r="A1004" t="s">
        <v>54</v>
      </c>
      <c r="B1004" t="s">
        <v>81</v>
      </c>
      <c r="C1004">
        <v>-346</v>
      </c>
      <c r="D1004">
        <v>-147.9</v>
      </c>
      <c r="E1004">
        <v>0.1</v>
      </c>
      <c r="F1004" t="s">
        <v>26</v>
      </c>
      <c r="G1004" t="s">
        <v>26</v>
      </c>
      <c r="H1004">
        <v>0</v>
      </c>
      <c r="I1004">
        <v>0</v>
      </c>
      <c r="J1004" t="s">
        <v>2833</v>
      </c>
      <c r="K1004">
        <v>0.57726726900000003</v>
      </c>
      <c r="L1004">
        <v>0</v>
      </c>
      <c r="M1004">
        <v>0.56757588800000003</v>
      </c>
      <c r="N1004">
        <v>0</v>
      </c>
      <c r="O1004" t="s">
        <v>2833</v>
      </c>
      <c r="P1004" t="s">
        <v>2833</v>
      </c>
      <c r="Q1004" t="s">
        <v>161</v>
      </c>
      <c r="R1004">
        <f ca="1">RAND()*(Validation[[#This Row],[Range1_High]]-Validation[[#This Row],[Range1_Low]])+Validation[[#This Row],[Range1_Low]]</f>
        <v>-231.3927053828003</v>
      </c>
      <c r="S1004">
        <f>Validation[[#This Row],[Range2_High]]</f>
        <v>0</v>
      </c>
      <c r="T1004" t="str" cm="1">
        <f t="array" aca="1" ref="T1004" ca="1">RoundToTwoSigFigs(Validation[[#This Row],[Test Reading]]*Validation[[#This Row],[Mult]]+Validation[[#This Row],[Base]]) &amp;" "&amp;Validation[[#This Row],[Uncert_Units]]</f>
        <v>0.58 °F</v>
      </c>
      <c r="U10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1004" t="b">
        <f ca="1">Validation[[#This Row],[Desired Result]]=Validation[[#This Row],[Result]]</f>
        <v>1</v>
      </c>
      <c r="W1004" t="b">
        <v>0</v>
      </c>
      <c r="X1004" t="b">
        <f>Validation[[#This Row],[Range1_Low]]&gt;=Validation[[#This Row],[Range1_High]]</f>
        <v>0</v>
      </c>
      <c r="Y1004" s="111" t="s">
        <v>2845</v>
      </c>
    </row>
    <row r="1005" spans="1:25" ht="16.5" thickTop="1" thickBot="1" x14ac:dyDescent="0.3">
      <c r="A1005" t="s">
        <v>54</v>
      </c>
      <c r="B1005" t="s">
        <v>81</v>
      </c>
      <c r="C1005" s="113">
        <v>1400</v>
      </c>
      <c r="D1005" s="113">
        <v>2192</v>
      </c>
      <c r="E1005">
        <v>0.1</v>
      </c>
      <c r="F1005" t="s">
        <v>26</v>
      </c>
      <c r="G1005" t="s">
        <v>26</v>
      </c>
      <c r="H1005">
        <v>0</v>
      </c>
      <c r="I1005">
        <v>0</v>
      </c>
      <c r="J1005" t="s">
        <v>2833</v>
      </c>
      <c r="K1005">
        <v>0.487362028</v>
      </c>
      <c r="L1005">
        <v>0</v>
      </c>
      <c r="M1005">
        <v>0.48504438100000002</v>
      </c>
      <c r="N1005">
        <v>0</v>
      </c>
      <c r="O1005" t="s">
        <v>2833</v>
      </c>
      <c r="P1005" t="s">
        <v>2833</v>
      </c>
      <c r="Q1005" t="s">
        <v>161</v>
      </c>
      <c r="R1005">
        <f ca="1">RAND()*(Validation[[#This Row],[Range1_High]]-Validation[[#This Row],[Range1_Low]])+Validation[[#This Row],[Range1_Low]]</f>
        <v>1635.1377717589589</v>
      </c>
      <c r="S1005">
        <f>Validation[[#This Row],[Range2_High]]</f>
        <v>0</v>
      </c>
      <c r="T1005" t="str" cm="1">
        <f t="array" aca="1" ref="T1005" ca="1">RoundToTwoSigFigs(Validation[[#This Row],[Test Reading]]*Validation[[#This Row],[Mult]]+Validation[[#This Row],[Base]]) &amp;" "&amp;Validation[[#This Row],[Uncert_Units]]</f>
        <v>0.49 °F</v>
      </c>
      <c r="U10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V1005" t="b">
        <f ca="1">Validation[[#This Row],[Desired Result]]=Validation[[#This Row],[Result]]</f>
        <v>1</v>
      </c>
      <c r="W1005" t="b">
        <v>1</v>
      </c>
      <c r="X1005" t="b">
        <f>Validation[[#This Row],[Range1_Low]]&gt;=Validation[[#This Row],[Range1_High]]</f>
        <v>0</v>
      </c>
      <c r="Y1005" s="111" t="s">
        <v>2843</v>
      </c>
    </row>
    <row r="1006" spans="1:25" ht="16.5" thickTop="1" thickBot="1" x14ac:dyDescent="0.3">
      <c r="A1006" t="s">
        <v>54</v>
      </c>
      <c r="B1006" t="s">
        <v>81</v>
      </c>
      <c r="C1006">
        <v>2192</v>
      </c>
      <c r="D1006">
        <v>2192.1</v>
      </c>
      <c r="E1006">
        <v>1</v>
      </c>
      <c r="F1006" t="s">
        <v>26</v>
      </c>
      <c r="G1006" t="s">
        <v>26</v>
      </c>
      <c r="H1006">
        <v>0</v>
      </c>
      <c r="I1006">
        <v>0</v>
      </c>
      <c r="J1006" t="s">
        <v>2833</v>
      </c>
      <c r="K1006">
        <v>0.75781450900000003</v>
      </c>
      <c r="L1006">
        <v>0</v>
      </c>
      <c r="M1006">
        <v>0.75184310300000001</v>
      </c>
      <c r="N1006">
        <v>0</v>
      </c>
      <c r="O1006" t="s">
        <v>2833</v>
      </c>
      <c r="P1006" t="s">
        <v>2833</v>
      </c>
      <c r="Q1006" t="s">
        <v>161</v>
      </c>
      <c r="R1006">
        <f ca="1">RAND()*(Validation[[#This Row],[Range1_High]]-Validation[[#This Row],[Range1_Low]])+Validation[[#This Row],[Range1_Low]]</f>
        <v>2192.068521372878</v>
      </c>
      <c r="S1006">
        <f>Validation[[#This Row],[Range2_High]]</f>
        <v>0</v>
      </c>
      <c r="T1006" t="str" cm="1">
        <f t="array" aca="1" ref="T1006" ca="1">RoundToTwoSigFigs(Validation[[#This Row],[Test Reading]]*Validation[[#This Row],[Mult]]+Validation[[#This Row],[Base]]) &amp;" "&amp;Validation[[#This Row],[Uncert_Units]]</f>
        <v>0.76 °F</v>
      </c>
      <c r="U10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V1006" t="b">
        <f ca="1">Validation[[#This Row],[Desired Result]]=Validation[[#This Row],[Result]]</f>
        <v>1</v>
      </c>
      <c r="W1006" t="b">
        <v>0</v>
      </c>
      <c r="X1006" t="b">
        <f>Validation[[#This Row],[Range1_Low]]&gt;=Validation[[#This Row],[Range1_High]]</f>
        <v>0</v>
      </c>
      <c r="Y1006" s="111" t="s">
        <v>2845</v>
      </c>
    </row>
    <row r="1007" spans="1:25" ht="16.5" thickTop="1" thickBot="1" x14ac:dyDescent="0.3">
      <c r="A1007" t="s">
        <v>54</v>
      </c>
      <c r="B1007" t="s">
        <v>81</v>
      </c>
      <c r="C1007" s="113">
        <v>302</v>
      </c>
      <c r="D1007" s="113">
        <v>1400.1</v>
      </c>
      <c r="E1007">
        <v>0.1</v>
      </c>
      <c r="F1007" t="s">
        <v>26</v>
      </c>
      <c r="G1007" t="s">
        <v>26</v>
      </c>
      <c r="H1007">
        <v>0</v>
      </c>
      <c r="I1007">
        <v>0</v>
      </c>
      <c r="J1007" t="s">
        <v>2833</v>
      </c>
      <c r="K1007">
        <v>0.36583836400000003</v>
      </c>
      <c r="L1007">
        <v>0</v>
      </c>
      <c r="M1007">
        <v>0.36274510900000001</v>
      </c>
      <c r="N1007">
        <v>0</v>
      </c>
      <c r="O1007" t="s">
        <v>2833</v>
      </c>
      <c r="P1007" t="s">
        <v>2833</v>
      </c>
      <c r="Q1007" t="s">
        <v>161</v>
      </c>
      <c r="R1007">
        <f ca="1">RAND()*(Validation[[#This Row],[Range1_High]]-Validation[[#This Row],[Range1_Low]])+Validation[[#This Row],[Range1_Low]]</f>
        <v>1040.6038621162575</v>
      </c>
      <c r="S1007">
        <f>Validation[[#This Row],[Range2_High]]</f>
        <v>0</v>
      </c>
      <c r="T1007" t="str" cm="1">
        <f t="array" aca="1" ref="T1007" ca="1">RoundToTwoSigFigs(Validation[[#This Row],[Test Reading]]*Validation[[#This Row],[Mult]]+Validation[[#This Row],[Base]]) &amp;" "&amp;Validation[[#This Row],[Uncert_Units]]</f>
        <v>0.37 °F</v>
      </c>
      <c r="U10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V1007" t="b">
        <f ca="1">Validation[[#This Row],[Desired Result]]=Validation[[#This Row],[Result]]</f>
        <v>1</v>
      </c>
      <c r="W1007" t="b">
        <v>1</v>
      </c>
      <c r="X1007" t="b">
        <f>Validation[[#This Row],[Range1_Low]]&gt;=Validation[[#This Row],[Range1_High]]</f>
        <v>0</v>
      </c>
      <c r="Y1007" s="111" t="s">
        <v>2843</v>
      </c>
    </row>
    <row r="1008" spans="1:25" ht="16.5" thickTop="1" thickBot="1" x14ac:dyDescent="0.3">
      <c r="A1008" t="s">
        <v>55</v>
      </c>
      <c r="B1008" t="s">
        <v>81</v>
      </c>
      <c r="C1008">
        <v>1350.001</v>
      </c>
      <c r="D1008">
        <v>2192</v>
      </c>
      <c r="E1008">
        <v>1</v>
      </c>
      <c r="F1008" t="s">
        <v>26</v>
      </c>
      <c r="G1008" t="s">
        <v>26</v>
      </c>
      <c r="H1008">
        <v>0</v>
      </c>
      <c r="I1008">
        <v>0</v>
      </c>
      <c r="J1008" t="s">
        <v>2833</v>
      </c>
      <c r="K1008">
        <v>0.58927052499999999</v>
      </c>
      <c r="L1008">
        <v>0</v>
      </c>
      <c r="M1008">
        <v>0.58157112499999997</v>
      </c>
      <c r="N1008">
        <v>0</v>
      </c>
      <c r="O1008" t="s">
        <v>2833</v>
      </c>
      <c r="P1008" t="s">
        <v>2833</v>
      </c>
      <c r="Q1008" t="s">
        <v>161</v>
      </c>
      <c r="R1008">
        <f ca="1">RAND()*(Validation[[#This Row],[Range1_High]]-Validation[[#This Row],[Range1_Low]])+Validation[[#This Row],[Range1_Low]]</f>
        <v>1806.9703946209429</v>
      </c>
      <c r="S1008">
        <f>Validation[[#This Row],[Range2_High]]</f>
        <v>0</v>
      </c>
      <c r="T1008" t="str" cm="1">
        <f t="array" aca="1" ref="T1008" ca="1">RoundToTwoSigFigs(Validation[[#This Row],[Test Reading]]*Validation[[#This Row],[Mult]]+Validation[[#This Row],[Base]]) &amp;" "&amp;Validation[[#This Row],[Uncert_Units]]</f>
        <v>0.59 °F</v>
      </c>
      <c r="U10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V1008" t="b">
        <f ca="1">Validation[[#This Row],[Desired Result]]=Validation[[#This Row],[Result]]</f>
        <v>1</v>
      </c>
      <c r="W1008" t="b">
        <v>0</v>
      </c>
      <c r="X1008" t="b">
        <f>Validation[[#This Row],[Range1_Low]]&gt;=Validation[[#This Row],[Range1_High]]</f>
        <v>0</v>
      </c>
      <c r="Y1008" s="111" t="s">
        <v>2845</v>
      </c>
    </row>
    <row r="1009" spans="1:25" ht="16.5" thickTop="1" thickBot="1" x14ac:dyDescent="0.3">
      <c r="A1009" t="s">
        <v>54</v>
      </c>
      <c r="B1009" t="s">
        <v>81</v>
      </c>
      <c r="C1009" s="113">
        <v>1400</v>
      </c>
      <c r="D1009" s="113">
        <v>2192</v>
      </c>
      <c r="E1009">
        <v>1</v>
      </c>
      <c r="F1009" t="s">
        <v>26</v>
      </c>
      <c r="G1009" t="s">
        <v>26</v>
      </c>
      <c r="H1009">
        <v>0</v>
      </c>
      <c r="I1009">
        <v>0</v>
      </c>
      <c r="J1009" t="s">
        <v>2833</v>
      </c>
      <c r="K1009">
        <v>0.75781450900000003</v>
      </c>
      <c r="L1009">
        <v>0</v>
      </c>
      <c r="M1009">
        <v>0.75184310300000001</v>
      </c>
      <c r="N1009">
        <v>0</v>
      </c>
      <c r="O1009" t="s">
        <v>2833</v>
      </c>
      <c r="P1009" t="s">
        <v>2833</v>
      </c>
      <c r="Q1009" t="s">
        <v>161</v>
      </c>
      <c r="R1009">
        <f ca="1">RAND()*(Validation[[#This Row],[Range1_High]]-Validation[[#This Row],[Range1_Low]])+Validation[[#This Row],[Range1_Low]]</f>
        <v>1738.5732373438022</v>
      </c>
      <c r="S1009">
        <f>Validation[[#This Row],[Range2_High]]</f>
        <v>0</v>
      </c>
      <c r="T1009" t="str" cm="1">
        <f t="array" aca="1" ref="T1009" ca="1">RoundToTwoSigFigs(Validation[[#This Row],[Test Reading]]*Validation[[#This Row],[Mult]]+Validation[[#This Row],[Base]]) &amp;" "&amp;Validation[[#This Row],[Uncert_Units]]</f>
        <v>0.76 °F</v>
      </c>
      <c r="U10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V1009" t="b">
        <f ca="1">Validation[[#This Row],[Desired Result]]=Validation[[#This Row],[Result]]</f>
        <v>1</v>
      </c>
      <c r="W1009" t="b">
        <v>1</v>
      </c>
      <c r="X1009" t="b">
        <f>Validation[[#This Row],[Range1_Low]]&gt;=Validation[[#This Row],[Range1_High]]</f>
        <v>0</v>
      </c>
      <c r="Y1009" s="111" t="s">
        <v>2843</v>
      </c>
    </row>
    <row r="1010" spans="1:25" ht="16.5" thickTop="1" thickBot="1" x14ac:dyDescent="0.3">
      <c r="A1010" t="s">
        <v>54</v>
      </c>
      <c r="B1010" t="s">
        <v>81</v>
      </c>
      <c r="C1010">
        <v>2192</v>
      </c>
      <c r="D1010">
        <v>2192.1</v>
      </c>
      <c r="E1010">
        <v>0.1</v>
      </c>
      <c r="F1010" t="s">
        <v>26</v>
      </c>
      <c r="G1010" t="s">
        <v>26</v>
      </c>
      <c r="H1010">
        <v>0</v>
      </c>
      <c r="I1010">
        <v>0</v>
      </c>
      <c r="J1010" t="s">
        <v>2833</v>
      </c>
      <c r="K1010">
        <v>0.487362028</v>
      </c>
      <c r="L1010">
        <v>0</v>
      </c>
      <c r="M1010">
        <v>0.48504438100000002</v>
      </c>
      <c r="N1010">
        <v>0</v>
      </c>
      <c r="O1010" t="s">
        <v>2833</v>
      </c>
      <c r="P1010" t="s">
        <v>2833</v>
      </c>
      <c r="Q1010" t="s">
        <v>161</v>
      </c>
      <c r="R1010">
        <f ca="1">RAND()*(Validation[[#This Row],[Range1_High]]-Validation[[#This Row],[Range1_Low]])+Validation[[#This Row],[Range1_Low]]</f>
        <v>2192.0116005485806</v>
      </c>
      <c r="S1010">
        <f>Validation[[#This Row],[Range2_High]]</f>
        <v>0</v>
      </c>
      <c r="T1010" t="str" cm="1">
        <f t="array" aca="1" ref="T1010" ca="1">RoundToTwoSigFigs(Validation[[#This Row],[Test Reading]]*Validation[[#This Row],[Mult]]+Validation[[#This Row],[Base]]) &amp;" "&amp;Validation[[#This Row],[Uncert_Units]]</f>
        <v>0.49 °F</v>
      </c>
      <c r="U10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V1010" t="b">
        <f ca="1">Validation[[#This Row],[Desired Result]]=Validation[[#This Row],[Result]]</f>
        <v>1</v>
      </c>
      <c r="W1010" t="b">
        <v>0</v>
      </c>
      <c r="X1010" t="b">
        <f>Validation[[#This Row],[Range1_Low]]&gt;=Validation[[#This Row],[Range1_High]]</f>
        <v>0</v>
      </c>
      <c r="Y1010" s="111" t="s">
        <v>2845</v>
      </c>
    </row>
    <row r="1011" spans="1:25" ht="16.5" thickTop="1" thickBot="1" x14ac:dyDescent="0.3">
      <c r="A1011" t="s">
        <v>54</v>
      </c>
      <c r="B1011" t="s">
        <v>81</v>
      </c>
      <c r="C1011" s="113">
        <v>302</v>
      </c>
      <c r="D1011" s="113">
        <v>1400.1</v>
      </c>
      <c r="E1011">
        <v>1</v>
      </c>
      <c r="F1011" t="s">
        <v>26</v>
      </c>
      <c r="G1011" t="s">
        <v>26</v>
      </c>
      <c r="H1011">
        <v>0</v>
      </c>
      <c r="I1011">
        <v>0</v>
      </c>
      <c r="J1011" t="s">
        <v>2833</v>
      </c>
      <c r="K1011">
        <v>0.68600203500000001</v>
      </c>
      <c r="L1011">
        <v>0</v>
      </c>
      <c r="M1011">
        <v>0.679399745</v>
      </c>
      <c r="N1011">
        <v>0</v>
      </c>
      <c r="O1011" t="s">
        <v>2833</v>
      </c>
      <c r="P1011" t="s">
        <v>2833</v>
      </c>
      <c r="Q1011" t="s">
        <v>161</v>
      </c>
      <c r="R1011">
        <f ca="1">RAND()*(Validation[[#This Row],[Range1_High]]-Validation[[#This Row],[Range1_Low]])+Validation[[#This Row],[Range1_Low]]</f>
        <v>568.99297708167092</v>
      </c>
      <c r="S1011">
        <f>Validation[[#This Row],[Range2_High]]</f>
        <v>0</v>
      </c>
      <c r="T1011" t="str" cm="1">
        <f t="array" aca="1" ref="T1011" ca="1">RoundToTwoSigFigs(Validation[[#This Row],[Test Reading]]*Validation[[#This Row],[Mult]]+Validation[[#This Row],[Base]]) &amp;" "&amp;Validation[[#This Row],[Uncert_Units]]</f>
        <v>0.69 °F</v>
      </c>
      <c r="U10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V1011" t="b">
        <f ca="1">Validation[[#This Row],[Desired Result]]=Validation[[#This Row],[Result]]</f>
        <v>1</v>
      </c>
      <c r="W1011" t="b">
        <v>1</v>
      </c>
      <c r="X1011" t="b">
        <f>Validation[[#This Row],[Range1_Low]]&gt;=Validation[[#This Row],[Range1_High]]</f>
        <v>0</v>
      </c>
      <c r="Y1011" s="111" t="s">
        <v>2843</v>
      </c>
    </row>
    <row r="1012" spans="1:25" ht="15.75" thickTop="1" x14ac:dyDescent="0.25">
      <c r="A1012" t="s">
        <v>55</v>
      </c>
      <c r="B1012" t="s">
        <v>81</v>
      </c>
      <c r="C1012">
        <v>500</v>
      </c>
      <c r="D1012">
        <v>1350</v>
      </c>
      <c r="E1012">
        <v>0.1</v>
      </c>
      <c r="F1012" t="s">
        <v>26</v>
      </c>
      <c r="G1012" t="s">
        <v>26</v>
      </c>
      <c r="H1012">
        <v>0</v>
      </c>
      <c r="I1012">
        <v>0</v>
      </c>
      <c r="J1012" t="s">
        <v>2833</v>
      </c>
      <c r="K1012">
        <v>0.11</v>
      </c>
      <c r="L1012">
        <v>0</v>
      </c>
      <c r="M1012">
        <v>8.5418892999999996E-2</v>
      </c>
      <c r="N1012">
        <v>0</v>
      </c>
      <c r="O1012" t="s">
        <v>2833</v>
      </c>
      <c r="P1012" t="s">
        <v>2833</v>
      </c>
      <c r="Q1012" t="s">
        <v>161</v>
      </c>
      <c r="R1012">
        <f ca="1">RAND()*(Validation[[#This Row],[Range1_High]]-Validation[[#This Row],[Range1_Low]])+Validation[[#This Row],[Range1_Low]]</f>
        <v>618.37675525182294</v>
      </c>
      <c r="S1012">
        <f>Validation[[#This Row],[Range2_High]]</f>
        <v>0</v>
      </c>
      <c r="T1012" t="str" cm="1">
        <f t="array" aca="1" ref="T1012" ca="1">RoundToTwoSigFigs(Validation[[#This Row],[Test Reading]]*Validation[[#This Row],[Mult]]+Validation[[#This Row],[Base]]) &amp;" "&amp;Validation[[#This Row],[Uncert_Units]]</f>
        <v>0.11 °F</v>
      </c>
      <c r="U10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V1012" t="b">
        <f ca="1">Validation[[#This Row],[Desired Result]]=Validation[[#This Row],[Result]]</f>
        <v>1</v>
      </c>
      <c r="W1012" t="b">
        <v>0</v>
      </c>
      <c r="X1012" t="b">
        <f>Validation[[#This Row],[Range1_Low]]&gt;=Validation[[#This Row],[Range1_High]]</f>
        <v>0</v>
      </c>
      <c r="Y1012" s="111" t="s">
        <v>2845</v>
      </c>
    </row>
    <row r="1013" spans="1:25" x14ac:dyDescent="0.25">
      <c r="A1013" t="s">
        <v>55</v>
      </c>
      <c r="B1013" t="s">
        <v>82</v>
      </c>
      <c r="C1013">
        <v>-454</v>
      </c>
      <c r="D1013">
        <v>-400.00099999999998</v>
      </c>
      <c r="E1013">
        <v>0.1</v>
      </c>
      <c r="F1013" t="s">
        <v>26</v>
      </c>
      <c r="G1013" t="s">
        <v>26</v>
      </c>
      <c r="H1013">
        <v>0</v>
      </c>
      <c r="I1013">
        <v>0</v>
      </c>
      <c r="J1013" t="s">
        <v>2833</v>
      </c>
      <c r="K1013">
        <v>0.77443041000000001</v>
      </c>
      <c r="L1013">
        <v>0</v>
      </c>
      <c r="M1013">
        <v>0.76326909399999998</v>
      </c>
      <c r="N1013">
        <v>0</v>
      </c>
      <c r="O1013" t="s">
        <v>2833</v>
      </c>
      <c r="P1013" t="s">
        <v>2833</v>
      </c>
      <c r="Q1013" t="s">
        <v>111</v>
      </c>
      <c r="R1013">
        <f ca="1">RAND()*(Validation[[#This Row],[Range1_High]]-Validation[[#This Row],[Range1_Low]])+Validation[[#This Row],[Range1_Low]]</f>
        <v>-451.14140667433128</v>
      </c>
      <c r="S1013">
        <f>Validation[[#This Row],[Range2_High]]</f>
        <v>0</v>
      </c>
      <c r="T1013" t="str" cm="1">
        <f t="array" aca="1" ref="T1013" ca="1">RoundToTwoSigFigs(Validation[[#This Row],[Test Reading]]*Validation[[#This Row],[Mult]]+Validation[[#This Row],[Base]]) &amp;" "&amp;Validation[[#This Row],[Uncert_Units]]</f>
        <v>0.77 °F</v>
      </c>
      <c r="U10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V1013" t="b">
        <f ca="1">Validation[[#This Row],[Desired Result]]=Validation[[#This Row],[Result]]</f>
        <v>1</v>
      </c>
      <c r="W1013" t="b">
        <v>0</v>
      </c>
      <c r="X1013" t="b">
        <f>Validation[[#This Row],[Range1_Low]]&gt;=Validation[[#This Row],[Range1_High]]</f>
        <v>0</v>
      </c>
      <c r="Y1013" s="111" t="s">
        <v>2845</v>
      </c>
    </row>
    <row r="1014" spans="1:25" ht="15.75" thickBot="1" x14ac:dyDescent="0.3">
      <c r="A1014" t="s">
        <v>55</v>
      </c>
      <c r="B1014" t="s">
        <v>82</v>
      </c>
      <c r="C1014">
        <v>500</v>
      </c>
      <c r="D1014">
        <v>1500</v>
      </c>
      <c r="E1014">
        <v>1</v>
      </c>
      <c r="F1014" t="s">
        <v>26</v>
      </c>
      <c r="G1014" t="s">
        <v>26</v>
      </c>
      <c r="H1014">
        <v>0</v>
      </c>
      <c r="I1014">
        <v>0</v>
      </c>
      <c r="J1014" t="s">
        <v>2833</v>
      </c>
      <c r="K1014">
        <v>0.59947253700000003</v>
      </c>
      <c r="L1014">
        <v>0</v>
      </c>
      <c r="M1014">
        <v>0.58126632899999997</v>
      </c>
      <c r="N1014">
        <v>0</v>
      </c>
      <c r="O1014" t="s">
        <v>2833</v>
      </c>
      <c r="P1014" t="s">
        <v>2833</v>
      </c>
      <c r="Q1014" t="s">
        <v>111</v>
      </c>
      <c r="R1014">
        <f ca="1">RAND()*(Validation[[#This Row],[Range1_High]]-Validation[[#This Row],[Range1_Low]])+Validation[[#This Row],[Range1_Low]]</f>
        <v>1225.011720417484</v>
      </c>
      <c r="S1014">
        <f>Validation[[#This Row],[Range2_High]]</f>
        <v>0</v>
      </c>
      <c r="T1014" t="str" cm="1">
        <f t="array" aca="1" ref="T1014" ca="1">RoundToTwoSigFigs(Validation[[#This Row],[Test Reading]]*Validation[[#This Row],[Mult]]+Validation[[#This Row],[Base]]) &amp;" "&amp;Validation[[#This Row],[Uncert_Units]]</f>
        <v>0.6 °F</v>
      </c>
      <c r="U10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1014" t="b">
        <f ca="1">Validation[[#This Row],[Desired Result]]=Validation[[#This Row],[Result]]</f>
        <v>1</v>
      </c>
      <c r="W1014" t="b">
        <v>0</v>
      </c>
      <c r="X1014" t="b">
        <f>Validation[[#This Row],[Range1_Low]]&gt;=Validation[[#This Row],[Range1_High]]</f>
        <v>0</v>
      </c>
      <c r="Y1014" s="111" t="s">
        <v>2845</v>
      </c>
    </row>
    <row r="1015" spans="1:25" ht="16.5" thickTop="1" thickBot="1" x14ac:dyDescent="0.3">
      <c r="A1015" t="s">
        <v>54</v>
      </c>
      <c r="B1015" t="s">
        <v>82</v>
      </c>
      <c r="C1015" s="113">
        <v>-148</v>
      </c>
      <c r="D1015" s="113">
        <v>-12.9</v>
      </c>
      <c r="E1015">
        <v>1</v>
      </c>
      <c r="F1015" t="s">
        <v>26</v>
      </c>
      <c r="G1015" t="s">
        <v>26</v>
      </c>
      <c r="H1015">
        <v>0</v>
      </c>
      <c r="I1015">
        <v>0</v>
      </c>
      <c r="J1015" t="s">
        <v>2833</v>
      </c>
      <c r="K1015">
        <v>0.73197786499999995</v>
      </c>
      <c r="L1015">
        <v>0</v>
      </c>
      <c r="M1015">
        <v>0.690542408</v>
      </c>
      <c r="N1015">
        <v>0</v>
      </c>
      <c r="O1015" t="s">
        <v>2833</v>
      </c>
      <c r="P1015" t="s">
        <v>2833</v>
      </c>
      <c r="Q1015" t="s">
        <v>111</v>
      </c>
      <c r="R1015">
        <f ca="1">RAND()*(Validation[[#This Row],[Range1_High]]-Validation[[#This Row],[Range1_Low]])+Validation[[#This Row],[Range1_Low]]</f>
        <v>-105.21867171289081</v>
      </c>
      <c r="S1015">
        <f>Validation[[#This Row],[Range2_High]]</f>
        <v>0</v>
      </c>
      <c r="T1015" t="str" cm="1">
        <f t="array" aca="1" ref="T1015" ca="1">RoundToTwoSigFigs(Validation[[#This Row],[Test Reading]]*Validation[[#This Row],[Mult]]+Validation[[#This Row],[Base]]) &amp;" "&amp;Validation[[#This Row],[Uncert_Units]]</f>
        <v>0.73 °F</v>
      </c>
      <c r="U10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V1015" t="b">
        <f ca="1">Validation[[#This Row],[Desired Result]]=Validation[[#This Row],[Result]]</f>
        <v>1</v>
      </c>
      <c r="W1015" t="b">
        <v>1</v>
      </c>
      <c r="X1015" t="b">
        <f>Validation[[#This Row],[Range1_Low]]&gt;=Validation[[#This Row],[Range1_High]]</f>
        <v>0</v>
      </c>
      <c r="Y1015" s="111" t="s">
        <v>2843</v>
      </c>
    </row>
    <row r="1016" spans="1:25" ht="15.75" thickTop="1" x14ac:dyDescent="0.25">
      <c r="A1016" t="s">
        <v>55</v>
      </c>
      <c r="B1016" t="s">
        <v>82</v>
      </c>
      <c r="C1016">
        <v>500</v>
      </c>
      <c r="D1016">
        <v>1500</v>
      </c>
      <c r="E1016">
        <v>0.1</v>
      </c>
      <c r="F1016" t="s">
        <v>26</v>
      </c>
      <c r="G1016" t="s">
        <v>26</v>
      </c>
      <c r="H1016">
        <v>0</v>
      </c>
      <c r="I1016">
        <v>0</v>
      </c>
      <c r="J1016" t="s">
        <v>2833</v>
      </c>
      <c r="K1016">
        <v>0.12</v>
      </c>
      <c r="L1016">
        <v>0</v>
      </c>
      <c r="M1016">
        <v>8.8716091999999996E-2</v>
      </c>
      <c r="N1016">
        <v>0</v>
      </c>
      <c r="O1016" t="s">
        <v>2833</v>
      </c>
      <c r="P1016" t="s">
        <v>2833</v>
      </c>
      <c r="Q1016" t="s">
        <v>111</v>
      </c>
      <c r="R1016">
        <f ca="1">RAND()*(Validation[[#This Row],[Range1_High]]-Validation[[#This Row],[Range1_Low]])+Validation[[#This Row],[Range1_Low]]</f>
        <v>1212.2117406791365</v>
      </c>
      <c r="S1016">
        <f>Validation[[#This Row],[Range2_High]]</f>
        <v>0</v>
      </c>
      <c r="T1016" t="str" cm="1">
        <f t="array" aca="1" ref="T1016" ca="1">RoundToTwoSigFigs(Validation[[#This Row],[Test Reading]]*Validation[[#This Row],[Mult]]+Validation[[#This Row],[Base]]) &amp;" "&amp;Validation[[#This Row],[Uncert_Units]]</f>
        <v>0.12 °F</v>
      </c>
      <c r="U10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V1016" t="b">
        <f ca="1">Validation[[#This Row],[Desired Result]]=Validation[[#This Row],[Result]]</f>
        <v>1</v>
      </c>
      <c r="W1016" t="b">
        <v>0</v>
      </c>
      <c r="X1016" t="b">
        <f>Validation[[#This Row],[Range1_Low]]&gt;=Validation[[#This Row],[Range1_High]]</f>
        <v>0</v>
      </c>
      <c r="Y1016" s="111" t="s">
        <v>2845</v>
      </c>
    </row>
    <row r="1017" spans="1:25" ht="15.75" thickBot="1" x14ac:dyDescent="0.3">
      <c r="A1017" t="s">
        <v>54</v>
      </c>
      <c r="B1017" t="s">
        <v>82</v>
      </c>
      <c r="C1017">
        <v>2500</v>
      </c>
      <c r="D1017">
        <v>2500.1</v>
      </c>
      <c r="E1017">
        <v>0.1</v>
      </c>
      <c r="F1017" t="s">
        <v>26</v>
      </c>
      <c r="G1017" t="s">
        <v>26</v>
      </c>
      <c r="H1017">
        <v>0</v>
      </c>
      <c r="I1017">
        <v>0</v>
      </c>
      <c r="J1017" t="s">
        <v>2833</v>
      </c>
      <c r="K1017">
        <v>0.83992544099999999</v>
      </c>
      <c r="L1017">
        <v>0</v>
      </c>
      <c r="M1017">
        <v>0.835476043</v>
      </c>
      <c r="N1017">
        <v>0</v>
      </c>
      <c r="O1017" t="s">
        <v>2833</v>
      </c>
      <c r="P1017" t="s">
        <v>2833</v>
      </c>
      <c r="Q1017" t="s">
        <v>111</v>
      </c>
      <c r="R1017">
        <f ca="1">RAND()*(Validation[[#This Row],[Range1_High]]-Validation[[#This Row],[Range1_Low]])+Validation[[#This Row],[Range1_Low]]</f>
        <v>2500.034514697089</v>
      </c>
      <c r="S1017">
        <f>Validation[[#This Row],[Range2_High]]</f>
        <v>0</v>
      </c>
      <c r="T1017" t="str" cm="1">
        <f t="array" aca="1" ref="T1017" ca="1">RoundToTwoSigFigs(Validation[[#This Row],[Test Reading]]*Validation[[#This Row],[Mult]]+Validation[[#This Row],[Base]]) &amp;" "&amp;Validation[[#This Row],[Uncert_Units]]</f>
        <v>0.84 °F</v>
      </c>
      <c r="U10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V1017" t="b">
        <f ca="1">Validation[[#This Row],[Desired Result]]=Validation[[#This Row],[Result]]</f>
        <v>1</v>
      </c>
      <c r="W1017" t="b">
        <v>0</v>
      </c>
      <c r="X1017" t="b">
        <f>Validation[[#This Row],[Range1_Low]]&gt;=Validation[[#This Row],[Range1_High]]</f>
        <v>0</v>
      </c>
      <c r="Y1017" s="111" t="s">
        <v>2845</v>
      </c>
    </row>
    <row r="1018" spans="1:25" ht="16.5" thickTop="1" thickBot="1" x14ac:dyDescent="0.3">
      <c r="A1018" t="s">
        <v>54</v>
      </c>
      <c r="B1018" t="s">
        <v>82</v>
      </c>
      <c r="C1018" s="113">
        <v>1832</v>
      </c>
      <c r="D1018" s="113">
        <v>2500</v>
      </c>
      <c r="E1018">
        <v>0.1</v>
      </c>
      <c r="F1018" t="s">
        <v>26</v>
      </c>
      <c r="G1018" t="s">
        <v>26</v>
      </c>
      <c r="H1018">
        <v>0</v>
      </c>
      <c r="I1018">
        <v>0</v>
      </c>
      <c r="J1018" t="s">
        <v>2833</v>
      </c>
      <c r="K1018">
        <v>0.83992544099999999</v>
      </c>
      <c r="L1018">
        <v>0</v>
      </c>
      <c r="M1018">
        <v>0.835476043</v>
      </c>
      <c r="N1018">
        <v>0</v>
      </c>
      <c r="O1018" t="s">
        <v>2833</v>
      </c>
      <c r="P1018" t="s">
        <v>2833</v>
      </c>
      <c r="Q1018" t="s">
        <v>111</v>
      </c>
      <c r="R1018">
        <f ca="1">RAND()*(Validation[[#This Row],[Range1_High]]-Validation[[#This Row],[Range1_Low]])+Validation[[#This Row],[Range1_Low]]</f>
        <v>2380.8783559040794</v>
      </c>
      <c r="S1018">
        <f>Validation[[#This Row],[Range2_High]]</f>
        <v>0</v>
      </c>
      <c r="T1018" t="str" cm="1">
        <f t="array" aca="1" ref="T1018" ca="1">RoundToTwoSigFigs(Validation[[#This Row],[Test Reading]]*Validation[[#This Row],[Mult]]+Validation[[#This Row],[Base]]) &amp;" "&amp;Validation[[#This Row],[Uncert_Units]]</f>
        <v>0.84 °F</v>
      </c>
      <c r="U10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V1018" t="b">
        <f ca="1">Validation[[#This Row],[Desired Result]]=Validation[[#This Row],[Result]]</f>
        <v>1</v>
      </c>
      <c r="W1018" t="b">
        <v>1</v>
      </c>
      <c r="X1018" t="b">
        <f>Validation[[#This Row],[Range1_Low]]&gt;=Validation[[#This Row],[Range1_High]]</f>
        <v>0</v>
      </c>
      <c r="Y1018" s="111" t="s">
        <v>2843</v>
      </c>
    </row>
    <row r="1019" spans="1:25" ht="16.5" thickTop="1" thickBot="1" x14ac:dyDescent="0.3">
      <c r="A1019" t="s">
        <v>54</v>
      </c>
      <c r="B1019" t="s">
        <v>82</v>
      </c>
      <c r="C1019" s="113">
        <v>-148</v>
      </c>
      <c r="D1019" s="113">
        <v>-12.9</v>
      </c>
      <c r="E1019">
        <v>0.1</v>
      </c>
      <c r="F1019" t="s">
        <v>26</v>
      </c>
      <c r="G1019" t="s">
        <v>26</v>
      </c>
      <c r="H1019">
        <v>0</v>
      </c>
      <c r="I1019">
        <v>0</v>
      </c>
      <c r="J1019" t="s">
        <v>2833</v>
      </c>
      <c r="K1019">
        <v>0.40197575899999999</v>
      </c>
      <c r="L1019">
        <v>0</v>
      </c>
      <c r="M1019">
        <v>0.38320858099999999</v>
      </c>
      <c r="N1019">
        <v>0</v>
      </c>
      <c r="O1019" t="s">
        <v>2833</v>
      </c>
      <c r="P1019" t="s">
        <v>2833</v>
      </c>
      <c r="Q1019" t="s">
        <v>111</v>
      </c>
      <c r="R1019">
        <f ca="1">RAND()*(Validation[[#This Row],[Range1_High]]-Validation[[#This Row],[Range1_Low]])+Validation[[#This Row],[Range1_Low]]</f>
        <v>-113.08973765757995</v>
      </c>
      <c r="S1019">
        <f>Validation[[#This Row],[Range2_High]]</f>
        <v>0</v>
      </c>
      <c r="T1019" t="str" cm="1">
        <f t="array" aca="1" ref="T1019" ca="1">RoundToTwoSigFigs(Validation[[#This Row],[Test Reading]]*Validation[[#This Row],[Mult]]+Validation[[#This Row],[Base]]) &amp;" "&amp;Validation[[#This Row],[Uncert_Units]]</f>
        <v>0.4 °F</v>
      </c>
      <c r="U10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V1019" t="b">
        <f ca="1">Validation[[#This Row],[Desired Result]]=Validation[[#This Row],[Result]]</f>
        <v>1</v>
      </c>
      <c r="W1019" t="b">
        <v>1</v>
      </c>
      <c r="X1019" t="b">
        <f>Validation[[#This Row],[Range1_Low]]&gt;=Validation[[#This Row],[Range1_High]]</f>
        <v>0</v>
      </c>
      <c r="Y1019" s="111" t="s">
        <v>2843</v>
      </c>
    </row>
    <row r="1020" spans="1:25" ht="15.75" thickTop="1" x14ac:dyDescent="0.25">
      <c r="A1020" t="s">
        <v>55</v>
      </c>
      <c r="B1020" t="s">
        <v>82</v>
      </c>
      <c r="C1020">
        <v>1500.001</v>
      </c>
      <c r="D1020">
        <v>2500</v>
      </c>
      <c r="E1020">
        <v>0.1</v>
      </c>
      <c r="F1020" t="s">
        <v>26</v>
      </c>
      <c r="G1020" t="s">
        <v>26</v>
      </c>
      <c r="H1020">
        <v>0</v>
      </c>
      <c r="I1020">
        <v>0</v>
      </c>
      <c r="J1020" t="s">
        <v>2833</v>
      </c>
      <c r="K1020">
        <v>0.131346933</v>
      </c>
      <c r="L1020">
        <v>0</v>
      </c>
      <c r="M1020">
        <v>9.8982265999999999E-2</v>
      </c>
      <c r="N1020">
        <v>0</v>
      </c>
      <c r="O1020" t="s">
        <v>2833</v>
      </c>
      <c r="P1020" t="s">
        <v>2833</v>
      </c>
      <c r="Q1020" t="s">
        <v>111</v>
      </c>
      <c r="R1020">
        <f ca="1">RAND()*(Validation[[#This Row],[Range1_High]]-Validation[[#This Row],[Range1_Low]])+Validation[[#This Row],[Range1_Low]]</f>
        <v>2127.6701873685779</v>
      </c>
      <c r="S1020">
        <f>Validation[[#This Row],[Range2_High]]</f>
        <v>0</v>
      </c>
      <c r="T1020" t="str" cm="1">
        <f t="array" aca="1" ref="T1020" ca="1">RoundToTwoSigFigs(Validation[[#This Row],[Test Reading]]*Validation[[#This Row],[Mult]]+Validation[[#This Row],[Base]]) &amp;" "&amp;Validation[[#This Row],[Uncert_Units]]</f>
        <v>0.13 °F</v>
      </c>
      <c r="U10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V1020" t="b">
        <f ca="1">Validation[[#This Row],[Desired Result]]=Validation[[#This Row],[Result]]</f>
        <v>1</v>
      </c>
      <c r="W1020" t="b">
        <v>0</v>
      </c>
      <c r="X1020" t="b">
        <f>Validation[[#This Row],[Range1_Low]]&gt;=Validation[[#This Row],[Range1_High]]</f>
        <v>0</v>
      </c>
      <c r="Y1020" s="111" t="s">
        <v>2845</v>
      </c>
    </row>
    <row r="1021" spans="1:25" ht="15.75" thickBot="1" x14ac:dyDescent="0.3">
      <c r="A1021" t="s">
        <v>55</v>
      </c>
      <c r="B1021" t="s">
        <v>82</v>
      </c>
      <c r="C1021">
        <v>-400</v>
      </c>
      <c r="D1021">
        <v>499.99900000000002</v>
      </c>
      <c r="E1021">
        <v>1</v>
      </c>
      <c r="F1021" t="s">
        <v>26</v>
      </c>
      <c r="G1021" t="s">
        <v>26</v>
      </c>
      <c r="H1021">
        <v>0</v>
      </c>
      <c r="I1021">
        <v>0</v>
      </c>
      <c r="J1021" t="s">
        <v>2833</v>
      </c>
      <c r="K1021">
        <v>0.63828364500000001</v>
      </c>
      <c r="L1021">
        <v>0</v>
      </c>
      <c r="M1021">
        <v>0.59030774500000005</v>
      </c>
      <c r="N1021">
        <v>0</v>
      </c>
      <c r="O1021" t="s">
        <v>2833</v>
      </c>
      <c r="P1021" t="s">
        <v>2833</v>
      </c>
      <c r="Q1021" t="s">
        <v>111</v>
      </c>
      <c r="R1021">
        <f ca="1">RAND()*(Validation[[#This Row],[Range1_High]]-Validation[[#This Row],[Range1_Low]])+Validation[[#This Row],[Range1_Low]]</f>
        <v>-270.71808376042225</v>
      </c>
      <c r="S1021">
        <f>Validation[[#This Row],[Range2_High]]</f>
        <v>0</v>
      </c>
      <c r="T1021" t="str" cm="1">
        <f t="array" aca="1" ref="T1021" ca="1">RoundToTwoSigFigs(Validation[[#This Row],[Test Reading]]*Validation[[#This Row],[Mult]]+Validation[[#This Row],[Base]]) &amp;" "&amp;Validation[[#This Row],[Uncert_Units]]</f>
        <v>0.64 °F</v>
      </c>
      <c r="U10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V1021" t="b">
        <f ca="1">Validation[[#This Row],[Desired Result]]=Validation[[#This Row],[Result]]</f>
        <v>1</v>
      </c>
      <c r="W1021" t="b">
        <v>0</v>
      </c>
      <c r="X1021" t="b">
        <f>Validation[[#This Row],[Range1_Low]]&gt;=Validation[[#This Row],[Range1_High]]</f>
        <v>0</v>
      </c>
      <c r="Y1021" s="111" t="s">
        <v>2845</v>
      </c>
    </row>
    <row r="1022" spans="1:25" ht="16.5" thickTop="1" thickBot="1" x14ac:dyDescent="0.3">
      <c r="A1022" t="s">
        <v>54</v>
      </c>
      <c r="B1022" t="s">
        <v>82</v>
      </c>
      <c r="C1022" s="113">
        <v>-13</v>
      </c>
      <c r="D1022" s="113">
        <v>248.1</v>
      </c>
      <c r="E1022">
        <v>1</v>
      </c>
      <c r="F1022" t="s">
        <v>26</v>
      </c>
      <c r="G1022" t="s">
        <v>26</v>
      </c>
      <c r="H1022">
        <v>0</v>
      </c>
      <c r="I1022">
        <v>0</v>
      </c>
      <c r="J1022" t="s">
        <v>2833</v>
      </c>
      <c r="K1022">
        <v>0.69830604600000001</v>
      </c>
      <c r="L1022">
        <v>0</v>
      </c>
      <c r="M1022">
        <v>0.66888829900000002</v>
      </c>
      <c r="N1022">
        <v>0</v>
      </c>
      <c r="O1022" t="s">
        <v>2833</v>
      </c>
      <c r="P1022" t="s">
        <v>2833</v>
      </c>
      <c r="Q1022" t="s">
        <v>111</v>
      </c>
      <c r="R1022">
        <f ca="1">RAND()*(Validation[[#This Row],[Range1_High]]-Validation[[#This Row],[Range1_Low]])+Validation[[#This Row],[Range1_Low]]</f>
        <v>85.449593943745555</v>
      </c>
      <c r="S1022">
        <f>Validation[[#This Row],[Range2_High]]</f>
        <v>0</v>
      </c>
      <c r="T1022" t="str" cm="1">
        <f t="array" aca="1" ref="T1022" ca="1">RoundToTwoSigFigs(Validation[[#This Row],[Test Reading]]*Validation[[#This Row],[Mult]]+Validation[[#This Row],[Base]]) &amp;" "&amp;Validation[[#This Row],[Uncert_Units]]</f>
        <v>0.7 °F</v>
      </c>
      <c r="U10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V1022" t="b">
        <f ca="1">Validation[[#This Row],[Desired Result]]=Validation[[#This Row],[Result]]</f>
        <v>1</v>
      </c>
      <c r="W1022" t="b">
        <v>1</v>
      </c>
      <c r="X1022" t="b">
        <f>Validation[[#This Row],[Range1_Low]]&gt;=Validation[[#This Row],[Range1_High]]</f>
        <v>0</v>
      </c>
      <c r="Y1022" s="111" t="s">
        <v>2843</v>
      </c>
    </row>
    <row r="1023" spans="1:25" ht="16.5" thickTop="1" thickBot="1" x14ac:dyDescent="0.3">
      <c r="A1023" t="s">
        <v>54</v>
      </c>
      <c r="B1023" t="s">
        <v>83</v>
      </c>
      <c r="C1023" s="113">
        <v>248</v>
      </c>
      <c r="D1023" s="113">
        <v>770.1</v>
      </c>
      <c r="E1023">
        <v>1</v>
      </c>
      <c r="F1023" t="s">
        <v>26</v>
      </c>
      <c r="G1023" t="s">
        <v>26</v>
      </c>
      <c r="H1023">
        <v>0</v>
      </c>
      <c r="I1023">
        <v>0</v>
      </c>
      <c r="J1023" t="s">
        <v>2833</v>
      </c>
      <c r="K1023">
        <v>0.70888469099999996</v>
      </c>
      <c r="L1023">
        <v>0</v>
      </c>
      <c r="M1023">
        <v>0.69055054900000001</v>
      </c>
      <c r="N1023">
        <v>0</v>
      </c>
      <c r="O1023" t="s">
        <v>2833</v>
      </c>
      <c r="P1023" t="s">
        <v>2833</v>
      </c>
      <c r="Q1023" t="s">
        <v>162</v>
      </c>
      <c r="R1023">
        <f ca="1">RAND()*(Validation[[#This Row],[Range1_High]]-Validation[[#This Row],[Range1_Low]])+Validation[[#This Row],[Range1_Low]]</f>
        <v>373.26496884911313</v>
      </c>
      <c r="S1023">
        <f>Validation[[#This Row],[Range2_High]]</f>
        <v>0</v>
      </c>
      <c r="T1023" t="str" cm="1">
        <f t="array" aca="1" ref="T1023" ca="1">RoundToTwoSigFigs(Validation[[#This Row],[Test Reading]]*Validation[[#This Row],[Mult]]+Validation[[#This Row],[Base]]) &amp;" "&amp;Validation[[#This Row],[Uncert_Units]]</f>
        <v>0.71 °F</v>
      </c>
      <c r="U10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V1023" t="b">
        <f ca="1">Validation[[#This Row],[Desired Result]]=Validation[[#This Row],[Result]]</f>
        <v>1</v>
      </c>
      <c r="W1023" t="b">
        <v>1</v>
      </c>
      <c r="X1023" t="b">
        <f>Validation[[#This Row],[Range1_Low]]&gt;=Validation[[#This Row],[Range1_High]]</f>
        <v>0</v>
      </c>
      <c r="Y1023" s="111" t="s">
        <v>2843</v>
      </c>
    </row>
    <row r="1024" spans="1:25" ht="16.5" thickTop="1" thickBot="1" x14ac:dyDescent="0.3">
      <c r="A1024" t="s">
        <v>54</v>
      </c>
      <c r="B1024" t="s">
        <v>83</v>
      </c>
      <c r="C1024" s="113">
        <v>-13</v>
      </c>
      <c r="D1024" s="113">
        <v>248.1</v>
      </c>
      <c r="E1024">
        <v>0.1</v>
      </c>
      <c r="F1024" t="s">
        <v>26</v>
      </c>
      <c r="G1024" t="s">
        <v>26</v>
      </c>
      <c r="H1024">
        <v>0</v>
      </c>
      <c r="I1024">
        <v>0</v>
      </c>
      <c r="J1024" t="s">
        <v>2833</v>
      </c>
      <c r="K1024">
        <v>0.41715274200000002</v>
      </c>
      <c r="L1024">
        <v>0</v>
      </c>
      <c r="M1024">
        <v>0.40363510699999999</v>
      </c>
      <c r="N1024">
        <v>0</v>
      </c>
      <c r="O1024" t="s">
        <v>2833</v>
      </c>
      <c r="P1024" t="s">
        <v>2833</v>
      </c>
      <c r="Q1024" t="s">
        <v>162</v>
      </c>
      <c r="R1024">
        <f ca="1">RAND()*(Validation[[#This Row],[Range1_High]]-Validation[[#This Row],[Range1_Low]])+Validation[[#This Row],[Range1_Low]]</f>
        <v>207.58703880621434</v>
      </c>
      <c r="S1024">
        <f>Validation[[#This Row],[Range2_High]]</f>
        <v>0</v>
      </c>
      <c r="T1024" t="str" cm="1">
        <f t="array" aca="1" ref="T1024" ca="1">RoundToTwoSigFigs(Validation[[#This Row],[Test Reading]]*Validation[[#This Row],[Mult]]+Validation[[#This Row],[Base]]) &amp;" "&amp;Validation[[#This Row],[Uncert_Units]]</f>
        <v>0.42 °F</v>
      </c>
      <c r="U10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V1024" t="b">
        <f ca="1">Validation[[#This Row],[Desired Result]]=Validation[[#This Row],[Result]]</f>
        <v>1</v>
      </c>
      <c r="W1024" t="b">
        <v>1</v>
      </c>
      <c r="X1024" t="b">
        <f>Validation[[#This Row],[Range1_Low]]&gt;=Validation[[#This Row],[Range1_High]]</f>
        <v>0</v>
      </c>
      <c r="Y1024" s="111" t="s">
        <v>2843</v>
      </c>
    </row>
    <row r="1025" spans="1:25" ht="15.75" thickTop="1" x14ac:dyDescent="0.25">
      <c r="A1025" t="s">
        <v>55</v>
      </c>
      <c r="B1025" t="s">
        <v>83</v>
      </c>
      <c r="C1025">
        <v>700.00099999999998</v>
      </c>
      <c r="D1025">
        <v>1500</v>
      </c>
      <c r="E1025">
        <v>1</v>
      </c>
      <c r="F1025" t="s">
        <v>26</v>
      </c>
      <c r="G1025" t="s">
        <v>26</v>
      </c>
      <c r="H1025">
        <v>0</v>
      </c>
      <c r="I1025">
        <v>0</v>
      </c>
      <c r="J1025" t="s">
        <v>2833</v>
      </c>
      <c r="K1025">
        <v>0.60109325599999996</v>
      </c>
      <c r="L1025">
        <v>0</v>
      </c>
      <c r="M1025">
        <v>0.581150575</v>
      </c>
      <c r="N1025">
        <v>0</v>
      </c>
      <c r="O1025" t="s">
        <v>2833</v>
      </c>
      <c r="P1025" t="s">
        <v>2833</v>
      </c>
      <c r="Q1025" t="s">
        <v>162</v>
      </c>
      <c r="R1025">
        <f ca="1">RAND()*(Validation[[#This Row],[Range1_High]]-Validation[[#This Row],[Range1_Low]])+Validation[[#This Row],[Range1_Low]]</f>
        <v>1161.1013590797475</v>
      </c>
      <c r="S1025">
        <f>Validation[[#This Row],[Range2_High]]</f>
        <v>0</v>
      </c>
      <c r="T1025" t="str" cm="1">
        <f t="array" aca="1" ref="T1025" ca="1">RoundToTwoSigFigs(Validation[[#This Row],[Test Reading]]*Validation[[#This Row],[Mult]]+Validation[[#This Row],[Base]]) &amp;" "&amp;Validation[[#This Row],[Uncert_Units]]</f>
        <v>0.6 °F</v>
      </c>
      <c r="U10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1025" t="b">
        <f ca="1">Validation[[#This Row],[Desired Result]]=Validation[[#This Row],[Result]]</f>
        <v>1</v>
      </c>
      <c r="W1025" t="b">
        <v>0</v>
      </c>
      <c r="X1025" t="b">
        <f>Validation[[#This Row],[Range1_Low]]&gt;=Validation[[#This Row],[Range1_High]]</f>
        <v>0</v>
      </c>
      <c r="Y1025" s="111" t="s">
        <v>2845</v>
      </c>
    </row>
    <row r="1026" spans="1:25" x14ac:dyDescent="0.25">
      <c r="A1026" t="s">
        <v>54</v>
      </c>
      <c r="B1026" t="s">
        <v>83</v>
      </c>
      <c r="C1026">
        <v>-328</v>
      </c>
      <c r="D1026">
        <v>-147.9</v>
      </c>
      <c r="E1026">
        <v>1</v>
      </c>
      <c r="F1026" t="s">
        <v>26</v>
      </c>
      <c r="G1026" t="s">
        <v>26</v>
      </c>
      <c r="H1026">
        <v>0</v>
      </c>
      <c r="I1026">
        <v>0</v>
      </c>
      <c r="J1026" t="s">
        <v>2833</v>
      </c>
      <c r="K1026">
        <v>1.0446150599999999</v>
      </c>
      <c r="L1026">
        <v>0</v>
      </c>
      <c r="M1026">
        <v>1.013961133</v>
      </c>
      <c r="N1026">
        <v>0</v>
      </c>
      <c r="O1026" t="s">
        <v>2833</v>
      </c>
      <c r="P1026" t="s">
        <v>2833</v>
      </c>
      <c r="Q1026" t="s">
        <v>162</v>
      </c>
      <c r="R1026">
        <f ca="1">RAND()*(Validation[[#This Row],[Range1_High]]-Validation[[#This Row],[Range1_Low]])+Validation[[#This Row],[Range1_Low]]</f>
        <v>-191.16558554804999</v>
      </c>
      <c r="S1026">
        <f>Validation[[#This Row],[Range2_High]]</f>
        <v>0</v>
      </c>
      <c r="T1026" t="str" cm="1">
        <f t="array" aca="1" ref="T1026" ca="1">RoundToTwoSigFigs(Validation[[#This Row],[Test Reading]]*Validation[[#This Row],[Mult]]+Validation[[#This Row],[Base]]) &amp;" "&amp;Validation[[#This Row],[Uncert_Units]]</f>
        <v>1 °F</v>
      </c>
      <c r="U10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V1026" t="b">
        <f ca="1">Validation[[#This Row],[Desired Result]]=Validation[[#This Row],[Result]]</f>
        <v>1</v>
      </c>
      <c r="W1026" t="b">
        <v>0</v>
      </c>
      <c r="X1026" t="b">
        <f>Validation[[#This Row],[Range1_Low]]&gt;=Validation[[#This Row],[Range1_High]]</f>
        <v>0</v>
      </c>
      <c r="Y1026" s="111" t="s">
        <v>2845</v>
      </c>
    </row>
    <row r="1027" spans="1:25" x14ac:dyDescent="0.25">
      <c r="A1027" t="s">
        <v>54</v>
      </c>
      <c r="B1027" t="s">
        <v>83</v>
      </c>
      <c r="C1027">
        <v>2372</v>
      </c>
      <c r="D1027">
        <v>2372.1</v>
      </c>
      <c r="E1027">
        <v>1</v>
      </c>
      <c r="F1027" t="s">
        <v>26</v>
      </c>
      <c r="G1027" t="s">
        <v>26</v>
      </c>
      <c r="H1027">
        <v>0</v>
      </c>
      <c r="I1027">
        <v>0</v>
      </c>
      <c r="J1027" t="s">
        <v>2833</v>
      </c>
      <c r="K1027">
        <v>0.82304130200000003</v>
      </c>
      <c r="L1027">
        <v>0</v>
      </c>
      <c r="M1027">
        <v>0.80730387100000001</v>
      </c>
      <c r="N1027">
        <v>0</v>
      </c>
      <c r="O1027" t="s">
        <v>2833</v>
      </c>
      <c r="P1027" t="s">
        <v>2833</v>
      </c>
      <c r="Q1027" t="s">
        <v>162</v>
      </c>
      <c r="R1027">
        <f ca="1">RAND()*(Validation[[#This Row],[Range1_High]]-Validation[[#This Row],[Range1_Low]])+Validation[[#This Row],[Range1_Low]]</f>
        <v>2372.062067336889</v>
      </c>
      <c r="S1027">
        <f>Validation[[#This Row],[Range2_High]]</f>
        <v>0</v>
      </c>
      <c r="T1027" t="str" cm="1">
        <f t="array" aca="1" ref="T1027" ca="1">RoundToTwoSigFigs(Validation[[#This Row],[Test Reading]]*Validation[[#This Row],[Mult]]+Validation[[#This Row],[Base]]) &amp;" "&amp;Validation[[#This Row],[Uncert_Units]]</f>
        <v>0.82 °F</v>
      </c>
      <c r="U10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V1027" t="b">
        <f ca="1">Validation[[#This Row],[Desired Result]]=Validation[[#This Row],[Result]]</f>
        <v>1</v>
      </c>
      <c r="W1027" t="b">
        <v>0</v>
      </c>
      <c r="X1027" t="b">
        <f>Validation[[#This Row],[Range1_Low]]&gt;=Validation[[#This Row],[Range1_High]]</f>
        <v>0</v>
      </c>
      <c r="Y1027" s="111" t="s">
        <v>2845</v>
      </c>
    </row>
    <row r="1028" spans="1:25" x14ac:dyDescent="0.25">
      <c r="A1028" t="s">
        <v>55</v>
      </c>
      <c r="B1028" t="s">
        <v>83</v>
      </c>
      <c r="C1028">
        <v>-454</v>
      </c>
      <c r="D1028">
        <v>-400.00099999999998</v>
      </c>
      <c r="E1028">
        <v>0.1</v>
      </c>
      <c r="F1028" t="s">
        <v>26</v>
      </c>
      <c r="G1028" t="s">
        <v>26</v>
      </c>
      <c r="H1028">
        <v>0</v>
      </c>
      <c r="I1028">
        <v>0</v>
      </c>
      <c r="J1028" t="s">
        <v>2833</v>
      </c>
      <c r="K1028">
        <v>1.5</v>
      </c>
      <c r="L1028">
        <v>0</v>
      </c>
      <c r="M1028">
        <v>1.4288134379999999</v>
      </c>
      <c r="N1028">
        <v>0</v>
      </c>
      <c r="O1028" t="s">
        <v>2833</v>
      </c>
      <c r="P1028" t="s">
        <v>2833</v>
      </c>
      <c r="Q1028" t="s">
        <v>162</v>
      </c>
      <c r="R1028">
        <f ca="1">RAND()*(Validation[[#This Row],[Range1_High]]-Validation[[#This Row],[Range1_Low]])+Validation[[#This Row],[Range1_Low]]</f>
        <v>-407.79612516935111</v>
      </c>
      <c r="S1028">
        <f>Validation[[#This Row],[Range2_High]]</f>
        <v>0</v>
      </c>
      <c r="T1028" t="str" cm="1">
        <f t="array" aca="1" ref="T1028" ca="1">RoundToTwoSigFigs(Validation[[#This Row],[Test Reading]]*Validation[[#This Row],[Mult]]+Validation[[#This Row],[Base]]) &amp;" "&amp;Validation[[#This Row],[Uncert_Units]]</f>
        <v>1.5 °F</v>
      </c>
      <c r="U10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V1028" t="b">
        <f ca="1">Validation[[#This Row],[Desired Result]]=Validation[[#This Row],[Result]]</f>
        <v>1</v>
      </c>
      <c r="W1028" t="b">
        <v>0</v>
      </c>
      <c r="X1028" t="b">
        <f>Validation[[#This Row],[Range1_Low]]&gt;=Validation[[#This Row],[Range1_High]]</f>
        <v>0</v>
      </c>
      <c r="Y1028" s="111" t="s">
        <v>2845</v>
      </c>
    </row>
    <row r="1029" spans="1:25" x14ac:dyDescent="0.25">
      <c r="A1029" t="s">
        <v>54</v>
      </c>
      <c r="B1029" t="s">
        <v>83</v>
      </c>
      <c r="C1029">
        <v>2372</v>
      </c>
      <c r="D1029">
        <v>2372.1</v>
      </c>
      <c r="E1029">
        <v>0.1</v>
      </c>
      <c r="F1029" t="s">
        <v>26</v>
      </c>
      <c r="G1029" t="s">
        <v>26</v>
      </c>
      <c r="H1029">
        <v>0</v>
      </c>
      <c r="I1029">
        <v>0</v>
      </c>
      <c r="J1029" t="s">
        <v>2833</v>
      </c>
      <c r="K1029">
        <v>0.57284718899999998</v>
      </c>
      <c r="L1029">
        <v>0</v>
      </c>
      <c r="M1029">
        <v>0.567220893</v>
      </c>
      <c r="N1029">
        <v>0</v>
      </c>
      <c r="O1029" t="s">
        <v>2833</v>
      </c>
      <c r="P1029" t="s">
        <v>2833</v>
      </c>
      <c r="Q1029" t="s">
        <v>162</v>
      </c>
      <c r="R1029">
        <f ca="1">RAND()*(Validation[[#This Row],[Range1_High]]-Validation[[#This Row],[Range1_Low]])+Validation[[#This Row],[Range1_Low]]</f>
        <v>2372.0966959226616</v>
      </c>
      <c r="S1029">
        <f>Validation[[#This Row],[Range2_High]]</f>
        <v>0</v>
      </c>
      <c r="T1029" t="str" cm="1">
        <f t="array" aca="1" ref="T1029" ca="1">RoundToTwoSigFigs(Validation[[#This Row],[Test Reading]]*Validation[[#This Row],[Mult]]+Validation[[#This Row],[Base]]) &amp;" "&amp;Validation[[#This Row],[Uncert_Units]]</f>
        <v>0.57 °F</v>
      </c>
      <c r="U10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V1029" t="b">
        <f ca="1">Validation[[#This Row],[Desired Result]]=Validation[[#This Row],[Result]]</f>
        <v>1</v>
      </c>
      <c r="W1029" t="b">
        <v>0</v>
      </c>
      <c r="X1029" t="b">
        <f>Validation[[#This Row],[Range1_Low]]&gt;=Validation[[#This Row],[Range1_High]]</f>
        <v>0</v>
      </c>
      <c r="Y1029" s="111" t="s">
        <v>2845</v>
      </c>
    </row>
    <row r="1030" spans="1:25" ht="15.75" thickBot="1" x14ac:dyDescent="0.3">
      <c r="A1030" t="s">
        <v>55</v>
      </c>
      <c r="B1030" t="s">
        <v>83</v>
      </c>
      <c r="C1030">
        <v>1500.001</v>
      </c>
      <c r="D1030">
        <v>2372</v>
      </c>
      <c r="E1030">
        <v>1</v>
      </c>
      <c r="F1030" t="s">
        <v>26</v>
      </c>
      <c r="G1030" t="s">
        <v>26</v>
      </c>
      <c r="H1030">
        <v>0</v>
      </c>
      <c r="I1030">
        <v>0</v>
      </c>
      <c r="J1030" t="s">
        <v>2833</v>
      </c>
      <c r="K1030">
        <v>0.60385887400000005</v>
      </c>
      <c r="L1030">
        <v>0</v>
      </c>
      <c r="M1030">
        <v>0.58222684199999997</v>
      </c>
      <c r="N1030">
        <v>0</v>
      </c>
      <c r="O1030" t="s">
        <v>2833</v>
      </c>
      <c r="P1030" t="s">
        <v>2833</v>
      </c>
      <c r="Q1030" t="s">
        <v>162</v>
      </c>
      <c r="R1030">
        <f ca="1">RAND()*(Validation[[#This Row],[Range1_High]]-Validation[[#This Row],[Range1_Low]])+Validation[[#This Row],[Range1_Low]]</f>
        <v>1920.0522541558705</v>
      </c>
      <c r="S1030">
        <f>Validation[[#This Row],[Range2_High]]</f>
        <v>0</v>
      </c>
      <c r="T1030" t="str" cm="1">
        <f t="array" aca="1" ref="T1030" ca="1">RoundToTwoSigFigs(Validation[[#This Row],[Test Reading]]*Validation[[#This Row],[Mult]]+Validation[[#This Row],[Base]]) &amp;" "&amp;Validation[[#This Row],[Uncert_Units]]</f>
        <v>0.6 °F</v>
      </c>
      <c r="U10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1030" t="b">
        <f ca="1">Validation[[#This Row],[Desired Result]]=Validation[[#This Row],[Result]]</f>
        <v>1</v>
      </c>
      <c r="W1030" t="b">
        <v>0</v>
      </c>
      <c r="X1030" t="b">
        <f>Validation[[#This Row],[Range1_Low]]&gt;=Validation[[#This Row],[Range1_High]]</f>
        <v>0</v>
      </c>
      <c r="Y1030" s="111" t="s">
        <v>2845</v>
      </c>
    </row>
    <row r="1031" spans="1:25" ht="16.5" thickTop="1" thickBot="1" x14ac:dyDescent="0.3">
      <c r="A1031" t="s">
        <v>54</v>
      </c>
      <c r="B1031" t="s">
        <v>83</v>
      </c>
      <c r="C1031" s="113">
        <v>-148</v>
      </c>
      <c r="D1031" s="113">
        <v>-12.9</v>
      </c>
      <c r="E1031">
        <v>0.1</v>
      </c>
      <c r="F1031" t="s">
        <v>26</v>
      </c>
      <c r="G1031" t="s">
        <v>26</v>
      </c>
      <c r="H1031">
        <v>0</v>
      </c>
      <c r="I1031">
        <v>0</v>
      </c>
      <c r="J1031" t="s">
        <v>2833</v>
      </c>
      <c r="K1031">
        <v>0.47673872299999998</v>
      </c>
      <c r="L1031">
        <v>0</v>
      </c>
      <c r="M1031">
        <v>0.46495666299999999</v>
      </c>
      <c r="N1031">
        <v>0</v>
      </c>
      <c r="O1031" t="s">
        <v>2833</v>
      </c>
      <c r="P1031" t="s">
        <v>2833</v>
      </c>
      <c r="Q1031" t="s">
        <v>162</v>
      </c>
      <c r="R1031">
        <f ca="1">RAND()*(Validation[[#This Row],[Range1_High]]-Validation[[#This Row],[Range1_Low]])+Validation[[#This Row],[Range1_Low]]</f>
        <v>-42.901575018981532</v>
      </c>
      <c r="S1031">
        <f>Validation[[#This Row],[Range2_High]]</f>
        <v>0</v>
      </c>
      <c r="T1031" t="str" cm="1">
        <f t="array" aca="1" ref="T1031" ca="1">RoundToTwoSigFigs(Validation[[#This Row],[Test Reading]]*Validation[[#This Row],[Mult]]+Validation[[#This Row],[Base]]) &amp;" "&amp;Validation[[#This Row],[Uncert_Units]]</f>
        <v>0.48 °F</v>
      </c>
      <c r="U10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V1031" t="b">
        <f ca="1">Validation[[#This Row],[Desired Result]]=Validation[[#This Row],[Result]]</f>
        <v>1</v>
      </c>
      <c r="W1031" t="b">
        <v>1</v>
      </c>
      <c r="X1031" t="b">
        <f>Validation[[#This Row],[Range1_Low]]&gt;=Validation[[#This Row],[Range1_High]]</f>
        <v>0</v>
      </c>
      <c r="Y1031" s="111" t="s">
        <v>2843</v>
      </c>
    </row>
    <row r="1032" spans="1:25" ht="16.5" thickTop="1" thickBot="1" x14ac:dyDescent="0.3">
      <c r="A1032" t="s">
        <v>54</v>
      </c>
      <c r="B1032" t="s">
        <v>83</v>
      </c>
      <c r="C1032" s="113">
        <v>770</v>
      </c>
      <c r="D1032" s="113">
        <v>2372</v>
      </c>
      <c r="E1032">
        <v>1</v>
      </c>
      <c r="F1032" t="s">
        <v>26</v>
      </c>
      <c r="G1032" t="s">
        <v>26</v>
      </c>
      <c r="H1032">
        <v>0</v>
      </c>
      <c r="I1032">
        <v>0</v>
      </c>
      <c r="J1032" t="s">
        <v>2833</v>
      </c>
      <c r="K1032">
        <v>0.82304130200000003</v>
      </c>
      <c r="L1032">
        <v>0</v>
      </c>
      <c r="M1032">
        <v>0.80730387100000001</v>
      </c>
      <c r="N1032">
        <v>0</v>
      </c>
      <c r="O1032" t="s">
        <v>2833</v>
      </c>
      <c r="P1032" t="s">
        <v>2833</v>
      </c>
      <c r="Q1032" t="s">
        <v>162</v>
      </c>
      <c r="R1032">
        <f ca="1">RAND()*(Validation[[#This Row],[Range1_High]]-Validation[[#This Row],[Range1_Low]])+Validation[[#This Row],[Range1_Low]]</f>
        <v>1267.8337803480595</v>
      </c>
      <c r="S1032">
        <f>Validation[[#This Row],[Range2_High]]</f>
        <v>0</v>
      </c>
      <c r="T1032" t="str" cm="1">
        <f t="array" aca="1" ref="T1032" ca="1">RoundToTwoSigFigs(Validation[[#This Row],[Test Reading]]*Validation[[#This Row],[Mult]]+Validation[[#This Row],[Base]]) &amp;" "&amp;Validation[[#This Row],[Uncert_Units]]</f>
        <v>0.82 °F</v>
      </c>
      <c r="U10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V1032" t="b">
        <f ca="1">Validation[[#This Row],[Desired Result]]=Validation[[#This Row],[Result]]</f>
        <v>1</v>
      </c>
      <c r="W1032" t="b">
        <v>1</v>
      </c>
      <c r="X1032" t="b">
        <f>Validation[[#This Row],[Range1_Low]]&gt;=Validation[[#This Row],[Range1_High]]</f>
        <v>0</v>
      </c>
      <c r="Y1032" s="111" t="s">
        <v>2843</v>
      </c>
    </row>
    <row r="1033" spans="1:25" ht="16.5" thickTop="1" thickBot="1" x14ac:dyDescent="0.3">
      <c r="A1033" t="s">
        <v>54</v>
      </c>
      <c r="B1033" t="s">
        <v>84</v>
      </c>
      <c r="C1033" s="113">
        <v>752</v>
      </c>
      <c r="D1033" s="113">
        <v>1832.1</v>
      </c>
      <c r="E1033">
        <v>0.1</v>
      </c>
      <c r="F1033" t="s">
        <v>26</v>
      </c>
      <c r="G1033" t="s">
        <v>26</v>
      </c>
      <c r="H1033">
        <v>0</v>
      </c>
      <c r="I1033">
        <v>0</v>
      </c>
      <c r="J1033" t="s">
        <v>2833</v>
      </c>
      <c r="K1033">
        <v>0.70146403099999999</v>
      </c>
      <c r="L1033">
        <v>0</v>
      </c>
      <c r="M1033">
        <v>0.69200891799999997</v>
      </c>
      <c r="N1033">
        <v>0</v>
      </c>
      <c r="O1033" t="s">
        <v>2833</v>
      </c>
      <c r="P1033" t="s">
        <v>2833</v>
      </c>
      <c r="Q1033" t="s">
        <v>163</v>
      </c>
      <c r="R1033">
        <f ca="1">RAND()*(Validation[[#This Row],[Range1_High]]-Validation[[#This Row],[Range1_Low]])+Validation[[#This Row],[Range1_Low]]</f>
        <v>1454.0608021535463</v>
      </c>
      <c r="S1033">
        <f>Validation[[#This Row],[Range2_High]]</f>
        <v>0</v>
      </c>
      <c r="T1033" t="str" cm="1">
        <f t="array" aca="1" ref="T1033" ca="1">RoundToTwoSigFigs(Validation[[#This Row],[Test Reading]]*Validation[[#This Row],[Mult]]+Validation[[#This Row],[Base]]) &amp;" "&amp;Validation[[#This Row],[Uncert_Units]]</f>
        <v>0.7 °F</v>
      </c>
      <c r="U10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V1033" t="b">
        <f ca="1">Validation[[#This Row],[Desired Result]]=Validation[[#This Row],[Result]]</f>
        <v>1</v>
      </c>
      <c r="W1033" t="b">
        <v>1</v>
      </c>
      <c r="X1033" t="b">
        <f>Validation[[#This Row],[Range1_Low]]&gt;=Validation[[#This Row],[Range1_High]]</f>
        <v>0</v>
      </c>
      <c r="Y1033" s="111" t="s">
        <v>2843</v>
      </c>
    </row>
    <row r="1034" spans="1:25" ht="16.5" thickTop="1" thickBot="1" x14ac:dyDescent="0.3">
      <c r="A1034" t="s">
        <v>55</v>
      </c>
      <c r="B1034" t="s">
        <v>84</v>
      </c>
      <c r="C1034">
        <v>2200.0010000000002</v>
      </c>
      <c r="D1034">
        <v>3214</v>
      </c>
      <c r="E1034">
        <v>0.1</v>
      </c>
      <c r="F1034" t="s">
        <v>26</v>
      </c>
      <c r="G1034" t="s">
        <v>26</v>
      </c>
      <c r="H1034">
        <v>0</v>
      </c>
      <c r="I1034">
        <v>0</v>
      </c>
      <c r="J1034" t="s">
        <v>2833</v>
      </c>
      <c r="K1034">
        <v>0.17</v>
      </c>
      <c r="L1034">
        <v>0</v>
      </c>
      <c r="M1034">
        <v>0.122419896</v>
      </c>
      <c r="N1034">
        <v>0</v>
      </c>
      <c r="O1034" t="s">
        <v>2833</v>
      </c>
      <c r="P1034" t="s">
        <v>2833</v>
      </c>
      <c r="Q1034" t="s">
        <v>163</v>
      </c>
      <c r="R1034">
        <f ca="1">RAND()*(Validation[[#This Row],[Range1_High]]-Validation[[#This Row],[Range1_Low]])+Validation[[#This Row],[Range1_Low]]</f>
        <v>2777.7834453556197</v>
      </c>
      <c r="S1034">
        <f>Validation[[#This Row],[Range2_High]]</f>
        <v>0</v>
      </c>
      <c r="T1034" t="str" cm="1">
        <f t="array" aca="1" ref="T1034" ca="1">RoundToTwoSigFigs(Validation[[#This Row],[Test Reading]]*Validation[[#This Row],[Mult]]+Validation[[#This Row],[Base]]) &amp;" "&amp;Validation[[#This Row],[Uncert_Units]]</f>
        <v>0.17 °F</v>
      </c>
      <c r="U10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V1034" t="b">
        <f ca="1">Validation[[#This Row],[Desired Result]]=Validation[[#This Row],[Result]]</f>
        <v>1</v>
      </c>
      <c r="W1034" t="b">
        <v>0</v>
      </c>
      <c r="X1034" t="b">
        <f>Validation[[#This Row],[Range1_Low]]&gt;=Validation[[#This Row],[Range1_High]]</f>
        <v>0</v>
      </c>
      <c r="Y1034" s="111" t="s">
        <v>2845</v>
      </c>
    </row>
    <row r="1035" spans="1:25" ht="16.5" thickTop="1" thickBot="1" x14ac:dyDescent="0.3">
      <c r="A1035" t="s">
        <v>54</v>
      </c>
      <c r="B1035" t="s">
        <v>84</v>
      </c>
      <c r="C1035" s="113">
        <v>1832</v>
      </c>
      <c r="D1035" s="113">
        <v>3213</v>
      </c>
      <c r="E1035">
        <v>0.1</v>
      </c>
      <c r="F1035" t="s">
        <v>26</v>
      </c>
      <c r="G1035" t="s">
        <v>26</v>
      </c>
      <c r="H1035">
        <v>0</v>
      </c>
      <c r="I1035">
        <v>0</v>
      </c>
      <c r="J1035" t="s">
        <v>2833</v>
      </c>
      <c r="K1035">
        <v>0.96694891999999999</v>
      </c>
      <c r="L1035">
        <v>0</v>
      </c>
      <c r="M1035">
        <v>0.96011185300000002</v>
      </c>
      <c r="N1035">
        <v>0</v>
      </c>
      <c r="O1035" t="s">
        <v>2833</v>
      </c>
      <c r="P1035" t="s">
        <v>2833</v>
      </c>
      <c r="Q1035" t="s">
        <v>163</v>
      </c>
      <c r="R1035">
        <f ca="1">RAND()*(Validation[[#This Row],[Range1_High]]-Validation[[#This Row],[Range1_Low]])+Validation[[#This Row],[Range1_Low]]</f>
        <v>2968.0146096203134</v>
      </c>
      <c r="S1035">
        <f>Validation[[#This Row],[Range2_High]]</f>
        <v>0</v>
      </c>
      <c r="T1035" t="str" cm="1">
        <f t="array" aca="1" ref="T1035" ca="1">RoundToTwoSigFigs(Validation[[#This Row],[Test Reading]]*Validation[[#This Row],[Mult]]+Validation[[#This Row],[Base]]) &amp;" "&amp;Validation[[#This Row],[Uncert_Units]]</f>
        <v>0.97 °F</v>
      </c>
      <c r="U10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V1035" t="b">
        <f ca="1">Validation[[#This Row],[Desired Result]]=Validation[[#This Row],[Result]]</f>
        <v>1</v>
      </c>
      <c r="W1035" t="b">
        <v>1</v>
      </c>
      <c r="X1035" t="b">
        <f>Validation[[#This Row],[Range1_Low]]&gt;=Validation[[#This Row],[Range1_High]]</f>
        <v>0</v>
      </c>
      <c r="Y1035" s="111" t="s">
        <v>2843</v>
      </c>
    </row>
    <row r="1036" spans="1:25" ht="16.5" thickTop="1" thickBot="1" x14ac:dyDescent="0.3">
      <c r="A1036" t="s">
        <v>54</v>
      </c>
      <c r="B1036" t="s">
        <v>84</v>
      </c>
      <c r="C1036">
        <v>3213</v>
      </c>
      <c r="D1036">
        <v>3213.1</v>
      </c>
      <c r="E1036">
        <v>0.1</v>
      </c>
      <c r="F1036" t="s">
        <v>26</v>
      </c>
      <c r="G1036" t="s">
        <v>26</v>
      </c>
      <c r="H1036">
        <v>0</v>
      </c>
      <c r="I1036">
        <v>0</v>
      </c>
      <c r="J1036" t="s">
        <v>2833</v>
      </c>
      <c r="K1036">
        <v>0.96694891999999999</v>
      </c>
      <c r="L1036">
        <v>0</v>
      </c>
      <c r="M1036">
        <v>0.96011185300000002</v>
      </c>
      <c r="N1036">
        <v>0</v>
      </c>
      <c r="O1036" t="s">
        <v>2833</v>
      </c>
      <c r="P1036" t="s">
        <v>2833</v>
      </c>
      <c r="Q1036" t="s">
        <v>163</v>
      </c>
      <c r="R1036">
        <f ca="1">RAND()*(Validation[[#This Row],[Range1_High]]-Validation[[#This Row],[Range1_Low]])+Validation[[#This Row],[Range1_Low]]</f>
        <v>3213.0807412223412</v>
      </c>
      <c r="S1036">
        <f>Validation[[#This Row],[Range2_High]]</f>
        <v>0</v>
      </c>
      <c r="T1036" t="str" cm="1">
        <f t="array" aca="1" ref="T1036" ca="1">RoundToTwoSigFigs(Validation[[#This Row],[Test Reading]]*Validation[[#This Row],[Mult]]+Validation[[#This Row],[Base]]) &amp;" "&amp;Validation[[#This Row],[Uncert_Units]]</f>
        <v>0.97 °F</v>
      </c>
      <c r="U10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V1036" t="b">
        <f ca="1">Validation[[#This Row],[Desired Result]]=Validation[[#This Row],[Result]]</f>
        <v>1</v>
      </c>
      <c r="W1036" t="b">
        <v>0</v>
      </c>
      <c r="X1036" t="b">
        <f>Validation[[#This Row],[Range1_Low]]&gt;=Validation[[#This Row],[Range1_High]]</f>
        <v>0</v>
      </c>
      <c r="Y1036" s="111" t="s">
        <v>2845</v>
      </c>
    </row>
    <row r="1037" spans="1:25" ht="16.5" thickTop="1" thickBot="1" x14ac:dyDescent="0.3">
      <c r="A1037" t="s">
        <v>54</v>
      </c>
      <c r="B1037" t="s">
        <v>84</v>
      </c>
      <c r="C1037" s="113">
        <v>1832</v>
      </c>
      <c r="D1037" s="113">
        <v>3213</v>
      </c>
      <c r="E1037">
        <v>1</v>
      </c>
      <c r="F1037" t="s">
        <v>26</v>
      </c>
      <c r="G1037" t="s">
        <v>26</v>
      </c>
      <c r="H1037">
        <v>0</v>
      </c>
      <c r="I1037">
        <v>0</v>
      </c>
      <c r="J1037" t="s">
        <v>2833</v>
      </c>
      <c r="K1037">
        <v>1.142154345</v>
      </c>
      <c r="L1037">
        <v>0</v>
      </c>
      <c r="M1037">
        <v>1.1188452840000001</v>
      </c>
      <c r="N1037">
        <v>0</v>
      </c>
      <c r="O1037" t="s">
        <v>2833</v>
      </c>
      <c r="P1037" t="s">
        <v>2833</v>
      </c>
      <c r="Q1037" t="s">
        <v>163</v>
      </c>
      <c r="R1037">
        <f ca="1">RAND()*(Validation[[#This Row],[Range1_High]]-Validation[[#This Row],[Range1_Low]])+Validation[[#This Row],[Range1_Low]]</f>
        <v>2632.599391048886</v>
      </c>
      <c r="S1037">
        <f>Validation[[#This Row],[Range2_High]]</f>
        <v>0</v>
      </c>
      <c r="T1037" t="str" cm="1">
        <f t="array" aca="1" ref="T1037" ca="1">RoundToTwoSigFigs(Validation[[#This Row],[Test Reading]]*Validation[[#This Row],[Mult]]+Validation[[#This Row],[Base]]) &amp;" "&amp;Validation[[#This Row],[Uncert_Units]]</f>
        <v>1.1 °F</v>
      </c>
      <c r="U10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V1037" t="b">
        <f ca="1">Validation[[#This Row],[Desired Result]]=Validation[[#This Row],[Result]]</f>
        <v>1</v>
      </c>
      <c r="W1037" t="b">
        <v>1</v>
      </c>
      <c r="X1037" t="b">
        <f>Validation[[#This Row],[Range1_Low]]&gt;=Validation[[#This Row],[Range1_High]]</f>
        <v>0</v>
      </c>
      <c r="Y1037" s="111" t="s">
        <v>2843</v>
      </c>
    </row>
    <row r="1038" spans="1:25" ht="16.5" thickTop="1" thickBot="1" x14ac:dyDescent="0.3">
      <c r="A1038" t="s">
        <v>54</v>
      </c>
      <c r="B1038" t="s">
        <v>84</v>
      </c>
      <c r="C1038" s="113">
        <v>482</v>
      </c>
      <c r="D1038" s="113">
        <v>752.1</v>
      </c>
      <c r="E1038">
        <v>0.1</v>
      </c>
      <c r="F1038" t="s">
        <v>26</v>
      </c>
      <c r="G1038" t="s">
        <v>26</v>
      </c>
      <c r="H1038">
        <v>0</v>
      </c>
      <c r="I1038">
        <v>0</v>
      </c>
      <c r="J1038" t="s">
        <v>2833</v>
      </c>
      <c r="K1038">
        <v>0.74216754799999995</v>
      </c>
      <c r="L1038">
        <v>0</v>
      </c>
      <c r="M1038">
        <v>0.73323749500000002</v>
      </c>
      <c r="N1038">
        <v>0</v>
      </c>
      <c r="O1038" t="s">
        <v>2833</v>
      </c>
      <c r="P1038" t="s">
        <v>2833</v>
      </c>
      <c r="Q1038" t="s">
        <v>163</v>
      </c>
      <c r="R1038">
        <f ca="1">RAND()*(Validation[[#This Row],[Range1_High]]-Validation[[#This Row],[Range1_Low]])+Validation[[#This Row],[Range1_Low]]</f>
        <v>529.9858750450594</v>
      </c>
      <c r="S1038">
        <f>Validation[[#This Row],[Range2_High]]</f>
        <v>0</v>
      </c>
      <c r="T1038" t="str" cm="1">
        <f t="array" aca="1" ref="T1038" ca="1">RoundToTwoSigFigs(Validation[[#This Row],[Test Reading]]*Validation[[#This Row],[Mult]]+Validation[[#This Row],[Base]]) &amp;" "&amp;Validation[[#This Row],[Uncert_Units]]</f>
        <v>0.74 °F</v>
      </c>
      <c r="U10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V1038" t="b">
        <f ca="1">Validation[[#This Row],[Desired Result]]=Validation[[#This Row],[Result]]</f>
        <v>1</v>
      </c>
      <c r="W1038" t="b">
        <v>1</v>
      </c>
      <c r="X1038" t="b">
        <f>Validation[[#This Row],[Range1_Low]]&gt;=Validation[[#This Row],[Range1_High]]</f>
        <v>0</v>
      </c>
      <c r="Y1038" s="111" t="s">
        <v>2843</v>
      </c>
    </row>
    <row r="1039" spans="1:25" ht="15.75" thickTop="1" x14ac:dyDescent="0.25">
      <c r="A1039" t="s">
        <v>55</v>
      </c>
      <c r="B1039" t="s">
        <v>85</v>
      </c>
      <c r="C1039">
        <v>-58</v>
      </c>
      <c r="D1039">
        <v>31.998999999999999</v>
      </c>
      <c r="E1039">
        <v>0.1</v>
      </c>
      <c r="F1039" t="s">
        <v>26</v>
      </c>
      <c r="G1039" t="s">
        <v>26</v>
      </c>
      <c r="H1039">
        <v>0</v>
      </c>
      <c r="I1039">
        <v>0</v>
      </c>
      <c r="J1039" t="s">
        <v>2833</v>
      </c>
      <c r="K1039">
        <v>0.22</v>
      </c>
      <c r="L1039">
        <v>0</v>
      </c>
      <c r="M1039">
        <v>0.17935751599999999</v>
      </c>
      <c r="N1039">
        <v>0</v>
      </c>
      <c r="O1039" t="s">
        <v>2833</v>
      </c>
      <c r="P1039" t="s">
        <v>2833</v>
      </c>
      <c r="Q1039" t="s">
        <v>164</v>
      </c>
      <c r="R1039">
        <f ca="1">RAND()*(Validation[[#This Row],[Range1_High]]-Validation[[#This Row],[Range1_Low]])+Validation[[#This Row],[Range1_Low]]</f>
        <v>-34.511704249778283</v>
      </c>
      <c r="S1039">
        <f>Validation[[#This Row],[Range2_High]]</f>
        <v>0</v>
      </c>
      <c r="T1039" t="str" cm="1">
        <f t="array" aca="1" ref="T1039" ca="1">RoundToTwoSigFigs(Validation[[#This Row],[Test Reading]]*Validation[[#This Row],[Mult]]+Validation[[#This Row],[Base]]) &amp;" "&amp;Validation[[#This Row],[Uncert_Units]]</f>
        <v>0.22 °F</v>
      </c>
      <c r="U10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V1039" t="b">
        <f ca="1">Validation[[#This Row],[Desired Result]]=Validation[[#This Row],[Result]]</f>
        <v>1</v>
      </c>
      <c r="W1039" t="b">
        <v>0</v>
      </c>
      <c r="X1039" t="b">
        <f>Validation[[#This Row],[Range1_Low]]&gt;=Validation[[#This Row],[Range1_High]]</f>
        <v>0</v>
      </c>
      <c r="Y1039" s="111" t="s">
        <v>2845</v>
      </c>
    </row>
    <row r="1040" spans="1:25" x14ac:dyDescent="0.25">
      <c r="A1040" t="s">
        <v>55</v>
      </c>
      <c r="B1040" t="s">
        <v>85</v>
      </c>
      <c r="C1040">
        <v>2200.0010000000002</v>
      </c>
      <c r="D1040">
        <v>3214</v>
      </c>
      <c r="E1040">
        <v>1</v>
      </c>
      <c r="F1040" t="s">
        <v>26</v>
      </c>
      <c r="G1040" t="s">
        <v>26</v>
      </c>
      <c r="H1040">
        <v>0</v>
      </c>
      <c r="I1040">
        <v>0</v>
      </c>
      <c r="J1040" t="s">
        <v>2833</v>
      </c>
      <c r="K1040">
        <v>0.63062541100000002</v>
      </c>
      <c r="L1040">
        <v>0</v>
      </c>
      <c r="M1040">
        <v>0.58877774100000002</v>
      </c>
      <c r="N1040">
        <v>0</v>
      </c>
      <c r="O1040" t="s">
        <v>2833</v>
      </c>
      <c r="P1040" t="s">
        <v>2833</v>
      </c>
      <c r="Q1040" t="s">
        <v>164</v>
      </c>
      <c r="R1040">
        <f ca="1">RAND()*(Validation[[#This Row],[Range1_High]]-Validation[[#This Row],[Range1_Low]])+Validation[[#This Row],[Range1_Low]]</f>
        <v>2875.1325668711788</v>
      </c>
      <c r="S1040">
        <f>Validation[[#This Row],[Range2_High]]</f>
        <v>0</v>
      </c>
      <c r="T1040" t="str" cm="1">
        <f t="array" aca="1" ref="T1040" ca="1">RoundToTwoSigFigs(Validation[[#This Row],[Test Reading]]*Validation[[#This Row],[Mult]]+Validation[[#This Row],[Base]]) &amp;" "&amp;Validation[[#This Row],[Uncert_Units]]</f>
        <v>0.63 °F</v>
      </c>
      <c r="U10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V1040" t="b">
        <f ca="1">Validation[[#This Row],[Desired Result]]=Validation[[#This Row],[Result]]</f>
        <v>1</v>
      </c>
      <c r="W1040" t="b">
        <v>0</v>
      </c>
      <c r="X1040" t="b">
        <f>Validation[[#This Row],[Range1_Low]]&gt;=Validation[[#This Row],[Range1_High]]</f>
        <v>0</v>
      </c>
      <c r="Y1040" s="111" t="s">
        <v>2845</v>
      </c>
    </row>
    <row r="1041" spans="1:25" x14ac:dyDescent="0.25">
      <c r="A1041" t="s">
        <v>55</v>
      </c>
      <c r="B1041" t="s">
        <v>85</v>
      </c>
      <c r="C1041">
        <v>-58</v>
      </c>
      <c r="D1041">
        <v>31.998999999999999</v>
      </c>
      <c r="E1041">
        <v>1</v>
      </c>
      <c r="F1041" t="s">
        <v>26</v>
      </c>
      <c r="G1041" t="s">
        <v>26</v>
      </c>
      <c r="H1041">
        <v>0</v>
      </c>
      <c r="I1041">
        <v>0</v>
      </c>
      <c r="J1041" t="s">
        <v>2833</v>
      </c>
      <c r="K1041">
        <v>0.65159735900000004</v>
      </c>
      <c r="L1041">
        <v>0</v>
      </c>
      <c r="M1041">
        <v>0.60180488399999998</v>
      </c>
      <c r="N1041">
        <v>0</v>
      </c>
      <c r="O1041" t="s">
        <v>2833</v>
      </c>
      <c r="P1041" t="s">
        <v>2833</v>
      </c>
      <c r="Q1041" t="s">
        <v>164</v>
      </c>
      <c r="R1041">
        <f ca="1">RAND()*(Validation[[#This Row],[Range1_High]]-Validation[[#This Row],[Range1_Low]])+Validation[[#This Row],[Range1_Low]]</f>
        <v>30.943925120314603</v>
      </c>
      <c r="S1041">
        <f>Validation[[#This Row],[Range2_High]]</f>
        <v>0</v>
      </c>
      <c r="T1041" t="str" cm="1">
        <f t="array" aca="1" ref="T1041" ca="1">RoundToTwoSigFigs(Validation[[#This Row],[Test Reading]]*Validation[[#This Row],[Mult]]+Validation[[#This Row],[Base]]) &amp;" "&amp;Validation[[#This Row],[Uncert_Units]]</f>
        <v>0.65 °F</v>
      </c>
      <c r="U10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V1041" t="b">
        <f ca="1">Validation[[#This Row],[Desired Result]]=Validation[[#This Row],[Result]]</f>
        <v>1</v>
      </c>
      <c r="W1041" t="b">
        <v>0</v>
      </c>
      <c r="X1041" t="b">
        <f>Validation[[#This Row],[Range1_Low]]&gt;=Validation[[#This Row],[Range1_High]]</f>
        <v>0</v>
      </c>
      <c r="Y1041" s="111" t="s">
        <v>2845</v>
      </c>
    </row>
    <row r="1042" spans="1:25" ht="15.75" thickBot="1" x14ac:dyDescent="0.3">
      <c r="A1042" t="s">
        <v>55</v>
      </c>
      <c r="B1042" t="s">
        <v>85</v>
      </c>
      <c r="C1042">
        <v>32</v>
      </c>
      <c r="D1042">
        <v>1100</v>
      </c>
      <c r="E1042">
        <v>0.1</v>
      </c>
      <c r="F1042" t="s">
        <v>26</v>
      </c>
      <c r="G1042" t="s">
        <v>26</v>
      </c>
      <c r="H1042">
        <v>0</v>
      </c>
      <c r="I1042">
        <v>0</v>
      </c>
      <c r="J1042" t="s">
        <v>2833</v>
      </c>
      <c r="K1042">
        <v>0.18</v>
      </c>
      <c r="L1042">
        <v>0</v>
      </c>
      <c r="M1042">
        <v>0.12667225100000001</v>
      </c>
      <c r="N1042">
        <v>0</v>
      </c>
      <c r="O1042" t="s">
        <v>2833</v>
      </c>
      <c r="P1042" t="s">
        <v>2833</v>
      </c>
      <c r="Q1042" t="s">
        <v>164</v>
      </c>
      <c r="R1042">
        <f ca="1">RAND()*(Validation[[#This Row],[Range1_High]]-Validation[[#This Row],[Range1_Low]])+Validation[[#This Row],[Range1_Low]]</f>
        <v>655.37061539176625</v>
      </c>
      <c r="S1042">
        <f>Validation[[#This Row],[Range2_High]]</f>
        <v>0</v>
      </c>
      <c r="T1042" t="str" cm="1">
        <f t="array" aca="1" ref="T1042" ca="1">RoundToTwoSigFigs(Validation[[#This Row],[Test Reading]]*Validation[[#This Row],[Mult]]+Validation[[#This Row],[Base]]) &amp;" "&amp;Validation[[#This Row],[Uncert_Units]]</f>
        <v>0.18 °F</v>
      </c>
      <c r="U10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V1042" t="b">
        <f ca="1">Validation[[#This Row],[Desired Result]]=Validation[[#This Row],[Result]]</f>
        <v>1</v>
      </c>
      <c r="W1042" t="b">
        <v>0</v>
      </c>
      <c r="X1042" t="b">
        <f>Validation[[#This Row],[Range1_Low]]&gt;=Validation[[#This Row],[Range1_High]]</f>
        <v>0</v>
      </c>
      <c r="Y1042" s="111" t="s">
        <v>2845</v>
      </c>
    </row>
    <row r="1043" spans="1:25" ht="16.5" thickTop="1" thickBot="1" x14ac:dyDescent="0.3">
      <c r="A1043" t="s">
        <v>54</v>
      </c>
      <c r="B1043" t="s">
        <v>85</v>
      </c>
      <c r="C1043" s="113">
        <v>1832</v>
      </c>
      <c r="D1043" s="113">
        <v>2552.1</v>
      </c>
      <c r="E1043">
        <v>1</v>
      </c>
      <c r="F1043" t="s">
        <v>26</v>
      </c>
      <c r="G1043" t="s">
        <v>26</v>
      </c>
      <c r="H1043">
        <v>0</v>
      </c>
      <c r="I1043">
        <v>0</v>
      </c>
      <c r="J1043" t="s">
        <v>2833</v>
      </c>
      <c r="K1043">
        <v>0.99106384700000005</v>
      </c>
      <c r="L1043">
        <v>0</v>
      </c>
      <c r="M1043">
        <v>0.96410879699999996</v>
      </c>
      <c r="N1043">
        <v>0</v>
      </c>
      <c r="O1043" t="s">
        <v>2833</v>
      </c>
      <c r="P1043" t="s">
        <v>2833</v>
      </c>
      <c r="Q1043" t="s">
        <v>164</v>
      </c>
      <c r="R1043">
        <f ca="1">RAND()*(Validation[[#This Row],[Range1_High]]-Validation[[#This Row],[Range1_Low]])+Validation[[#This Row],[Range1_Low]]</f>
        <v>2083.6637295046753</v>
      </c>
      <c r="S1043">
        <f>Validation[[#This Row],[Range2_High]]</f>
        <v>0</v>
      </c>
      <c r="T1043" t="str" cm="1">
        <f t="array" aca="1" ref="T1043" ca="1">RoundToTwoSigFigs(Validation[[#This Row],[Test Reading]]*Validation[[#This Row],[Mult]]+Validation[[#This Row],[Base]]) &amp;" "&amp;Validation[[#This Row],[Uncert_Units]]</f>
        <v>0.99 °F</v>
      </c>
      <c r="U10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V1043" t="b">
        <f ca="1">Validation[[#This Row],[Desired Result]]=Validation[[#This Row],[Result]]</f>
        <v>1</v>
      </c>
      <c r="W1043" t="b">
        <v>1</v>
      </c>
      <c r="X1043" t="b">
        <f>Validation[[#This Row],[Range1_Low]]&gt;=Validation[[#This Row],[Range1_High]]</f>
        <v>0</v>
      </c>
      <c r="Y1043" s="111" t="s">
        <v>2843</v>
      </c>
    </row>
    <row r="1044" spans="1:25" ht="15.75" thickTop="1" x14ac:dyDescent="0.25">
      <c r="A1044" t="s">
        <v>54</v>
      </c>
      <c r="B1044" t="s">
        <v>85</v>
      </c>
      <c r="C1044">
        <v>3213</v>
      </c>
      <c r="D1044">
        <v>3213.1</v>
      </c>
      <c r="E1044">
        <v>0.1</v>
      </c>
      <c r="F1044" t="s">
        <v>26</v>
      </c>
      <c r="G1044" t="s">
        <v>26</v>
      </c>
      <c r="H1044">
        <v>0</v>
      </c>
      <c r="I1044">
        <v>0</v>
      </c>
      <c r="J1044" t="s">
        <v>2833</v>
      </c>
      <c r="K1044">
        <v>0.96727748899999999</v>
      </c>
      <c r="L1044">
        <v>0</v>
      </c>
      <c r="M1044">
        <v>0.96044275999999995</v>
      </c>
      <c r="N1044">
        <v>0</v>
      </c>
      <c r="O1044" t="s">
        <v>2833</v>
      </c>
      <c r="P1044" t="s">
        <v>2833</v>
      </c>
      <c r="Q1044" t="s">
        <v>164</v>
      </c>
      <c r="R1044">
        <f ca="1">RAND()*(Validation[[#This Row],[Range1_High]]-Validation[[#This Row],[Range1_Low]])+Validation[[#This Row],[Range1_Low]]</f>
        <v>3213.0627595069368</v>
      </c>
      <c r="S1044">
        <f>Validation[[#This Row],[Range2_High]]</f>
        <v>0</v>
      </c>
      <c r="T1044" t="str" cm="1">
        <f t="array" aca="1" ref="T1044" ca="1">RoundToTwoSigFigs(Validation[[#This Row],[Test Reading]]*Validation[[#This Row],[Mult]]+Validation[[#This Row],[Base]]) &amp;" "&amp;Validation[[#This Row],[Uncert_Units]]</f>
        <v>0.97 °F</v>
      </c>
      <c r="U10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V1044" t="b">
        <f ca="1">Validation[[#This Row],[Desired Result]]=Validation[[#This Row],[Result]]</f>
        <v>1</v>
      </c>
      <c r="W1044" t="b">
        <v>0</v>
      </c>
      <c r="X1044" t="b">
        <f>Validation[[#This Row],[Range1_Low]]&gt;=Validation[[#This Row],[Range1_High]]</f>
        <v>0</v>
      </c>
      <c r="Y1044" s="111" t="s">
        <v>2845</v>
      </c>
    </row>
    <row r="1045" spans="1:25" ht="15.75" thickBot="1" x14ac:dyDescent="0.3">
      <c r="A1045" t="s">
        <v>54</v>
      </c>
      <c r="B1045" t="s">
        <v>85</v>
      </c>
      <c r="C1045">
        <v>32</v>
      </c>
      <c r="D1045">
        <v>482.1</v>
      </c>
      <c r="E1045">
        <v>0.1</v>
      </c>
      <c r="F1045" t="s">
        <v>26</v>
      </c>
      <c r="G1045" t="s">
        <v>26</v>
      </c>
      <c r="H1045">
        <v>0</v>
      </c>
      <c r="I1045">
        <v>0</v>
      </c>
      <c r="J1045" t="s">
        <v>2833</v>
      </c>
      <c r="K1045">
        <v>0.99102046200000005</v>
      </c>
      <c r="L1045">
        <v>0</v>
      </c>
      <c r="M1045">
        <v>0.98329333299999999</v>
      </c>
      <c r="N1045">
        <v>0</v>
      </c>
      <c r="O1045" t="s">
        <v>2833</v>
      </c>
      <c r="P1045" t="s">
        <v>2833</v>
      </c>
      <c r="Q1045" t="s">
        <v>164</v>
      </c>
      <c r="R1045">
        <f ca="1">RAND()*(Validation[[#This Row],[Range1_High]]-Validation[[#This Row],[Range1_Low]])+Validation[[#This Row],[Range1_Low]]</f>
        <v>394.63110108987956</v>
      </c>
      <c r="S1045">
        <f>Validation[[#This Row],[Range2_High]]</f>
        <v>0</v>
      </c>
      <c r="T1045" t="str" cm="1">
        <f t="array" aca="1" ref="T1045" ca="1">RoundToTwoSigFigs(Validation[[#This Row],[Test Reading]]*Validation[[#This Row],[Mult]]+Validation[[#This Row],[Base]]) &amp;" "&amp;Validation[[#This Row],[Uncert_Units]]</f>
        <v>0.99 °F</v>
      </c>
      <c r="U10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V1045" t="b">
        <f ca="1">Validation[[#This Row],[Desired Result]]=Validation[[#This Row],[Result]]</f>
        <v>1</v>
      </c>
      <c r="W1045" t="b">
        <v>0</v>
      </c>
      <c r="X1045" t="b">
        <f>Validation[[#This Row],[Range1_Low]]&gt;=Validation[[#This Row],[Range1_High]]</f>
        <v>0</v>
      </c>
      <c r="Y1045" s="111" t="s">
        <v>2845</v>
      </c>
    </row>
    <row r="1046" spans="1:25" ht="16.5" thickTop="1" thickBot="1" x14ac:dyDescent="0.3">
      <c r="A1046" t="s">
        <v>54</v>
      </c>
      <c r="B1046" t="s">
        <v>86</v>
      </c>
      <c r="C1046" s="113">
        <v>248</v>
      </c>
      <c r="D1046" s="113">
        <v>752</v>
      </c>
      <c r="E1046">
        <v>0.1</v>
      </c>
      <c r="F1046" t="s">
        <v>26</v>
      </c>
      <c r="G1046" t="s">
        <v>26</v>
      </c>
      <c r="H1046">
        <v>0</v>
      </c>
      <c r="I1046">
        <v>0</v>
      </c>
      <c r="J1046" t="s">
        <v>2833</v>
      </c>
      <c r="K1046">
        <v>0.17895368</v>
      </c>
      <c r="L1046">
        <v>0</v>
      </c>
      <c r="M1046">
        <v>0.17487064799999999</v>
      </c>
      <c r="N1046">
        <v>0</v>
      </c>
      <c r="O1046" t="s">
        <v>2833</v>
      </c>
      <c r="P1046" t="s">
        <v>2833</v>
      </c>
      <c r="Q1046" t="s">
        <v>165</v>
      </c>
      <c r="R1046">
        <f ca="1">RAND()*(Validation[[#This Row],[Range1_High]]-Validation[[#This Row],[Range1_Low]])+Validation[[#This Row],[Range1_Low]]</f>
        <v>386.16568928414665</v>
      </c>
      <c r="S1046">
        <f>Validation[[#This Row],[Range2_High]]</f>
        <v>0</v>
      </c>
      <c r="T1046" t="str" cm="1">
        <f t="array" aca="1" ref="T1046" ca="1">RoundToTwoSigFigs(Validation[[#This Row],[Test Reading]]*Validation[[#This Row],[Mult]]+Validation[[#This Row],[Base]]) &amp;" "&amp;Validation[[#This Row],[Uncert_Units]]</f>
        <v>0.18 °F</v>
      </c>
      <c r="U10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V1046" t="b">
        <f ca="1">Validation[[#This Row],[Desired Result]]=Validation[[#This Row],[Result]]</f>
        <v>1</v>
      </c>
      <c r="W1046" t="b">
        <v>1</v>
      </c>
      <c r="X1046" t="b">
        <f>Validation[[#This Row],[Range1_Low]]&gt;=Validation[[#This Row],[Range1_High]]</f>
        <v>0</v>
      </c>
      <c r="Y1046" s="111" t="s">
        <v>2843</v>
      </c>
    </row>
    <row r="1047" spans="1:25" ht="15.75" thickTop="1" x14ac:dyDescent="0.25">
      <c r="A1047" t="s">
        <v>55</v>
      </c>
      <c r="B1047" t="s">
        <v>86</v>
      </c>
      <c r="C1047">
        <v>-400</v>
      </c>
      <c r="D1047">
        <v>199.999</v>
      </c>
      <c r="E1047">
        <v>0.1</v>
      </c>
      <c r="F1047" t="s">
        <v>26</v>
      </c>
      <c r="G1047" t="s">
        <v>26</v>
      </c>
      <c r="H1047">
        <v>0</v>
      </c>
      <c r="I1047">
        <v>0</v>
      </c>
      <c r="J1047" t="s">
        <v>2833</v>
      </c>
      <c r="K1047">
        <v>0.18</v>
      </c>
      <c r="L1047">
        <v>0</v>
      </c>
      <c r="M1047">
        <v>0.124119993</v>
      </c>
      <c r="N1047">
        <v>0</v>
      </c>
      <c r="O1047" t="s">
        <v>2833</v>
      </c>
      <c r="P1047" t="s">
        <v>2833</v>
      </c>
      <c r="Q1047" t="s">
        <v>165</v>
      </c>
      <c r="R1047">
        <f ca="1">RAND()*(Validation[[#This Row],[Range1_High]]-Validation[[#This Row],[Range1_Low]])+Validation[[#This Row],[Range1_Low]]</f>
        <v>-75.98799241758303</v>
      </c>
      <c r="S1047">
        <f>Validation[[#This Row],[Range2_High]]</f>
        <v>0</v>
      </c>
      <c r="T1047" t="str" cm="1">
        <f t="array" aca="1" ref="T1047" ca="1">RoundToTwoSigFigs(Validation[[#This Row],[Test Reading]]*Validation[[#This Row],[Mult]]+Validation[[#This Row],[Base]]) &amp;" "&amp;Validation[[#This Row],[Uncert_Units]]</f>
        <v>0.18 °F</v>
      </c>
      <c r="U10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V1047" t="b">
        <f ca="1">Validation[[#This Row],[Desired Result]]=Validation[[#This Row],[Result]]</f>
        <v>1</v>
      </c>
      <c r="W1047" t="b">
        <v>0</v>
      </c>
      <c r="X1047" t="b">
        <f>Validation[[#This Row],[Range1_Low]]&gt;=Validation[[#This Row],[Range1_High]]</f>
        <v>0</v>
      </c>
      <c r="Y1047" s="111" t="s">
        <v>2845</v>
      </c>
    </row>
    <row r="1048" spans="1:25" x14ac:dyDescent="0.25">
      <c r="A1048" t="s">
        <v>55</v>
      </c>
      <c r="B1048" t="s">
        <v>86</v>
      </c>
      <c r="C1048">
        <v>-400</v>
      </c>
      <c r="D1048">
        <v>199.999</v>
      </c>
      <c r="E1048">
        <v>1</v>
      </c>
      <c r="F1048" t="s">
        <v>26</v>
      </c>
      <c r="G1048" t="s">
        <v>26</v>
      </c>
      <c r="H1048">
        <v>0</v>
      </c>
      <c r="I1048">
        <v>0</v>
      </c>
      <c r="J1048" t="s">
        <v>2833</v>
      </c>
      <c r="K1048">
        <v>0.63424617999999999</v>
      </c>
      <c r="L1048">
        <v>0</v>
      </c>
      <c r="M1048">
        <v>0.58771232100000004</v>
      </c>
      <c r="N1048">
        <v>0</v>
      </c>
      <c r="O1048" t="s">
        <v>2833</v>
      </c>
      <c r="P1048" t="s">
        <v>2833</v>
      </c>
      <c r="Q1048" t="s">
        <v>165</v>
      </c>
      <c r="R1048">
        <f ca="1">RAND()*(Validation[[#This Row],[Range1_High]]-Validation[[#This Row],[Range1_Low]])+Validation[[#This Row],[Range1_Low]]</f>
        <v>138.01547675066968</v>
      </c>
      <c r="S1048">
        <f>Validation[[#This Row],[Range2_High]]</f>
        <v>0</v>
      </c>
      <c r="T1048" t="str" cm="1">
        <f t="array" aca="1" ref="T1048" ca="1">RoundToTwoSigFigs(Validation[[#This Row],[Test Reading]]*Validation[[#This Row],[Mult]]+Validation[[#This Row],[Base]]) &amp;" "&amp;Validation[[#This Row],[Uncert_Units]]</f>
        <v>0.63 °F</v>
      </c>
      <c r="U10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V1048" t="b">
        <f ca="1">Validation[[#This Row],[Desired Result]]=Validation[[#This Row],[Result]]</f>
        <v>1</v>
      </c>
      <c r="W1048" t="b">
        <v>0</v>
      </c>
      <c r="X1048" t="b">
        <f>Validation[[#This Row],[Range1_Low]]&gt;=Validation[[#This Row],[Range1_High]]</f>
        <v>0</v>
      </c>
      <c r="Y1048" s="111" t="s">
        <v>2845</v>
      </c>
    </row>
    <row r="1049" spans="1:25" x14ac:dyDescent="0.25">
      <c r="A1049" t="s">
        <v>54</v>
      </c>
      <c r="B1049" t="s">
        <v>86</v>
      </c>
      <c r="C1049">
        <v>752</v>
      </c>
      <c r="D1049">
        <v>752.1</v>
      </c>
      <c r="E1049">
        <v>1</v>
      </c>
      <c r="F1049" t="s">
        <v>26</v>
      </c>
      <c r="G1049" t="s">
        <v>26</v>
      </c>
      <c r="H1049">
        <v>0</v>
      </c>
      <c r="I1049">
        <v>0</v>
      </c>
      <c r="J1049" t="s">
        <v>2833</v>
      </c>
      <c r="K1049">
        <v>0.60527551300000004</v>
      </c>
      <c r="L1049">
        <v>0</v>
      </c>
      <c r="M1049">
        <v>0.600482925</v>
      </c>
      <c r="N1049">
        <v>0</v>
      </c>
      <c r="O1049" t="s">
        <v>2833</v>
      </c>
      <c r="P1049" t="s">
        <v>2833</v>
      </c>
      <c r="Q1049" t="s">
        <v>165</v>
      </c>
      <c r="R1049">
        <f ca="1">RAND()*(Validation[[#This Row],[Range1_High]]-Validation[[#This Row],[Range1_Low]])+Validation[[#This Row],[Range1_Low]]</f>
        <v>752.07277268402208</v>
      </c>
      <c r="S1049">
        <f>Validation[[#This Row],[Range2_High]]</f>
        <v>0</v>
      </c>
      <c r="T1049" t="str" cm="1">
        <f t="array" aca="1" ref="T1049" ca="1">RoundToTwoSigFigs(Validation[[#This Row],[Test Reading]]*Validation[[#This Row],[Mult]]+Validation[[#This Row],[Base]]) &amp;" "&amp;Validation[[#This Row],[Uncert_Units]]</f>
        <v>0.61 °F</v>
      </c>
      <c r="U10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1049" t="b">
        <f ca="1">Validation[[#This Row],[Desired Result]]=Validation[[#This Row],[Result]]</f>
        <v>1</v>
      </c>
      <c r="W1049" t="b">
        <v>0</v>
      </c>
      <c r="X1049" t="b">
        <f>Validation[[#This Row],[Range1_Low]]&gt;=Validation[[#This Row],[Range1_High]]</f>
        <v>0</v>
      </c>
      <c r="Y1049" s="111" t="s">
        <v>2845</v>
      </c>
    </row>
    <row r="1050" spans="1:25" x14ac:dyDescent="0.25">
      <c r="A1050" t="s">
        <v>54</v>
      </c>
      <c r="B1050" t="s">
        <v>86</v>
      </c>
      <c r="C1050">
        <v>-418</v>
      </c>
      <c r="D1050">
        <v>-237.9</v>
      </c>
      <c r="E1050">
        <v>1</v>
      </c>
      <c r="F1050" t="s">
        <v>26</v>
      </c>
      <c r="G1050" t="s">
        <v>26</v>
      </c>
      <c r="H1050">
        <v>0</v>
      </c>
      <c r="I1050">
        <v>0</v>
      </c>
      <c r="J1050" t="s">
        <v>2833</v>
      </c>
      <c r="K1050">
        <v>0.80890141400000004</v>
      </c>
      <c r="L1050">
        <v>0</v>
      </c>
      <c r="M1050">
        <v>0.79569649899999995</v>
      </c>
      <c r="N1050">
        <v>0</v>
      </c>
      <c r="O1050" t="s">
        <v>2833</v>
      </c>
      <c r="P1050" t="s">
        <v>2833</v>
      </c>
      <c r="Q1050" t="s">
        <v>165</v>
      </c>
      <c r="R1050">
        <f ca="1">RAND()*(Validation[[#This Row],[Range1_High]]-Validation[[#This Row],[Range1_Low]])+Validation[[#This Row],[Range1_Low]]</f>
        <v>-404.80665478916723</v>
      </c>
      <c r="S1050">
        <f>Validation[[#This Row],[Range2_High]]</f>
        <v>0</v>
      </c>
      <c r="T1050" t="str" cm="1">
        <f t="array" aca="1" ref="T1050" ca="1">RoundToTwoSigFigs(Validation[[#This Row],[Test Reading]]*Validation[[#This Row],[Mult]]+Validation[[#This Row],[Base]]) &amp;" "&amp;Validation[[#This Row],[Uncert_Units]]</f>
        <v>0.81 °F</v>
      </c>
      <c r="U10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V1050" t="b">
        <f ca="1">Validation[[#This Row],[Desired Result]]=Validation[[#This Row],[Result]]</f>
        <v>1</v>
      </c>
      <c r="W1050" t="b">
        <v>0</v>
      </c>
      <c r="X1050" t="b">
        <f>Validation[[#This Row],[Range1_Low]]&gt;=Validation[[#This Row],[Range1_High]]</f>
        <v>0</v>
      </c>
      <c r="Y1050" s="111" t="s">
        <v>2845</v>
      </c>
    </row>
    <row r="1051" spans="1:25" x14ac:dyDescent="0.25">
      <c r="A1051" t="s">
        <v>55</v>
      </c>
      <c r="B1051" t="s">
        <v>86</v>
      </c>
      <c r="C1051">
        <v>-454</v>
      </c>
      <c r="D1051">
        <v>-400.00099999999998</v>
      </c>
      <c r="E1051">
        <v>0.1</v>
      </c>
      <c r="F1051" t="s">
        <v>26</v>
      </c>
      <c r="G1051" t="s">
        <v>26</v>
      </c>
      <c r="H1051">
        <v>0</v>
      </c>
      <c r="I1051">
        <v>0</v>
      </c>
      <c r="J1051" t="s">
        <v>2833</v>
      </c>
      <c r="K1051">
        <v>0.41398294899999999</v>
      </c>
      <c r="L1051">
        <v>0</v>
      </c>
      <c r="M1051">
        <v>0.39270743800000002</v>
      </c>
      <c r="N1051">
        <v>0</v>
      </c>
      <c r="O1051" t="s">
        <v>2833</v>
      </c>
      <c r="P1051" t="s">
        <v>2833</v>
      </c>
      <c r="Q1051" t="s">
        <v>165</v>
      </c>
      <c r="R1051">
        <f ca="1">RAND()*(Validation[[#This Row],[Range1_High]]-Validation[[#This Row],[Range1_Low]])+Validation[[#This Row],[Range1_Low]]</f>
        <v>-436.60523943808607</v>
      </c>
      <c r="S1051">
        <f>Validation[[#This Row],[Range2_High]]</f>
        <v>0</v>
      </c>
      <c r="T1051" t="str" cm="1">
        <f t="array" aca="1" ref="T1051" ca="1">RoundToTwoSigFigs(Validation[[#This Row],[Test Reading]]*Validation[[#This Row],[Mult]]+Validation[[#This Row],[Base]]) &amp;" "&amp;Validation[[#This Row],[Uncert_Units]]</f>
        <v>0.41 °F</v>
      </c>
      <c r="U10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V1051" t="b">
        <f ca="1">Validation[[#This Row],[Desired Result]]=Validation[[#This Row],[Result]]</f>
        <v>1</v>
      </c>
      <c r="W1051" t="b">
        <v>0</v>
      </c>
      <c r="X1051" t="b">
        <f>Validation[[#This Row],[Range1_Low]]&gt;=Validation[[#This Row],[Range1_High]]</f>
        <v>0</v>
      </c>
      <c r="Y1051" s="111" t="s">
        <v>2845</v>
      </c>
    </row>
    <row r="1052" spans="1:25" x14ac:dyDescent="0.25">
      <c r="A1052" t="s">
        <v>55</v>
      </c>
      <c r="B1052" t="s">
        <v>87</v>
      </c>
      <c r="C1052">
        <v>800.00099999999998</v>
      </c>
      <c r="D1052">
        <v>1200</v>
      </c>
      <c r="E1052">
        <v>0.01</v>
      </c>
      <c r="F1052" t="s">
        <v>26</v>
      </c>
      <c r="G1052" t="s">
        <v>26</v>
      </c>
      <c r="H1052">
        <v>0</v>
      </c>
      <c r="I1052">
        <v>0</v>
      </c>
      <c r="J1052" t="s">
        <v>2833</v>
      </c>
      <c r="K1052">
        <v>2.7260507E-2</v>
      </c>
      <c r="L1052">
        <v>0</v>
      </c>
      <c r="M1052">
        <v>2.6097133000000002E-2</v>
      </c>
      <c r="N1052">
        <v>0</v>
      </c>
      <c r="O1052" t="s">
        <v>2833</v>
      </c>
      <c r="P1052" t="s">
        <v>2833</v>
      </c>
      <c r="Q1052" t="s">
        <v>166</v>
      </c>
      <c r="R1052">
        <f ca="1">RAND()*(Validation[[#This Row],[Range1_High]]-Validation[[#This Row],[Range1_Low]])+Validation[[#This Row],[Range1_Low]]</f>
        <v>952.44278103971931</v>
      </c>
      <c r="S1052">
        <f>Validation[[#This Row],[Range2_High]]</f>
        <v>0</v>
      </c>
      <c r="T1052" t="str" cm="1">
        <f t="array" aca="1" ref="T1052" ca="1">RoundToTwoSigFigs(Validation[[#This Row],[Test Reading]]*Validation[[#This Row],[Mult]]+Validation[[#This Row],[Base]]) &amp;" "&amp;Validation[[#This Row],[Uncert_Units]]</f>
        <v>0.027 °F</v>
      </c>
      <c r="U10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V1052" t="b">
        <f ca="1">Validation[[#This Row],[Desired Result]]=Validation[[#This Row],[Result]]</f>
        <v>1</v>
      </c>
      <c r="W1052" t="b">
        <v>0</v>
      </c>
      <c r="X1052" t="b">
        <f>Validation[[#This Row],[Range1_Low]]&gt;=Validation[[#This Row],[Range1_High]]</f>
        <v>0</v>
      </c>
      <c r="Y1052" s="111" t="s">
        <v>2845</v>
      </c>
    </row>
    <row r="1053" spans="1:25" x14ac:dyDescent="0.25">
      <c r="A1053" t="s">
        <v>54</v>
      </c>
      <c r="B1053" t="s">
        <v>87</v>
      </c>
      <c r="C1053">
        <v>212</v>
      </c>
      <c r="D1053">
        <v>572.1</v>
      </c>
      <c r="E1053">
        <v>0.1</v>
      </c>
      <c r="F1053" t="s">
        <v>26</v>
      </c>
      <c r="G1053" t="s">
        <v>26</v>
      </c>
      <c r="H1053">
        <v>0</v>
      </c>
      <c r="I1053">
        <v>0</v>
      </c>
      <c r="J1053" t="s">
        <v>2833</v>
      </c>
      <c r="K1053">
        <v>0.28536871200000002</v>
      </c>
      <c r="L1053">
        <v>0</v>
      </c>
      <c r="M1053">
        <v>0.26384759099999999</v>
      </c>
      <c r="N1053">
        <v>0</v>
      </c>
      <c r="O1053" t="s">
        <v>2833</v>
      </c>
      <c r="P1053" t="s">
        <v>2833</v>
      </c>
      <c r="Q1053" t="s">
        <v>166</v>
      </c>
      <c r="R1053">
        <f ca="1">RAND()*(Validation[[#This Row],[Range1_High]]-Validation[[#This Row],[Range1_Low]])+Validation[[#This Row],[Range1_Low]]</f>
        <v>296.02978989968324</v>
      </c>
      <c r="S1053">
        <f>Validation[[#This Row],[Range2_High]]</f>
        <v>0</v>
      </c>
      <c r="T1053" t="str" cm="1">
        <f t="array" aca="1" ref="T1053" ca="1">RoundToTwoSigFigs(Validation[[#This Row],[Test Reading]]*Validation[[#This Row],[Mult]]+Validation[[#This Row],[Base]]) &amp;" "&amp;Validation[[#This Row],[Uncert_Units]]</f>
        <v>0.29 °F</v>
      </c>
      <c r="U10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V1053" t="b">
        <f ca="1">Validation[[#This Row],[Desired Result]]=Validation[[#This Row],[Result]]</f>
        <v>1</v>
      </c>
      <c r="W1053" t="b">
        <v>0</v>
      </c>
      <c r="X1053" t="b">
        <f>Validation[[#This Row],[Range1_Low]]&gt;=Validation[[#This Row],[Range1_High]]</f>
        <v>0</v>
      </c>
      <c r="Y1053" s="111" t="s">
        <v>2845</v>
      </c>
    </row>
    <row r="1054" spans="1:25" x14ac:dyDescent="0.25">
      <c r="A1054" t="s">
        <v>55</v>
      </c>
      <c r="B1054" t="s">
        <v>87</v>
      </c>
      <c r="C1054">
        <v>400.00099999999998</v>
      </c>
      <c r="D1054">
        <v>800</v>
      </c>
      <c r="E1054">
        <v>1</v>
      </c>
      <c r="F1054" t="s">
        <v>26</v>
      </c>
      <c r="G1054" t="s">
        <v>26</v>
      </c>
      <c r="H1054">
        <v>0</v>
      </c>
      <c r="I1054">
        <v>0</v>
      </c>
      <c r="J1054" t="s">
        <v>2833</v>
      </c>
      <c r="K1054">
        <v>0.57848851300000004</v>
      </c>
      <c r="L1054">
        <v>0</v>
      </c>
      <c r="M1054">
        <v>0.57762943200000005</v>
      </c>
      <c r="N1054">
        <v>0</v>
      </c>
      <c r="O1054" t="s">
        <v>2833</v>
      </c>
      <c r="P1054" t="s">
        <v>2833</v>
      </c>
      <c r="Q1054" t="s">
        <v>166</v>
      </c>
      <c r="R1054">
        <f ca="1">RAND()*(Validation[[#This Row],[Range1_High]]-Validation[[#This Row],[Range1_Low]])+Validation[[#This Row],[Range1_Low]]</f>
        <v>484.65070691379685</v>
      </c>
      <c r="S1054">
        <f>Validation[[#This Row],[Range2_High]]</f>
        <v>0</v>
      </c>
      <c r="T1054" t="str" cm="1">
        <f t="array" aca="1" ref="T1054" ca="1">RoundToTwoSigFigs(Validation[[#This Row],[Test Reading]]*Validation[[#This Row],[Mult]]+Validation[[#This Row],[Base]]) &amp;" "&amp;Validation[[#This Row],[Uncert_Units]]</f>
        <v>0.58 °F</v>
      </c>
      <c r="U10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1054" t="b">
        <f ca="1">Validation[[#This Row],[Desired Result]]=Validation[[#This Row],[Result]]</f>
        <v>1</v>
      </c>
      <c r="W1054" t="b">
        <v>0</v>
      </c>
      <c r="X1054" t="b">
        <f>Validation[[#This Row],[Range1_Low]]&gt;=Validation[[#This Row],[Range1_High]]</f>
        <v>0</v>
      </c>
      <c r="Y1054" s="111" t="s">
        <v>2845</v>
      </c>
    </row>
    <row r="1055" spans="1:25" x14ac:dyDescent="0.25">
      <c r="A1055" t="s">
        <v>55</v>
      </c>
      <c r="B1055" t="s">
        <v>87</v>
      </c>
      <c r="C1055">
        <v>1200.001</v>
      </c>
      <c r="D1055">
        <v>1562</v>
      </c>
      <c r="E1055">
        <v>1</v>
      </c>
      <c r="F1055" t="s">
        <v>26</v>
      </c>
      <c r="G1055" t="s">
        <v>26</v>
      </c>
      <c r="H1055">
        <v>0</v>
      </c>
      <c r="I1055">
        <v>0</v>
      </c>
      <c r="J1055" t="s">
        <v>2833</v>
      </c>
      <c r="K1055">
        <v>0.57975076199999998</v>
      </c>
      <c r="L1055">
        <v>0</v>
      </c>
      <c r="M1055">
        <v>0.578256192</v>
      </c>
      <c r="N1055">
        <v>0</v>
      </c>
      <c r="O1055" t="s">
        <v>2833</v>
      </c>
      <c r="P1055" t="s">
        <v>2833</v>
      </c>
      <c r="Q1055" t="s">
        <v>166</v>
      </c>
      <c r="R1055">
        <f ca="1">RAND()*(Validation[[#This Row],[Range1_High]]-Validation[[#This Row],[Range1_Low]])+Validation[[#This Row],[Range1_Low]]</f>
        <v>1382.2610758582637</v>
      </c>
      <c r="S1055">
        <f>Validation[[#This Row],[Range2_High]]</f>
        <v>0</v>
      </c>
      <c r="T1055" t="str" cm="1">
        <f t="array" aca="1" ref="T1055" ca="1">RoundToTwoSigFigs(Validation[[#This Row],[Test Reading]]*Validation[[#This Row],[Mult]]+Validation[[#This Row],[Base]]) &amp;" "&amp;Validation[[#This Row],[Uncert_Units]]</f>
        <v>0.58 °F</v>
      </c>
      <c r="U10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1055" t="b">
        <f ca="1">Validation[[#This Row],[Desired Result]]=Validation[[#This Row],[Result]]</f>
        <v>1</v>
      </c>
      <c r="W1055" t="b">
        <v>0</v>
      </c>
      <c r="X1055" t="b">
        <f>Validation[[#This Row],[Range1_Low]]&gt;=Validation[[#This Row],[Range1_High]]</f>
        <v>0</v>
      </c>
      <c r="Y1055" s="111" t="s">
        <v>2845</v>
      </c>
    </row>
    <row r="1056" spans="1:25" x14ac:dyDescent="0.25">
      <c r="A1056" t="s">
        <v>55</v>
      </c>
      <c r="B1056" t="s">
        <v>87</v>
      </c>
      <c r="C1056">
        <v>1200.001</v>
      </c>
      <c r="D1056">
        <v>1562</v>
      </c>
      <c r="E1056">
        <v>0.01</v>
      </c>
      <c r="F1056" t="s">
        <v>26</v>
      </c>
      <c r="G1056" t="s">
        <v>26</v>
      </c>
      <c r="H1056">
        <v>0</v>
      </c>
      <c r="I1056">
        <v>0</v>
      </c>
      <c r="J1056" t="s">
        <v>2833</v>
      </c>
      <c r="K1056">
        <v>3.4473085000000001E-2</v>
      </c>
      <c r="L1056">
        <v>0</v>
      </c>
      <c r="M1056">
        <v>3.2866752999999999E-2</v>
      </c>
      <c r="N1056">
        <v>0</v>
      </c>
      <c r="O1056" t="s">
        <v>2833</v>
      </c>
      <c r="P1056" t="s">
        <v>2833</v>
      </c>
      <c r="Q1056" t="s">
        <v>166</v>
      </c>
      <c r="R1056">
        <f ca="1">RAND()*(Validation[[#This Row],[Range1_High]]-Validation[[#This Row],[Range1_Low]])+Validation[[#This Row],[Range1_Low]]</f>
        <v>1253.1158580214963</v>
      </c>
      <c r="S1056">
        <f>Validation[[#This Row],[Range2_High]]</f>
        <v>0</v>
      </c>
      <c r="T1056" t="str" cm="1">
        <f t="array" aca="1" ref="T1056" ca="1">RoundToTwoSigFigs(Validation[[#This Row],[Test Reading]]*Validation[[#This Row],[Mult]]+Validation[[#This Row],[Base]]) &amp;" "&amp;Validation[[#This Row],[Uncert_Units]]</f>
        <v>0.034 °F</v>
      </c>
      <c r="U10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V1056" t="b">
        <f ca="1">Validation[[#This Row],[Desired Result]]=Validation[[#This Row],[Result]]</f>
        <v>1</v>
      </c>
      <c r="W1056" t="b">
        <v>0</v>
      </c>
      <c r="X1056" t="b">
        <f>Validation[[#This Row],[Range1_Low]]&gt;=Validation[[#This Row],[Range1_High]]</f>
        <v>0</v>
      </c>
      <c r="Y1056" s="111" t="s">
        <v>2845</v>
      </c>
    </row>
    <row r="1057" spans="1:25" ht="15.75" thickBot="1" x14ac:dyDescent="0.3">
      <c r="A1057" t="s">
        <v>55</v>
      </c>
      <c r="B1057" t="s">
        <v>87</v>
      </c>
      <c r="C1057">
        <v>400.00099999999998</v>
      </c>
      <c r="D1057">
        <v>800</v>
      </c>
      <c r="E1057">
        <v>0.1</v>
      </c>
      <c r="F1057" t="s">
        <v>26</v>
      </c>
      <c r="G1057" t="s">
        <v>26</v>
      </c>
      <c r="H1057">
        <v>0</v>
      </c>
      <c r="I1057">
        <v>0</v>
      </c>
      <c r="J1057" t="s">
        <v>2833</v>
      </c>
      <c r="K1057">
        <v>6.2482481999999999E-2</v>
      </c>
      <c r="L1057">
        <v>0</v>
      </c>
      <c r="M1057">
        <v>6.0462887999999999E-2</v>
      </c>
      <c r="N1057">
        <v>0</v>
      </c>
      <c r="O1057" t="s">
        <v>2833</v>
      </c>
      <c r="P1057" t="s">
        <v>2833</v>
      </c>
      <c r="Q1057" t="s">
        <v>166</v>
      </c>
      <c r="R1057">
        <f ca="1">RAND()*(Validation[[#This Row],[Range1_High]]-Validation[[#This Row],[Range1_Low]])+Validation[[#This Row],[Range1_Low]]</f>
        <v>620.16601546326569</v>
      </c>
      <c r="S1057">
        <f>Validation[[#This Row],[Range2_High]]</f>
        <v>0</v>
      </c>
      <c r="T1057" t="str" cm="1">
        <f t="array" aca="1" ref="T1057" ca="1">RoundToTwoSigFigs(Validation[[#This Row],[Test Reading]]*Validation[[#This Row],[Mult]]+Validation[[#This Row],[Base]]) &amp;" "&amp;Validation[[#This Row],[Uncert_Units]]</f>
        <v>0.062 °F</v>
      </c>
      <c r="U10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V1057" t="b">
        <f ca="1">Validation[[#This Row],[Desired Result]]=Validation[[#This Row],[Result]]</f>
        <v>1</v>
      </c>
      <c r="W1057" t="b">
        <v>0</v>
      </c>
      <c r="X1057" t="b">
        <f>Validation[[#This Row],[Range1_Low]]&gt;=Validation[[#This Row],[Range1_High]]</f>
        <v>0</v>
      </c>
      <c r="Y1057" s="111" t="s">
        <v>2845</v>
      </c>
    </row>
    <row r="1058" spans="1:25" ht="16.5" thickTop="1" thickBot="1" x14ac:dyDescent="0.3">
      <c r="A1058" t="s">
        <v>54</v>
      </c>
      <c r="B1058" t="s">
        <v>87</v>
      </c>
      <c r="C1058" s="113">
        <v>572</v>
      </c>
      <c r="D1058" s="113">
        <v>752.1</v>
      </c>
      <c r="E1058">
        <v>0.1</v>
      </c>
      <c r="F1058" t="s">
        <v>26</v>
      </c>
      <c r="G1058" t="s">
        <v>26</v>
      </c>
      <c r="H1058">
        <v>0</v>
      </c>
      <c r="I1058">
        <v>0</v>
      </c>
      <c r="J1058" t="s">
        <v>2833</v>
      </c>
      <c r="K1058">
        <v>0.39011774900000001</v>
      </c>
      <c r="L1058">
        <v>0</v>
      </c>
      <c r="M1058">
        <v>0.37466265900000001</v>
      </c>
      <c r="N1058">
        <v>0</v>
      </c>
      <c r="O1058" t="s">
        <v>2833</v>
      </c>
      <c r="P1058" t="s">
        <v>2833</v>
      </c>
      <c r="Q1058" t="s">
        <v>166</v>
      </c>
      <c r="R1058">
        <f ca="1">RAND()*(Validation[[#This Row],[Range1_High]]-Validation[[#This Row],[Range1_Low]])+Validation[[#This Row],[Range1_Low]]</f>
        <v>636.27274693960533</v>
      </c>
      <c r="S1058">
        <f>Validation[[#This Row],[Range2_High]]</f>
        <v>0</v>
      </c>
      <c r="T1058" t="str" cm="1">
        <f t="array" aca="1" ref="T1058" ca="1">RoundToTwoSigFigs(Validation[[#This Row],[Test Reading]]*Validation[[#This Row],[Mult]]+Validation[[#This Row],[Base]]) &amp;" "&amp;Validation[[#This Row],[Uncert_Units]]</f>
        <v>0.39 °F</v>
      </c>
      <c r="U10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V1058" t="b">
        <f ca="1">Validation[[#This Row],[Desired Result]]=Validation[[#This Row],[Result]]</f>
        <v>1</v>
      </c>
      <c r="W1058" t="b">
        <v>1</v>
      </c>
      <c r="X1058" t="b">
        <f>Validation[[#This Row],[Range1_Low]]&gt;=Validation[[#This Row],[Range1_High]]</f>
        <v>0</v>
      </c>
      <c r="Y1058" s="111" t="s">
        <v>2843</v>
      </c>
    </row>
    <row r="1059" spans="1:25" ht="16.5" thickTop="1" thickBot="1" x14ac:dyDescent="0.3">
      <c r="A1059" t="s">
        <v>54</v>
      </c>
      <c r="B1059" t="s">
        <v>87</v>
      </c>
      <c r="C1059" s="113">
        <v>1166</v>
      </c>
      <c r="D1059" s="113">
        <v>1472</v>
      </c>
      <c r="E1059">
        <v>0.1</v>
      </c>
      <c r="F1059" t="s">
        <v>26</v>
      </c>
      <c r="G1059" t="s">
        <v>26</v>
      </c>
      <c r="H1059">
        <v>0</v>
      </c>
      <c r="I1059">
        <v>0</v>
      </c>
      <c r="J1059" t="s">
        <v>2833</v>
      </c>
      <c r="K1059">
        <v>0.77811255300000004</v>
      </c>
      <c r="L1059">
        <v>0</v>
      </c>
      <c r="M1059">
        <v>0.77047997700000004</v>
      </c>
      <c r="N1059">
        <v>0</v>
      </c>
      <c r="O1059" t="s">
        <v>2833</v>
      </c>
      <c r="P1059" t="s">
        <v>2833</v>
      </c>
      <c r="Q1059" t="s">
        <v>166</v>
      </c>
      <c r="R1059">
        <f ca="1">RAND()*(Validation[[#This Row],[Range1_High]]-Validation[[#This Row],[Range1_Low]])+Validation[[#This Row],[Range1_Low]]</f>
        <v>1218.6929276886988</v>
      </c>
      <c r="S1059">
        <f>Validation[[#This Row],[Range2_High]]</f>
        <v>0</v>
      </c>
      <c r="T1059" t="str" cm="1">
        <f t="array" aca="1" ref="T1059" ca="1">RoundToTwoSigFigs(Validation[[#This Row],[Test Reading]]*Validation[[#This Row],[Mult]]+Validation[[#This Row],[Base]]) &amp;" "&amp;Validation[[#This Row],[Uncert_Units]]</f>
        <v>0.78 °F</v>
      </c>
      <c r="U10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V1059" t="b">
        <f ca="1">Validation[[#This Row],[Desired Result]]=Validation[[#This Row],[Result]]</f>
        <v>1</v>
      </c>
      <c r="W1059" t="b">
        <v>1</v>
      </c>
      <c r="X1059" t="b">
        <f>Validation[[#This Row],[Range1_Low]]&gt;=Validation[[#This Row],[Range1_High]]</f>
        <v>0</v>
      </c>
      <c r="Y1059" s="111" t="s">
        <v>2843</v>
      </c>
    </row>
    <row r="1060" spans="1:25" ht="16.5" thickTop="1" thickBot="1" x14ac:dyDescent="0.3">
      <c r="A1060" t="s">
        <v>54</v>
      </c>
      <c r="B1060" t="s">
        <v>87</v>
      </c>
      <c r="C1060" s="113">
        <v>752</v>
      </c>
      <c r="D1060" s="113">
        <v>1166.0999999999999</v>
      </c>
      <c r="E1060">
        <v>0.1</v>
      </c>
      <c r="F1060" t="s">
        <v>26</v>
      </c>
      <c r="G1060" t="s">
        <v>26</v>
      </c>
      <c r="H1060">
        <v>0</v>
      </c>
      <c r="I1060">
        <v>0</v>
      </c>
      <c r="J1060" t="s">
        <v>2833</v>
      </c>
      <c r="K1060">
        <v>0.45987010699999997</v>
      </c>
      <c r="L1060">
        <v>0</v>
      </c>
      <c r="M1060">
        <v>0.44683415799999998</v>
      </c>
      <c r="N1060">
        <v>0</v>
      </c>
      <c r="O1060" t="s">
        <v>2833</v>
      </c>
      <c r="P1060" t="s">
        <v>2833</v>
      </c>
      <c r="Q1060" t="s">
        <v>166</v>
      </c>
      <c r="R1060">
        <f ca="1">RAND()*(Validation[[#This Row],[Range1_High]]-Validation[[#This Row],[Range1_Low]])+Validation[[#This Row],[Range1_Low]]</f>
        <v>909.02066571928231</v>
      </c>
      <c r="S1060">
        <f>Validation[[#This Row],[Range2_High]]</f>
        <v>0</v>
      </c>
      <c r="T1060" t="str" cm="1">
        <f t="array" aca="1" ref="T1060" ca="1">RoundToTwoSigFigs(Validation[[#This Row],[Test Reading]]*Validation[[#This Row],[Mult]]+Validation[[#This Row],[Base]]) &amp;" "&amp;Validation[[#This Row],[Uncert_Units]]</f>
        <v>0.46 °F</v>
      </c>
      <c r="U10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V1060" t="b">
        <f ca="1">Validation[[#This Row],[Desired Result]]=Validation[[#This Row],[Result]]</f>
        <v>1</v>
      </c>
      <c r="W1060" t="b">
        <v>1</v>
      </c>
      <c r="X1060" t="b">
        <f>Validation[[#This Row],[Range1_Low]]&gt;=Validation[[#This Row],[Range1_High]]</f>
        <v>0</v>
      </c>
      <c r="Y1060" s="111" t="s">
        <v>2843</v>
      </c>
    </row>
    <row r="1061" spans="1:25" ht="16.5" thickTop="1" thickBot="1" x14ac:dyDescent="0.3">
      <c r="A1061" t="s">
        <v>55</v>
      </c>
      <c r="B1061" t="s">
        <v>87</v>
      </c>
      <c r="C1061">
        <v>-320</v>
      </c>
      <c r="D1061">
        <v>32</v>
      </c>
      <c r="E1061">
        <v>1</v>
      </c>
      <c r="F1061" t="s">
        <v>26</v>
      </c>
      <c r="G1061" t="s">
        <v>26</v>
      </c>
      <c r="H1061">
        <v>0</v>
      </c>
      <c r="I1061">
        <v>0</v>
      </c>
      <c r="J1061" t="s">
        <v>2833</v>
      </c>
      <c r="K1061">
        <v>0.57803718000000004</v>
      </c>
      <c r="L1061">
        <v>0</v>
      </c>
      <c r="M1061">
        <v>0.57742015999999996</v>
      </c>
      <c r="N1061">
        <v>0</v>
      </c>
      <c r="O1061" t="s">
        <v>2833</v>
      </c>
      <c r="P1061" t="s">
        <v>2833</v>
      </c>
      <c r="Q1061" t="s">
        <v>166</v>
      </c>
      <c r="R1061">
        <f ca="1">RAND()*(Validation[[#This Row],[Range1_High]]-Validation[[#This Row],[Range1_Low]])+Validation[[#This Row],[Range1_Low]]</f>
        <v>-282.14051961441839</v>
      </c>
      <c r="S1061">
        <f>Validation[[#This Row],[Range2_High]]</f>
        <v>0</v>
      </c>
      <c r="T1061" t="str" cm="1">
        <f t="array" aca="1" ref="T1061" ca="1">RoundToTwoSigFigs(Validation[[#This Row],[Test Reading]]*Validation[[#This Row],[Mult]]+Validation[[#This Row],[Base]]) &amp;" "&amp;Validation[[#This Row],[Uncert_Units]]</f>
        <v>0.58 °F</v>
      </c>
      <c r="U10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1061" t="b">
        <f ca="1">Validation[[#This Row],[Desired Result]]=Validation[[#This Row],[Result]]</f>
        <v>1</v>
      </c>
      <c r="W1061" t="b">
        <v>0</v>
      </c>
      <c r="X1061" t="b">
        <f>Validation[[#This Row],[Range1_Low]]&gt;=Validation[[#This Row],[Range1_High]]</f>
        <v>0</v>
      </c>
      <c r="Y1061" s="111" t="s">
        <v>2845</v>
      </c>
    </row>
    <row r="1062" spans="1:25" ht="16.5" thickTop="1" thickBot="1" x14ac:dyDescent="0.3">
      <c r="A1062" t="s">
        <v>54</v>
      </c>
      <c r="B1062" t="s">
        <v>87</v>
      </c>
      <c r="C1062" s="113">
        <v>32</v>
      </c>
      <c r="D1062" s="113">
        <v>212.1</v>
      </c>
      <c r="E1062">
        <v>1</v>
      </c>
      <c r="F1062" t="s">
        <v>26</v>
      </c>
      <c r="G1062" t="s">
        <v>26</v>
      </c>
      <c r="H1062">
        <v>0</v>
      </c>
      <c r="I1062">
        <v>0</v>
      </c>
      <c r="J1062" t="s">
        <v>2833</v>
      </c>
      <c r="K1062">
        <v>0.611006049</v>
      </c>
      <c r="L1062">
        <v>0</v>
      </c>
      <c r="M1062">
        <v>0.59894583000000001</v>
      </c>
      <c r="N1062">
        <v>0</v>
      </c>
      <c r="O1062" t="s">
        <v>2833</v>
      </c>
      <c r="P1062" t="s">
        <v>2833</v>
      </c>
      <c r="Q1062" t="s">
        <v>166</v>
      </c>
      <c r="R1062">
        <f ca="1">RAND()*(Validation[[#This Row],[Range1_High]]-Validation[[#This Row],[Range1_Low]])+Validation[[#This Row],[Range1_Low]]</f>
        <v>187.66521501309919</v>
      </c>
      <c r="S1062">
        <f>Validation[[#This Row],[Range2_High]]</f>
        <v>0</v>
      </c>
      <c r="T1062" t="str" cm="1">
        <f t="array" aca="1" ref="T1062" ca="1">RoundToTwoSigFigs(Validation[[#This Row],[Test Reading]]*Validation[[#This Row],[Mult]]+Validation[[#This Row],[Base]]) &amp;" "&amp;Validation[[#This Row],[Uncert_Units]]</f>
        <v>0.61 °F</v>
      </c>
      <c r="U10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1062" t="b">
        <f ca="1">Validation[[#This Row],[Desired Result]]=Validation[[#This Row],[Result]]</f>
        <v>1</v>
      </c>
      <c r="W1062" t="b">
        <v>1</v>
      </c>
      <c r="X1062" t="b">
        <f>Validation[[#This Row],[Range1_Low]]&gt;=Validation[[#This Row],[Range1_High]]</f>
        <v>0</v>
      </c>
      <c r="Y1062" s="111" t="s">
        <v>2843</v>
      </c>
    </row>
    <row r="1063" spans="1:25" ht="15.75" thickTop="1" x14ac:dyDescent="0.25">
      <c r="A1063" t="s">
        <v>54</v>
      </c>
      <c r="B1063" t="s">
        <v>87</v>
      </c>
      <c r="C1063">
        <v>-328</v>
      </c>
      <c r="D1063">
        <v>32.1</v>
      </c>
      <c r="E1063">
        <v>1</v>
      </c>
      <c r="F1063" t="s">
        <v>26</v>
      </c>
      <c r="G1063" t="s">
        <v>26</v>
      </c>
      <c r="H1063">
        <v>0</v>
      </c>
      <c r="I1063">
        <v>0</v>
      </c>
      <c r="J1063" t="s">
        <v>2833</v>
      </c>
      <c r="K1063">
        <v>0.60123441600000005</v>
      </c>
      <c r="L1063">
        <v>0</v>
      </c>
      <c r="M1063">
        <v>0.58897414100000001</v>
      </c>
      <c r="N1063">
        <v>0</v>
      </c>
      <c r="O1063" t="s">
        <v>2833</v>
      </c>
      <c r="P1063" t="s">
        <v>2833</v>
      </c>
      <c r="Q1063" t="s">
        <v>166</v>
      </c>
      <c r="R1063">
        <f ca="1">RAND()*(Validation[[#This Row],[Range1_High]]-Validation[[#This Row],[Range1_Low]])+Validation[[#This Row],[Range1_Low]]</f>
        <v>-147.51140515744038</v>
      </c>
      <c r="S1063">
        <f>Validation[[#This Row],[Range2_High]]</f>
        <v>0</v>
      </c>
      <c r="T1063" t="str" cm="1">
        <f t="array" aca="1" ref="T1063" ca="1">RoundToTwoSigFigs(Validation[[#This Row],[Test Reading]]*Validation[[#This Row],[Mult]]+Validation[[#This Row],[Base]]) &amp;" "&amp;Validation[[#This Row],[Uncert_Units]]</f>
        <v>0.6 °F</v>
      </c>
      <c r="U10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1063" t="b">
        <f ca="1">Validation[[#This Row],[Desired Result]]=Validation[[#This Row],[Result]]</f>
        <v>1</v>
      </c>
      <c r="W1063" t="b">
        <v>0</v>
      </c>
      <c r="X1063" t="b">
        <f>Validation[[#This Row],[Range1_Low]]&gt;=Validation[[#This Row],[Range1_High]]</f>
        <v>0</v>
      </c>
      <c r="Y1063" s="111" t="s">
        <v>2845</v>
      </c>
    </row>
    <row r="1064" spans="1:25" ht="15.75" thickBot="1" x14ac:dyDescent="0.3">
      <c r="A1064" t="s">
        <v>55</v>
      </c>
      <c r="B1064" t="s">
        <v>87</v>
      </c>
      <c r="C1064">
        <v>800.00099999999998</v>
      </c>
      <c r="D1064">
        <v>1200</v>
      </c>
      <c r="E1064">
        <v>0.1</v>
      </c>
      <c r="F1064" t="s">
        <v>26</v>
      </c>
      <c r="G1064" t="s">
        <v>26</v>
      </c>
      <c r="H1064">
        <v>0</v>
      </c>
      <c r="I1064">
        <v>0</v>
      </c>
      <c r="J1064" t="s">
        <v>2833</v>
      </c>
      <c r="K1064">
        <v>6.5033530000000006E-2</v>
      </c>
      <c r="L1064">
        <v>0</v>
      </c>
      <c r="M1064">
        <v>6.3095644000000006E-2</v>
      </c>
      <c r="N1064">
        <v>0</v>
      </c>
      <c r="O1064" t="s">
        <v>2833</v>
      </c>
      <c r="P1064" t="s">
        <v>2833</v>
      </c>
      <c r="Q1064" t="s">
        <v>166</v>
      </c>
      <c r="R1064">
        <f ca="1">RAND()*(Validation[[#This Row],[Range1_High]]-Validation[[#This Row],[Range1_Low]])+Validation[[#This Row],[Range1_Low]]</f>
        <v>823.87661358507171</v>
      </c>
      <c r="S1064">
        <f>Validation[[#This Row],[Range2_High]]</f>
        <v>0</v>
      </c>
      <c r="T1064" t="str" cm="1">
        <f t="array" aca="1" ref="T1064" ca="1">RoundToTwoSigFigs(Validation[[#This Row],[Test Reading]]*Validation[[#This Row],[Mult]]+Validation[[#This Row],[Base]]) &amp;" "&amp;Validation[[#This Row],[Uncert_Units]]</f>
        <v>0.065 °F</v>
      </c>
      <c r="U10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V1064" t="b">
        <f ca="1">Validation[[#This Row],[Desired Result]]=Validation[[#This Row],[Result]]</f>
        <v>1</v>
      </c>
      <c r="W1064" t="b">
        <v>0</v>
      </c>
      <c r="X1064" t="b">
        <f>Validation[[#This Row],[Range1_Low]]&gt;=Validation[[#This Row],[Range1_High]]</f>
        <v>0</v>
      </c>
      <c r="Y1064" s="111" t="s">
        <v>2845</v>
      </c>
    </row>
    <row r="1065" spans="1:25" ht="16.5" thickTop="1" thickBot="1" x14ac:dyDescent="0.3">
      <c r="A1065" t="s">
        <v>54</v>
      </c>
      <c r="B1065" t="s">
        <v>87</v>
      </c>
      <c r="C1065" s="113">
        <v>572</v>
      </c>
      <c r="D1065" s="113">
        <v>752.1</v>
      </c>
      <c r="E1065">
        <v>1</v>
      </c>
      <c r="F1065" t="s">
        <v>26</v>
      </c>
      <c r="G1065" t="s">
        <v>26</v>
      </c>
      <c r="H1065">
        <v>0</v>
      </c>
      <c r="I1065">
        <v>0</v>
      </c>
      <c r="J1065" t="s">
        <v>2833</v>
      </c>
      <c r="K1065">
        <v>0.63118059900000001</v>
      </c>
      <c r="L1065">
        <v>0</v>
      </c>
      <c r="M1065">
        <v>0.61951324699999999</v>
      </c>
      <c r="N1065">
        <v>0</v>
      </c>
      <c r="O1065" t="s">
        <v>2833</v>
      </c>
      <c r="P1065" t="s">
        <v>2833</v>
      </c>
      <c r="Q1065" t="s">
        <v>166</v>
      </c>
      <c r="R1065">
        <f ca="1">RAND()*(Validation[[#This Row],[Range1_High]]-Validation[[#This Row],[Range1_Low]])+Validation[[#This Row],[Range1_Low]]</f>
        <v>591.31832194012486</v>
      </c>
      <c r="S1065">
        <f>Validation[[#This Row],[Range2_High]]</f>
        <v>0</v>
      </c>
      <c r="T1065" t="str" cm="1">
        <f t="array" aca="1" ref="T1065" ca="1">RoundToTwoSigFigs(Validation[[#This Row],[Test Reading]]*Validation[[#This Row],[Mult]]+Validation[[#This Row],[Base]]) &amp;" "&amp;Validation[[#This Row],[Uncert_Units]]</f>
        <v>0.63 °F</v>
      </c>
      <c r="U10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V1065" t="b">
        <f ca="1">Validation[[#This Row],[Desired Result]]=Validation[[#This Row],[Result]]</f>
        <v>1</v>
      </c>
      <c r="W1065" t="b">
        <v>1</v>
      </c>
      <c r="X1065" t="b">
        <f>Validation[[#This Row],[Range1_Low]]&gt;=Validation[[#This Row],[Range1_High]]</f>
        <v>0</v>
      </c>
      <c r="Y1065" s="111" t="s">
        <v>2843</v>
      </c>
    </row>
    <row r="1066" spans="1:25" ht="15.75" thickTop="1" x14ac:dyDescent="0.25">
      <c r="A1066" t="s">
        <v>55</v>
      </c>
      <c r="B1066" t="s">
        <v>87</v>
      </c>
      <c r="C1066">
        <v>-320</v>
      </c>
      <c r="D1066">
        <v>32</v>
      </c>
      <c r="E1066">
        <v>0.01</v>
      </c>
      <c r="F1066" t="s">
        <v>26</v>
      </c>
      <c r="G1066" t="s">
        <v>26</v>
      </c>
      <c r="H1066">
        <v>0</v>
      </c>
      <c r="I1066">
        <v>0</v>
      </c>
      <c r="J1066" t="s">
        <v>2833</v>
      </c>
      <c r="K1066">
        <v>1.2999999999999999E-2</v>
      </c>
      <c r="L1066">
        <v>0</v>
      </c>
      <c r="M1066">
        <v>1.0679012999999999E-2</v>
      </c>
      <c r="N1066">
        <v>0</v>
      </c>
      <c r="O1066" t="s">
        <v>2833</v>
      </c>
      <c r="P1066" t="s">
        <v>2833</v>
      </c>
      <c r="Q1066" t="s">
        <v>166</v>
      </c>
      <c r="R1066">
        <f ca="1">RAND()*(Validation[[#This Row],[Range1_High]]-Validation[[#This Row],[Range1_Low]])+Validation[[#This Row],[Range1_Low]]</f>
        <v>-31.33932367672395</v>
      </c>
      <c r="S1066">
        <f>Validation[[#This Row],[Range2_High]]</f>
        <v>0</v>
      </c>
      <c r="T1066" t="str" cm="1">
        <f t="array" aca="1" ref="T1066" ca="1">RoundToTwoSigFigs(Validation[[#This Row],[Test Reading]]*Validation[[#This Row],[Mult]]+Validation[[#This Row],[Base]]) &amp;" "&amp;Validation[[#This Row],[Uncert_Units]]</f>
        <v>0.013 °F</v>
      </c>
      <c r="U10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V1066" t="b">
        <f ca="1">Validation[[#This Row],[Desired Result]]=Validation[[#This Row],[Result]]</f>
        <v>1</v>
      </c>
      <c r="W1066" t="b">
        <v>0</v>
      </c>
      <c r="X1066" t="b">
        <f>Validation[[#This Row],[Range1_Low]]&gt;=Validation[[#This Row],[Range1_High]]</f>
        <v>0</v>
      </c>
      <c r="Y1066" s="111" t="s">
        <v>2845</v>
      </c>
    </row>
    <row r="1067" spans="1:25" ht="15.75" thickBot="1" x14ac:dyDescent="0.3">
      <c r="A1067" t="s">
        <v>54</v>
      </c>
      <c r="B1067" t="s">
        <v>88</v>
      </c>
      <c r="C1067">
        <v>212</v>
      </c>
      <c r="D1067">
        <v>500.1</v>
      </c>
      <c r="E1067">
        <v>1</v>
      </c>
      <c r="F1067" t="s">
        <v>26</v>
      </c>
      <c r="G1067" t="s">
        <v>26</v>
      </c>
      <c r="H1067">
        <v>0</v>
      </c>
      <c r="I1067">
        <v>0</v>
      </c>
      <c r="J1067" t="s">
        <v>2833</v>
      </c>
      <c r="K1067">
        <v>0.59860734800000004</v>
      </c>
      <c r="L1067">
        <v>0</v>
      </c>
      <c r="M1067">
        <v>0.58629213899999999</v>
      </c>
      <c r="N1067">
        <v>0</v>
      </c>
      <c r="O1067" t="s">
        <v>2833</v>
      </c>
      <c r="P1067" t="s">
        <v>2833</v>
      </c>
      <c r="Q1067" t="s">
        <v>167</v>
      </c>
      <c r="R1067">
        <f ca="1">RAND()*(Validation[[#This Row],[Range1_High]]-Validation[[#This Row],[Range1_Low]])+Validation[[#This Row],[Range1_Low]]</f>
        <v>496.98977939621454</v>
      </c>
      <c r="S1067">
        <f>Validation[[#This Row],[Range2_High]]</f>
        <v>0</v>
      </c>
      <c r="T1067" t="str" cm="1">
        <f t="array" aca="1" ref="T1067" ca="1">RoundToTwoSigFigs(Validation[[#This Row],[Test Reading]]*Validation[[#This Row],[Mult]]+Validation[[#This Row],[Base]]) &amp;" "&amp;Validation[[#This Row],[Uncert_Units]]</f>
        <v>0.6 °F</v>
      </c>
      <c r="U10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1067" t="b">
        <f ca="1">Validation[[#This Row],[Desired Result]]=Validation[[#This Row],[Result]]</f>
        <v>1</v>
      </c>
      <c r="W1067" t="b">
        <v>0</v>
      </c>
      <c r="X1067" t="b">
        <f>Validation[[#This Row],[Range1_Low]]&gt;=Validation[[#This Row],[Range1_High]]</f>
        <v>0</v>
      </c>
      <c r="Y1067" s="111" t="s">
        <v>2845</v>
      </c>
    </row>
    <row r="1068" spans="1:25" ht="16.5" thickTop="1" thickBot="1" x14ac:dyDescent="0.3">
      <c r="A1068" t="s">
        <v>54</v>
      </c>
      <c r="B1068" t="s">
        <v>88</v>
      </c>
      <c r="C1068" s="113">
        <v>752</v>
      </c>
      <c r="D1068" s="113">
        <v>1112.0999999999999</v>
      </c>
      <c r="E1068">
        <v>1</v>
      </c>
      <c r="F1068" t="s">
        <v>26</v>
      </c>
      <c r="G1068" t="s">
        <v>26</v>
      </c>
      <c r="H1068">
        <v>0</v>
      </c>
      <c r="I1068">
        <v>0</v>
      </c>
      <c r="J1068" t="s">
        <v>2833</v>
      </c>
      <c r="K1068">
        <v>0.61664706700000005</v>
      </c>
      <c r="L1068">
        <v>0</v>
      </c>
      <c r="M1068">
        <v>0.60469936400000002</v>
      </c>
      <c r="N1068">
        <v>0</v>
      </c>
      <c r="O1068" t="s">
        <v>2833</v>
      </c>
      <c r="P1068" t="s">
        <v>2833</v>
      </c>
      <c r="Q1068" t="s">
        <v>167</v>
      </c>
      <c r="R1068">
        <f ca="1">RAND()*(Validation[[#This Row],[Range1_High]]-Validation[[#This Row],[Range1_Low]])+Validation[[#This Row],[Range1_Low]]</f>
        <v>798.3935225738885</v>
      </c>
      <c r="S1068">
        <f>Validation[[#This Row],[Range2_High]]</f>
        <v>0</v>
      </c>
      <c r="T1068" t="str" cm="1">
        <f t="array" aca="1" ref="T1068" ca="1">RoundToTwoSigFigs(Validation[[#This Row],[Test Reading]]*Validation[[#This Row],[Mult]]+Validation[[#This Row],[Base]]) &amp;" "&amp;Validation[[#This Row],[Uncert_Units]]</f>
        <v>0.62 °F</v>
      </c>
      <c r="U10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V1068" t="b">
        <f ca="1">Validation[[#This Row],[Desired Result]]=Validation[[#This Row],[Result]]</f>
        <v>1</v>
      </c>
      <c r="W1068" t="b">
        <v>1</v>
      </c>
      <c r="X1068" t="b">
        <f>Validation[[#This Row],[Range1_Low]]&gt;=Validation[[#This Row],[Range1_High]]</f>
        <v>0</v>
      </c>
      <c r="Y1068" s="111" t="s">
        <v>2843</v>
      </c>
    </row>
    <row r="1069" spans="1:25" ht="16.5" thickTop="1" thickBot="1" x14ac:dyDescent="0.3">
      <c r="A1069" t="s">
        <v>54</v>
      </c>
      <c r="B1069" t="s">
        <v>88</v>
      </c>
      <c r="C1069" s="113">
        <v>1112</v>
      </c>
      <c r="D1069" s="113">
        <v>1166</v>
      </c>
      <c r="E1069">
        <v>1</v>
      </c>
      <c r="F1069" t="s">
        <v>26</v>
      </c>
      <c r="G1069" t="s">
        <v>26</v>
      </c>
      <c r="H1069">
        <v>0</v>
      </c>
      <c r="I1069">
        <v>0</v>
      </c>
      <c r="J1069" t="s">
        <v>2833</v>
      </c>
      <c r="K1069">
        <v>1.026249266</v>
      </c>
      <c r="L1069">
        <v>0</v>
      </c>
      <c r="M1069">
        <v>1.019114946</v>
      </c>
      <c r="N1069">
        <v>0</v>
      </c>
      <c r="O1069" t="s">
        <v>2833</v>
      </c>
      <c r="P1069" t="s">
        <v>2833</v>
      </c>
      <c r="Q1069" t="s">
        <v>167</v>
      </c>
      <c r="R1069">
        <f ca="1">RAND()*(Validation[[#This Row],[Range1_High]]-Validation[[#This Row],[Range1_Low]])+Validation[[#This Row],[Range1_Low]]</f>
        <v>1118.3121022627463</v>
      </c>
      <c r="S1069">
        <f>Validation[[#This Row],[Range2_High]]</f>
        <v>0</v>
      </c>
      <c r="T1069" t="str" cm="1">
        <f t="array" aca="1" ref="T1069" ca="1">RoundToTwoSigFigs(Validation[[#This Row],[Test Reading]]*Validation[[#This Row],[Mult]]+Validation[[#This Row],[Base]]) &amp;" "&amp;Validation[[#This Row],[Uncert_Units]]</f>
        <v>1 °F</v>
      </c>
      <c r="U10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V1069" t="b">
        <f ca="1">Validation[[#This Row],[Desired Result]]=Validation[[#This Row],[Result]]</f>
        <v>1</v>
      </c>
      <c r="W1069" t="b">
        <v>1</v>
      </c>
      <c r="X1069" t="b">
        <f>Validation[[#This Row],[Range1_Low]]&gt;=Validation[[#This Row],[Range1_High]]</f>
        <v>0</v>
      </c>
      <c r="Y1069" s="111" t="s">
        <v>2843</v>
      </c>
    </row>
    <row r="1070" spans="1:25" ht="16.5" thickTop="1" thickBot="1" x14ac:dyDescent="0.3">
      <c r="A1070" t="s">
        <v>54</v>
      </c>
      <c r="B1070" t="s">
        <v>88</v>
      </c>
      <c r="C1070" s="113">
        <v>572</v>
      </c>
      <c r="D1070" s="113">
        <v>752.1</v>
      </c>
      <c r="E1070">
        <v>0.1</v>
      </c>
      <c r="F1070" t="s">
        <v>26</v>
      </c>
      <c r="G1070" t="s">
        <v>26</v>
      </c>
      <c r="H1070">
        <v>0</v>
      </c>
      <c r="I1070">
        <v>0</v>
      </c>
      <c r="J1070" t="s">
        <v>2833</v>
      </c>
      <c r="K1070">
        <v>0.29342095699999998</v>
      </c>
      <c r="L1070">
        <v>0</v>
      </c>
      <c r="M1070">
        <v>0.27253643399999999</v>
      </c>
      <c r="N1070">
        <v>0</v>
      </c>
      <c r="O1070" t="s">
        <v>2833</v>
      </c>
      <c r="P1070" t="s">
        <v>2833</v>
      </c>
      <c r="Q1070" t="s">
        <v>167</v>
      </c>
      <c r="R1070">
        <f ca="1">RAND()*(Validation[[#This Row],[Range1_High]]-Validation[[#This Row],[Range1_Low]])+Validation[[#This Row],[Range1_Low]]</f>
        <v>634.47583090037983</v>
      </c>
      <c r="S1070">
        <f>Validation[[#This Row],[Range2_High]]</f>
        <v>0</v>
      </c>
      <c r="T1070" t="str" cm="1">
        <f t="array" aca="1" ref="T1070" ca="1">RoundToTwoSigFigs(Validation[[#This Row],[Test Reading]]*Validation[[#This Row],[Mult]]+Validation[[#This Row],[Base]]) &amp;" "&amp;Validation[[#This Row],[Uncert_Units]]</f>
        <v>0.29 °F</v>
      </c>
      <c r="U10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V1070" t="b">
        <f ca="1">Validation[[#This Row],[Desired Result]]=Validation[[#This Row],[Result]]</f>
        <v>1</v>
      </c>
      <c r="W1070" t="b">
        <v>1</v>
      </c>
      <c r="X1070" t="b">
        <f>Validation[[#This Row],[Range1_Low]]&gt;=Validation[[#This Row],[Range1_High]]</f>
        <v>0</v>
      </c>
      <c r="Y1070" s="111" t="s">
        <v>2843</v>
      </c>
    </row>
    <row r="1071" spans="1:25" ht="16.5" thickTop="1" thickBot="1" x14ac:dyDescent="0.3">
      <c r="A1071" t="s">
        <v>54</v>
      </c>
      <c r="B1071" t="s">
        <v>88</v>
      </c>
      <c r="C1071" s="113">
        <v>1112</v>
      </c>
      <c r="D1071" s="113">
        <v>1166</v>
      </c>
      <c r="E1071">
        <v>0.1</v>
      </c>
      <c r="F1071" t="s">
        <v>26</v>
      </c>
      <c r="G1071" t="s">
        <v>26</v>
      </c>
      <c r="H1071">
        <v>0</v>
      </c>
      <c r="I1071">
        <v>0</v>
      </c>
      <c r="J1071" t="s">
        <v>2833</v>
      </c>
      <c r="K1071">
        <v>0.84698905999999996</v>
      </c>
      <c r="L1071">
        <v>0</v>
      </c>
      <c r="M1071">
        <v>0.83998256900000001</v>
      </c>
      <c r="N1071">
        <v>0</v>
      </c>
      <c r="O1071" t="s">
        <v>2833</v>
      </c>
      <c r="P1071" t="s">
        <v>2833</v>
      </c>
      <c r="Q1071" t="s">
        <v>167</v>
      </c>
      <c r="R1071">
        <f ca="1">RAND()*(Validation[[#This Row],[Range1_High]]-Validation[[#This Row],[Range1_Low]])+Validation[[#This Row],[Range1_Low]]</f>
        <v>1123.5606944800561</v>
      </c>
      <c r="S1071">
        <f>Validation[[#This Row],[Range2_High]]</f>
        <v>0</v>
      </c>
      <c r="T1071" t="str" cm="1">
        <f t="array" aca="1" ref="T1071" ca="1">RoundToTwoSigFigs(Validation[[#This Row],[Test Reading]]*Validation[[#This Row],[Mult]]+Validation[[#This Row],[Base]]) &amp;" "&amp;Validation[[#This Row],[Uncert_Units]]</f>
        <v>0.85 °F</v>
      </c>
      <c r="U10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V1071" t="b">
        <f ca="1">Validation[[#This Row],[Desired Result]]=Validation[[#This Row],[Result]]</f>
        <v>1</v>
      </c>
      <c r="W1071" t="b">
        <v>1</v>
      </c>
      <c r="X1071" t="b">
        <f>Validation[[#This Row],[Range1_Low]]&gt;=Validation[[#This Row],[Range1_High]]</f>
        <v>0</v>
      </c>
      <c r="Y1071" s="111" t="s">
        <v>2843</v>
      </c>
    </row>
    <row r="1072" spans="1:25" ht="16.5" thickTop="1" thickBot="1" x14ac:dyDescent="0.3">
      <c r="A1072" t="s">
        <v>55</v>
      </c>
      <c r="B1072" t="s">
        <v>88</v>
      </c>
      <c r="C1072">
        <v>800.00099999999998</v>
      </c>
      <c r="D1072">
        <v>1200</v>
      </c>
      <c r="E1072">
        <v>1</v>
      </c>
      <c r="F1072" t="s">
        <v>26</v>
      </c>
      <c r="G1072" t="s">
        <v>26</v>
      </c>
      <c r="H1072">
        <v>0</v>
      </c>
      <c r="I1072">
        <v>0</v>
      </c>
      <c r="J1072" t="s">
        <v>2833</v>
      </c>
      <c r="K1072">
        <v>0.57876114099999998</v>
      </c>
      <c r="L1072">
        <v>0</v>
      </c>
      <c r="M1072">
        <v>0.57790246599999995</v>
      </c>
      <c r="N1072">
        <v>0</v>
      </c>
      <c r="O1072" t="s">
        <v>2833</v>
      </c>
      <c r="P1072" t="s">
        <v>2833</v>
      </c>
      <c r="Q1072" t="s">
        <v>167</v>
      </c>
      <c r="R1072">
        <f ca="1">RAND()*(Validation[[#This Row],[Range1_High]]-Validation[[#This Row],[Range1_Low]])+Validation[[#This Row],[Range1_Low]]</f>
        <v>997.4769095300951</v>
      </c>
      <c r="S1072">
        <f>Validation[[#This Row],[Range2_High]]</f>
        <v>0</v>
      </c>
      <c r="T1072" t="str" cm="1">
        <f t="array" aca="1" ref="T1072" ca="1">RoundToTwoSigFigs(Validation[[#This Row],[Test Reading]]*Validation[[#This Row],[Mult]]+Validation[[#This Row],[Base]]) &amp;" "&amp;Validation[[#This Row],[Uncert_Units]]</f>
        <v>0.58 °F</v>
      </c>
      <c r="U10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1072" t="b">
        <f ca="1">Validation[[#This Row],[Desired Result]]=Validation[[#This Row],[Result]]</f>
        <v>1</v>
      </c>
      <c r="W1072" t="b">
        <v>0</v>
      </c>
      <c r="X1072" t="b">
        <f>Validation[[#This Row],[Range1_Low]]&gt;=Validation[[#This Row],[Range1_High]]</f>
        <v>0</v>
      </c>
      <c r="Y1072" s="111" t="s">
        <v>2845</v>
      </c>
    </row>
    <row r="1073" spans="1:25" ht="16.5" thickTop="1" thickBot="1" x14ac:dyDescent="0.3">
      <c r="A1073" t="s">
        <v>54</v>
      </c>
      <c r="B1073" t="s">
        <v>88</v>
      </c>
      <c r="C1073" s="113">
        <v>752</v>
      </c>
      <c r="D1073" s="113">
        <v>1112.0999999999999</v>
      </c>
      <c r="E1073">
        <v>0.1</v>
      </c>
      <c r="F1073" t="s">
        <v>26</v>
      </c>
      <c r="G1073" t="s">
        <v>26</v>
      </c>
      <c r="H1073">
        <v>0</v>
      </c>
      <c r="I1073">
        <v>0</v>
      </c>
      <c r="J1073" t="s">
        <v>2833</v>
      </c>
      <c r="K1073">
        <v>0.29725496600000001</v>
      </c>
      <c r="L1073">
        <v>0</v>
      </c>
      <c r="M1073">
        <v>0.27666001600000001</v>
      </c>
      <c r="N1073">
        <v>0</v>
      </c>
      <c r="O1073" t="s">
        <v>2833</v>
      </c>
      <c r="P1073" t="s">
        <v>2833</v>
      </c>
      <c r="Q1073" t="s">
        <v>167</v>
      </c>
      <c r="R1073">
        <f ca="1">RAND()*(Validation[[#This Row],[Range1_High]]-Validation[[#This Row],[Range1_Low]])+Validation[[#This Row],[Range1_Low]]</f>
        <v>1083.5446852517609</v>
      </c>
      <c r="S1073">
        <f>Validation[[#This Row],[Range2_High]]</f>
        <v>0</v>
      </c>
      <c r="T1073" t="str" cm="1">
        <f t="array" aca="1" ref="T1073" ca="1">RoundToTwoSigFigs(Validation[[#This Row],[Test Reading]]*Validation[[#This Row],[Mult]]+Validation[[#This Row],[Base]]) &amp;" "&amp;Validation[[#This Row],[Uncert_Units]]</f>
        <v>0.3 °F</v>
      </c>
      <c r="U10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V1073" t="b">
        <f ca="1">Validation[[#This Row],[Desired Result]]=Validation[[#This Row],[Result]]</f>
        <v>1</v>
      </c>
      <c r="W1073" t="b">
        <v>1</v>
      </c>
      <c r="X1073" t="b">
        <f>Validation[[#This Row],[Range1_Low]]&gt;=Validation[[#This Row],[Range1_High]]</f>
        <v>0</v>
      </c>
      <c r="Y1073" s="111" t="s">
        <v>2843</v>
      </c>
    </row>
    <row r="1074" spans="1:25" ht="16.5" thickTop="1" thickBot="1" x14ac:dyDescent="0.3">
      <c r="A1074" t="s">
        <v>54</v>
      </c>
      <c r="B1074" t="s">
        <v>98</v>
      </c>
      <c r="C1074" s="115">
        <v>24500</v>
      </c>
      <c r="D1074" s="115">
        <v>24500</v>
      </c>
      <c r="E1074">
        <v>10000</v>
      </c>
      <c r="F1074" t="s">
        <v>100</v>
      </c>
      <c r="G1074" t="s">
        <v>100</v>
      </c>
      <c r="H1074">
        <v>0</v>
      </c>
      <c r="I1074">
        <v>0</v>
      </c>
      <c r="J1074" t="s">
        <v>2833</v>
      </c>
      <c r="K1074">
        <v>0</v>
      </c>
      <c r="L1074">
        <v>5.4410999999999999E-3</v>
      </c>
      <c r="M1074">
        <v>0</v>
      </c>
      <c r="N1074">
        <v>0</v>
      </c>
      <c r="O1074" t="s">
        <v>2833</v>
      </c>
      <c r="P1074" t="s">
        <v>2833</v>
      </c>
      <c r="Q1074" t="s">
        <v>2833</v>
      </c>
      <c r="R1074" s="100">
        <f ca="1">RAND()*(Validation[[#This Row],[Range1_High]]-Validation[[#This Row],[Range1_Low]])+Validation[[#This Row],[Range1_Low]]</f>
        <v>24500</v>
      </c>
      <c r="S1074">
        <f>Validation[[#This Row],[Range2_High]]</f>
        <v>0</v>
      </c>
      <c r="T1074" t="str" cm="1">
        <f t="array" aca="1" ref="T1074" ca="1">RoundToTwoSigFigs(Validation[[#This Row],[Test Reading]]*Validation[[#This Row],[Mult]]+Validation[[#This Row],[Base]]) &amp;" "&amp;Validation[[#This Row],[Uncert_Units]]</f>
        <v>130 WAC</v>
      </c>
      <c r="U10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1074" t="b">
        <f ca="1">Validation[[#This Row],[Desired Result]]=Validation[[#This Row],[Result]]</f>
        <v>0</v>
      </c>
      <c r="W1074" t="b">
        <v>1</v>
      </c>
      <c r="X1074" t="b">
        <f>Validation[[#This Row],[Range1_Low]]&gt;=Validation[[#This Row],[Range1_High]]</f>
        <v>1</v>
      </c>
      <c r="Y1074" s="111" t="s">
        <v>2842</v>
      </c>
    </row>
    <row r="1075" spans="1:25" ht="16.5" thickTop="1" thickBot="1" x14ac:dyDescent="0.3">
      <c r="A1075" t="s">
        <v>54</v>
      </c>
      <c r="B1075" t="s">
        <v>98</v>
      </c>
      <c r="C1075" s="113">
        <v>109</v>
      </c>
      <c r="D1075" s="113">
        <v>330.00009999999997</v>
      </c>
      <c r="E1075">
        <v>0.01</v>
      </c>
      <c r="F1075" t="s">
        <v>152</v>
      </c>
      <c r="G1075" t="s">
        <v>152</v>
      </c>
      <c r="H1075">
        <v>0</v>
      </c>
      <c r="I1075">
        <v>0</v>
      </c>
      <c r="J1075" t="s">
        <v>2833</v>
      </c>
      <c r="K1075">
        <v>0</v>
      </c>
      <c r="L1075">
        <v>1.5254999999999999E-4</v>
      </c>
      <c r="M1075">
        <v>0</v>
      </c>
      <c r="N1075">
        <v>0</v>
      </c>
      <c r="O1075" t="s">
        <v>2833</v>
      </c>
      <c r="P1075" t="s">
        <v>2833</v>
      </c>
      <c r="Q1075" t="s">
        <v>2833</v>
      </c>
      <c r="R1075">
        <f ca="1">RAND()*(Validation[[#This Row],[Range1_High]]-Validation[[#This Row],[Range1_Low]])+Validation[[#This Row],[Range1_Low]]</f>
        <v>279.0424629191798</v>
      </c>
      <c r="S1075">
        <f>Validation[[#This Row],[Range2_High]]</f>
        <v>0</v>
      </c>
      <c r="T1075" t="str" cm="1">
        <f t="array" aca="1" ref="T1075" ca="1">RoundToTwoSigFigs(Validation[[#This Row],[Test Reading]]*Validation[[#This Row],[Mult]]+Validation[[#This Row],[Base]]) &amp;" "&amp;Validation[[#This Row],[Uncert_Units]]</f>
        <v>0.043 W</v>
      </c>
      <c r="U10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</v>
      </c>
      <c r="V1075" t="b">
        <f ca="1">Validation[[#This Row],[Desired Result]]=Validation[[#This Row],[Result]]</f>
        <v>1</v>
      </c>
      <c r="W1075" t="b">
        <v>1</v>
      </c>
      <c r="X1075" t="b">
        <f>Validation[[#This Row],[Range1_Low]]&gt;=Validation[[#This Row],[Range1_High]]</f>
        <v>0</v>
      </c>
      <c r="Y1075" s="111" t="s">
        <v>2843</v>
      </c>
    </row>
    <row r="1076" spans="1:25" ht="16.5" thickTop="1" thickBot="1" x14ac:dyDescent="0.3">
      <c r="A1076" t="s">
        <v>54</v>
      </c>
      <c r="B1076" t="s">
        <v>98</v>
      </c>
      <c r="C1076" s="113">
        <v>3000</v>
      </c>
      <c r="D1076" s="113">
        <v>11000.1</v>
      </c>
      <c r="E1076">
        <v>10</v>
      </c>
      <c r="F1076" t="s">
        <v>152</v>
      </c>
      <c r="G1076" t="s">
        <v>152</v>
      </c>
      <c r="H1076">
        <v>0</v>
      </c>
      <c r="I1076">
        <v>0</v>
      </c>
      <c r="J1076" t="s">
        <v>2833</v>
      </c>
      <c r="K1076">
        <v>0</v>
      </c>
      <c r="L1076">
        <v>9.1E-4</v>
      </c>
      <c r="M1076">
        <v>0</v>
      </c>
      <c r="N1076">
        <v>0</v>
      </c>
      <c r="O1076" t="s">
        <v>2833</v>
      </c>
      <c r="P1076" t="s">
        <v>2833</v>
      </c>
      <c r="Q1076" t="s">
        <v>2833</v>
      </c>
      <c r="R1076">
        <f ca="1">RAND()*(Validation[[#This Row],[Range1_High]]-Validation[[#This Row],[Range1_Low]])+Validation[[#This Row],[Range1_Low]]</f>
        <v>5449.7046974684918</v>
      </c>
      <c r="S1076">
        <f>Validation[[#This Row],[Range2_High]]</f>
        <v>0</v>
      </c>
      <c r="T1076" t="str" cm="1">
        <f t="array" aca="1" ref="T1076" ca="1">RoundToTwoSigFigs(Validation[[#This Row],[Test Reading]]*Validation[[#This Row],[Mult]]+Validation[[#This Row],[Base]]) &amp;" "&amp;Validation[[#This Row],[Uncert_Units]]</f>
        <v>5 W</v>
      </c>
      <c r="U10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W</v>
      </c>
      <c r="V1076" t="b">
        <f ca="1">Validation[[#This Row],[Desired Result]]=Validation[[#This Row],[Result]]</f>
        <v>1</v>
      </c>
      <c r="W1076" t="b">
        <v>1</v>
      </c>
      <c r="X1076" t="b">
        <f>Validation[[#This Row],[Range1_Low]]&gt;=Validation[[#This Row],[Range1_High]]</f>
        <v>0</v>
      </c>
      <c r="Y1076" s="111" t="s">
        <v>2843</v>
      </c>
    </row>
    <row r="1077" spans="1:25" ht="16.5" thickTop="1" thickBot="1" x14ac:dyDescent="0.3">
      <c r="A1077" t="s">
        <v>54</v>
      </c>
      <c r="B1077" t="s">
        <v>98</v>
      </c>
      <c r="C1077">
        <v>0</v>
      </c>
      <c r="D1077">
        <v>1.0900000000000001E-4</v>
      </c>
      <c r="E1077">
        <v>9.9999999999999995E-8</v>
      </c>
      <c r="F1077" t="s">
        <v>152</v>
      </c>
      <c r="G1077" t="s">
        <v>152</v>
      </c>
      <c r="H1077">
        <v>0</v>
      </c>
      <c r="I1077">
        <v>0</v>
      </c>
      <c r="J1077" t="s">
        <v>2833</v>
      </c>
      <c r="K1077">
        <v>0</v>
      </c>
      <c r="L1077">
        <v>5.8110000000000002E-2</v>
      </c>
      <c r="M1077">
        <v>0</v>
      </c>
      <c r="N1077">
        <v>0</v>
      </c>
      <c r="O1077" t="s">
        <v>2833</v>
      </c>
      <c r="P1077" t="s">
        <v>2833</v>
      </c>
      <c r="Q1077" t="s">
        <v>2833</v>
      </c>
      <c r="R1077">
        <f ca="1">RAND()*(Validation[[#This Row],[Range1_High]]-Validation[[#This Row],[Range1_Low]])+Validation[[#This Row],[Range1_Low]]</f>
        <v>1.0068105345641104E-4</v>
      </c>
      <c r="S1077">
        <f>Validation[[#This Row],[Range2_High]]</f>
        <v>0</v>
      </c>
      <c r="T1077" t="str" cm="1">
        <f t="array" aca="1" ref="T1077" ca="1">RoundToTwoSigFigs(Validation[[#This Row],[Test Reading]]*Validation[[#This Row],[Mult]]+Validation[[#This Row],[Base]]) &amp;" "&amp;Validation[[#This Row],[Uncert_Units]]</f>
        <v>0.0000059 W</v>
      </c>
      <c r="U10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0.0000059 W</v>
      </c>
      <c r="V1077" t="b">
        <f ca="1">Validation[[#This Row],[Desired Result]]=Validation[[#This Row],[Result]]</f>
        <v>1</v>
      </c>
      <c r="W1077" t="b">
        <v>0</v>
      </c>
      <c r="X1077" t="b">
        <f>Validation[[#This Row],[Range1_Low]]&gt;=Validation[[#This Row],[Range1_High]]</f>
        <v>0</v>
      </c>
      <c r="Y1077" s="111" t="s">
        <v>2845</v>
      </c>
    </row>
    <row r="1078" spans="1:25" ht="16.5" thickTop="1" thickBot="1" x14ac:dyDescent="0.3">
      <c r="A1078" t="s">
        <v>54</v>
      </c>
      <c r="B1078" t="s">
        <v>98</v>
      </c>
      <c r="C1078" s="113">
        <v>1.0900000000000001</v>
      </c>
      <c r="D1078" s="113">
        <v>10.9001</v>
      </c>
      <c r="E1078">
        <v>1E-3</v>
      </c>
      <c r="F1078" t="s">
        <v>152</v>
      </c>
      <c r="G1078" t="s">
        <v>152</v>
      </c>
      <c r="H1078">
        <v>0</v>
      </c>
      <c r="I1078">
        <v>0</v>
      </c>
      <c r="J1078" t="s">
        <v>2833</v>
      </c>
      <c r="K1078">
        <v>0</v>
      </c>
      <c r="L1078">
        <v>5.7824999999999999E-4</v>
      </c>
      <c r="M1078">
        <v>0</v>
      </c>
      <c r="N1078">
        <v>0</v>
      </c>
      <c r="O1078" t="s">
        <v>2833</v>
      </c>
      <c r="P1078" t="s">
        <v>2833</v>
      </c>
      <c r="Q1078" t="s">
        <v>2833</v>
      </c>
      <c r="R1078">
        <f ca="1">RAND()*(Validation[[#This Row],[Range1_High]]-Validation[[#This Row],[Range1_Low]])+Validation[[#This Row],[Range1_Low]]</f>
        <v>5.1971802537292362</v>
      </c>
      <c r="S1078">
        <f>Validation[[#This Row],[Range2_High]]</f>
        <v>0</v>
      </c>
      <c r="T1078" t="str" cm="1">
        <f t="array" aca="1" ref="T1078" ca="1">RoundToTwoSigFigs(Validation[[#This Row],[Test Reading]]*Validation[[#This Row],[Mult]]+Validation[[#This Row],[Base]]) &amp;" "&amp;Validation[[#This Row],[Uncert_Units]]</f>
        <v>0.003 W</v>
      </c>
      <c r="U10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 W</v>
      </c>
      <c r="V1078" t="b">
        <f ca="1">Validation[[#This Row],[Desired Result]]=Validation[[#This Row],[Result]]</f>
        <v>1</v>
      </c>
      <c r="W1078" t="b">
        <v>1</v>
      </c>
      <c r="X1078" t="b">
        <f>Validation[[#This Row],[Range1_Low]]&gt;=Validation[[#This Row],[Range1_High]]</f>
        <v>0</v>
      </c>
      <c r="Y1078" s="111" t="s">
        <v>2843</v>
      </c>
    </row>
    <row r="1079" spans="1:25" ht="15.75" thickTop="1" x14ac:dyDescent="0.25">
      <c r="A1079" t="s">
        <v>54</v>
      </c>
      <c r="B1079" t="s">
        <v>98</v>
      </c>
      <c r="C1079">
        <v>3000</v>
      </c>
      <c r="D1079">
        <v>11000.1</v>
      </c>
      <c r="E1079">
        <v>10000</v>
      </c>
      <c r="F1079" t="s">
        <v>152</v>
      </c>
      <c r="G1079" t="s">
        <v>152</v>
      </c>
      <c r="H1079">
        <v>0</v>
      </c>
      <c r="I1079">
        <v>0</v>
      </c>
      <c r="J1079" t="s">
        <v>2833</v>
      </c>
      <c r="K1079">
        <v>0</v>
      </c>
      <c r="L1079">
        <v>2.1367000000000001E-3</v>
      </c>
      <c r="M1079">
        <v>0</v>
      </c>
      <c r="N1079">
        <v>0</v>
      </c>
      <c r="O1079" t="s">
        <v>2833</v>
      </c>
      <c r="P1079" t="s">
        <v>2833</v>
      </c>
      <c r="Q1079" t="s">
        <v>2833</v>
      </c>
      <c r="R1079">
        <f ca="1">RAND()*(Validation[[#This Row],[Range1_High]]-Validation[[#This Row],[Range1_Low]])+Validation[[#This Row],[Range1_Low]]</f>
        <v>7710.7184073291974</v>
      </c>
      <c r="S1079">
        <f>Validation[[#This Row],[Range2_High]]</f>
        <v>0</v>
      </c>
      <c r="T1079" t="str" cm="1">
        <f t="array" aca="1" ref="T1079" ca="1">RoundToTwoSigFigs(Validation[[#This Row],[Test Reading]]*Validation[[#This Row],[Mult]]+Validation[[#This Row],[Base]]) &amp;" "&amp;Validation[[#This Row],[Uncert_Units]]</f>
        <v>16 W</v>
      </c>
      <c r="U10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</v>
      </c>
      <c r="V1079" t="b">
        <f ca="1">Validation[[#This Row],[Desired Result]]=Validation[[#This Row],[Result]]</f>
        <v>1</v>
      </c>
      <c r="W1079" t="b">
        <v>0</v>
      </c>
      <c r="X1079" t="b">
        <f>Validation[[#This Row],[Range1_Low]]&gt;=Validation[[#This Row],[Range1_High]]</f>
        <v>0</v>
      </c>
      <c r="Y1079" s="111" t="s">
        <v>2845</v>
      </c>
    </row>
    <row r="1080" spans="1:25" ht="15.75" thickBot="1" x14ac:dyDescent="0.3">
      <c r="A1080" t="s">
        <v>54</v>
      </c>
      <c r="B1080" t="s">
        <v>98</v>
      </c>
      <c r="C1080">
        <v>10.9</v>
      </c>
      <c r="D1080">
        <v>109.0001</v>
      </c>
      <c r="E1080">
        <v>10</v>
      </c>
      <c r="F1080" t="s">
        <v>152</v>
      </c>
      <c r="G1080" t="s">
        <v>152</v>
      </c>
      <c r="H1080">
        <v>0</v>
      </c>
      <c r="I1080">
        <v>0</v>
      </c>
      <c r="J1080" t="s">
        <v>2833</v>
      </c>
      <c r="K1080">
        <v>0</v>
      </c>
      <c r="L1080">
        <v>0.53259999999999996</v>
      </c>
      <c r="M1080">
        <v>0</v>
      </c>
      <c r="N1080">
        <v>0</v>
      </c>
      <c r="O1080" t="s">
        <v>2833</v>
      </c>
      <c r="P1080" t="s">
        <v>2833</v>
      </c>
      <c r="Q1080" t="s">
        <v>2833</v>
      </c>
      <c r="R1080">
        <f ca="1">RAND()*(Validation[[#This Row],[Range1_High]]-Validation[[#This Row],[Range1_Low]])+Validation[[#This Row],[Range1_Low]]</f>
        <v>88.189851604569185</v>
      </c>
      <c r="S1080">
        <f>Validation[[#This Row],[Range2_High]]</f>
        <v>0</v>
      </c>
      <c r="T1080" t="str" cm="1">
        <f t="array" aca="1" ref="T1080" ca="1">RoundToTwoSigFigs(Validation[[#This Row],[Test Reading]]*Validation[[#This Row],[Mult]]+Validation[[#This Row],[Base]]) &amp;" "&amp;Validation[[#This Row],[Uncert_Units]]</f>
        <v>47 W</v>
      </c>
      <c r="U10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W</v>
      </c>
      <c r="V1080" t="b">
        <f ca="1">Validation[[#This Row],[Desired Result]]=Validation[[#This Row],[Result]]</f>
        <v>1</v>
      </c>
      <c r="W1080" t="b">
        <v>0</v>
      </c>
      <c r="X1080" t="b">
        <f>Validation[[#This Row],[Range1_Low]]&gt;=Validation[[#This Row],[Range1_High]]</f>
        <v>0</v>
      </c>
      <c r="Y1080" s="111" t="s">
        <v>2845</v>
      </c>
    </row>
    <row r="1081" spans="1:25" ht="16.5" thickTop="1" thickBot="1" x14ac:dyDescent="0.3">
      <c r="A1081" t="s">
        <v>54</v>
      </c>
      <c r="B1081" t="s">
        <v>98</v>
      </c>
      <c r="C1081" s="113">
        <v>11000</v>
      </c>
      <c r="D1081" s="113">
        <v>24500</v>
      </c>
      <c r="E1081">
        <v>10</v>
      </c>
      <c r="F1081" t="s">
        <v>152</v>
      </c>
      <c r="G1081" t="s">
        <v>152</v>
      </c>
      <c r="H1081">
        <v>0</v>
      </c>
      <c r="I1081">
        <v>0</v>
      </c>
      <c r="J1081" t="s">
        <v>2833</v>
      </c>
      <c r="K1081">
        <v>0</v>
      </c>
      <c r="L1081">
        <v>1.4E-3</v>
      </c>
      <c r="M1081">
        <v>0</v>
      </c>
      <c r="N1081">
        <v>0</v>
      </c>
      <c r="O1081" t="s">
        <v>2833</v>
      </c>
      <c r="P1081" t="s">
        <v>2833</v>
      </c>
      <c r="Q1081" t="s">
        <v>2833</v>
      </c>
      <c r="R1081">
        <f ca="1">RAND()*(Validation[[#This Row],[Range1_High]]-Validation[[#This Row],[Range1_Low]])+Validation[[#This Row],[Range1_Low]]</f>
        <v>11824.222667428096</v>
      </c>
      <c r="S1081">
        <f>Validation[[#This Row],[Range2_High]]</f>
        <v>0</v>
      </c>
      <c r="T1081" t="str" cm="1">
        <f t="array" aca="1" ref="T1081" ca="1">RoundToTwoSigFigs(Validation[[#This Row],[Test Reading]]*Validation[[#This Row],[Mult]]+Validation[[#This Row],[Base]]) &amp;" "&amp;Validation[[#This Row],[Uncert_Units]]</f>
        <v>17 W</v>
      </c>
      <c r="U10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W</v>
      </c>
      <c r="V1081" t="b">
        <f ca="1">Validation[[#This Row],[Desired Result]]=Validation[[#This Row],[Result]]</f>
        <v>1</v>
      </c>
      <c r="W1081" t="b">
        <v>1</v>
      </c>
      <c r="X1081" t="b">
        <f>Validation[[#This Row],[Range1_Low]]&gt;=Validation[[#This Row],[Range1_High]]</f>
        <v>0</v>
      </c>
      <c r="Y1081" s="111" t="s">
        <v>2843</v>
      </c>
    </row>
    <row r="1082" spans="1:25" ht="16.5" thickTop="1" thickBot="1" x14ac:dyDescent="0.3">
      <c r="A1082" t="s">
        <v>54</v>
      </c>
      <c r="B1082" t="s">
        <v>98</v>
      </c>
      <c r="C1082" s="113">
        <v>10.9</v>
      </c>
      <c r="D1082" s="113">
        <v>109.0001</v>
      </c>
      <c r="E1082">
        <v>0.01</v>
      </c>
      <c r="F1082" t="s">
        <v>152</v>
      </c>
      <c r="G1082" t="s">
        <v>152</v>
      </c>
      <c r="H1082">
        <v>0</v>
      </c>
      <c r="I1082">
        <v>0</v>
      </c>
      <c r="J1082" t="s">
        <v>2833</v>
      </c>
      <c r="K1082">
        <v>0</v>
      </c>
      <c r="L1082">
        <v>5.7886999999999999E-4</v>
      </c>
      <c r="M1082">
        <v>0</v>
      </c>
      <c r="N1082">
        <v>0</v>
      </c>
      <c r="O1082" t="s">
        <v>2833</v>
      </c>
      <c r="P1082" t="s">
        <v>2833</v>
      </c>
      <c r="Q1082" t="s">
        <v>2833</v>
      </c>
      <c r="R1082">
        <f ca="1">RAND()*(Validation[[#This Row],[Range1_High]]-Validation[[#This Row],[Range1_Low]])+Validation[[#This Row],[Range1_Low]]</f>
        <v>24.263842220686971</v>
      </c>
      <c r="S1082">
        <f>Validation[[#This Row],[Range2_High]]</f>
        <v>0</v>
      </c>
      <c r="T1082" t="str" cm="1">
        <f t="array" aca="1" ref="T1082" ca="1">RoundToTwoSigFigs(Validation[[#This Row],[Test Reading]]*Validation[[#This Row],[Mult]]+Validation[[#This Row],[Base]]) &amp;" "&amp;Validation[[#This Row],[Uncert_Units]]</f>
        <v>0.014 W</v>
      </c>
      <c r="U10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0.014 W</v>
      </c>
      <c r="V1082" t="b">
        <f ca="1">Validation[[#This Row],[Desired Result]]=Validation[[#This Row],[Result]]</f>
        <v>1</v>
      </c>
      <c r="W1082" t="b">
        <v>1</v>
      </c>
      <c r="X1082" t="b">
        <f>Validation[[#This Row],[Range1_Low]]&gt;=Validation[[#This Row],[Range1_High]]</f>
        <v>0</v>
      </c>
      <c r="Y1082" s="111" t="s">
        <v>2843</v>
      </c>
    </row>
    <row r="1083" spans="1:25" ht="16.5" thickTop="1" thickBot="1" x14ac:dyDescent="0.3">
      <c r="A1083" t="s">
        <v>54</v>
      </c>
      <c r="B1083" t="s">
        <v>98</v>
      </c>
      <c r="C1083">
        <v>1.0900000000000001</v>
      </c>
      <c r="D1083">
        <v>10.9001</v>
      </c>
      <c r="E1083">
        <v>1</v>
      </c>
      <c r="F1083" t="s">
        <v>152</v>
      </c>
      <c r="G1083" t="s">
        <v>152</v>
      </c>
      <c r="H1083">
        <v>0</v>
      </c>
      <c r="I1083">
        <v>0</v>
      </c>
      <c r="J1083" t="s">
        <v>2833</v>
      </c>
      <c r="K1083">
        <v>0</v>
      </c>
      <c r="L1083">
        <v>0.53259999999999996</v>
      </c>
      <c r="M1083">
        <v>0</v>
      </c>
      <c r="N1083">
        <v>0</v>
      </c>
      <c r="O1083" t="s">
        <v>2833</v>
      </c>
      <c r="P1083" t="s">
        <v>2833</v>
      </c>
      <c r="Q1083" t="s">
        <v>2833</v>
      </c>
      <c r="R1083">
        <f ca="1">RAND()*(Validation[[#This Row],[Range1_High]]-Validation[[#This Row],[Range1_Low]])+Validation[[#This Row],[Range1_Low]]</f>
        <v>2.8340015135213168</v>
      </c>
      <c r="S1083">
        <f>Validation[[#This Row],[Range2_High]]</f>
        <v>0</v>
      </c>
      <c r="T1083" t="str" cm="1">
        <f t="array" aca="1" ref="T1083" ca="1">RoundToTwoSigFigs(Validation[[#This Row],[Test Reading]]*Validation[[#This Row],[Mult]]+Validation[[#This Row],[Base]]) &amp;" "&amp;Validation[[#This Row],[Uncert_Units]]</f>
        <v>1.5 W</v>
      </c>
      <c r="U10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</v>
      </c>
      <c r="V1083" t="b">
        <f ca="1">Validation[[#This Row],[Desired Result]]=Validation[[#This Row],[Result]]</f>
        <v>1</v>
      </c>
      <c r="W1083" t="b">
        <v>0</v>
      </c>
      <c r="X1083" t="b">
        <f>Validation[[#This Row],[Range1_Low]]&gt;=Validation[[#This Row],[Range1_High]]</f>
        <v>0</v>
      </c>
      <c r="Y1083" s="111" t="s">
        <v>2845</v>
      </c>
    </row>
    <row r="1084" spans="1:25" ht="16.5" thickTop="1" thickBot="1" x14ac:dyDescent="0.3">
      <c r="A1084" t="s">
        <v>54</v>
      </c>
      <c r="B1084" t="s">
        <v>98</v>
      </c>
      <c r="C1084" s="113">
        <v>330</v>
      </c>
      <c r="D1084" s="113">
        <v>3000.0001000000002</v>
      </c>
      <c r="E1084">
        <v>1</v>
      </c>
      <c r="F1084" t="s">
        <v>152</v>
      </c>
      <c r="G1084" t="s">
        <v>152</v>
      </c>
      <c r="H1084">
        <v>0</v>
      </c>
      <c r="I1084">
        <v>0</v>
      </c>
      <c r="J1084" t="s">
        <v>2833</v>
      </c>
      <c r="K1084">
        <v>0</v>
      </c>
      <c r="L1084">
        <v>1.8565000000000001E-3</v>
      </c>
      <c r="M1084">
        <v>0</v>
      </c>
      <c r="N1084">
        <v>0</v>
      </c>
      <c r="O1084" t="s">
        <v>2833</v>
      </c>
      <c r="P1084" t="s">
        <v>2833</v>
      </c>
      <c r="Q1084" t="s">
        <v>2833</v>
      </c>
      <c r="R1084">
        <f ca="1">RAND()*(Validation[[#This Row],[Range1_High]]-Validation[[#This Row],[Range1_Low]])+Validation[[#This Row],[Range1_Low]]</f>
        <v>1985.1242259889541</v>
      </c>
      <c r="S1084">
        <f>Validation[[#This Row],[Range2_High]]</f>
        <v>0</v>
      </c>
      <c r="T1084" t="str" cm="1">
        <f t="array" aca="1" ref="T1084" ca="1">RoundToTwoSigFigs(Validation[[#This Row],[Test Reading]]*Validation[[#This Row],[Mult]]+Validation[[#This Row],[Base]]) &amp;" "&amp;Validation[[#This Row],[Uncert_Units]]</f>
        <v>3.7 W</v>
      </c>
      <c r="U10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W</v>
      </c>
      <c r="V1084" t="b">
        <f ca="1">Validation[[#This Row],[Desired Result]]=Validation[[#This Row],[Result]]</f>
        <v>1</v>
      </c>
      <c r="W1084" t="b">
        <v>1</v>
      </c>
      <c r="X1084" t="b">
        <f>Validation[[#This Row],[Range1_Low]]&gt;=Validation[[#This Row],[Range1_High]]</f>
        <v>0</v>
      </c>
      <c r="Y1084" s="111" t="s">
        <v>2843</v>
      </c>
    </row>
    <row r="1085" spans="1:25" ht="16.5" thickTop="1" thickBot="1" x14ac:dyDescent="0.3">
      <c r="A1085" t="s">
        <v>54</v>
      </c>
      <c r="B1085" t="s">
        <v>98</v>
      </c>
      <c r="C1085" s="113">
        <v>3000</v>
      </c>
      <c r="D1085" s="113">
        <v>11000.1</v>
      </c>
      <c r="E1085">
        <v>100</v>
      </c>
      <c r="F1085" t="s">
        <v>152</v>
      </c>
      <c r="G1085" t="s">
        <v>152</v>
      </c>
      <c r="H1085">
        <v>0</v>
      </c>
      <c r="I1085">
        <v>0</v>
      </c>
      <c r="J1085" t="s">
        <v>2833</v>
      </c>
      <c r="K1085">
        <v>0</v>
      </c>
      <c r="L1085">
        <v>9.1E-4</v>
      </c>
      <c r="M1085">
        <v>0</v>
      </c>
      <c r="N1085">
        <v>0</v>
      </c>
      <c r="O1085" t="s">
        <v>2833</v>
      </c>
      <c r="P1085" t="s">
        <v>2833</v>
      </c>
      <c r="Q1085" t="s">
        <v>2833</v>
      </c>
      <c r="R1085">
        <f ca="1">RAND()*(Validation[[#This Row],[Range1_High]]-Validation[[#This Row],[Range1_Low]])+Validation[[#This Row],[Range1_Low]]</f>
        <v>6657.0175837807164</v>
      </c>
      <c r="S1085">
        <f>Validation[[#This Row],[Range2_High]]</f>
        <v>0</v>
      </c>
      <c r="T1085" t="str" cm="1">
        <f t="array" aca="1" ref="T1085" ca="1">RoundToTwoSigFigs(Validation[[#This Row],[Test Reading]]*Validation[[#This Row],[Mult]]+Validation[[#This Row],[Base]]) &amp;" "&amp;Validation[[#This Row],[Uncert_Units]]</f>
        <v>6.1 W</v>
      </c>
      <c r="U10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W</v>
      </c>
      <c r="V1085" t="b">
        <f ca="1">Validation[[#This Row],[Desired Result]]=Validation[[#This Row],[Result]]</f>
        <v>1</v>
      </c>
      <c r="W1085" t="b">
        <v>1</v>
      </c>
      <c r="X1085" t="b">
        <f>Validation[[#This Row],[Range1_Low]]&gt;=Validation[[#This Row],[Range1_High]]</f>
        <v>0</v>
      </c>
      <c r="Y1085" s="111" t="s">
        <v>2843</v>
      </c>
    </row>
    <row r="1086" spans="1:25" ht="16.5" thickTop="1" thickBot="1" x14ac:dyDescent="0.3">
      <c r="A1086" t="s">
        <v>54</v>
      </c>
      <c r="B1086" t="s">
        <v>98</v>
      </c>
      <c r="C1086" s="113">
        <v>330</v>
      </c>
      <c r="D1086" s="113">
        <v>3000.0001000000002</v>
      </c>
      <c r="E1086">
        <v>10</v>
      </c>
      <c r="F1086" t="s">
        <v>152</v>
      </c>
      <c r="G1086" t="s">
        <v>152</v>
      </c>
      <c r="H1086">
        <v>0</v>
      </c>
      <c r="I1086">
        <v>0</v>
      </c>
      <c r="J1086" t="s">
        <v>2833</v>
      </c>
      <c r="K1086">
        <v>0</v>
      </c>
      <c r="L1086">
        <v>1.7586000000000001E-2</v>
      </c>
      <c r="M1086">
        <v>0</v>
      </c>
      <c r="N1086">
        <v>0</v>
      </c>
      <c r="O1086" t="s">
        <v>2833</v>
      </c>
      <c r="P1086" t="s">
        <v>2833</v>
      </c>
      <c r="Q1086" t="s">
        <v>2833</v>
      </c>
      <c r="R1086">
        <f ca="1">RAND()*(Validation[[#This Row],[Range1_High]]-Validation[[#This Row],[Range1_Low]])+Validation[[#This Row],[Range1_Low]]</f>
        <v>2028.1761997043945</v>
      </c>
      <c r="S1086">
        <f>Validation[[#This Row],[Range2_High]]</f>
        <v>0</v>
      </c>
      <c r="T1086" t="str" cm="1">
        <f t="array" aca="1" ref="T1086" ca="1">RoundToTwoSigFigs(Validation[[#This Row],[Test Reading]]*Validation[[#This Row],[Mult]]+Validation[[#This Row],[Base]]) &amp;" "&amp;Validation[[#This Row],[Uncert_Units]]</f>
        <v>36 W</v>
      </c>
      <c r="U10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W</v>
      </c>
      <c r="V1086" t="b">
        <f ca="1">Validation[[#This Row],[Desired Result]]=Validation[[#This Row],[Result]]</f>
        <v>1</v>
      </c>
      <c r="W1086" t="b">
        <v>1</v>
      </c>
      <c r="X1086" t="b">
        <f>Validation[[#This Row],[Range1_Low]]&gt;=Validation[[#This Row],[Range1_High]]</f>
        <v>0</v>
      </c>
      <c r="Y1086" s="111" t="s">
        <v>2843</v>
      </c>
    </row>
    <row r="1087" spans="1:25" ht="16.5" thickTop="1" thickBot="1" x14ac:dyDescent="0.3">
      <c r="A1087" t="s">
        <v>54</v>
      </c>
      <c r="B1087" t="s">
        <v>98</v>
      </c>
      <c r="C1087" s="113">
        <v>0.109</v>
      </c>
      <c r="D1087" s="113">
        <v>1.0901000000000001</v>
      </c>
      <c r="E1087">
        <v>1E-4</v>
      </c>
      <c r="F1087" t="s">
        <v>152</v>
      </c>
      <c r="G1087" t="s">
        <v>152</v>
      </c>
      <c r="H1087">
        <v>0</v>
      </c>
      <c r="I1087">
        <v>0</v>
      </c>
      <c r="J1087" t="s">
        <v>2833</v>
      </c>
      <c r="K1087">
        <v>0</v>
      </c>
      <c r="L1087">
        <v>5.7855999999999999E-4</v>
      </c>
      <c r="M1087">
        <v>0</v>
      </c>
      <c r="N1087">
        <v>0</v>
      </c>
      <c r="O1087" t="s">
        <v>2833</v>
      </c>
      <c r="P1087" t="s">
        <v>2833</v>
      </c>
      <c r="Q1087" t="s">
        <v>2833</v>
      </c>
      <c r="R1087">
        <f ca="1">RAND()*(Validation[[#This Row],[Range1_High]]-Validation[[#This Row],[Range1_Low]])+Validation[[#This Row],[Range1_Low]]</f>
        <v>0.25881641861207433</v>
      </c>
      <c r="S1087">
        <f>Validation[[#This Row],[Range2_High]]</f>
        <v>0</v>
      </c>
      <c r="T1087" t="str" cm="1">
        <f t="array" aca="1" ref="T1087" ca="1">RoundToTwoSigFigs(Validation[[#This Row],[Test Reading]]*Validation[[#This Row],[Mult]]+Validation[[#This Row],[Base]]) &amp;" "&amp;Validation[[#This Row],[Uncert_Units]]</f>
        <v>0.00015 W</v>
      </c>
      <c r="U10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0.00015 W</v>
      </c>
      <c r="V1087" t="b">
        <f ca="1">Validation[[#This Row],[Desired Result]]=Validation[[#This Row],[Result]]</f>
        <v>1</v>
      </c>
      <c r="W1087" t="b">
        <v>1</v>
      </c>
      <c r="X1087" t="b">
        <f>Validation[[#This Row],[Range1_Low]]&gt;=Validation[[#This Row],[Range1_High]]</f>
        <v>0</v>
      </c>
      <c r="Y1087" s="111" t="s">
        <v>2843</v>
      </c>
    </row>
    <row r="1088" spans="1:25" ht="15.75" thickTop="1" x14ac:dyDescent="0.25">
      <c r="A1088" t="s">
        <v>54</v>
      </c>
      <c r="B1088" t="s">
        <v>98</v>
      </c>
      <c r="C1088">
        <v>0</v>
      </c>
      <c r="D1088">
        <v>1.0900000000000001E-4</v>
      </c>
      <c r="E1088">
        <v>1E-10</v>
      </c>
      <c r="F1088" t="s">
        <v>152</v>
      </c>
      <c r="G1088" t="s">
        <v>152</v>
      </c>
      <c r="H1088">
        <v>0</v>
      </c>
      <c r="I1088">
        <v>0</v>
      </c>
      <c r="J1088" t="s">
        <v>2833</v>
      </c>
      <c r="K1088">
        <v>0</v>
      </c>
      <c r="L1088">
        <v>3.5999999999999999E-3</v>
      </c>
      <c r="M1088">
        <v>0</v>
      </c>
      <c r="N1088">
        <v>0</v>
      </c>
      <c r="O1088" t="s">
        <v>2833</v>
      </c>
      <c r="P1088" t="s">
        <v>2833</v>
      </c>
      <c r="Q1088" t="s">
        <v>2833</v>
      </c>
      <c r="R1088">
        <f ca="1">RAND()*(Validation[[#This Row],[Range1_High]]-Validation[[#This Row],[Range1_Low]])+Validation[[#This Row],[Range1_Low]]</f>
        <v>1.5094577237258775E-5</v>
      </c>
      <c r="S1088">
        <f>Validation[[#This Row],[Range2_High]]</f>
        <v>0</v>
      </c>
      <c r="T1088" t="str" cm="1">
        <f t="array" aca="1" ref="T1088" ca="1">RoundToTwoSigFigs(Validation[[#This Row],[Test Reading]]*Validation[[#This Row],[Mult]]+Validation[[#This Row],[Base]]) &amp;" "&amp;Validation[[#This Row],[Uncert_Units]]</f>
        <v>0.000000054 W</v>
      </c>
      <c r="U10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0.000000054 W</v>
      </c>
      <c r="V1088" t="b">
        <f ca="1">Validation[[#This Row],[Desired Result]]=Validation[[#This Row],[Result]]</f>
        <v>1</v>
      </c>
      <c r="W1088" t="b">
        <v>0</v>
      </c>
      <c r="X1088" t="b">
        <f>Validation[[#This Row],[Range1_Low]]&gt;=Validation[[#This Row],[Range1_High]]</f>
        <v>0</v>
      </c>
      <c r="Y1088" s="111" t="s">
        <v>2845</v>
      </c>
    </row>
    <row r="1089" spans="1:25" x14ac:dyDescent="0.25">
      <c r="A1089" t="s">
        <v>54</v>
      </c>
      <c r="B1089" t="s">
        <v>98</v>
      </c>
      <c r="C1089">
        <v>330</v>
      </c>
      <c r="D1089">
        <v>3000.0001000000002</v>
      </c>
      <c r="E1089">
        <v>100</v>
      </c>
      <c r="F1089" t="s">
        <v>152</v>
      </c>
      <c r="G1089" t="s">
        <v>152</v>
      </c>
      <c r="H1089">
        <v>0</v>
      </c>
      <c r="I1089">
        <v>0</v>
      </c>
      <c r="J1089" t="s">
        <v>2833</v>
      </c>
      <c r="K1089">
        <v>0</v>
      </c>
      <c r="L1089">
        <v>0.17576</v>
      </c>
      <c r="M1089">
        <v>0</v>
      </c>
      <c r="N1089">
        <v>0</v>
      </c>
      <c r="O1089" t="s">
        <v>2833</v>
      </c>
      <c r="P1089" t="s">
        <v>2833</v>
      </c>
      <c r="Q1089" t="s">
        <v>2833</v>
      </c>
      <c r="R1089">
        <f ca="1">RAND()*(Validation[[#This Row],[Range1_High]]-Validation[[#This Row],[Range1_Low]])+Validation[[#This Row],[Range1_Low]]</f>
        <v>797.13731739274363</v>
      </c>
      <c r="S1089">
        <f>Validation[[#This Row],[Range2_High]]</f>
        <v>0</v>
      </c>
      <c r="T1089" t="str" cm="1">
        <f t="array" aca="1" ref="T1089" ca="1">RoundToTwoSigFigs(Validation[[#This Row],[Test Reading]]*Validation[[#This Row],[Mult]]+Validation[[#This Row],[Base]]) &amp;" "&amp;Validation[[#This Row],[Uncert_Units]]</f>
        <v>140 W</v>
      </c>
      <c r="U10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W</v>
      </c>
      <c r="V1089" t="b">
        <f ca="1">Validation[[#This Row],[Desired Result]]=Validation[[#This Row],[Result]]</f>
        <v>1</v>
      </c>
      <c r="W1089" t="b">
        <v>0</v>
      </c>
      <c r="X1089" t="b">
        <f>Validation[[#This Row],[Range1_Low]]&gt;=Validation[[#This Row],[Range1_High]]</f>
        <v>0</v>
      </c>
      <c r="Y1089" s="111" t="s">
        <v>2845</v>
      </c>
    </row>
    <row r="1090" spans="1:25" ht="15.75" thickBot="1" x14ac:dyDescent="0.3">
      <c r="A1090" t="s">
        <v>54</v>
      </c>
      <c r="B1090" t="s">
        <v>98</v>
      </c>
      <c r="C1090">
        <v>3000</v>
      </c>
      <c r="D1090">
        <v>11000.1</v>
      </c>
      <c r="E1090">
        <v>1000</v>
      </c>
      <c r="F1090" t="s">
        <v>152</v>
      </c>
      <c r="G1090" t="s">
        <v>152</v>
      </c>
      <c r="H1090">
        <v>0</v>
      </c>
      <c r="I1090">
        <v>0</v>
      </c>
      <c r="J1090" t="s">
        <v>2833</v>
      </c>
      <c r="K1090">
        <v>0</v>
      </c>
      <c r="L1090">
        <v>9.2997999999999996E-4</v>
      </c>
      <c r="M1090">
        <v>0</v>
      </c>
      <c r="N1090">
        <v>0</v>
      </c>
      <c r="O1090" t="s">
        <v>2833</v>
      </c>
      <c r="P1090" t="s">
        <v>2833</v>
      </c>
      <c r="Q1090" t="s">
        <v>2833</v>
      </c>
      <c r="R1090">
        <f ca="1">RAND()*(Validation[[#This Row],[Range1_High]]-Validation[[#This Row],[Range1_Low]])+Validation[[#This Row],[Range1_Low]]</f>
        <v>7162.6581387336428</v>
      </c>
      <c r="S1090">
        <f>Validation[[#This Row],[Range2_High]]</f>
        <v>0</v>
      </c>
      <c r="T1090" t="str" cm="1">
        <f t="array" aca="1" ref="T1090" ca="1">RoundToTwoSigFigs(Validation[[#This Row],[Test Reading]]*Validation[[#This Row],[Mult]]+Validation[[#This Row],[Base]]) &amp;" "&amp;Validation[[#This Row],[Uncert_Units]]</f>
        <v>6.7 W</v>
      </c>
      <c r="U10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W</v>
      </c>
      <c r="V1090" t="b">
        <f ca="1">Validation[[#This Row],[Desired Result]]=Validation[[#This Row],[Result]]</f>
        <v>1</v>
      </c>
      <c r="W1090" t="b">
        <v>0</v>
      </c>
      <c r="X1090" t="b">
        <f>Validation[[#This Row],[Range1_Low]]&gt;=Validation[[#This Row],[Range1_High]]</f>
        <v>0</v>
      </c>
      <c r="Y1090" s="111" t="s">
        <v>2845</v>
      </c>
    </row>
    <row r="1091" spans="1:25" ht="16.5" thickTop="1" thickBot="1" x14ac:dyDescent="0.3">
      <c r="A1091" t="s">
        <v>54</v>
      </c>
      <c r="B1091" t="s">
        <v>98</v>
      </c>
      <c r="C1091" s="113">
        <v>1.0900000000000001</v>
      </c>
      <c r="D1091" s="113">
        <v>10.9001</v>
      </c>
      <c r="E1091">
        <v>0.01</v>
      </c>
      <c r="F1091" t="s">
        <v>152</v>
      </c>
      <c r="G1091" t="s">
        <v>152</v>
      </c>
      <c r="H1091">
        <v>0</v>
      </c>
      <c r="I1091">
        <v>0</v>
      </c>
      <c r="J1091" t="s">
        <v>2833</v>
      </c>
      <c r="K1091">
        <v>0</v>
      </c>
      <c r="L1091">
        <v>5.3321999999999996E-3</v>
      </c>
      <c r="M1091">
        <v>0</v>
      </c>
      <c r="N1091">
        <v>0</v>
      </c>
      <c r="O1091" t="s">
        <v>2833</v>
      </c>
      <c r="P1091" t="s">
        <v>2833</v>
      </c>
      <c r="Q1091" t="s">
        <v>2833</v>
      </c>
      <c r="R1091">
        <f ca="1">RAND()*(Validation[[#This Row],[Range1_High]]-Validation[[#This Row],[Range1_Low]])+Validation[[#This Row],[Range1_Low]]</f>
        <v>5.4216690136584305</v>
      </c>
      <c r="S1091">
        <f>Validation[[#This Row],[Range2_High]]</f>
        <v>0</v>
      </c>
      <c r="T1091" t="str" cm="1">
        <f t="array" aca="1" ref="T1091" ca="1">RoundToTwoSigFigs(Validation[[#This Row],[Test Reading]]*Validation[[#This Row],[Mult]]+Validation[[#This Row],[Base]]) &amp;" "&amp;Validation[[#This Row],[Uncert_Units]]</f>
        <v>0.029 W</v>
      </c>
      <c r="U10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0.029 W</v>
      </c>
      <c r="V1091" t="b">
        <f ca="1">Validation[[#This Row],[Desired Result]]=Validation[[#This Row],[Result]]</f>
        <v>1</v>
      </c>
      <c r="W1091" t="b">
        <v>1</v>
      </c>
      <c r="X1091" t="b">
        <f>Validation[[#This Row],[Range1_Low]]&gt;=Validation[[#This Row],[Range1_High]]</f>
        <v>0</v>
      </c>
      <c r="Y1091" s="111" t="s">
        <v>2843</v>
      </c>
    </row>
    <row r="1092" spans="1:25" ht="16.5" thickTop="1" thickBot="1" x14ac:dyDescent="0.3">
      <c r="A1092" t="s">
        <v>54</v>
      </c>
      <c r="B1092" t="s">
        <v>98</v>
      </c>
      <c r="C1092" s="113">
        <v>11000</v>
      </c>
      <c r="D1092" s="113">
        <v>24500</v>
      </c>
      <c r="E1092">
        <v>1000</v>
      </c>
      <c r="F1092" t="s">
        <v>152</v>
      </c>
      <c r="G1092" t="s">
        <v>152</v>
      </c>
      <c r="H1092">
        <v>0</v>
      </c>
      <c r="I1092">
        <v>0</v>
      </c>
      <c r="J1092" t="s">
        <v>2833</v>
      </c>
      <c r="K1092">
        <v>0</v>
      </c>
      <c r="L1092">
        <v>1.4429E-3</v>
      </c>
      <c r="M1092">
        <v>0</v>
      </c>
      <c r="N1092">
        <v>0</v>
      </c>
      <c r="O1092" t="s">
        <v>2833</v>
      </c>
      <c r="P1092" t="s">
        <v>2833</v>
      </c>
      <c r="Q1092" t="s">
        <v>2833</v>
      </c>
      <c r="R1092">
        <f ca="1">RAND()*(Validation[[#This Row],[Range1_High]]-Validation[[#This Row],[Range1_Low]])+Validation[[#This Row],[Range1_Low]]</f>
        <v>22496.870429525756</v>
      </c>
      <c r="S1092">
        <f>Validation[[#This Row],[Range2_High]]</f>
        <v>0</v>
      </c>
      <c r="T1092" t="str" cm="1">
        <f t="array" aca="1" ref="T1092" ca="1">RoundToTwoSigFigs(Validation[[#This Row],[Test Reading]]*Validation[[#This Row],[Mult]]+Validation[[#This Row],[Base]]) &amp;" "&amp;Validation[[#This Row],[Uncert_Units]]</f>
        <v>32 W</v>
      </c>
      <c r="U10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W</v>
      </c>
      <c r="V1092" t="b">
        <f ca="1">Validation[[#This Row],[Desired Result]]=Validation[[#This Row],[Result]]</f>
        <v>1</v>
      </c>
      <c r="W1092" t="b">
        <v>1</v>
      </c>
      <c r="X1092" t="b">
        <f>Validation[[#This Row],[Range1_Low]]&gt;=Validation[[#This Row],[Range1_High]]</f>
        <v>0</v>
      </c>
      <c r="Y1092" s="111" t="s">
        <v>2843</v>
      </c>
    </row>
    <row r="1093" spans="1:25" ht="16.5" thickTop="1" thickBot="1" x14ac:dyDescent="0.3">
      <c r="A1093" t="s">
        <v>54</v>
      </c>
      <c r="B1093" t="s">
        <v>98</v>
      </c>
      <c r="C1093">
        <v>0</v>
      </c>
      <c r="D1093">
        <v>1.0900000000000001E-4</v>
      </c>
      <c r="E1093">
        <v>1E-3</v>
      </c>
      <c r="F1093" t="s">
        <v>152</v>
      </c>
      <c r="G1093" t="s">
        <v>152</v>
      </c>
      <c r="H1093">
        <v>0</v>
      </c>
      <c r="I1093">
        <v>0</v>
      </c>
      <c r="J1093" t="s">
        <v>2833</v>
      </c>
      <c r="K1093">
        <v>0</v>
      </c>
      <c r="L1093">
        <v>580</v>
      </c>
      <c r="M1093">
        <v>0</v>
      </c>
      <c r="N1093">
        <v>0</v>
      </c>
      <c r="O1093" t="s">
        <v>2833</v>
      </c>
      <c r="P1093" t="s">
        <v>2833</v>
      </c>
      <c r="Q1093" t="s">
        <v>2833</v>
      </c>
      <c r="R1093">
        <f ca="1">RAND()*(Validation[[#This Row],[Range1_High]]-Validation[[#This Row],[Range1_Low]])+Validation[[#This Row],[Range1_Low]]</f>
        <v>9.8618566578474238E-5</v>
      </c>
      <c r="S1093">
        <f>Validation[[#This Row],[Range2_High]]</f>
        <v>0</v>
      </c>
      <c r="T1093" t="str" cm="1">
        <f t="array" aca="1" ref="T1093" ca="1">RoundToTwoSigFigs(Validation[[#This Row],[Test Reading]]*Validation[[#This Row],[Mult]]+Validation[[#This Row],[Base]]) &amp;" "&amp;Validation[[#This Row],[Uncert_Units]]</f>
        <v>0.057 W</v>
      </c>
      <c r="U10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0.057 W</v>
      </c>
      <c r="V1093" t="b">
        <f ca="1">Validation[[#This Row],[Desired Result]]=Validation[[#This Row],[Result]]</f>
        <v>1</v>
      </c>
      <c r="W1093" t="b">
        <v>0</v>
      </c>
      <c r="X1093" t="b">
        <f>Validation[[#This Row],[Range1_Low]]&gt;=Validation[[#This Row],[Range1_High]]</f>
        <v>0</v>
      </c>
      <c r="Y1093" s="111" t="s">
        <v>2845</v>
      </c>
    </row>
    <row r="1094" spans="1:25" ht="16.5" thickTop="1" thickBot="1" x14ac:dyDescent="0.3">
      <c r="A1094" t="s">
        <v>54</v>
      </c>
      <c r="B1094" t="s">
        <v>98</v>
      </c>
      <c r="C1094" s="115">
        <v>1.0900000000000001E-4</v>
      </c>
      <c r="D1094" s="115">
        <v>1.0900999999999999E-6</v>
      </c>
      <c r="E1094">
        <v>9.9999999999999995E-8</v>
      </c>
      <c r="F1094" t="s">
        <v>152</v>
      </c>
      <c r="G1094" t="s">
        <v>152</v>
      </c>
      <c r="H1094">
        <v>0</v>
      </c>
      <c r="I1094">
        <v>0</v>
      </c>
      <c r="J1094" t="s">
        <v>2833</v>
      </c>
      <c r="K1094">
        <v>0</v>
      </c>
      <c r="L1094">
        <v>6.3400999999999996E-4</v>
      </c>
      <c r="M1094">
        <v>0</v>
      </c>
      <c r="N1094">
        <v>0</v>
      </c>
      <c r="O1094" t="s">
        <v>2833</v>
      </c>
      <c r="P1094" t="s">
        <v>2833</v>
      </c>
      <c r="Q1094" t="s">
        <v>2833</v>
      </c>
      <c r="R1094" s="100">
        <f ca="1">RAND()*(Validation[[#This Row],[Range1_High]]-Validation[[#This Row],[Range1_Low]])+Validation[[#This Row],[Range1_Low]]</f>
        <v>6.5787497312348487E-5</v>
      </c>
      <c r="S1094">
        <f>Validation[[#This Row],[Range2_High]]</f>
        <v>0</v>
      </c>
      <c r="T1094" t="str" cm="1">
        <f t="array" aca="1" ref="T1094" ca="1">RoundToTwoSigFigs(Validation[[#This Row],[Test Reading]]*Validation[[#This Row],[Mult]]+Validation[[#This Row],[Base]]) &amp;" "&amp;Validation[[#This Row],[Uncert_Units]]</f>
        <v>0.000000042 W</v>
      </c>
      <c r="U10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0.0000038 W</v>
      </c>
      <c r="V1094" t="b">
        <f ca="1">Validation[[#This Row],[Desired Result]]=Validation[[#This Row],[Result]]</f>
        <v>0</v>
      </c>
      <c r="W1094" t="b">
        <v>1</v>
      </c>
      <c r="X1094" t="b">
        <f>Validation[[#This Row],[Range1_Low]]&gt;=Validation[[#This Row],[Range1_High]]</f>
        <v>1</v>
      </c>
      <c r="Y1094" s="111" t="s">
        <v>2842</v>
      </c>
    </row>
    <row r="1095" spans="1:25" ht="16.5" thickTop="1" thickBot="1" x14ac:dyDescent="0.3">
      <c r="A1095" t="s">
        <v>54</v>
      </c>
      <c r="B1095" t="s">
        <v>98</v>
      </c>
      <c r="C1095" s="115">
        <v>24500</v>
      </c>
      <c r="D1095" s="115">
        <v>24500</v>
      </c>
      <c r="E1095">
        <v>100000</v>
      </c>
      <c r="F1095" t="s">
        <v>100</v>
      </c>
      <c r="G1095" t="s">
        <v>100</v>
      </c>
      <c r="H1095">
        <v>0</v>
      </c>
      <c r="I1095">
        <v>0</v>
      </c>
      <c r="J1095" t="s">
        <v>2833</v>
      </c>
      <c r="K1095">
        <v>0</v>
      </c>
      <c r="L1095">
        <v>5.2745E-2</v>
      </c>
      <c r="M1095">
        <v>0</v>
      </c>
      <c r="N1095">
        <v>0</v>
      </c>
      <c r="O1095" t="s">
        <v>2833</v>
      </c>
      <c r="P1095" t="s">
        <v>2833</v>
      </c>
      <c r="Q1095" t="s">
        <v>2833</v>
      </c>
      <c r="R1095" s="100">
        <f ca="1">RAND()*(Validation[[#This Row],[Range1_High]]-Validation[[#This Row],[Range1_Low]])+Validation[[#This Row],[Range1_Low]]</f>
        <v>24500</v>
      </c>
      <c r="S1095">
        <f>Validation[[#This Row],[Range2_High]]</f>
        <v>0</v>
      </c>
      <c r="T1095" t="str" cm="1">
        <f t="array" aca="1" ref="T1095" ca="1">RoundToTwoSigFigs(Validation[[#This Row],[Test Reading]]*Validation[[#This Row],[Mult]]+Validation[[#This Row],[Base]]) &amp;" "&amp;Validation[[#This Row],[Uncert_Units]]</f>
        <v>1300 WAC</v>
      </c>
      <c r="U10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1095" t="b">
        <f ca="1">Validation[[#This Row],[Desired Result]]=Validation[[#This Row],[Result]]</f>
        <v>0</v>
      </c>
      <c r="W1095" t="b">
        <v>1</v>
      </c>
      <c r="X1095" t="b">
        <f>Validation[[#This Row],[Range1_Low]]&gt;=Validation[[#This Row],[Range1_High]]</f>
        <v>1</v>
      </c>
      <c r="Y1095" s="111" t="s">
        <v>2842</v>
      </c>
    </row>
    <row r="1096" spans="1:25" ht="16.5" thickTop="1" thickBot="1" x14ac:dyDescent="0.3">
      <c r="A1096" t="s">
        <v>54</v>
      </c>
      <c r="B1096" t="s">
        <v>98</v>
      </c>
      <c r="C1096">
        <v>0</v>
      </c>
      <c r="D1096">
        <v>1.0900000000000001E-4</v>
      </c>
      <c r="E1096">
        <v>9.9999999999999995E-7</v>
      </c>
      <c r="F1096" t="s">
        <v>152</v>
      </c>
      <c r="G1096" t="s">
        <v>152</v>
      </c>
      <c r="H1096">
        <v>0</v>
      </c>
      <c r="I1096">
        <v>0</v>
      </c>
      <c r="J1096" t="s">
        <v>2833</v>
      </c>
      <c r="K1096">
        <v>0</v>
      </c>
      <c r="L1096">
        <v>0.58001000000000003</v>
      </c>
      <c r="M1096">
        <v>0</v>
      </c>
      <c r="N1096">
        <v>0</v>
      </c>
      <c r="O1096" t="s">
        <v>2833</v>
      </c>
      <c r="P1096" t="s">
        <v>2833</v>
      </c>
      <c r="Q1096" t="s">
        <v>2833</v>
      </c>
      <c r="R1096">
        <f ca="1">RAND()*(Validation[[#This Row],[Range1_High]]-Validation[[#This Row],[Range1_Low]])+Validation[[#This Row],[Range1_Low]]</f>
        <v>2.5032206188203925E-5</v>
      </c>
      <c r="S1096">
        <f>Validation[[#This Row],[Range2_High]]</f>
        <v>0</v>
      </c>
      <c r="T1096" t="str" cm="1">
        <f t="array" aca="1" ref="T1096" ca="1">RoundToTwoSigFigs(Validation[[#This Row],[Test Reading]]*Validation[[#This Row],[Mult]]+Validation[[#This Row],[Base]]) &amp;" "&amp;Validation[[#This Row],[Uncert_Units]]</f>
        <v>0.000015 W</v>
      </c>
      <c r="U10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0.000015 W</v>
      </c>
      <c r="V1096" t="b">
        <f ca="1">Validation[[#This Row],[Desired Result]]=Validation[[#This Row],[Result]]</f>
        <v>1</v>
      </c>
      <c r="W1096" t="b">
        <v>0</v>
      </c>
      <c r="X1096" t="b">
        <f>Validation[[#This Row],[Range1_Low]]&gt;=Validation[[#This Row],[Range1_High]]</f>
        <v>0</v>
      </c>
      <c r="Y1096" s="111" t="s">
        <v>2845</v>
      </c>
    </row>
    <row r="1097" spans="1:25" ht="16.5" thickTop="1" thickBot="1" x14ac:dyDescent="0.3">
      <c r="A1097" t="s">
        <v>54</v>
      </c>
      <c r="B1097" t="s">
        <v>99</v>
      </c>
      <c r="C1097" s="113">
        <v>1.0900000000000001</v>
      </c>
      <c r="D1097" s="113">
        <v>10.9001</v>
      </c>
      <c r="E1097">
        <v>0.1</v>
      </c>
      <c r="F1097" t="s">
        <v>100</v>
      </c>
      <c r="G1097" t="s">
        <v>100</v>
      </c>
      <c r="H1097">
        <v>0</v>
      </c>
      <c r="I1097">
        <v>0</v>
      </c>
      <c r="J1097" t="s">
        <v>2833</v>
      </c>
      <c r="K1097">
        <v>0</v>
      </c>
      <c r="L1097">
        <v>5.3275000000000003E-2</v>
      </c>
      <c r="M1097">
        <v>0</v>
      </c>
      <c r="N1097">
        <v>0</v>
      </c>
      <c r="O1097" t="s">
        <v>2833</v>
      </c>
      <c r="P1097" t="s">
        <v>2833</v>
      </c>
      <c r="Q1097" t="s">
        <v>2833</v>
      </c>
      <c r="R1097">
        <f ca="1">RAND()*(Validation[[#This Row],[Range1_High]]-Validation[[#This Row],[Range1_Low]])+Validation[[#This Row],[Range1_Low]]</f>
        <v>4.5571977681466969</v>
      </c>
      <c r="S1097">
        <f>Validation[[#This Row],[Range2_High]]</f>
        <v>0</v>
      </c>
      <c r="T1097" t="str" cm="1">
        <f t="array" aca="1" ref="T1097" ca="1">RoundToTwoSigFigs(Validation[[#This Row],[Test Reading]]*Validation[[#This Row],[Mult]]+Validation[[#This Row],[Base]]) &amp;" "&amp;Validation[[#This Row],[Uncert_Units]]</f>
        <v>0.24 WAC</v>
      </c>
      <c r="U10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WAC</v>
      </c>
      <c r="V1097" t="b">
        <f ca="1">Validation[[#This Row],[Desired Result]]=Validation[[#This Row],[Result]]</f>
        <v>1</v>
      </c>
      <c r="W1097" t="b">
        <v>1</v>
      </c>
      <c r="X1097" t="b">
        <f>Validation[[#This Row],[Range1_Low]]&gt;=Validation[[#This Row],[Range1_High]]</f>
        <v>0</v>
      </c>
      <c r="Y1097" s="111" t="s">
        <v>2843</v>
      </c>
    </row>
    <row r="1098" spans="1:25" ht="15.75" thickTop="1" x14ac:dyDescent="0.25">
      <c r="A1098" t="s">
        <v>54</v>
      </c>
      <c r="B1098" t="s">
        <v>99</v>
      </c>
      <c r="C1098">
        <v>0</v>
      </c>
      <c r="D1098">
        <v>1.0900099999999999E-5</v>
      </c>
      <c r="E1098">
        <v>1.0000000000000001E-9</v>
      </c>
      <c r="F1098" t="s">
        <v>100</v>
      </c>
      <c r="G1098" t="s">
        <v>100</v>
      </c>
      <c r="H1098">
        <v>0</v>
      </c>
      <c r="I1098">
        <v>0</v>
      </c>
      <c r="J1098" t="s">
        <v>2833</v>
      </c>
      <c r="K1098">
        <v>0</v>
      </c>
      <c r="L1098">
        <v>2.5177999999999999E-2</v>
      </c>
      <c r="M1098">
        <v>0</v>
      </c>
      <c r="N1098">
        <v>0</v>
      </c>
      <c r="O1098" t="s">
        <v>2833</v>
      </c>
      <c r="P1098" t="s">
        <v>2833</v>
      </c>
      <c r="Q1098" t="s">
        <v>2833</v>
      </c>
      <c r="R1098">
        <f ca="1">RAND()*(Validation[[#This Row],[Range1_High]]-Validation[[#This Row],[Range1_Low]])+Validation[[#This Row],[Range1_Low]]</f>
        <v>6.3099968997226445E-7</v>
      </c>
      <c r="S1098">
        <f>Validation[[#This Row],[Range2_High]]</f>
        <v>0</v>
      </c>
      <c r="T1098" t="str" cm="1">
        <f t="array" aca="1" ref="T1098" ca="1">RoundToTwoSigFigs(Validation[[#This Row],[Test Reading]]*Validation[[#This Row],[Mult]]+Validation[[#This Row],[Base]]) &amp;" "&amp;Validation[[#This Row],[Uncert_Units]]</f>
        <v>0.000000016 WAC</v>
      </c>
      <c r="U10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0.000000016 WAC</v>
      </c>
      <c r="V1098" t="b">
        <f ca="1">Validation[[#This Row],[Desired Result]]=Validation[[#This Row],[Result]]</f>
        <v>1</v>
      </c>
      <c r="W1098" t="b">
        <v>0</v>
      </c>
      <c r="X1098" t="b">
        <f>Validation[[#This Row],[Range1_Low]]&gt;=Validation[[#This Row],[Range1_High]]</f>
        <v>0</v>
      </c>
      <c r="Y1098" s="111" t="s">
        <v>2845</v>
      </c>
    </row>
    <row r="1099" spans="1:25" ht="15.75" thickBot="1" x14ac:dyDescent="0.3">
      <c r="A1099" t="s">
        <v>54</v>
      </c>
      <c r="B1099" t="s">
        <v>99</v>
      </c>
      <c r="C1099">
        <v>0</v>
      </c>
      <c r="D1099">
        <v>1.0900099999999999E-5</v>
      </c>
      <c r="E1099">
        <v>9.9999999999999995E-8</v>
      </c>
      <c r="F1099" t="s">
        <v>100</v>
      </c>
      <c r="G1099" t="s">
        <v>100</v>
      </c>
      <c r="H1099">
        <v>0</v>
      </c>
      <c r="I1099">
        <v>0</v>
      </c>
      <c r="J1099" t="s">
        <v>2833</v>
      </c>
      <c r="K1099">
        <v>0</v>
      </c>
      <c r="L1099">
        <v>0.58052999999999999</v>
      </c>
      <c r="M1099">
        <v>0</v>
      </c>
      <c r="N1099">
        <v>0</v>
      </c>
      <c r="O1099" t="s">
        <v>2833</v>
      </c>
      <c r="P1099" t="s">
        <v>2833</v>
      </c>
      <c r="Q1099" t="s">
        <v>2833</v>
      </c>
      <c r="R1099">
        <f ca="1">RAND()*(Validation[[#This Row],[Range1_High]]-Validation[[#This Row],[Range1_Low]])+Validation[[#This Row],[Range1_Low]]</f>
        <v>2.5665521969448211E-6</v>
      </c>
      <c r="S1099">
        <f>Validation[[#This Row],[Range2_High]]</f>
        <v>0</v>
      </c>
      <c r="T1099" t="str" cm="1">
        <f t="array" aca="1" ref="T1099" ca="1">RoundToTwoSigFigs(Validation[[#This Row],[Test Reading]]*Validation[[#This Row],[Mult]]+Validation[[#This Row],[Base]]) &amp;" "&amp;Validation[[#This Row],[Uncert_Units]]</f>
        <v>0.0000015 WAC</v>
      </c>
      <c r="U10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0.0000015 WAC</v>
      </c>
      <c r="V1099" t="b">
        <f ca="1">Validation[[#This Row],[Desired Result]]=Validation[[#This Row],[Result]]</f>
        <v>1</v>
      </c>
      <c r="W1099" t="b">
        <v>0</v>
      </c>
      <c r="X1099" t="b">
        <f>Validation[[#This Row],[Range1_Low]]&gt;=Validation[[#This Row],[Range1_High]]</f>
        <v>0</v>
      </c>
      <c r="Y1099" s="111" t="s">
        <v>2845</v>
      </c>
    </row>
    <row r="1100" spans="1:25" ht="16.5" thickTop="1" thickBot="1" x14ac:dyDescent="0.3">
      <c r="A1100" t="s">
        <v>54</v>
      </c>
      <c r="B1100" t="s">
        <v>99</v>
      </c>
      <c r="C1100" s="113">
        <v>11200</v>
      </c>
      <c r="D1100" s="113">
        <v>20900</v>
      </c>
      <c r="E1100">
        <v>100</v>
      </c>
      <c r="F1100" t="s">
        <v>100</v>
      </c>
      <c r="G1100" t="s">
        <v>100</v>
      </c>
      <c r="H1100">
        <v>0</v>
      </c>
      <c r="I1100">
        <v>0</v>
      </c>
      <c r="J1100" t="s">
        <v>2833</v>
      </c>
      <c r="K1100">
        <v>0</v>
      </c>
      <c r="L1100">
        <v>5.5465999999999996E-3</v>
      </c>
      <c r="M1100">
        <v>0</v>
      </c>
      <c r="N1100">
        <v>0</v>
      </c>
      <c r="O1100" t="s">
        <v>2833</v>
      </c>
      <c r="P1100" t="s">
        <v>2833</v>
      </c>
      <c r="Q1100" t="s">
        <v>2833</v>
      </c>
      <c r="R1100">
        <f ca="1">RAND()*(Validation[[#This Row],[Range1_High]]-Validation[[#This Row],[Range1_Low]])+Validation[[#This Row],[Range1_Low]]</f>
        <v>16296.039657547617</v>
      </c>
      <c r="S1100">
        <f>Validation[[#This Row],[Range2_High]]</f>
        <v>0</v>
      </c>
      <c r="T1100" t="str" cm="1">
        <f t="array" aca="1" ref="T1100" ca="1">RoundToTwoSigFigs(Validation[[#This Row],[Test Reading]]*Validation[[#This Row],[Mult]]+Validation[[#This Row],[Base]]) &amp;" "&amp;Validation[[#This Row],[Uncert_Units]]</f>
        <v>90 WAC</v>
      </c>
      <c r="U1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WAC</v>
      </c>
      <c r="V1100" t="b">
        <f ca="1">Validation[[#This Row],[Desired Result]]=Validation[[#This Row],[Result]]</f>
        <v>1</v>
      </c>
      <c r="W1100" t="b">
        <v>1</v>
      </c>
      <c r="X1100" t="b">
        <f>Validation[[#This Row],[Range1_Low]]&gt;=Validation[[#This Row],[Range1_High]]</f>
        <v>0</v>
      </c>
      <c r="Y1100" s="111" t="s">
        <v>2843</v>
      </c>
    </row>
    <row r="1101" spans="1:25" ht="16.5" thickTop="1" thickBot="1" x14ac:dyDescent="0.3">
      <c r="A1101" t="s">
        <v>54</v>
      </c>
      <c r="B1101" t="s">
        <v>99</v>
      </c>
      <c r="C1101" s="113">
        <v>109</v>
      </c>
      <c r="D1101" s="113">
        <v>363.00009999999997</v>
      </c>
      <c r="E1101">
        <v>0.01</v>
      </c>
      <c r="F1101" t="s">
        <v>100</v>
      </c>
      <c r="G1101" t="s">
        <v>100</v>
      </c>
      <c r="H1101">
        <v>0</v>
      </c>
      <c r="I1101">
        <v>0</v>
      </c>
      <c r="J1101" t="s">
        <v>2833</v>
      </c>
      <c r="K1101">
        <v>0</v>
      </c>
      <c r="L1101">
        <v>1.1999999999999999E-3</v>
      </c>
      <c r="M1101">
        <v>0</v>
      </c>
      <c r="N1101">
        <v>0</v>
      </c>
      <c r="O1101" t="s">
        <v>2833</v>
      </c>
      <c r="P1101" t="s">
        <v>2833</v>
      </c>
      <c r="Q1101" t="s">
        <v>2833</v>
      </c>
      <c r="R1101">
        <f ca="1">RAND()*(Validation[[#This Row],[Range1_High]]-Validation[[#This Row],[Range1_Low]])+Validation[[#This Row],[Range1_Low]]</f>
        <v>165.16766824656793</v>
      </c>
      <c r="S1101">
        <f>Validation[[#This Row],[Range2_High]]</f>
        <v>0</v>
      </c>
      <c r="T1101" t="str" cm="1">
        <f t="array" aca="1" ref="T1101" ca="1">RoundToTwoSigFigs(Validation[[#This Row],[Test Reading]]*Validation[[#This Row],[Mult]]+Validation[[#This Row],[Base]]) &amp;" "&amp;Validation[[#This Row],[Uncert_Units]]</f>
        <v>0.2 WAC</v>
      </c>
      <c r="U1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WAC</v>
      </c>
      <c r="V1101" t="b">
        <f ca="1">Validation[[#This Row],[Desired Result]]=Validation[[#This Row],[Result]]</f>
        <v>1</v>
      </c>
      <c r="W1101" t="b">
        <v>1</v>
      </c>
      <c r="X1101" t="b">
        <f>Validation[[#This Row],[Range1_Low]]&gt;=Validation[[#This Row],[Range1_High]]</f>
        <v>0</v>
      </c>
      <c r="Y1101" s="111" t="s">
        <v>2843</v>
      </c>
    </row>
    <row r="1102" spans="1:25" ht="16.5" thickTop="1" thickBot="1" x14ac:dyDescent="0.3">
      <c r="A1102" t="s">
        <v>54</v>
      </c>
      <c r="B1102" t="s">
        <v>99</v>
      </c>
      <c r="C1102">
        <v>1.09E-3</v>
      </c>
      <c r="D1102">
        <v>1.0900099999999999E-2</v>
      </c>
      <c r="E1102">
        <v>1E-3</v>
      </c>
      <c r="F1102" t="s">
        <v>100</v>
      </c>
      <c r="G1102" t="s">
        <v>100</v>
      </c>
      <c r="H1102">
        <v>0</v>
      </c>
      <c r="I1102">
        <v>0</v>
      </c>
      <c r="J1102" t="s">
        <v>2833</v>
      </c>
      <c r="K1102">
        <v>0</v>
      </c>
      <c r="L1102">
        <v>0.53259999999999996</v>
      </c>
      <c r="M1102">
        <v>0</v>
      </c>
      <c r="N1102">
        <v>0</v>
      </c>
      <c r="O1102" t="s">
        <v>2833</v>
      </c>
      <c r="P1102" t="s">
        <v>2833</v>
      </c>
      <c r="Q1102" t="s">
        <v>2833</v>
      </c>
      <c r="R1102">
        <f ca="1">RAND()*(Validation[[#This Row],[Range1_High]]-Validation[[#This Row],[Range1_Low]])+Validation[[#This Row],[Range1_Low]]</f>
        <v>5.6969544418133452E-3</v>
      </c>
      <c r="S1102">
        <f>Validation[[#This Row],[Range2_High]]</f>
        <v>0</v>
      </c>
      <c r="T1102" t="str" cm="1">
        <f t="array" aca="1" ref="T1102" ca="1">RoundToTwoSigFigs(Validation[[#This Row],[Test Reading]]*Validation[[#This Row],[Mult]]+Validation[[#This Row],[Base]]) &amp;" "&amp;Validation[[#This Row],[Uncert_Units]]</f>
        <v>0.003 WAC</v>
      </c>
      <c r="U1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 WAC</v>
      </c>
      <c r="V1102" t="b">
        <f ca="1">Validation[[#This Row],[Desired Result]]=Validation[[#This Row],[Result]]</f>
        <v>1</v>
      </c>
      <c r="W1102" t="b">
        <v>0</v>
      </c>
      <c r="X1102" t="b">
        <f>Validation[[#This Row],[Range1_Low]]&gt;=Validation[[#This Row],[Range1_High]]</f>
        <v>0</v>
      </c>
      <c r="Y1102" s="111" t="s">
        <v>2845</v>
      </c>
    </row>
    <row r="1103" spans="1:25" ht="16.5" thickTop="1" thickBot="1" x14ac:dyDescent="0.3">
      <c r="A1103" t="s">
        <v>54</v>
      </c>
      <c r="B1103" t="s">
        <v>99</v>
      </c>
      <c r="C1103" s="113">
        <v>363</v>
      </c>
      <c r="D1103" s="113">
        <v>990.00009999999997</v>
      </c>
      <c r="E1103">
        <v>1</v>
      </c>
      <c r="F1103" t="s">
        <v>100</v>
      </c>
      <c r="G1103" t="s">
        <v>100</v>
      </c>
      <c r="H1103">
        <v>0</v>
      </c>
      <c r="I1103">
        <v>0</v>
      </c>
      <c r="J1103" t="s">
        <v>2833</v>
      </c>
      <c r="K1103">
        <v>0</v>
      </c>
      <c r="L1103">
        <v>1.8832E-3</v>
      </c>
      <c r="M1103">
        <v>0</v>
      </c>
      <c r="N1103">
        <v>0</v>
      </c>
      <c r="O1103" t="s">
        <v>2833</v>
      </c>
      <c r="P1103" t="s">
        <v>2833</v>
      </c>
      <c r="Q1103" t="s">
        <v>2833</v>
      </c>
      <c r="R1103">
        <f ca="1">RAND()*(Validation[[#This Row],[Range1_High]]-Validation[[#This Row],[Range1_Low]])+Validation[[#This Row],[Range1_Low]]</f>
        <v>795.54540538082199</v>
      </c>
      <c r="S1103">
        <f>Validation[[#This Row],[Range2_High]]</f>
        <v>0</v>
      </c>
      <c r="T1103" t="str" cm="1">
        <f t="array" aca="1" ref="T1103" ca="1">RoundToTwoSigFigs(Validation[[#This Row],[Test Reading]]*Validation[[#This Row],[Mult]]+Validation[[#This Row],[Base]]) &amp;" "&amp;Validation[[#This Row],[Uncert_Units]]</f>
        <v>1.5 WAC</v>
      </c>
      <c r="U1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WAC</v>
      </c>
      <c r="V1103" t="b">
        <f ca="1">Validation[[#This Row],[Desired Result]]=Validation[[#This Row],[Result]]</f>
        <v>1</v>
      </c>
      <c r="W1103" t="b">
        <v>1</v>
      </c>
      <c r="X1103" t="b">
        <f>Validation[[#This Row],[Range1_Low]]&gt;=Validation[[#This Row],[Range1_High]]</f>
        <v>0</v>
      </c>
      <c r="Y1103" s="111" t="s">
        <v>2843</v>
      </c>
    </row>
    <row r="1104" spans="1:25" ht="16.5" thickTop="1" thickBot="1" x14ac:dyDescent="0.3">
      <c r="A1104" t="s">
        <v>54</v>
      </c>
      <c r="B1104" t="s">
        <v>99</v>
      </c>
      <c r="C1104">
        <v>20900</v>
      </c>
      <c r="D1104">
        <v>20901</v>
      </c>
      <c r="E1104">
        <v>1</v>
      </c>
      <c r="F1104" t="s">
        <v>100</v>
      </c>
      <c r="G1104" t="s">
        <v>100</v>
      </c>
      <c r="H1104">
        <v>0</v>
      </c>
      <c r="I1104">
        <v>0</v>
      </c>
      <c r="J1104" t="s">
        <v>2833</v>
      </c>
      <c r="K1104">
        <v>0</v>
      </c>
      <c r="L1104">
        <v>2.0999999999999999E-3</v>
      </c>
      <c r="M1104">
        <v>0</v>
      </c>
      <c r="N1104">
        <v>0</v>
      </c>
      <c r="O1104" t="s">
        <v>2833</v>
      </c>
      <c r="P1104" t="s">
        <v>2833</v>
      </c>
      <c r="Q1104" t="s">
        <v>2833</v>
      </c>
      <c r="R1104">
        <f ca="1">RAND()*(Validation[[#This Row],[Range1_High]]-Validation[[#This Row],[Range1_Low]])+Validation[[#This Row],[Range1_Low]]</f>
        <v>20900.080172675698</v>
      </c>
      <c r="S1104">
        <f>Validation[[#This Row],[Range2_High]]</f>
        <v>0</v>
      </c>
      <c r="T1104" t="str" cm="1">
        <f t="array" aca="1" ref="T1104" ca="1">RoundToTwoSigFigs(Validation[[#This Row],[Test Reading]]*Validation[[#This Row],[Mult]]+Validation[[#This Row],[Base]]) &amp;" "&amp;Validation[[#This Row],[Uncert_Units]]</f>
        <v>44 WAC</v>
      </c>
      <c r="U1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V1104" t="b">
        <f ca="1">Validation[[#This Row],[Desired Result]]=Validation[[#This Row],[Result]]</f>
        <v>1</v>
      </c>
      <c r="W1104" t="b">
        <v>0</v>
      </c>
      <c r="X1104" t="b">
        <f>Validation[[#This Row],[Range1_Low]]&gt;=Validation[[#This Row],[Range1_High]]</f>
        <v>0</v>
      </c>
      <c r="Y1104" s="111" t="s">
        <v>2845</v>
      </c>
    </row>
    <row r="1105" spans="1:25" ht="16.5" thickTop="1" thickBot="1" x14ac:dyDescent="0.3">
      <c r="A1105" t="s">
        <v>54</v>
      </c>
      <c r="B1105" t="s">
        <v>99</v>
      </c>
      <c r="C1105" s="113">
        <v>1.0900000000000001E-4</v>
      </c>
      <c r="D1105" s="113">
        <v>1.0901000000000001E-3</v>
      </c>
      <c r="E1105">
        <v>1E-8</v>
      </c>
      <c r="F1105" t="s">
        <v>100</v>
      </c>
      <c r="G1105" t="s">
        <v>100</v>
      </c>
      <c r="H1105">
        <v>0</v>
      </c>
      <c r="I1105">
        <v>0</v>
      </c>
      <c r="J1105" t="s">
        <v>2833</v>
      </c>
      <c r="K1105">
        <v>0</v>
      </c>
      <c r="L1105">
        <v>1.6999999999999999E-3</v>
      </c>
      <c r="M1105">
        <v>0</v>
      </c>
      <c r="N1105">
        <v>0</v>
      </c>
      <c r="O1105" t="s">
        <v>2833</v>
      </c>
      <c r="P1105" t="s">
        <v>2833</v>
      </c>
      <c r="Q1105" t="s">
        <v>2833</v>
      </c>
      <c r="R1105">
        <f ca="1">RAND()*(Validation[[#This Row],[Range1_High]]-Validation[[#This Row],[Range1_Low]])+Validation[[#This Row],[Range1_Low]]</f>
        <v>5.7200844661759993E-4</v>
      </c>
      <c r="S1105">
        <f>Validation[[#This Row],[Range2_High]]</f>
        <v>0</v>
      </c>
      <c r="T1105" t="str" cm="1">
        <f t="array" aca="1" ref="T1105" ca="1">RoundToTwoSigFigs(Validation[[#This Row],[Test Reading]]*Validation[[#This Row],[Mult]]+Validation[[#This Row],[Base]]) &amp;" "&amp;Validation[[#This Row],[Uncert_Units]]</f>
        <v>0.00000097 WAC</v>
      </c>
      <c r="U1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0.00000097 WAC</v>
      </c>
      <c r="V1105" t="b">
        <f ca="1">Validation[[#This Row],[Desired Result]]=Validation[[#This Row],[Result]]</f>
        <v>1</v>
      </c>
      <c r="W1105" t="b">
        <v>1</v>
      </c>
      <c r="X1105" t="b">
        <f>Validation[[#This Row],[Range1_Low]]&gt;=Validation[[#This Row],[Range1_High]]</f>
        <v>0</v>
      </c>
      <c r="Y1105" s="111" t="s">
        <v>2843</v>
      </c>
    </row>
    <row r="1106" spans="1:25" ht="16.5" thickTop="1" thickBot="1" x14ac:dyDescent="0.3">
      <c r="A1106" t="s">
        <v>54</v>
      </c>
      <c r="B1106" t="s">
        <v>99</v>
      </c>
      <c r="C1106">
        <v>20900</v>
      </c>
      <c r="D1106">
        <v>20901</v>
      </c>
      <c r="E1106">
        <v>100</v>
      </c>
      <c r="F1106" t="s">
        <v>100</v>
      </c>
      <c r="G1106" t="s">
        <v>100</v>
      </c>
      <c r="H1106">
        <v>0</v>
      </c>
      <c r="I1106">
        <v>0</v>
      </c>
      <c r="J1106" t="s">
        <v>2833</v>
      </c>
      <c r="K1106">
        <v>0</v>
      </c>
      <c r="L1106">
        <v>5.5465999999999996E-3</v>
      </c>
      <c r="M1106">
        <v>0</v>
      </c>
      <c r="N1106">
        <v>0</v>
      </c>
      <c r="O1106" t="s">
        <v>2833</v>
      </c>
      <c r="P1106" t="s">
        <v>2833</v>
      </c>
      <c r="Q1106" t="s">
        <v>2833</v>
      </c>
      <c r="R1106">
        <f ca="1">RAND()*(Validation[[#This Row],[Range1_High]]-Validation[[#This Row],[Range1_Low]])+Validation[[#This Row],[Range1_Low]]</f>
        <v>20900.837222623868</v>
      </c>
      <c r="S1106">
        <f>Validation[[#This Row],[Range2_High]]</f>
        <v>0</v>
      </c>
      <c r="T1106" t="str" cm="1">
        <f t="array" aca="1" ref="T1106" ca="1">RoundToTwoSigFigs(Validation[[#This Row],[Test Reading]]*Validation[[#This Row],[Mult]]+Validation[[#This Row],[Base]]) &amp;" "&amp;Validation[[#This Row],[Uncert_Units]]</f>
        <v>120 WAC</v>
      </c>
      <c r="U1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V1106" t="b">
        <f ca="1">Validation[[#This Row],[Desired Result]]=Validation[[#This Row],[Result]]</f>
        <v>1</v>
      </c>
      <c r="W1106" t="b">
        <v>0</v>
      </c>
      <c r="X1106" t="b">
        <f>Validation[[#This Row],[Range1_Low]]&gt;=Validation[[#This Row],[Range1_High]]</f>
        <v>0</v>
      </c>
      <c r="Y1106" s="111" t="s">
        <v>2845</v>
      </c>
    </row>
    <row r="1107" spans="1:25" ht="16.5" thickTop="1" thickBot="1" x14ac:dyDescent="0.3">
      <c r="A1107" t="s">
        <v>54</v>
      </c>
      <c r="B1107" t="s">
        <v>99</v>
      </c>
      <c r="C1107" s="113">
        <v>11200</v>
      </c>
      <c r="D1107" s="113">
        <v>20900</v>
      </c>
      <c r="E1107">
        <v>10</v>
      </c>
      <c r="F1107" t="s">
        <v>100</v>
      </c>
      <c r="G1107" t="s">
        <v>100</v>
      </c>
      <c r="H1107">
        <v>0</v>
      </c>
      <c r="I1107">
        <v>0</v>
      </c>
      <c r="J1107" t="s">
        <v>2833</v>
      </c>
      <c r="K1107">
        <v>0</v>
      </c>
      <c r="L1107">
        <v>2.0999999999999999E-3</v>
      </c>
      <c r="M1107">
        <v>0</v>
      </c>
      <c r="N1107">
        <v>0</v>
      </c>
      <c r="O1107" t="s">
        <v>2833</v>
      </c>
      <c r="P1107" t="s">
        <v>2833</v>
      </c>
      <c r="Q1107" t="s">
        <v>2833</v>
      </c>
      <c r="R1107">
        <f ca="1">RAND()*(Validation[[#This Row],[Range1_High]]-Validation[[#This Row],[Range1_Low]])+Validation[[#This Row],[Range1_Low]]</f>
        <v>17157.108088186669</v>
      </c>
      <c r="S1107">
        <f>Validation[[#This Row],[Range2_High]]</f>
        <v>0</v>
      </c>
      <c r="T1107" t="str" cm="1">
        <f t="array" aca="1" ref="T1107" ca="1">RoundToTwoSigFigs(Validation[[#This Row],[Test Reading]]*Validation[[#This Row],[Mult]]+Validation[[#This Row],[Base]]) &amp;" "&amp;Validation[[#This Row],[Uncert_Units]]</f>
        <v>36 WAC</v>
      </c>
      <c r="U1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WAC</v>
      </c>
      <c r="V1107" t="b">
        <f ca="1">Validation[[#This Row],[Desired Result]]=Validation[[#This Row],[Result]]</f>
        <v>1</v>
      </c>
      <c r="W1107" t="b">
        <v>1</v>
      </c>
      <c r="X1107" t="b">
        <f>Validation[[#This Row],[Range1_Low]]&gt;=Validation[[#This Row],[Range1_High]]</f>
        <v>0</v>
      </c>
      <c r="Y1107" s="111" t="s">
        <v>2843</v>
      </c>
    </row>
    <row r="1108" spans="1:25" ht="16.5" thickTop="1" thickBot="1" x14ac:dyDescent="0.3">
      <c r="A1108" t="s">
        <v>54</v>
      </c>
      <c r="B1108" t="s">
        <v>99</v>
      </c>
      <c r="C1108" s="113">
        <v>10.9</v>
      </c>
      <c r="D1108" s="113">
        <v>109.0001</v>
      </c>
      <c r="E1108">
        <v>1E-3</v>
      </c>
      <c r="F1108" t="s">
        <v>100</v>
      </c>
      <c r="G1108" t="s">
        <v>100</v>
      </c>
      <c r="H1108">
        <v>0</v>
      </c>
      <c r="I1108">
        <v>0</v>
      </c>
      <c r="J1108" t="s">
        <v>2833</v>
      </c>
      <c r="K1108">
        <v>0</v>
      </c>
      <c r="L1108">
        <v>8.8000000000000003E-4</v>
      </c>
      <c r="M1108">
        <v>0</v>
      </c>
      <c r="N1108">
        <v>0</v>
      </c>
      <c r="O1108" t="s">
        <v>2833</v>
      </c>
      <c r="P1108" t="s">
        <v>2833</v>
      </c>
      <c r="Q1108" t="s">
        <v>2833</v>
      </c>
      <c r="R1108">
        <f ca="1">RAND()*(Validation[[#This Row],[Range1_High]]-Validation[[#This Row],[Range1_Low]])+Validation[[#This Row],[Range1_Low]]</f>
        <v>30.453880657304246</v>
      </c>
      <c r="S1108">
        <f>Validation[[#This Row],[Range2_High]]</f>
        <v>0</v>
      </c>
      <c r="T1108" t="str" cm="1">
        <f t="array" aca="1" ref="T1108" ca="1">RoundToTwoSigFigs(Validation[[#This Row],[Test Reading]]*Validation[[#This Row],[Mult]]+Validation[[#This Row],[Base]]) &amp;" "&amp;Validation[[#This Row],[Uncert_Units]]</f>
        <v>0.027 WAC</v>
      </c>
      <c r="U1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WAC</v>
      </c>
      <c r="V1108" t="b">
        <f ca="1">Validation[[#This Row],[Desired Result]]=Validation[[#This Row],[Result]]</f>
        <v>1</v>
      </c>
      <c r="W1108" t="b">
        <v>1</v>
      </c>
      <c r="X1108" t="b">
        <f>Validation[[#This Row],[Range1_Low]]&gt;=Validation[[#This Row],[Range1_High]]</f>
        <v>0</v>
      </c>
      <c r="Y1108" s="111" t="s">
        <v>2843</v>
      </c>
    </row>
    <row r="1109" spans="1:25" ht="16.5" thickTop="1" thickBot="1" x14ac:dyDescent="0.3">
      <c r="A1109" t="s">
        <v>54</v>
      </c>
      <c r="B1109" t="s">
        <v>99</v>
      </c>
      <c r="C1109" s="113">
        <v>990</v>
      </c>
      <c r="D1109" s="113">
        <v>3630.1</v>
      </c>
      <c r="E1109">
        <v>1</v>
      </c>
      <c r="F1109" t="s">
        <v>100</v>
      </c>
      <c r="G1109" t="s">
        <v>100</v>
      </c>
      <c r="H1109">
        <v>0</v>
      </c>
      <c r="I1109">
        <v>0</v>
      </c>
      <c r="J1109" t="s">
        <v>2833</v>
      </c>
      <c r="K1109">
        <v>0</v>
      </c>
      <c r="L1109">
        <v>2.0999999999999999E-3</v>
      </c>
      <c r="M1109">
        <v>0</v>
      </c>
      <c r="N1109">
        <v>0</v>
      </c>
      <c r="O1109" t="s">
        <v>2833</v>
      </c>
      <c r="P1109" t="s">
        <v>2833</v>
      </c>
      <c r="Q1109" t="s">
        <v>2833</v>
      </c>
      <c r="R1109">
        <f ca="1">RAND()*(Validation[[#This Row],[Range1_High]]-Validation[[#This Row],[Range1_Low]])+Validation[[#This Row],[Range1_Low]]</f>
        <v>1213.2234287458427</v>
      </c>
      <c r="S1109">
        <f>Validation[[#This Row],[Range2_High]]</f>
        <v>0</v>
      </c>
      <c r="T1109" t="str" cm="1">
        <f t="array" aca="1" ref="T1109" ca="1">RoundToTwoSigFigs(Validation[[#This Row],[Test Reading]]*Validation[[#This Row],[Mult]]+Validation[[#This Row],[Base]]) &amp;" "&amp;Validation[[#This Row],[Uncert_Units]]</f>
        <v>2.5 WAC</v>
      </c>
      <c r="U1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WAC</v>
      </c>
      <c r="V1109" t="b">
        <f ca="1">Validation[[#This Row],[Desired Result]]=Validation[[#This Row],[Result]]</f>
        <v>1</v>
      </c>
      <c r="W1109" t="b">
        <v>1</v>
      </c>
      <c r="X1109" t="b">
        <f>Validation[[#This Row],[Range1_Low]]&gt;=Validation[[#This Row],[Range1_High]]</f>
        <v>0</v>
      </c>
      <c r="Y1109" s="111" t="s">
        <v>2843</v>
      </c>
    </row>
    <row r="1110" spans="1:25" ht="16.5" thickTop="1" thickBot="1" x14ac:dyDescent="0.3">
      <c r="A1110" t="s">
        <v>54</v>
      </c>
      <c r="B1110" t="s">
        <v>99</v>
      </c>
      <c r="C1110">
        <v>0.109</v>
      </c>
      <c r="D1110">
        <v>1.0901000000000001</v>
      </c>
      <c r="E1110">
        <v>0.1</v>
      </c>
      <c r="F1110" t="s">
        <v>100</v>
      </c>
      <c r="G1110" t="s">
        <v>100</v>
      </c>
      <c r="H1110">
        <v>0</v>
      </c>
      <c r="I1110">
        <v>0</v>
      </c>
      <c r="J1110" t="s">
        <v>2833</v>
      </c>
      <c r="K1110">
        <v>0</v>
      </c>
      <c r="L1110">
        <v>0.53259999999999996</v>
      </c>
      <c r="M1110">
        <v>0</v>
      </c>
      <c r="N1110">
        <v>0</v>
      </c>
      <c r="O1110" t="s">
        <v>2833</v>
      </c>
      <c r="P1110" t="s">
        <v>2833</v>
      </c>
      <c r="Q1110" t="s">
        <v>2833</v>
      </c>
      <c r="R1110">
        <f ca="1">RAND()*(Validation[[#This Row],[Range1_High]]-Validation[[#This Row],[Range1_Low]])+Validation[[#This Row],[Range1_Low]]</f>
        <v>0.2659727980905825</v>
      </c>
      <c r="S1110">
        <f>Validation[[#This Row],[Range2_High]]</f>
        <v>0</v>
      </c>
      <c r="T1110" t="str" cm="1">
        <f t="array" aca="1" ref="T1110" ca="1">RoundToTwoSigFigs(Validation[[#This Row],[Test Reading]]*Validation[[#This Row],[Mult]]+Validation[[#This Row],[Base]]) &amp;" "&amp;Validation[[#This Row],[Uncert_Units]]</f>
        <v>0.14 WAC</v>
      </c>
      <c r="U1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WAC</v>
      </c>
      <c r="V1110" t="b">
        <f ca="1">Validation[[#This Row],[Desired Result]]=Validation[[#This Row],[Result]]</f>
        <v>1</v>
      </c>
      <c r="W1110" t="b">
        <v>0</v>
      </c>
      <c r="X1110" t="b">
        <f>Validation[[#This Row],[Range1_Low]]&gt;=Validation[[#This Row],[Range1_High]]</f>
        <v>0</v>
      </c>
      <c r="Y1110" s="111" t="s">
        <v>2845</v>
      </c>
    </row>
    <row r="1111" spans="1:25" ht="16.5" thickTop="1" thickBot="1" x14ac:dyDescent="0.3">
      <c r="A1111" t="s">
        <v>54</v>
      </c>
      <c r="B1111" t="s">
        <v>99</v>
      </c>
      <c r="C1111" s="113">
        <v>109</v>
      </c>
      <c r="D1111" s="113">
        <v>363.00009999999997</v>
      </c>
      <c r="E1111">
        <v>10</v>
      </c>
      <c r="F1111" t="s">
        <v>100</v>
      </c>
      <c r="G1111" t="s">
        <v>100</v>
      </c>
      <c r="H1111">
        <v>0</v>
      </c>
      <c r="I1111">
        <v>0</v>
      </c>
      <c r="J1111" t="s">
        <v>2833</v>
      </c>
      <c r="K1111">
        <v>0</v>
      </c>
      <c r="L1111">
        <v>5.3273000000000001E-2</v>
      </c>
      <c r="M1111">
        <v>0</v>
      </c>
      <c r="N1111">
        <v>0</v>
      </c>
      <c r="O1111" t="s">
        <v>2833</v>
      </c>
      <c r="P1111" t="s">
        <v>2833</v>
      </c>
      <c r="Q1111" t="s">
        <v>2833</v>
      </c>
      <c r="R1111">
        <f ca="1">RAND()*(Validation[[#This Row],[Range1_High]]-Validation[[#This Row],[Range1_Low]])+Validation[[#This Row],[Range1_Low]]</f>
        <v>357.56583865423772</v>
      </c>
      <c r="S1111">
        <f>Validation[[#This Row],[Range2_High]]</f>
        <v>0</v>
      </c>
      <c r="T1111" t="str" cm="1">
        <f t="array" aca="1" ref="T1111" ca="1">RoundToTwoSigFigs(Validation[[#This Row],[Test Reading]]*Validation[[#This Row],[Mult]]+Validation[[#This Row],[Base]]) &amp;" "&amp;Validation[[#This Row],[Uncert_Units]]</f>
        <v>19 WAC</v>
      </c>
      <c r="U1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WAC</v>
      </c>
      <c r="V1111" t="b">
        <f ca="1">Validation[[#This Row],[Desired Result]]=Validation[[#This Row],[Result]]</f>
        <v>1</v>
      </c>
      <c r="W1111" t="b">
        <v>1</v>
      </c>
      <c r="X1111" t="b">
        <f>Validation[[#This Row],[Range1_Low]]&gt;=Validation[[#This Row],[Range1_High]]</f>
        <v>0</v>
      </c>
      <c r="Y1111" s="111" t="s">
        <v>2843</v>
      </c>
    </row>
    <row r="1112" spans="1:25" ht="16.5" thickTop="1" thickBot="1" x14ac:dyDescent="0.3">
      <c r="A1112" t="s">
        <v>54</v>
      </c>
      <c r="B1112" t="s">
        <v>99</v>
      </c>
      <c r="C1112" s="113">
        <v>3630</v>
      </c>
      <c r="D1112" s="113">
        <v>11200.1</v>
      </c>
      <c r="E1112">
        <v>1000</v>
      </c>
      <c r="F1112" t="s">
        <v>100</v>
      </c>
      <c r="G1112" t="s">
        <v>100</v>
      </c>
      <c r="H1112">
        <v>0</v>
      </c>
      <c r="I1112">
        <v>0</v>
      </c>
      <c r="J1112" t="s">
        <v>2833</v>
      </c>
      <c r="K1112">
        <v>0</v>
      </c>
      <c r="L1112">
        <v>0.15978999999999999</v>
      </c>
      <c r="M1112">
        <v>0</v>
      </c>
      <c r="N1112">
        <v>0</v>
      </c>
      <c r="O1112" t="s">
        <v>2833</v>
      </c>
      <c r="P1112" t="s">
        <v>2833</v>
      </c>
      <c r="Q1112" t="s">
        <v>2833</v>
      </c>
      <c r="R1112">
        <f ca="1">RAND()*(Validation[[#This Row],[Range1_High]]-Validation[[#This Row],[Range1_Low]])+Validation[[#This Row],[Range1_Low]]</f>
        <v>7254.6818818941883</v>
      </c>
      <c r="S1112">
        <f>Validation[[#This Row],[Range2_High]]</f>
        <v>0</v>
      </c>
      <c r="T1112" t="str" cm="1">
        <f t="array" aca="1" ref="T1112" ca="1">RoundToTwoSigFigs(Validation[[#This Row],[Test Reading]]*Validation[[#This Row],[Mult]]+Validation[[#This Row],[Base]]) &amp;" "&amp;Validation[[#This Row],[Uncert_Units]]</f>
        <v>1200 WAC</v>
      </c>
      <c r="U1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WAC</v>
      </c>
      <c r="V1112" t="b">
        <f ca="1">Validation[[#This Row],[Desired Result]]=Validation[[#This Row],[Result]]</f>
        <v>1</v>
      </c>
      <c r="W1112" t="b">
        <v>1</v>
      </c>
      <c r="X1112" t="b">
        <f>Validation[[#This Row],[Range1_Low]]&gt;=Validation[[#This Row],[Range1_High]]</f>
        <v>0</v>
      </c>
      <c r="Y1112" s="111" t="s">
        <v>2843</v>
      </c>
    </row>
    <row r="1113" spans="1:25" ht="16.5" thickTop="1" thickBot="1" x14ac:dyDescent="0.3">
      <c r="A1113" t="s">
        <v>54</v>
      </c>
      <c r="B1113" t="s">
        <v>99</v>
      </c>
      <c r="C1113" s="113">
        <v>10.9</v>
      </c>
      <c r="D1113" s="113">
        <v>109.0001</v>
      </c>
      <c r="E1113">
        <v>1</v>
      </c>
      <c r="F1113" t="s">
        <v>100</v>
      </c>
      <c r="G1113" t="s">
        <v>100</v>
      </c>
      <c r="H1113">
        <v>0</v>
      </c>
      <c r="I1113">
        <v>0</v>
      </c>
      <c r="J1113" t="s">
        <v>2833</v>
      </c>
      <c r="K1113">
        <v>0</v>
      </c>
      <c r="L1113">
        <v>5.3268000000000003E-2</v>
      </c>
      <c r="M1113">
        <v>0</v>
      </c>
      <c r="N1113">
        <v>0</v>
      </c>
      <c r="O1113" t="s">
        <v>2833</v>
      </c>
      <c r="P1113" t="s">
        <v>2833</v>
      </c>
      <c r="Q1113" t="s">
        <v>2833</v>
      </c>
      <c r="R1113">
        <f ca="1">RAND()*(Validation[[#This Row],[Range1_High]]-Validation[[#This Row],[Range1_Low]])+Validation[[#This Row],[Range1_Low]]</f>
        <v>21.06371247207867</v>
      </c>
      <c r="S1113">
        <f>Validation[[#This Row],[Range2_High]]</f>
        <v>0</v>
      </c>
      <c r="T1113" t="str" cm="1">
        <f t="array" aca="1" ref="T1113" ca="1">RoundToTwoSigFigs(Validation[[#This Row],[Test Reading]]*Validation[[#This Row],[Mult]]+Validation[[#This Row],[Base]]) &amp;" "&amp;Validation[[#This Row],[Uncert_Units]]</f>
        <v>1.1 WAC</v>
      </c>
      <c r="U1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WAC</v>
      </c>
      <c r="V1113" t="b">
        <f ca="1">Validation[[#This Row],[Desired Result]]=Validation[[#This Row],[Result]]</f>
        <v>1</v>
      </c>
      <c r="W1113" t="b">
        <v>1</v>
      </c>
      <c r="X1113" t="b">
        <f>Validation[[#This Row],[Range1_Low]]&gt;=Validation[[#This Row],[Range1_High]]</f>
        <v>0</v>
      </c>
      <c r="Y1113" s="111" t="s">
        <v>2843</v>
      </c>
    </row>
    <row r="1114" spans="1:25" ht="16.5" thickTop="1" thickBot="1" x14ac:dyDescent="0.3">
      <c r="A1114" t="s">
        <v>54</v>
      </c>
      <c r="B1114" t="s">
        <v>99</v>
      </c>
      <c r="C1114" s="113">
        <v>0.109</v>
      </c>
      <c r="D1114" s="113">
        <v>1.0901000000000001</v>
      </c>
      <c r="E1114">
        <v>1.0000000000000001E-5</v>
      </c>
      <c r="F1114" t="s">
        <v>100</v>
      </c>
      <c r="G1114" t="s">
        <v>100</v>
      </c>
      <c r="H1114">
        <v>0</v>
      </c>
      <c r="I1114">
        <v>0</v>
      </c>
      <c r="J1114" t="s">
        <v>2833</v>
      </c>
      <c r="K1114">
        <v>0</v>
      </c>
      <c r="L1114">
        <v>7.7999999999999999E-4</v>
      </c>
      <c r="M1114">
        <v>0</v>
      </c>
      <c r="N1114">
        <v>0</v>
      </c>
      <c r="O1114" t="s">
        <v>2833</v>
      </c>
      <c r="P1114" t="s">
        <v>2833</v>
      </c>
      <c r="Q1114" t="s">
        <v>2833</v>
      </c>
      <c r="R1114">
        <f ca="1">RAND()*(Validation[[#This Row],[Range1_High]]-Validation[[#This Row],[Range1_Low]])+Validation[[#This Row],[Range1_Low]]</f>
        <v>0.2030192501539953</v>
      </c>
      <c r="S1114">
        <f>Validation[[#This Row],[Range2_High]]</f>
        <v>0</v>
      </c>
      <c r="T1114" t="str" cm="1">
        <f t="array" aca="1" ref="T1114" ca="1">RoundToTwoSigFigs(Validation[[#This Row],[Test Reading]]*Validation[[#This Row],[Mult]]+Validation[[#This Row],[Base]]) &amp;" "&amp;Validation[[#This Row],[Uncert_Units]]</f>
        <v>0.00016 WAC</v>
      </c>
      <c r="U1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0.00016 WAC</v>
      </c>
      <c r="V1114" t="b">
        <f ca="1">Validation[[#This Row],[Desired Result]]=Validation[[#This Row],[Result]]</f>
        <v>1</v>
      </c>
      <c r="W1114" t="b">
        <v>1</v>
      </c>
      <c r="X1114" t="b">
        <f>Validation[[#This Row],[Range1_Low]]&gt;=Validation[[#This Row],[Range1_High]]</f>
        <v>0</v>
      </c>
      <c r="Y1114" s="111" t="s">
        <v>2843</v>
      </c>
    </row>
    <row r="1115" spans="1:25" ht="16.5" thickTop="1" thickBot="1" x14ac:dyDescent="0.3">
      <c r="A1115" t="s">
        <v>54</v>
      </c>
      <c r="B1115" t="s">
        <v>99</v>
      </c>
      <c r="C1115" s="113">
        <v>11200</v>
      </c>
      <c r="D1115" s="113">
        <v>20900</v>
      </c>
      <c r="E1115">
        <v>1000</v>
      </c>
      <c r="F1115" t="s">
        <v>100</v>
      </c>
      <c r="G1115" t="s">
        <v>100</v>
      </c>
      <c r="H1115">
        <v>0</v>
      </c>
      <c r="I1115">
        <v>0</v>
      </c>
      <c r="J1115" t="s">
        <v>2833</v>
      </c>
      <c r="K1115">
        <v>0</v>
      </c>
      <c r="L1115">
        <v>5.1733000000000001E-2</v>
      </c>
      <c r="M1115">
        <v>0</v>
      </c>
      <c r="N1115">
        <v>0</v>
      </c>
      <c r="O1115" t="s">
        <v>2833</v>
      </c>
      <c r="P1115" t="s">
        <v>2833</v>
      </c>
      <c r="Q1115" t="s">
        <v>2833</v>
      </c>
      <c r="R1115">
        <f ca="1">RAND()*(Validation[[#This Row],[Range1_High]]-Validation[[#This Row],[Range1_Low]])+Validation[[#This Row],[Range1_Low]]</f>
        <v>14480.143901122136</v>
      </c>
      <c r="S1115">
        <f>Validation[[#This Row],[Range2_High]]</f>
        <v>0</v>
      </c>
      <c r="T1115" t="str" cm="1">
        <f t="array" aca="1" ref="T1115" ca="1">RoundToTwoSigFigs(Validation[[#This Row],[Test Reading]]*Validation[[#This Row],[Mult]]+Validation[[#This Row],[Base]]) &amp;" "&amp;Validation[[#This Row],[Uncert_Units]]</f>
        <v>750 WAC</v>
      </c>
      <c r="U1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WAC</v>
      </c>
      <c r="V1115" t="b">
        <f ca="1">Validation[[#This Row],[Desired Result]]=Validation[[#This Row],[Result]]</f>
        <v>1</v>
      </c>
      <c r="W1115" t="b">
        <v>1</v>
      </c>
      <c r="X1115" t="b">
        <f>Validation[[#This Row],[Range1_Low]]&gt;=Validation[[#This Row],[Range1_High]]</f>
        <v>0</v>
      </c>
      <c r="Y1115" s="111" t="s">
        <v>2843</v>
      </c>
    </row>
    <row r="1116" spans="1:25" ht="16.5" thickTop="1" thickBot="1" x14ac:dyDescent="0.3">
      <c r="A1116" t="s">
        <v>54</v>
      </c>
      <c r="B1116" t="s">
        <v>99</v>
      </c>
      <c r="C1116" s="113">
        <v>109</v>
      </c>
      <c r="D1116" s="113">
        <v>363.00009999999997</v>
      </c>
      <c r="E1116">
        <v>1</v>
      </c>
      <c r="F1116" t="s">
        <v>100</v>
      </c>
      <c r="G1116" t="s">
        <v>100</v>
      </c>
      <c r="H1116">
        <v>0</v>
      </c>
      <c r="I1116">
        <v>0</v>
      </c>
      <c r="J1116" t="s">
        <v>2833</v>
      </c>
      <c r="K1116">
        <v>0</v>
      </c>
      <c r="L1116">
        <v>5.4419000000000004E-3</v>
      </c>
      <c r="M1116">
        <v>0</v>
      </c>
      <c r="N1116">
        <v>0</v>
      </c>
      <c r="O1116" t="s">
        <v>2833</v>
      </c>
      <c r="P1116" t="s">
        <v>2833</v>
      </c>
      <c r="Q1116" t="s">
        <v>2833</v>
      </c>
      <c r="R1116">
        <f ca="1">RAND()*(Validation[[#This Row],[Range1_High]]-Validation[[#This Row],[Range1_Low]])+Validation[[#This Row],[Range1_Low]]</f>
        <v>256.3404117236081</v>
      </c>
      <c r="S1116">
        <f>Validation[[#This Row],[Range2_High]]</f>
        <v>0</v>
      </c>
      <c r="T1116" t="str" cm="1">
        <f t="array" aca="1" ref="T1116" ca="1">RoundToTwoSigFigs(Validation[[#This Row],[Test Reading]]*Validation[[#This Row],[Mult]]+Validation[[#This Row],[Base]]) &amp;" "&amp;Validation[[#This Row],[Uncert_Units]]</f>
        <v>1.4 WAC</v>
      </c>
      <c r="U1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WAC</v>
      </c>
      <c r="V1116" t="b">
        <f ca="1">Validation[[#This Row],[Desired Result]]=Validation[[#This Row],[Result]]</f>
        <v>1</v>
      </c>
      <c r="W1116" t="b">
        <v>1</v>
      </c>
      <c r="X1116" t="b">
        <f>Validation[[#This Row],[Range1_Low]]&gt;=Validation[[#This Row],[Range1_High]]</f>
        <v>0</v>
      </c>
      <c r="Y1116" s="111" t="s">
        <v>2843</v>
      </c>
    </row>
    <row r="1117" spans="1:25" ht="16.5" thickTop="1" thickBot="1" x14ac:dyDescent="0.3">
      <c r="A1117" t="s">
        <v>54</v>
      </c>
      <c r="B1117" t="s">
        <v>99</v>
      </c>
      <c r="C1117" s="113">
        <v>1.09E-2</v>
      </c>
      <c r="D1117" s="113">
        <v>0.1090001</v>
      </c>
      <c r="E1117">
        <v>9.9999999999999995E-7</v>
      </c>
      <c r="F1117" t="s">
        <v>100</v>
      </c>
      <c r="G1117" t="s">
        <v>100</v>
      </c>
      <c r="H1117">
        <v>0</v>
      </c>
      <c r="I1117">
        <v>0</v>
      </c>
      <c r="J1117" t="s">
        <v>2833</v>
      </c>
      <c r="K1117">
        <v>0</v>
      </c>
      <c r="L1117">
        <v>7.7999999999999999E-4</v>
      </c>
      <c r="M1117">
        <v>0</v>
      </c>
      <c r="N1117">
        <v>0</v>
      </c>
      <c r="O1117" t="s">
        <v>2833</v>
      </c>
      <c r="P1117" t="s">
        <v>2833</v>
      </c>
      <c r="Q1117" t="s">
        <v>2833</v>
      </c>
      <c r="R1117">
        <f ca="1">RAND()*(Validation[[#This Row],[Range1_High]]-Validation[[#This Row],[Range1_Low]])+Validation[[#This Row],[Range1_Low]]</f>
        <v>8.4795726485802414E-2</v>
      </c>
      <c r="S1117">
        <f>Validation[[#This Row],[Range2_High]]</f>
        <v>0</v>
      </c>
      <c r="T1117" t="str" cm="1">
        <f t="array" aca="1" ref="T1117" ca="1">RoundToTwoSigFigs(Validation[[#This Row],[Test Reading]]*Validation[[#This Row],[Mult]]+Validation[[#This Row],[Base]]) &amp;" "&amp;Validation[[#This Row],[Uncert_Units]]</f>
        <v>0.000066 WAC</v>
      </c>
      <c r="U1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0.000066 WAC</v>
      </c>
      <c r="V1117" t="b">
        <f ca="1">Validation[[#This Row],[Desired Result]]=Validation[[#This Row],[Result]]</f>
        <v>1</v>
      </c>
      <c r="W1117" t="b">
        <v>1</v>
      </c>
      <c r="X1117" t="b">
        <f>Validation[[#This Row],[Range1_Low]]&gt;=Validation[[#This Row],[Range1_High]]</f>
        <v>0</v>
      </c>
      <c r="Y1117" s="111" t="s">
        <v>2843</v>
      </c>
    </row>
    <row r="1118" spans="1:25" ht="16.5" thickTop="1" thickBot="1" x14ac:dyDescent="0.3">
      <c r="A1118" t="s">
        <v>54</v>
      </c>
      <c r="B1118" t="s">
        <v>99</v>
      </c>
      <c r="C1118" s="113">
        <v>3630</v>
      </c>
      <c r="D1118" s="113">
        <v>11200.1</v>
      </c>
      <c r="E1118">
        <v>10</v>
      </c>
      <c r="F1118" t="s">
        <v>100</v>
      </c>
      <c r="G1118" t="s">
        <v>100</v>
      </c>
      <c r="H1118">
        <v>0</v>
      </c>
      <c r="I1118">
        <v>0</v>
      </c>
      <c r="J1118" t="s">
        <v>2833</v>
      </c>
      <c r="K1118">
        <v>0</v>
      </c>
      <c r="L1118">
        <v>2.2011999999999999E-3</v>
      </c>
      <c r="M1118">
        <v>0</v>
      </c>
      <c r="N1118">
        <v>0</v>
      </c>
      <c r="O1118" t="s">
        <v>2833</v>
      </c>
      <c r="P1118" t="s">
        <v>2833</v>
      </c>
      <c r="Q1118" t="s">
        <v>2833</v>
      </c>
      <c r="R1118">
        <f ca="1">RAND()*(Validation[[#This Row],[Range1_High]]-Validation[[#This Row],[Range1_Low]])+Validation[[#This Row],[Range1_Low]]</f>
        <v>7427.2179763513523</v>
      </c>
      <c r="S1118">
        <f>Validation[[#This Row],[Range2_High]]</f>
        <v>0</v>
      </c>
      <c r="T1118" t="str" cm="1">
        <f t="array" aca="1" ref="T1118" ca="1">RoundToTwoSigFigs(Validation[[#This Row],[Test Reading]]*Validation[[#This Row],[Mult]]+Validation[[#This Row],[Base]]) &amp;" "&amp;Validation[[#This Row],[Uncert_Units]]</f>
        <v>16 WAC</v>
      </c>
      <c r="U1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WAC</v>
      </c>
      <c r="V1118" t="b">
        <f ca="1">Validation[[#This Row],[Desired Result]]=Validation[[#This Row],[Result]]</f>
        <v>1</v>
      </c>
      <c r="W1118" t="b">
        <v>1</v>
      </c>
      <c r="X1118" t="b">
        <f>Validation[[#This Row],[Range1_Low]]&gt;=Validation[[#This Row],[Range1_High]]</f>
        <v>0</v>
      </c>
      <c r="Y1118" s="111" t="s">
        <v>2843</v>
      </c>
    </row>
    <row r="1119" spans="1:25" ht="16.5" thickTop="1" thickBot="1" x14ac:dyDescent="0.3">
      <c r="A1119" t="s">
        <v>54</v>
      </c>
      <c r="B1119" t="s">
        <v>99</v>
      </c>
      <c r="C1119" s="113">
        <v>1.0900000000000001E-4</v>
      </c>
      <c r="D1119" s="113">
        <v>1.0901000000000001E-3</v>
      </c>
      <c r="E1119">
        <v>1.0000000000000001E-5</v>
      </c>
      <c r="F1119" t="s">
        <v>100</v>
      </c>
      <c r="G1119" t="s">
        <v>100</v>
      </c>
      <c r="H1119">
        <v>0</v>
      </c>
      <c r="I1119">
        <v>0</v>
      </c>
      <c r="J1119" t="s">
        <v>2833</v>
      </c>
      <c r="K1119">
        <v>0</v>
      </c>
      <c r="L1119">
        <v>5.3284999999999999E-2</v>
      </c>
      <c r="M1119">
        <v>0</v>
      </c>
      <c r="N1119">
        <v>0</v>
      </c>
      <c r="O1119" t="s">
        <v>2833</v>
      </c>
      <c r="P1119" t="s">
        <v>2833</v>
      </c>
      <c r="Q1119" t="s">
        <v>2833</v>
      </c>
      <c r="R1119">
        <f ca="1">RAND()*(Validation[[#This Row],[Range1_High]]-Validation[[#This Row],[Range1_Low]])+Validation[[#This Row],[Range1_Low]]</f>
        <v>6.7475967220415923E-4</v>
      </c>
      <c r="S1119">
        <f>Validation[[#This Row],[Range2_High]]</f>
        <v>0</v>
      </c>
      <c r="T1119" t="str" cm="1">
        <f t="array" aca="1" ref="T1119" ca="1">RoundToTwoSigFigs(Validation[[#This Row],[Test Reading]]*Validation[[#This Row],[Mult]]+Validation[[#This Row],[Base]]) &amp;" "&amp;Validation[[#This Row],[Uncert_Units]]</f>
        <v>0.000036 WAC</v>
      </c>
      <c r="U1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0.000036 WAC</v>
      </c>
      <c r="V1119" t="b">
        <f ca="1">Validation[[#This Row],[Desired Result]]=Validation[[#This Row],[Result]]</f>
        <v>1</v>
      </c>
      <c r="W1119" t="b">
        <v>1</v>
      </c>
      <c r="X1119" t="b">
        <f>Validation[[#This Row],[Range1_Low]]&gt;=Validation[[#This Row],[Range1_High]]</f>
        <v>0</v>
      </c>
      <c r="Y1119" s="111" t="s">
        <v>2843</v>
      </c>
    </row>
    <row r="1120" spans="1:25" ht="16.5" thickTop="1" thickBot="1" x14ac:dyDescent="0.3">
      <c r="A1120" t="s">
        <v>54</v>
      </c>
      <c r="B1120" t="s">
        <v>99</v>
      </c>
      <c r="C1120" s="113">
        <v>1.09E-3</v>
      </c>
      <c r="D1120" s="113">
        <v>1.0900099999999999E-2</v>
      </c>
      <c r="E1120">
        <v>1E-4</v>
      </c>
      <c r="F1120" t="s">
        <v>100</v>
      </c>
      <c r="G1120" t="s">
        <v>100</v>
      </c>
      <c r="H1120">
        <v>0</v>
      </c>
      <c r="I1120">
        <v>0</v>
      </c>
      <c r="J1120" t="s">
        <v>2833</v>
      </c>
      <c r="K1120">
        <v>0</v>
      </c>
      <c r="L1120">
        <v>5.3275000000000003E-2</v>
      </c>
      <c r="M1120">
        <v>0</v>
      </c>
      <c r="N1120">
        <v>0</v>
      </c>
      <c r="O1120" t="s">
        <v>2833</v>
      </c>
      <c r="P1120" t="s">
        <v>2833</v>
      </c>
      <c r="Q1120" t="s">
        <v>2833</v>
      </c>
      <c r="R1120">
        <f ca="1">RAND()*(Validation[[#This Row],[Range1_High]]-Validation[[#This Row],[Range1_Low]])+Validation[[#This Row],[Range1_Low]]</f>
        <v>8.3521446394046548E-3</v>
      </c>
      <c r="S1120">
        <f>Validation[[#This Row],[Range2_High]]</f>
        <v>0</v>
      </c>
      <c r="T1120" t="str" cm="1">
        <f t="array" aca="1" ref="T1120" ca="1">RoundToTwoSigFigs(Validation[[#This Row],[Test Reading]]*Validation[[#This Row],[Mult]]+Validation[[#This Row],[Base]]) &amp;" "&amp;Validation[[#This Row],[Uncert_Units]]</f>
        <v>0.00044 WAC</v>
      </c>
      <c r="U1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0.00044 WAC</v>
      </c>
      <c r="V1120" t="b">
        <f ca="1">Validation[[#This Row],[Desired Result]]=Validation[[#This Row],[Result]]</f>
        <v>1</v>
      </c>
      <c r="W1120" t="b">
        <v>1</v>
      </c>
      <c r="X1120" t="b">
        <f>Validation[[#This Row],[Range1_Low]]&gt;=Validation[[#This Row],[Range1_High]]</f>
        <v>0</v>
      </c>
      <c r="Y1120" s="111" t="s">
        <v>2843</v>
      </c>
    </row>
    <row r="1121" spans="1:25" ht="16.5" thickTop="1" thickBot="1" x14ac:dyDescent="0.3">
      <c r="A1121" t="s">
        <v>54</v>
      </c>
      <c r="B1121" t="s">
        <v>99</v>
      </c>
      <c r="C1121">
        <v>1.0900000000000001E-5</v>
      </c>
      <c r="D1121">
        <v>1.0900000000000001E-4</v>
      </c>
      <c r="E1121">
        <v>1.0000000000000001E-5</v>
      </c>
      <c r="F1121" t="s">
        <v>100</v>
      </c>
      <c r="G1121" t="s">
        <v>100</v>
      </c>
      <c r="H1121">
        <v>0</v>
      </c>
      <c r="I1121">
        <v>0</v>
      </c>
      <c r="J1121" t="s">
        <v>2833</v>
      </c>
      <c r="K1121">
        <v>0</v>
      </c>
      <c r="L1121">
        <v>0.53261000000000003</v>
      </c>
      <c r="M1121">
        <v>0</v>
      </c>
      <c r="N1121">
        <v>0</v>
      </c>
      <c r="O1121" t="s">
        <v>2833</v>
      </c>
      <c r="P1121" t="s">
        <v>2833</v>
      </c>
      <c r="Q1121" t="s">
        <v>2833</v>
      </c>
      <c r="R1121">
        <f ca="1">RAND()*(Validation[[#This Row],[Range1_High]]-Validation[[#This Row],[Range1_Low]])+Validation[[#This Row],[Range1_Low]]</f>
        <v>1.0279863175717568E-4</v>
      </c>
      <c r="S1121">
        <f>Validation[[#This Row],[Range2_High]]</f>
        <v>0</v>
      </c>
      <c r="T1121" t="str" cm="1">
        <f t="array" aca="1" ref="T1121" ca="1">RoundToTwoSigFigs(Validation[[#This Row],[Test Reading]]*Validation[[#This Row],[Mult]]+Validation[[#This Row],[Base]]) &amp;" "&amp;Validation[[#This Row],[Uncert_Units]]</f>
        <v>0.000055 WAC</v>
      </c>
      <c r="U1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0.000055 WAC</v>
      </c>
      <c r="V1121" t="b">
        <f ca="1">Validation[[#This Row],[Desired Result]]=Validation[[#This Row],[Result]]</f>
        <v>1</v>
      </c>
      <c r="W1121" t="b">
        <v>0</v>
      </c>
      <c r="X1121" t="b">
        <f>Validation[[#This Row],[Range1_Low]]&gt;=Validation[[#This Row],[Range1_High]]</f>
        <v>0</v>
      </c>
      <c r="Y1121" s="111" t="s">
        <v>2845</v>
      </c>
    </row>
    <row r="1122" spans="1:25" ht="16.5" thickTop="1" thickBot="1" x14ac:dyDescent="0.3">
      <c r="A1122" t="s">
        <v>54</v>
      </c>
      <c r="B1122" t="s">
        <v>99</v>
      </c>
      <c r="C1122" s="113">
        <v>10.9</v>
      </c>
      <c r="D1122" s="113">
        <v>109.0001</v>
      </c>
      <c r="E1122">
        <v>0.01</v>
      </c>
      <c r="F1122" t="s">
        <v>100</v>
      </c>
      <c r="G1122" t="s">
        <v>100</v>
      </c>
      <c r="H1122">
        <v>0</v>
      </c>
      <c r="I1122">
        <v>0</v>
      </c>
      <c r="J1122" t="s">
        <v>2833</v>
      </c>
      <c r="K1122">
        <v>0</v>
      </c>
      <c r="L1122">
        <v>1.0256E-3</v>
      </c>
      <c r="M1122">
        <v>0</v>
      </c>
      <c r="N1122">
        <v>0</v>
      </c>
      <c r="O1122" t="s">
        <v>2833</v>
      </c>
      <c r="P1122" t="s">
        <v>2833</v>
      </c>
      <c r="Q1122" t="s">
        <v>2833</v>
      </c>
      <c r="R1122">
        <f ca="1">RAND()*(Validation[[#This Row],[Range1_High]]-Validation[[#This Row],[Range1_Low]])+Validation[[#This Row],[Range1_Low]]</f>
        <v>87.07801282348899</v>
      </c>
      <c r="S1122">
        <f>Validation[[#This Row],[Range2_High]]</f>
        <v>0</v>
      </c>
      <c r="T1122" t="str" cm="1">
        <f t="array" aca="1" ref="T1122" ca="1">RoundToTwoSigFigs(Validation[[#This Row],[Test Reading]]*Validation[[#This Row],[Mult]]+Validation[[#This Row],[Base]]) &amp;" "&amp;Validation[[#This Row],[Uncert_Units]]</f>
        <v>0.089 WAC</v>
      </c>
      <c r="U1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0.089 WAC</v>
      </c>
      <c r="V1122" t="b">
        <f ca="1">Validation[[#This Row],[Desired Result]]=Validation[[#This Row],[Result]]</f>
        <v>1</v>
      </c>
      <c r="W1122" t="b">
        <v>1</v>
      </c>
      <c r="X1122" t="b">
        <f>Validation[[#This Row],[Range1_Low]]&gt;=Validation[[#This Row],[Range1_High]]</f>
        <v>0</v>
      </c>
      <c r="Y1122" s="111" t="s">
        <v>2843</v>
      </c>
    </row>
    <row r="1123" spans="1:25" ht="16.5" thickTop="1" thickBot="1" x14ac:dyDescent="0.3">
      <c r="A1123" t="s">
        <v>54</v>
      </c>
      <c r="B1123" t="s">
        <v>99</v>
      </c>
      <c r="C1123" s="113">
        <v>1.0900000000000001E-4</v>
      </c>
      <c r="D1123" s="113">
        <v>1.0901000000000001E-3</v>
      </c>
      <c r="E1123">
        <v>9.9999999999999995E-7</v>
      </c>
      <c r="F1123" t="s">
        <v>100</v>
      </c>
      <c r="G1123" t="s">
        <v>100</v>
      </c>
      <c r="H1123">
        <v>0</v>
      </c>
      <c r="I1123">
        <v>0</v>
      </c>
      <c r="J1123" t="s">
        <v>2833</v>
      </c>
      <c r="K1123">
        <v>0</v>
      </c>
      <c r="L1123">
        <v>5.5645E-3</v>
      </c>
      <c r="M1123">
        <v>0</v>
      </c>
      <c r="N1123">
        <v>0</v>
      </c>
      <c r="O1123" t="s">
        <v>2833</v>
      </c>
      <c r="P1123" t="s">
        <v>2833</v>
      </c>
      <c r="Q1123" t="s">
        <v>2833</v>
      </c>
      <c r="R1123">
        <f ca="1">RAND()*(Validation[[#This Row],[Range1_High]]-Validation[[#This Row],[Range1_Low]])+Validation[[#This Row],[Range1_Low]]</f>
        <v>3.4652759934049716E-4</v>
      </c>
      <c r="S1123">
        <f>Validation[[#This Row],[Range2_High]]</f>
        <v>0</v>
      </c>
      <c r="T1123" t="str" cm="1">
        <f t="array" aca="1" ref="T1123" ca="1">RoundToTwoSigFigs(Validation[[#This Row],[Test Reading]]*Validation[[#This Row],[Mult]]+Validation[[#This Row],[Base]]) &amp;" "&amp;Validation[[#This Row],[Uncert_Units]]</f>
        <v>0.0000019 WAC</v>
      </c>
      <c r="U1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0.0000019 WAC</v>
      </c>
      <c r="V1123" t="b">
        <f ca="1">Validation[[#This Row],[Desired Result]]=Validation[[#This Row],[Result]]</f>
        <v>1</v>
      </c>
      <c r="W1123" t="b">
        <v>1</v>
      </c>
      <c r="X1123" t="b">
        <f>Validation[[#This Row],[Range1_Low]]&gt;=Validation[[#This Row],[Range1_High]]</f>
        <v>0</v>
      </c>
      <c r="Y1123" s="111" t="s">
        <v>2843</v>
      </c>
    </row>
    <row r="1124" spans="1:25" ht="16.5" thickTop="1" thickBot="1" x14ac:dyDescent="0.3">
      <c r="A1124" t="s">
        <v>54</v>
      </c>
      <c r="B1124" t="s">
        <v>99</v>
      </c>
      <c r="C1124" s="113">
        <v>3630</v>
      </c>
      <c r="D1124" s="113">
        <v>11200.1</v>
      </c>
      <c r="E1124">
        <v>1</v>
      </c>
      <c r="F1124" t="s">
        <v>100</v>
      </c>
      <c r="G1124" t="s">
        <v>100</v>
      </c>
      <c r="H1124">
        <v>0</v>
      </c>
      <c r="I1124">
        <v>0</v>
      </c>
      <c r="J1124" t="s">
        <v>2833</v>
      </c>
      <c r="K1124">
        <v>0</v>
      </c>
      <c r="L1124">
        <v>1.6000000000000001E-3</v>
      </c>
      <c r="M1124">
        <v>0</v>
      </c>
      <c r="N1124">
        <v>0</v>
      </c>
      <c r="O1124" t="s">
        <v>2833</v>
      </c>
      <c r="P1124" t="s">
        <v>2833</v>
      </c>
      <c r="Q1124" t="s">
        <v>2833</v>
      </c>
      <c r="R1124">
        <f ca="1">RAND()*(Validation[[#This Row],[Range1_High]]-Validation[[#This Row],[Range1_Low]])+Validation[[#This Row],[Range1_Low]]</f>
        <v>6511.7829075247046</v>
      </c>
      <c r="S1124">
        <f>Validation[[#This Row],[Range2_High]]</f>
        <v>0</v>
      </c>
      <c r="T1124" t="str" cm="1">
        <f t="array" aca="1" ref="T1124" ca="1">RoundToTwoSigFigs(Validation[[#This Row],[Test Reading]]*Validation[[#This Row],[Mult]]+Validation[[#This Row],[Base]]) &amp;" "&amp;Validation[[#This Row],[Uncert_Units]]</f>
        <v>10 WAC</v>
      </c>
      <c r="U1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WAC</v>
      </c>
      <c r="V1124" t="b">
        <f ca="1">Validation[[#This Row],[Desired Result]]=Validation[[#This Row],[Result]]</f>
        <v>1</v>
      </c>
      <c r="W1124" t="b">
        <v>1</v>
      </c>
      <c r="X1124" t="b">
        <f>Validation[[#This Row],[Range1_Low]]&gt;=Validation[[#This Row],[Range1_High]]</f>
        <v>0</v>
      </c>
      <c r="Y1124" s="111" t="s">
        <v>2843</v>
      </c>
    </row>
    <row r="1125" spans="1:25" ht="15.75" thickTop="1" x14ac:dyDescent="0.25">
      <c r="A1125" t="s">
        <v>56</v>
      </c>
      <c r="B1125" t="s">
        <v>69</v>
      </c>
      <c r="C1125">
        <v>0</v>
      </c>
      <c r="D1125">
        <v>1E-3</v>
      </c>
      <c r="E1125">
        <v>1E-8</v>
      </c>
      <c r="F1125" t="s">
        <v>6</v>
      </c>
      <c r="G1125" t="s">
        <v>5</v>
      </c>
      <c r="H1125">
        <v>0</v>
      </c>
      <c r="I1125">
        <v>0</v>
      </c>
      <c r="J1125" t="s">
        <v>2833</v>
      </c>
      <c r="K1125">
        <v>0.62</v>
      </c>
      <c r="L1125">
        <v>4.5</v>
      </c>
      <c r="M1125">
        <v>2.7845000000000002E-2</v>
      </c>
      <c r="N1125">
        <v>71.95</v>
      </c>
      <c r="O1125" t="s">
        <v>168</v>
      </c>
      <c r="P1125" t="s">
        <v>2833</v>
      </c>
      <c r="Q1125" t="s">
        <v>2833</v>
      </c>
      <c r="R1125">
        <f ca="1">RAND()*(Validation[[#This Row],[Range1_High]]-Validation[[#This Row],[Range1_Low]])+Validation[[#This Row],[Range1_Low]]</f>
        <v>8.1178623709243574E-4</v>
      </c>
      <c r="S1125">
        <f>Validation[[#This Row],[Range2_High]]</f>
        <v>0</v>
      </c>
      <c r="T1125" t="str" cm="1">
        <f t="array" aca="1" ref="T1125" ca="1">RoundToTwoSigFigs(Validation[[#This Row],[Test Reading]]*Validation[[#This Row],[Mult]]+Validation[[#This Row],[Base]]) &amp;" "&amp;Validation[[#This Row],[Uncert_Units]]</f>
        <v>0.62 µV</v>
      </c>
      <c r="U1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V1125" t="b">
        <f ca="1">Validation[[#This Row],[Desired Result]]=Validation[[#This Row],[Result]]</f>
        <v>1</v>
      </c>
      <c r="W1125" t="b">
        <v>0</v>
      </c>
      <c r="X1125" t="b">
        <f>Validation[[#This Row],[Range1_Low]]&gt;=Validation[[#This Row],[Range1_High]]</f>
        <v>0</v>
      </c>
      <c r="Y1125" s="111" t="s">
        <v>2845</v>
      </c>
    </row>
    <row r="1126" spans="1:25" x14ac:dyDescent="0.25">
      <c r="A1126" t="s">
        <v>56</v>
      </c>
      <c r="B1126" t="s">
        <v>69</v>
      </c>
      <c r="C1126">
        <v>1E-3</v>
      </c>
      <c r="D1126">
        <v>0.01</v>
      </c>
      <c r="E1126">
        <v>1E-3</v>
      </c>
      <c r="F1126" t="s">
        <v>6</v>
      </c>
      <c r="G1126" t="s">
        <v>5</v>
      </c>
      <c r="H1126">
        <v>0</v>
      </c>
      <c r="I1126">
        <v>0</v>
      </c>
      <c r="J1126" t="s">
        <v>2833</v>
      </c>
      <c r="K1126">
        <v>580</v>
      </c>
      <c r="L1126">
        <v>3.1364000000000003E-2</v>
      </c>
      <c r="M1126">
        <v>580</v>
      </c>
      <c r="N1126">
        <v>2.7386000000000001E-2</v>
      </c>
      <c r="O1126" t="s">
        <v>168</v>
      </c>
      <c r="P1126" t="s">
        <v>2833</v>
      </c>
      <c r="Q1126" t="s">
        <v>2833</v>
      </c>
      <c r="R1126">
        <f ca="1">RAND()*(Validation[[#This Row],[Range1_High]]-Validation[[#This Row],[Range1_Low]])+Validation[[#This Row],[Range1_Low]]</f>
        <v>2.6450337019059854E-3</v>
      </c>
      <c r="S1126">
        <f>Validation[[#This Row],[Range2_High]]</f>
        <v>0</v>
      </c>
      <c r="T1126" t="str" cm="1">
        <f t="array" aca="1" ref="T1126" ca="1">RoundToTwoSigFigs(Validation[[#This Row],[Test Reading]]*Validation[[#This Row],[Mult]]+Validation[[#This Row],[Base]]) &amp;" "&amp;Validation[[#This Row],[Uncert_Units]]</f>
        <v>580 µV</v>
      </c>
      <c r="U1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126" t="b">
        <f ca="1">Validation[[#This Row],[Desired Result]]=Validation[[#This Row],[Result]]</f>
        <v>1</v>
      </c>
      <c r="W1126" t="b">
        <v>0</v>
      </c>
      <c r="X1126" t="b">
        <f>Validation[[#This Row],[Range1_Low]]&gt;=Validation[[#This Row],[Range1_High]]</f>
        <v>0</v>
      </c>
      <c r="Y1126" s="111" t="s">
        <v>2845</v>
      </c>
    </row>
    <row r="1127" spans="1:25" ht="15.75" thickBot="1" x14ac:dyDescent="0.3">
      <c r="A1127" t="s">
        <v>56</v>
      </c>
      <c r="B1127" t="s">
        <v>69</v>
      </c>
      <c r="C1127">
        <v>1E-3</v>
      </c>
      <c r="D1127">
        <v>0.01</v>
      </c>
      <c r="E1127">
        <v>1E-4</v>
      </c>
      <c r="F1127" t="s">
        <v>6</v>
      </c>
      <c r="G1127" t="s">
        <v>5</v>
      </c>
      <c r="H1127">
        <v>0</v>
      </c>
      <c r="I1127">
        <v>0</v>
      </c>
      <c r="J1127" t="s">
        <v>2833</v>
      </c>
      <c r="K1127">
        <v>58</v>
      </c>
      <c r="L1127">
        <v>0.2838</v>
      </c>
      <c r="M1127">
        <v>58</v>
      </c>
      <c r="N1127">
        <v>0.27384999999999998</v>
      </c>
      <c r="O1127" t="s">
        <v>168</v>
      </c>
      <c r="P1127" t="s">
        <v>2833</v>
      </c>
      <c r="Q1127" t="s">
        <v>2833</v>
      </c>
      <c r="R1127">
        <f ca="1">RAND()*(Validation[[#This Row],[Range1_High]]-Validation[[#This Row],[Range1_Low]])+Validation[[#This Row],[Range1_Low]]</f>
        <v>9.3670726487867922E-3</v>
      </c>
      <c r="S1127">
        <f>Validation[[#This Row],[Range2_High]]</f>
        <v>0</v>
      </c>
      <c r="T1127" t="str" cm="1">
        <f t="array" aca="1" ref="T1127" ca="1">RoundToTwoSigFigs(Validation[[#This Row],[Test Reading]]*Validation[[#This Row],[Mult]]+Validation[[#This Row],[Base]]) &amp;" "&amp;Validation[[#This Row],[Uncert_Units]]</f>
        <v>58 µV</v>
      </c>
      <c r="U1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1127" t="b">
        <f ca="1">Validation[[#This Row],[Desired Result]]=Validation[[#This Row],[Result]]</f>
        <v>1</v>
      </c>
      <c r="W1127" t="b">
        <v>0</v>
      </c>
      <c r="X1127" t="b">
        <f>Validation[[#This Row],[Range1_Low]]&gt;=Validation[[#This Row],[Range1_High]]</f>
        <v>0</v>
      </c>
      <c r="Y1127" s="111" t="s">
        <v>2845</v>
      </c>
    </row>
    <row r="1128" spans="1:25" ht="16.5" thickTop="1" thickBot="1" x14ac:dyDescent="0.3">
      <c r="A1128" t="s">
        <v>56</v>
      </c>
      <c r="B1128" t="s">
        <v>69</v>
      </c>
      <c r="C1128" s="113">
        <v>0.1</v>
      </c>
      <c r="D1128" s="113">
        <v>1</v>
      </c>
      <c r="E1128">
        <v>1E-4</v>
      </c>
      <c r="F1128" t="s">
        <v>6</v>
      </c>
      <c r="G1128" t="s">
        <v>5</v>
      </c>
      <c r="H1128">
        <v>0</v>
      </c>
      <c r="I1128">
        <v>0</v>
      </c>
      <c r="J1128" t="s">
        <v>2833</v>
      </c>
      <c r="K1128">
        <v>56.988999999999997</v>
      </c>
      <c r="L1128">
        <v>16.704999999999998</v>
      </c>
      <c r="M1128">
        <v>56.981000000000002</v>
      </c>
      <c r="N1128">
        <v>16.693000000000001</v>
      </c>
      <c r="O1128" t="s">
        <v>168</v>
      </c>
      <c r="P1128" t="s">
        <v>2833</v>
      </c>
      <c r="Q1128" t="s">
        <v>2833</v>
      </c>
      <c r="R1128">
        <f ca="1">RAND()*(Validation[[#This Row],[Range1_High]]-Validation[[#This Row],[Range1_Low]])+Validation[[#This Row],[Range1_Low]]</f>
        <v>0.52305310666791205</v>
      </c>
      <c r="S1128">
        <f>Validation[[#This Row],[Range2_High]]</f>
        <v>0</v>
      </c>
      <c r="T1128" t="str" cm="1">
        <f t="array" aca="1" ref="T1128" ca="1">RoundToTwoSigFigs(Validation[[#This Row],[Test Reading]]*Validation[[#This Row],[Mult]]+Validation[[#This Row],[Base]]) &amp;" "&amp;Validation[[#This Row],[Uncert_Units]]</f>
        <v>66 µV</v>
      </c>
      <c r="U1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µV</v>
      </c>
      <c r="V1128" t="b">
        <f ca="1">Validation[[#This Row],[Desired Result]]=Validation[[#This Row],[Result]]</f>
        <v>1</v>
      </c>
      <c r="W1128" t="b">
        <v>1</v>
      </c>
      <c r="X1128" t="b">
        <f>Validation[[#This Row],[Range1_Low]]&gt;=Validation[[#This Row],[Range1_High]]</f>
        <v>0</v>
      </c>
      <c r="Y1128" s="111" t="s">
        <v>2843</v>
      </c>
    </row>
    <row r="1129" spans="1:25" ht="16.5" thickTop="1" thickBot="1" x14ac:dyDescent="0.3">
      <c r="A1129" t="s">
        <v>56</v>
      </c>
      <c r="B1129" t="s">
        <v>69</v>
      </c>
      <c r="C1129">
        <v>0</v>
      </c>
      <c r="D1129">
        <v>1E-3</v>
      </c>
      <c r="E1129">
        <v>1.0000000000000001E-5</v>
      </c>
      <c r="F1129" t="s">
        <v>6</v>
      </c>
      <c r="G1129" t="s">
        <v>5</v>
      </c>
      <c r="H1129">
        <v>0</v>
      </c>
      <c r="I1129">
        <v>0</v>
      </c>
      <c r="J1129" t="s">
        <v>2833</v>
      </c>
      <c r="K1129">
        <v>5.8</v>
      </c>
      <c r="L1129">
        <v>0.89276</v>
      </c>
      <c r="M1129">
        <v>5.8</v>
      </c>
      <c r="N1129">
        <v>0.83626</v>
      </c>
      <c r="O1129" t="s">
        <v>168</v>
      </c>
      <c r="P1129" t="s">
        <v>2833</v>
      </c>
      <c r="Q1129" t="s">
        <v>2833</v>
      </c>
      <c r="R1129">
        <f ca="1">RAND()*(Validation[[#This Row],[Range1_High]]-Validation[[#This Row],[Range1_Low]])+Validation[[#This Row],[Range1_Low]]</f>
        <v>1.2235666857380079E-4</v>
      </c>
      <c r="S1129">
        <f>Validation[[#This Row],[Range2_High]]</f>
        <v>0</v>
      </c>
      <c r="T1129" t="str" cm="1">
        <f t="array" aca="1" ref="T1129" ca="1">RoundToTwoSigFigs(Validation[[#This Row],[Test Reading]]*Validation[[#This Row],[Mult]]+Validation[[#This Row],[Base]]) &amp;" "&amp;Validation[[#This Row],[Uncert_Units]]</f>
        <v>5.8 µV</v>
      </c>
      <c r="U1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V1129" t="b">
        <f ca="1">Validation[[#This Row],[Desired Result]]=Validation[[#This Row],[Result]]</f>
        <v>1</v>
      </c>
      <c r="W1129" t="b">
        <v>0</v>
      </c>
      <c r="X1129" t="b">
        <f>Validation[[#This Row],[Range1_Low]]&gt;=Validation[[#This Row],[Range1_High]]</f>
        <v>0</v>
      </c>
      <c r="Y1129" s="111" t="s">
        <v>2845</v>
      </c>
    </row>
    <row r="1130" spans="1:25" ht="16.5" thickTop="1" thickBot="1" x14ac:dyDescent="0.3">
      <c r="A1130" t="s">
        <v>56</v>
      </c>
      <c r="B1130" t="s">
        <v>69</v>
      </c>
      <c r="C1130" s="113">
        <v>10</v>
      </c>
      <c r="D1130" s="113">
        <v>100</v>
      </c>
      <c r="E1130">
        <v>1E-4</v>
      </c>
      <c r="F1130" t="s">
        <v>6</v>
      </c>
      <c r="G1130" t="s">
        <v>4</v>
      </c>
      <c r="H1130">
        <v>0</v>
      </c>
      <c r="I1130">
        <v>0</v>
      </c>
      <c r="J1130" t="s">
        <v>2833</v>
      </c>
      <c r="K1130">
        <v>0.57999999999999996</v>
      </c>
      <c r="L1130">
        <v>4.1000000000000002E-2</v>
      </c>
      <c r="M1130">
        <v>0.57894999999999996</v>
      </c>
      <c r="N1130">
        <v>4.0740999999999999E-2</v>
      </c>
      <c r="O1130" t="s">
        <v>168</v>
      </c>
      <c r="P1130" t="s">
        <v>2833</v>
      </c>
      <c r="Q1130" t="s">
        <v>2833</v>
      </c>
      <c r="R1130">
        <f ca="1">RAND()*(Validation[[#This Row],[Range1_High]]-Validation[[#This Row],[Range1_Low]])+Validation[[#This Row],[Range1_Low]]</f>
        <v>78.287525664168697</v>
      </c>
      <c r="S1130">
        <f>Validation[[#This Row],[Range2_High]]</f>
        <v>0</v>
      </c>
      <c r="T1130" t="str" cm="1">
        <f t="array" aca="1" ref="T1130" ca="1">RoundToTwoSigFigs(Validation[[#This Row],[Test Reading]]*Validation[[#This Row],[Mult]]+Validation[[#This Row],[Base]]) &amp;" "&amp;Validation[[#This Row],[Uncert_Units]]</f>
        <v>3.8 mV</v>
      </c>
      <c r="U1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mV</v>
      </c>
      <c r="V1130" t="b">
        <f ca="1">Validation[[#This Row],[Desired Result]]=Validation[[#This Row],[Result]]</f>
        <v>1</v>
      </c>
      <c r="W1130" t="b">
        <v>1</v>
      </c>
      <c r="X1130" t="b">
        <f>Validation[[#This Row],[Range1_Low]]&gt;=Validation[[#This Row],[Range1_High]]</f>
        <v>0</v>
      </c>
      <c r="Y1130" s="111" t="s">
        <v>2843</v>
      </c>
    </row>
    <row r="1131" spans="1:25" ht="16.5" thickTop="1" thickBot="1" x14ac:dyDescent="0.3">
      <c r="A1131" t="s">
        <v>56</v>
      </c>
      <c r="B1131" t="s">
        <v>69</v>
      </c>
      <c r="C1131" s="113">
        <v>10</v>
      </c>
      <c r="D1131" s="113">
        <v>100</v>
      </c>
      <c r="E1131">
        <v>0.01</v>
      </c>
      <c r="F1131" t="s">
        <v>6</v>
      </c>
      <c r="G1131" t="s">
        <v>4</v>
      </c>
      <c r="H1131">
        <v>0</v>
      </c>
      <c r="I1131">
        <v>0</v>
      </c>
      <c r="J1131" t="s">
        <v>2833</v>
      </c>
      <c r="K1131">
        <v>5.7108999999999996</v>
      </c>
      <c r="L1131">
        <v>1.7264000000000002E-2</v>
      </c>
      <c r="M1131">
        <v>5.7104999999999997</v>
      </c>
      <c r="N1131">
        <v>1.7250999999999999E-2</v>
      </c>
      <c r="O1131" t="s">
        <v>168</v>
      </c>
      <c r="P1131" t="s">
        <v>2833</v>
      </c>
      <c r="Q1131" t="s">
        <v>2833</v>
      </c>
      <c r="R1131">
        <f ca="1">RAND()*(Validation[[#This Row],[Range1_High]]-Validation[[#This Row],[Range1_Low]])+Validation[[#This Row],[Range1_Low]]</f>
        <v>28.544146559276736</v>
      </c>
      <c r="S1131">
        <f>Validation[[#This Row],[Range2_High]]</f>
        <v>0</v>
      </c>
      <c r="T1131" t="str" cm="1">
        <f t="array" aca="1" ref="T1131" ca="1">RoundToTwoSigFigs(Validation[[#This Row],[Test Reading]]*Validation[[#This Row],[Mult]]+Validation[[#This Row],[Base]]) &amp;" "&amp;Validation[[#This Row],[Uncert_Units]]</f>
        <v>6.2 mV</v>
      </c>
      <c r="U1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V1131" t="b">
        <f ca="1">Validation[[#This Row],[Desired Result]]=Validation[[#This Row],[Result]]</f>
        <v>1</v>
      </c>
      <c r="W1131" t="b">
        <v>1</v>
      </c>
      <c r="X1131" t="b">
        <f>Validation[[#This Row],[Range1_Low]]&gt;=Validation[[#This Row],[Range1_High]]</f>
        <v>0</v>
      </c>
      <c r="Y1131" s="111" t="s">
        <v>2843</v>
      </c>
    </row>
    <row r="1132" spans="1:25" ht="16.5" thickTop="1" thickBot="1" x14ac:dyDescent="0.3">
      <c r="A1132" t="s">
        <v>56</v>
      </c>
      <c r="B1132" t="s">
        <v>69</v>
      </c>
      <c r="C1132" s="113">
        <v>1</v>
      </c>
      <c r="D1132" s="113">
        <v>10</v>
      </c>
      <c r="E1132">
        <v>1E-3</v>
      </c>
      <c r="F1132" t="s">
        <v>6</v>
      </c>
      <c r="G1132" t="s">
        <v>5</v>
      </c>
      <c r="H1132">
        <v>0</v>
      </c>
      <c r="I1132">
        <v>0</v>
      </c>
      <c r="J1132" t="s">
        <v>2833</v>
      </c>
      <c r="K1132">
        <v>572.80999999999995</v>
      </c>
      <c r="L1132">
        <v>12.879</v>
      </c>
      <c r="M1132">
        <v>572.76</v>
      </c>
      <c r="N1132">
        <v>12.867000000000001</v>
      </c>
      <c r="O1132" t="s">
        <v>168</v>
      </c>
      <c r="P1132" t="s">
        <v>2833</v>
      </c>
      <c r="Q1132" t="s">
        <v>2833</v>
      </c>
      <c r="R1132">
        <f ca="1">RAND()*(Validation[[#This Row],[Range1_High]]-Validation[[#This Row],[Range1_Low]])+Validation[[#This Row],[Range1_Low]]</f>
        <v>9.2748780013082435</v>
      </c>
      <c r="S1132">
        <f>Validation[[#This Row],[Range2_High]]</f>
        <v>0</v>
      </c>
      <c r="T1132" t="str" cm="1">
        <f t="array" aca="1" ref="T1132" ca="1">RoundToTwoSigFigs(Validation[[#This Row],[Test Reading]]*Validation[[#This Row],[Mult]]+Validation[[#This Row],[Base]]) &amp;" "&amp;Validation[[#This Row],[Uncert_Units]]</f>
        <v>690 µV</v>
      </c>
      <c r="U1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V1132" t="b">
        <f ca="1">Validation[[#This Row],[Desired Result]]=Validation[[#This Row],[Result]]</f>
        <v>1</v>
      </c>
      <c r="W1132" t="b">
        <v>1</v>
      </c>
      <c r="X1132" t="b">
        <f>Validation[[#This Row],[Range1_Low]]&gt;=Validation[[#This Row],[Range1_High]]</f>
        <v>0</v>
      </c>
      <c r="Y1132" s="111" t="s">
        <v>2843</v>
      </c>
    </row>
    <row r="1133" spans="1:25" ht="16.5" thickTop="1" thickBot="1" x14ac:dyDescent="0.3">
      <c r="A1133" t="s">
        <v>56</v>
      </c>
      <c r="B1133" t="s">
        <v>69</v>
      </c>
      <c r="C1133" s="113">
        <v>0.1</v>
      </c>
      <c r="D1133" s="113">
        <v>1</v>
      </c>
      <c r="E1133">
        <v>9.9999999999999995E-7</v>
      </c>
      <c r="F1133" t="s">
        <v>6</v>
      </c>
      <c r="G1133" t="s">
        <v>5</v>
      </c>
      <c r="H1133">
        <v>0</v>
      </c>
      <c r="I1133">
        <v>0</v>
      </c>
      <c r="J1133" t="s">
        <v>2833</v>
      </c>
      <c r="K1133">
        <v>4.7</v>
      </c>
      <c r="L1133">
        <v>41</v>
      </c>
      <c r="M1133">
        <v>4.6517999999999997</v>
      </c>
      <c r="N1133">
        <v>40.781999999999996</v>
      </c>
      <c r="O1133" t="s">
        <v>168</v>
      </c>
      <c r="P1133" t="s">
        <v>2833</v>
      </c>
      <c r="Q1133" t="s">
        <v>2833</v>
      </c>
      <c r="R1133">
        <f ca="1">RAND()*(Validation[[#This Row],[Range1_High]]-Validation[[#This Row],[Range1_Low]])+Validation[[#This Row],[Range1_Low]]</f>
        <v>0.63748874957658785</v>
      </c>
      <c r="S1133">
        <f>Validation[[#This Row],[Range2_High]]</f>
        <v>0</v>
      </c>
      <c r="T1133" t="str" cm="1">
        <f t="array" aca="1" ref="T1133" ca="1">RoundToTwoSigFigs(Validation[[#This Row],[Test Reading]]*Validation[[#This Row],[Mult]]+Validation[[#This Row],[Base]]) &amp;" "&amp;Validation[[#This Row],[Uncert_Units]]</f>
        <v>31 µV</v>
      </c>
      <c r="U1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µV</v>
      </c>
      <c r="V1133" t="b">
        <f ca="1">Validation[[#This Row],[Desired Result]]=Validation[[#This Row],[Result]]</f>
        <v>1</v>
      </c>
      <c r="W1133" t="b">
        <v>1</v>
      </c>
      <c r="X1133" t="b">
        <f>Validation[[#This Row],[Range1_Low]]&gt;=Validation[[#This Row],[Range1_High]]</f>
        <v>0</v>
      </c>
      <c r="Y1133" s="111" t="s">
        <v>2843</v>
      </c>
    </row>
    <row r="1134" spans="1:25" ht="16.5" thickTop="1" thickBot="1" x14ac:dyDescent="0.3">
      <c r="A1134" t="s">
        <v>56</v>
      </c>
      <c r="B1134" t="s">
        <v>69</v>
      </c>
      <c r="C1134" s="113">
        <v>1</v>
      </c>
      <c r="D1134" s="113">
        <v>10</v>
      </c>
      <c r="E1134">
        <v>1E-4</v>
      </c>
      <c r="F1134" t="s">
        <v>6</v>
      </c>
      <c r="G1134" t="s">
        <v>5</v>
      </c>
      <c r="H1134">
        <v>0</v>
      </c>
      <c r="I1134">
        <v>0</v>
      </c>
      <c r="J1134" t="s">
        <v>2833</v>
      </c>
      <c r="K1134">
        <v>66.457999999999998</v>
      </c>
      <c r="L1134">
        <v>33.231999999999999</v>
      </c>
      <c r="M1134">
        <v>66.382000000000005</v>
      </c>
      <c r="N1134">
        <v>33.231999999999999</v>
      </c>
      <c r="O1134" t="s">
        <v>168</v>
      </c>
      <c r="P1134" t="s">
        <v>2833</v>
      </c>
      <c r="Q1134" t="s">
        <v>2833</v>
      </c>
      <c r="R1134">
        <f ca="1">RAND()*(Validation[[#This Row],[Range1_High]]-Validation[[#This Row],[Range1_Low]])+Validation[[#This Row],[Range1_Low]]</f>
        <v>1.1279622034512564</v>
      </c>
      <c r="S1134">
        <f>Validation[[#This Row],[Range2_High]]</f>
        <v>0</v>
      </c>
      <c r="T1134" t="str" cm="1">
        <f t="array" aca="1" ref="T1134" ca="1">RoundToTwoSigFigs(Validation[[#This Row],[Test Reading]]*Validation[[#This Row],[Mult]]+Validation[[#This Row],[Base]]) &amp;" "&amp;Validation[[#This Row],[Uncert_Units]]</f>
        <v>100 µV</v>
      </c>
      <c r="U1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V1134" t="b">
        <f ca="1">Validation[[#This Row],[Desired Result]]=Validation[[#This Row],[Result]]</f>
        <v>1</v>
      </c>
      <c r="W1134" t="b">
        <v>1</v>
      </c>
      <c r="X1134" t="b">
        <f>Validation[[#This Row],[Range1_Low]]&gt;=Validation[[#This Row],[Range1_High]]</f>
        <v>0</v>
      </c>
      <c r="Y1134" s="111" t="s">
        <v>2843</v>
      </c>
    </row>
    <row r="1135" spans="1:25" ht="15.75" thickTop="1" x14ac:dyDescent="0.25">
      <c r="A1135" t="s">
        <v>56</v>
      </c>
      <c r="B1135" t="s">
        <v>69</v>
      </c>
      <c r="C1135">
        <v>0.01</v>
      </c>
      <c r="D1135">
        <v>0.1</v>
      </c>
      <c r="E1135">
        <v>0.01</v>
      </c>
      <c r="F1135" t="s">
        <v>6</v>
      </c>
      <c r="G1135" t="s">
        <v>5</v>
      </c>
      <c r="H1135">
        <v>0</v>
      </c>
      <c r="I1135">
        <v>0</v>
      </c>
      <c r="J1135" t="s">
        <v>2833</v>
      </c>
      <c r="K1135">
        <v>5800</v>
      </c>
      <c r="L1135">
        <v>1.7066999999999999E-2</v>
      </c>
      <c r="M1135">
        <v>5800</v>
      </c>
      <c r="N1135">
        <v>1.5709999999999998E-2</v>
      </c>
      <c r="O1135" t="s">
        <v>168</v>
      </c>
      <c r="P1135" t="s">
        <v>2833</v>
      </c>
      <c r="Q1135" t="s">
        <v>2833</v>
      </c>
      <c r="R1135">
        <f ca="1">RAND()*(Validation[[#This Row],[Range1_High]]-Validation[[#This Row],[Range1_Low]])+Validation[[#This Row],[Range1_Low]]</f>
        <v>8.6226185616830611E-2</v>
      </c>
      <c r="S1135">
        <f>Validation[[#This Row],[Range2_High]]</f>
        <v>0</v>
      </c>
      <c r="T1135" t="str" cm="1">
        <f t="array" aca="1" ref="T1135" ca="1">RoundToTwoSigFigs(Validation[[#This Row],[Test Reading]]*Validation[[#This Row],[Mult]]+Validation[[#This Row],[Base]]) &amp;" "&amp;Validation[[#This Row],[Uncert_Units]]</f>
        <v>5800 µV</v>
      </c>
      <c r="U1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135" t="b">
        <f ca="1">Validation[[#This Row],[Desired Result]]=Validation[[#This Row],[Result]]</f>
        <v>1</v>
      </c>
      <c r="W1135" t="b">
        <v>0</v>
      </c>
      <c r="X1135" t="b">
        <f>Validation[[#This Row],[Range1_Low]]&gt;=Validation[[#This Row],[Range1_High]]</f>
        <v>0</v>
      </c>
      <c r="Y1135" s="111" t="s">
        <v>2845</v>
      </c>
    </row>
    <row r="1136" spans="1:25" ht="15.75" thickBot="1" x14ac:dyDescent="0.3">
      <c r="A1136" t="s">
        <v>56</v>
      </c>
      <c r="B1136" t="s">
        <v>69</v>
      </c>
      <c r="C1136">
        <v>0</v>
      </c>
      <c r="D1136">
        <v>1E-3</v>
      </c>
      <c r="E1136">
        <v>1E-4</v>
      </c>
      <c r="F1136" t="s">
        <v>6</v>
      </c>
      <c r="G1136" t="s">
        <v>5</v>
      </c>
      <c r="H1136">
        <v>0</v>
      </c>
      <c r="I1136">
        <v>0</v>
      </c>
      <c r="J1136" t="s">
        <v>2833</v>
      </c>
      <c r="K1136">
        <v>58</v>
      </c>
      <c r="L1136">
        <v>0.10624</v>
      </c>
      <c r="M1136">
        <v>58</v>
      </c>
      <c r="N1136">
        <v>8.3632999999999999E-2</v>
      </c>
      <c r="O1136" t="s">
        <v>168</v>
      </c>
      <c r="P1136" t="s">
        <v>2833</v>
      </c>
      <c r="Q1136" t="s">
        <v>2833</v>
      </c>
      <c r="R1136">
        <f ca="1">RAND()*(Validation[[#This Row],[Range1_High]]-Validation[[#This Row],[Range1_Low]])+Validation[[#This Row],[Range1_Low]]</f>
        <v>5.6504271101870071E-4</v>
      </c>
      <c r="S1136">
        <f>Validation[[#This Row],[Range2_High]]</f>
        <v>0</v>
      </c>
      <c r="T1136" t="str" cm="1">
        <f t="array" aca="1" ref="T1136" ca="1">RoundToTwoSigFigs(Validation[[#This Row],[Test Reading]]*Validation[[#This Row],[Mult]]+Validation[[#This Row],[Base]]) &amp;" "&amp;Validation[[#This Row],[Uncert_Units]]</f>
        <v>58 µV</v>
      </c>
      <c r="U1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1136" t="b">
        <f ca="1">Validation[[#This Row],[Desired Result]]=Validation[[#This Row],[Result]]</f>
        <v>1</v>
      </c>
      <c r="W1136" t="b">
        <v>0</v>
      </c>
      <c r="X1136" t="b">
        <f>Validation[[#This Row],[Range1_Low]]&gt;=Validation[[#This Row],[Range1_High]]</f>
        <v>0</v>
      </c>
      <c r="Y1136" s="111" t="s">
        <v>2845</v>
      </c>
    </row>
    <row r="1137" spans="1:25" ht="16.5" thickTop="1" thickBot="1" x14ac:dyDescent="0.3">
      <c r="A1137" t="s">
        <v>56</v>
      </c>
      <c r="B1137" t="s">
        <v>69</v>
      </c>
      <c r="C1137" s="113">
        <v>0.1</v>
      </c>
      <c r="D1137" s="113">
        <v>1</v>
      </c>
      <c r="E1137">
        <v>1.0000000000000001E-5</v>
      </c>
      <c r="F1137" t="s">
        <v>6</v>
      </c>
      <c r="G1137" t="s">
        <v>5</v>
      </c>
      <c r="H1137">
        <v>0</v>
      </c>
      <c r="I1137">
        <v>0</v>
      </c>
      <c r="J1137" t="s">
        <v>2833</v>
      </c>
      <c r="K1137">
        <v>6.5522999999999998</v>
      </c>
      <c r="L1137">
        <v>39.255000000000003</v>
      </c>
      <c r="M1137">
        <v>6.5388999999999999</v>
      </c>
      <c r="N1137">
        <v>39.26</v>
      </c>
      <c r="O1137" t="s">
        <v>168</v>
      </c>
      <c r="P1137" t="s">
        <v>2833</v>
      </c>
      <c r="Q1137" t="s">
        <v>2833</v>
      </c>
      <c r="R1137">
        <f ca="1">RAND()*(Validation[[#This Row],[Range1_High]]-Validation[[#This Row],[Range1_Low]])+Validation[[#This Row],[Range1_Low]]</f>
        <v>0.25270271329706162</v>
      </c>
      <c r="S1137">
        <f>Validation[[#This Row],[Range2_High]]</f>
        <v>0</v>
      </c>
      <c r="T1137" t="str" cm="1">
        <f t="array" aca="1" ref="T1137" ca="1">RoundToTwoSigFigs(Validation[[#This Row],[Test Reading]]*Validation[[#This Row],[Mult]]+Validation[[#This Row],[Base]]) &amp;" "&amp;Validation[[#This Row],[Uncert_Units]]</f>
        <v>16 µV</v>
      </c>
      <c r="U1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V1137" t="b">
        <f ca="1">Validation[[#This Row],[Desired Result]]=Validation[[#This Row],[Result]]</f>
        <v>1</v>
      </c>
      <c r="W1137" t="b">
        <v>1</v>
      </c>
      <c r="X1137" t="b">
        <f>Validation[[#This Row],[Range1_Low]]&gt;=Validation[[#This Row],[Range1_High]]</f>
        <v>0</v>
      </c>
      <c r="Y1137" s="111" t="s">
        <v>2843</v>
      </c>
    </row>
    <row r="1138" spans="1:25" ht="16.5" thickTop="1" thickBot="1" x14ac:dyDescent="0.3">
      <c r="A1138" t="s">
        <v>56</v>
      </c>
      <c r="B1138" t="s">
        <v>69</v>
      </c>
      <c r="C1138">
        <v>0.01</v>
      </c>
      <c r="D1138">
        <v>0.1</v>
      </c>
      <c r="E1138">
        <v>1E-4</v>
      </c>
      <c r="F1138" t="s">
        <v>6</v>
      </c>
      <c r="G1138" t="s">
        <v>5</v>
      </c>
      <c r="H1138">
        <v>0</v>
      </c>
      <c r="I1138">
        <v>0</v>
      </c>
      <c r="J1138" t="s">
        <v>2833</v>
      </c>
      <c r="K1138">
        <v>57.991</v>
      </c>
      <c r="L1138">
        <v>1.5773999999999999</v>
      </c>
      <c r="M1138">
        <v>57.99</v>
      </c>
      <c r="N1138">
        <v>1.5689</v>
      </c>
      <c r="O1138" t="s">
        <v>168</v>
      </c>
      <c r="P1138" t="s">
        <v>2833</v>
      </c>
      <c r="Q1138" t="s">
        <v>2833</v>
      </c>
      <c r="R1138">
        <f ca="1">RAND()*(Validation[[#This Row],[Range1_High]]-Validation[[#This Row],[Range1_Low]])+Validation[[#This Row],[Range1_Low]]</f>
        <v>4.0017684334061984E-2</v>
      </c>
      <c r="S1138">
        <f>Validation[[#This Row],[Range2_High]]</f>
        <v>0</v>
      </c>
      <c r="T1138" t="str" cm="1">
        <f t="array" aca="1" ref="T1138" ca="1">RoundToTwoSigFigs(Validation[[#This Row],[Test Reading]]*Validation[[#This Row],[Mult]]+Validation[[#This Row],[Base]]) &amp;" "&amp;Validation[[#This Row],[Uncert_Units]]</f>
        <v>58 µV</v>
      </c>
      <c r="U1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1138" t="b">
        <f ca="1">Validation[[#This Row],[Desired Result]]=Validation[[#This Row],[Result]]</f>
        <v>1</v>
      </c>
      <c r="W1138" t="b">
        <v>0</v>
      </c>
      <c r="X1138" t="b">
        <f>Validation[[#This Row],[Range1_Low]]&gt;=Validation[[#This Row],[Range1_High]]</f>
        <v>0</v>
      </c>
      <c r="Y1138" s="111" t="s">
        <v>2845</v>
      </c>
    </row>
    <row r="1139" spans="1:25" ht="16.5" thickTop="1" thickBot="1" x14ac:dyDescent="0.3">
      <c r="A1139" t="s">
        <v>56</v>
      </c>
      <c r="B1139" t="s">
        <v>69</v>
      </c>
      <c r="C1139" s="113">
        <v>0.01</v>
      </c>
      <c r="D1139" s="113">
        <v>0.1</v>
      </c>
      <c r="E1139">
        <v>9.9999999999999995E-7</v>
      </c>
      <c r="F1139" t="s">
        <v>6</v>
      </c>
      <c r="G1139" t="s">
        <v>5</v>
      </c>
      <c r="H1139">
        <v>0</v>
      </c>
      <c r="I1139">
        <v>0</v>
      </c>
      <c r="J1139" t="s">
        <v>2833</v>
      </c>
      <c r="K1139">
        <v>0.66959999999999997</v>
      </c>
      <c r="L1139">
        <v>35.075000000000003</v>
      </c>
      <c r="M1139">
        <v>0.66822999999999999</v>
      </c>
      <c r="N1139">
        <v>35.079000000000001</v>
      </c>
      <c r="O1139" t="s">
        <v>168</v>
      </c>
      <c r="P1139" t="s">
        <v>2833</v>
      </c>
      <c r="Q1139" t="s">
        <v>2833</v>
      </c>
      <c r="R1139">
        <f ca="1">RAND()*(Validation[[#This Row],[Range1_High]]-Validation[[#This Row],[Range1_Low]])+Validation[[#This Row],[Range1_Low]]</f>
        <v>1.4041936388248286E-2</v>
      </c>
      <c r="S1139">
        <f>Validation[[#This Row],[Range2_High]]</f>
        <v>0</v>
      </c>
      <c r="T1139" t="str" cm="1">
        <f t="array" aca="1" ref="T1139" ca="1">RoundToTwoSigFigs(Validation[[#This Row],[Test Reading]]*Validation[[#This Row],[Mult]]+Validation[[#This Row],[Base]]) &amp;" "&amp;Validation[[#This Row],[Uncert_Units]]</f>
        <v>1.2 µV</v>
      </c>
      <c r="U1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µV</v>
      </c>
      <c r="V1139" t="b">
        <f ca="1">Validation[[#This Row],[Desired Result]]=Validation[[#This Row],[Result]]</f>
        <v>1</v>
      </c>
      <c r="W1139" t="b">
        <v>1</v>
      </c>
      <c r="X1139" t="b">
        <f>Validation[[#This Row],[Range1_Low]]&gt;=Validation[[#This Row],[Range1_High]]</f>
        <v>0</v>
      </c>
      <c r="Y1139" s="111" t="s">
        <v>2843</v>
      </c>
    </row>
    <row r="1140" spans="1:25" ht="15.75" thickTop="1" x14ac:dyDescent="0.25">
      <c r="A1140" t="s">
        <v>56</v>
      </c>
      <c r="B1140" t="s">
        <v>69</v>
      </c>
      <c r="C1140">
        <v>1</v>
      </c>
      <c r="D1140">
        <v>10</v>
      </c>
      <c r="E1140">
        <v>0.01</v>
      </c>
      <c r="F1140" t="s">
        <v>6</v>
      </c>
      <c r="G1140" t="s">
        <v>5</v>
      </c>
      <c r="H1140">
        <v>0</v>
      </c>
      <c r="I1140">
        <v>0</v>
      </c>
      <c r="J1140" t="s">
        <v>2833</v>
      </c>
      <c r="K1140">
        <v>5799.2</v>
      </c>
      <c r="L1140">
        <v>1.4325000000000001</v>
      </c>
      <c r="M1140">
        <v>5799.1</v>
      </c>
      <c r="N1140">
        <v>1.4258999999999999</v>
      </c>
      <c r="O1140" t="s">
        <v>168</v>
      </c>
      <c r="P1140" t="s">
        <v>2833</v>
      </c>
      <c r="Q1140" t="s">
        <v>2833</v>
      </c>
      <c r="R1140">
        <f ca="1">RAND()*(Validation[[#This Row],[Range1_High]]-Validation[[#This Row],[Range1_Low]])+Validation[[#This Row],[Range1_Low]]</f>
        <v>9.1847660409144112</v>
      </c>
      <c r="S1140">
        <f>Validation[[#This Row],[Range2_High]]</f>
        <v>0</v>
      </c>
      <c r="T1140" t="str" cm="1">
        <f t="array" aca="1" ref="T1140" ca="1">RoundToTwoSigFigs(Validation[[#This Row],[Test Reading]]*Validation[[#This Row],[Mult]]+Validation[[#This Row],[Base]]) &amp;" "&amp;Validation[[#This Row],[Uncert_Units]]</f>
        <v>5800 µV</v>
      </c>
      <c r="U1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140" t="b">
        <f ca="1">Validation[[#This Row],[Desired Result]]=Validation[[#This Row],[Result]]</f>
        <v>1</v>
      </c>
      <c r="W1140" t="b">
        <v>0</v>
      </c>
      <c r="X1140" t="b">
        <f>Validation[[#This Row],[Range1_Low]]&gt;=Validation[[#This Row],[Range1_High]]</f>
        <v>0</v>
      </c>
      <c r="Y1140" s="111" t="s">
        <v>2845</v>
      </c>
    </row>
    <row r="1141" spans="1:25" x14ac:dyDescent="0.25">
      <c r="A1141" t="s">
        <v>56</v>
      </c>
      <c r="B1141" t="s">
        <v>69</v>
      </c>
      <c r="C1141">
        <v>1</v>
      </c>
      <c r="D1141">
        <v>10</v>
      </c>
      <c r="E1141">
        <v>1</v>
      </c>
      <c r="F1141" t="s">
        <v>6</v>
      </c>
      <c r="G1141" t="s">
        <v>5</v>
      </c>
      <c r="H1141">
        <v>0</v>
      </c>
      <c r="I1141">
        <v>0</v>
      </c>
      <c r="J1141" t="s">
        <v>2833</v>
      </c>
      <c r="K1141">
        <v>580000</v>
      </c>
      <c r="L1141">
        <v>1.5330999999999999E-2</v>
      </c>
      <c r="M1141">
        <v>580000</v>
      </c>
      <c r="N1141">
        <v>1.4276E-2</v>
      </c>
      <c r="O1141" t="s">
        <v>168</v>
      </c>
      <c r="P1141" t="s">
        <v>2833</v>
      </c>
      <c r="Q1141" t="s">
        <v>2833</v>
      </c>
      <c r="R1141">
        <f ca="1">RAND()*(Validation[[#This Row],[Range1_High]]-Validation[[#This Row],[Range1_Low]])+Validation[[#This Row],[Range1_Low]]</f>
        <v>1.1771545585216436</v>
      </c>
      <c r="S1141">
        <f>Validation[[#This Row],[Range2_High]]</f>
        <v>0</v>
      </c>
      <c r="T1141" t="str" cm="1">
        <f t="array" aca="1" ref="T1141" ca="1">RoundToTwoSigFigs(Validation[[#This Row],[Test Reading]]*Validation[[#This Row],[Mult]]+Validation[[#This Row],[Base]]) &amp;" "&amp;Validation[[#This Row],[Uncert_Units]]</f>
        <v>580000 µV</v>
      </c>
      <c r="U1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1141" t="b">
        <f ca="1">Validation[[#This Row],[Desired Result]]=Validation[[#This Row],[Result]]</f>
        <v>1</v>
      </c>
      <c r="W1141" t="b">
        <v>0</v>
      </c>
      <c r="X1141" t="b">
        <f>Validation[[#This Row],[Range1_Low]]&gt;=Validation[[#This Row],[Range1_High]]</f>
        <v>0</v>
      </c>
      <c r="Y1141" s="111" t="s">
        <v>2845</v>
      </c>
    </row>
    <row r="1142" spans="1:25" x14ac:dyDescent="0.25">
      <c r="A1142" t="s">
        <v>56</v>
      </c>
      <c r="B1142" t="s">
        <v>69</v>
      </c>
      <c r="C1142">
        <v>1</v>
      </c>
      <c r="D1142">
        <v>10</v>
      </c>
      <c r="E1142">
        <v>0.1</v>
      </c>
      <c r="F1142" t="s">
        <v>6</v>
      </c>
      <c r="G1142" t="s">
        <v>5</v>
      </c>
      <c r="H1142">
        <v>0</v>
      </c>
      <c r="I1142">
        <v>0</v>
      </c>
      <c r="J1142" t="s">
        <v>2833</v>
      </c>
      <c r="K1142">
        <v>58000</v>
      </c>
      <c r="L1142">
        <v>0.1454</v>
      </c>
      <c r="M1142">
        <v>58000</v>
      </c>
      <c r="N1142">
        <v>0.14276</v>
      </c>
      <c r="O1142" t="s">
        <v>168</v>
      </c>
      <c r="P1142" t="s">
        <v>2833</v>
      </c>
      <c r="Q1142" t="s">
        <v>2833</v>
      </c>
      <c r="R1142">
        <f ca="1">RAND()*(Validation[[#This Row],[Range1_High]]-Validation[[#This Row],[Range1_Low]])+Validation[[#This Row],[Range1_Low]]</f>
        <v>3.6010742415256214</v>
      </c>
      <c r="S1142">
        <f>Validation[[#This Row],[Range2_High]]</f>
        <v>0</v>
      </c>
      <c r="T1142" t="str" cm="1">
        <f t="array" aca="1" ref="T1142" ca="1">RoundToTwoSigFigs(Validation[[#This Row],[Test Reading]]*Validation[[#This Row],[Mult]]+Validation[[#This Row],[Base]]) &amp;" "&amp;Validation[[#This Row],[Uncert_Units]]</f>
        <v>58000 µV</v>
      </c>
      <c r="U1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142" t="b">
        <f ca="1">Validation[[#This Row],[Desired Result]]=Validation[[#This Row],[Result]]</f>
        <v>1</v>
      </c>
      <c r="W1142" t="b">
        <v>0</v>
      </c>
      <c r="X1142" t="b">
        <f>Validation[[#This Row],[Range1_Low]]&gt;=Validation[[#This Row],[Range1_High]]</f>
        <v>0</v>
      </c>
      <c r="Y1142" s="111" t="s">
        <v>2845</v>
      </c>
    </row>
    <row r="1143" spans="1:25" x14ac:dyDescent="0.25">
      <c r="A1143" t="s">
        <v>56</v>
      </c>
      <c r="B1143" t="s">
        <v>69</v>
      </c>
      <c r="C1143">
        <v>0.1</v>
      </c>
      <c r="D1143">
        <v>1</v>
      </c>
      <c r="E1143">
        <v>0.1</v>
      </c>
      <c r="F1143" t="s">
        <v>6</v>
      </c>
      <c r="G1143" t="s">
        <v>5</v>
      </c>
      <c r="H1143">
        <v>0</v>
      </c>
      <c r="I1143">
        <v>0</v>
      </c>
      <c r="J1143" t="s">
        <v>2833</v>
      </c>
      <c r="K1143">
        <v>58000</v>
      </c>
      <c r="L1143">
        <v>2.0188000000000001E-2</v>
      </c>
      <c r="M1143">
        <v>58000</v>
      </c>
      <c r="N1143">
        <v>1.9042E-2</v>
      </c>
      <c r="O1143" t="s">
        <v>168</v>
      </c>
      <c r="P1143" t="s">
        <v>2833</v>
      </c>
      <c r="Q1143" t="s">
        <v>2833</v>
      </c>
      <c r="R1143">
        <f ca="1">RAND()*(Validation[[#This Row],[Range1_High]]-Validation[[#This Row],[Range1_Low]])+Validation[[#This Row],[Range1_Low]]</f>
        <v>0.85290005547477254</v>
      </c>
      <c r="S1143">
        <f>Validation[[#This Row],[Range2_High]]</f>
        <v>0</v>
      </c>
      <c r="T1143" t="str" cm="1">
        <f t="array" aca="1" ref="T1143" ca="1">RoundToTwoSigFigs(Validation[[#This Row],[Test Reading]]*Validation[[#This Row],[Mult]]+Validation[[#This Row],[Base]]) &amp;" "&amp;Validation[[#This Row],[Uncert_Units]]</f>
        <v>58000 µV</v>
      </c>
      <c r="U1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143" t="b">
        <f ca="1">Validation[[#This Row],[Desired Result]]=Validation[[#This Row],[Result]]</f>
        <v>1</v>
      </c>
      <c r="W1143" t="b">
        <v>0</v>
      </c>
      <c r="X1143" t="b">
        <f>Validation[[#This Row],[Range1_Low]]&gt;=Validation[[#This Row],[Range1_High]]</f>
        <v>0</v>
      </c>
      <c r="Y1143" s="111" t="s">
        <v>2845</v>
      </c>
    </row>
    <row r="1144" spans="1:25" x14ac:dyDescent="0.25">
      <c r="A1144" t="s">
        <v>56</v>
      </c>
      <c r="B1144" t="s">
        <v>69</v>
      </c>
      <c r="C1144">
        <v>1E-3</v>
      </c>
      <c r="D1144">
        <v>0.01</v>
      </c>
      <c r="E1144">
        <v>9.9999999999999995E-8</v>
      </c>
      <c r="F1144" t="s">
        <v>6</v>
      </c>
      <c r="G1144" t="s">
        <v>5</v>
      </c>
      <c r="H1144">
        <v>0</v>
      </c>
      <c r="I1144">
        <v>0</v>
      </c>
      <c r="J1144" t="s">
        <v>2833</v>
      </c>
      <c r="K1144">
        <v>0.62</v>
      </c>
      <c r="L1144">
        <v>4.5</v>
      </c>
      <c r="M1144">
        <v>7.6235999999999998E-2</v>
      </c>
      <c r="N1144">
        <v>47.253999999999998</v>
      </c>
      <c r="O1144" t="s">
        <v>168</v>
      </c>
      <c r="P1144" t="s">
        <v>2833</v>
      </c>
      <c r="Q1144" t="s">
        <v>2833</v>
      </c>
      <c r="R1144">
        <f ca="1">RAND()*(Validation[[#This Row],[Range1_High]]-Validation[[#This Row],[Range1_Low]])+Validation[[#This Row],[Range1_Low]]</f>
        <v>4.8573624036603712E-3</v>
      </c>
      <c r="S1144">
        <f>Validation[[#This Row],[Range2_High]]</f>
        <v>0</v>
      </c>
      <c r="T1144" t="str" cm="1">
        <f t="array" aca="1" ref="T1144" ca="1">RoundToTwoSigFigs(Validation[[#This Row],[Test Reading]]*Validation[[#This Row],[Mult]]+Validation[[#This Row],[Base]]) &amp;" "&amp;Validation[[#This Row],[Uncert_Units]]</f>
        <v>0.64 µV</v>
      </c>
      <c r="U1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V1144" t="b">
        <f ca="1">Validation[[#This Row],[Desired Result]]=Validation[[#This Row],[Result]]</f>
        <v>1</v>
      </c>
      <c r="W1144" t="b">
        <v>0</v>
      </c>
      <c r="X1144" t="b">
        <f>Validation[[#This Row],[Range1_Low]]&gt;=Validation[[#This Row],[Range1_High]]</f>
        <v>0</v>
      </c>
      <c r="Y1144" s="111" t="s">
        <v>2845</v>
      </c>
    </row>
    <row r="1145" spans="1:25" ht="15.75" thickBot="1" x14ac:dyDescent="0.3">
      <c r="A1145" t="s">
        <v>56</v>
      </c>
      <c r="B1145" t="s">
        <v>69</v>
      </c>
      <c r="C1145">
        <v>0</v>
      </c>
      <c r="D1145">
        <v>1E-3</v>
      </c>
      <c r="E1145">
        <v>1E-3</v>
      </c>
      <c r="F1145" t="s">
        <v>6</v>
      </c>
      <c r="G1145" t="s">
        <v>5</v>
      </c>
      <c r="H1145">
        <v>0</v>
      </c>
      <c r="I1145">
        <v>0</v>
      </c>
      <c r="J1145" t="s">
        <v>2833</v>
      </c>
      <c r="K1145">
        <v>580</v>
      </c>
      <c r="L1145">
        <v>1.7406000000000001E-2</v>
      </c>
      <c r="M1145">
        <v>580</v>
      </c>
      <c r="N1145">
        <v>8.3633000000000006E-3</v>
      </c>
      <c r="O1145" t="s">
        <v>168</v>
      </c>
      <c r="P1145" t="s">
        <v>2833</v>
      </c>
      <c r="Q1145" t="s">
        <v>2833</v>
      </c>
      <c r="R1145">
        <f ca="1">RAND()*(Validation[[#This Row],[Range1_High]]-Validation[[#This Row],[Range1_Low]])+Validation[[#This Row],[Range1_Low]]</f>
        <v>5.2478532987219569E-4</v>
      </c>
      <c r="S1145">
        <f>Validation[[#This Row],[Range2_High]]</f>
        <v>0</v>
      </c>
      <c r="T1145" t="str" cm="1">
        <f t="array" aca="1" ref="T1145" ca="1">RoundToTwoSigFigs(Validation[[#This Row],[Test Reading]]*Validation[[#This Row],[Mult]]+Validation[[#This Row],[Base]]) &amp;" "&amp;Validation[[#This Row],[Uncert_Units]]</f>
        <v>580 µV</v>
      </c>
      <c r="U1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145" t="b">
        <f ca="1">Validation[[#This Row],[Desired Result]]=Validation[[#This Row],[Result]]</f>
        <v>1</v>
      </c>
      <c r="W1145" t="b">
        <v>0</v>
      </c>
      <c r="X1145" t="b">
        <f>Validation[[#This Row],[Range1_Low]]&gt;=Validation[[#This Row],[Range1_High]]</f>
        <v>0</v>
      </c>
      <c r="Y1145" s="111" t="s">
        <v>2845</v>
      </c>
    </row>
    <row r="1146" spans="1:25" ht="16.5" thickTop="1" thickBot="1" x14ac:dyDescent="0.3">
      <c r="A1146" t="s">
        <v>56</v>
      </c>
      <c r="B1146" t="s">
        <v>69</v>
      </c>
      <c r="C1146" s="113">
        <v>1</v>
      </c>
      <c r="D1146" s="113">
        <v>10</v>
      </c>
      <c r="E1146">
        <v>1.0000000000000001E-5</v>
      </c>
      <c r="F1146" t="s">
        <v>6</v>
      </c>
      <c r="G1146" t="s">
        <v>5</v>
      </c>
      <c r="H1146">
        <v>0</v>
      </c>
      <c r="I1146">
        <v>0</v>
      </c>
      <c r="J1146" t="s">
        <v>2833</v>
      </c>
      <c r="K1146">
        <v>47</v>
      </c>
      <c r="L1146">
        <v>35</v>
      </c>
      <c r="M1146">
        <v>46.375999999999998</v>
      </c>
      <c r="N1146">
        <v>34.813000000000002</v>
      </c>
      <c r="O1146" t="s">
        <v>168</v>
      </c>
      <c r="P1146" t="s">
        <v>2833</v>
      </c>
      <c r="Q1146" t="s">
        <v>2833</v>
      </c>
      <c r="R1146">
        <f ca="1">RAND()*(Validation[[#This Row],[Range1_High]]-Validation[[#This Row],[Range1_Low]])+Validation[[#This Row],[Range1_Low]]</f>
        <v>2.0405939146394121</v>
      </c>
      <c r="S1146">
        <f>Validation[[#This Row],[Range2_High]]</f>
        <v>0</v>
      </c>
      <c r="T1146" t="str" cm="1">
        <f t="array" aca="1" ref="T1146" ca="1">RoundToTwoSigFigs(Validation[[#This Row],[Test Reading]]*Validation[[#This Row],[Mult]]+Validation[[#This Row],[Base]]) &amp;" "&amp;Validation[[#This Row],[Uncert_Units]]</f>
        <v>120 µV</v>
      </c>
      <c r="U1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V1146" t="b">
        <f ca="1">Validation[[#This Row],[Desired Result]]=Validation[[#This Row],[Result]]</f>
        <v>1</v>
      </c>
      <c r="W1146" t="b">
        <v>1</v>
      </c>
      <c r="X1146" t="b">
        <f>Validation[[#This Row],[Range1_Low]]&gt;=Validation[[#This Row],[Range1_High]]</f>
        <v>0</v>
      </c>
      <c r="Y1146" s="111" t="s">
        <v>2843</v>
      </c>
    </row>
    <row r="1147" spans="1:25" ht="16.5" thickTop="1" thickBot="1" x14ac:dyDescent="0.3">
      <c r="A1147" t="s">
        <v>56</v>
      </c>
      <c r="B1147" t="s">
        <v>69</v>
      </c>
      <c r="C1147">
        <v>0</v>
      </c>
      <c r="D1147">
        <v>1E-3</v>
      </c>
      <c r="E1147">
        <v>9.9999999999999995E-7</v>
      </c>
      <c r="F1147" t="s">
        <v>6</v>
      </c>
      <c r="G1147" t="s">
        <v>5</v>
      </c>
      <c r="H1147">
        <v>0</v>
      </c>
      <c r="I1147">
        <v>0</v>
      </c>
      <c r="J1147" t="s">
        <v>2833</v>
      </c>
      <c r="K1147">
        <v>0.62</v>
      </c>
      <c r="L1147">
        <v>4.5</v>
      </c>
      <c r="M1147">
        <v>0.58020000000000005</v>
      </c>
      <c r="N1147">
        <v>8.2951999999999995</v>
      </c>
      <c r="O1147" t="s">
        <v>168</v>
      </c>
      <c r="P1147" t="s">
        <v>2833</v>
      </c>
      <c r="Q1147" t="s">
        <v>2833</v>
      </c>
      <c r="R1147">
        <f ca="1">RAND()*(Validation[[#This Row],[Range1_High]]-Validation[[#This Row],[Range1_Low]])+Validation[[#This Row],[Range1_Low]]</f>
        <v>6.1585138069102324E-4</v>
      </c>
      <c r="S1147">
        <f>Validation[[#This Row],[Range2_High]]</f>
        <v>0</v>
      </c>
      <c r="T1147" t="str" cm="1">
        <f t="array" aca="1" ref="T1147" ca="1">RoundToTwoSigFigs(Validation[[#This Row],[Test Reading]]*Validation[[#This Row],[Mult]]+Validation[[#This Row],[Base]]) &amp;" "&amp;Validation[[#This Row],[Uncert_Units]]</f>
        <v>0.62 µV</v>
      </c>
      <c r="U1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V1147" t="b">
        <f ca="1">Validation[[#This Row],[Desired Result]]=Validation[[#This Row],[Result]]</f>
        <v>1</v>
      </c>
      <c r="W1147" t="b">
        <v>0</v>
      </c>
      <c r="X1147" t="b">
        <f>Validation[[#This Row],[Range1_Low]]&gt;=Validation[[#This Row],[Range1_High]]</f>
        <v>0</v>
      </c>
      <c r="Y1147" s="111" t="s">
        <v>2845</v>
      </c>
    </row>
    <row r="1148" spans="1:25" ht="16.5" thickTop="1" thickBot="1" x14ac:dyDescent="0.3">
      <c r="A1148" t="s">
        <v>56</v>
      </c>
      <c r="B1148" t="s">
        <v>69</v>
      </c>
      <c r="C1148" s="113">
        <v>0.01</v>
      </c>
      <c r="D1148" s="113">
        <v>0.1</v>
      </c>
      <c r="E1148">
        <v>1.0000000000000001E-5</v>
      </c>
      <c r="F1148" t="s">
        <v>6</v>
      </c>
      <c r="G1148" t="s">
        <v>5</v>
      </c>
      <c r="H1148">
        <v>0</v>
      </c>
      <c r="I1148">
        <v>0</v>
      </c>
      <c r="J1148" t="s">
        <v>2833</v>
      </c>
      <c r="K1148">
        <v>5.7206999999999999</v>
      </c>
      <c r="L1148">
        <v>14.051</v>
      </c>
      <c r="M1148">
        <v>5.7199</v>
      </c>
      <c r="N1148">
        <v>14.036</v>
      </c>
      <c r="O1148" t="s">
        <v>168</v>
      </c>
      <c r="P1148" t="s">
        <v>2833</v>
      </c>
      <c r="Q1148" t="s">
        <v>2833</v>
      </c>
      <c r="R1148">
        <f ca="1">RAND()*(Validation[[#This Row],[Range1_High]]-Validation[[#This Row],[Range1_Low]])+Validation[[#This Row],[Range1_Low]]</f>
        <v>4.0594855264383618E-2</v>
      </c>
      <c r="S1148">
        <f>Validation[[#This Row],[Range2_High]]</f>
        <v>0</v>
      </c>
      <c r="T1148" t="str" cm="1">
        <f t="array" aca="1" ref="T1148" ca="1">RoundToTwoSigFigs(Validation[[#This Row],[Test Reading]]*Validation[[#This Row],[Mult]]+Validation[[#This Row],[Base]]) &amp;" "&amp;Validation[[#This Row],[Uncert_Units]]</f>
        <v>6.3 µV</v>
      </c>
      <c r="U1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µV</v>
      </c>
      <c r="V1148" t="b">
        <f ca="1">Validation[[#This Row],[Desired Result]]=Validation[[#This Row],[Result]]</f>
        <v>1</v>
      </c>
      <c r="W1148" t="b">
        <v>1</v>
      </c>
      <c r="X1148" t="b">
        <f>Validation[[#This Row],[Range1_Low]]&gt;=Validation[[#This Row],[Range1_High]]</f>
        <v>0</v>
      </c>
      <c r="Y1148" s="111" t="s">
        <v>2843</v>
      </c>
    </row>
    <row r="1149" spans="1:25" ht="16.5" thickTop="1" thickBot="1" x14ac:dyDescent="0.3">
      <c r="A1149" t="s">
        <v>56</v>
      </c>
      <c r="B1149" t="s">
        <v>69</v>
      </c>
      <c r="C1149" s="113">
        <v>10</v>
      </c>
      <c r="D1149" s="113">
        <v>100</v>
      </c>
      <c r="E1149">
        <v>0.1</v>
      </c>
      <c r="F1149" t="s">
        <v>6</v>
      </c>
      <c r="G1149" t="s">
        <v>4</v>
      </c>
      <c r="H1149">
        <v>0</v>
      </c>
      <c r="I1149">
        <v>0</v>
      </c>
      <c r="J1149" t="s">
        <v>2833</v>
      </c>
      <c r="K1149">
        <v>57.988999999999997</v>
      </c>
      <c r="L1149">
        <v>1.9846E-3</v>
      </c>
      <c r="M1149">
        <v>57.988999999999997</v>
      </c>
      <c r="N1149">
        <v>1.9773E-3</v>
      </c>
      <c r="O1149" t="s">
        <v>168</v>
      </c>
      <c r="P1149" t="s">
        <v>2833</v>
      </c>
      <c r="Q1149" t="s">
        <v>2833</v>
      </c>
      <c r="R1149">
        <f ca="1">RAND()*(Validation[[#This Row],[Range1_High]]-Validation[[#This Row],[Range1_Low]])+Validation[[#This Row],[Range1_Low]]</f>
        <v>99.563638586405148</v>
      </c>
      <c r="S1149">
        <f>Validation[[#This Row],[Range2_High]]</f>
        <v>0</v>
      </c>
      <c r="T1149" t="str" cm="1">
        <f t="array" aca="1" ref="T1149" ca="1">RoundToTwoSigFigs(Validation[[#This Row],[Test Reading]]*Validation[[#This Row],[Mult]]+Validation[[#This Row],[Base]]) &amp;" "&amp;Validation[[#This Row],[Uncert_Units]]</f>
        <v>58 mV</v>
      </c>
      <c r="U1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149" t="b">
        <f ca="1">Validation[[#This Row],[Desired Result]]=Validation[[#This Row],[Result]]</f>
        <v>1</v>
      </c>
      <c r="W1149" t="b">
        <v>1</v>
      </c>
      <c r="X1149" t="b">
        <f>Validation[[#This Row],[Range1_Low]]&gt;=Validation[[#This Row],[Range1_High]]</f>
        <v>0</v>
      </c>
      <c r="Y1149" s="111" t="s">
        <v>2843</v>
      </c>
    </row>
    <row r="1150" spans="1:25" ht="16.5" thickTop="1" thickBot="1" x14ac:dyDescent="0.3">
      <c r="A1150" t="s">
        <v>68</v>
      </c>
      <c r="B1150" t="s">
        <v>72</v>
      </c>
      <c r="C1150" s="113">
        <v>100</v>
      </c>
      <c r="D1150" s="113">
        <v>250</v>
      </c>
      <c r="E1150">
        <v>1</v>
      </c>
      <c r="F1150" t="s">
        <v>6</v>
      </c>
      <c r="G1150" t="s">
        <v>6</v>
      </c>
      <c r="H1150">
        <v>0</v>
      </c>
      <c r="I1150">
        <v>0</v>
      </c>
      <c r="J1150" t="s">
        <v>2833</v>
      </c>
      <c r="K1150">
        <v>1.4</v>
      </c>
      <c r="L1150">
        <v>1.0999999999999999E-2</v>
      </c>
      <c r="M1150">
        <v>1.3332999999999999</v>
      </c>
      <c r="N1150">
        <v>1.1162E-2</v>
      </c>
      <c r="O1150" t="s">
        <v>153</v>
      </c>
      <c r="P1150" t="s">
        <v>2833</v>
      </c>
      <c r="Q1150" t="s">
        <v>2833</v>
      </c>
      <c r="R1150">
        <f ca="1">RAND()*(Validation[[#This Row],[Range1_High]]-Validation[[#This Row],[Range1_Low]])+Validation[[#This Row],[Range1_Low]]</f>
        <v>117.21423883239564</v>
      </c>
      <c r="S1150">
        <f>Validation[[#This Row],[Range2_High]]</f>
        <v>0</v>
      </c>
      <c r="T1150" t="str" cm="1">
        <f t="array" aca="1" ref="T1150" ca="1">RoundToTwoSigFigs(Validation[[#This Row],[Test Reading]]*Validation[[#This Row],[Mult]]+Validation[[#This Row],[Base]]) &amp;" "&amp;Validation[[#This Row],[Uncert_Units]]</f>
        <v>2.7 V</v>
      </c>
      <c r="U1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V</v>
      </c>
      <c r="V1150" t="b">
        <f ca="1">Validation[[#This Row],[Desired Result]]=Validation[[#This Row],[Result]]</f>
        <v>1</v>
      </c>
      <c r="W1150" t="b">
        <v>1</v>
      </c>
      <c r="X1150" t="b">
        <f>Validation[[#This Row],[Range1_Low]]&gt;=Validation[[#This Row],[Range1_High]]</f>
        <v>0</v>
      </c>
      <c r="Y1150" s="111" t="s">
        <v>2843</v>
      </c>
    </row>
    <row r="1151" spans="1:25" ht="15.75" thickTop="1" x14ac:dyDescent="0.25">
      <c r="A1151" t="s">
        <v>68</v>
      </c>
      <c r="B1151" t="s">
        <v>72</v>
      </c>
      <c r="C1151">
        <v>1</v>
      </c>
      <c r="D1151">
        <v>100</v>
      </c>
      <c r="E1151">
        <v>10</v>
      </c>
      <c r="F1151" t="s">
        <v>6</v>
      </c>
      <c r="G1151" t="s">
        <v>6</v>
      </c>
      <c r="H1151">
        <v>0</v>
      </c>
      <c r="I1151">
        <v>0</v>
      </c>
      <c r="J1151" t="s">
        <v>2833</v>
      </c>
      <c r="K1151">
        <v>5.9149000000000003</v>
      </c>
      <c r="L1151">
        <v>3.8256000000000002E-3</v>
      </c>
      <c r="M1151">
        <v>5.9069000000000003</v>
      </c>
      <c r="N1151">
        <v>3.6668E-3</v>
      </c>
      <c r="O1151" t="s">
        <v>153</v>
      </c>
      <c r="P1151" t="s">
        <v>2833</v>
      </c>
      <c r="Q1151" t="s">
        <v>2833</v>
      </c>
      <c r="R1151">
        <f ca="1">RAND()*(Validation[[#This Row],[Range1_High]]-Validation[[#This Row],[Range1_Low]])+Validation[[#This Row],[Range1_Low]]</f>
        <v>63.524811119352393</v>
      </c>
      <c r="S1151">
        <f>Validation[[#This Row],[Range2_High]]</f>
        <v>0</v>
      </c>
      <c r="T1151" t="str" cm="1">
        <f t="array" aca="1" ref="T1151" ca="1">RoundToTwoSigFigs(Validation[[#This Row],[Test Reading]]*Validation[[#This Row],[Mult]]+Validation[[#This Row],[Base]]) &amp;" "&amp;Validation[[#This Row],[Uncert_Units]]</f>
        <v>6.2 V</v>
      </c>
      <c r="U1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V</v>
      </c>
      <c r="V1151" t="b">
        <f ca="1">Validation[[#This Row],[Desired Result]]=Validation[[#This Row],[Result]]</f>
        <v>1</v>
      </c>
      <c r="W1151" t="b">
        <v>0</v>
      </c>
      <c r="X1151" t="b">
        <f>Validation[[#This Row],[Range1_Low]]&gt;=Validation[[#This Row],[Range1_High]]</f>
        <v>0</v>
      </c>
      <c r="Y1151" s="111" t="s">
        <v>2845</v>
      </c>
    </row>
    <row r="1152" spans="1:25" x14ac:dyDescent="0.25">
      <c r="A1152" t="s">
        <v>68</v>
      </c>
      <c r="B1152" t="s">
        <v>72</v>
      </c>
      <c r="C1152">
        <v>1</v>
      </c>
      <c r="D1152">
        <v>100</v>
      </c>
      <c r="E1152">
        <v>1</v>
      </c>
      <c r="F1152" t="s">
        <v>6</v>
      </c>
      <c r="G1152" t="s">
        <v>6</v>
      </c>
      <c r="H1152">
        <v>0</v>
      </c>
      <c r="I1152">
        <v>0</v>
      </c>
      <c r="J1152" t="s">
        <v>2833</v>
      </c>
      <c r="K1152">
        <v>1.5</v>
      </c>
      <c r="L1152">
        <v>1.0999999999999999E-2</v>
      </c>
      <c r="M1152">
        <v>1.4054</v>
      </c>
      <c r="N1152">
        <v>1.0453E-2</v>
      </c>
      <c r="O1152" t="s">
        <v>153</v>
      </c>
      <c r="P1152" t="s">
        <v>2833</v>
      </c>
      <c r="Q1152" t="s">
        <v>2833</v>
      </c>
      <c r="R1152">
        <f ca="1">RAND()*(Validation[[#This Row],[Range1_High]]-Validation[[#This Row],[Range1_Low]])+Validation[[#This Row],[Range1_Low]]</f>
        <v>38.928718221764747</v>
      </c>
      <c r="S1152">
        <f>Validation[[#This Row],[Range2_High]]</f>
        <v>0</v>
      </c>
      <c r="T1152" t="str" cm="1">
        <f t="array" aca="1" ref="T1152" ca="1">RoundToTwoSigFigs(Validation[[#This Row],[Test Reading]]*Validation[[#This Row],[Mult]]+Validation[[#This Row],[Base]]) &amp;" "&amp;Validation[[#This Row],[Uncert_Units]]</f>
        <v>1.9 V</v>
      </c>
      <c r="U1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V</v>
      </c>
      <c r="V1152" t="b">
        <f ca="1">Validation[[#This Row],[Desired Result]]=Validation[[#This Row],[Result]]</f>
        <v>1</v>
      </c>
      <c r="W1152" t="b">
        <v>0</v>
      </c>
      <c r="X1152" t="b">
        <f>Validation[[#This Row],[Range1_Low]]&gt;=Validation[[#This Row],[Range1_High]]</f>
        <v>0</v>
      </c>
      <c r="Y1152" s="111" t="s">
        <v>2845</v>
      </c>
    </row>
    <row r="1153" spans="1:25" x14ac:dyDescent="0.25">
      <c r="A1153" t="s">
        <v>68</v>
      </c>
      <c r="B1153" t="s">
        <v>72</v>
      </c>
      <c r="C1153">
        <v>500</v>
      </c>
      <c r="D1153">
        <v>1000</v>
      </c>
      <c r="E1153">
        <v>10</v>
      </c>
      <c r="F1153" t="s">
        <v>6</v>
      </c>
      <c r="G1153" t="s">
        <v>6</v>
      </c>
      <c r="H1153">
        <v>0</v>
      </c>
      <c r="I1153">
        <v>0</v>
      </c>
      <c r="J1153" t="s">
        <v>2833</v>
      </c>
      <c r="K1153">
        <v>4.1692999999999998</v>
      </c>
      <c r="L1153">
        <v>9.8749000000000007E-3</v>
      </c>
      <c r="M1153">
        <v>4.0987</v>
      </c>
      <c r="N1153">
        <v>9.8767000000000004E-3</v>
      </c>
      <c r="O1153" t="s">
        <v>153</v>
      </c>
      <c r="P1153" t="s">
        <v>2833</v>
      </c>
      <c r="Q1153" t="s">
        <v>2833</v>
      </c>
      <c r="R1153">
        <f ca="1">RAND()*(Validation[[#This Row],[Range1_High]]-Validation[[#This Row],[Range1_Low]])+Validation[[#This Row],[Range1_Low]]</f>
        <v>969.95756728315337</v>
      </c>
      <c r="S1153">
        <f>Validation[[#This Row],[Range2_High]]</f>
        <v>0</v>
      </c>
      <c r="T1153" t="str" cm="1">
        <f t="array" aca="1" ref="T1153" ca="1">RoundToTwoSigFigs(Validation[[#This Row],[Test Reading]]*Validation[[#This Row],[Mult]]+Validation[[#This Row],[Base]]) &amp;" "&amp;Validation[[#This Row],[Uncert_Units]]</f>
        <v>14 V</v>
      </c>
      <c r="U1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V</v>
      </c>
      <c r="V1153" t="b">
        <f ca="1">Validation[[#This Row],[Desired Result]]=Validation[[#This Row],[Result]]</f>
        <v>1</v>
      </c>
      <c r="W1153" t="b">
        <v>0</v>
      </c>
      <c r="X1153" t="b">
        <f>Validation[[#This Row],[Range1_Low]]&gt;=Validation[[#This Row],[Range1_High]]</f>
        <v>0</v>
      </c>
      <c r="Y1153" s="111" t="s">
        <v>2845</v>
      </c>
    </row>
    <row r="1154" spans="1:25" x14ac:dyDescent="0.25">
      <c r="A1154" t="s">
        <v>68</v>
      </c>
      <c r="B1154" t="s">
        <v>72</v>
      </c>
      <c r="C1154">
        <v>1</v>
      </c>
      <c r="D1154">
        <v>100</v>
      </c>
      <c r="E1154">
        <v>100</v>
      </c>
      <c r="F1154" t="s">
        <v>6</v>
      </c>
      <c r="G1154" t="s">
        <v>6</v>
      </c>
      <c r="H1154">
        <v>0</v>
      </c>
      <c r="I1154">
        <v>0</v>
      </c>
      <c r="J1154" t="s">
        <v>2833</v>
      </c>
      <c r="K1154">
        <v>57.917999999999999</v>
      </c>
      <c r="L1154">
        <v>3.3655999999999998E-3</v>
      </c>
      <c r="M1154">
        <v>57.914999999999999</v>
      </c>
      <c r="N1154">
        <v>3.2951999999999999E-3</v>
      </c>
      <c r="O1154" t="s">
        <v>153</v>
      </c>
      <c r="P1154" t="s">
        <v>2833</v>
      </c>
      <c r="Q1154" t="s">
        <v>2833</v>
      </c>
      <c r="R1154">
        <f ca="1">RAND()*(Validation[[#This Row],[Range1_High]]-Validation[[#This Row],[Range1_Low]])+Validation[[#This Row],[Range1_Low]]</f>
        <v>54.946805477591333</v>
      </c>
      <c r="S1154">
        <f>Validation[[#This Row],[Range2_High]]</f>
        <v>0</v>
      </c>
      <c r="T1154" t="str" cm="1">
        <f t="array" aca="1" ref="T1154" ca="1">RoundToTwoSigFigs(Validation[[#This Row],[Test Reading]]*Validation[[#This Row],[Mult]]+Validation[[#This Row],[Base]]) &amp;" "&amp;Validation[[#This Row],[Uncert_Units]]</f>
        <v>58 V</v>
      </c>
      <c r="U1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V1154" t="b">
        <f ca="1">Validation[[#This Row],[Desired Result]]=Validation[[#This Row],[Result]]</f>
        <v>1</v>
      </c>
      <c r="W1154" t="b">
        <v>0</v>
      </c>
      <c r="X1154" t="b">
        <f>Validation[[#This Row],[Range1_Low]]&gt;=Validation[[#This Row],[Range1_High]]</f>
        <v>0</v>
      </c>
      <c r="Y1154" s="111" t="s">
        <v>2845</v>
      </c>
    </row>
    <row r="1155" spans="1:25" ht="15.75" thickBot="1" x14ac:dyDescent="0.3">
      <c r="A1155" t="s">
        <v>68</v>
      </c>
      <c r="B1155" t="s">
        <v>73</v>
      </c>
      <c r="C1155">
        <v>500000000</v>
      </c>
      <c r="D1155">
        <v>1000000000</v>
      </c>
      <c r="E1155">
        <v>1000000</v>
      </c>
      <c r="F1155" t="s">
        <v>102</v>
      </c>
      <c r="G1155" t="s">
        <v>50</v>
      </c>
      <c r="H1155">
        <v>0</v>
      </c>
      <c r="I1155">
        <v>0</v>
      </c>
      <c r="J1155" t="s">
        <v>2833</v>
      </c>
      <c r="K1155">
        <v>25</v>
      </c>
      <c r="L1155">
        <v>1.1045E-5</v>
      </c>
      <c r="M1155">
        <v>24.396000000000001</v>
      </c>
      <c r="N1155">
        <v>1.1045E-5</v>
      </c>
      <c r="O1155" t="s">
        <v>153</v>
      </c>
      <c r="P1155" t="s">
        <v>2833</v>
      </c>
      <c r="Q1155" t="s">
        <v>2833</v>
      </c>
      <c r="R1155">
        <f ca="1">RAND()*(Validation[[#This Row],[Range1_High]]-Validation[[#This Row],[Range1_Low]])+Validation[[#This Row],[Range1_Low]]</f>
        <v>843293979.25509751</v>
      </c>
      <c r="S1155">
        <f>Validation[[#This Row],[Range2_High]]</f>
        <v>0</v>
      </c>
      <c r="T1155" t="str" cm="1">
        <f t="array" aca="1" ref="T1155" ca="1">RoundToTwoSigFigs(Validation[[#This Row],[Test Reading]]*Validation[[#This Row],[Mult]]+Validation[[#This Row],[Base]]) &amp;" "&amp;Validation[[#This Row],[Uncert_Units]]</f>
        <v>9300 kΩ</v>
      </c>
      <c r="U1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9300 kΩ</v>
      </c>
      <c r="V1155" t="b">
        <f ca="1">Validation[[#This Row],[Desired Result]]=Validation[[#This Row],[Result]]</f>
        <v>1</v>
      </c>
      <c r="W1155" t="b">
        <v>0</v>
      </c>
      <c r="X1155" t="b">
        <f>Validation[[#This Row],[Range1_Low]]&gt;=Validation[[#This Row],[Range1_High]]</f>
        <v>0</v>
      </c>
      <c r="Y1155" s="111" t="s">
        <v>2845</v>
      </c>
    </row>
    <row r="1156" spans="1:25" ht="16.5" thickTop="1" thickBot="1" x14ac:dyDescent="0.3">
      <c r="A1156" t="s">
        <v>68</v>
      </c>
      <c r="B1156" t="s">
        <v>73</v>
      </c>
      <c r="C1156" s="113">
        <v>100000000</v>
      </c>
      <c r="D1156" s="113">
        <v>250000000</v>
      </c>
      <c r="E1156">
        <v>10000</v>
      </c>
      <c r="F1156" t="s">
        <v>102</v>
      </c>
      <c r="G1156" t="s">
        <v>50</v>
      </c>
      <c r="H1156">
        <v>0</v>
      </c>
      <c r="I1156">
        <v>0</v>
      </c>
      <c r="J1156" t="s">
        <v>2833</v>
      </c>
      <c r="K1156">
        <v>14</v>
      </c>
      <c r="L1156">
        <v>1.1E-5</v>
      </c>
      <c r="M1156">
        <v>13.510999999999999</v>
      </c>
      <c r="N1156">
        <v>1.0788000000000001E-5</v>
      </c>
      <c r="O1156" t="s">
        <v>153</v>
      </c>
      <c r="P1156" t="s">
        <v>2833</v>
      </c>
      <c r="Q1156" t="s">
        <v>2833</v>
      </c>
      <c r="R1156">
        <f ca="1">RAND()*(Validation[[#This Row],[Range1_High]]-Validation[[#This Row],[Range1_Low]])+Validation[[#This Row],[Range1_Low]]</f>
        <v>142079564.38669845</v>
      </c>
      <c r="S1156">
        <f>Validation[[#This Row],[Range2_High]]</f>
        <v>0</v>
      </c>
      <c r="T1156" t="str" cm="1">
        <f t="array" aca="1" ref="T1156" ca="1">RoundToTwoSigFigs(Validation[[#This Row],[Test Reading]]*Validation[[#This Row],[Mult]]+Validation[[#This Row],[Base]]) &amp;" "&amp;Validation[[#This Row],[Uncert_Units]]</f>
        <v>1600 kΩ</v>
      </c>
      <c r="U1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V1156" t="b">
        <f ca="1">Validation[[#This Row],[Desired Result]]=Validation[[#This Row],[Result]]</f>
        <v>1</v>
      </c>
      <c r="W1156" t="b">
        <v>1</v>
      </c>
      <c r="X1156" t="b">
        <f>Validation[[#This Row],[Range1_Low]]&gt;=Validation[[#This Row],[Range1_High]]</f>
        <v>0</v>
      </c>
      <c r="Y1156" s="111" t="s">
        <v>2843</v>
      </c>
    </row>
    <row r="1157" spans="1:25" ht="16.5" thickTop="1" thickBot="1" x14ac:dyDescent="0.3">
      <c r="A1157" t="s">
        <v>68</v>
      </c>
      <c r="B1157" t="s">
        <v>73</v>
      </c>
      <c r="C1157" s="113">
        <v>100000000</v>
      </c>
      <c r="D1157" s="113">
        <v>250000000</v>
      </c>
      <c r="E1157">
        <v>10000000</v>
      </c>
      <c r="F1157" t="s">
        <v>102</v>
      </c>
      <c r="G1157" t="s">
        <v>50</v>
      </c>
      <c r="H1157">
        <v>0</v>
      </c>
      <c r="I1157">
        <v>0</v>
      </c>
      <c r="J1157" t="s">
        <v>2833</v>
      </c>
      <c r="K1157">
        <v>5773</v>
      </c>
      <c r="L1157">
        <v>2.5170000000000002E-6</v>
      </c>
      <c r="M1157">
        <v>5772.9</v>
      </c>
      <c r="N1157">
        <v>2.5167E-6</v>
      </c>
      <c r="O1157" t="s">
        <v>153</v>
      </c>
      <c r="P1157" t="s">
        <v>2833</v>
      </c>
      <c r="Q1157" t="s">
        <v>2833</v>
      </c>
      <c r="R1157">
        <f ca="1">RAND()*(Validation[[#This Row],[Range1_High]]-Validation[[#This Row],[Range1_Low]])+Validation[[#This Row],[Range1_Low]]</f>
        <v>231325787.42408401</v>
      </c>
      <c r="S1157">
        <f>Validation[[#This Row],[Range2_High]]</f>
        <v>0</v>
      </c>
      <c r="T1157" t="str" cm="1">
        <f t="array" aca="1" ref="T1157" ca="1">RoundToTwoSigFigs(Validation[[#This Row],[Test Reading]]*Validation[[#This Row],[Mult]]+Validation[[#This Row],[Base]]) &amp;" "&amp;Validation[[#This Row],[Uncert_Units]]</f>
        <v>6400 kΩ</v>
      </c>
      <c r="U1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kΩ</v>
      </c>
      <c r="V1157" t="b">
        <f ca="1">Validation[[#This Row],[Desired Result]]=Validation[[#This Row],[Result]]</f>
        <v>1</v>
      </c>
      <c r="W1157" t="b">
        <v>1</v>
      </c>
      <c r="X1157" t="b">
        <f>Validation[[#This Row],[Range1_Low]]&gt;=Validation[[#This Row],[Range1_High]]</f>
        <v>0</v>
      </c>
      <c r="Y1157" s="111" t="s">
        <v>2843</v>
      </c>
    </row>
    <row r="1158" spans="1:25" ht="16.5" thickTop="1" thickBot="1" x14ac:dyDescent="0.3">
      <c r="A1158" t="s">
        <v>68</v>
      </c>
      <c r="B1158" t="s">
        <v>73</v>
      </c>
      <c r="C1158" s="113">
        <v>250000000</v>
      </c>
      <c r="D1158" s="113">
        <v>500000000</v>
      </c>
      <c r="E1158">
        <v>10000000</v>
      </c>
      <c r="F1158" t="s">
        <v>102</v>
      </c>
      <c r="G1158" t="s">
        <v>50</v>
      </c>
      <c r="H1158">
        <v>0</v>
      </c>
      <c r="I1158">
        <v>0</v>
      </c>
      <c r="J1158" t="s">
        <v>2833</v>
      </c>
      <c r="K1158">
        <v>5771.4</v>
      </c>
      <c r="L1158">
        <v>4.4676000000000002E-6</v>
      </c>
      <c r="M1158">
        <v>5771.3</v>
      </c>
      <c r="N1158">
        <v>4.4673999999999998E-6</v>
      </c>
      <c r="O1158" t="s">
        <v>153</v>
      </c>
      <c r="P1158" t="s">
        <v>2833</v>
      </c>
      <c r="Q1158" t="s">
        <v>2833</v>
      </c>
      <c r="R1158">
        <f ca="1">RAND()*(Validation[[#This Row],[Range1_High]]-Validation[[#This Row],[Range1_Low]])+Validation[[#This Row],[Range1_Low]]</f>
        <v>470440474.74956489</v>
      </c>
      <c r="S1158">
        <f>Validation[[#This Row],[Range2_High]]</f>
        <v>0</v>
      </c>
      <c r="T1158" t="str" cm="1">
        <f t="array" aca="1" ref="T1158" ca="1">RoundToTwoSigFigs(Validation[[#This Row],[Test Reading]]*Validation[[#This Row],[Mult]]+Validation[[#This Row],[Base]]) &amp;" "&amp;Validation[[#This Row],[Uncert_Units]]</f>
        <v>7900 kΩ</v>
      </c>
      <c r="U1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7900 kΩ</v>
      </c>
      <c r="V1158" t="b">
        <f ca="1">Validation[[#This Row],[Desired Result]]=Validation[[#This Row],[Result]]</f>
        <v>1</v>
      </c>
      <c r="W1158" t="b">
        <v>1</v>
      </c>
      <c r="X1158" t="b">
        <f>Validation[[#This Row],[Range1_Low]]&gt;=Validation[[#This Row],[Range1_High]]</f>
        <v>0</v>
      </c>
      <c r="Y1158" s="111" t="s">
        <v>2843</v>
      </c>
    </row>
    <row r="1159" spans="1:25" ht="16.5" thickTop="1" thickBot="1" x14ac:dyDescent="0.3">
      <c r="A1159" t="s">
        <v>68</v>
      </c>
      <c r="B1159" t="s">
        <v>73</v>
      </c>
      <c r="C1159">
        <v>250000000</v>
      </c>
      <c r="D1159">
        <v>500000000</v>
      </c>
      <c r="E1159">
        <v>10000</v>
      </c>
      <c r="F1159" t="s">
        <v>102</v>
      </c>
      <c r="G1159" t="s">
        <v>50</v>
      </c>
      <c r="H1159">
        <v>0</v>
      </c>
      <c r="I1159">
        <v>0</v>
      </c>
      <c r="J1159" t="s">
        <v>2833</v>
      </c>
      <c r="K1159">
        <v>18</v>
      </c>
      <c r="L1159">
        <v>1.1E-5</v>
      </c>
      <c r="M1159">
        <v>12.763999999999999</v>
      </c>
      <c r="N1159">
        <v>1.1009000000000001E-5</v>
      </c>
      <c r="O1159" t="s">
        <v>153</v>
      </c>
      <c r="P1159" t="s">
        <v>2833</v>
      </c>
      <c r="Q1159" t="s">
        <v>2833</v>
      </c>
      <c r="R1159">
        <f ca="1">RAND()*(Validation[[#This Row],[Range1_High]]-Validation[[#This Row],[Range1_Low]])+Validation[[#This Row],[Range1_Low]]</f>
        <v>480627484.1359129</v>
      </c>
      <c r="S1159">
        <f>Validation[[#This Row],[Range2_High]]</f>
        <v>0</v>
      </c>
      <c r="T1159" t="str" cm="1">
        <f t="array" aca="1" ref="T1159" ca="1">RoundToTwoSigFigs(Validation[[#This Row],[Test Reading]]*Validation[[#This Row],[Mult]]+Validation[[#This Row],[Base]]) &amp;" "&amp;Validation[[#This Row],[Uncert_Units]]</f>
        <v>5300 kΩ</v>
      </c>
      <c r="U1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kΩ</v>
      </c>
      <c r="V1159" t="b">
        <f ca="1">Validation[[#This Row],[Desired Result]]=Validation[[#This Row],[Result]]</f>
        <v>1</v>
      </c>
      <c r="W1159" t="b">
        <v>0</v>
      </c>
      <c r="X1159" t="b">
        <f>Validation[[#This Row],[Range1_Low]]&gt;=Validation[[#This Row],[Range1_High]]</f>
        <v>0</v>
      </c>
      <c r="Y1159" s="111" t="s">
        <v>2845</v>
      </c>
    </row>
    <row r="1160" spans="1:25" ht="16.5" thickTop="1" thickBot="1" x14ac:dyDescent="0.3">
      <c r="A1160" t="s">
        <v>68</v>
      </c>
      <c r="B1160" t="s">
        <v>73</v>
      </c>
      <c r="C1160" s="113">
        <v>500000000</v>
      </c>
      <c r="D1160" s="113">
        <v>1000000000</v>
      </c>
      <c r="E1160">
        <v>100000</v>
      </c>
      <c r="F1160" t="s">
        <v>102</v>
      </c>
      <c r="G1160" t="s">
        <v>50</v>
      </c>
      <c r="H1160">
        <v>0</v>
      </c>
      <c r="I1160">
        <v>0</v>
      </c>
      <c r="J1160" t="s">
        <v>2833</v>
      </c>
      <c r="K1160">
        <v>25</v>
      </c>
      <c r="L1160">
        <v>1.1209000000000001E-5</v>
      </c>
      <c r="M1160">
        <v>-75.391000000000005</v>
      </c>
      <c r="N1160">
        <v>1.1209000000000001E-5</v>
      </c>
      <c r="O1160" t="s">
        <v>153</v>
      </c>
      <c r="P1160" t="s">
        <v>2833</v>
      </c>
      <c r="Q1160" t="s">
        <v>2833</v>
      </c>
      <c r="R1160">
        <f ca="1">RAND()*(Validation[[#This Row],[Range1_High]]-Validation[[#This Row],[Range1_Low]])+Validation[[#This Row],[Range1_Low]]</f>
        <v>968625416.46774888</v>
      </c>
      <c r="S1160">
        <f>Validation[[#This Row],[Range2_High]]</f>
        <v>0</v>
      </c>
      <c r="T1160" t="str" cm="1">
        <f t="array" aca="1" ref="T1160" ca="1">RoundToTwoSigFigs(Validation[[#This Row],[Test Reading]]*Validation[[#This Row],[Mult]]+Validation[[#This Row],[Base]]) &amp;" "&amp;Validation[[#This Row],[Uncert_Units]]</f>
        <v>11000 kΩ</v>
      </c>
      <c r="U1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V1160" t="b">
        <f ca="1">Validation[[#This Row],[Desired Result]]=Validation[[#This Row],[Result]]</f>
        <v>1</v>
      </c>
      <c r="W1160" t="b">
        <v>1</v>
      </c>
      <c r="X1160" t="b">
        <f>Validation[[#This Row],[Range1_Low]]&gt;=Validation[[#This Row],[Range1_High]]</f>
        <v>0</v>
      </c>
      <c r="Y1160" s="111" t="s">
        <v>2843</v>
      </c>
    </row>
    <row r="1161" spans="1:25" ht="16.5" thickTop="1" thickBot="1" x14ac:dyDescent="0.3">
      <c r="A1161" t="s">
        <v>68</v>
      </c>
      <c r="B1161" t="s">
        <v>74</v>
      </c>
      <c r="C1161" s="113">
        <v>302</v>
      </c>
      <c r="D1161" s="113">
        <v>1400</v>
      </c>
      <c r="E1161">
        <v>0.1</v>
      </c>
      <c r="F1161" t="s">
        <v>26</v>
      </c>
      <c r="G1161" t="s">
        <v>26</v>
      </c>
      <c r="H1161">
        <v>0</v>
      </c>
      <c r="I1161">
        <v>0</v>
      </c>
      <c r="J1161" t="s">
        <v>2833</v>
      </c>
      <c r="K1161">
        <v>2.039283008</v>
      </c>
      <c r="L1161">
        <v>0</v>
      </c>
      <c r="M1161">
        <v>2.038730363</v>
      </c>
      <c r="N1161">
        <v>0</v>
      </c>
      <c r="O1161" t="s">
        <v>169</v>
      </c>
      <c r="P1161" t="s">
        <v>2833</v>
      </c>
      <c r="Q1161" t="s">
        <v>161</v>
      </c>
      <c r="R1161">
        <f ca="1">RAND()*(Validation[[#This Row],[Range1_High]]-Validation[[#This Row],[Range1_Low]])+Validation[[#This Row],[Range1_Low]]</f>
        <v>687.22136253827955</v>
      </c>
      <c r="S1161">
        <f>Validation[[#This Row],[Range2_High]]</f>
        <v>0</v>
      </c>
      <c r="T1161" t="str" cm="1">
        <f t="array" aca="1" ref="T1161" ca="1">RoundToTwoSigFigs(Validation[[#This Row],[Test Reading]]*Validation[[#This Row],[Mult]]+Validation[[#This Row],[Base]]) &amp;" "&amp;Validation[[#This Row],[Uncert_Units]]</f>
        <v>2 °F</v>
      </c>
      <c r="U1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V1161" t="b">
        <f ca="1">Validation[[#This Row],[Desired Result]]=Validation[[#This Row],[Result]]</f>
        <v>1</v>
      </c>
      <c r="W1161" t="b">
        <v>1</v>
      </c>
      <c r="X1161" t="b">
        <f>Validation[[#This Row],[Range1_Low]]&gt;=Validation[[#This Row],[Range1_High]]</f>
        <v>0</v>
      </c>
      <c r="Y1161" s="111" t="s">
        <v>2843</v>
      </c>
    </row>
    <row r="1162" spans="1:25" ht="16.5" thickTop="1" thickBot="1" x14ac:dyDescent="0.3">
      <c r="A1162" t="s">
        <v>68</v>
      </c>
      <c r="B1162" t="s">
        <v>74</v>
      </c>
      <c r="C1162" s="113">
        <v>-148</v>
      </c>
      <c r="D1162" s="113">
        <v>302</v>
      </c>
      <c r="E1162">
        <v>1</v>
      </c>
      <c r="F1162" t="s">
        <v>26</v>
      </c>
      <c r="G1162" t="s">
        <v>26</v>
      </c>
      <c r="H1162">
        <v>0</v>
      </c>
      <c r="I1162">
        <v>0</v>
      </c>
      <c r="J1162" t="s">
        <v>2833</v>
      </c>
      <c r="K1162">
        <v>2.0067440680000002</v>
      </c>
      <c r="L1162">
        <v>0</v>
      </c>
      <c r="M1162">
        <v>1.9987804549999999</v>
      </c>
      <c r="N1162">
        <v>0</v>
      </c>
      <c r="O1162" t="s">
        <v>169</v>
      </c>
      <c r="P1162" t="s">
        <v>2833</v>
      </c>
      <c r="Q1162" t="s">
        <v>161</v>
      </c>
      <c r="R1162">
        <f ca="1">RAND()*(Validation[[#This Row],[Range1_High]]-Validation[[#This Row],[Range1_Low]])+Validation[[#This Row],[Range1_Low]]</f>
        <v>-77.663182603249766</v>
      </c>
      <c r="S1162">
        <f>Validation[[#This Row],[Range2_High]]</f>
        <v>0</v>
      </c>
      <c r="T1162" t="str" cm="1">
        <f t="array" aca="1" ref="T1162" ca="1">RoundToTwoSigFigs(Validation[[#This Row],[Test Reading]]*Validation[[#This Row],[Mult]]+Validation[[#This Row],[Base]]) &amp;" "&amp;Validation[[#This Row],[Uncert_Units]]</f>
        <v>2 °F</v>
      </c>
      <c r="U1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V1162" t="b">
        <f ca="1">Validation[[#This Row],[Desired Result]]=Validation[[#This Row],[Result]]</f>
        <v>1</v>
      </c>
      <c r="W1162" t="b">
        <v>1</v>
      </c>
      <c r="X1162" t="b">
        <f>Validation[[#This Row],[Range1_Low]]&gt;=Validation[[#This Row],[Range1_High]]</f>
        <v>0</v>
      </c>
      <c r="Y1162" s="111" t="s">
        <v>2843</v>
      </c>
    </row>
    <row r="1163" spans="1:25" ht="16.5" thickTop="1" thickBot="1" x14ac:dyDescent="0.3">
      <c r="A1163" t="s">
        <v>68</v>
      </c>
      <c r="B1163" t="s">
        <v>74</v>
      </c>
      <c r="C1163">
        <v>-346</v>
      </c>
      <c r="D1163">
        <v>-148</v>
      </c>
      <c r="E1163">
        <v>1</v>
      </c>
      <c r="F1163" t="s">
        <v>26</v>
      </c>
      <c r="G1163" t="s">
        <v>26</v>
      </c>
      <c r="H1163">
        <v>0</v>
      </c>
      <c r="I1163">
        <v>0</v>
      </c>
      <c r="J1163" t="s">
        <v>2833</v>
      </c>
      <c r="K1163">
        <v>2.4907975520000001</v>
      </c>
      <c r="L1163">
        <v>0</v>
      </c>
      <c r="M1163">
        <v>2.4818726799999999</v>
      </c>
      <c r="N1163">
        <v>0</v>
      </c>
      <c r="O1163" t="s">
        <v>169</v>
      </c>
      <c r="P1163" t="s">
        <v>2833</v>
      </c>
      <c r="Q1163" t="s">
        <v>161</v>
      </c>
      <c r="R1163">
        <f ca="1">RAND()*(Validation[[#This Row],[Range1_High]]-Validation[[#This Row],[Range1_Low]])+Validation[[#This Row],[Range1_Low]]</f>
        <v>-245.93974533176981</v>
      </c>
      <c r="S1163">
        <f>Validation[[#This Row],[Range2_High]]</f>
        <v>0</v>
      </c>
      <c r="T1163" t="str" cm="1">
        <f t="array" aca="1" ref="T1163" ca="1">RoundToTwoSigFigs(Validation[[#This Row],[Test Reading]]*Validation[[#This Row],[Mult]]+Validation[[#This Row],[Base]]) &amp;" "&amp;Validation[[#This Row],[Uncert_Units]]</f>
        <v>2.5 °F</v>
      </c>
      <c r="U1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V1163" t="b">
        <f ca="1">Validation[[#This Row],[Desired Result]]=Validation[[#This Row],[Result]]</f>
        <v>1</v>
      </c>
      <c r="W1163" t="b">
        <v>0</v>
      </c>
      <c r="X1163" t="b">
        <f>Validation[[#This Row],[Range1_Low]]&gt;=Validation[[#This Row],[Range1_High]]</f>
        <v>0</v>
      </c>
      <c r="Y1163" s="111" t="s">
        <v>2845</v>
      </c>
    </row>
    <row r="1164" spans="1:25" ht="16.5" thickTop="1" thickBot="1" x14ac:dyDescent="0.3">
      <c r="A1164" t="s">
        <v>68</v>
      </c>
      <c r="B1164" t="s">
        <v>74</v>
      </c>
      <c r="C1164" s="113">
        <v>1400</v>
      </c>
      <c r="D1164" s="113">
        <v>2192</v>
      </c>
      <c r="E1164">
        <v>0.1</v>
      </c>
      <c r="F1164" t="s">
        <v>26</v>
      </c>
      <c r="G1164" t="s">
        <v>26</v>
      </c>
      <c r="H1164">
        <v>0</v>
      </c>
      <c r="I1164">
        <v>0</v>
      </c>
      <c r="J1164" t="s">
        <v>2833</v>
      </c>
      <c r="K1164">
        <v>2.2469486550000002</v>
      </c>
      <c r="L1164">
        <v>0</v>
      </c>
      <c r="M1164">
        <v>2.246447098</v>
      </c>
      <c r="N1164">
        <v>0</v>
      </c>
      <c r="O1164" t="s">
        <v>169</v>
      </c>
      <c r="P1164" t="s">
        <v>2833</v>
      </c>
      <c r="Q1164" t="s">
        <v>161</v>
      </c>
      <c r="R1164">
        <f ca="1">RAND()*(Validation[[#This Row],[Range1_High]]-Validation[[#This Row],[Range1_Low]])+Validation[[#This Row],[Range1_Low]]</f>
        <v>1634.9632056243981</v>
      </c>
      <c r="S1164">
        <f>Validation[[#This Row],[Range2_High]]</f>
        <v>0</v>
      </c>
      <c r="T1164" t="str" cm="1">
        <f t="array" aca="1" ref="T1164" ca="1">RoundToTwoSigFigs(Validation[[#This Row],[Test Reading]]*Validation[[#This Row],[Mult]]+Validation[[#This Row],[Base]]) &amp;" "&amp;Validation[[#This Row],[Uncert_Units]]</f>
        <v>2.2 °F</v>
      </c>
      <c r="U1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V1164" t="b">
        <f ca="1">Validation[[#This Row],[Desired Result]]=Validation[[#This Row],[Result]]</f>
        <v>1</v>
      </c>
      <c r="W1164" t="b">
        <v>1</v>
      </c>
      <c r="X1164" t="b">
        <f>Validation[[#This Row],[Range1_Low]]&gt;=Validation[[#This Row],[Range1_High]]</f>
        <v>0</v>
      </c>
      <c r="Y1164" s="111" t="s">
        <v>2843</v>
      </c>
    </row>
    <row r="1165" spans="1:25" ht="16.5" thickTop="1" thickBot="1" x14ac:dyDescent="0.3">
      <c r="A1165" t="s">
        <v>68</v>
      </c>
      <c r="B1165" t="s">
        <v>74</v>
      </c>
      <c r="C1165" s="113">
        <v>302</v>
      </c>
      <c r="D1165" s="113">
        <v>1400</v>
      </c>
      <c r="E1165">
        <v>1</v>
      </c>
      <c r="F1165" t="s">
        <v>26</v>
      </c>
      <c r="G1165" t="s">
        <v>26</v>
      </c>
      <c r="H1165">
        <v>0</v>
      </c>
      <c r="I1165">
        <v>0</v>
      </c>
      <c r="J1165" t="s">
        <v>2833</v>
      </c>
      <c r="K1165">
        <v>2.1202443889999998</v>
      </c>
      <c r="L1165">
        <v>0</v>
      </c>
      <c r="M1165">
        <v>2.1181174409999999</v>
      </c>
      <c r="N1165">
        <v>0</v>
      </c>
      <c r="O1165" t="s">
        <v>169</v>
      </c>
      <c r="P1165" t="s">
        <v>2833</v>
      </c>
      <c r="Q1165" t="s">
        <v>161</v>
      </c>
      <c r="R1165">
        <f ca="1">RAND()*(Validation[[#This Row],[Range1_High]]-Validation[[#This Row],[Range1_Low]])+Validation[[#This Row],[Range1_Low]]</f>
        <v>1004.7390440881543</v>
      </c>
      <c r="S1165">
        <f>Validation[[#This Row],[Range2_High]]</f>
        <v>0</v>
      </c>
      <c r="T1165" t="str" cm="1">
        <f t="array" aca="1" ref="T1165" ca="1">RoundToTwoSigFigs(Validation[[#This Row],[Test Reading]]*Validation[[#This Row],[Mult]]+Validation[[#This Row],[Base]]) &amp;" "&amp;Validation[[#This Row],[Uncert_Units]]</f>
        <v>2.1 °F</v>
      </c>
      <c r="U1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V1165" t="b">
        <f ca="1">Validation[[#This Row],[Desired Result]]=Validation[[#This Row],[Result]]</f>
        <v>1</v>
      </c>
      <c r="W1165" t="b">
        <v>1</v>
      </c>
      <c r="X1165" t="b">
        <f>Validation[[#This Row],[Range1_Low]]&gt;=Validation[[#This Row],[Range1_High]]</f>
        <v>0</v>
      </c>
      <c r="Y1165" s="111" t="s">
        <v>2843</v>
      </c>
    </row>
    <row r="1166" spans="1:25" ht="16.5" thickTop="1" thickBot="1" x14ac:dyDescent="0.3">
      <c r="A1166" t="s">
        <v>68</v>
      </c>
      <c r="B1166" t="s">
        <v>74</v>
      </c>
      <c r="C1166">
        <v>-210</v>
      </c>
      <c r="D1166">
        <v>-100</v>
      </c>
      <c r="E1166">
        <v>0.1</v>
      </c>
      <c r="F1166" t="s">
        <v>23</v>
      </c>
      <c r="G1166" t="s">
        <v>23</v>
      </c>
      <c r="H1166">
        <v>0</v>
      </c>
      <c r="I1166">
        <v>0</v>
      </c>
      <c r="J1166" t="s">
        <v>2833</v>
      </c>
      <c r="K1166">
        <v>1.3460795590000001</v>
      </c>
      <c r="L1166">
        <v>0</v>
      </c>
      <c r="M1166">
        <v>1.344806961</v>
      </c>
      <c r="N1166">
        <v>0</v>
      </c>
      <c r="O1166" t="s">
        <v>169</v>
      </c>
      <c r="P1166" t="s">
        <v>2833</v>
      </c>
      <c r="Q1166" t="s">
        <v>161</v>
      </c>
      <c r="R1166">
        <f ca="1">RAND()*(Validation[[#This Row],[Range1_High]]-Validation[[#This Row],[Range1_Low]])+Validation[[#This Row],[Range1_Low]]</f>
        <v>-163.96143735746244</v>
      </c>
      <c r="S1166">
        <f>Validation[[#This Row],[Range2_High]]</f>
        <v>0</v>
      </c>
      <c r="T1166" t="str" cm="1">
        <f t="array" aca="1" ref="T1166" ca="1">RoundToTwoSigFigs(Validation[[#This Row],[Test Reading]]*Validation[[#This Row],[Mult]]+Validation[[#This Row],[Base]]) &amp;" "&amp;Validation[[#This Row],[Uncert_Units]]</f>
        <v>1.3 °C</v>
      </c>
      <c r="U1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V1166" t="b">
        <f ca="1">Validation[[#This Row],[Desired Result]]=Validation[[#This Row],[Result]]</f>
        <v>1</v>
      </c>
      <c r="W1166" t="b">
        <v>0</v>
      </c>
      <c r="X1166" t="b">
        <f>Validation[[#This Row],[Range1_Low]]&gt;=Validation[[#This Row],[Range1_High]]</f>
        <v>0</v>
      </c>
      <c r="Y1166" s="111" t="s">
        <v>2845</v>
      </c>
    </row>
    <row r="1167" spans="1:25" ht="16.5" thickTop="1" thickBot="1" x14ac:dyDescent="0.3">
      <c r="A1167" t="s">
        <v>68</v>
      </c>
      <c r="B1167" t="s">
        <v>74</v>
      </c>
      <c r="C1167" s="113">
        <v>-100</v>
      </c>
      <c r="D1167" s="113">
        <v>150</v>
      </c>
      <c r="E1167">
        <v>1</v>
      </c>
      <c r="F1167" t="s">
        <v>23</v>
      </c>
      <c r="G1167" t="s">
        <v>23</v>
      </c>
      <c r="H1167">
        <v>0</v>
      </c>
      <c r="I1167">
        <v>0</v>
      </c>
      <c r="J1167" t="s">
        <v>2833</v>
      </c>
      <c r="K1167">
        <v>1.2143830819999999</v>
      </c>
      <c r="L1167">
        <v>0</v>
      </c>
      <c r="M1167">
        <v>1.210322713</v>
      </c>
      <c r="N1167">
        <v>0</v>
      </c>
      <c r="O1167" t="s">
        <v>169</v>
      </c>
      <c r="P1167" t="s">
        <v>2833</v>
      </c>
      <c r="Q1167" t="s">
        <v>161</v>
      </c>
      <c r="R1167">
        <f ca="1">RAND()*(Validation[[#This Row],[Range1_High]]-Validation[[#This Row],[Range1_Low]])+Validation[[#This Row],[Range1_Low]]</f>
        <v>-44.340360917352854</v>
      </c>
      <c r="S1167">
        <f>Validation[[#This Row],[Range2_High]]</f>
        <v>0</v>
      </c>
      <c r="T1167" t="str" cm="1">
        <f t="array" aca="1" ref="T1167" ca="1">RoundToTwoSigFigs(Validation[[#This Row],[Test Reading]]*Validation[[#This Row],[Mult]]+Validation[[#This Row],[Base]]) &amp;" "&amp;Validation[[#This Row],[Uncert_Units]]</f>
        <v>1.2 °C</v>
      </c>
      <c r="U1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V1167" t="b">
        <f ca="1">Validation[[#This Row],[Desired Result]]=Validation[[#This Row],[Result]]</f>
        <v>1</v>
      </c>
      <c r="W1167" t="b">
        <v>1</v>
      </c>
      <c r="X1167" t="b">
        <f>Validation[[#This Row],[Range1_Low]]&gt;=Validation[[#This Row],[Range1_High]]</f>
        <v>0</v>
      </c>
      <c r="Y1167" s="111" t="s">
        <v>2843</v>
      </c>
    </row>
    <row r="1168" spans="1:25" ht="16.5" thickTop="1" thickBot="1" x14ac:dyDescent="0.3">
      <c r="A1168" t="s">
        <v>68</v>
      </c>
      <c r="B1168" t="s">
        <v>74</v>
      </c>
      <c r="C1168">
        <v>-346</v>
      </c>
      <c r="D1168">
        <v>-148</v>
      </c>
      <c r="E1168">
        <v>0.1</v>
      </c>
      <c r="F1168" t="s">
        <v>26</v>
      </c>
      <c r="G1168" t="s">
        <v>26</v>
      </c>
      <c r="H1168">
        <v>0</v>
      </c>
      <c r="I1168">
        <v>0</v>
      </c>
      <c r="J1168" t="s">
        <v>2833</v>
      </c>
      <c r="K1168">
        <v>2.416772044</v>
      </c>
      <c r="L1168">
        <v>0</v>
      </c>
      <c r="M1168">
        <v>2.4144755120000001</v>
      </c>
      <c r="N1168">
        <v>0</v>
      </c>
      <c r="O1168" t="s">
        <v>169</v>
      </c>
      <c r="P1168" t="s">
        <v>2833</v>
      </c>
      <c r="Q1168" t="s">
        <v>161</v>
      </c>
      <c r="R1168">
        <f ca="1">RAND()*(Validation[[#This Row],[Range1_High]]-Validation[[#This Row],[Range1_Low]])+Validation[[#This Row],[Range1_Low]]</f>
        <v>-157.860802339185</v>
      </c>
      <c r="S1168">
        <f>Validation[[#This Row],[Range2_High]]</f>
        <v>0</v>
      </c>
      <c r="T1168" t="str" cm="1">
        <f t="array" aca="1" ref="T1168" ca="1">RoundToTwoSigFigs(Validation[[#This Row],[Test Reading]]*Validation[[#This Row],[Mult]]+Validation[[#This Row],[Base]]) &amp;" "&amp;Validation[[#This Row],[Uncert_Units]]</f>
        <v>2.4 °F</v>
      </c>
      <c r="U1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V1168" t="b">
        <f ca="1">Validation[[#This Row],[Desired Result]]=Validation[[#This Row],[Result]]</f>
        <v>1</v>
      </c>
      <c r="W1168" t="b">
        <v>0</v>
      </c>
      <c r="X1168" t="b">
        <f>Validation[[#This Row],[Range1_Low]]&gt;=Validation[[#This Row],[Range1_High]]</f>
        <v>0</v>
      </c>
      <c r="Y1168" s="111" t="s">
        <v>2845</v>
      </c>
    </row>
    <row r="1169" spans="1:25" ht="16.5" thickTop="1" thickBot="1" x14ac:dyDescent="0.3">
      <c r="A1169" t="s">
        <v>68</v>
      </c>
      <c r="B1169" t="s">
        <v>74</v>
      </c>
      <c r="C1169" s="113">
        <v>-148</v>
      </c>
      <c r="D1169" s="113">
        <v>302</v>
      </c>
      <c r="E1169">
        <v>0.1</v>
      </c>
      <c r="F1169" t="s">
        <v>26</v>
      </c>
      <c r="G1169" t="s">
        <v>26</v>
      </c>
      <c r="H1169">
        <v>0</v>
      </c>
      <c r="I1169">
        <v>0</v>
      </c>
      <c r="J1169" t="s">
        <v>2833</v>
      </c>
      <c r="K1169">
        <v>1.9165327860000001</v>
      </c>
      <c r="L1169">
        <v>0</v>
      </c>
      <c r="M1169">
        <v>1.9144511769999999</v>
      </c>
      <c r="N1169">
        <v>0</v>
      </c>
      <c r="O1169" t="s">
        <v>169</v>
      </c>
      <c r="P1169" t="s">
        <v>2833</v>
      </c>
      <c r="Q1169" t="s">
        <v>161</v>
      </c>
      <c r="R1169">
        <f ca="1">RAND()*(Validation[[#This Row],[Range1_High]]-Validation[[#This Row],[Range1_Low]])+Validation[[#This Row],[Range1_Low]]</f>
        <v>13.048717274674459</v>
      </c>
      <c r="S1169">
        <f>Validation[[#This Row],[Range2_High]]</f>
        <v>0</v>
      </c>
      <c r="T1169" t="str" cm="1">
        <f t="array" aca="1" ref="T1169" ca="1">RoundToTwoSigFigs(Validation[[#This Row],[Test Reading]]*Validation[[#This Row],[Mult]]+Validation[[#This Row],[Base]]) &amp;" "&amp;Validation[[#This Row],[Uncert_Units]]</f>
        <v>1.9 °F</v>
      </c>
      <c r="U1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V1169" t="b">
        <f ca="1">Validation[[#This Row],[Desired Result]]=Validation[[#This Row],[Result]]</f>
        <v>1</v>
      </c>
      <c r="W1169" t="b">
        <v>1</v>
      </c>
      <c r="X1169" t="b">
        <f>Validation[[#This Row],[Range1_Low]]&gt;=Validation[[#This Row],[Range1_High]]</f>
        <v>0</v>
      </c>
      <c r="Y1169" s="111" t="s">
        <v>2843</v>
      </c>
    </row>
    <row r="1170" spans="1:25" ht="16.5" thickTop="1" thickBot="1" x14ac:dyDescent="0.3">
      <c r="A1170" t="s">
        <v>68</v>
      </c>
      <c r="B1170" t="s">
        <v>75</v>
      </c>
      <c r="C1170" s="113">
        <v>-148</v>
      </c>
      <c r="D1170" s="113">
        <v>248</v>
      </c>
      <c r="E1170">
        <v>1</v>
      </c>
      <c r="F1170" t="s">
        <v>26</v>
      </c>
      <c r="G1170" t="s">
        <v>26</v>
      </c>
      <c r="H1170">
        <v>0</v>
      </c>
      <c r="I1170">
        <v>0</v>
      </c>
      <c r="J1170" t="s">
        <v>2833</v>
      </c>
      <c r="K1170">
        <v>2.1723496459999998</v>
      </c>
      <c r="L1170">
        <v>0</v>
      </c>
      <c r="M1170">
        <v>2.1587404220000002</v>
      </c>
      <c r="N1170">
        <v>0</v>
      </c>
      <c r="O1170" t="s">
        <v>169</v>
      </c>
      <c r="P1170" t="s">
        <v>2833</v>
      </c>
      <c r="Q1170" t="s">
        <v>111</v>
      </c>
      <c r="R1170">
        <f ca="1">RAND()*(Validation[[#This Row],[Range1_High]]-Validation[[#This Row],[Range1_Low]])+Validation[[#This Row],[Range1_Low]]</f>
        <v>144.01525431352377</v>
      </c>
      <c r="S1170">
        <f>Validation[[#This Row],[Range2_High]]</f>
        <v>0</v>
      </c>
      <c r="T1170" t="str" cm="1">
        <f t="array" aca="1" ref="T1170" ca="1">RoundToTwoSigFigs(Validation[[#This Row],[Test Reading]]*Validation[[#This Row],[Mult]]+Validation[[#This Row],[Base]]) &amp;" "&amp;Validation[[#This Row],[Uncert_Units]]</f>
        <v>2.2 °F</v>
      </c>
      <c r="U1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V1170" t="b">
        <f ca="1">Validation[[#This Row],[Desired Result]]=Validation[[#This Row],[Result]]</f>
        <v>1</v>
      </c>
      <c r="W1170" t="b">
        <v>1</v>
      </c>
      <c r="X1170" t="b">
        <f>Validation[[#This Row],[Range1_Low]]&gt;=Validation[[#This Row],[Range1_High]]</f>
        <v>0</v>
      </c>
      <c r="Y1170" s="111" t="s">
        <v>2843</v>
      </c>
    </row>
    <row r="1171" spans="1:25" ht="16.5" thickTop="1" thickBot="1" x14ac:dyDescent="0.3">
      <c r="A1171" t="s">
        <v>68</v>
      </c>
      <c r="B1171" t="s">
        <v>75</v>
      </c>
      <c r="C1171" s="113">
        <v>-100</v>
      </c>
      <c r="D1171" s="113">
        <v>120</v>
      </c>
      <c r="E1171">
        <v>1</v>
      </c>
      <c r="F1171" t="s">
        <v>23</v>
      </c>
      <c r="G1171" t="s">
        <v>23</v>
      </c>
      <c r="H1171">
        <v>0</v>
      </c>
      <c r="I1171">
        <v>0</v>
      </c>
      <c r="J1171" t="s">
        <v>2833</v>
      </c>
      <c r="K1171">
        <v>1.299753124</v>
      </c>
      <c r="L1171">
        <v>0</v>
      </c>
      <c r="M1171">
        <v>1.2927358470000001</v>
      </c>
      <c r="N1171">
        <v>0</v>
      </c>
      <c r="O1171" t="s">
        <v>169</v>
      </c>
      <c r="P1171" t="s">
        <v>2833</v>
      </c>
      <c r="Q1171" t="s">
        <v>111</v>
      </c>
      <c r="R1171">
        <f ca="1">RAND()*(Validation[[#This Row],[Range1_High]]-Validation[[#This Row],[Range1_Low]])+Validation[[#This Row],[Range1_Low]]</f>
        <v>23.871399003284068</v>
      </c>
      <c r="S1171">
        <f>Validation[[#This Row],[Range2_High]]</f>
        <v>0</v>
      </c>
      <c r="T1171" t="str" cm="1">
        <f t="array" aca="1" ref="T1171" ca="1">RoundToTwoSigFigs(Validation[[#This Row],[Test Reading]]*Validation[[#This Row],[Mult]]+Validation[[#This Row],[Base]]) &amp;" "&amp;Validation[[#This Row],[Uncert_Units]]</f>
        <v>1.3 °C</v>
      </c>
      <c r="U1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V1171" t="b">
        <f ca="1">Validation[[#This Row],[Desired Result]]=Validation[[#This Row],[Result]]</f>
        <v>1</v>
      </c>
      <c r="W1171" t="b">
        <v>1</v>
      </c>
      <c r="X1171" t="b">
        <f>Validation[[#This Row],[Range1_Low]]&gt;=Validation[[#This Row],[Range1_High]]</f>
        <v>0</v>
      </c>
      <c r="Y1171" s="111" t="s">
        <v>2843</v>
      </c>
    </row>
    <row r="1172" spans="1:25" ht="16.5" thickTop="1" thickBot="1" x14ac:dyDescent="0.3">
      <c r="A1172" t="s">
        <v>68</v>
      </c>
      <c r="B1172" t="s">
        <v>75</v>
      </c>
      <c r="C1172" s="113">
        <v>120</v>
      </c>
      <c r="D1172" s="113">
        <v>1370</v>
      </c>
      <c r="E1172">
        <v>1</v>
      </c>
      <c r="F1172" t="s">
        <v>23</v>
      </c>
      <c r="G1172" t="s">
        <v>23</v>
      </c>
      <c r="H1172">
        <v>0</v>
      </c>
      <c r="I1172">
        <v>0</v>
      </c>
      <c r="J1172" t="s">
        <v>2833</v>
      </c>
      <c r="K1172">
        <v>1.5267216400000001</v>
      </c>
      <c r="L1172">
        <v>0</v>
      </c>
      <c r="M1172">
        <v>1.523704645</v>
      </c>
      <c r="N1172">
        <v>0</v>
      </c>
      <c r="O1172" t="s">
        <v>169</v>
      </c>
      <c r="P1172" t="s">
        <v>2833</v>
      </c>
      <c r="Q1172" t="s">
        <v>111</v>
      </c>
      <c r="R1172">
        <f ca="1">RAND()*(Validation[[#This Row],[Range1_High]]-Validation[[#This Row],[Range1_Low]])+Validation[[#This Row],[Range1_Low]]</f>
        <v>155.34520820371117</v>
      </c>
      <c r="S1172">
        <f>Validation[[#This Row],[Range2_High]]</f>
        <v>0</v>
      </c>
      <c r="T1172" t="str" cm="1">
        <f t="array" aca="1" ref="T1172" ca="1">RoundToTwoSigFigs(Validation[[#This Row],[Test Reading]]*Validation[[#This Row],[Mult]]+Validation[[#This Row],[Base]]) &amp;" "&amp;Validation[[#This Row],[Uncert_Units]]</f>
        <v>1.5 °C</v>
      </c>
      <c r="U1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V1172" t="b">
        <f ca="1">Validation[[#This Row],[Desired Result]]=Validation[[#This Row],[Result]]</f>
        <v>1</v>
      </c>
      <c r="W1172" t="b">
        <v>1</v>
      </c>
      <c r="X1172" t="b">
        <f>Validation[[#This Row],[Range1_Low]]&gt;=Validation[[#This Row],[Range1_High]]</f>
        <v>0</v>
      </c>
      <c r="Y1172" s="111" t="s">
        <v>2843</v>
      </c>
    </row>
    <row r="1173" spans="1:25" ht="16.5" thickTop="1" thickBot="1" x14ac:dyDescent="0.3">
      <c r="A1173" t="s">
        <v>68</v>
      </c>
      <c r="B1173" t="s">
        <v>75</v>
      </c>
      <c r="C1173" s="113">
        <v>120</v>
      </c>
      <c r="D1173" s="113">
        <v>1370</v>
      </c>
      <c r="E1173">
        <v>0.1</v>
      </c>
      <c r="F1173" t="s">
        <v>23</v>
      </c>
      <c r="G1173" t="s">
        <v>23</v>
      </c>
      <c r="H1173">
        <v>0</v>
      </c>
      <c r="I1173">
        <v>0</v>
      </c>
      <c r="J1173" t="s">
        <v>2833</v>
      </c>
      <c r="K1173">
        <v>1.412082372</v>
      </c>
      <c r="L1173">
        <v>0</v>
      </c>
      <c r="M1173">
        <v>1.4112674599999999</v>
      </c>
      <c r="N1173">
        <v>0</v>
      </c>
      <c r="O1173" t="s">
        <v>169</v>
      </c>
      <c r="P1173" t="s">
        <v>2833</v>
      </c>
      <c r="Q1173" t="s">
        <v>111</v>
      </c>
      <c r="R1173">
        <f ca="1">RAND()*(Validation[[#This Row],[Range1_High]]-Validation[[#This Row],[Range1_Low]])+Validation[[#This Row],[Range1_Low]]</f>
        <v>1142.9047199418633</v>
      </c>
      <c r="S1173">
        <f>Validation[[#This Row],[Range2_High]]</f>
        <v>0</v>
      </c>
      <c r="T1173" t="str" cm="1">
        <f t="array" aca="1" ref="T1173" ca="1">RoundToTwoSigFigs(Validation[[#This Row],[Test Reading]]*Validation[[#This Row],[Mult]]+Validation[[#This Row],[Base]]) &amp;" "&amp;Validation[[#This Row],[Uncert_Units]]</f>
        <v>1.4 °C</v>
      </c>
      <c r="U1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V1173" t="b">
        <f ca="1">Validation[[#This Row],[Desired Result]]=Validation[[#This Row],[Result]]</f>
        <v>1</v>
      </c>
      <c r="W1173" t="b">
        <v>1</v>
      </c>
      <c r="X1173" t="b">
        <f>Validation[[#This Row],[Range1_Low]]&gt;=Validation[[#This Row],[Range1_High]]</f>
        <v>0</v>
      </c>
      <c r="Y1173" s="111" t="s">
        <v>2843</v>
      </c>
    </row>
    <row r="1174" spans="1:25" ht="16.5" thickTop="1" thickBot="1" x14ac:dyDescent="0.3">
      <c r="A1174" t="s">
        <v>68</v>
      </c>
      <c r="B1174" t="s">
        <v>75</v>
      </c>
      <c r="C1174">
        <v>-328</v>
      </c>
      <c r="D1174">
        <v>-148</v>
      </c>
      <c r="E1174">
        <v>1</v>
      </c>
      <c r="F1174" t="s">
        <v>26</v>
      </c>
      <c r="G1174" t="s">
        <v>26</v>
      </c>
      <c r="H1174">
        <v>0</v>
      </c>
      <c r="I1174">
        <v>0</v>
      </c>
      <c r="J1174" t="s">
        <v>2833</v>
      </c>
      <c r="K1174">
        <v>2.6555443150000002</v>
      </c>
      <c r="L1174">
        <v>0</v>
      </c>
      <c r="M1174">
        <v>2.6444229670000001</v>
      </c>
      <c r="N1174">
        <v>0</v>
      </c>
      <c r="O1174" t="s">
        <v>169</v>
      </c>
      <c r="P1174" t="s">
        <v>2833</v>
      </c>
      <c r="Q1174" t="s">
        <v>111</v>
      </c>
      <c r="R1174">
        <f ca="1">RAND()*(Validation[[#This Row],[Range1_High]]-Validation[[#This Row],[Range1_Low]])+Validation[[#This Row],[Range1_Low]]</f>
        <v>-161.15438642061136</v>
      </c>
      <c r="S1174">
        <f>Validation[[#This Row],[Range2_High]]</f>
        <v>0</v>
      </c>
      <c r="T1174" t="str" cm="1">
        <f t="array" aca="1" ref="T1174" ca="1">RoundToTwoSigFigs(Validation[[#This Row],[Test Reading]]*Validation[[#This Row],[Mult]]+Validation[[#This Row],[Base]]) &amp;" "&amp;Validation[[#This Row],[Uncert_Units]]</f>
        <v>2.7 °F</v>
      </c>
      <c r="U1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V1174" t="b">
        <f ca="1">Validation[[#This Row],[Desired Result]]=Validation[[#This Row],[Result]]</f>
        <v>1</v>
      </c>
      <c r="W1174" t="b">
        <v>0</v>
      </c>
      <c r="X1174" t="b">
        <f>Validation[[#This Row],[Range1_Low]]&gt;=Validation[[#This Row],[Range1_High]]</f>
        <v>0</v>
      </c>
      <c r="Y1174" s="111" t="s">
        <v>2845</v>
      </c>
    </row>
    <row r="1175" spans="1:25" ht="16.5" thickTop="1" thickBot="1" x14ac:dyDescent="0.3">
      <c r="A1175" t="s">
        <v>68</v>
      </c>
      <c r="B1175" t="s">
        <v>75</v>
      </c>
      <c r="C1175" s="113">
        <v>248</v>
      </c>
      <c r="D1175" s="113">
        <v>2500</v>
      </c>
      <c r="E1175">
        <v>1</v>
      </c>
      <c r="F1175" t="s">
        <v>26</v>
      </c>
      <c r="G1175" t="s">
        <v>26</v>
      </c>
      <c r="H1175">
        <v>0</v>
      </c>
      <c r="I1175">
        <v>0</v>
      </c>
      <c r="J1175" t="s">
        <v>2833</v>
      </c>
      <c r="K1175">
        <v>2.607523</v>
      </c>
      <c r="L1175">
        <v>0</v>
      </c>
      <c r="M1175">
        <v>2.6017990090000001</v>
      </c>
      <c r="N1175">
        <v>0</v>
      </c>
      <c r="O1175" t="s">
        <v>169</v>
      </c>
      <c r="P1175" t="s">
        <v>2833</v>
      </c>
      <c r="Q1175" t="s">
        <v>111</v>
      </c>
      <c r="R1175">
        <f ca="1">RAND()*(Validation[[#This Row],[Range1_High]]-Validation[[#This Row],[Range1_Low]])+Validation[[#This Row],[Range1_Low]]</f>
        <v>457.22542123293755</v>
      </c>
      <c r="S1175">
        <f>Validation[[#This Row],[Range2_High]]</f>
        <v>0</v>
      </c>
      <c r="T1175" t="str" cm="1">
        <f t="array" aca="1" ref="T1175" ca="1">RoundToTwoSigFigs(Validation[[#This Row],[Test Reading]]*Validation[[#This Row],[Mult]]+Validation[[#This Row],[Base]]) &amp;" "&amp;Validation[[#This Row],[Uncert_Units]]</f>
        <v>2.6 °F</v>
      </c>
      <c r="U1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V1175" t="b">
        <f ca="1">Validation[[#This Row],[Desired Result]]=Validation[[#This Row],[Result]]</f>
        <v>1</v>
      </c>
      <c r="W1175" t="b">
        <v>1</v>
      </c>
      <c r="X1175" t="b">
        <f>Validation[[#This Row],[Range1_Low]]&gt;=Validation[[#This Row],[Range1_High]]</f>
        <v>0</v>
      </c>
      <c r="Y1175" s="111" t="s">
        <v>2843</v>
      </c>
    </row>
    <row r="1176" spans="1:25" ht="16.5" thickTop="1" thickBot="1" x14ac:dyDescent="0.3">
      <c r="A1176" t="s">
        <v>68</v>
      </c>
      <c r="B1176" t="s">
        <v>75</v>
      </c>
      <c r="C1176" s="113">
        <v>248</v>
      </c>
      <c r="D1176" s="113">
        <v>2500</v>
      </c>
      <c r="E1176">
        <v>0.1</v>
      </c>
      <c r="F1176" t="s">
        <v>26</v>
      </c>
      <c r="G1176" t="s">
        <v>26</v>
      </c>
      <c r="H1176">
        <v>0</v>
      </c>
      <c r="I1176">
        <v>0</v>
      </c>
      <c r="J1176" t="s">
        <v>2833</v>
      </c>
      <c r="K1176">
        <v>2.5390574259999998</v>
      </c>
      <c r="L1176">
        <v>0</v>
      </c>
      <c r="M1176">
        <v>2.5375890299999999</v>
      </c>
      <c r="N1176">
        <v>0</v>
      </c>
      <c r="O1176" t="s">
        <v>169</v>
      </c>
      <c r="P1176" t="s">
        <v>2833</v>
      </c>
      <c r="Q1176" t="s">
        <v>111</v>
      </c>
      <c r="R1176">
        <f ca="1">RAND()*(Validation[[#This Row],[Range1_High]]-Validation[[#This Row],[Range1_Low]])+Validation[[#This Row],[Range1_Low]]</f>
        <v>1215.6962641762418</v>
      </c>
      <c r="S1176">
        <f>Validation[[#This Row],[Range2_High]]</f>
        <v>0</v>
      </c>
      <c r="T1176" t="str" cm="1">
        <f t="array" aca="1" ref="T1176" ca="1">RoundToTwoSigFigs(Validation[[#This Row],[Test Reading]]*Validation[[#This Row],[Mult]]+Validation[[#This Row],[Base]]) &amp;" "&amp;Validation[[#This Row],[Uncert_Units]]</f>
        <v>2.5 °F</v>
      </c>
      <c r="U1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V1176" t="b">
        <f ca="1">Validation[[#This Row],[Desired Result]]=Validation[[#This Row],[Result]]</f>
        <v>1</v>
      </c>
      <c r="W1176" t="b">
        <v>1</v>
      </c>
      <c r="X1176" t="b">
        <f>Validation[[#This Row],[Range1_Low]]&gt;=Validation[[#This Row],[Range1_High]]</f>
        <v>0</v>
      </c>
      <c r="Y1176" s="111" t="s">
        <v>2843</v>
      </c>
    </row>
    <row r="1177" spans="1:25" ht="16.5" thickTop="1" thickBot="1" x14ac:dyDescent="0.3">
      <c r="A1177" t="s">
        <v>68</v>
      </c>
      <c r="B1177" t="s">
        <v>76</v>
      </c>
      <c r="C1177" s="113">
        <v>770</v>
      </c>
      <c r="D1177" s="113">
        <v>2372</v>
      </c>
      <c r="E1177">
        <v>1</v>
      </c>
      <c r="F1177" t="s">
        <v>26</v>
      </c>
      <c r="G1177" t="s">
        <v>26</v>
      </c>
      <c r="H1177">
        <v>0</v>
      </c>
      <c r="I1177">
        <v>0</v>
      </c>
      <c r="J1177" t="s">
        <v>2833</v>
      </c>
      <c r="K1177">
        <v>2.5258712249999999</v>
      </c>
      <c r="L1177">
        <v>0</v>
      </c>
      <c r="M1177">
        <v>2.520787179</v>
      </c>
      <c r="N1177">
        <v>0</v>
      </c>
      <c r="O1177" t="s">
        <v>169</v>
      </c>
      <c r="P1177" t="s">
        <v>2833</v>
      </c>
      <c r="Q1177" t="s">
        <v>162</v>
      </c>
      <c r="R1177">
        <f ca="1">RAND()*(Validation[[#This Row],[Range1_High]]-Validation[[#This Row],[Range1_Low]])+Validation[[#This Row],[Range1_Low]]</f>
        <v>2266.8486036183749</v>
      </c>
      <c r="S1177">
        <f>Validation[[#This Row],[Range2_High]]</f>
        <v>0</v>
      </c>
      <c r="T1177" t="str" cm="1">
        <f t="array" aca="1" ref="T1177" ca="1">RoundToTwoSigFigs(Validation[[#This Row],[Test Reading]]*Validation[[#This Row],[Mult]]+Validation[[#This Row],[Base]]) &amp;" "&amp;Validation[[#This Row],[Uncert_Units]]</f>
        <v>2.5 °F</v>
      </c>
      <c r="U1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V1177" t="b">
        <f ca="1">Validation[[#This Row],[Desired Result]]=Validation[[#This Row],[Result]]</f>
        <v>1</v>
      </c>
      <c r="W1177" t="b">
        <v>1</v>
      </c>
      <c r="X1177" t="b">
        <f>Validation[[#This Row],[Range1_Low]]&gt;=Validation[[#This Row],[Range1_High]]</f>
        <v>0</v>
      </c>
      <c r="Y1177" s="111" t="s">
        <v>2843</v>
      </c>
    </row>
    <row r="1178" spans="1:25" ht="16.5" thickTop="1" thickBot="1" x14ac:dyDescent="0.3">
      <c r="A1178" t="s">
        <v>68</v>
      </c>
      <c r="B1178" t="s">
        <v>76</v>
      </c>
      <c r="C1178" s="113">
        <v>-148</v>
      </c>
      <c r="D1178" s="113">
        <v>770</v>
      </c>
      <c r="E1178">
        <v>1</v>
      </c>
      <c r="F1178" t="s">
        <v>26</v>
      </c>
      <c r="G1178" t="s">
        <v>26</v>
      </c>
      <c r="H1178">
        <v>0</v>
      </c>
      <c r="I1178">
        <v>0</v>
      </c>
      <c r="J1178" t="s">
        <v>2833</v>
      </c>
      <c r="K1178">
        <v>2.369776758</v>
      </c>
      <c r="L1178">
        <v>0</v>
      </c>
      <c r="M1178">
        <v>2.360394339</v>
      </c>
      <c r="N1178">
        <v>0</v>
      </c>
      <c r="O1178" t="s">
        <v>169</v>
      </c>
      <c r="P1178" t="s">
        <v>2833</v>
      </c>
      <c r="Q1178" t="s">
        <v>162</v>
      </c>
      <c r="R1178">
        <f ca="1">RAND()*(Validation[[#This Row],[Range1_High]]-Validation[[#This Row],[Range1_Low]])+Validation[[#This Row],[Range1_Low]]</f>
        <v>94.097761188100577</v>
      </c>
      <c r="S1178">
        <f>Validation[[#This Row],[Range2_High]]</f>
        <v>0</v>
      </c>
      <c r="T1178" t="str" cm="1">
        <f t="array" aca="1" ref="T1178" ca="1">RoundToTwoSigFigs(Validation[[#This Row],[Test Reading]]*Validation[[#This Row],[Mult]]+Validation[[#This Row],[Base]]) &amp;" "&amp;Validation[[#This Row],[Uncert_Units]]</f>
        <v>2.4 °F</v>
      </c>
      <c r="U1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V1178" t="b">
        <f ca="1">Validation[[#This Row],[Desired Result]]=Validation[[#This Row],[Result]]</f>
        <v>1</v>
      </c>
      <c r="W1178" t="b">
        <v>1</v>
      </c>
      <c r="X1178" t="b">
        <f>Validation[[#This Row],[Range1_Low]]&gt;=Validation[[#This Row],[Range1_High]]</f>
        <v>0</v>
      </c>
      <c r="Y1178" s="111" t="s">
        <v>2843</v>
      </c>
    </row>
    <row r="1179" spans="1:25" ht="16.5" thickTop="1" thickBot="1" x14ac:dyDescent="0.3">
      <c r="A1179" t="s">
        <v>68</v>
      </c>
      <c r="B1179" t="s">
        <v>76</v>
      </c>
      <c r="C1179">
        <v>-328</v>
      </c>
      <c r="D1179">
        <v>-148</v>
      </c>
      <c r="E1179">
        <v>0.1</v>
      </c>
      <c r="F1179" t="s">
        <v>26</v>
      </c>
      <c r="G1179" t="s">
        <v>26</v>
      </c>
      <c r="H1179">
        <v>0</v>
      </c>
      <c r="I1179">
        <v>0</v>
      </c>
      <c r="J1179" t="s">
        <v>2833</v>
      </c>
      <c r="K1179">
        <v>3.2049883289999999</v>
      </c>
      <c r="L1179">
        <v>0</v>
      </c>
      <c r="M1179">
        <v>3.2025262419999998</v>
      </c>
      <c r="N1179">
        <v>0</v>
      </c>
      <c r="O1179" t="s">
        <v>169</v>
      </c>
      <c r="P1179" t="s">
        <v>2833</v>
      </c>
      <c r="Q1179" t="s">
        <v>162</v>
      </c>
      <c r="R1179">
        <f ca="1">RAND()*(Validation[[#This Row],[Range1_High]]-Validation[[#This Row],[Range1_Low]])+Validation[[#This Row],[Range1_Low]]</f>
        <v>-222.81077435330934</v>
      </c>
      <c r="S1179">
        <f>Validation[[#This Row],[Range2_High]]</f>
        <v>0</v>
      </c>
      <c r="T1179" t="str" cm="1">
        <f t="array" aca="1" ref="T1179" ca="1">RoundToTwoSigFigs(Validation[[#This Row],[Test Reading]]*Validation[[#This Row],[Mult]]+Validation[[#This Row],[Base]]) &amp;" "&amp;Validation[[#This Row],[Uncert_Units]]</f>
        <v>3.2 °F</v>
      </c>
      <c r="U1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V1179" t="b">
        <f ca="1">Validation[[#This Row],[Desired Result]]=Validation[[#This Row],[Result]]</f>
        <v>1</v>
      </c>
      <c r="W1179" t="b">
        <v>0</v>
      </c>
      <c r="X1179" t="b">
        <f>Validation[[#This Row],[Range1_Low]]&gt;=Validation[[#This Row],[Range1_High]]</f>
        <v>0</v>
      </c>
      <c r="Y1179" s="111" t="s">
        <v>2845</v>
      </c>
    </row>
    <row r="1180" spans="1:25" ht="16.5" thickTop="1" thickBot="1" x14ac:dyDescent="0.3">
      <c r="A1180" t="s">
        <v>68</v>
      </c>
      <c r="B1180" t="s">
        <v>76</v>
      </c>
      <c r="C1180" s="113">
        <v>410</v>
      </c>
      <c r="D1180" s="113">
        <v>1300</v>
      </c>
      <c r="E1180">
        <v>1</v>
      </c>
      <c r="F1180" t="s">
        <v>23</v>
      </c>
      <c r="G1180" t="s">
        <v>23</v>
      </c>
      <c r="H1180">
        <v>0</v>
      </c>
      <c r="I1180">
        <v>0</v>
      </c>
      <c r="J1180" t="s">
        <v>2833</v>
      </c>
      <c r="K1180">
        <v>1.483686195</v>
      </c>
      <c r="L1180">
        <v>0</v>
      </c>
      <c r="M1180">
        <v>1.4810151119999999</v>
      </c>
      <c r="N1180">
        <v>0</v>
      </c>
      <c r="O1180" t="s">
        <v>169</v>
      </c>
      <c r="P1180" t="s">
        <v>2833</v>
      </c>
      <c r="Q1180" t="s">
        <v>162</v>
      </c>
      <c r="R1180">
        <f ca="1">RAND()*(Validation[[#This Row],[Range1_High]]-Validation[[#This Row],[Range1_Low]])+Validation[[#This Row],[Range1_Low]]</f>
        <v>1188.1877914158122</v>
      </c>
      <c r="S1180">
        <f>Validation[[#This Row],[Range2_High]]</f>
        <v>0</v>
      </c>
      <c r="T1180" t="str" cm="1">
        <f t="array" aca="1" ref="T1180" ca="1">RoundToTwoSigFigs(Validation[[#This Row],[Test Reading]]*Validation[[#This Row],[Mult]]+Validation[[#This Row],[Base]]) &amp;" "&amp;Validation[[#This Row],[Uncert_Units]]</f>
        <v>1.5 °C</v>
      </c>
      <c r="U1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V1180" t="b">
        <f ca="1">Validation[[#This Row],[Desired Result]]=Validation[[#This Row],[Result]]</f>
        <v>1</v>
      </c>
      <c r="W1180" t="b">
        <v>1</v>
      </c>
      <c r="X1180" t="b">
        <f>Validation[[#This Row],[Range1_Low]]&gt;=Validation[[#This Row],[Range1_High]]</f>
        <v>0</v>
      </c>
      <c r="Y1180" s="111" t="s">
        <v>2843</v>
      </c>
    </row>
    <row r="1181" spans="1:25" ht="16.5" thickTop="1" thickBot="1" x14ac:dyDescent="0.3">
      <c r="A1181" t="s">
        <v>68</v>
      </c>
      <c r="B1181" t="s">
        <v>76</v>
      </c>
      <c r="C1181" s="113">
        <v>410</v>
      </c>
      <c r="D1181" s="113">
        <v>1300</v>
      </c>
      <c r="E1181">
        <v>0.1</v>
      </c>
      <c r="F1181" t="s">
        <v>23</v>
      </c>
      <c r="G1181" t="s">
        <v>23</v>
      </c>
      <c r="H1181">
        <v>0</v>
      </c>
      <c r="I1181">
        <v>0</v>
      </c>
      <c r="J1181" t="s">
        <v>2833</v>
      </c>
      <c r="K1181">
        <v>1.365791164</v>
      </c>
      <c r="L1181">
        <v>0</v>
      </c>
      <c r="M1181">
        <v>1.365066211</v>
      </c>
      <c r="N1181">
        <v>0</v>
      </c>
      <c r="O1181" t="s">
        <v>169</v>
      </c>
      <c r="P1181" t="s">
        <v>2833</v>
      </c>
      <c r="Q1181" t="s">
        <v>162</v>
      </c>
      <c r="R1181">
        <f ca="1">RAND()*(Validation[[#This Row],[Range1_High]]-Validation[[#This Row],[Range1_Low]])+Validation[[#This Row],[Range1_Low]]</f>
        <v>433.50790051205564</v>
      </c>
      <c r="S1181">
        <f>Validation[[#This Row],[Range2_High]]</f>
        <v>0</v>
      </c>
      <c r="T1181" t="str" cm="1">
        <f t="array" aca="1" ref="T1181" ca="1">RoundToTwoSigFigs(Validation[[#This Row],[Test Reading]]*Validation[[#This Row],[Mult]]+Validation[[#This Row],[Base]]) &amp;" "&amp;Validation[[#This Row],[Uncert_Units]]</f>
        <v>1.4 °C</v>
      </c>
      <c r="U1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V1181" t="b">
        <f ca="1">Validation[[#This Row],[Desired Result]]=Validation[[#This Row],[Result]]</f>
        <v>1</v>
      </c>
      <c r="W1181" t="b">
        <v>1</v>
      </c>
      <c r="X1181" t="b">
        <f>Validation[[#This Row],[Range1_Low]]&gt;=Validation[[#This Row],[Range1_High]]</f>
        <v>0</v>
      </c>
      <c r="Y1181" s="111" t="s">
        <v>2843</v>
      </c>
    </row>
    <row r="1182" spans="1:25" ht="16.5" thickTop="1" thickBot="1" x14ac:dyDescent="0.3">
      <c r="A1182" t="s">
        <v>68</v>
      </c>
      <c r="B1182" t="s">
        <v>77</v>
      </c>
      <c r="C1182" s="113">
        <v>250</v>
      </c>
      <c r="D1182" s="113">
        <v>1760</v>
      </c>
      <c r="E1182">
        <v>0.1</v>
      </c>
      <c r="F1182" t="s">
        <v>23</v>
      </c>
      <c r="G1182" t="s">
        <v>23</v>
      </c>
      <c r="H1182">
        <v>0</v>
      </c>
      <c r="I1182">
        <v>0</v>
      </c>
      <c r="J1182" t="s">
        <v>2833</v>
      </c>
      <c r="K1182">
        <v>1.996504472</v>
      </c>
      <c r="L1182">
        <v>0</v>
      </c>
      <c r="M1182">
        <v>1.9954858090000001</v>
      </c>
      <c r="N1182">
        <v>0</v>
      </c>
      <c r="O1182" t="s">
        <v>169</v>
      </c>
      <c r="P1182" t="s">
        <v>2833</v>
      </c>
      <c r="Q1182" t="s">
        <v>163</v>
      </c>
      <c r="R1182">
        <f ca="1">RAND()*(Validation[[#This Row],[Range1_High]]-Validation[[#This Row],[Range1_Low]])+Validation[[#This Row],[Range1_Low]]</f>
        <v>441.56809288896795</v>
      </c>
      <c r="S1182">
        <f>Validation[[#This Row],[Range2_High]]</f>
        <v>0</v>
      </c>
      <c r="T1182" t="str" cm="1">
        <f t="array" aca="1" ref="T1182" ca="1">RoundToTwoSigFigs(Validation[[#This Row],[Test Reading]]*Validation[[#This Row],[Mult]]+Validation[[#This Row],[Base]]) &amp;" "&amp;Validation[[#This Row],[Uncert_Units]]</f>
        <v>2 °C</v>
      </c>
      <c r="U1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V1182" t="b">
        <f ca="1">Validation[[#This Row],[Desired Result]]=Validation[[#This Row],[Result]]</f>
        <v>1</v>
      </c>
      <c r="W1182" t="b">
        <v>1</v>
      </c>
      <c r="X1182" t="b">
        <f>Validation[[#This Row],[Range1_Low]]&gt;=Validation[[#This Row],[Range1_High]]</f>
        <v>0</v>
      </c>
      <c r="Y1182" s="111" t="s">
        <v>2843</v>
      </c>
    </row>
    <row r="1183" spans="1:25" ht="16.5" thickTop="1" thickBot="1" x14ac:dyDescent="0.3">
      <c r="A1183" t="s">
        <v>68</v>
      </c>
      <c r="B1183" t="s">
        <v>77</v>
      </c>
      <c r="C1183" s="113">
        <v>482</v>
      </c>
      <c r="D1183" s="113">
        <v>3200</v>
      </c>
      <c r="E1183">
        <v>1</v>
      </c>
      <c r="F1183" t="s">
        <v>26</v>
      </c>
      <c r="G1183" t="s">
        <v>26</v>
      </c>
      <c r="H1183">
        <v>0</v>
      </c>
      <c r="I1183">
        <v>0</v>
      </c>
      <c r="J1183" t="s">
        <v>2833</v>
      </c>
      <c r="K1183">
        <v>3.6335585350000001</v>
      </c>
      <c r="L1183">
        <v>0</v>
      </c>
      <c r="M1183">
        <v>3.6262991950000001</v>
      </c>
      <c r="N1183">
        <v>0</v>
      </c>
      <c r="O1183" t="s">
        <v>169</v>
      </c>
      <c r="P1183" t="s">
        <v>2833</v>
      </c>
      <c r="Q1183" t="s">
        <v>163</v>
      </c>
      <c r="R1183">
        <f ca="1">RAND()*(Validation[[#This Row],[Range1_High]]-Validation[[#This Row],[Range1_Low]])+Validation[[#This Row],[Range1_Low]]</f>
        <v>1629.4903758495898</v>
      </c>
      <c r="S1183">
        <f>Validation[[#This Row],[Range2_High]]</f>
        <v>0</v>
      </c>
      <c r="T1183" t="str" cm="1">
        <f t="array" aca="1" ref="T1183" ca="1">RoundToTwoSigFigs(Validation[[#This Row],[Test Reading]]*Validation[[#This Row],[Mult]]+Validation[[#This Row],[Base]]) &amp;" "&amp;Validation[[#This Row],[Uncert_Units]]</f>
        <v>3.6 °F</v>
      </c>
      <c r="U1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V1183" t="b">
        <f ca="1">Validation[[#This Row],[Desired Result]]=Validation[[#This Row],[Result]]</f>
        <v>1</v>
      </c>
      <c r="W1183" t="b">
        <v>1</v>
      </c>
      <c r="X1183" t="b">
        <f>Validation[[#This Row],[Range1_Low]]&gt;=Validation[[#This Row],[Range1_High]]</f>
        <v>0</v>
      </c>
      <c r="Y1183" s="111" t="s">
        <v>2843</v>
      </c>
    </row>
    <row r="1184" spans="1:25" ht="15.75" thickTop="1" x14ac:dyDescent="0.25">
      <c r="A1184" t="s">
        <v>68</v>
      </c>
      <c r="B1184" t="s">
        <v>77</v>
      </c>
      <c r="C1184">
        <v>32</v>
      </c>
      <c r="D1184">
        <v>482</v>
      </c>
      <c r="E1184">
        <v>1</v>
      </c>
      <c r="F1184" t="s">
        <v>26</v>
      </c>
      <c r="G1184" t="s">
        <v>26</v>
      </c>
      <c r="H1184">
        <v>0</v>
      </c>
      <c r="I1184">
        <v>0</v>
      </c>
      <c r="J1184" t="s">
        <v>2833</v>
      </c>
      <c r="K1184">
        <v>4.833530916</v>
      </c>
      <c r="L1184">
        <v>0</v>
      </c>
      <c r="M1184">
        <v>4.827070655</v>
      </c>
      <c r="N1184">
        <v>0</v>
      </c>
      <c r="O1184" t="s">
        <v>169</v>
      </c>
      <c r="P1184" t="s">
        <v>2833</v>
      </c>
      <c r="Q1184" t="s">
        <v>163</v>
      </c>
      <c r="R1184">
        <f ca="1">RAND()*(Validation[[#This Row],[Range1_High]]-Validation[[#This Row],[Range1_Low]])+Validation[[#This Row],[Range1_Low]]</f>
        <v>96.111999062509156</v>
      </c>
      <c r="S1184">
        <f>Validation[[#This Row],[Range2_High]]</f>
        <v>0</v>
      </c>
      <c r="T1184" t="str" cm="1">
        <f t="array" aca="1" ref="T1184" ca="1">RoundToTwoSigFigs(Validation[[#This Row],[Test Reading]]*Validation[[#This Row],[Mult]]+Validation[[#This Row],[Base]]) &amp;" "&amp;Validation[[#This Row],[Uncert_Units]]</f>
        <v>4.8 °F</v>
      </c>
      <c r="U1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V1184" t="b">
        <f ca="1">Validation[[#This Row],[Desired Result]]=Validation[[#This Row],[Result]]</f>
        <v>1</v>
      </c>
      <c r="W1184" t="b">
        <v>0</v>
      </c>
      <c r="X1184" t="b">
        <f>Validation[[#This Row],[Range1_Low]]&gt;=Validation[[#This Row],[Range1_High]]</f>
        <v>0</v>
      </c>
      <c r="Y1184" s="111" t="s">
        <v>2845</v>
      </c>
    </row>
    <row r="1185" spans="1:25" x14ac:dyDescent="0.25">
      <c r="A1185" t="s">
        <v>68</v>
      </c>
      <c r="B1185" t="s">
        <v>78</v>
      </c>
      <c r="C1185">
        <v>0</v>
      </c>
      <c r="D1185">
        <v>250</v>
      </c>
      <c r="E1185">
        <v>1</v>
      </c>
      <c r="F1185" t="s">
        <v>23</v>
      </c>
      <c r="G1185" t="s">
        <v>23</v>
      </c>
      <c r="H1185">
        <v>0</v>
      </c>
      <c r="I1185">
        <v>0</v>
      </c>
      <c r="J1185" t="s">
        <v>2833</v>
      </c>
      <c r="K1185">
        <v>2.7418335410000001</v>
      </c>
      <c r="L1185">
        <v>0</v>
      </c>
      <c r="M1185">
        <v>2.73839677</v>
      </c>
      <c r="N1185">
        <v>0</v>
      </c>
      <c r="O1185" t="s">
        <v>169</v>
      </c>
      <c r="P1185" t="s">
        <v>2833</v>
      </c>
      <c r="Q1185" t="s">
        <v>164</v>
      </c>
      <c r="R1185">
        <f ca="1">RAND()*(Validation[[#This Row],[Range1_High]]-Validation[[#This Row],[Range1_Low]])+Validation[[#This Row],[Range1_Low]]</f>
        <v>96.424713847465227</v>
      </c>
      <c r="S1185">
        <f>Validation[[#This Row],[Range2_High]]</f>
        <v>0</v>
      </c>
      <c r="T1185" t="str" cm="1">
        <f t="array" aca="1" ref="T1185" ca="1">RoundToTwoSigFigs(Validation[[#This Row],[Test Reading]]*Validation[[#This Row],[Mult]]+Validation[[#This Row],[Base]]) &amp;" "&amp;Validation[[#This Row],[Uncert_Units]]</f>
        <v>2.7 °C</v>
      </c>
      <c r="U1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V1185" t="b">
        <f ca="1">Validation[[#This Row],[Desired Result]]=Validation[[#This Row],[Result]]</f>
        <v>1</v>
      </c>
      <c r="W1185" t="b">
        <v>0</v>
      </c>
      <c r="X1185" t="b">
        <f>Validation[[#This Row],[Range1_Low]]&gt;=Validation[[#This Row],[Range1_High]]</f>
        <v>0</v>
      </c>
      <c r="Y1185" s="111" t="s">
        <v>2845</v>
      </c>
    </row>
    <row r="1186" spans="1:25" ht="15.75" thickBot="1" x14ac:dyDescent="0.3">
      <c r="A1186" t="s">
        <v>68</v>
      </c>
      <c r="B1186" t="s">
        <v>78</v>
      </c>
      <c r="C1186">
        <v>32</v>
      </c>
      <c r="D1186">
        <v>482</v>
      </c>
      <c r="E1186">
        <v>0.1</v>
      </c>
      <c r="F1186" t="s">
        <v>26</v>
      </c>
      <c r="G1186" t="s">
        <v>26</v>
      </c>
      <c r="H1186">
        <v>0</v>
      </c>
      <c r="I1186">
        <v>0</v>
      </c>
      <c r="J1186" t="s">
        <v>2833</v>
      </c>
      <c r="K1186">
        <v>4.7943578179999999</v>
      </c>
      <c r="L1186">
        <v>0</v>
      </c>
      <c r="M1186">
        <v>4.7927665399999997</v>
      </c>
      <c r="N1186">
        <v>0</v>
      </c>
      <c r="O1186" t="s">
        <v>169</v>
      </c>
      <c r="P1186" t="s">
        <v>2833</v>
      </c>
      <c r="Q1186" t="s">
        <v>164</v>
      </c>
      <c r="R1186">
        <f ca="1">RAND()*(Validation[[#This Row],[Range1_High]]-Validation[[#This Row],[Range1_Low]])+Validation[[#This Row],[Range1_Low]]</f>
        <v>267.82120167735377</v>
      </c>
      <c r="S1186">
        <f>Validation[[#This Row],[Range2_High]]</f>
        <v>0</v>
      </c>
      <c r="T1186" t="str" cm="1">
        <f t="array" aca="1" ref="T1186" ca="1">RoundToTwoSigFigs(Validation[[#This Row],[Test Reading]]*Validation[[#This Row],[Mult]]+Validation[[#This Row],[Base]]) &amp;" "&amp;Validation[[#This Row],[Uncert_Units]]</f>
        <v>4.8 °F</v>
      </c>
      <c r="U1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V1186" t="b">
        <f ca="1">Validation[[#This Row],[Desired Result]]=Validation[[#This Row],[Result]]</f>
        <v>1</v>
      </c>
      <c r="W1186" t="b">
        <v>0</v>
      </c>
      <c r="X1186" t="b">
        <f>Validation[[#This Row],[Range1_Low]]&gt;=Validation[[#This Row],[Range1_High]]</f>
        <v>0</v>
      </c>
      <c r="Y1186" s="111" t="s">
        <v>2845</v>
      </c>
    </row>
    <row r="1187" spans="1:25" ht="16.5" thickTop="1" thickBot="1" x14ac:dyDescent="0.3">
      <c r="A1187" t="s">
        <v>68</v>
      </c>
      <c r="B1187" t="s">
        <v>78</v>
      </c>
      <c r="C1187" s="113">
        <v>482</v>
      </c>
      <c r="D1187" s="113">
        <v>3200</v>
      </c>
      <c r="E1187">
        <v>0.1</v>
      </c>
      <c r="F1187" t="s">
        <v>26</v>
      </c>
      <c r="G1187" t="s">
        <v>26</v>
      </c>
      <c r="H1187">
        <v>0</v>
      </c>
      <c r="I1187">
        <v>0</v>
      </c>
      <c r="J1187" t="s">
        <v>2833</v>
      </c>
      <c r="K1187">
        <v>3.5846263629999999</v>
      </c>
      <c r="L1187">
        <v>0</v>
      </c>
      <c r="M1187">
        <v>3.58278812</v>
      </c>
      <c r="N1187">
        <v>0</v>
      </c>
      <c r="O1187" t="s">
        <v>169</v>
      </c>
      <c r="P1187" t="s">
        <v>2833</v>
      </c>
      <c r="Q1187" t="s">
        <v>164</v>
      </c>
      <c r="R1187">
        <f ca="1">RAND()*(Validation[[#This Row],[Range1_High]]-Validation[[#This Row],[Range1_Low]])+Validation[[#This Row],[Range1_Low]]</f>
        <v>2939.1286437184226</v>
      </c>
      <c r="S1187">
        <f>Validation[[#This Row],[Range2_High]]</f>
        <v>0</v>
      </c>
      <c r="T1187" t="str" cm="1">
        <f t="array" aca="1" ref="T1187" ca="1">RoundToTwoSigFigs(Validation[[#This Row],[Test Reading]]*Validation[[#This Row],[Mult]]+Validation[[#This Row],[Base]]) &amp;" "&amp;Validation[[#This Row],[Uncert_Units]]</f>
        <v>3.6 °F</v>
      </c>
      <c r="U1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V1187" t="b">
        <f ca="1">Validation[[#This Row],[Desired Result]]=Validation[[#This Row],[Result]]</f>
        <v>1</v>
      </c>
      <c r="W1187" t="b">
        <v>1</v>
      </c>
      <c r="X1187" t="b">
        <f>Validation[[#This Row],[Range1_Low]]&gt;=Validation[[#This Row],[Range1_High]]</f>
        <v>0</v>
      </c>
      <c r="Y1187" s="111" t="s">
        <v>2843</v>
      </c>
    </row>
    <row r="1188" spans="1:25" ht="16.5" thickTop="1" thickBot="1" x14ac:dyDescent="0.3">
      <c r="A1188" t="s">
        <v>68</v>
      </c>
      <c r="B1188" t="s">
        <v>78</v>
      </c>
      <c r="C1188" s="113">
        <v>250</v>
      </c>
      <c r="D1188" s="113">
        <v>1760</v>
      </c>
      <c r="E1188">
        <v>0.1</v>
      </c>
      <c r="F1188" t="s">
        <v>23</v>
      </c>
      <c r="G1188" t="s">
        <v>23</v>
      </c>
      <c r="H1188">
        <v>0</v>
      </c>
      <c r="I1188">
        <v>0</v>
      </c>
      <c r="J1188" t="s">
        <v>2833</v>
      </c>
      <c r="K1188">
        <v>2.0005886570000002</v>
      </c>
      <c r="L1188">
        <v>0</v>
      </c>
      <c r="M1188">
        <v>1.999572074</v>
      </c>
      <c r="N1188">
        <v>0</v>
      </c>
      <c r="O1188" t="s">
        <v>169</v>
      </c>
      <c r="P1188" t="s">
        <v>2833</v>
      </c>
      <c r="Q1188" t="s">
        <v>164</v>
      </c>
      <c r="R1188">
        <f ca="1">RAND()*(Validation[[#This Row],[Range1_High]]-Validation[[#This Row],[Range1_Low]])+Validation[[#This Row],[Range1_Low]]</f>
        <v>1454.3931979752731</v>
      </c>
      <c r="S1188">
        <f>Validation[[#This Row],[Range2_High]]</f>
        <v>0</v>
      </c>
      <c r="T1188" t="str" cm="1">
        <f t="array" aca="1" ref="T1188" ca="1">RoundToTwoSigFigs(Validation[[#This Row],[Test Reading]]*Validation[[#This Row],[Mult]]+Validation[[#This Row],[Base]]) &amp;" "&amp;Validation[[#This Row],[Uncert_Units]]</f>
        <v>2 °C</v>
      </c>
      <c r="U1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V1188" t="b">
        <f ca="1">Validation[[#This Row],[Desired Result]]=Validation[[#This Row],[Result]]</f>
        <v>1</v>
      </c>
      <c r="W1188" t="b">
        <v>1</v>
      </c>
      <c r="X1188" t="b">
        <f>Validation[[#This Row],[Range1_Low]]&gt;=Validation[[#This Row],[Range1_High]]</f>
        <v>0</v>
      </c>
      <c r="Y1188" s="111" t="s">
        <v>2843</v>
      </c>
    </row>
    <row r="1189" spans="1:25" ht="15.75" thickTop="1" x14ac:dyDescent="0.25">
      <c r="A1189" t="s">
        <v>68</v>
      </c>
      <c r="B1189" t="s">
        <v>78</v>
      </c>
      <c r="C1189">
        <v>32</v>
      </c>
      <c r="D1189">
        <v>482</v>
      </c>
      <c r="E1189">
        <v>1</v>
      </c>
      <c r="F1189" t="s">
        <v>26</v>
      </c>
      <c r="G1189" t="s">
        <v>26</v>
      </c>
      <c r="H1189">
        <v>0</v>
      </c>
      <c r="I1189">
        <v>0</v>
      </c>
      <c r="J1189" t="s">
        <v>2833</v>
      </c>
      <c r="K1189">
        <v>4.8333874479999999</v>
      </c>
      <c r="L1189">
        <v>0</v>
      </c>
      <c r="M1189">
        <v>4.827070655</v>
      </c>
      <c r="N1189">
        <v>0</v>
      </c>
      <c r="O1189" t="s">
        <v>169</v>
      </c>
      <c r="P1189" t="s">
        <v>2833</v>
      </c>
      <c r="Q1189" t="s">
        <v>164</v>
      </c>
      <c r="R1189">
        <f ca="1">RAND()*(Validation[[#This Row],[Range1_High]]-Validation[[#This Row],[Range1_Low]])+Validation[[#This Row],[Range1_Low]]</f>
        <v>96.111248254914869</v>
      </c>
      <c r="S1189">
        <f>Validation[[#This Row],[Range2_High]]</f>
        <v>0</v>
      </c>
      <c r="T1189" t="str" cm="1">
        <f t="array" aca="1" ref="T1189" ca="1">RoundToTwoSigFigs(Validation[[#This Row],[Test Reading]]*Validation[[#This Row],[Mult]]+Validation[[#This Row],[Base]]) &amp;" "&amp;Validation[[#This Row],[Uncert_Units]]</f>
        <v>4.8 °F</v>
      </c>
      <c r="U1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V1189" t="b">
        <f ca="1">Validation[[#This Row],[Desired Result]]=Validation[[#This Row],[Result]]</f>
        <v>1</v>
      </c>
      <c r="W1189" t="b">
        <v>0</v>
      </c>
      <c r="X1189" t="b">
        <f>Validation[[#This Row],[Range1_Low]]&gt;=Validation[[#This Row],[Range1_High]]</f>
        <v>0</v>
      </c>
      <c r="Y1189" s="111" t="s">
        <v>2845</v>
      </c>
    </row>
    <row r="1190" spans="1:25" ht="15.75" thickBot="1" x14ac:dyDescent="0.3">
      <c r="A1190" t="s">
        <v>68</v>
      </c>
      <c r="B1190" t="s">
        <v>79</v>
      </c>
      <c r="C1190">
        <v>-250</v>
      </c>
      <c r="D1190">
        <v>-150</v>
      </c>
      <c r="E1190">
        <v>1</v>
      </c>
      <c r="F1190" t="s">
        <v>23</v>
      </c>
      <c r="G1190" t="s">
        <v>23</v>
      </c>
      <c r="H1190">
        <v>0</v>
      </c>
      <c r="I1190">
        <v>0</v>
      </c>
      <c r="J1190" t="s">
        <v>2833</v>
      </c>
      <c r="K1190">
        <v>2.2914028439999998</v>
      </c>
      <c r="L1190">
        <v>0</v>
      </c>
      <c r="M1190">
        <v>2.2867746750000002</v>
      </c>
      <c r="N1190">
        <v>0</v>
      </c>
      <c r="O1190" t="s">
        <v>169</v>
      </c>
      <c r="P1190" t="s">
        <v>2833</v>
      </c>
      <c r="Q1190" t="s">
        <v>165</v>
      </c>
      <c r="R1190">
        <f ca="1">RAND()*(Validation[[#This Row],[Range1_High]]-Validation[[#This Row],[Range1_Low]])+Validation[[#This Row],[Range1_Low]]</f>
        <v>-185.41241195317019</v>
      </c>
      <c r="S1190">
        <f>Validation[[#This Row],[Range2_High]]</f>
        <v>0</v>
      </c>
      <c r="T1190" t="str" cm="1">
        <f t="array" aca="1" ref="T1190" ca="1">RoundToTwoSigFigs(Validation[[#This Row],[Test Reading]]*Validation[[#This Row],[Mult]]+Validation[[#This Row],[Base]]) &amp;" "&amp;Validation[[#This Row],[Uncert_Units]]</f>
        <v>2.3 °C</v>
      </c>
      <c r="U1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V1190" t="b">
        <f ca="1">Validation[[#This Row],[Desired Result]]=Validation[[#This Row],[Result]]</f>
        <v>1</v>
      </c>
      <c r="W1190" t="b">
        <v>0</v>
      </c>
      <c r="X1190" t="b">
        <f>Validation[[#This Row],[Range1_Low]]&gt;=Validation[[#This Row],[Range1_High]]</f>
        <v>0</v>
      </c>
      <c r="Y1190" s="111" t="s">
        <v>2845</v>
      </c>
    </row>
    <row r="1191" spans="1:25" ht="16.5" thickTop="1" thickBot="1" x14ac:dyDescent="0.3">
      <c r="A1191" t="s">
        <v>68</v>
      </c>
      <c r="B1191" t="s">
        <v>79</v>
      </c>
      <c r="C1191" s="113">
        <v>-150</v>
      </c>
      <c r="D1191" s="113">
        <v>400</v>
      </c>
      <c r="E1191">
        <v>1</v>
      </c>
      <c r="F1191" t="s">
        <v>23</v>
      </c>
      <c r="G1191" t="s">
        <v>23</v>
      </c>
      <c r="H1191">
        <v>0</v>
      </c>
      <c r="I1191">
        <v>0</v>
      </c>
      <c r="J1191" t="s">
        <v>2833</v>
      </c>
      <c r="K1191">
        <v>1.219367007</v>
      </c>
      <c r="L1191">
        <v>0</v>
      </c>
      <c r="M1191">
        <v>1.212149232</v>
      </c>
      <c r="N1191">
        <v>0</v>
      </c>
      <c r="O1191" t="s">
        <v>169</v>
      </c>
      <c r="P1191" t="s">
        <v>2833</v>
      </c>
      <c r="Q1191" t="s">
        <v>165</v>
      </c>
      <c r="R1191">
        <f ca="1">RAND()*(Validation[[#This Row],[Range1_High]]-Validation[[#This Row],[Range1_Low]])+Validation[[#This Row],[Range1_Low]]</f>
        <v>370.83186947652212</v>
      </c>
      <c r="S1191">
        <f>Validation[[#This Row],[Range2_High]]</f>
        <v>0</v>
      </c>
      <c r="T1191" t="str" cm="1">
        <f t="array" aca="1" ref="T1191" ca="1">RoundToTwoSigFigs(Validation[[#This Row],[Test Reading]]*Validation[[#This Row],[Mult]]+Validation[[#This Row],[Base]]) &amp;" "&amp;Validation[[#This Row],[Uncert_Units]]</f>
        <v>1.2 °C</v>
      </c>
      <c r="U1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V1191" t="b">
        <f ca="1">Validation[[#This Row],[Desired Result]]=Validation[[#This Row],[Result]]</f>
        <v>1</v>
      </c>
      <c r="W1191" t="b">
        <v>1</v>
      </c>
      <c r="X1191" t="b">
        <f>Validation[[#This Row],[Range1_Low]]&gt;=Validation[[#This Row],[Range1_High]]</f>
        <v>0</v>
      </c>
      <c r="Y1191" s="111" t="s">
        <v>2843</v>
      </c>
    </row>
    <row r="1192" spans="1:25" ht="16.5" thickTop="1" thickBot="1" x14ac:dyDescent="0.3">
      <c r="A1192" t="s">
        <v>68</v>
      </c>
      <c r="B1192" t="s">
        <v>79</v>
      </c>
      <c r="C1192" s="113">
        <v>-238</v>
      </c>
      <c r="D1192" s="113">
        <v>752</v>
      </c>
      <c r="E1192">
        <v>0.1</v>
      </c>
      <c r="F1192" t="s">
        <v>26</v>
      </c>
      <c r="G1192" t="s">
        <v>26</v>
      </c>
      <c r="H1192">
        <v>0</v>
      </c>
      <c r="I1192">
        <v>0</v>
      </c>
      <c r="J1192" t="s">
        <v>2833</v>
      </c>
      <c r="K1192">
        <v>1.9193133179999999</v>
      </c>
      <c r="L1192">
        <v>0</v>
      </c>
      <c r="M1192">
        <v>1.9156064310000001</v>
      </c>
      <c r="N1192">
        <v>0</v>
      </c>
      <c r="O1192" t="s">
        <v>169</v>
      </c>
      <c r="P1192" t="s">
        <v>2833</v>
      </c>
      <c r="Q1192" t="s">
        <v>165</v>
      </c>
      <c r="R1192">
        <f ca="1">RAND()*(Validation[[#This Row],[Range1_High]]-Validation[[#This Row],[Range1_Low]])+Validation[[#This Row],[Range1_Low]]</f>
        <v>567.68804570653492</v>
      </c>
      <c r="S1192">
        <f>Validation[[#This Row],[Range2_High]]</f>
        <v>0</v>
      </c>
      <c r="T1192" t="str" cm="1">
        <f t="array" aca="1" ref="T1192" ca="1">RoundToTwoSigFigs(Validation[[#This Row],[Test Reading]]*Validation[[#This Row],[Mult]]+Validation[[#This Row],[Base]]) &amp;" "&amp;Validation[[#This Row],[Uncert_Units]]</f>
        <v>1.9 °F</v>
      </c>
      <c r="U1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V1192" t="b">
        <f ca="1">Validation[[#This Row],[Desired Result]]=Validation[[#This Row],[Result]]</f>
        <v>1</v>
      </c>
      <c r="W1192" t="b">
        <v>1</v>
      </c>
      <c r="X1192" t="b">
        <f>Validation[[#This Row],[Range1_Low]]&gt;=Validation[[#This Row],[Range1_High]]</f>
        <v>0</v>
      </c>
      <c r="Y1192" s="111" t="s">
        <v>2843</v>
      </c>
    </row>
    <row r="1193" spans="1:25" ht="16.5" thickTop="1" thickBot="1" x14ac:dyDescent="0.3">
      <c r="A1193" t="s">
        <v>68</v>
      </c>
      <c r="B1193" t="s">
        <v>3</v>
      </c>
      <c r="C1193" s="113">
        <v>1</v>
      </c>
      <c r="D1193" s="113">
        <v>10</v>
      </c>
      <c r="E1193">
        <v>1E-4</v>
      </c>
      <c r="F1193" t="s">
        <v>6</v>
      </c>
      <c r="G1193" t="s">
        <v>5</v>
      </c>
      <c r="H1193">
        <v>0</v>
      </c>
      <c r="I1193">
        <v>0</v>
      </c>
      <c r="J1193" t="s">
        <v>2833</v>
      </c>
      <c r="K1193">
        <v>360</v>
      </c>
      <c r="L1193">
        <v>92</v>
      </c>
      <c r="M1193">
        <v>354.54</v>
      </c>
      <c r="N1193">
        <v>91.828999999999994</v>
      </c>
      <c r="O1193" t="s">
        <v>2833</v>
      </c>
      <c r="P1193" t="s">
        <v>2833</v>
      </c>
      <c r="Q1193" t="s">
        <v>2833</v>
      </c>
      <c r="R1193">
        <f ca="1">RAND()*(Validation[[#This Row],[Range1_High]]-Validation[[#This Row],[Range1_Low]])+Validation[[#This Row],[Range1_Low]]</f>
        <v>2.0132477149895296</v>
      </c>
      <c r="S1193">
        <f>Validation[[#This Row],[Range2_High]]</f>
        <v>0</v>
      </c>
      <c r="T1193" t="str" cm="1">
        <f t="array" aca="1" ref="T1193" ca="1">RoundToTwoSigFigs(Validation[[#This Row],[Test Reading]]*Validation[[#This Row],[Mult]]+Validation[[#This Row],[Base]]) &amp;" "&amp;Validation[[#This Row],[Uncert_Units]]</f>
        <v>550 µV</v>
      </c>
      <c r="U1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µV</v>
      </c>
      <c r="V1193" t="b">
        <f ca="1">Validation[[#This Row],[Desired Result]]=Validation[[#This Row],[Result]]</f>
        <v>1</v>
      </c>
      <c r="W1193" t="b">
        <v>1</v>
      </c>
      <c r="X1193" t="b">
        <f>Validation[[#This Row],[Range1_Low]]&gt;=Validation[[#This Row],[Range1_High]]</f>
        <v>0</v>
      </c>
      <c r="Y1193" s="111" t="s">
        <v>2843</v>
      </c>
    </row>
    <row r="1194" spans="1:25" ht="16.5" thickTop="1" thickBot="1" x14ac:dyDescent="0.3">
      <c r="A1194" t="s">
        <v>55</v>
      </c>
      <c r="B1194" t="s">
        <v>3</v>
      </c>
      <c r="C1194">
        <v>0</v>
      </c>
      <c r="D1194">
        <v>0.1</v>
      </c>
      <c r="E1194">
        <v>1</v>
      </c>
      <c r="F1194" t="s">
        <v>6</v>
      </c>
      <c r="G1194" t="s">
        <v>4</v>
      </c>
      <c r="H1194">
        <v>0</v>
      </c>
      <c r="I1194">
        <v>0</v>
      </c>
      <c r="J1194" t="s">
        <v>2833</v>
      </c>
      <c r="K1194">
        <v>580</v>
      </c>
      <c r="L1194">
        <v>4.1754000000000002E-7</v>
      </c>
      <c r="M1194">
        <v>580</v>
      </c>
      <c r="N1194">
        <v>1.4190999999999999E-8</v>
      </c>
      <c r="O1194" t="s">
        <v>2833</v>
      </c>
      <c r="P1194" t="s">
        <v>2833</v>
      </c>
      <c r="Q1194" t="s">
        <v>2833</v>
      </c>
      <c r="R1194">
        <f ca="1">RAND()*(Validation[[#This Row],[Range1_High]]-Validation[[#This Row],[Range1_Low]])+Validation[[#This Row],[Range1_Low]]</f>
        <v>4.160431238157726E-2</v>
      </c>
      <c r="S1194">
        <f>Validation[[#This Row],[Range2_High]]</f>
        <v>0</v>
      </c>
      <c r="T1194" t="str" cm="1">
        <f t="array" aca="1" ref="T1194" ca="1">RoundToTwoSigFigs(Validation[[#This Row],[Test Reading]]*Validation[[#This Row],[Mult]]+Validation[[#This Row],[Base]]) &amp;" "&amp;Validation[[#This Row],[Uncert_Units]]</f>
        <v>580 mV</v>
      </c>
      <c r="U1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194" t="b">
        <f ca="1">Validation[[#This Row],[Desired Result]]=Validation[[#This Row],[Result]]</f>
        <v>1</v>
      </c>
      <c r="W1194" t="b">
        <v>0</v>
      </c>
      <c r="X1194" t="b">
        <f>Validation[[#This Row],[Range1_Low]]&gt;=Validation[[#This Row],[Range1_High]]</f>
        <v>0</v>
      </c>
      <c r="Y1194" s="111" t="s">
        <v>2845</v>
      </c>
    </row>
    <row r="1195" spans="1:25" ht="16.5" thickTop="1" thickBot="1" x14ac:dyDescent="0.3">
      <c r="A1195" t="s">
        <v>55</v>
      </c>
      <c r="B1195" t="s">
        <v>3</v>
      </c>
      <c r="C1195" s="113">
        <v>100</v>
      </c>
      <c r="D1195" s="113">
        <v>1000</v>
      </c>
      <c r="E1195">
        <v>1E-4</v>
      </c>
      <c r="F1195" t="s">
        <v>6</v>
      </c>
      <c r="G1195" t="s">
        <v>4</v>
      </c>
      <c r="H1195">
        <v>0</v>
      </c>
      <c r="I1195">
        <v>0</v>
      </c>
      <c r="J1195" t="s">
        <v>2833</v>
      </c>
      <c r="K1195">
        <v>0.11</v>
      </c>
      <c r="L1195">
        <v>8.6528999999999998E-3</v>
      </c>
      <c r="M1195">
        <v>0.10253</v>
      </c>
      <c r="N1195">
        <v>8.6529999999999992E-3</v>
      </c>
      <c r="O1195" t="s">
        <v>2833</v>
      </c>
      <c r="P1195" t="s">
        <v>2833</v>
      </c>
      <c r="Q1195" t="s">
        <v>2833</v>
      </c>
      <c r="R1195">
        <f ca="1">RAND()*(Validation[[#This Row],[Range1_High]]-Validation[[#This Row],[Range1_Low]])+Validation[[#This Row],[Range1_Low]]</f>
        <v>139.41315940147405</v>
      </c>
      <c r="S1195">
        <f>Validation[[#This Row],[Range2_High]]</f>
        <v>0</v>
      </c>
      <c r="T1195" t="str" cm="1">
        <f t="array" aca="1" ref="T1195" ca="1">RoundToTwoSigFigs(Validation[[#This Row],[Test Reading]]*Validation[[#This Row],[Mult]]+Validation[[#This Row],[Base]]) &amp;" "&amp;Validation[[#This Row],[Uncert_Units]]</f>
        <v>1.3 mV</v>
      </c>
      <c r="U1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V1195" t="b">
        <f ca="1">Validation[[#This Row],[Desired Result]]=Validation[[#This Row],[Result]]</f>
        <v>1</v>
      </c>
      <c r="W1195" t="b">
        <v>1</v>
      </c>
      <c r="X1195" t="b">
        <f>Validation[[#This Row],[Range1_Low]]&gt;=Validation[[#This Row],[Range1_High]]</f>
        <v>0</v>
      </c>
      <c r="Y1195" s="111" t="s">
        <v>2843</v>
      </c>
    </row>
    <row r="1196" spans="1:25" ht="15.75" thickTop="1" x14ac:dyDescent="0.25">
      <c r="A1196" t="s">
        <v>68</v>
      </c>
      <c r="B1196" t="s">
        <v>3</v>
      </c>
      <c r="C1196">
        <v>0</v>
      </c>
      <c r="D1196">
        <v>0.1</v>
      </c>
      <c r="E1196">
        <v>9.9999999999999995E-7</v>
      </c>
      <c r="F1196" t="s">
        <v>6</v>
      </c>
      <c r="G1196" t="s">
        <v>5</v>
      </c>
      <c r="H1196">
        <v>0</v>
      </c>
      <c r="I1196">
        <v>0</v>
      </c>
      <c r="J1196" t="s">
        <v>2833</v>
      </c>
      <c r="K1196">
        <v>12</v>
      </c>
      <c r="L1196">
        <v>92</v>
      </c>
      <c r="M1196">
        <v>11.624000000000001</v>
      </c>
      <c r="N1196">
        <v>92.067999999999998</v>
      </c>
      <c r="O1196" t="s">
        <v>2833</v>
      </c>
      <c r="P1196" t="s">
        <v>2833</v>
      </c>
      <c r="Q1196" t="s">
        <v>2833</v>
      </c>
      <c r="R1196">
        <f ca="1">RAND()*(Validation[[#This Row],[Range1_High]]-Validation[[#This Row],[Range1_Low]])+Validation[[#This Row],[Range1_Low]]</f>
        <v>1.471663529858306E-2</v>
      </c>
      <c r="S1196">
        <f>Validation[[#This Row],[Range2_High]]</f>
        <v>0</v>
      </c>
      <c r="T1196" t="str" cm="1">
        <f t="array" aca="1" ref="T1196" ca="1">RoundToTwoSigFigs(Validation[[#This Row],[Test Reading]]*Validation[[#This Row],[Mult]]+Validation[[#This Row],[Base]]) &amp;" "&amp;Validation[[#This Row],[Uncert_Units]]</f>
        <v>13 µV</v>
      </c>
      <c r="U1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V1196" t="b">
        <f ca="1">Validation[[#This Row],[Desired Result]]=Validation[[#This Row],[Result]]</f>
        <v>1</v>
      </c>
      <c r="W1196" t="b">
        <v>0</v>
      </c>
      <c r="X1196" t="b">
        <f>Validation[[#This Row],[Range1_Low]]&gt;=Validation[[#This Row],[Range1_High]]</f>
        <v>0</v>
      </c>
      <c r="Y1196" s="111" t="s">
        <v>2845</v>
      </c>
    </row>
    <row r="1197" spans="1:25" x14ac:dyDescent="0.25">
      <c r="A1197" t="s">
        <v>54</v>
      </c>
      <c r="B1197" t="s">
        <v>3</v>
      </c>
      <c r="C1197">
        <v>1000</v>
      </c>
      <c r="D1197">
        <v>1001</v>
      </c>
      <c r="E1197">
        <v>0.1</v>
      </c>
      <c r="F1197" t="s">
        <v>6</v>
      </c>
      <c r="G1197" t="s">
        <v>4</v>
      </c>
      <c r="H1197">
        <v>0</v>
      </c>
      <c r="I1197">
        <v>0</v>
      </c>
      <c r="J1197" t="s">
        <v>2833</v>
      </c>
      <c r="K1197">
        <v>50.21</v>
      </c>
      <c r="L1197">
        <v>3.8072000000000002E-2</v>
      </c>
      <c r="M1197">
        <v>49.941000000000003</v>
      </c>
      <c r="N1197">
        <v>3.7448000000000002E-2</v>
      </c>
      <c r="O1197" t="s">
        <v>2833</v>
      </c>
      <c r="P1197" t="s">
        <v>2833</v>
      </c>
      <c r="Q1197" t="s">
        <v>2833</v>
      </c>
      <c r="R1197">
        <f ca="1">RAND()*(Validation[[#This Row],[Range1_High]]-Validation[[#This Row],[Range1_Low]])+Validation[[#This Row],[Range1_Low]]</f>
        <v>1000.1263868479624</v>
      </c>
      <c r="S1197">
        <f>Validation[[#This Row],[Range2_High]]</f>
        <v>0</v>
      </c>
      <c r="T1197" t="str" cm="1">
        <f t="array" aca="1" ref="T1197" ca="1">RoundToTwoSigFigs(Validation[[#This Row],[Test Reading]]*Validation[[#This Row],[Mult]]+Validation[[#This Row],[Base]]) &amp;" "&amp;Validation[[#This Row],[Uncert_Units]]</f>
        <v>88 mV</v>
      </c>
      <c r="U1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V1197" t="b">
        <f ca="1">Validation[[#This Row],[Desired Result]]=Validation[[#This Row],[Result]]</f>
        <v>1</v>
      </c>
      <c r="W1197" t="b">
        <v>0</v>
      </c>
      <c r="X1197" t="b">
        <f>Validation[[#This Row],[Range1_Low]]&gt;=Validation[[#This Row],[Range1_High]]</f>
        <v>0</v>
      </c>
      <c r="Y1197" s="111" t="s">
        <v>2845</v>
      </c>
    </row>
    <row r="1198" spans="1:25" x14ac:dyDescent="0.25">
      <c r="A1198" t="s">
        <v>54</v>
      </c>
      <c r="B1198" t="s">
        <v>3</v>
      </c>
      <c r="C1198">
        <v>3</v>
      </c>
      <c r="D1198">
        <v>33.000100000000003</v>
      </c>
      <c r="E1198">
        <v>1</v>
      </c>
      <c r="F1198" t="s">
        <v>6</v>
      </c>
      <c r="G1198" t="s">
        <v>4</v>
      </c>
      <c r="H1198">
        <v>0</v>
      </c>
      <c r="I1198">
        <v>0</v>
      </c>
      <c r="J1198" t="s">
        <v>2833</v>
      </c>
      <c r="K1198">
        <v>580</v>
      </c>
      <c r="L1198">
        <v>1.2878999999999999E-4</v>
      </c>
      <c r="M1198">
        <v>580</v>
      </c>
      <c r="N1198">
        <v>1.1071E-4</v>
      </c>
      <c r="O1198" t="s">
        <v>2833</v>
      </c>
      <c r="P1198" t="s">
        <v>2833</v>
      </c>
      <c r="Q1198" t="s">
        <v>2833</v>
      </c>
      <c r="R1198">
        <f ca="1">RAND()*(Validation[[#This Row],[Range1_High]]-Validation[[#This Row],[Range1_Low]])+Validation[[#This Row],[Range1_Low]]</f>
        <v>14.24082292946791</v>
      </c>
      <c r="S1198">
        <f>Validation[[#This Row],[Range2_High]]</f>
        <v>0</v>
      </c>
      <c r="T1198" t="str" cm="1">
        <f t="array" aca="1" ref="T1198" ca="1">RoundToTwoSigFigs(Validation[[#This Row],[Test Reading]]*Validation[[#This Row],[Mult]]+Validation[[#This Row],[Base]]) &amp;" "&amp;Validation[[#This Row],[Uncert_Units]]</f>
        <v>580 mV</v>
      </c>
      <c r="U1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198" t="b">
        <f ca="1">Validation[[#This Row],[Desired Result]]=Validation[[#This Row],[Result]]</f>
        <v>1</v>
      </c>
      <c r="W1198" t="b">
        <v>0</v>
      </c>
      <c r="X1198" t="b">
        <f>Validation[[#This Row],[Range1_Low]]&gt;=Validation[[#This Row],[Range1_High]]</f>
        <v>0</v>
      </c>
      <c r="Y1198" s="111" t="s">
        <v>2845</v>
      </c>
    </row>
    <row r="1199" spans="1:25" ht="15.75" thickBot="1" x14ac:dyDescent="0.3">
      <c r="A1199" t="s">
        <v>54</v>
      </c>
      <c r="B1199" t="s">
        <v>3</v>
      </c>
      <c r="C1199">
        <v>33</v>
      </c>
      <c r="D1199">
        <v>330.00099999999998</v>
      </c>
      <c r="E1199">
        <v>0.1</v>
      </c>
      <c r="F1199" t="s">
        <v>6</v>
      </c>
      <c r="G1199" t="s">
        <v>4</v>
      </c>
      <c r="H1199">
        <v>0</v>
      </c>
      <c r="I1199">
        <v>0</v>
      </c>
      <c r="J1199" t="s">
        <v>2833</v>
      </c>
      <c r="K1199">
        <v>57.654000000000003</v>
      </c>
      <c r="L1199">
        <v>1.2973999999999999E-2</v>
      </c>
      <c r="M1199">
        <v>57.637</v>
      </c>
      <c r="N1199">
        <v>1.2872E-2</v>
      </c>
      <c r="O1199" t="s">
        <v>2833</v>
      </c>
      <c r="P1199" t="s">
        <v>2833</v>
      </c>
      <c r="Q1199" t="s">
        <v>2833</v>
      </c>
      <c r="R1199">
        <f ca="1">RAND()*(Validation[[#This Row],[Range1_High]]-Validation[[#This Row],[Range1_Low]])+Validation[[#This Row],[Range1_Low]]</f>
        <v>130.92231830506535</v>
      </c>
      <c r="S1199">
        <f>Validation[[#This Row],[Range2_High]]</f>
        <v>0</v>
      </c>
      <c r="T1199" t="str" cm="1">
        <f t="array" aca="1" ref="T1199" ca="1">RoundToTwoSigFigs(Validation[[#This Row],[Test Reading]]*Validation[[#This Row],[Mult]]+Validation[[#This Row],[Base]]) &amp;" "&amp;Validation[[#This Row],[Uncert_Units]]</f>
        <v>59 mV</v>
      </c>
      <c r="U1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V1199" t="b">
        <f ca="1">Validation[[#This Row],[Desired Result]]=Validation[[#This Row],[Result]]</f>
        <v>1</v>
      </c>
      <c r="W1199" t="b">
        <v>0</v>
      </c>
      <c r="X1199" t="b">
        <f>Validation[[#This Row],[Range1_Low]]&gt;=Validation[[#This Row],[Range1_High]]</f>
        <v>0</v>
      </c>
      <c r="Y1199" s="111" t="s">
        <v>2845</v>
      </c>
    </row>
    <row r="1200" spans="1:25" ht="16.5" thickTop="1" thickBot="1" x14ac:dyDescent="0.3">
      <c r="A1200" t="s">
        <v>68</v>
      </c>
      <c r="B1200" t="s">
        <v>3</v>
      </c>
      <c r="C1200" s="113">
        <v>0.1</v>
      </c>
      <c r="D1200" s="113">
        <v>1</v>
      </c>
      <c r="E1200">
        <v>1E-4</v>
      </c>
      <c r="F1200" t="s">
        <v>6</v>
      </c>
      <c r="G1200" t="s">
        <v>5</v>
      </c>
      <c r="H1200">
        <v>0</v>
      </c>
      <c r="I1200">
        <v>0</v>
      </c>
      <c r="J1200" t="s">
        <v>2833</v>
      </c>
      <c r="K1200">
        <v>65.685000000000002</v>
      </c>
      <c r="L1200">
        <v>74.286000000000001</v>
      </c>
      <c r="M1200">
        <v>65.573999999999998</v>
      </c>
      <c r="N1200">
        <v>74.301000000000002</v>
      </c>
      <c r="O1200" t="s">
        <v>2833</v>
      </c>
      <c r="P1200" t="s">
        <v>2833</v>
      </c>
      <c r="Q1200" t="s">
        <v>2833</v>
      </c>
      <c r="R1200">
        <f ca="1">RAND()*(Validation[[#This Row],[Range1_High]]-Validation[[#This Row],[Range1_Low]])+Validation[[#This Row],[Range1_Low]]</f>
        <v>0.86082023963645737</v>
      </c>
      <c r="S1200">
        <f>Validation[[#This Row],[Range2_High]]</f>
        <v>0</v>
      </c>
      <c r="T1200" t="str" cm="1">
        <f t="array" aca="1" ref="T1200" ca="1">RoundToTwoSigFigs(Validation[[#This Row],[Test Reading]]*Validation[[#This Row],[Mult]]+Validation[[#This Row],[Base]]) &amp;" "&amp;Validation[[#This Row],[Uncert_Units]]</f>
        <v>130 µV</v>
      </c>
      <c r="U1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V1200" t="b">
        <f ca="1">Validation[[#This Row],[Desired Result]]=Validation[[#This Row],[Result]]</f>
        <v>1</v>
      </c>
      <c r="W1200" t="b">
        <v>1</v>
      </c>
      <c r="X1200" t="b">
        <f>Validation[[#This Row],[Range1_Low]]&gt;=Validation[[#This Row],[Range1_High]]</f>
        <v>0</v>
      </c>
      <c r="Y1200" s="111" t="s">
        <v>2843</v>
      </c>
    </row>
    <row r="1201" spans="1:25" ht="16.5" thickTop="1" thickBot="1" x14ac:dyDescent="0.3">
      <c r="A1201" t="s">
        <v>68</v>
      </c>
      <c r="B1201" t="s">
        <v>3</v>
      </c>
      <c r="C1201" s="113">
        <v>100</v>
      </c>
      <c r="D1201" s="113">
        <v>1020</v>
      </c>
      <c r="E1201">
        <v>0.1</v>
      </c>
      <c r="F1201" t="s">
        <v>6</v>
      </c>
      <c r="G1201" t="s">
        <v>4</v>
      </c>
      <c r="H1201">
        <v>0</v>
      </c>
      <c r="I1201">
        <v>0</v>
      </c>
      <c r="J1201" t="s">
        <v>2833</v>
      </c>
      <c r="K1201">
        <v>65.632000000000005</v>
      </c>
      <c r="L1201">
        <v>7.4630000000000002E-2</v>
      </c>
      <c r="M1201">
        <v>65.525000000000006</v>
      </c>
      <c r="N1201">
        <v>7.4607999999999994E-2</v>
      </c>
      <c r="O1201" t="s">
        <v>2833</v>
      </c>
      <c r="P1201" t="s">
        <v>2833</v>
      </c>
      <c r="Q1201" t="s">
        <v>2833</v>
      </c>
      <c r="R1201">
        <f ca="1">RAND()*(Validation[[#This Row],[Range1_High]]-Validation[[#This Row],[Range1_Low]])+Validation[[#This Row],[Range1_Low]]</f>
        <v>156.94357586810003</v>
      </c>
      <c r="S1201">
        <f>Validation[[#This Row],[Range2_High]]</f>
        <v>0</v>
      </c>
      <c r="T1201" t="str" cm="1">
        <f t="array" aca="1" ref="T1201" ca="1">RoundToTwoSigFigs(Validation[[#This Row],[Test Reading]]*Validation[[#This Row],[Mult]]+Validation[[#This Row],[Base]]) &amp;" "&amp;Validation[[#This Row],[Uncert_Units]]</f>
        <v>77 mV</v>
      </c>
      <c r="U1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V1201" t="b">
        <f ca="1">Validation[[#This Row],[Desired Result]]=Validation[[#This Row],[Result]]</f>
        <v>1</v>
      </c>
      <c r="W1201" t="b">
        <v>1</v>
      </c>
      <c r="X1201" t="b">
        <f>Validation[[#This Row],[Range1_Low]]&gt;=Validation[[#This Row],[Range1_High]]</f>
        <v>0</v>
      </c>
      <c r="Y1201" s="111" t="s">
        <v>2843</v>
      </c>
    </row>
    <row r="1202" spans="1:25" ht="16.5" thickTop="1" thickBot="1" x14ac:dyDescent="0.3">
      <c r="A1202" t="s">
        <v>55</v>
      </c>
      <c r="B1202" t="s">
        <v>3</v>
      </c>
      <c r="C1202" s="113">
        <v>10</v>
      </c>
      <c r="D1202" s="113">
        <v>100</v>
      </c>
      <c r="E1202">
        <v>1E-3</v>
      </c>
      <c r="F1202" t="s">
        <v>6</v>
      </c>
      <c r="G1202" t="s">
        <v>5</v>
      </c>
      <c r="H1202">
        <v>0</v>
      </c>
      <c r="I1202">
        <v>0</v>
      </c>
      <c r="J1202" t="s">
        <v>2833</v>
      </c>
      <c r="K1202">
        <v>545.46</v>
      </c>
      <c r="L1202">
        <v>4.5282999999999998</v>
      </c>
      <c r="M1202">
        <v>545.28</v>
      </c>
      <c r="N1202">
        <v>4.5242000000000004</v>
      </c>
      <c r="O1202" t="s">
        <v>2833</v>
      </c>
      <c r="P1202" t="s">
        <v>2833</v>
      </c>
      <c r="Q1202" t="s">
        <v>2833</v>
      </c>
      <c r="R1202">
        <f ca="1">RAND()*(Validation[[#This Row],[Range1_High]]-Validation[[#This Row],[Range1_Low]])+Validation[[#This Row],[Range1_Low]]</f>
        <v>87.901568445961161</v>
      </c>
      <c r="S1202">
        <f>Validation[[#This Row],[Range2_High]]</f>
        <v>0</v>
      </c>
      <c r="T1202" t="str" cm="1">
        <f t="array" aca="1" ref="T1202" ca="1">RoundToTwoSigFigs(Validation[[#This Row],[Test Reading]]*Validation[[#This Row],[Mult]]+Validation[[#This Row],[Base]]) &amp;" "&amp;Validation[[#This Row],[Uncert_Units]]</f>
        <v>940 µV</v>
      </c>
      <c r="U1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µV</v>
      </c>
      <c r="V1202" t="b">
        <f ca="1">Validation[[#This Row],[Desired Result]]=Validation[[#This Row],[Result]]</f>
        <v>1</v>
      </c>
      <c r="W1202" t="b">
        <v>1</v>
      </c>
      <c r="X1202" t="b">
        <f>Validation[[#This Row],[Range1_Low]]&gt;=Validation[[#This Row],[Range1_High]]</f>
        <v>0</v>
      </c>
      <c r="Y1202" s="111" t="s">
        <v>2843</v>
      </c>
    </row>
    <row r="1203" spans="1:25" ht="16.5" thickTop="1" thickBot="1" x14ac:dyDescent="0.3">
      <c r="A1203" t="s">
        <v>54</v>
      </c>
      <c r="B1203" t="s">
        <v>3</v>
      </c>
      <c r="C1203" s="113">
        <v>3</v>
      </c>
      <c r="D1203" s="113">
        <v>33.000100000000003</v>
      </c>
      <c r="E1203">
        <v>0.01</v>
      </c>
      <c r="F1203" t="s">
        <v>6</v>
      </c>
      <c r="G1203" t="s">
        <v>4</v>
      </c>
      <c r="H1203">
        <v>0</v>
      </c>
      <c r="I1203">
        <v>0</v>
      </c>
      <c r="J1203" t="s">
        <v>2833</v>
      </c>
      <c r="K1203">
        <v>5.7714999999999996</v>
      </c>
      <c r="L1203">
        <v>1.0867999999999999E-2</v>
      </c>
      <c r="M1203">
        <v>5.7698</v>
      </c>
      <c r="N1203">
        <v>1.0763999999999999E-2</v>
      </c>
      <c r="O1203" t="s">
        <v>2833</v>
      </c>
      <c r="P1203" t="s">
        <v>2833</v>
      </c>
      <c r="Q1203" t="s">
        <v>2833</v>
      </c>
      <c r="R1203">
        <f ca="1">RAND()*(Validation[[#This Row],[Range1_High]]-Validation[[#This Row],[Range1_Low]])+Validation[[#This Row],[Range1_Low]]</f>
        <v>9.1921417081232342</v>
      </c>
      <c r="S1203">
        <f>Validation[[#This Row],[Range2_High]]</f>
        <v>0</v>
      </c>
      <c r="T1203" t="str" cm="1">
        <f t="array" aca="1" ref="T1203" ca="1">RoundToTwoSigFigs(Validation[[#This Row],[Test Reading]]*Validation[[#This Row],[Mult]]+Validation[[#This Row],[Base]]) &amp;" "&amp;Validation[[#This Row],[Uncert_Units]]</f>
        <v>5.9 mV</v>
      </c>
      <c r="U1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V1203" t="b">
        <f ca="1">Validation[[#This Row],[Desired Result]]=Validation[[#This Row],[Result]]</f>
        <v>1</v>
      </c>
      <c r="W1203" t="b">
        <v>1</v>
      </c>
      <c r="X1203" t="b">
        <f>Validation[[#This Row],[Range1_Low]]&gt;=Validation[[#This Row],[Range1_High]]</f>
        <v>0</v>
      </c>
      <c r="Y1203" s="111" t="s">
        <v>2843</v>
      </c>
    </row>
    <row r="1204" spans="1:25" ht="15.75" thickTop="1" x14ac:dyDescent="0.25">
      <c r="A1204" t="s">
        <v>68</v>
      </c>
      <c r="B1204" t="s">
        <v>3</v>
      </c>
      <c r="C1204">
        <v>10</v>
      </c>
      <c r="D1204">
        <v>100</v>
      </c>
      <c r="E1204">
        <v>10</v>
      </c>
      <c r="F1204" t="s">
        <v>6</v>
      </c>
      <c r="G1204" t="s">
        <v>4</v>
      </c>
      <c r="H1204">
        <v>0</v>
      </c>
      <c r="I1204">
        <v>0</v>
      </c>
      <c r="J1204" t="s">
        <v>2833</v>
      </c>
      <c r="K1204">
        <v>5773.6</v>
      </c>
      <c r="L1204">
        <v>1.7383000000000001E-4</v>
      </c>
      <c r="M1204">
        <v>5773.6</v>
      </c>
      <c r="N1204">
        <v>1.6097E-4</v>
      </c>
      <c r="O1204" t="s">
        <v>2833</v>
      </c>
      <c r="P1204" t="s">
        <v>2833</v>
      </c>
      <c r="Q1204" t="s">
        <v>2833</v>
      </c>
      <c r="R1204">
        <f ca="1">RAND()*(Validation[[#This Row],[Range1_High]]-Validation[[#This Row],[Range1_Low]])+Validation[[#This Row],[Range1_Low]]</f>
        <v>53.448946564692704</v>
      </c>
      <c r="S1204">
        <f>Validation[[#This Row],[Range2_High]]</f>
        <v>0</v>
      </c>
      <c r="T1204" t="str" cm="1">
        <f t="array" aca="1" ref="T1204" ca="1">RoundToTwoSigFigs(Validation[[#This Row],[Test Reading]]*Validation[[#This Row],[Mult]]+Validation[[#This Row],[Base]]) &amp;" "&amp;Validation[[#This Row],[Uncert_Units]]</f>
        <v>5800 mV</v>
      </c>
      <c r="U1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1204" t="b">
        <f ca="1">Validation[[#This Row],[Desired Result]]=Validation[[#This Row],[Result]]</f>
        <v>1</v>
      </c>
      <c r="W1204" t="b">
        <v>0</v>
      </c>
      <c r="X1204" t="b">
        <f>Validation[[#This Row],[Range1_Low]]&gt;=Validation[[#This Row],[Range1_High]]</f>
        <v>0</v>
      </c>
      <c r="Y1204" s="111" t="s">
        <v>2845</v>
      </c>
    </row>
    <row r="1205" spans="1:25" x14ac:dyDescent="0.25">
      <c r="A1205" t="s">
        <v>54</v>
      </c>
      <c r="B1205" t="s">
        <v>3</v>
      </c>
      <c r="C1205">
        <v>0</v>
      </c>
      <c r="D1205">
        <v>0.33000099999999999</v>
      </c>
      <c r="E1205">
        <v>1E-3</v>
      </c>
      <c r="F1205" t="s">
        <v>6</v>
      </c>
      <c r="G1205" t="s">
        <v>5</v>
      </c>
      <c r="H1205">
        <v>0</v>
      </c>
      <c r="I1205">
        <v>0</v>
      </c>
      <c r="J1205" t="s">
        <v>2833</v>
      </c>
      <c r="K1205">
        <v>580.02</v>
      </c>
      <c r="L1205">
        <v>1.8105</v>
      </c>
      <c r="M1205">
        <v>580.01</v>
      </c>
      <c r="N1205">
        <v>1.7849999999999999</v>
      </c>
      <c r="O1205" t="s">
        <v>2833</v>
      </c>
      <c r="P1205" t="s">
        <v>2833</v>
      </c>
      <c r="Q1205" t="s">
        <v>2833</v>
      </c>
      <c r="R1205">
        <f ca="1">RAND()*(Validation[[#This Row],[Range1_High]]-Validation[[#This Row],[Range1_Low]])+Validation[[#This Row],[Range1_Low]]</f>
        <v>0.11115793539370594</v>
      </c>
      <c r="S1205">
        <f>Validation[[#This Row],[Range2_High]]</f>
        <v>0</v>
      </c>
      <c r="T1205" t="str" cm="1">
        <f t="array" aca="1" ref="T1205" ca="1">RoundToTwoSigFigs(Validation[[#This Row],[Test Reading]]*Validation[[#This Row],[Mult]]+Validation[[#This Row],[Base]]) &amp;" "&amp;Validation[[#This Row],[Uncert_Units]]</f>
        <v>580 µV</v>
      </c>
      <c r="U1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205" t="b">
        <f ca="1">Validation[[#This Row],[Desired Result]]=Validation[[#This Row],[Result]]</f>
        <v>1</v>
      </c>
      <c r="W1205" t="b">
        <v>0</v>
      </c>
      <c r="X1205" t="b">
        <f>Validation[[#This Row],[Range1_Low]]&gt;=Validation[[#This Row],[Range1_High]]</f>
        <v>0</v>
      </c>
      <c r="Y1205" s="111" t="s">
        <v>2845</v>
      </c>
    </row>
    <row r="1206" spans="1:25" x14ac:dyDescent="0.25">
      <c r="A1206" t="s">
        <v>68</v>
      </c>
      <c r="B1206" t="s">
        <v>3</v>
      </c>
      <c r="C1206">
        <v>0.1</v>
      </c>
      <c r="D1206">
        <v>1</v>
      </c>
      <c r="E1206">
        <v>1E-3</v>
      </c>
      <c r="F1206" t="s">
        <v>6</v>
      </c>
      <c r="G1206" t="s">
        <v>5</v>
      </c>
      <c r="H1206">
        <v>0</v>
      </c>
      <c r="I1206">
        <v>0</v>
      </c>
      <c r="J1206" t="s">
        <v>2833</v>
      </c>
      <c r="K1206">
        <v>577.78</v>
      </c>
      <c r="L1206">
        <v>13.555</v>
      </c>
      <c r="M1206">
        <v>577.73</v>
      </c>
      <c r="N1206">
        <v>13.515000000000001</v>
      </c>
      <c r="O1206" t="s">
        <v>2833</v>
      </c>
      <c r="P1206" t="s">
        <v>2833</v>
      </c>
      <c r="Q1206" t="s">
        <v>2833</v>
      </c>
      <c r="R1206">
        <f ca="1">RAND()*(Validation[[#This Row],[Range1_High]]-Validation[[#This Row],[Range1_Low]])+Validation[[#This Row],[Range1_Low]]</f>
        <v>0.30741562739393635</v>
      </c>
      <c r="S1206">
        <f>Validation[[#This Row],[Range2_High]]</f>
        <v>0</v>
      </c>
      <c r="T1206" t="str" cm="1">
        <f t="array" aca="1" ref="T1206" ca="1">RoundToTwoSigFigs(Validation[[#This Row],[Test Reading]]*Validation[[#This Row],[Mult]]+Validation[[#This Row],[Base]]) &amp;" "&amp;Validation[[#This Row],[Uncert_Units]]</f>
        <v>580 µV</v>
      </c>
      <c r="U1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206" t="b">
        <f ca="1">Validation[[#This Row],[Desired Result]]=Validation[[#This Row],[Result]]</f>
        <v>1</v>
      </c>
      <c r="W1206" t="b">
        <v>0</v>
      </c>
      <c r="X1206" t="b">
        <f>Validation[[#This Row],[Range1_Low]]&gt;=Validation[[#This Row],[Range1_High]]</f>
        <v>0</v>
      </c>
      <c r="Y1206" s="111" t="s">
        <v>2845</v>
      </c>
    </row>
    <row r="1207" spans="1:25" x14ac:dyDescent="0.25">
      <c r="A1207" t="s">
        <v>68</v>
      </c>
      <c r="B1207" t="s">
        <v>3</v>
      </c>
      <c r="C1207">
        <v>0</v>
      </c>
      <c r="D1207">
        <v>0.1</v>
      </c>
      <c r="E1207">
        <v>0.01</v>
      </c>
      <c r="F1207" t="s">
        <v>6</v>
      </c>
      <c r="G1207" t="s">
        <v>5</v>
      </c>
      <c r="H1207">
        <v>0</v>
      </c>
      <c r="I1207">
        <v>0</v>
      </c>
      <c r="J1207" t="s">
        <v>2833</v>
      </c>
      <c r="K1207">
        <v>5773.6</v>
      </c>
      <c r="L1207">
        <v>0.25939000000000001</v>
      </c>
      <c r="M1207">
        <v>5773.6</v>
      </c>
      <c r="N1207">
        <v>0.25939000000000001</v>
      </c>
      <c r="O1207" t="s">
        <v>2833</v>
      </c>
      <c r="P1207" t="s">
        <v>2833</v>
      </c>
      <c r="Q1207" t="s">
        <v>2833</v>
      </c>
      <c r="R1207">
        <f ca="1">RAND()*(Validation[[#This Row],[Range1_High]]-Validation[[#This Row],[Range1_Low]])+Validation[[#This Row],[Range1_Low]]</f>
        <v>7.1243228235024575E-2</v>
      </c>
      <c r="S1207">
        <f>Validation[[#This Row],[Range2_High]]</f>
        <v>0</v>
      </c>
      <c r="T1207" t="str" cm="1">
        <f t="array" aca="1" ref="T1207" ca="1">RoundToTwoSigFigs(Validation[[#This Row],[Test Reading]]*Validation[[#This Row],[Mult]]+Validation[[#This Row],[Base]]) &amp;" "&amp;Validation[[#This Row],[Uncert_Units]]</f>
        <v>5800 µV</v>
      </c>
      <c r="U1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207" t="b">
        <f ca="1">Validation[[#This Row],[Desired Result]]=Validation[[#This Row],[Result]]</f>
        <v>1</v>
      </c>
      <c r="W1207" t="b">
        <v>0</v>
      </c>
      <c r="X1207" t="b">
        <f>Validation[[#This Row],[Range1_Low]]&gt;=Validation[[#This Row],[Range1_High]]</f>
        <v>0</v>
      </c>
      <c r="Y1207" s="111" t="s">
        <v>2845</v>
      </c>
    </row>
    <row r="1208" spans="1:25" ht="15.75" thickBot="1" x14ac:dyDescent="0.3">
      <c r="A1208" t="s">
        <v>54</v>
      </c>
      <c r="B1208" t="s">
        <v>3</v>
      </c>
      <c r="C1208">
        <v>0</v>
      </c>
      <c r="D1208">
        <v>0.33000099999999999</v>
      </c>
      <c r="E1208">
        <v>9.9999999999999995E-7</v>
      </c>
      <c r="F1208" t="s">
        <v>6</v>
      </c>
      <c r="G1208" t="s">
        <v>5</v>
      </c>
      <c r="H1208">
        <v>0</v>
      </c>
      <c r="I1208">
        <v>0</v>
      </c>
      <c r="J1208" t="s">
        <v>2833</v>
      </c>
      <c r="K1208">
        <v>3.6</v>
      </c>
      <c r="L1208">
        <v>69.150999999999996</v>
      </c>
      <c r="M1208">
        <v>3.5196000000000001</v>
      </c>
      <c r="N1208">
        <v>69.191000000000003</v>
      </c>
      <c r="O1208" t="s">
        <v>2833</v>
      </c>
      <c r="P1208" t="s">
        <v>2833</v>
      </c>
      <c r="Q1208" t="s">
        <v>2833</v>
      </c>
      <c r="R1208">
        <f ca="1">RAND()*(Validation[[#This Row],[Range1_High]]-Validation[[#This Row],[Range1_Low]])+Validation[[#This Row],[Range1_Low]]</f>
        <v>2.2258540980203745E-2</v>
      </c>
      <c r="S1208">
        <f>Validation[[#This Row],[Range2_High]]</f>
        <v>0</v>
      </c>
      <c r="T1208" t="str" cm="1">
        <f t="array" aca="1" ref="T1208" ca="1">RoundToTwoSigFigs(Validation[[#This Row],[Test Reading]]*Validation[[#This Row],[Mult]]+Validation[[#This Row],[Base]]) &amp;" "&amp;Validation[[#This Row],[Uncert_Units]]</f>
        <v>5.1 µV</v>
      </c>
      <c r="U1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µV</v>
      </c>
      <c r="V1208" t="b">
        <f ca="1">Validation[[#This Row],[Desired Result]]=Validation[[#This Row],[Result]]</f>
        <v>1</v>
      </c>
      <c r="W1208" t="b">
        <v>0</v>
      </c>
      <c r="X1208" t="b">
        <f>Validation[[#This Row],[Range1_Low]]&gt;=Validation[[#This Row],[Range1_High]]</f>
        <v>0</v>
      </c>
      <c r="Y1208" s="111" t="s">
        <v>2845</v>
      </c>
    </row>
    <row r="1209" spans="1:25" ht="16.5" thickTop="1" thickBot="1" x14ac:dyDescent="0.3">
      <c r="A1209" t="s">
        <v>55</v>
      </c>
      <c r="B1209" t="s">
        <v>3</v>
      </c>
      <c r="C1209" s="113">
        <v>0.1</v>
      </c>
      <c r="D1209" s="113">
        <v>1</v>
      </c>
      <c r="E1209">
        <v>1.0000000000000001E-5</v>
      </c>
      <c r="F1209" t="s">
        <v>6</v>
      </c>
      <c r="G1209" t="s">
        <v>5</v>
      </c>
      <c r="H1209">
        <v>0</v>
      </c>
      <c r="I1209">
        <v>0</v>
      </c>
      <c r="J1209" t="s">
        <v>2833</v>
      </c>
      <c r="K1209">
        <v>5.5890000000000004</v>
      </c>
      <c r="L1209">
        <v>3.0792000000000002</v>
      </c>
      <c r="M1209">
        <v>5.5845000000000002</v>
      </c>
      <c r="N1209">
        <v>3.0749</v>
      </c>
      <c r="O1209" t="s">
        <v>2833</v>
      </c>
      <c r="P1209" t="s">
        <v>2833</v>
      </c>
      <c r="Q1209" t="s">
        <v>2833</v>
      </c>
      <c r="R1209">
        <f ca="1">RAND()*(Validation[[#This Row],[Range1_High]]-Validation[[#This Row],[Range1_Low]])+Validation[[#This Row],[Range1_Low]]</f>
        <v>0.23669766205157333</v>
      </c>
      <c r="S1209">
        <f>Validation[[#This Row],[Range2_High]]</f>
        <v>0</v>
      </c>
      <c r="T1209" t="str" cm="1">
        <f t="array" aca="1" ref="T1209" ca="1">RoundToTwoSigFigs(Validation[[#This Row],[Test Reading]]*Validation[[#This Row],[Mult]]+Validation[[#This Row],[Base]]) &amp;" "&amp;Validation[[#This Row],[Uncert_Units]]</f>
        <v>6.3 µV</v>
      </c>
      <c r="U1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µV</v>
      </c>
      <c r="V1209" t="b">
        <f ca="1">Validation[[#This Row],[Desired Result]]=Validation[[#This Row],[Result]]</f>
        <v>1</v>
      </c>
      <c r="W1209" t="b">
        <v>1</v>
      </c>
      <c r="X1209" t="b">
        <f>Validation[[#This Row],[Range1_Low]]&gt;=Validation[[#This Row],[Range1_High]]</f>
        <v>0</v>
      </c>
      <c r="Y1209" s="111" t="s">
        <v>2843</v>
      </c>
    </row>
    <row r="1210" spans="1:25" ht="16.5" thickTop="1" thickBot="1" x14ac:dyDescent="0.3">
      <c r="A1210" t="s">
        <v>55</v>
      </c>
      <c r="B1210" t="s">
        <v>3</v>
      </c>
      <c r="C1210">
        <v>1</v>
      </c>
      <c r="D1210">
        <v>10</v>
      </c>
      <c r="E1210">
        <v>1E-4</v>
      </c>
      <c r="F1210" t="s">
        <v>6</v>
      </c>
      <c r="G1210" t="s">
        <v>5</v>
      </c>
      <c r="H1210">
        <v>0</v>
      </c>
      <c r="I1210">
        <v>0</v>
      </c>
      <c r="J1210" t="s">
        <v>2833</v>
      </c>
      <c r="K1210">
        <v>55.981000000000002</v>
      </c>
      <c r="L1210">
        <v>2.3401000000000001</v>
      </c>
      <c r="M1210">
        <v>55.98</v>
      </c>
      <c r="N1210">
        <v>2.34</v>
      </c>
      <c r="O1210" t="s">
        <v>2833</v>
      </c>
      <c r="P1210" t="s">
        <v>2833</v>
      </c>
      <c r="Q1210" t="s">
        <v>2833</v>
      </c>
      <c r="R1210">
        <f ca="1">RAND()*(Validation[[#This Row],[Range1_High]]-Validation[[#This Row],[Range1_Low]])+Validation[[#This Row],[Range1_Low]]</f>
        <v>8.421089130000194</v>
      </c>
      <c r="S1210">
        <f>Validation[[#This Row],[Range2_High]]</f>
        <v>0</v>
      </c>
      <c r="T1210" t="str" cm="1">
        <f t="array" aca="1" ref="T1210" ca="1">RoundToTwoSigFigs(Validation[[#This Row],[Test Reading]]*Validation[[#This Row],[Mult]]+Validation[[#This Row],[Base]]) &amp;" "&amp;Validation[[#This Row],[Uncert_Units]]</f>
        <v>76 µV</v>
      </c>
      <c r="U1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V1210" t="b">
        <f ca="1">Validation[[#This Row],[Desired Result]]=Validation[[#This Row],[Result]]</f>
        <v>1</v>
      </c>
      <c r="W1210" t="b">
        <v>0</v>
      </c>
      <c r="X1210" t="b">
        <f>Validation[[#This Row],[Range1_Low]]&gt;=Validation[[#This Row],[Range1_High]]</f>
        <v>0</v>
      </c>
      <c r="Y1210" s="111" t="s">
        <v>2845</v>
      </c>
    </row>
    <row r="1211" spans="1:25" ht="16.5" thickTop="1" thickBot="1" x14ac:dyDescent="0.3">
      <c r="A1211" t="s">
        <v>54</v>
      </c>
      <c r="B1211" t="s">
        <v>3</v>
      </c>
      <c r="C1211" s="113">
        <v>33</v>
      </c>
      <c r="D1211" s="113">
        <v>330.00099999999998</v>
      </c>
      <c r="E1211">
        <v>0.01</v>
      </c>
      <c r="F1211" t="s">
        <v>6</v>
      </c>
      <c r="G1211" t="s">
        <v>4</v>
      </c>
      <c r="H1211">
        <v>0</v>
      </c>
      <c r="I1211">
        <v>0</v>
      </c>
      <c r="J1211" t="s">
        <v>2833</v>
      </c>
      <c r="K1211">
        <v>4.6628999999999996</v>
      </c>
      <c r="L1211">
        <v>5.3692999999999998E-2</v>
      </c>
      <c r="M1211">
        <v>4.6153000000000004</v>
      </c>
      <c r="N1211">
        <v>5.3731000000000001E-2</v>
      </c>
      <c r="O1211" t="s">
        <v>2833</v>
      </c>
      <c r="P1211" t="s">
        <v>2833</v>
      </c>
      <c r="Q1211" t="s">
        <v>2833</v>
      </c>
      <c r="R1211">
        <f ca="1">RAND()*(Validation[[#This Row],[Range1_High]]-Validation[[#This Row],[Range1_Low]])+Validation[[#This Row],[Range1_Low]]</f>
        <v>290.59877882863549</v>
      </c>
      <c r="S1211">
        <f>Validation[[#This Row],[Range2_High]]</f>
        <v>0</v>
      </c>
      <c r="T1211" t="str" cm="1">
        <f t="array" aca="1" ref="T1211" ca="1">RoundToTwoSigFigs(Validation[[#This Row],[Test Reading]]*Validation[[#This Row],[Mult]]+Validation[[#This Row],[Base]]) &amp;" "&amp;Validation[[#This Row],[Uncert_Units]]</f>
        <v>20 mV</v>
      </c>
      <c r="U1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V1211" t="b">
        <f ca="1">Validation[[#This Row],[Desired Result]]=Validation[[#This Row],[Result]]</f>
        <v>1</v>
      </c>
      <c r="W1211" t="b">
        <v>1</v>
      </c>
      <c r="X1211" t="b">
        <f>Validation[[#This Row],[Range1_Low]]&gt;=Validation[[#This Row],[Range1_High]]</f>
        <v>0</v>
      </c>
      <c r="Y1211" s="111" t="s">
        <v>2843</v>
      </c>
    </row>
    <row r="1212" spans="1:25" ht="16.5" thickTop="1" thickBot="1" x14ac:dyDescent="0.3">
      <c r="A1212" t="s">
        <v>55</v>
      </c>
      <c r="B1212" t="s">
        <v>3</v>
      </c>
      <c r="C1212" s="113">
        <v>0.1</v>
      </c>
      <c r="D1212" s="113">
        <v>1</v>
      </c>
      <c r="E1212">
        <v>9.9999999999999995E-7</v>
      </c>
      <c r="F1212" t="s">
        <v>6</v>
      </c>
      <c r="G1212" t="s">
        <v>5</v>
      </c>
      <c r="H1212">
        <v>0</v>
      </c>
      <c r="I1212">
        <v>0</v>
      </c>
      <c r="J1212" t="s">
        <v>2833</v>
      </c>
      <c r="K1212">
        <v>0.60901000000000005</v>
      </c>
      <c r="L1212">
        <v>5.85</v>
      </c>
      <c r="M1212">
        <v>0.60243999999999998</v>
      </c>
      <c r="N1212">
        <v>5.8536000000000001</v>
      </c>
      <c r="O1212" t="s">
        <v>2833</v>
      </c>
      <c r="P1212" t="s">
        <v>2833</v>
      </c>
      <c r="Q1212" t="s">
        <v>2833</v>
      </c>
      <c r="R1212">
        <f ca="1">RAND()*(Validation[[#This Row],[Range1_High]]-Validation[[#This Row],[Range1_Low]])+Validation[[#This Row],[Range1_Low]]</f>
        <v>0.63144857123051168</v>
      </c>
      <c r="S1212">
        <f>Validation[[#This Row],[Range2_High]]</f>
        <v>0</v>
      </c>
      <c r="T1212" t="str" cm="1">
        <f t="array" aca="1" ref="T1212" ca="1">RoundToTwoSigFigs(Validation[[#This Row],[Test Reading]]*Validation[[#This Row],[Mult]]+Validation[[#This Row],[Base]]) &amp;" "&amp;Validation[[#This Row],[Uncert_Units]]</f>
        <v>4.3 µV</v>
      </c>
      <c r="U1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V1212" t="b">
        <f ca="1">Validation[[#This Row],[Desired Result]]=Validation[[#This Row],[Result]]</f>
        <v>1</v>
      </c>
      <c r="W1212" t="b">
        <v>1</v>
      </c>
      <c r="X1212" t="b">
        <f>Validation[[#This Row],[Range1_Low]]&gt;=Validation[[#This Row],[Range1_High]]</f>
        <v>0</v>
      </c>
      <c r="Y1212" s="111" t="s">
        <v>2843</v>
      </c>
    </row>
    <row r="1213" spans="1:25" ht="16.5" thickTop="1" thickBot="1" x14ac:dyDescent="0.3">
      <c r="A1213" t="s">
        <v>68</v>
      </c>
      <c r="B1213" t="s">
        <v>3</v>
      </c>
      <c r="C1213" s="113">
        <v>10</v>
      </c>
      <c r="D1213" s="113">
        <v>100</v>
      </c>
      <c r="E1213">
        <v>1</v>
      </c>
      <c r="F1213" t="s">
        <v>6</v>
      </c>
      <c r="G1213" t="s">
        <v>4</v>
      </c>
      <c r="H1213">
        <v>0</v>
      </c>
      <c r="I1213">
        <v>0</v>
      </c>
      <c r="J1213" t="s">
        <v>2833</v>
      </c>
      <c r="K1213">
        <v>577.39</v>
      </c>
      <c r="L1213">
        <v>1.6414999999999999E-3</v>
      </c>
      <c r="M1213">
        <v>577.39</v>
      </c>
      <c r="N1213">
        <v>1.6092999999999999E-3</v>
      </c>
      <c r="O1213" t="s">
        <v>2833</v>
      </c>
      <c r="P1213" t="s">
        <v>2833</v>
      </c>
      <c r="Q1213" t="s">
        <v>2833</v>
      </c>
      <c r="R1213">
        <f ca="1">RAND()*(Validation[[#This Row],[Range1_High]]-Validation[[#This Row],[Range1_Low]])+Validation[[#This Row],[Range1_Low]]</f>
        <v>59.415710242539056</v>
      </c>
      <c r="S1213">
        <f>Validation[[#This Row],[Range2_High]]</f>
        <v>0</v>
      </c>
      <c r="T1213" t="str" cm="1">
        <f t="array" aca="1" ref="T1213" ca="1">RoundToTwoSigFigs(Validation[[#This Row],[Test Reading]]*Validation[[#This Row],[Mult]]+Validation[[#This Row],[Base]]) &amp;" "&amp;Validation[[#This Row],[Uncert_Units]]</f>
        <v>580 mV</v>
      </c>
      <c r="U1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213" t="b">
        <f ca="1">Validation[[#This Row],[Desired Result]]=Validation[[#This Row],[Result]]</f>
        <v>1</v>
      </c>
      <c r="W1213" t="b">
        <v>1</v>
      </c>
      <c r="X1213" t="b">
        <f>Validation[[#This Row],[Range1_Low]]&gt;=Validation[[#This Row],[Range1_High]]</f>
        <v>0</v>
      </c>
      <c r="Y1213" s="111" t="s">
        <v>2843</v>
      </c>
    </row>
    <row r="1214" spans="1:25" ht="16.5" thickTop="1" thickBot="1" x14ac:dyDescent="0.3">
      <c r="A1214" t="s">
        <v>54</v>
      </c>
      <c r="B1214" t="s">
        <v>3</v>
      </c>
      <c r="C1214" s="113">
        <v>330</v>
      </c>
      <c r="D1214" s="113">
        <v>1000.01</v>
      </c>
      <c r="E1214">
        <v>1E-3</v>
      </c>
      <c r="F1214" t="s">
        <v>6</v>
      </c>
      <c r="G1214" t="s">
        <v>4</v>
      </c>
      <c r="H1214">
        <v>0</v>
      </c>
      <c r="I1214">
        <v>0</v>
      </c>
      <c r="J1214" t="s">
        <v>2833</v>
      </c>
      <c r="K1214">
        <v>1.9</v>
      </c>
      <c r="L1214">
        <v>6.4000000000000001E-2</v>
      </c>
      <c r="M1214">
        <v>1.7548999999999999</v>
      </c>
      <c r="N1214">
        <v>6.3615000000000005E-2</v>
      </c>
      <c r="O1214" t="s">
        <v>2833</v>
      </c>
      <c r="P1214" t="s">
        <v>2833</v>
      </c>
      <c r="Q1214" t="s">
        <v>2833</v>
      </c>
      <c r="R1214">
        <f ca="1">RAND()*(Validation[[#This Row],[Range1_High]]-Validation[[#This Row],[Range1_Low]])+Validation[[#This Row],[Range1_Low]]</f>
        <v>940.97352832738193</v>
      </c>
      <c r="S1214">
        <f>Validation[[#This Row],[Range2_High]]</f>
        <v>0</v>
      </c>
      <c r="T1214" t="str" cm="1">
        <f t="array" aca="1" ref="T1214" ca="1">RoundToTwoSigFigs(Validation[[#This Row],[Test Reading]]*Validation[[#This Row],[Mult]]+Validation[[#This Row],[Base]]) &amp;" "&amp;Validation[[#This Row],[Uncert_Units]]</f>
        <v>62 mV</v>
      </c>
      <c r="U1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V1214" t="b">
        <f ca="1">Validation[[#This Row],[Desired Result]]=Validation[[#This Row],[Result]]</f>
        <v>1</v>
      </c>
      <c r="W1214" t="b">
        <v>1</v>
      </c>
      <c r="X1214" t="b">
        <f>Validation[[#This Row],[Range1_Low]]&gt;=Validation[[#This Row],[Range1_High]]</f>
        <v>0</v>
      </c>
      <c r="Y1214" s="111" t="s">
        <v>2843</v>
      </c>
    </row>
    <row r="1215" spans="1:25" ht="16.5" thickTop="1" thickBot="1" x14ac:dyDescent="0.3">
      <c r="A1215" t="s">
        <v>54</v>
      </c>
      <c r="B1215" t="s">
        <v>3</v>
      </c>
      <c r="C1215">
        <v>0</v>
      </c>
      <c r="D1215">
        <v>0.33000099999999999</v>
      </c>
      <c r="E1215">
        <v>1</v>
      </c>
      <c r="F1215" t="s">
        <v>6</v>
      </c>
      <c r="G1215" t="s">
        <v>4</v>
      </c>
      <c r="H1215">
        <v>0</v>
      </c>
      <c r="I1215">
        <v>0</v>
      </c>
      <c r="J1215" t="s">
        <v>2833</v>
      </c>
      <c r="K1215">
        <v>580</v>
      </c>
      <c r="L1215">
        <v>3.4199999999999999E-6</v>
      </c>
      <c r="M1215">
        <v>580</v>
      </c>
      <c r="N1215">
        <v>1.79E-6</v>
      </c>
      <c r="O1215" t="s">
        <v>2833</v>
      </c>
      <c r="P1215" t="s">
        <v>2833</v>
      </c>
      <c r="Q1215" t="s">
        <v>2833</v>
      </c>
      <c r="R1215">
        <f ca="1">RAND()*(Validation[[#This Row],[Range1_High]]-Validation[[#This Row],[Range1_Low]])+Validation[[#This Row],[Range1_Low]]</f>
        <v>0.26394378004516994</v>
      </c>
      <c r="S1215">
        <f>Validation[[#This Row],[Range2_High]]</f>
        <v>0</v>
      </c>
      <c r="T1215" t="str" cm="1">
        <f t="array" aca="1" ref="T1215" ca="1">RoundToTwoSigFigs(Validation[[#This Row],[Test Reading]]*Validation[[#This Row],[Mult]]+Validation[[#This Row],[Base]]) &amp;" "&amp;Validation[[#This Row],[Uncert_Units]]</f>
        <v>580 mV</v>
      </c>
      <c r="U1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215" t="b">
        <f ca="1">Validation[[#This Row],[Desired Result]]=Validation[[#This Row],[Result]]</f>
        <v>1</v>
      </c>
      <c r="W1215" t="b">
        <v>0</v>
      </c>
      <c r="X1215" t="b">
        <f>Validation[[#This Row],[Range1_Low]]&gt;=Validation[[#This Row],[Range1_High]]</f>
        <v>0</v>
      </c>
      <c r="Y1215" s="111" t="s">
        <v>2845</v>
      </c>
    </row>
    <row r="1216" spans="1:25" ht="16.5" thickTop="1" thickBot="1" x14ac:dyDescent="0.3">
      <c r="A1216" t="s">
        <v>55</v>
      </c>
      <c r="B1216" t="s">
        <v>3</v>
      </c>
      <c r="C1216" s="113">
        <v>1</v>
      </c>
      <c r="D1216" s="113">
        <v>10</v>
      </c>
      <c r="E1216">
        <v>9.9999999999999995E-8</v>
      </c>
      <c r="F1216" t="s">
        <v>6</v>
      </c>
      <c r="G1216" t="s">
        <v>5</v>
      </c>
      <c r="H1216">
        <v>0</v>
      </c>
      <c r="I1216">
        <v>0</v>
      </c>
      <c r="J1216" t="s">
        <v>2833</v>
      </c>
      <c r="K1216">
        <v>1.2</v>
      </c>
      <c r="L1216">
        <v>5.3</v>
      </c>
      <c r="M1216">
        <v>0.75905</v>
      </c>
      <c r="N1216">
        <v>5.3437000000000001</v>
      </c>
      <c r="O1216" t="s">
        <v>2833</v>
      </c>
      <c r="P1216" t="s">
        <v>2833</v>
      </c>
      <c r="Q1216" t="s">
        <v>2833</v>
      </c>
      <c r="R1216">
        <f ca="1">RAND()*(Validation[[#This Row],[Range1_High]]-Validation[[#This Row],[Range1_Low]])+Validation[[#This Row],[Range1_Low]]</f>
        <v>1.5034308192595869</v>
      </c>
      <c r="S1216">
        <f>Validation[[#This Row],[Range2_High]]</f>
        <v>0</v>
      </c>
      <c r="T1216" t="str" cm="1">
        <f t="array" aca="1" ref="T1216" ca="1">RoundToTwoSigFigs(Validation[[#This Row],[Test Reading]]*Validation[[#This Row],[Mult]]+Validation[[#This Row],[Base]]) &amp;" "&amp;Validation[[#This Row],[Uncert_Units]]</f>
        <v>9.2 µV</v>
      </c>
      <c r="U1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µV</v>
      </c>
      <c r="V1216" t="b">
        <f ca="1">Validation[[#This Row],[Desired Result]]=Validation[[#This Row],[Result]]</f>
        <v>1</v>
      </c>
      <c r="W1216" t="b">
        <v>1</v>
      </c>
      <c r="X1216" t="b">
        <f>Validation[[#This Row],[Range1_Low]]&gt;=Validation[[#This Row],[Range1_High]]</f>
        <v>0</v>
      </c>
      <c r="Y1216" s="111" t="s">
        <v>2843</v>
      </c>
    </row>
    <row r="1217" spans="1:25" ht="15.75" thickTop="1" x14ac:dyDescent="0.25">
      <c r="A1217" t="s">
        <v>55</v>
      </c>
      <c r="B1217" t="s">
        <v>3</v>
      </c>
      <c r="C1217">
        <v>10</v>
      </c>
      <c r="D1217">
        <v>100</v>
      </c>
      <c r="E1217">
        <v>0.01</v>
      </c>
      <c r="F1217" t="s">
        <v>6</v>
      </c>
      <c r="G1217" t="s">
        <v>5</v>
      </c>
      <c r="H1217">
        <v>0</v>
      </c>
      <c r="I1217">
        <v>0</v>
      </c>
      <c r="J1217" t="s">
        <v>2833</v>
      </c>
      <c r="K1217">
        <v>5795</v>
      </c>
      <c r="L1217">
        <v>0.61987000000000003</v>
      </c>
      <c r="M1217">
        <v>5794.9</v>
      </c>
      <c r="N1217">
        <v>0.61636999999999997</v>
      </c>
      <c r="O1217" t="s">
        <v>2833</v>
      </c>
      <c r="P1217" t="s">
        <v>2833</v>
      </c>
      <c r="Q1217" t="s">
        <v>2833</v>
      </c>
      <c r="R1217">
        <f ca="1">RAND()*(Validation[[#This Row],[Range1_High]]-Validation[[#This Row],[Range1_Low]])+Validation[[#This Row],[Range1_Low]]</f>
        <v>35.570505249319609</v>
      </c>
      <c r="S1217">
        <f>Validation[[#This Row],[Range2_High]]</f>
        <v>0</v>
      </c>
      <c r="T1217" t="str" cm="1">
        <f t="array" aca="1" ref="T1217" ca="1">RoundToTwoSigFigs(Validation[[#This Row],[Test Reading]]*Validation[[#This Row],[Mult]]+Validation[[#This Row],[Base]]) &amp;" "&amp;Validation[[#This Row],[Uncert_Units]]</f>
        <v>5800 µV</v>
      </c>
      <c r="U1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217" t="b">
        <f ca="1">Validation[[#This Row],[Desired Result]]=Validation[[#This Row],[Result]]</f>
        <v>1</v>
      </c>
      <c r="W1217" t="b">
        <v>0</v>
      </c>
      <c r="X1217" t="b">
        <f>Validation[[#This Row],[Range1_Low]]&gt;=Validation[[#This Row],[Range1_High]]</f>
        <v>0</v>
      </c>
      <c r="Y1217" s="111" t="s">
        <v>2845</v>
      </c>
    </row>
    <row r="1218" spans="1:25" x14ac:dyDescent="0.25">
      <c r="A1218" t="s">
        <v>68</v>
      </c>
      <c r="B1218" t="s">
        <v>3</v>
      </c>
      <c r="C1218">
        <v>1</v>
      </c>
      <c r="D1218">
        <v>10</v>
      </c>
      <c r="E1218">
        <v>0.01</v>
      </c>
      <c r="F1218" t="s">
        <v>6</v>
      </c>
      <c r="G1218" t="s">
        <v>5</v>
      </c>
      <c r="H1218">
        <v>0</v>
      </c>
      <c r="I1218">
        <v>0</v>
      </c>
      <c r="J1218" t="s">
        <v>2833</v>
      </c>
      <c r="K1218">
        <v>5777.2</v>
      </c>
      <c r="L1218">
        <v>13.558999999999999</v>
      </c>
      <c r="M1218">
        <v>5777</v>
      </c>
      <c r="N1218">
        <v>13.491</v>
      </c>
      <c r="O1218" t="s">
        <v>2833</v>
      </c>
      <c r="P1218" t="s">
        <v>2833</v>
      </c>
      <c r="Q1218" t="s">
        <v>2833</v>
      </c>
      <c r="R1218">
        <f ca="1">RAND()*(Validation[[#This Row],[Range1_High]]-Validation[[#This Row],[Range1_Low]])+Validation[[#This Row],[Range1_Low]]</f>
        <v>2.9233459364482384</v>
      </c>
      <c r="S1218">
        <f>Validation[[#This Row],[Range2_High]]</f>
        <v>0</v>
      </c>
      <c r="T1218" t="str" cm="1">
        <f t="array" aca="1" ref="T1218" ca="1">RoundToTwoSigFigs(Validation[[#This Row],[Test Reading]]*Validation[[#This Row],[Mult]]+Validation[[#This Row],[Base]]) &amp;" "&amp;Validation[[#This Row],[Uncert_Units]]</f>
        <v>5800 µV</v>
      </c>
      <c r="U1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218" t="b">
        <f ca="1">Validation[[#This Row],[Desired Result]]=Validation[[#This Row],[Result]]</f>
        <v>1</v>
      </c>
      <c r="W1218" t="b">
        <v>0</v>
      </c>
      <c r="X1218" t="b">
        <f>Validation[[#This Row],[Range1_Low]]&gt;=Validation[[#This Row],[Range1_High]]</f>
        <v>0</v>
      </c>
      <c r="Y1218" s="111" t="s">
        <v>2845</v>
      </c>
    </row>
    <row r="1219" spans="1:25" ht="15.75" thickBot="1" x14ac:dyDescent="0.3">
      <c r="A1219" t="s">
        <v>68</v>
      </c>
      <c r="B1219" t="s">
        <v>3</v>
      </c>
      <c r="C1219">
        <v>0</v>
      </c>
      <c r="D1219">
        <v>0.1</v>
      </c>
      <c r="E1219">
        <v>1E-4</v>
      </c>
      <c r="F1219" t="s">
        <v>6</v>
      </c>
      <c r="G1219" t="s">
        <v>5</v>
      </c>
      <c r="H1219">
        <v>0</v>
      </c>
      <c r="I1219">
        <v>0</v>
      </c>
      <c r="J1219" t="s">
        <v>2833</v>
      </c>
      <c r="K1219">
        <v>58.889000000000003</v>
      </c>
      <c r="L1219">
        <v>24.899000000000001</v>
      </c>
      <c r="M1219">
        <v>58.883000000000003</v>
      </c>
      <c r="N1219">
        <v>24.902000000000001</v>
      </c>
      <c r="O1219" t="s">
        <v>2833</v>
      </c>
      <c r="P1219" t="s">
        <v>2833</v>
      </c>
      <c r="Q1219" t="s">
        <v>2833</v>
      </c>
      <c r="R1219">
        <f ca="1">RAND()*(Validation[[#This Row],[Range1_High]]-Validation[[#This Row],[Range1_Low]])+Validation[[#This Row],[Range1_Low]]</f>
        <v>9.9803315037797685E-2</v>
      </c>
      <c r="S1219">
        <f>Validation[[#This Row],[Range2_High]]</f>
        <v>0</v>
      </c>
      <c r="T1219" t="str" cm="1">
        <f t="array" aca="1" ref="T1219" ca="1">RoundToTwoSigFigs(Validation[[#This Row],[Test Reading]]*Validation[[#This Row],[Mult]]+Validation[[#This Row],[Base]]) &amp;" "&amp;Validation[[#This Row],[Uncert_Units]]</f>
        <v>61 µV</v>
      </c>
      <c r="U1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V1219" t="b">
        <f ca="1">Validation[[#This Row],[Desired Result]]=Validation[[#This Row],[Result]]</f>
        <v>1</v>
      </c>
      <c r="W1219" t="b">
        <v>0</v>
      </c>
      <c r="X1219" t="b">
        <f>Validation[[#This Row],[Range1_Low]]&gt;=Validation[[#This Row],[Range1_High]]</f>
        <v>0</v>
      </c>
      <c r="Y1219" s="111" t="s">
        <v>2845</v>
      </c>
    </row>
    <row r="1220" spans="1:25" ht="16.5" thickTop="1" thickBot="1" x14ac:dyDescent="0.3">
      <c r="A1220" t="s">
        <v>68</v>
      </c>
      <c r="B1220" t="s">
        <v>3</v>
      </c>
      <c r="C1220" s="113">
        <v>0.1</v>
      </c>
      <c r="D1220" s="113">
        <v>1</v>
      </c>
      <c r="E1220">
        <v>1.0000000000000001E-5</v>
      </c>
      <c r="F1220" t="s">
        <v>6</v>
      </c>
      <c r="G1220" t="s">
        <v>5</v>
      </c>
      <c r="H1220">
        <v>0</v>
      </c>
      <c r="I1220">
        <v>0</v>
      </c>
      <c r="J1220" t="s">
        <v>2833</v>
      </c>
      <c r="K1220">
        <v>36</v>
      </c>
      <c r="L1220">
        <v>92</v>
      </c>
      <c r="M1220">
        <v>35.884999999999998</v>
      </c>
      <c r="N1220">
        <v>91.647999999999996</v>
      </c>
      <c r="O1220" t="s">
        <v>2833</v>
      </c>
      <c r="P1220" t="s">
        <v>2833</v>
      </c>
      <c r="Q1220" t="s">
        <v>2833</v>
      </c>
      <c r="R1220">
        <f ca="1">RAND()*(Validation[[#This Row],[Range1_High]]-Validation[[#This Row],[Range1_Low]])+Validation[[#This Row],[Range1_Low]]</f>
        <v>0.42713940727067279</v>
      </c>
      <c r="S1220">
        <f>Validation[[#This Row],[Range2_High]]</f>
        <v>0</v>
      </c>
      <c r="T1220" t="str" cm="1">
        <f t="array" aca="1" ref="T1220" ca="1">RoundToTwoSigFigs(Validation[[#This Row],[Test Reading]]*Validation[[#This Row],[Mult]]+Validation[[#This Row],[Base]]) &amp;" "&amp;Validation[[#This Row],[Uncert_Units]]</f>
        <v>75 µV</v>
      </c>
      <c r="U1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V1220" t="b">
        <f ca="1">Validation[[#This Row],[Desired Result]]=Validation[[#This Row],[Result]]</f>
        <v>1</v>
      </c>
      <c r="W1220" t="b">
        <v>1</v>
      </c>
      <c r="X1220" t="b">
        <f>Validation[[#This Row],[Range1_Low]]&gt;=Validation[[#This Row],[Range1_High]]</f>
        <v>0</v>
      </c>
      <c r="Y1220" s="111" t="s">
        <v>2843</v>
      </c>
    </row>
    <row r="1221" spans="1:25" ht="15.75" thickTop="1" x14ac:dyDescent="0.25">
      <c r="A1221" t="s">
        <v>55</v>
      </c>
      <c r="B1221" t="s">
        <v>3</v>
      </c>
      <c r="C1221">
        <v>0</v>
      </c>
      <c r="D1221">
        <v>0.1</v>
      </c>
      <c r="E1221">
        <v>1E-8</v>
      </c>
      <c r="F1221" t="s">
        <v>6</v>
      </c>
      <c r="G1221" t="s">
        <v>5</v>
      </c>
      <c r="H1221">
        <v>0</v>
      </c>
      <c r="I1221">
        <v>0</v>
      </c>
      <c r="J1221" t="s">
        <v>2833</v>
      </c>
      <c r="K1221">
        <v>0.62</v>
      </c>
      <c r="L1221">
        <v>8</v>
      </c>
      <c r="M1221">
        <v>0.60546</v>
      </c>
      <c r="N1221">
        <v>8.1091999999999995</v>
      </c>
      <c r="O1221" t="s">
        <v>2833</v>
      </c>
      <c r="P1221" t="s">
        <v>2833</v>
      </c>
      <c r="Q1221" t="s">
        <v>2833</v>
      </c>
      <c r="R1221">
        <f ca="1">RAND()*(Validation[[#This Row],[Range1_High]]-Validation[[#This Row],[Range1_Low]])+Validation[[#This Row],[Range1_Low]]</f>
        <v>1.0264189999014206E-2</v>
      </c>
      <c r="S1221">
        <f>Validation[[#This Row],[Range2_High]]</f>
        <v>0</v>
      </c>
      <c r="T1221" t="str" cm="1">
        <f t="array" aca="1" ref="T1221" ca="1">RoundToTwoSigFigs(Validation[[#This Row],[Test Reading]]*Validation[[#This Row],[Mult]]+Validation[[#This Row],[Base]]) &amp;" "&amp;Validation[[#This Row],[Uncert_Units]]</f>
        <v>0.7 µV</v>
      </c>
      <c r="U1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µV</v>
      </c>
      <c r="V1221" t="b">
        <f ca="1">Validation[[#This Row],[Desired Result]]=Validation[[#This Row],[Result]]</f>
        <v>1</v>
      </c>
      <c r="W1221" t="b">
        <v>0</v>
      </c>
      <c r="X1221" t="b">
        <f>Validation[[#This Row],[Range1_Low]]&gt;=Validation[[#This Row],[Range1_High]]</f>
        <v>0</v>
      </c>
      <c r="Y1221" s="111" t="s">
        <v>2845</v>
      </c>
    </row>
    <row r="1222" spans="1:25" ht="15.75" thickBot="1" x14ac:dyDescent="0.3">
      <c r="A1222" t="s">
        <v>68</v>
      </c>
      <c r="B1222" t="s">
        <v>3</v>
      </c>
      <c r="C1222">
        <v>100</v>
      </c>
      <c r="D1222">
        <v>1020</v>
      </c>
      <c r="E1222">
        <v>10</v>
      </c>
      <c r="F1222" t="s">
        <v>6</v>
      </c>
      <c r="G1222" t="s">
        <v>4</v>
      </c>
      <c r="H1222">
        <v>0</v>
      </c>
      <c r="I1222">
        <v>0</v>
      </c>
      <c r="J1222" t="s">
        <v>2833</v>
      </c>
      <c r="K1222">
        <v>5773.6</v>
      </c>
      <c r="L1222">
        <v>1.4178999999999999E-3</v>
      </c>
      <c r="M1222">
        <v>5773.6</v>
      </c>
      <c r="N1222">
        <v>1.3864000000000001E-3</v>
      </c>
      <c r="O1222" t="s">
        <v>2833</v>
      </c>
      <c r="P1222" t="s">
        <v>2833</v>
      </c>
      <c r="Q1222" t="s">
        <v>2833</v>
      </c>
      <c r="R1222">
        <f ca="1">RAND()*(Validation[[#This Row],[Range1_High]]-Validation[[#This Row],[Range1_Low]])+Validation[[#This Row],[Range1_Low]]</f>
        <v>938.64667666725563</v>
      </c>
      <c r="S1222">
        <f>Validation[[#This Row],[Range2_High]]</f>
        <v>0</v>
      </c>
      <c r="T1222" t="str" cm="1">
        <f t="array" aca="1" ref="T1222" ca="1">RoundToTwoSigFigs(Validation[[#This Row],[Test Reading]]*Validation[[#This Row],[Mult]]+Validation[[#This Row],[Base]]) &amp;" "&amp;Validation[[#This Row],[Uncert_Units]]</f>
        <v>5800 mV</v>
      </c>
      <c r="U1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1222" t="b">
        <f ca="1">Validation[[#This Row],[Desired Result]]=Validation[[#This Row],[Result]]</f>
        <v>1</v>
      </c>
      <c r="W1222" t="b">
        <v>0</v>
      </c>
      <c r="X1222" t="b">
        <f>Validation[[#This Row],[Range1_Low]]&gt;=Validation[[#This Row],[Range1_High]]</f>
        <v>0</v>
      </c>
      <c r="Y1222" s="111" t="s">
        <v>2845</v>
      </c>
    </row>
    <row r="1223" spans="1:25" ht="16.5" thickTop="1" thickBot="1" x14ac:dyDescent="0.3">
      <c r="A1223" t="s">
        <v>55</v>
      </c>
      <c r="B1223" t="s">
        <v>3</v>
      </c>
      <c r="C1223" s="113">
        <v>1</v>
      </c>
      <c r="D1223" s="113">
        <v>10</v>
      </c>
      <c r="E1223">
        <v>1.0000000000000001E-5</v>
      </c>
      <c r="F1223" t="s">
        <v>6</v>
      </c>
      <c r="G1223" t="s">
        <v>5</v>
      </c>
      <c r="H1223">
        <v>0</v>
      </c>
      <c r="I1223">
        <v>0</v>
      </c>
      <c r="J1223" t="s">
        <v>2833</v>
      </c>
      <c r="K1223">
        <v>3.3010000000000002</v>
      </c>
      <c r="L1223">
        <v>5.1204999999999998</v>
      </c>
      <c r="M1223">
        <v>3.2984</v>
      </c>
      <c r="N1223">
        <v>5.1207000000000003</v>
      </c>
      <c r="O1223" t="s">
        <v>2833</v>
      </c>
      <c r="P1223" t="s">
        <v>2833</v>
      </c>
      <c r="Q1223" t="s">
        <v>2833</v>
      </c>
      <c r="R1223">
        <f ca="1">RAND()*(Validation[[#This Row],[Range1_High]]-Validation[[#This Row],[Range1_Low]])+Validation[[#This Row],[Range1_Low]]</f>
        <v>4.1865675261646214</v>
      </c>
      <c r="S1223">
        <f>Validation[[#This Row],[Range2_High]]</f>
        <v>0</v>
      </c>
      <c r="T1223" t="str" cm="1">
        <f t="array" aca="1" ref="T1223" ca="1">RoundToTwoSigFigs(Validation[[#This Row],[Test Reading]]*Validation[[#This Row],[Mult]]+Validation[[#This Row],[Base]]) &amp;" "&amp;Validation[[#This Row],[Uncert_Units]]</f>
        <v>25 µV</v>
      </c>
      <c r="U1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µV</v>
      </c>
      <c r="V1223" t="b">
        <f ca="1">Validation[[#This Row],[Desired Result]]=Validation[[#This Row],[Result]]</f>
        <v>1</v>
      </c>
      <c r="W1223" t="b">
        <v>1</v>
      </c>
      <c r="X1223" t="b">
        <f>Validation[[#This Row],[Range1_Low]]&gt;=Validation[[#This Row],[Range1_High]]</f>
        <v>0</v>
      </c>
      <c r="Y1223" s="111" t="s">
        <v>2843</v>
      </c>
    </row>
    <row r="1224" spans="1:25" ht="15.75" thickTop="1" x14ac:dyDescent="0.25">
      <c r="A1224" t="s">
        <v>54</v>
      </c>
      <c r="B1224" t="s">
        <v>3</v>
      </c>
      <c r="C1224">
        <v>330</v>
      </c>
      <c r="D1224">
        <v>1000.01</v>
      </c>
      <c r="E1224">
        <v>1</v>
      </c>
      <c r="F1224" t="s">
        <v>6</v>
      </c>
      <c r="G1224" t="s">
        <v>4</v>
      </c>
      <c r="H1224">
        <v>0</v>
      </c>
      <c r="I1224">
        <v>0</v>
      </c>
      <c r="J1224" t="s">
        <v>2833</v>
      </c>
      <c r="K1224">
        <v>578.9</v>
      </c>
      <c r="L1224">
        <v>5.3112000000000003E-3</v>
      </c>
      <c r="M1224">
        <v>578.86</v>
      </c>
      <c r="N1224">
        <v>4.8152999999999998E-3</v>
      </c>
      <c r="O1224" t="s">
        <v>2833</v>
      </c>
      <c r="P1224" t="s">
        <v>2833</v>
      </c>
      <c r="Q1224" t="s">
        <v>2833</v>
      </c>
      <c r="R1224">
        <f ca="1">RAND()*(Validation[[#This Row],[Range1_High]]-Validation[[#This Row],[Range1_Low]])+Validation[[#This Row],[Range1_Low]]</f>
        <v>833.83390146322768</v>
      </c>
      <c r="S1224">
        <f>Validation[[#This Row],[Range2_High]]</f>
        <v>0</v>
      </c>
      <c r="T1224" t="str" cm="1">
        <f t="array" aca="1" ref="T1224" ca="1">RoundToTwoSigFigs(Validation[[#This Row],[Test Reading]]*Validation[[#This Row],[Mult]]+Validation[[#This Row],[Base]]) &amp;" "&amp;Validation[[#This Row],[Uncert_Units]]</f>
        <v>580 mV</v>
      </c>
      <c r="U1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224" t="b">
        <f ca="1">Validation[[#This Row],[Desired Result]]=Validation[[#This Row],[Result]]</f>
        <v>1</v>
      </c>
      <c r="W1224" t="b">
        <v>0</v>
      </c>
      <c r="X1224" t="b">
        <f>Validation[[#This Row],[Range1_Low]]&gt;=Validation[[#This Row],[Range1_High]]</f>
        <v>0</v>
      </c>
      <c r="Y1224" s="111" t="s">
        <v>2845</v>
      </c>
    </row>
    <row r="1225" spans="1:25" x14ac:dyDescent="0.25">
      <c r="A1225" t="s">
        <v>54</v>
      </c>
      <c r="B1225" t="s">
        <v>3</v>
      </c>
      <c r="C1225">
        <v>1000</v>
      </c>
      <c r="D1225">
        <v>1001</v>
      </c>
      <c r="E1225">
        <v>1E-3</v>
      </c>
      <c r="F1225" t="s">
        <v>6</v>
      </c>
      <c r="G1225" t="s">
        <v>4</v>
      </c>
      <c r="H1225">
        <v>0</v>
      </c>
      <c r="I1225">
        <v>0</v>
      </c>
      <c r="J1225" t="s">
        <v>2833</v>
      </c>
      <c r="K1225">
        <v>1.9</v>
      </c>
      <c r="L1225">
        <v>6.4000000000000001E-2</v>
      </c>
      <c r="M1225">
        <v>1.7548999999999999</v>
      </c>
      <c r="N1225">
        <v>6.3615000000000005E-2</v>
      </c>
      <c r="O1225" t="s">
        <v>2833</v>
      </c>
      <c r="P1225" t="s">
        <v>2833</v>
      </c>
      <c r="Q1225" t="s">
        <v>2833</v>
      </c>
      <c r="R1225">
        <f ca="1">RAND()*(Validation[[#This Row],[Range1_High]]-Validation[[#This Row],[Range1_Low]])+Validation[[#This Row],[Range1_Low]]</f>
        <v>1000.9060674521404</v>
      </c>
      <c r="S1225">
        <f>Validation[[#This Row],[Range2_High]]</f>
        <v>0</v>
      </c>
      <c r="T1225" t="str" cm="1">
        <f t="array" aca="1" ref="T1225" ca="1">RoundToTwoSigFigs(Validation[[#This Row],[Test Reading]]*Validation[[#This Row],[Mult]]+Validation[[#This Row],[Base]]) &amp;" "&amp;Validation[[#This Row],[Uncert_Units]]</f>
        <v>66 mV</v>
      </c>
      <c r="U1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V1225" t="b">
        <f ca="1">Validation[[#This Row],[Desired Result]]=Validation[[#This Row],[Result]]</f>
        <v>1</v>
      </c>
      <c r="W1225" t="b">
        <v>0</v>
      </c>
      <c r="X1225" t="b">
        <f>Validation[[#This Row],[Range1_Low]]&gt;=Validation[[#This Row],[Range1_High]]</f>
        <v>0</v>
      </c>
      <c r="Y1225" s="111" t="s">
        <v>2845</v>
      </c>
    </row>
    <row r="1226" spans="1:25" x14ac:dyDescent="0.25">
      <c r="A1226" t="s">
        <v>55</v>
      </c>
      <c r="B1226" t="s">
        <v>3</v>
      </c>
      <c r="C1226">
        <v>0</v>
      </c>
      <c r="D1226">
        <v>0.1</v>
      </c>
      <c r="E1226">
        <v>9.9999999999999995E-7</v>
      </c>
      <c r="F1226" t="s">
        <v>6</v>
      </c>
      <c r="G1226" t="s">
        <v>5</v>
      </c>
      <c r="H1226">
        <v>0</v>
      </c>
      <c r="I1226">
        <v>0</v>
      </c>
      <c r="J1226" t="s">
        <v>2833</v>
      </c>
      <c r="K1226">
        <v>0.83938000000000001</v>
      </c>
      <c r="L1226">
        <v>6.96</v>
      </c>
      <c r="M1226">
        <v>0.83736999999999995</v>
      </c>
      <c r="N1226">
        <v>6.93</v>
      </c>
      <c r="O1226" t="s">
        <v>2833</v>
      </c>
      <c r="P1226" t="s">
        <v>2833</v>
      </c>
      <c r="Q1226" t="s">
        <v>2833</v>
      </c>
      <c r="R1226">
        <f ca="1">RAND()*(Validation[[#This Row],[Range1_High]]-Validation[[#This Row],[Range1_Low]])+Validation[[#This Row],[Range1_Low]]</f>
        <v>5.2269794557756044E-2</v>
      </c>
      <c r="S1226">
        <f>Validation[[#This Row],[Range2_High]]</f>
        <v>0</v>
      </c>
      <c r="T1226" t="str" cm="1">
        <f t="array" aca="1" ref="T1226" ca="1">RoundToTwoSigFigs(Validation[[#This Row],[Test Reading]]*Validation[[#This Row],[Mult]]+Validation[[#This Row],[Base]]) &amp;" "&amp;Validation[[#This Row],[Uncert_Units]]</f>
        <v>1.2 µV</v>
      </c>
      <c r="U1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µV</v>
      </c>
      <c r="V1226" t="b">
        <f ca="1">Validation[[#This Row],[Desired Result]]=Validation[[#This Row],[Result]]</f>
        <v>1</v>
      </c>
      <c r="W1226" t="b">
        <v>0</v>
      </c>
      <c r="X1226" t="b">
        <f>Validation[[#This Row],[Range1_Low]]&gt;=Validation[[#This Row],[Range1_High]]</f>
        <v>0</v>
      </c>
      <c r="Y1226" s="111" t="s">
        <v>2845</v>
      </c>
    </row>
    <row r="1227" spans="1:25" ht="15.75" thickBot="1" x14ac:dyDescent="0.3">
      <c r="A1227" t="s">
        <v>68</v>
      </c>
      <c r="B1227" t="s">
        <v>3</v>
      </c>
      <c r="C1227">
        <v>0.1</v>
      </c>
      <c r="D1227">
        <v>1</v>
      </c>
      <c r="E1227">
        <v>0.1</v>
      </c>
      <c r="F1227" t="s">
        <v>6</v>
      </c>
      <c r="G1227" t="s">
        <v>5</v>
      </c>
      <c r="H1227">
        <v>0</v>
      </c>
      <c r="I1227">
        <v>0</v>
      </c>
      <c r="J1227" t="s">
        <v>2833</v>
      </c>
      <c r="K1227">
        <v>57736</v>
      </c>
      <c r="L1227">
        <v>0.14379</v>
      </c>
      <c r="M1227">
        <v>57736</v>
      </c>
      <c r="N1227">
        <v>0.13697999999999999</v>
      </c>
      <c r="O1227" t="s">
        <v>2833</v>
      </c>
      <c r="P1227" t="s">
        <v>2833</v>
      </c>
      <c r="Q1227" t="s">
        <v>2833</v>
      </c>
      <c r="R1227">
        <f ca="1">RAND()*(Validation[[#This Row],[Range1_High]]-Validation[[#This Row],[Range1_Low]])+Validation[[#This Row],[Range1_Low]]</f>
        <v>0.3017174217416928</v>
      </c>
      <c r="S1227">
        <f>Validation[[#This Row],[Range2_High]]</f>
        <v>0</v>
      </c>
      <c r="T1227" t="str" cm="1">
        <f t="array" aca="1" ref="T1227" ca="1">RoundToTwoSigFigs(Validation[[#This Row],[Test Reading]]*Validation[[#This Row],[Mult]]+Validation[[#This Row],[Base]]) &amp;" "&amp;Validation[[#This Row],[Uncert_Units]]</f>
        <v>58000 µV</v>
      </c>
      <c r="U1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227" t="b">
        <f ca="1">Validation[[#This Row],[Desired Result]]=Validation[[#This Row],[Result]]</f>
        <v>1</v>
      </c>
      <c r="W1227" t="b">
        <v>0</v>
      </c>
      <c r="X1227" t="b">
        <f>Validation[[#This Row],[Range1_Low]]&gt;=Validation[[#This Row],[Range1_High]]</f>
        <v>0</v>
      </c>
      <c r="Y1227" s="111" t="s">
        <v>2845</v>
      </c>
    </row>
    <row r="1228" spans="1:25" ht="16.5" thickTop="1" thickBot="1" x14ac:dyDescent="0.3">
      <c r="A1228" t="s">
        <v>55</v>
      </c>
      <c r="B1228" t="s">
        <v>3</v>
      </c>
      <c r="C1228" s="113">
        <v>100</v>
      </c>
      <c r="D1228" s="113">
        <v>1000</v>
      </c>
      <c r="E1228">
        <v>1E-3</v>
      </c>
      <c r="F1228" t="s">
        <v>6</v>
      </c>
      <c r="G1228" t="s">
        <v>4</v>
      </c>
      <c r="H1228">
        <v>0</v>
      </c>
      <c r="I1228">
        <v>0</v>
      </c>
      <c r="J1228" t="s">
        <v>2833</v>
      </c>
      <c r="K1228">
        <v>0.27989000000000003</v>
      </c>
      <c r="L1228">
        <v>8.4975999999999993E-3</v>
      </c>
      <c r="M1228">
        <v>0.27706999999999998</v>
      </c>
      <c r="N1228">
        <v>8.4974999999999998E-3</v>
      </c>
      <c r="O1228" t="s">
        <v>2833</v>
      </c>
      <c r="P1228" t="s">
        <v>2833</v>
      </c>
      <c r="Q1228" t="s">
        <v>2833</v>
      </c>
      <c r="R1228">
        <f ca="1">RAND()*(Validation[[#This Row],[Range1_High]]-Validation[[#This Row],[Range1_Low]])+Validation[[#This Row],[Range1_Low]]</f>
        <v>940.26853970338891</v>
      </c>
      <c r="S1228">
        <f>Validation[[#This Row],[Range2_High]]</f>
        <v>0</v>
      </c>
      <c r="T1228" t="str" cm="1">
        <f t="array" aca="1" ref="T1228" ca="1">RoundToTwoSigFigs(Validation[[#This Row],[Test Reading]]*Validation[[#This Row],[Mult]]+Validation[[#This Row],[Base]]) &amp;" "&amp;Validation[[#This Row],[Uncert_Units]]</f>
        <v>8.3 mV</v>
      </c>
      <c r="U1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mV</v>
      </c>
      <c r="V1228" t="b">
        <f ca="1">Validation[[#This Row],[Desired Result]]=Validation[[#This Row],[Result]]</f>
        <v>1</v>
      </c>
      <c r="W1228" t="b">
        <v>1</v>
      </c>
      <c r="X1228" t="b">
        <f>Validation[[#This Row],[Range1_Low]]&gt;=Validation[[#This Row],[Range1_High]]</f>
        <v>0</v>
      </c>
      <c r="Y1228" s="111" t="s">
        <v>2843</v>
      </c>
    </row>
    <row r="1229" spans="1:25" ht="16.5" thickTop="1" thickBot="1" x14ac:dyDescent="0.3">
      <c r="A1229" t="s">
        <v>68</v>
      </c>
      <c r="B1229" t="s">
        <v>3</v>
      </c>
      <c r="C1229">
        <v>100</v>
      </c>
      <c r="D1229">
        <v>1020</v>
      </c>
      <c r="E1229">
        <v>1</v>
      </c>
      <c r="F1229" t="s">
        <v>6</v>
      </c>
      <c r="G1229" t="s">
        <v>4</v>
      </c>
      <c r="H1229">
        <v>0</v>
      </c>
      <c r="I1229">
        <v>0</v>
      </c>
      <c r="J1229" t="s">
        <v>2833</v>
      </c>
      <c r="K1229">
        <v>577.76</v>
      </c>
      <c r="L1229">
        <v>1.3752E-2</v>
      </c>
      <c r="M1229">
        <v>577.71</v>
      </c>
      <c r="N1229">
        <v>1.3677E-2</v>
      </c>
      <c r="O1229" t="s">
        <v>2833</v>
      </c>
      <c r="P1229" t="s">
        <v>2833</v>
      </c>
      <c r="Q1229" t="s">
        <v>2833</v>
      </c>
      <c r="R1229">
        <f ca="1">RAND()*(Validation[[#This Row],[Range1_High]]-Validation[[#This Row],[Range1_Low]])+Validation[[#This Row],[Range1_Low]]</f>
        <v>319.10232898936658</v>
      </c>
      <c r="S1229">
        <f>Validation[[#This Row],[Range2_High]]</f>
        <v>0</v>
      </c>
      <c r="T1229" t="str" cm="1">
        <f t="array" aca="1" ref="T1229" ca="1">RoundToTwoSigFigs(Validation[[#This Row],[Test Reading]]*Validation[[#This Row],[Mult]]+Validation[[#This Row],[Base]]) &amp;" "&amp;Validation[[#This Row],[Uncert_Units]]</f>
        <v>580 mV</v>
      </c>
      <c r="U1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229" t="b">
        <f ca="1">Validation[[#This Row],[Desired Result]]=Validation[[#This Row],[Result]]</f>
        <v>1</v>
      </c>
      <c r="W1229" t="b">
        <v>0</v>
      </c>
      <c r="X1229" t="b">
        <f>Validation[[#This Row],[Range1_Low]]&gt;=Validation[[#This Row],[Range1_High]]</f>
        <v>0</v>
      </c>
      <c r="Y1229" s="111" t="s">
        <v>2845</v>
      </c>
    </row>
    <row r="1230" spans="1:25" ht="16.5" thickTop="1" thickBot="1" x14ac:dyDescent="0.3">
      <c r="A1230" t="s">
        <v>54</v>
      </c>
      <c r="B1230" t="s">
        <v>3</v>
      </c>
      <c r="C1230" s="113">
        <v>330</v>
      </c>
      <c r="D1230" s="113">
        <v>1000.01</v>
      </c>
      <c r="E1230">
        <v>0.1</v>
      </c>
      <c r="F1230" t="s">
        <v>6</v>
      </c>
      <c r="G1230" t="s">
        <v>4</v>
      </c>
      <c r="H1230">
        <v>0</v>
      </c>
      <c r="I1230">
        <v>0</v>
      </c>
      <c r="J1230" t="s">
        <v>2833</v>
      </c>
      <c r="K1230">
        <v>50.21</v>
      </c>
      <c r="L1230">
        <v>3.8072000000000002E-2</v>
      </c>
      <c r="M1230">
        <v>49.941000000000003</v>
      </c>
      <c r="N1230">
        <v>3.7448000000000002E-2</v>
      </c>
      <c r="O1230" t="s">
        <v>2833</v>
      </c>
      <c r="P1230" t="s">
        <v>2833</v>
      </c>
      <c r="Q1230" t="s">
        <v>2833</v>
      </c>
      <c r="R1230">
        <f ca="1">RAND()*(Validation[[#This Row],[Range1_High]]-Validation[[#This Row],[Range1_Low]])+Validation[[#This Row],[Range1_Low]]</f>
        <v>694.52592444539687</v>
      </c>
      <c r="S1230">
        <f>Validation[[#This Row],[Range2_High]]</f>
        <v>0</v>
      </c>
      <c r="T1230" t="str" cm="1">
        <f t="array" aca="1" ref="T1230" ca="1">RoundToTwoSigFigs(Validation[[#This Row],[Test Reading]]*Validation[[#This Row],[Mult]]+Validation[[#This Row],[Base]]) &amp;" "&amp;Validation[[#This Row],[Uncert_Units]]</f>
        <v>77 mV</v>
      </c>
      <c r="U1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V1230" t="b">
        <f ca="1">Validation[[#This Row],[Desired Result]]=Validation[[#This Row],[Result]]</f>
        <v>1</v>
      </c>
      <c r="W1230" t="b">
        <v>1</v>
      </c>
      <c r="X1230" t="b">
        <f>Validation[[#This Row],[Range1_Low]]&gt;=Validation[[#This Row],[Range1_High]]</f>
        <v>0</v>
      </c>
      <c r="Y1230" s="111" t="s">
        <v>2843</v>
      </c>
    </row>
    <row r="1231" spans="1:25" ht="16.5" thickTop="1" thickBot="1" x14ac:dyDescent="0.3">
      <c r="A1231" t="s">
        <v>55</v>
      </c>
      <c r="B1231" t="s">
        <v>3</v>
      </c>
      <c r="C1231" s="113">
        <v>10</v>
      </c>
      <c r="D1231" s="113">
        <v>100</v>
      </c>
      <c r="E1231">
        <v>1.0000000000000001E-5</v>
      </c>
      <c r="F1231" t="s">
        <v>6</v>
      </c>
      <c r="G1231" t="s">
        <v>5</v>
      </c>
      <c r="H1231">
        <v>0</v>
      </c>
      <c r="I1231">
        <v>0</v>
      </c>
      <c r="J1231" t="s">
        <v>2833</v>
      </c>
      <c r="K1231">
        <v>34</v>
      </c>
      <c r="L1231">
        <v>7.7847999999999997</v>
      </c>
      <c r="M1231">
        <v>33.299999999999997</v>
      </c>
      <c r="N1231">
        <v>7.7850999999999999</v>
      </c>
      <c r="O1231" t="s">
        <v>2833</v>
      </c>
      <c r="P1231" t="s">
        <v>2833</v>
      </c>
      <c r="Q1231" t="s">
        <v>2833</v>
      </c>
      <c r="R1231">
        <f ca="1">RAND()*(Validation[[#This Row],[Range1_High]]-Validation[[#This Row],[Range1_Low]])+Validation[[#This Row],[Range1_Low]]</f>
        <v>24.265611184491135</v>
      </c>
      <c r="S1231">
        <f>Validation[[#This Row],[Range2_High]]</f>
        <v>0</v>
      </c>
      <c r="T1231" t="str" cm="1">
        <f t="array" aca="1" ref="T1231" ca="1">RoundToTwoSigFigs(Validation[[#This Row],[Test Reading]]*Validation[[#This Row],[Mult]]+Validation[[#This Row],[Base]]) &amp;" "&amp;Validation[[#This Row],[Uncert_Units]]</f>
        <v>220 µV</v>
      </c>
      <c r="U1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V1231" t="b">
        <f ca="1">Validation[[#This Row],[Desired Result]]=Validation[[#This Row],[Result]]</f>
        <v>1</v>
      </c>
      <c r="W1231" t="b">
        <v>1</v>
      </c>
      <c r="X1231" t="b">
        <f>Validation[[#This Row],[Range1_Low]]&gt;=Validation[[#This Row],[Range1_High]]</f>
        <v>0</v>
      </c>
      <c r="Y1231" s="111" t="s">
        <v>2843</v>
      </c>
    </row>
    <row r="1232" spans="1:25" ht="15.75" thickTop="1" x14ac:dyDescent="0.25">
      <c r="A1232" t="s">
        <v>54</v>
      </c>
      <c r="B1232" t="s">
        <v>46</v>
      </c>
      <c r="C1232">
        <v>0</v>
      </c>
      <c r="D1232">
        <v>3.3000999999999999E-4</v>
      </c>
      <c r="E1232">
        <v>1E-3</v>
      </c>
      <c r="F1232" t="s">
        <v>13</v>
      </c>
      <c r="G1232" t="s">
        <v>11</v>
      </c>
      <c r="H1232">
        <v>0</v>
      </c>
      <c r="I1232">
        <v>0</v>
      </c>
      <c r="J1232" t="s">
        <v>2833</v>
      </c>
      <c r="K1232">
        <v>580</v>
      </c>
      <c r="L1232">
        <v>2.8251999999999999E-2</v>
      </c>
      <c r="M1232">
        <v>580</v>
      </c>
      <c r="N1232">
        <v>1.5719E-2</v>
      </c>
      <c r="O1232" t="s">
        <v>2833</v>
      </c>
      <c r="P1232" t="s">
        <v>2833</v>
      </c>
      <c r="Q1232" t="s">
        <v>2833</v>
      </c>
      <c r="R1232">
        <f ca="1">RAND()*(Validation[[#This Row],[Range1_High]]-Validation[[#This Row],[Range1_Low]])+Validation[[#This Row],[Range1_Low]]</f>
        <v>2.6703444367260162E-4</v>
      </c>
      <c r="S1232">
        <f>Validation[[#This Row],[Range2_High]]</f>
        <v>0</v>
      </c>
      <c r="T1232" t="str" cm="1">
        <f t="array" aca="1" ref="T1232" ca="1">RoundToTwoSigFigs(Validation[[#This Row],[Test Reading]]*Validation[[#This Row],[Mult]]+Validation[[#This Row],[Base]]) &amp;" "&amp;Validation[[#This Row],[Uncert_Units]]</f>
        <v>580 µA</v>
      </c>
      <c r="U1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232" t="b">
        <f ca="1">Validation[[#This Row],[Desired Result]]=Validation[[#This Row],[Result]]</f>
        <v>1</v>
      </c>
      <c r="W1232" t="b">
        <v>0</v>
      </c>
      <c r="X1232" t="b">
        <f>Validation[[#This Row],[Range1_Low]]&gt;=Validation[[#This Row],[Range1_High]]</f>
        <v>0</v>
      </c>
      <c r="Y1232" s="111" t="s">
        <v>2845</v>
      </c>
    </row>
    <row r="1233" spans="1:25" ht="15.75" thickBot="1" x14ac:dyDescent="0.3">
      <c r="A1233" t="s">
        <v>55</v>
      </c>
      <c r="B1233" t="s">
        <v>46</v>
      </c>
      <c r="C1233">
        <v>9.9999999999999995E-7</v>
      </c>
      <c r="D1233">
        <v>1.0000000000000001E-5</v>
      </c>
      <c r="E1233">
        <v>9.9999999999999995E-8</v>
      </c>
      <c r="F1233" t="s">
        <v>13</v>
      </c>
      <c r="G1233" t="s">
        <v>70</v>
      </c>
      <c r="H1233">
        <v>0</v>
      </c>
      <c r="I1233">
        <v>0</v>
      </c>
      <c r="J1233" t="s">
        <v>2833</v>
      </c>
      <c r="K1233">
        <v>57.735999999999997</v>
      </c>
      <c r="L1233">
        <v>113.04</v>
      </c>
      <c r="M1233">
        <v>57.734999999999999</v>
      </c>
      <c r="N1233">
        <v>113.04</v>
      </c>
      <c r="O1233" t="s">
        <v>2833</v>
      </c>
      <c r="P1233" t="s">
        <v>2833</v>
      </c>
      <c r="Q1233" t="s">
        <v>2833</v>
      </c>
      <c r="R1233">
        <f ca="1">RAND()*(Validation[[#This Row],[Range1_High]]-Validation[[#This Row],[Range1_Low]])+Validation[[#This Row],[Range1_Low]]</f>
        <v>8.5372641191876156E-6</v>
      </c>
      <c r="S1233">
        <f>Validation[[#This Row],[Range2_High]]</f>
        <v>0</v>
      </c>
      <c r="T1233" t="str" cm="1">
        <f t="array" aca="1" ref="T1233" ca="1">RoundToTwoSigFigs(Validation[[#This Row],[Test Reading]]*Validation[[#This Row],[Mult]]+Validation[[#This Row],[Base]]) &amp;" "&amp;Validation[[#This Row],[Uncert_Units]]</f>
        <v>58 nA</v>
      </c>
      <c r="U1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V1233" t="b">
        <f ca="1">Validation[[#This Row],[Desired Result]]=Validation[[#This Row],[Result]]</f>
        <v>1</v>
      </c>
      <c r="W1233" t="b">
        <v>0</v>
      </c>
      <c r="X1233" t="b">
        <f>Validation[[#This Row],[Range1_Low]]&gt;=Validation[[#This Row],[Range1_High]]</f>
        <v>0</v>
      </c>
      <c r="Y1233" s="111" t="s">
        <v>2845</v>
      </c>
    </row>
    <row r="1234" spans="1:25" ht="16.5" thickTop="1" thickBot="1" x14ac:dyDescent="0.3">
      <c r="A1234" t="s">
        <v>68</v>
      </c>
      <c r="B1234" t="s">
        <v>46</v>
      </c>
      <c r="C1234" s="113">
        <v>1E-3</v>
      </c>
      <c r="D1234" s="113">
        <v>0.01</v>
      </c>
      <c r="E1234">
        <v>1.0000000000000001E-5</v>
      </c>
      <c r="F1234" t="s">
        <v>13</v>
      </c>
      <c r="G1234" t="s">
        <v>11</v>
      </c>
      <c r="H1234">
        <v>0</v>
      </c>
      <c r="I1234">
        <v>0</v>
      </c>
      <c r="J1234" t="s">
        <v>2833</v>
      </c>
      <c r="K1234">
        <v>5.8079000000000001</v>
      </c>
      <c r="L1234">
        <v>159.28</v>
      </c>
      <c r="M1234">
        <v>5.8074000000000003</v>
      </c>
      <c r="N1234">
        <v>159.22999999999999</v>
      </c>
      <c r="O1234" t="s">
        <v>2833</v>
      </c>
      <c r="P1234" t="s">
        <v>2833</v>
      </c>
      <c r="Q1234" t="s">
        <v>2833</v>
      </c>
      <c r="R1234">
        <f ca="1">RAND()*(Validation[[#This Row],[Range1_High]]-Validation[[#This Row],[Range1_Low]])+Validation[[#This Row],[Range1_Low]]</f>
        <v>8.5347966048387441E-3</v>
      </c>
      <c r="S1234">
        <f>Validation[[#This Row],[Range2_High]]</f>
        <v>0</v>
      </c>
      <c r="T1234" t="str" cm="1">
        <f t="array" aca="1" ref="T1234" ca="1">RoundToTwoSigFigs(Validation[[#This Row],[Test Reading]]*Validation[[#This Row],[Mult]]+Validation[[#This Row],[Base]]) &amp;" "&amp;Validation[[#This Row],[Uncert_Units]]</f>
        <v>7.2 µA</v>
      </c>
      <c r="U1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V1234" t="b">
        <f ca="1">Validation[[#This Row],[Desired Result]]=Validation[[#This Row],[Result]]</f>
        <v>1</v>
      </c>
      <c r="W1234" t="b">
        <v>1</v>
      </c>
      <c r="X1234" t="b">
        <f>Validation[[#This Row],[Range1_Low]]&gt;=Validation[[#This Row],[Range1_High]]</f>
        <v>0</v>
      </c>
      <c r="Y1234" s="111" t="s">
        <v>2843</v>
      </c>
    </row>
    <row r="1235" spans="1:25" ht="16.5" thickTop="1" thickBot="1" x14ac:dyDescent="0.3">
      <c r="A1235" t="s">
        <v>68</v>
      </c>
      <c r="B1235" t="s">
        <v>46</v>
      </c>
      <c r="C1235" s="113">
        <v>0.1</v>
      </c>
      <c r="D1235" s="113">
        <v>1</v>
      </c>
      <c r="E1235">
        <v>1E-4</v>
      </c>
      <c r="F1235" t="s">
        <v>13</v>
      </c>
      <c r="G1235" t="s">
        <v>11</v>
      </c>
      <c r="H1235">
        <v>0</v>
      </c>
      <c r="I1235">
        <v>0</v>
      </c>
      <c r="J1235" t="s">
        <v>2833</v>
      </c>
      <c r="K1235">
        <v>181.28</v>
      </c>
      <c r="L1235">
        <v>360.03</v>
      </c>
      <c r="M1235">
        <v>181.24</v>
      </c>
      <c r="N1235">
        <v>360.03</v>
      </c>
      <c r="O1235" t="s">
        <v>2833</v>
      </c>
      <c r="P1235" t="s">
        <v>2833</v>
      </c>
      <c r="Q1235" t="s">
        <v>2833</v>
      </c>
      <c r="R1235">
        <f ca="1">RAND()*(Validation[[#This Row],[Range1_High]]-Validation[[#This Row],[Range1_Low]])+Validation[[#This Row],[Range1_Low]]</f>
        <v>0.85320211009444991</v>
      </c>
      <c r="S1235">
        <f>Validation[[#This Row],[Range2_High]]</f>
        <v>0</v>
      </c>
      <c r="T1235" t="str" cm="1">
        <f t="array" aca="1" ref="T1235" ca="1">RoundToTwoSigFigs(Validation[[#This Row],[Test Reading]]*Validation[[#This Row],[Mult]]+Validation[[#This Row],[Base]]) &amp;" "&amp;Validation[[#This Row],[Uncert_Units]]</f>
        <v>490 µA</v>
      </c>
      <c r="U1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µA</v>
      </c>
      <c r="V1235" t="b">
        <f ca="1">Validation[[#This Row],[Desired Result]]=Validation[[#This Row],[Result]]</f>
        <v>1</v>
      </c>
      <c r="W1235" t="b">
        <v>1</v>
      </c>
      <c r="X1235" t="b">
        <f>Validation[[#This Row],[Range1_Low]]&gt;=Validation[[#This Row],[Range1_High]]</f>
        <v>0</v>
      </c>
      <c r="Y1235" s="111" t="s">
        <v>2843</v>
      </c>
    </row>
    <row r="1236" spans="1:25" ht="16.5" thickTop="1" thickBot="1" x14ac:dyDescent="0.3">
      <c r="A1236" t="s">
        <v>54</v>
      </c>
      <c r="B1236" t="s">
        <v>46</v>
      </c>
      <c r="C1236">
        <v>0</v>
      </c>
      <c r="D1236">
        <v>3.3000999999999999E-4</v>
      </c>
      <c r="E1236">
        <v>0.1</v>
      </c>
      <c r="F1236" t="s">
        <v>13</v>
      </c>
      <c r="G1236" t="s">
        <v>12</v>
      </c>
      <c r="H1236">
        <v>0</v>
      </c>
      <c r="I1236">
        <v>0</v>
      </c>
      <c r="J1236" t="s">
        <v>2833</v>
      </c>
      <c r="K1236">
        <v>58</v>
      </c>
      <c r="L1236">
        <v>2.1625E-6</v>
      </c>
      <c r="M1236">
        <v>58</v>
      </c>
      <c r="N1236">
        <v>1.572E-7</v>
      </c>
      <c r="O1236" t="s">
        <v>2833</v>
      </c>
      <c r="P1236" t="s">
        <v>2833</v>
      </c>
      <c r="Q1236" t="s">
        <v>2833</v>
      </c>
      <c r="R1236">
        <f ca="1">RAND()*(Validation[[#This Row],[Range1_High]]-Validation[[#This Row],[Range1_Low]])+Validation[[#This Row],[Range1_Low]]</f>
        <v>1.8949331762340088E-4</v>
      </c>
      <c r="S1236">
        <f>Validation[[#This Row],[Range2_High]]</f>
        <v>0</v>
      </c>
      <c r="T1236" t="str" cm="1">
        <f t="array" aca="1" ref="T1236" ca="1">RoundToTwoSigFigs(Validation[[#This Row],[Test Reading]]*Validation[[#This Row],[Mult]]+Validation[[#This Row],[Base]]) &amp;" "&amp;Validation[[#This Row],[Uncert_Units]]</f>
        <v>58 mA</v>
      </c>
      <c r="U1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1236" t="b">
        <f ca="1">Validation[[#This Row],[Desired Result]]=Validation[[#This Row],[Result]]</f>
        <v>1</v>
      </c>
      <c r="W1236" t="b">
        <v>0</v>
      </c>
      <c r="X1236" t="b">
        <f>Validation[[#This Row],[Range1_Low]]&gt;=Validation[[#This Row],[Range1_High]]</f>
        <v>0</v>
      </c>
      <c r="Y1236" s="111" t="s">
        <v>2845</v>
      </c>
    </row>
    <row r="1237" spans="1:25" ht="16.5" thickTop="1" thickBot="1" x14ac:dyDescent="0.3">
      <c r="A1237" t="s">
        <v>54</v>
      </c>
      <c r="B1237" t="s">
        <v>46</v>
      </c>
      <c r="C1237" s="113">
        <v>11</v>
      </c>
      <c r="D1237" s="113">
        <v>20.5</v>
      </c>
      <c r="E1237">
        <v>0.1</v>
      </c>
      <c r="F1237" t="s">
        <v>13</v>
      </c>
      <c r="G1237" t="s">
        <v>12</v>
      </c>
      <c r="H1237">
        <v>0</v>
      </c>
      <c r="I1237">
        <v>0</v>
      </c>
      <c r="J1237" t="s">
        <v>2833</v>
      </c>
      <c r="K1237">
        <v>55.899000000000001</v>
      </c>
      <c r="L1237">
        <v>0.35962</v>
      </c>
      <c r="M1237">
        <v>55.915999999999997</v>
      </c>
      <c r="N1237">
        <v>0.35746</v>
      </c>
      <c r="O1237" t="s">
        <v>2833</v>
      </c>
      <c r="P1237" t="s">
        <v>2833</v>
      </c>
      <c r="Q1237" t="s">
        <v>2833</v>
      </c>
      <c r="R1237">
        <f ca="1">RAND()*(Validation[[#This Row],[Range1_High]]-Validation[[#This Row],[Range1_Low]])+Validation[[#This Row],[Range1_Low]]</f>
        <v>13.163755818758718</v>
      </c>
      <c r="S1237">
        <f>Validation[[#This Row],[Range2_High]]</f>
        <v>0</v>
      </c>
      <c r="T1237" t="str" cm="1">
        <f t="array" aca="1" ref="T1237" ca="1">RoundToTwoSigFigs(Validation[[#This Row],[Test Reading]]*Validation[[#This Row],[Mult]]+Validation[[#This Row],[Base]]) &amp;" "&amp;Validation[[#This Row],[Uncert_Units]]</f>
        <v>61 mA</v>
      </c>
      <c r="U1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V1237" t="b">
        <f ca="1">Validation[[#This Row],[Desired Result]]=Validation[[#This Row],[Result]]</f>
        <v>1</v>
      </c>
      <c r="W1237" t="b">
        <v>1</v>
      </c>
      <c r="X1237" t="b">
        <f>Validation[[#This Row],[Range1_Low]]&gt;=Validation[[#This Row],[Range1_High]]</f>
        <v>0</v>
      </c>
      <c r="Y1237" s="111" t="s">
        <v>2843</v>
      </c>
    </row>
    <row r="1238" spans="1:25" ht="16.5" thickTop="1" thickBot="1" x14ac:dyDescent="0.3">
      <c r="A1238" t="s">
        <v>54</v>
      </c>
      <c r="B1238" t="s">
        <v>46</v>
      </c>
      <c r="C1238">
        <v>3.3E-4</v>
      </c>
      <c r="D1238">
        <v>3.3000999999999998E-3</v>
      </c>
      <c r="E1238">
        <v>9.9999999999999995E-7</v>
      </c>
      <c r="F1238" t="s">
        <v>13</v>
      </c>
      <c r="G1238" t="s">
        <v>11</v>
      </c>
      <c r="H1238">
        <v>0</v>
      </c>
      <c r="I1238">
        <v>0</v>
      </c>
      <c r="J1238" t="s">
        <v>2833</v>
      </c>
      <c r="K1238">
        <v>0.56791999999999998</v>
      </c>
      <c r="L1238">
        <v>73.551000000000002</v>
      </c>
      <c r="M1238">
        <v>0.56576000000000004</v>
      </c>
      <c r="N1238">
        <v>73.311999999999998</v>
      </c>
      <c r="O1238" t="s">
        <v>2833</v>
      </c>
      <c r="P1238" t="s">
        <v>2833</v>
      </c>
      <c r="Q1238" t="s">
        <v>2833</v>
      </c>
      <c r="R1238">
        <f ca="1">RAND()*(Validation[[#This Row],[Range1_High]]-Validation[[#This Row],[Range1_Low]])+Validation[[#This Row],[Range1_Low]]</f>
        <v>8.3111827669435378E-4</v>
      </c>
      <c r="S1238">
        <f>Validation[[#This Row],[Range2_High]]</f>
        <v>0</v>
      </c>
      <c r="T1238" t="str" cm="1">
        <f t="array" aca="1" ref="T1238" ca="1">RoundToTwoSigFigs(Validation[[#This Row],[Test Reading]]*Validation[[#This Row],[Mult]]+Validation[[#This Row],[Base]]) &amp;" "&amp;Validation[[#This Row],[Uncert_Units]]</f>
        <v>0.63 µA</v>
      </c>
      <c r="U1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µA</v>
      </c>
      <c r="V1238" t="b">
        <f ca="1">Validation[[#This Row],[Desired Result]]=Validation[[#This Row],[Result]]</f>
        <v>1</v>
      </c>
      <c r="W1238" t="b">
        <v>0</v>
      </c>
      <c r="X1238" t="b">
        <f>Validation[[#This Row],[Range1_Low]]&gt;=Validation[[#This Row],[Range1_High]]</f>
        <v>0</v>
      </c>
      <c r="Y1238" s="111" t="s">
        <v>2845</v>
      </c>
    </row>
    <row r="1239" spans="1:25" ht="16.5" thickTop="1" thickBot="1" x14ac:dyDescent="0.3">
      <c r="A1239" t="s">
        <v>68</v>
      </c>
      <c r="B1239" t="s">
        <v>46</v>
      </c>
      <c r="C1239" s="113">
        <v>1</v>
      </c>
      <c r="D1239" s="113">
        <v>10.199999999999999</v>
      </c>
      <c r="E1239">
        <v>0.01</v>
      </c>
      <c r="F1239" t="s">
        <v>13</v>
      </c>
      <c r="G1239" t="s">
        <v>11</v>
      </c>
      <c r="H1239">
        <v>0</v>
      </c>
      <c r="I1239">
        <v>0</v>
      </c>
      <c r="J1239" t="s">
        <v>2833</v>
      </c>
      <c r="K1239">
        <v>5.8935000000000004</v>
      </c>
      <c r="L1239">
        <v>0.56293000000000004</v>
      </c>
      <c r="M1239">
        <v>6.0655000000000001</v>
      </c>
      <c r="N1239">
        <v>0.39036999999999999</v>
      </c>
      <c r="O1239" t="s">
        <v>2833</v>
      </c>
      <c r="P1239" t="s">
        <v>2833</v>
      </c>
      <c r="Q1239" t="s">
        <v>2833</v>
      </c>
      <c r="R1239">
        <f ca="1">RAND()*(Validation[[#This Row],[Range1_High]]-Validation[[#This Row],[Range1_Low]])+Validation[[#This Row],[Range1_Low]]</f>
        <v>1.5770291061400148</v>
      </c>
      <c r="S1239">
        <f>Validation[[#This Row],[Range2_High]]</f>
        <v>0</v>
      </c>
      <c r="T1239" t="str" cm="1">
        <f t="array" aca="1" ref="T1239" ca="1">RoundToTwoSigFigs(Validation[[#This Row],[Test Reading]]*Validation[[#This Row],[Mult]]+Validation[[#This Row],[Base]]) &amp;" "&amp;Validation[[#This Row],[Uncert_Units]]</f>
        <v>6.8 µA</v>
      </c>
      <c r="U1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V1239" t="b">
        <f ca="1">Validation[[#This Row],[Desired Result]]=Validation[[#This Row],[Result]]</f>
        <v>1</v>
      </c>
      <c r="W1239" t="b">
        <v>1</v>
      </c>
      <c r="X1239" t="b">
        <f>Validation[[#This Row],[Range1_Low]]&gt;=Validation[[#This Row],[Range1_High]]</f>
        <v>0</v>
      </c>
      <c r="Y1239" s="111" t="s">
        <v>2843</v>
      </c>
    </row>
    <row r="1240" spans="1:25" ht="16.5" thickTop="1" thickBot="1" x14ac:dyDescent="0.3">
      <c r="A1240" t="s">
        <v>54</v>
      </c>
      <c r="B1240" t="s">
        <v>46</v>
      </c>
      <c r="C1240" s="113">
        <v>3.3E-4</v>
      </c>
      <c r="D1240" s="113">
        <v>3.3000999999999998E-3</v>
      </c>
      <c r="E1240">
        <v>1E-8</v>
      </c>
      <c r="F1240" t="s">
        <v>13</v>
      </c>
      <c r="G1240" t="s">
        <v>11</v>
      </c>
      <c r="H1240">
        <v>0</v>
      </c>
      <c r="I1240">
        <v>0</v>
      </c>
      <c r="J1240" t="s">
        <v>2833</v>
      </c>
      <c r="K1240">
        <v>6.8000000000000005E-2</v>
      </c>
      <c r="L1240">
        <v>150</v>
      </c>
      <c r="M1240">
        <v>5.7598000000000003E-2</v>
      </c>
      <c r="N1240">
        <v>152.88999999999999</v>
      </c>
      <c r="O1240" t="s">
        <v>2833</v>
      </c>
      <c r="P1240" t="s">
        <v>2833</v>
      </c>
      <c r="Q1240" t="s">
        <v>2833</v>
      </c>
      <c r="R1240">
        <f ca="1">RAND()*(Validation[[#This Row],[Range1_High]]-Validation[[#This Row],[Range1_Low]])+Validation[[#This Row],[Range1_Low]]</f>
        <v>3.1143315922160168E-3</v>
      </c>
      <c r="S1240">
        <f>Validation[[#This Row],[Range2_High]]</f>
        <v>0</v>
      </c>
      <c r="T1240" t="str" cm="1">
        <f t="array" aca="1" ref="T1240" ca="1">RoundToTwoSigFigs(Validation[[#This Row],[Test Reading]]*Validation[[#This Row],[Mult]]+Validation[[#This Row],[Base]]) &amp;" "&amp;Validation[[#This Row],[Uncert_Units]]</f>
        <v>0.54 µA</v>
      </c>
      <c r="U1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V1240" t="b">
        <f ca="1">Validation[[#This Row],[Desired Result]]=Validation[[#This Row],[Result]]</f>
        <v>1</v>
      </c>
      <c r="W1240" t="b">
        <v>1</v>
      </c>
      <c r="X1240" t="b">
        <f>Validation[[#This Row],[Range1_Low]]&gt;=Validation[[#This Row],[Range1_High]]</f>
        <v>0</v>
      </c>
      <c r="Y1240" s="111" t="s">
        <v>2843</v>
      </c>
    </row>
    <row r="1241" spans="1:25" ht="16.5" thickTop="1" thickBot="1" x14ac:dyDescent="0.3">
      <c r="A1241" t="s">
        <v>68</v>
      </c>
      <c r="B1241" t="s">
        <v>46</v>
      </c>
      <c r="C1241">
        <v>0.01</v>
      </c>
      <c r="D1241">
        <v>0.1</v>
      </c>
      <c r="E1241">
        <v>1E-3</v>
      </c>
      <c r="F1241" t="s">
        <v>13</v>
      </c>
      <c r="G1241" t="s">
        <v>11</v>
      </c>
      <c r="H1241">
        <v>0</v>
      </c>
      <c r="I1241">
        <v>0</v>
      </c>
      <c r="J1241" t="s">
        <v>2833</v>
      </c>
      <c r="K1241">
        <v>577.37</v>
      </c>
      <c r="L1241">
        <v>18.559999999999999</v>
      </c>
      <c r="M1241">
        <v>577.37</v>
      </c>
      <c r="N1241">
        <v>18.527999999999999</v>
      </c>
      <c r="O1241" t="s">
        <v>2833</v>
      </c>
      <c r="P1241" t="s">
        <v>2833</v>
      </c>
      <c r="Q1241" t="s">
        <v>2833</v>
      </c>
      <c r="R1241">
        <f ca="1">RAND()*(Validation[[#This Row],[Range1_High]]-Validation[[#This Row],[Range1_Low]])+Validation[[#This Row],[Range1_Low]]</f>
        <v>3.3402073001174065E-2</v>
      </c>
      <c r="S1241">
        <f>Validation[[#This Row],[Range2_High]]</f>
        <v>0</v>
      </c>
      <c r="T1241" t="str" cm="1">
        <f t="array" aca="1" ref="T1241" ca="1">RoundToTwoSigFigs(Validation[[#This Row],[Test Reading]]*Validation[[#This Row],[Mult]]+Validation[[#This Row],[Base]]) &amp;" "&amp;Validation[[#This Row],[Uncert_Units]]</f>
        <v>580 µA</v>
      </c>
      <c r="U1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241" t="b">
        <f ca="1">Validation[[#This Row],[Desired Result]]=Validation[[#This Row],[Result]]</f>
        <v>1</v>
      </c>
      <c r="W1241" t="b">
        <v>0</v>
      </c>
      <c r="X1241" t="b">
        <f>Validation[[#This Row],[Range1_Low]]&gt;=Validation[[#This Row],[Range1_High]]</f>
        <v>0</v>
      </c>
      <c r="Y1241" s="111" t="s">
        <v>2845</v>
      </c>
    </row>
    <row r="1242" spans="1:25" ht="16.5" thickTop="1" thickBot="1" x14ac:dyDescent="0.3">
      <c r="A1242" t="s">
        <v>55</v>
      </c>
      <c r="B1242" t="s">
        <v>46</v>
      </c>
      <c r="C1242" s="113">
        <v>1.0000000000000001E-5</v>
      </c>
      <c r="D1242" s="113">
        <v>1E-4</v>
      </c>
      <c r="E1242">
        <v>1.0000000000000001E-9</v>
      </c>
      <c r="F1242" t="s">
        <v>13</v>
      </c>
      <c r="G1242" t="s">
        <v>70</v>
      </c>
      <c r="H1242">
        <v>0</v>
      </c>
      <c r="I1242">
        <v>0</v>
      </c>
      <c r="J1242" t="s">
        <v>2833</v>
      </c>
      <c r="K1242">
        <v>0.47123999999999999</v>
      </c>
      <c r="L1242">
        <v>20574</v>
      </c>
      <c r="M1242">
        <v>0.46866000000000002</v>
      </c>
      <c r="N1242">
        <v>20574</v>
      </c>
      <c r="O1242" t="s">
        <v>2833</v>
      </c>
      <c r="P1242" t="s">
        <v>2833</v>
      </c>
      <c r="Q1242" t="s">
        <v>2833</v>
      </c>
      <c r="R1242">
        <f ca="1">RAND()*(Validation[[#This Row],[Range1_High]]-Validation[[#This Row],[Range1_Low]])+Validation[[#This Row],[Range1_Low]]</f>
        <v>1.7900744778861489E-5</v>
      </c>
      <c r="S1242">
        <f>Validation[[#This Row],[Range2_High]]</f>
        <v>0</v>
      </c>
      <c r="T1242" t="str" cm="1">
        <f t="array" aca="1" ref="T1242" ca="1">RoundToTwoSigFigs(Validation[[#This Row],[Test Reading]]*Validation[[#This Row],[Mult]]+Validation[[#This Row],[Base]]) &amp;" "&amp;Validation[[#This Row],[Uncert_Units]]</f>
        <v>0.84 nA</v>
      </c>
      <c r="U1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nA</v>
      </c>
      <c r="V1242" t="b">
        <f ca="1">Validation[[#This Row],[Desired Result]]=Validation[[#This Row],[Result]]</f>
        <v>1</v>
      </c>
      <c r="W1242" t="b">
        <v>1</v>
      </c>
      <c r="X1242" t="b">
        <f>Validation[[#This Row],[Range1_Low]]&gt;=Validation[[#This Row],[Range1_High]]</f>
        <v>0</v>
      </c>
      <c r="Y1242" s="111" t="s">
        <v>2843</v>
      </c>
    </row>
    <row r="1243" spans="1:25" ht="16.5" thickTop="1" thickBot="1" x14ac:dyDescent="0.3">
      <c r="A1243" t="s">
        <v>68</v>
      </c>
      <c r="B1243" t="s">
        <v>46</v>
      </c>
      <c r="C1243" s="113">
        <v>1E-3</v>
      </c>
      <c r="D1243" s="113">
        <v>0.01</v>
      </c>
      <c r="E1243">
        <v>9.9999999999999995E-8</v>
      </c>
      <c r="F1243" t="s">
        <v>13</v>
      </c>
      <c r="G1243" t="s">
        <v>11</v>
      </c>
      <c r="H1243">
        <v>0</v>
      </c>
      <c r="I1243">
        <v>0</v>
      </c>
      <c r="J1243" t="s">
        <v>2833</v>
      </c>
      <c r="K1243">
        <v>1.2</v>
      </c>
      <c r="L1243">
        <v>350</v>
      </c>
      <c r="M1243">
        <v>1.1597</v>
      </c>
      <c r="N1243">
        <v>346.89</v>
      </c>
      <c r="O1243" t="s">
        <v>2833</v>
      </c>
      <c r="P1243" t="s">
        <v>2833</v>
      </c>
      <c r="Q1243" t="s">
        <v>2833</v>
      </c>
      <c r="R1243">
        <f ca="1">RAND()*(Validation[[#This Row],[Range1_High]]-Validation[[#This Row],[Range1_Low]])+Validation[[#This Row],[Range1_Low]]</f>
        <v>2.3252880559684087E-3</v>
      </c>
      <c r="S1243">
        <f>Validation[[#This Row],[Range2_High]]</f>
        <v>0</v>
      </c>
      <c r="T1243" t="str" cm="1">
        <f t="array" aca="1" ref="T1243" ca="1">RoundToTwoSigFigs(Validation[[#This Row],[Test Reading]]*Validation[[#This Row],[Mult]]+Validation[[#This Row],[Base]]) &amp;" "&amp;Validation[[#This Row],[Uncert_Units]]</f>
        <v>2 µA</v>
      </c>
      <c r="U1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V1243" t="b">
        <f ca="1">Validation[[#This Row],[Desired Result]]=Validation[[#This Row],[Result]]</f>
        <v>1</v>
      </c>
      <c r="W1243" t="b">
        <v>1</v>
      </c>
      <c r="X1243" t="b">
        <f>Validation[[#This Row],[Range1_Low]]&gt;=Validation[[#This Row],[Range1_High]]</f>
        <v>0</v>
      </c>
      <c r="Y1243" s="111" t="s">
        <v>2843</v>
      </c>
    </row>
    <row r="1244" spans="1:25" ht="15.75" thickTop="1" x14ac:dyDescent="0.25">
      <c r="A1244" t="s">
        <v>54</v>
      </c>
      <c r="B1244" t="s">
        <v>46</v>
      </c>
      <c r="C1244">
        <v>3.3000000000000002E-2</v>
      </c>
      <c r="D1244">
        <v>0.33001000000000003</v>
      </c>
      <c r="E1244">
        <v>1E-4</v>
      </c>
      <c r="F1244" t="s">
        <v>13</v>
      </c>
      <c r="G1244" t="s">
        <v>11</v>
      </c>
      <c r="H1244">
        <v>0</v>
      </c>
      <c r="I1244">
        <v>0</v>
      </c>
      <c r="J1244" t="s">
        <v>2833</v>
      </c>
      <c r="K1244">
        <v>56.994999999999997</v>
      </c>
      <c r="L1244">
        <v>42.585000000000001</v>
      </c>
      <c r="M1244">
        <v>56.984000000000002</v>
      </c>
      <c r="N1244">
        <v>42.551000000000002</v>
      </c>
      <c r="O1244" t="s">
        <v>2833</v>
      </c>
      <c r="P1244" t="s">
        <v>2833</v>
      </c>
      <c r="Q1244" t="s">
        <v>2833</v>
      </c>
      <c r="R1244">
        <f ca="1">RAND()*(Validation[[#This Row],[Range1_High]]-Validation[[#This Row],[Range1_Low]])+Validation[[#This Row],[Range1_Low]]</f>
        <v>0.21026426976778045</v>
      </c>
      <c r="S1244">
        <f>Validation[[#This Row],[Range2_High]]</f>
        <v>0</v>
      </c>
      <c r="T1244" t="str" cm="1">
        <f t="array" aca="1" ref="T1244" ca="1">RoundToTwoSigFigs(Validation[[#This Row],[Test Reading]]*Validation[[#This Row],[Mult]]+Validation[[#This Row],[Base]]) &amp;" "&amp;Validation[[#This Row],[Uncert_Units]]</f>
        <v>66 µA</v>
      </c>
      <c r="U1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V1244" t="b">
        <f ca="1">Validation[[#This Row],[Desired Result]]=Validation[[#This Row],[Result]]</f>
        <v>1</v>
      </c>
      <c r="W1244" t="b">
        <v>0</v>
      </c>
      <c r="X1244" t="b">
        <f>Validation[[#This Row],[Range1_Low]]&gt;=Validation[[#This Row],[Range1_High]]</f>
        <v>0</v>
      </c>
      <c r="Y1244" s="111" t="s">
        <v>2845</v>
      </c>
    </row>
    <row r="1245" spans="1:25" ht="15.75" thickBot="1" x14ac:dyDescent="0.3">
      <c r="A1245" t="s">
        <v>55</v>
      </c>
      <c r="B1245" t="s">
        <v>46</v>
      </c>
      <c r="C1245">
        <v>9.9999999999999995E-8</v>
      </c>
      <c r="D1245">
        <v>9.9999999999999995E-7</v>
      </c>
      <c r="E1245">
        <v>9.9999999999999995E-8</v>
      </c>
      <c r="F1245" t="s">
        <v>13</v>
      </c>
      <c r="G1245" t="s">
        <v>70</v>
      </c>
      <c r="H1245">
        <v>0</v>
      </c>
      <c r="I1245">
        <v>0</v>
      </c>
      <c r="J1245" t="s">
        <v>2833</v>
      </c>
      <c r="K1245">
        <v>57.735999999999997</v>
      </c>
      <c r="L1245">
        <v>25.681999999999999</v>
      </c>
      <c r="M1245">
        <v>57.735999999999997</v>
      </c>
      <c r="N1245">
        <v>25.681999999999999</v>
      </c>
      <c r="O1245" t="s">
        <v>2833</v>
      </c>
      <c r="P1245" t="s">
        <v>2833</v>
      </c>
      <c r="Q1245" t="s">
        <v>2833</v>
      </c>
      <c r="R1245">
        <f ca="1">RAND()*(Validation[[#This Row],[Range1_High]]-Validation[[#This Row],[Range1_Low]])+Validation[[#This Row],[Range1_Low]]</f>
        <v>8.2836055465402149E-7</v>
      </c>
      <c r="S1245">
        <f>Validation[[#This Row],[Range2_High]]</f>
        <v>0</v>
      </c>
      <c r="T1245" t="str" cm="1">
        <f t="array" aca="1" ref="T1245" ca="1">RoundToTwoSigFigs(Validation[[#This Row],[Test Reading]]*Validation[[#This Row],[Mult]]+Validation[[#This Row],[Base]]) &amp;" "&amp;Validation[[#This Row],[Uncert_Units]]</f>
        <v>58 nA</v>
      </c>
      <c r="U1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V1245" t="b">
        <f ca="1">Validation[[#This Row],[Desired Result]]=Validation[[#This Row],[Result]]</f>
        <v>1</v>
      </c>
      <c r="W1245" t="b">
        <v>0</v>
      </c>
      <c r="X1245" t="b">
        <f>Validation[[#This Row],[Range1_Low]]&gt;=Validation[[#This Row],[Range1_High]]</f>
        <v>0</v>
      </c>
      <c r="Y1245" s="111" t="s">
        <v>2845</v>
      </c>
    </row>
    <row r="1246" spans="1:25" ht="16.5" thickTop="1" thickBot="1" x14ac:dyDescent="0.3">
      <c r="A1246" t="s">
        <v>54</v>
      </c>
      <c r="B1246" t="s">
        <v>46</v>
      </c>
      <c r="C1246" s="113">
        <v>11</v>
      </c>
      <c r="D1246" s="113">
        <v>20.5</v>
      </c>
      <c r="E1246">
        <v>1E-4</v>
      </c>
      <c r="F1246" t="s">
        <v>13</v>
      </c>
      <c r="G1246" t="s">
        <v>12</v>
      </c>
      <c r="H1246">
        <v>0</v>
      </c>
      <c r="I1246">
        <v>0</v>
      </c>
      <c r="J1246" t="s">
        <v>2833</v>
      </c>
      <c r="K1246">
        <v>2.7</v>
      </c>
      <c r="L1246">
        <v>1.1000000000000001</v>
      </c>
      <c r="M1246">
        <v>2.6473</v>
      </c>
      <c r="N1246">
        <v>1.1008</v>
      </c>
      <c r="O1246" t="s">
        <v>2833</v>
      </c>
      <c r="P1246" t="s">
        <v>2833</v>
      </c>
      <c r="Q1246" t="s">
        <v>2833</v>
      </c>
      <c r="R1246">
        <f ca="1">RAND()*(Validation[[#This Row],[Range1_High]]-Validation[[#This Row],[Range1_Low]])+Validation[[#This Row],[Range1_Low]]</f>
        <v>11.342534242531078</v>
      </c>
      <c r="S1246">
        <f>Validation[[#This Row],[Range2_High]]</f>
        <v>0</v>
      </c>
      <c r="T1246" t="str" cm="1">
        <f t="array" aca="1" ref="T1246" ca="1">RoundToTwoSigFigs(Validation[[#This Row],[Test Reading]]*Validation[[#This Row],[Mult]]+Validation[[#This Row],[Base]]) &amp;" "&amp;Validation[[#This Row],[Uncert_Units]]</f>
        <v>15 mA</v>
      </c>
      <c r="U1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V1246" t="b">
        <f ca="1">Validation[[#This Row],[Desired Result]]=Validation[[#This Row],[Result]]</f>
        <v>1</v>
      </c>
      <c r="W1246" t="b">
        <v>1</v>
      </c>
      <c r="X1246" t="b">
        <f>Validation[[#This Row],[Range1_Low]]&gt;=Validation[[#This Row],[Range1_High]]</f>
        <v>0</v>
      </c>
      <c r="Y1246" s="111" t="s">
        <v>2843</v>
      </c>
    </row>
    <row r="1247" spans="1:25" ht="15.75" thickTop="1" x14ac:dyDescent="0.25">
      <c r="A1247" t="s">
        <v>68</v>
      </c>
      <c r="B1247" t="s">
        <v>46</v>
      </c>
      <c r="C1247">
        <v>0.1</v>
      </c>
      <c r="D1247">
        <v>1</v>
      </c>
      <c r="E1247">
        <v>0.01</v>
      </c>
      <c r="F1247" t="s">
        <v>13</v>
      </c>
      <c r="G1247" t="s">
        <v>11</v>
      </c>
      <c r="H1247">
        <v>0</v>
      </c>
      <c r="I1247">
        <v>0</v>
      </c>
      <c r="J1247" t="s">
        <v>2833</v>
      </c>
      <c r="K1247">
        <v>5775</v>
      </c>
      <c r="L1247">
        <v>23.623000000000001</v>
      </c>
      <c r="M1247">
        <v>5775</v>
      </c>
      <c r="N1247">
        <v>23.591000000000001</v>
      </c>
      <c r="O1247" t="s">
        <v>2833</v>
      </c>
      <c r="P1247" t="s">
        <v>2833</v>
      </c>
      <c r="Q1247" t="s">
        <v>2833</v>
      </c>
      <c r="R1247">
        <f ca="1">RAND()*(Validation[[#This Row],[Range1_High]]-Validation[[#This Row],[Range1_Low]])+Validation[[#This Row],[Range1_Low]]</f>
        <v>0.80365784596180034</v>
      </c>
      <c r="S1247">
        <f>Validation[[#This Row],[Range2_High]]</f>
        <v>0</v>
      </c>
      <c r="T1247" t="str" cm="1">
        <f t="array" aca="1" ref="T1247" ca="1">RoundToTwoSigFigs(Validation[[#This Row],[Test Reading]]*Validation[[#This Row],[Mult]]+Validation[[#This Row],[Base]]) &amp;" "&amp;Validation[[#This Row],[Uncert_Units]]</f>
        <v>5800 µA</v>
      </c>
      <c r="U1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247" t="b">
        <f ca="1">Validation[[#This Row],[Desired Result]]=Validation[[#This Row],[Result]]</f>
        <v>1</v>
      </c>
      <c r="W1247" t="b">
        <v>0</v>
      </c>
      <c r="X1247" t="b">
        <f>Validation[[#This Row],[Range1_Low]]&gt;=Validation[[#This Row],[Range1_High]]</f>
        <v>0</v>
      </c>
      <c r="Y1247" s="111" t="s">
        <v>2845</v>
      </c>
    </row>
    <row r="1248" spans="1:25" x14ac:dyDescent="0.25">
      <c r="A1248" t="s">
        <v>54</v>
      </c>
      <c r="B1248" t="s">
        <v>46</v>
      </c>
      <c r="C1248">
        <v>3.3000000000000002E-2</v>
      </c>
      <c r="D1248">
        <v>0.33001000000000003</v>
      </c>
      <c r="E1248">
        <v>1E-3</v>
      </c>
      <c r="F1248" t="s">
        <v>13</v>
      </c>
      <c r="G1248" t="s">
        <v>11</v>
      </c>
      <c r="H1248">
        <v>0</v>
      </c>
      <c r="I1248">
        <v>0</v>
      </c>
      <c r="J1248" t="s">
        <v>2833</v>
      </c>
      <c r="K1248">
        <v>579.89</v>
      </c>
      <c r="L1248">
        <v>4.7610000000000001</v>
      </c>
      <c r="M1248">
        <v>579.88</v>
      </c>
      <c r="N1248">
        <v>4.7411000000000003</v>
      </c>
      <c r="O1248" t="s">
        <v>2833</v>
      </c>
      <c r="P1248" t="s">
        <v>2833</v>
      </c>
      <c r="Q1248" t="s">
        <v>2833</v>
      </c>
      <c r="R1248">
        <f ca="1">RAND()*(Validation[[#This Row],[Range1_High]]-Validation[[#This Row],[Range1_Low]])+Validation[[#This Row],[Range1_Low]]</f>
        <v>0.20728538020263262</v>
      </c>
      <c r="S1248">
        <f>Validation[[#This Row],[Range2_High]]</f>
        <v>0</v>
      </c>
      <c r="T1248" t="str" cm="1">
        <f t="array" aca="1" ref="T1248" ca="1">RoundToTwoSigFigs(Validation[[#This Row],[Test Reading]]*Validation[[#This Row],[Mult]]+Validation[[#This Row],[Base]]) &amp;" "&amp;Validation[[#This Row],[Uncert_Units]]</f>
        <v>580 µA</v>
      </c>
      <c r="U1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248" t="b">
        <f ca="1">Validation[[#This Row],[Desired Result]]=Validation[[#This Row],[Result]]</f>
        <v>1</v>
      </c>
      <c r="W1248" t="b">
        <v>0</v>
      </c>
      <c r="X1248" t="b">
        <f>Validation[[#This Row],[Range1_Low]]&gt;=Validation[[#This Row],[Range1_High]]</f>
        <v>0</v>
      </c>
      <c r="Y1248" s="111" t="s">
        <v>2845</v>
      </c>
    </row>
    <row r="1249" spans="1:25" x14ac:dyDescent="0.25">
      <c r="A1249" t="s">
        <v>55</v>
      </c>
      <c r="B1249" t="s">
        <v>46</v>
      </c>
      <c r="C1249">
        <v>0</v>
      </c>
      <c r="D1249">
        <v>9.9999999999999995E-8</v>
      </c>
      <c r="E1249">
        <v>9.9999999999999994E-12</v>
      </c>
      <c r="F1249" t="s">
        <v>13</v>
      </c>
      <c r="G1249" t="s">
        <v>70</v>
      </c>
      <c r="H1249">
        <v>0</v>
      </c>
      <c r="I1249">
        <v>0</v>
      </c>
      <c r="J1249" t="s">
        <v>2833</v>
      </c>
      <c r="K1249">
        <v>4.8000000000000001E-2</v>
      </c>
      <c r="L1249">
        <v>34000</v>
      </c>
      <c r="M1249">
        <v>4.6600999999999997E-2</v>
      </c>
      <c r="N1249">
        <v>34403</v>
      </c>
      <c r="O1249" t="s">
        <v>2833</v>
      </c>
      <c r="P1249" t="s">
        <v>2833</v>
      </c>
      <c r="Q1249" t="s">
        <v>2833</v>
      </c>
      <c r="R1249">
        <f ca="1">RAND()*(Validation[[#This Row],[Range1_High]]-Validation[[#This Row],[Range1_Low]])+Validation[[#This Row],[Range1_Low]]</f>
        <v>7.1431906198378799E-8</v>
      </c>
      <c r="S1249">
        <f>Validation[[#This Row],[Range2_High]]</f>
        <v>0</v>
      </c>
      <c r="T1249" t="str" cm="1">
        <f t="array" aca="1" ref="T1249" ca="1">RoundToTwoSigFigs(Validation[[#This Row],[Test Reading]]*Validation[[#This Row],[Mult]]+Validation[[#This Row],[Base]]) &amp;" "&amp;Validation[[#This Row],[Uncert_Units]]</f>
        <v>0.05 nA</v>
      </c>
      <c r="U1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nA</v>
      </c>
      <c r="V1249" t="b">
        <f ca="1">Validation[[#This Row],[Desired Result]]=Validation[[#This Row],[Result]]</f>
        <v>1</v>
      </c>
      <c r="W1249" t="b">
        <v>0</v>
      </c>
      <c r="X1249" t="b">
        <f>Validation[[#This Row],[Range1_Low]]&gt;=Validation[[#This Row],[Range1_High]]</f>
        <v>0</v>
      </c>
      <c r="Y1249" s="111" t="s">
        <v>2845</v>
      </c>
    </row>
    <row r="1250" spans="1:25" ht="15.75" thickBot="1" x14ac:dyDescent="0.3">
      <c r="A1250" t="s">
        <v>54</v>
      </c>
      <c r="B1250" t="s">
        <v>46</v>
      </c>
      <c r="C1250">
        <v>3.3E-3</v>
      </c>
      <c r="D1250">
        <v>3.3001000000000003E-2</v>
      </c>
      <c r="E1250">
        <v>1.0000000000000001E-5</v>
      </c>
      <c r="F1250" t="s">
        <v>13</v>
      </c>
      <c r="G1250" t="s">
        <v>11</v>
      </c>
      <c r="H1250">
        <v>0</v>
      </c>
      <c r="I1250">
        <v>0</v>
      </c>
      <c r="J1250" t="s">
        <v>2833</v>
      </c>
      <c r="K1250">
        <v>5.6421999999999999</v>
      </c>
      <c r="L1250">
        <v>61.543999999999997</v>
      </c>
      <c r="M1250">
        <v>5.6368999999999998</v>
      </c>
      <c r="N1250">
        <v>61.47</v>
      </c>
      <c r="O1250" t="s">
        <v>2833</v>
      </c>
      <c r="P1250" t="s">
        <v>2833</v>
      </c>
      <c r="Q1250" t="s">
        <v>2833</v>
      </c>
      <c r="R1250">
        <f ca="1">RAND()*(Validation[[#This Row],[Range1_High]]-Validation[[#This Row],[Range1_Low]])+Validation[[#This Row],[Range1_Low]]</f>
        <v>2.7389911589026698E-2</v>
      </c>
      <c r="S1250">
        <f>Validation[[#This Row],[Range2_High]]</f>
        <v>0</v>
      </c>
      <c r="T1250" t="str" cm="1">
        <f t="array" aca="1" ref="T1250" ca="1">RoundToTwoSigFigs(Validation[[#This Row],[Test Reading]]*Validation[[#This Row],[Mult]]+Validation[[#This Row],[Base]]) &amp;" "&amp;Validation[[#This Row],[Uncert_Units]]</f>
        <v>7.3 µA</v>
      </c>
      <c r="U1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V1250" t="b">
        <f ca="1">Validation[[#This Row],[Desired Result]]=Validation[[#This Row],[Result]]</f>
        <v>1</v>
      </c>
      <c r="W1250" t="b">
        <v>0</v>
      </c>
      <c r="X1250" t="b">
        <f>Validation[[#This Row],[Range1_Low]]&gt;=Validation[[#This Row],[Range1_High]]</f>
        <v>0</v>
      </c>
      <c r="Y1250" s="111" t="s">
        <v>2845</v>
      </c>
    </row>
    <row r="1251" spans="1:25" ht="16.5" thickTop="1" thickBot="1" x14ac:dyDescent="0.3">
      <c r="A1251" t="s">
        <v>68</v>
      </c>
      <c r="B1251" t="s">
        <v>46</v>
      </c>
      <c r="C1251" s="113">
        <v>1</v>
      </c>
      <c r="D1251" s="113">
        <v>10.199999999999999</v>
      </c>
      <c r="E1251">
        <v>1E-4</v>
      </c>
      <c r="F1251" t="s">
        <v>13</v>
      </c>
      <c r="G1251" t="s">
        <v>11</v>
      </c>
      <c r="H1251">
        <v>0</v>
      </c>
      <c r="I1251">
        <v>0</v>
      </c>
      <c r="J1251" t="s">
        <v>2833</v>
      </c>
      <c r="K1251">
        <v>2.4</v>
      </c>
      <c r="L1251">
        <v>0.59</v>
      </c>
      <c r="M1251">
        <v>2.3094999999999999</v>
      </c>
      <c r="N1251">
        <v>0.57974999999999999</v>
      </c>
      <c r="O1251" t="s">
        <v>2833</v>
      </c>
      <c r="P1251" t="s">
        <v>2833</v>
      </c>
      <c r="Q1251" t="s">
        <v>2833</v>
      </c>
      <c r="R1251">
        <f ca="1">RAND()*(Validation[[#This Row],[Range1_High]]-Validation[[#This Row],[Range1_Low]])+Validation[[#This Row],[Range1_Low]]</f>
        <v>9.0118615176553885</v>
      </c>
      <c r="S1251">
        <f>Validation[[#This Row],[Range2_High]]</f>
        <v>0</v>
      </c>
      <c r="T1251" t="str" cm="1">
        <f t="array" aca="1" ref="T1251" ca="1">RoundToTwoSigFigs(Validation[[#This Row],[Test Reading]]*Validation[[#This Row],[Mult]]+Validation[[#This Row],[Base]]) &amp;" "&amp;Validation[[#This Row],[Uncert_Units]]</f>
        <v>7.7 µA</v>
      </c>
      <c r="U1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V1251" t="b">
        <f ca="1">Validation[[#This Row],[Desired Result]]=Validation[[#This Row],[Result]]</f>
        <v>1</v>
      </c>
      <c r="W1251" t="b">
        <v>1</v>
      </c>
      <c r="X1251" t="b">
        <f>Validation[[#This Row],[Range1_Low]]&gt;=Validation[[#This Row],[Range1_High]]</f>
        <v>0</v>
      </c>
      <c r="Y1251" s="111" t="s">
        <v>2843</v>
      </c>
    </row>
    <row r="1252" spans="1:25" ht="16.5" thickTop="1" thickBot="1" x14ac:dyDescent="0.3">
      <c r="A1252" t="s">
        <v>55</v>
      </c>
      <c r="B1252" t="s">
        <v>46</v>
      </c>
      <c r="C1252" s="113">
        <v>0.1</v>
      </c>
      <c r="D1252" s="113">
        <v>1</v>
      </c>
      <c r="E1252">
        <v>1E-4</v>
      </c>
      <c r="F1252" t="s">
        <v>13</v>
      </c>
      <c r="G1252" t="s">
        <v>11</v>
      </c>
      <c r="H1252">
        <v>0</v>
      </c>
      <c r="I1252">
        <v>0</v>
      </c>
      <c r="J1252" t="s">
        <v>2833</v>
      </c>
      <c r="K1252">
        <v>52.948999999999998</v>
      </c>
      <c r="L1252">
        <v>97.341999999999999</v>
      </c>
      <c r="M1252">
        <v>52.884</v>
      </c>
      <c r="N1252">
        <v>97.405000000000001</v>
      </c>
      <c r="O1252" t="s">
        <v>2833</v>
      </c>
      <c r="P1252" t="s">
        <v>2833</v>
      </c>
      <c r="Q1252" t="s">
        <v>2833</v>
      </c>
      <c r="R1252">
        <f ca="1">RAND()*(Validation[[#This Row],[Range1_High]]-Validation[[#This Row],[Range1_Low]])+Validation[[#This Row],[Range1_Low]]</f>
        <v>0.26987818332103575</v>
      </c>
      <c r="S1252">
        <f>Validation[[#This Row],[Range2_High]]</f>
        <v>0</v>
      </c>
      <c r="T1252" t="str" cm="1">
        <f t="array" aca="1" ref="T1252" ca="1">RoundToTwoSigFigs(Validation[[#This Row],[Test Reading]]*Validation[[#This Row],[Mult]]+Validation[[#This Row],[Base]]) &amp;" "&amp;Validation[[#This Row],[Uncert_Units]]</f>
        <v>79 µA</v>
      </c>
      <c r="U1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µA</v>
      </c>
      <c r="V1252" t="b">
        <f ca="1">Validation[[#This Row],[Desired Result]]=Validation[[#This Row],[Result]]</f>
        <v>1</v>
      </c>
      <c r="W1252" t="b">
        <v>1</v>
      </c>
      <c r="X1252" t="b">
        <f>Validation[[#This Row],[Range1_Low]]&gt;=Validation[[#This Row],[Range1_High]]</f>
        <v>0</v>
      </c>
      <c r="Y1252" s="111" t="s">
        <v>2843</v>
      </c>
    </row>
    <row r="1253" spans="1:25" ht="16.5" thickTop="1" thickBot="1" x14ac:dyDescent="0.3">
      <c r="A1253" t="s">
        <v>55</v>
      </c>
      <c r="B1253" t="s">
        <v>46</v>
      </c>
      <c r="C1253">
        <v>1.0000000000000001E-5</v>
      </c>
      <c r="D1253">
        <v>1E-4</v>
      </c>
      <c r="E1253">
        <v>9.9999999999999995E-8</v>
      </c>
      <c r="F1253" t="s">
        <v>13</v>
      </c>
      <c r="G1253" t="s">
        <v>70</v>
      </c>
      <c r="H1253">
        <v>0</v>
      </c>
      <c r="I1253">
        <v>0</v>
      </c>
      <c r="J1253" t="s">
        <v>2833</v>
      </c>
      <c r="K1253">
        <v>57.731000000000002</v>
      </c>
      <c r="L1253">
        <v>581.51</v>
      </c>
      <c r="M1253">
        <v>57.731000000000002</v>
      </c>
      <c r="N1253">
        <v>581.51</v>
      </c>
      <c r="O1253" t="s">
        <v>2833</v>
      </c>
      <c r="P1253" t="s">
        <v>2833</v>
      </c>
      <c r="Q1253" t="s">
        <v>2833</v>
      </c>
      <c r="R1253">
        <f ca="1">RAND()*(Validation[[#This Row],[Range1_High]]-Validation[[#This Row],[Range1_Low]])+Validation[[#This Row],[Range1_Low]]</f>
        <v>3.3225175427300149E-5</v>
      </c>
      <c r="S1253">
        <f>Validation[[#This Row],[Range2_High]]</f>
        <v>0</v>
      </c>
      <c r="T1253" t="str" cm="1">
        <f t="array" aca="1" ref="T1253" ca="1">RoundToTwoSigFigs(Validation[[#This Row],[Test Reading]]*Validation[[#This Row],[Mult]]+Validation[[#This Row],[Base]]) &amp;" "&amp;Validation[[#This Row],[Uncert_Units]]</f>
        <v>58 nA</v>
      </c>
      <c r="U1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V1253" t="b">
        <f ca="1">Validation[[#This Row],[Desired Result]]=Validation[[#This Row],[Result]]</f>
        <v>1</v>
      </c>
      <c r="W1253" t="b">
        <v>0</v>
      </c>
      <c r="X1253" t="b">
        <f>Validation[[#This Row],[Range1_Low]]&gt;=Validation[[#This Row],[Range1_High]]</f>
        <v>0</v>
      </c>
      <c r="Y1253" s="111" t="s">
        <v>2845</v>
      </c>
    </row>
    <row r="1254" spans="1:25" ht="16.5" thickTop="1" thickBot="1" x14ac:dyDescent="0.3">
      <c r="A1254" t="s">
        <v>68</v>
      </c>
      <c r="B1254" t="s">
        <v>46</v>
      </c>
      <c r="C1254" s="113">
        <v>1E-3</v>
      </c>
      <c r="D1254" s="113">
        <v>0.01</v>
      </c>
      <c r="E1254">
        <v>1E-4</v>
      </c>
      <c r="F1254" t="s">
        <v>13</v>
      </c>
      <c r="G1254" t="s">
        <v>11</v>
      </c>
      <c r="H1254">
        <v>0</v>
      </c>
      <c r="I1254">
        <v>0</v>
      </c>
      <c r="J1254" t="s">
        <v>2833</v>
      </c>
      <c r="K1254">
        <v>57.737000000000002</v>
      </c>
      <c r="L1254">
        <v>18.431000000000001</v>
      </c>
      <c r="M1254">
        <v>57.737000000000002</v>
      </c>
      <c r="N1254">
        <v>18.399000000000001</v>
      </c>
      <c r="O1254" t="s">
        <v>2833</v>
      </c>
      <c r="P1254" t="s">
        <v>2833</v>
      </c>
      <c r="Q1254" t="s">
        <v>2833</v>
      </c>
      <c r="R1254">
        <f ca="1">RAND()*(Validation[[#This Row],[Range1_High]]-Validation[[#This Row],[Range1_Low]])+Validation[[#This Row],[Range1_Low]]</f>
        <v>7.776090332960341E-3</v>
      </c>
      <c r="S1254">
        <f>Validation[[#This Row],[Range2_High]]</f>
        <v>0</v>
      </c>
      <c r="T1254" t="str" cm="1">
        <f t="array" aca="1" ref="T1254" ca="1">RoundToTwoSigFigs(Validation[[#This Row],[Test Reading]]*Validation[[#This Row],[Mult]]+Validation[[#This Row],[Base]]) &amp;" "&amp;Validation[[#This Row],[Uncert_Units]]</f>
        <v>58 µA</v>
      </c>
      <c r="U1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254" t="b">
        <f ca="1">Validation[[#This Row],[Desired Result]]=Validation[[#This Row],[Result]]</f>
        <v>1</v>
      </c>
      <c r="W1254" t="b">
        <v>1</v>
      </c>
      <c r="X1254" t="b">
        <f>Validation[[#This Row],[Range1_Low]]&gt;=Validation[[#This Row],[Range1_High]]</f>
        <v>0</v>
      </c>
      <c r="Y1254" s="111" t="s">
        <v>2843</v>
      </c>
    </row>
    <row r="1255" spans="1:25" ht="15.75" thickTop="1" x14ac:dyDescent="0.25">
      <c r="A1255" t="s">
        <v>68</v>
      </c>
      <c r="B1255" t="s">
        <v>46</v>
      </c>
      <c r="C1255">
        <v>0</v>
      </c>
      <c r="D1255">
        <v>1E-4</v>
      </c>
      <c r="E1255">
        <v>9.9999999999999995E-8</v>
      </c>
      <c r="F1255" t="s">
        <v>13</v>
      </c>
      <c r="G1255" t="s">
        <v>70</v>
      </c>
      <c r="H1255">
        <v>0</v>
      </c>
      <c r="I1255">
        <v>0</v>
      </c>
      <c r="J1255" t="s">
        <v>2833</v>
      </c>
      <c r="K1255">
        <v>67.34</v>
      </c>
      <c r="L1255">
        <v>230750</v>
      </c>
      <c r="M1255">
        <v>67.335999999999999</v>
      </c>
      <c r="N1255">
        <v>230720</v>
      </c>
      <c r="O1255" t="s">
        <v>2833</v>
      </c>
      <c r="P1255" t="s">
        <v>2833</v>
      </c>
      <c r="Q1255" t="s">
        <v>2833</v>
      </c>
      <c r="R1255">
        <f ca="1">RAND()*(Validation[[#This Row],[Range1_High]]-Validation[[#This Row],[Range1_Low]])+Validation[[#This Row],[Range1_Low]]</f>
        <v>1.8854405974759414E-5</v>
      </c>
      <c r="S1255">
        <f>Validation[[#This Row],[Range2_High]]</f>
        <v>0</v>
      </c>
      <c r="T1255" t="str" cm="1">
        <f t="array" aca="1" ref="T1255" ca="1">RoundToTwoSigFigs(Validation[[#This Row],[Test Reading]]*Validation[[#This Row],[Mult]]+Validation[[#This Row],[Base]]) &amp;" "&amp;Validation[[#This Row],[Uncert_Units]]</f>
        <v>72 nA</v>
      </c>
      <c r="U1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nA</v>
      </c>
      <c r="V1255" t="b">
        <f ca="1">Validation[[#This Row],[Desired Result]]=Validation[[#This Row],[Result]]</f>
        <v>1</v>
      </c>
      <c r="W1255" t="b">
        <v>0</v>
      </c>
      <c r="X1255" t="b">
        <f>Validation[[#This Row],[Range1_Low]]&gt;=Validation[[#This Row],[Range1_High]]</f>
        <v>0</v>
      </c>
      <c r="Y1255" s="111" t="s">
        <v>2845</v>
      </c>
    </row>
    <row r="1256" spans="1:25" x14ac:dyDescent="0.25">
      <c r="A1256" t="s">
        <v>68</v>
      </c>
      <c r="B1256" t="s">
        <v>46</v>
      </c>
      <c r="C1256">
        <v>0</v>
      </c>
      <c r="D1256">
        <v>1E-4</v>
      </c>
      <c r="E1256">
        <v>1.0000000000000001E-9</v>
      </c>
      <c r="F1256" t="s">
        <v>13</v>
      </c>
      <c r="G1256" t="s">
        <v>70</v>
      </c>
      <c r="H1256">
        <v>0</v>
      </c>
      <c r="I1256">
        <v>0</v>
      </c>
      <c r="J1256" t="s">
        <v>2833</v>
      </c>
      <c r="K1256">
        <v>35</v>
      </c>
      <c r="L1256">
        <v>350000</v>
      </c>
      <c r="M1256">
        <v>34.933</v>
      </c>
      <c r="N1256">
        <v>349170</v>
      </c>
      <c r="O1256" t="s">
        <v>2833</v>
      </c>
      <c r="P1256" t="s">
        <v>2833</v>
      </c>
      <c r="Q1256" t="s">
        <v>2833</v>
      </c>
      <c r="R1256">
        <f ca="1">RAND()*(Validation[[#This Row],[Range1_High]]-Validation[[#This Row],[Range1_Low]])+Validation[[#This Row],[Range1_Low]]</f>
        <v>1.7286436980928432E-5</v>
      </c>
      <c r="S1256">
        <f>Validation[[#This Row],[Range2_High]]</f>
        <v>0</v>
      </c>
      <c r="T1256" t="str" cm="1">
        <f t="array" aca="1" ref="T1256" ca="1">RoundToTwoSigFigs(Validation[[#This Row],[Test Reading]]*Validation[[#This Row],[Mult]]+Validation[[#This Row],[Base]]) &amp;" "&amp;Validation[[#This Row],[Uncert_Units]]</f>
        <v>41 nA</v>
      </c>
      <c r="U1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nA</v>
      </c>
      <c r="V1256" t="b">
        <f ca="1">Validation[[#This Row],[Desired Result]]=Validation[[#This Row],[Result]]</f>
        <v>1</v>
      </c>
      <c r="W1256" t="b">
        <v>0</v>
      </c>
      <c r="X1256" t="b">
        <f>Validation[[#This Row],[Range1_Low]]&gt;=Validation[[#This Row],[Range1_High]]</f>
        <v>0</v>
      </c>
      <c r="Y1256" s="111" t="s">
        <v>2845</v>
      </c>
    </row>
    <row r="1257" spans="1:25" ht="15.75" thickBot="1" x14ac:dyDescent="0.3">
      <c r="A1257" t="s">
        <v>68</v>
      </c>
      <c r="B1257" t="s">
        <v>46</v>
      </c>
      <c r="C1257">
        <v>1E-4</v>
      </c>
      <c r="D1257">
        <v>1E-3</v>
      </c>
      <c r="E1257">
        <v>1E-4</v>
      </c>
      <c r="F1257" t="s">
        <v>13</v>
      </c>
      <c r="G1257" t="s">
        <v>70</v>
      </c>
      <c r="H1257">
        <v>0</v>
      </c>
      <c r="I1257">
        <v>0</v>
      </c>
      <c r="J1257" t="s">
        <v>2833</v>
      </c>
      <c r="K1257">
        <v>57736</v>
      </c>
      <c r="L1257">
        <v>1854.7</v>
      </c>
      <c r="M1257">
        <v>57736</v>
      </c>
      <c r="N1257">
        <v>1843.4</v>
      </c>
      <c r="O1257" t="s">
        <v>2833</v>
      </c>
      <c r="P1257" t="s">
        <v>2833</v>
      </c>
      <c r="Q1257" t="s">
        <v>2833</v>
      </c>
      <c r="R1257">
        <f ca="1">RAND()*(Validation[[#This Row],[Range1_High]]-Validation[[#This Row],[Range1_Low]])+Validation[[#This Row],[Range1_Low]]</f>
        <v>7.0119943343340094E-4</v>
      </c>
      <c r="S1257">
        <f>Validation[[#This Row],[Range2_High]]</f>
        <v>0</v>
      </c>
      <c r="T1257" t="str" cm="1">
        <f t="array" aca="1" ref="T1257" ca="1">RoundToTwoSigFigs(Validation[[#This Row],[Test Reading]]*Validation[[#This Row],[Mult]]+Validation[[#This Row],[Base]]) &amp;" "&amp;Validation[[#This Row],[Uncert_Units]]</f>
        <v>58000 nA</v>
      </c>
      <c r="U1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V1257" t="b">
        <f ca="1">Validation[[#This Row],[Desired Result]]=Validation[[#This Row],[Result]]</f>
        <v>1</v>
      </c>
      <c r="W1257" t="b">
        <v>0</v>
      </c>
      <c r="X1257" t="b">
        <f>Validation[[#This Row],[Range1_Low]]&gt;=Validation[[#This Row],[Range1_High]]</f>
        <v>0</v>
      </c>
      <c r="Y1257" s="111" t="s">
        <v>2845</v>
      </c>
    </row>
    <row r="1258" spans="1:25" ht="16.5" thickTop="1" thickBot="1" x14ac:dyDescent="0.3">
      <c r="A1258" t="s">
        <v>68</v>
      </c>
      <c r="B1258" t="s">
        <v>46</v>
      </c>
      <c r="C1258" s="113">
        <v>0.01</v>
      </c>
      <c r="D1258" s="113">
        <v>0.1</v>
      </c>
      <c r="E1258">
        <v>1E-4</v>
      </c>
      <c r="F1258" t="s">
        <v>13</v>
      </c>
      <c r="G1258" t="s">
        <v>11</v>
      </c>
      <c r="H1258">
        <v>0</v>
      </c>
      <c r="I1258">
        <v>0</v>
      </c>
      <c r="J1258" t="s">
        <v>2833</v>
      </c>
      <c r="K1258">
        <v>58.070999999999998</v>
      </c>
      <c r="L1258">
        <v>160.28</v>
      </c>
      <c r="M1258">
        <v>58.066000000000003</v>
      </c>
      <c r="N1258">
        <v>160.22999999999999</v>
      </c>
      <c r="O1258" t="s">
        <v>2833</v>
      </c>
      <c r="P1258" t="s">
        <v>2833</v>
      </c>
      <c r="Q1258" t="s">
        <v>2833</v>
      </c>
      <c r="R1258">
        <f ca="1">RAND()*(Validation[[#This Row],[Range1_High]]-Validation[[#This Row],[Range1_Low]])+Validation[[#This Row],[Range1_Low]]</f>
        <v>7.3475423822453229E-2</v>
      </c>
      <c r="S1258">
        <f>Validation[[#This Row],[Range2_High]]</f>
        <v>0</v>
      </c>
      <c r="T1258" t="str" cm="1">
        <f t="array" aca="1" ref="T1258" ca="1">RoundToTwoSigFigs(Validation[[#This Row],[Test Reading]]*Validation[[#This Row],[Mult]]+Validation[[#This Row],[Base]]) &amp;" "&amp;Validation[[#This Row],[Uncert_Units]]</f>
        <v>70 µA</v>
      </c>
      <c r="U1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V1258" t="b">
        <f ca="1">Validation[[#This Row],[Desired Result]]=Validation[[#This Row],[Result]]</f>
        <v>1</v>
      </c>
      <c r="W1258" t="b">
        <v>1</v>
      </c>
      <c r="X1258" t="b">
        <f>Validation[[#This Row],[Range1_Low]]&gt;=Validation[[#This Row],[Range1_High]]</f>
        <v>0</v>
      </c>
      <c r="Y1258" s="111" t="s">
        <v>2843</v>
      </c>
    </row>
    <row r="1259" spans="1:25" ht="15.75" thickTop="1" x14ac:dyDescent="0.25">
      <c r="A1259" t="s">
        <v>68</v>
      </c>
      <c r="B1259" t="s">
        <v>46</v>
      </c>
      <c r="C1259">
        <v>1E-4</v>
      </c>
      <c r="D1259">
        <v>1E-3</v>
      </c>
      <c r="E1259">
        <v>1.0000000000000001E-5</v>
      </c>
      <c r="F1259" t="s">
        <v>13</v>
      </c>
      <c r="G1259" t="s">
        <v>70</v>
      </c>
      <c r="H1259">
        <v>0</v>
      </c>
      <c r="I1259">
        <v>0</v>
      </c>
      <c r="J1259" t="s">
        <v>2833</v>
      </c>
      <c r="K1259">
        <v>5773.7</v>
      </c>
      <c r="L1259">
        <v>18430</v>
      </c>
      <c r="M1259">
        <v>5773.7</v>
      </c>
      <c r="N1259">
        <v>18401</v>
      </c>
      <c r="O1259" t="s">
        <v>2833</v>
      </c>
      <c r="P1259" t="s">
        <v>2833</v>
      </c>
      <c r="Q1259" t="s">
        <v>2833</v>
      </c>
      <c r="R1259">
        <f ca="1">RAND()*(Validation[[#This Row],[Range1_High]]-Validation[[#This Row],[Range1_Low]])+Validation[[#This Row],[Range1_Low]]</f>
        <v>5.3278653825826223E-4</v>
      </c>
      <c r="S1259">
        <f>Validation[[#This Row],[Range2_High]]</f>
        <v>0</v>
      </c>
      <c r="T1259" t="str" cm="1">
        <f t="array" aca="1" ref="T1259" ca="1">RoundToTwoSigFigs(Validation[[#This Row],[Test Reading]]*Validation[[#This Row],[Mult]]+Validation[[#This Row],[Base]]) &amp;" "&amp;Validation[[#This Row],[Uncert_Units]]</f>
        <v>5800 nA</v>
      </c>
      <c r="U1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V1259" t="b">
        <f ca="1">Validation[[#This Row],[Desired Result]]=Validation[[#This Row],[Result]]</f>
        <v>1</v>
      </c>
      <c r="W1259" t="b">
        <v>0</v>
      </c>
      <c r="X1259" t="b">
        <f>Validation[[#This Row],[Range1_Low]]&gt;=Validation[[#This Row],[Range1_High]]</f>
        <v>0</v>
      </c>
      <c r="Y1259" s="111" t="s">
        <v>2845</v>
      </c>
    </row>
    <row r="1260" spans="1:25" x14ac:dyDescent="0.25">
      <c r="A1260" t="s">
        <v>55</v>
      </c>
      <c r="B1260" t="s">
        <v>46</v>
      </c>
      <c r="C1260">
        <v>1E-4</v>
      </c>
      <c r="D1260">
        <v>1E-3</v>
      </c>
      <c r="E1260">
        <v>1.0000000000000001E-5</v>
      </c>
      <c r="F1260" t="s">
        <v>13</v>
      </c>
      <c r="G1260" t="s">
        <v>70</v>
      </c>
      <c r="H1260">
        <v>0</v>
      </c>
      <c r="I1260">
        <v>0</v>
      </c>
      <c r="J1260" t="s">
        <v>2833</v>
      </c>
      <c r="K1260">
        <v>5773.6</v>
      </c>
      <c r="L1260">
        <v>79.686000000000007</v>
      </c>
      <c r="M1260">
        <v>5773.5</v>
      </c>
      <c r="N1260">
        <v>76.28</v>
      </c>
      <c r="O1260" t="s">
        <v>2833</v>
      </c>
      <c r="P1260" t="s">
        <v>2833</v>
      </c>
      <c r="Q1260" t="s">
        <v>2833</v>
      </c>
      <c r="R1260">
        <f ca="1">RAND()*(Validation[[#This Row],[Range1_High]]-Validation[[#This Row],[Range1_Low]])+Validation[[#This Row],[Range1_Low]]</f>
        <v>9.2699131196927837E-4</v>
      </c>
      <c r="S1260">
        <f>Validation[[#This Row],[Range2_High]]</f>
        <v>0</v>
      </c>
      <c r="T1260" t="str" cm="1">
        <f t="array" aca="1" ref="T1260" ca="1">RoundToTwoSigFigs(Validation[[#This Row],[Test Reading]]*Validation[[#This Row],[Mult]]+Validation[[#This Row],[Base]]) &amp;" "&amp;Validation[[#This Row],[Uncert_Units]]</f>
        <v>5800 nA</v>
      </c>
      <c r="U1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V1260" t="b">
        <f ca="1">Validation[[#This Row],[Desired Result]]=Validation[[#This Row],[Result]]</f>
        <v>1</v>
      </c>
      <c r="W1260" t="b">
        <v>0</v>
      </c>
      <c r="X1260" t="b">
        <f>Validation[[#This Row],[Range1_Low]]&gt;=Validation[[#This Row],[Range1_High]]</f>
        <v>0</v>
      </c>
      <c r="Y1260" s="111" t="s">
        <v>2845</v>
      </c>
    </row>
    <row r="1261" spans="1:25" x14ac:dyDescent="0.25">
      <c r="A1261" t="s">
        <v>54</v>
      </c>
      <c r="B1261" t="s">
        <v>46</v>
      </c>
      <c r="C1261">
        <v>0</v>
      </c>
      <c r="D1261">
        <v>3.3000999999999999E-4</v>
      </c>
      <c r="E1261">
        <v>1.0000000000000001E-5</v>
      </c>
      <c r="F1261" t="s">
        <v>13</v>
      </c>
      <c r="G1261" t="s">
        <v>11</v>
      </c>
      <c r="H1261">
        <v>0</v>
      </c>
      <c r="I1261">
        <v>0</v>
      </c>
      <c r="J1261" t="s">
        <v>2833</v>
      </c>
      <c r="K1261">
        <v>5.8000999999999996</v>
      </c>
      <c r="L1261">
        <v>1.6500999999999999</v>
      </c>
      <c r="M1261">
        <v>5.8000999999999996</v>
      </c>
      <c r="N1261">
        <v>1.5718000000000001</v>
      </c>
      <c r="O1261" t="s">
        <v>2833</v>
      </c>
      <c r="P1261" t="s">
        <v>2833</v>
      </c>
      <c r="Q1261" t="s">
        <v>2833</v>
      </c>
      <c r="R1261">
        <f ca="1">RAND()*(Validation[[#This Row],[Range1_High]]-Validation[[#This Row],[Range1_Low]])+Validation[[#This Row],[Range1_Low]]</f>
        <v>4.9452944756547795E-5</v>
      </c>
      <c r="S1261">
        <f>Validation[[#This Row],[Range2_High]]</f>
        <v>0</v>
      </c>
      <c r="T1261" t="str" cm="1">
        <f t="array" aca="1" ref="T1261" ca="1">RoundToTwoSigFigs(Validation[[#This Row],[Test Reading]]*Validation[[#This Row],[Mult]]+Validation[[#This Row],[Base]]) &amp;" "&amp;Validation[[#This Row],[Uncert_Units]]</f>
        <v>5.8 µA</v>
      </c>
      <c r="U1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261" t="b">
        <f ca="1">Validation[[#This Row],[Desired Result]]=Validation[[#This Row],[Result]]</f>
        <v>1</v>
      </c>
      <c r="W1261" t="b">
        <v>0</v>
      </c>
      <c r="X1261" t="b">
        <f>Validation[[#This Row],[Range1_Low]]&gt;=Validation[[#This Row],[Range1_High]]</f>
        <v>0</v>
      </c>
      <c r="Y1261" s="111" t="s">
        <v>2845</v>
      </c>
    </row>
    <row r="1262" spans="1:25" ht="15.75" thickBot="1" x14ac:dyDescent="0.3">
      <c r="A1262" t="s">
        <v>55</v>
      </c>
      <c r="B1262" t="s">
        <v>46</v>
      </c>
      <c r="C1262">
        <v>0.1</v>
      </c>
      <c r="D1262">
        <v>1</v>
      </c>
      <c r="E1262">
        <v>0.01</v>
      </c>
      <c r="F1262" t="s">
        <v>13</v>
      </c>
      <c r="G1262" t="s">
        <v>11</v>
      </c>
      <c r="H1262">
        <v>0</v>
      </c>
      <c r="I1262">
        <v>0</v>
      </c>
      <c r="J1262" t="s">
        <v>2833</v>
      </c>
      <c r="K1262">
        <v>5773.4</v>
      </c>
      <c r="L1262">
        <v>1.7853000000000001</v>
      </c>
      <c r="M1262">
        <v>5771.8</v>
      </c>
      <c r="N1262">
        <v>1.7958000000000001</v>
      </c>
      <c r="O1262" t="s">
        <v>2833</v>
      </c>
      <c r="P1262" t="s">
        <v>2833</v>
      </c>
      <c r="Q1262" t="s">
        <v>2833</v>
      </c>
      <c r="R1262">
        <f ca="1">RAND()*(Validation[[#This Row],[Range1_High]]-Validation[[#This Row],[Range1_Low]])+Validation[[#This Row],[Range1_Low]]</f>
        <v>0.90057164250043586</v>
      </c>
      <c r="S1262">
        <f>Validation[[#This Row],[Range2_High]]</f>
        <v>0</v>
      </c>
      <c r="T1262" t="str" cm="1">
        <f t="array" aca="1" ref="T1262" ca="1">RoundToTwoSigFigs(Validation[[#This Row],[Test Reading]]*Validation[[#This Row],[Mult]]+Validation[[#This Row],[Base]]) &amp;" "&amp;Validation[[#This Row],[Uncert_Units]]</f>
        <v>5800 µA</v>
      </c>
      <c r="U1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262" t="b">
        <f ca="1">Validation[[#This Row],[Desired Result]]=Validation[[#This Row],[Result]]</f>
        <v>1</v>
      </c>
      <c r="W1262" t="b">
        <v>0</v>
      </c>
      <c r="X1262" t="b">
        <f>Validation[[#This Row],[Range1_Low]]&gt;=Validation[[#This Row],[Range1_High]]</f>
        <v>0</v>
      </c>
      <c r="Y1262" s="111" t="s">
        <v>2845</v>
      </c>
    </row>
    <row r="1263" spans="1:25" ht="16.5" thickTop="1" thickBot="1" x14ac:dyDescent="0.3">
      <c r="A1263" t="s">
        <v>68</v>
      </c>
      <c r="B1263" t="s">
        <v>46</v>
      </c>
      <c r="C1263" s="113">
        <v>1E-4</v>
      </c>
      <c r="D1263" s="113">
        <v>1E-3</v>
      </c>
      <c r="E1263">
        <v>9.9999999999999995E-8</v>
      </c>
      <c r="F1263" t="s">
        <v>13</v>
      </c>
      <c r="G1263" t="s">
        <v>70</v>
      </c>
      <c r="H1263">
        <v>0</v>
      </c>
      <c r="I1263">
        <v>0</v>
      </c>
      <c r="J1263" t="s">
        <v>2833</v>
      </c>
      <c r="K1263">
        <v>127.29</v>
      </c>
      <c r="L1263">
        <v>339170</v>
      </c>
      <c r="M1263">
        <v>127.24</v>
      </c>
      <c r="N1263">
        <v>339180</v>
      </c>
      <c r="O1263" t="s">
        <v>2833</v>
      </c>
      <c r="P1263" t="s">
        <v>2833</v>
      </c>
      <c r="Q1263" t="s">
        <v>2833</v>
      </c>
      <c r="R1263">
        <f ca="1">RAND()*(Validation[[#This Row],[Range1_High]]-Validation[[#This Row],[Range1_Low]])+Validation[[#This Row],[Range1_Low]]</f>
        <v>9.9008327184654061E-4</v>
      </c>
      <c r="S1263">
        <f>Validation[[#This Row],[Range2_High]]</f>
        <v>0</v>
      </c>
      <c r="T1263" t="str" cm="1">
        <f t="array" aca="1" ref="T1263" ca="1">RoundToTwoSigFigs(Validation[[#This Row],[Test Reading]]*Validation[[#This Row],[Mult]]+Validation[[#This Row],[Base]]) &amp;" "&amp;Validation[[#This Row],[Uncert_Units]]</f>
        <v>460 nA</v>
      </c>
      <c r="U1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nA</v>
      </c>
      <c r="V1263" t="b">
        <f ca="1">Validation[[#This Row],[Desired Result]]=Validation[[#This Row],[Result]]</f>
        <v>1</v>
      </c>
      <c r="W1263" t="b">
        <v>1</v>
      </c>
      <c r="X1263" t="b">
        <f>Validation[[#This Row],[Range1_Low]]&gt;=Validation[[#This Row],[Range1_High]]</f>
        <v>0</v>
      </c>
      <c r="Y1263" s="111" t="s">
        <v>2843</v>
      </c>
    </row>
    <row r="1264" spans="1:25" ht="16.5" thickTop="1" thickBot="1" x14ac:dyDescent="0.3">
      <c r="A1264" t="s">
        <v>55</v>
      </c>
      <c r="B1264" t="s">
        <v>46</v>
      </c>
      <c r="C1264" s="113">
        <v>1E-3</v>
      </c>
      <c r="D1264" s="113">
        <v>0.01</v>
      </c>
      <c r="E1264">
        <v>1E-8</v>
      </c>
      <c r="F1264" t="s">
        <v>13</v>
      </c>
      <c r="G1264" t="s">
        <v>11</v>
      </c>
      <c r="H1264">
        <v>0</v>
      </c>
      <c r="I1264">
        <v>0</v>
      </c>
      <c r="J1264" t="s">
        <v>2833</v>
      </c>
      <c r="K1264">
        <v>6.4000000000000001E-2</v>
      </c>
      <c r="L1264">
        <v>23.49</v>
      </c>
      <c r="M1264">
        <v>5.7620999999999999E-2</v>
      </c>
      <c r="N1264">
        <v>23.576000000000001</v>
      </c>
      <c r="O1264" t="s">
        <v>2833</v>
      </c>
      <c r="P1264" t="s">
        <v>2833</v>
      </c>
      <c r="Q1264" t="s">
        <v>2833</v>
      </c>
      <c r="R1264">
        <f ca="1">RAND()*(Validation[[#This Row],[Range1_High]]-Validation[[#This Row],[Range1_Low]])+Validation[[#This Row],[Range1_Low]]</f>
        <v>5.534107606539964E-3</v>
      </c>
      <c r="S1264">
        <f>Validation[[#This Row],[Range2_High]]</f>
        <v>0</v>
      </c>
      <c r="T1264" t="str" cm="1">
        <f t="array" aca="1" ref="T1264" ca="1">RoundToTwoSigFigs(Validation[[#This Row],[Test Reading]]*Validation[[#This Row],[Mult]]+Validation[[#This Row],[Base]]) &amp;" "&amp;Validation[[#This Row],[Uncert_Units]]</f>
        <v>0.19 µA</v>
      </c>
      <c r="U1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µA</v>
      </c>
      <c r="V1264" t="b">
        <f ca="1">Validation[[#This Row],[Desired Result]]=Validation[[#This Row],[Result]]</f>
        <v>1</v>
      </c>
      <c r="W1264" t="b">
        <v>1</v>
      </c>
      <c r="X1264" t="b">
        <f>Validation[[#This Row],[Range1_Low]]&gt;=Validation[[#This Row],[Range1_High]]</f>
        <v>0</v>
      </c>
      <c r="Y1264" s="111" t="s">
        <v>2843</v>
      </c>
    </row>
    <row r="1265" spans="1:25" ht="16.5" thickTop="1" thickBot="1" x14ac:dyDescent="0.3">
      <c r="A1265" t="s">
        <v>54</v>
      </c>
      <c r="B1265" t="s">
        <v>46</v>
      </c>
      <c r="C1265" s="113">
        <v>3.3E-3</v>
      </c>
      <c r="D1265" s="113">
        <v>3.3001000000000003E-2</v>
      </c>
      <c r="E1265">
        <v>9.9999999999999995E-8</v>
      </c>
      <c r="F1265" t="s">
        <v>13</v>
      </c>
      <c r="G1265" t="s">
        <v>11</v>
      </c>
      <c r="H1265">
        <v>0</v>
      </c>
      <c r="I1265">
        <v>0</v>
      </c>
      <c r="J1265" t="s">
        <v>2833</v>
      </c>
      <c r="K1265">
        <v>0.21</v>
      </c>
      <c r="L1265">
        <v>150</v>
      </c>
      <c r="M1265">
        <v>0.20100000000000001</v>
      </c>
      <c r="N1265">
        <v>145.79</v>
      </c>
      <c r="O1265" t="s">
        <v>2833</v>
      </c>
      <c r="P1265" t="s">
        <v>2833</v>
      </c>
      <c r="Q1265" t="s">
        <v>2833</v>
      </c>
      <c r="R1265">
        <f ca="1">RAND()*(Validation[[#This Row],[Range1_High]]-Validation[[#This Row],[Range1_Low]])+Validation[[#This Row],[Range1_Low]]</f>
        <v>1.4223683185410611E-2</v>
      </c>
      <c r="S1265">
        <f>Validation[[#This Row],[Range2_High]]</f>
        <v>0</v>
      </c>
      <c r="T1265" t="str" cm="1">
        <f t="array" aca="1" ref="T1265" ca="1">RoundToTwoSigFigs(Validation[[#This Row],[Test Reading]]*Validation[[#This Row],[Mult]]+Validation[[#This Row],[Base]]) &amp;" "&amp;Validation[[#This Row],[Uncert_Units]]</f>
        <v>2.3 µA</v>
      </c>
      <c r="U1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V1265" t="b">
        <f ca="1">Validation[[#This Row],[Desired Result]]=Validation[[#This Row],[Result]]</f>
        <v>1</v>
      </c>
      <c r="W1265" t="b">
        <v>1</v>
      </c>
      <c r="X1265" t="b">
        <f>Validation[[#This Row],[Range1_Low]]&gt;=Validation[[#This Row],[Range1_High]]</f>
        <v>0</v>
      </c>
      <c r="Y1265" s="111" t="s">
        <v>2843</v>
      </c>
    </row>
    <row r="1266" spans="1:25" ht="16.5" thickTop="1" thickBot="1" x14ac:dyDescent="0.3">
      <c r="A1266" t="s">
        <v>68</v>
      </c>
      <c r="B1266" t="s">
        <v>46</v>
      </c>
      <c r="C1266">
        <v>0</v>
      </c>
      <c r="D1266">
        <v>1E-4</v>
      </c>
      <c r="E1266">
        <v>1.0000000000000001E-5</v>
      </c>
      <c r="F1266" t="s">
        <v>13</v>
      </c>
      <c r="G1266" t="s">
        <v>70</v>
      </c>
      <c r="H1266">
        <v>0</v>
      </c>
      <c r="I1266">
        <v>0</v>
      </c>
      <c r="J1266" t="s">
        <v>2833</v>
      </c>
      <c r="K1266">
        <v>5773.7</v>
      </c>
      <c r="L1266">
        <v>3163.2</v>
      </c>
      <c r="M1266">
        <v>5773.7</v>
      </c>
      <c r="N1266">
        <v>3151.6</v>
      </c>
      <c r="O1266" t="s">
        <v>2833</v>
      </c>
      <c r="P1266" t="s">
        <v>2833</v>
      </c>
      <c r="Q1266" t="s">
        <v>2833</v>
      </c>
      <c r="R1266">
        <f ca="1">RAND()*(Validation[[#This Row],[Range1_High]]-Validation[[#This Row],[Range1_Low]])+Validation[[#This Row],[Range1_Low]]</f>
        <v>1.7442134237548146E-6</v>
      </c>
      <c r="S1266">
        <f>Validation[[#This Row],[Range2_High]]</f>
        <v>0</v>
      </c>
      <c r="T1266" t="str" cm="1">
        <f t="array" aca="1" ref="T1266" ca="1">RoundToTwoSigFigs(Validation[[#This Row],[Test Reading]]*Validation[[#This Row],[Mult]]+Validation[[#This Row],[Base]]) &amp;" "&amp;Validation[[#This Row],[Uncert_Units]]</f>
        <v>5800 nA</v>
      </c>
      <c r="U1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V1266" t="b">
        <f ca="1">Validation[[#This Row],[Desired Result]]=Validation[[#This Row],[Result]]</f>
        <v>1</v>
      </c>
      <c r="W1266" t="b">
        <v>0</v>
      </c>
      <c r="X1266" t="b">
        <f>Validation[[#This Row],[Range1_Low]]&gt;=Validation[[#This Row],[Range1_High]]</f>
        <v>0</v>
      </c>
      <c r="Y1266" s="111" t="s">
        <v>2845</v>
      </c>
    </row>
    <row r="1267" spans="1:25" ht="16.5" thickTop="1" thickBot="1" x14ac:dyDescent="0.3">
      <c r="A1267" t="s">
        <v>55</v>
      </c>
      <c r="B1267" t="s">
        <v>46</v>
      </c>
      <c r="C1267" s="113">
        <v>0.1</v>
      </c>
      <c r="D1267" s="113">
        <v>1</v>
      </c>
      <c r="E1267">
        <v>9.9999999999999995E-7</v>
      </c>
      <c r="F1267" t="s">
        <v>13</v>
      </c>
      <c r="G1267" t="s">
        <v>11</v>
      </c>
      <c r="H1267">
        <v>0</v>
      </c>
      <c r="I1267">
        <v>0</v>
      </c>
      <c r="J1267" t="s">
        <v>2833</v>
      </c>
      <c r="K1267">
        <v>12</v>
      </c>
      <c r="L1267">
        <v>130</v>
      </c>
      <c r="M1267">
        <v>11.548</v>
      </c>
      <c r="N1267">
        <v>127.21</v>
      </c>
      <c r="O1267" t="s">
        <v>2833</v>
      </c>
      <c r="P1267" t="s">
        <v>2833</v>
      </c>
      <c r="Q1267" t="s">
        <v>2833</v>
      </c>
      <c r="R1267">
        <f ca="1">RAND()*(Validation[[#This Row],[Range1_High]]-Validation[[#This Row],[Range1_Low]])+Validation[[#This Row],[Range1_Low]]</f>
        <v>0.24640455236253211</v>
      </c>
      <c r="S1267">
        <f>Validation[[#This Row],[Range2_High]]</f>
        <v>0</v>
      </c>
      <c r="T1267" t="str" cm="1">
        <f t="array" aca="1" ref="T1267" ca="1">RoundToTwoSigFigs(Validation[[#This Row],[Test Reading]]*Validation[[#This Row],[Mult]]+Validation[[#This Row],[Base]]) &amp;" "&amp;Validation[[#This Row],[Uncert_Units]]</f>
        <v>44 µA</v>
      </c>
      <c r="U1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µA</v>
      </c>
      <c r="V1267" t="b">
        <f ca="1">Validation[[#This Row],[Desired Result]]=Validation[[#This Row],[Result]]</f>
        <v>1</v>
      </c>
      <c r="W1267" t="b">
        <v>1</v>
      </c>
      <c r="X1267" t="b">
        <f>Validation[[#This Row],[Range1_Low]]&gt;=Validation[[#This Row],[Range1_High]]</f>
        <v>0</v>
      </c>
      <c r="Y1267" s="111" t="s">
        <v>2843</v>
      </c>
    </row>
    <row r="1268" spans="1:25" ht="16.5" thickTop="1" thickBot="1" x14ac:dyDescent="0.3">
      <c r="A1268" t="s">
        <v>55</v>
      </c>
      <c r="B1268" t="s">
        <v>46</v>
      </c>
      <c r="C1268" s="113">
        <v>1</v>
      </c>
      <c r="D1268" s="113">
        <v>20</v>
      </c>
      <c r="E1268">
        <v>1.0000000000000001E-5</v>
      </c>
      <c r="F1268" t="s">
        <v>13</v>
      </c>
      <c r="G1268" t="s">
        <v>12</v>
      </c>
      <c r="H1268">
        <v>0</v>
      </c>
      <c r="I1268">
        <v>0</v>
      </c>
      <c r="J1268" t="s">
        <v>2833</v>
      </c>
      <c r="K1268">
        <v>6.8000000000000005E-2</v>
      </c>
      <c r="L1268">
        <v>3.5999999999999999E-3</v>
      </c>
      <c r="M1268">
        <v>4.3318000000000002E-2</v>
      </c>
      <c r="N1268">
        <v>4.7475E-3</v>
      </c>
      <c r="O1268" t="s">
        <v>2833</v>
      </c>
      <c r="P1268" t="s">
        <v>2833</v>
      </c>
      <c r="Q1268" t="s">
        <v>2833</v>
      </c>
      <c r="R1268">
        <f ca="1">RAND()*(Validation[[#This Row],[Range1_High]]-Validation[[#This Row],[Range1_Low]])+Validation[[#This Row],[Range1_Low]]</f>
        <v>18.7429177306654</v>
      </c>
      <c r="S1268">
        <f>Validation[[#This Row],[Range2_High]]</f>
        <v>0</v>
      </c>
      <c r="T1268" t="str" cm="1">
        <f t="array" aca="1" ref="T1268" ca="1">RoundToTwoSigFigs(Validation[[#This Row],[Test Reading]]*Validation[[#This Row],[Mult]]+Validation[[#This Row],[Base]]) &amp;" "&amp;Validation[[#This Row],[Uncert_Units]]</f>
        <v>0.14 mA</v>
      </c>
      <c r="U1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mA</v>
      </c>
      <c r="V1268" t="b">
        <f ca="1">Validation[[#This Row],[Desired Result]]=Validation[[#This Row],[Result]]</f>
        <v>1</v>
      </c>
      <c r="W1268" t="b">
        <v>1</v>
      </c>
      <c r="X1268" t="b">
        <f>Validation[[#This Row],[Range1_Low]]&gt;=Validation[[#This Row],[Range1_High]]</f>
        <v>0</v>
      </c>
      <c r="Y1268" s="111" t="s">
        <v>2843</v>
      </c>
    </row>
    <row r="1269" spans="1:25" ht="15.75" thickTop="1" x14ac:dyDescent="0.25">
      <c r="A1269" t="s">
        <v>54</v>
      </c>
      <c r="B1269" t="s">
        <v>46</v>
      </c>
      <c r="C1269">
        <v>0</v>
      </c>
      <c r="D1269">
        <v>3.3000999999999999E-4</v>
      </c>
      <c r="E1269">
        <v>9.9999999999999995E-8</v>
      </c>
      <c r="F1269" t="s">
        <v>13</v>
      </c>
      <c r="G1269" t="s">
        <v>11</v>
      </c>
      <c r="H1269">
        <v>0</v>
      </c>
      <c r="I1269">
        <v>0</v>
      </c>
      <c r="J1269" t="s">
        <v>2833</v>
      </c>
      <c r="K1269">
        <v>6.2453000000000002E-2</v>
      </c>
      <c r="L1269">
        <v>113</v>
      </c>
      <c r="M1269">
        <v>6.2384000000000002E-2</v>
      </c>
      <c r="N1269">
        <v>113</v>
      </c>
      <c r="O1269" t="s">
        <v>2833</v>
      </c>
      <c r="P1269" t="s">
        <v>2833</v>
      </c>
      <c r="Q1269" t="s">
        <v>2833</v>
      </c>
      <c r="R1269">
        <f ca="1">RAND()*(Validation[[#This Row],[Range1_High]]-Validation[[#This Row],[Range1_Low]])+Validation[[#This Row],[Range1_Low]]</f>
        <v>2.818386266851258E-4</v>
      </c>
      <c r="S1269">
        <f>Validation[[#This Row],[Range2_High]]</f>
        <v>0</v>
      </c>
      <c r="T1269" t="str" cm="1">
        <f t="array" aca="1" ref="T1269" ca="1">RoundToTwoSigFigs(Validation[[#This Row],[Test Reading]]*Validation[[#This Row],[Mult]]+Validation[[#This Row],[Base]]) &amp;" "&amp;Validation[[#This Row],[Uncert_Units]]</f>
        <v>0.094 µA</v>
      </c>
      <c r="U1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0.094 µA</v>
      </c>
      <c r="V1269" t="b">
        <f ca="1">Validation[[#This Row],[Desired Result]]=Validation[[#This Row],[Result]]</f>
        <v>1</v>
      </c>
      <c r="W1269" t="b">
        <v>0</v>
      </c>
      <c r="X1269" t="b">
        <f>Validation[[#This Row],[Range1_Low]]&gt;=Validation[[#This Row],[Range1_High]]</f>
        <v>0</v>
      </c>
      <c r="Y1269" s="111" t="s">
        <v>2845</v>
      </c>
    </row>
    <row r="1270" spans="1:25" x14ac:dyDescent="0.25">
      <c r="A1270" t="s">
        <v>68</v>
      </c>
      <c r="B1270" t="s">
        <v>46</v>
      </c>
      <c r="C1270">
        <v>0</v>
      </c>
      <c r="D1270">
        <v>1E-4</v>
      </c>
      <c r="E1270">
        <v>9.9999999999999995E-7</v>
      </c>
      <c r="F1270" t="s">
        <v>13</v>
      </c>
      <c r="G1270" t="s">
        <v>70</v>
      </c>
      <c r="H1270">
        <v>0</v>
      </c>
      <c r="I1270">
        <v>0</v>
      </c>
      <c r="J1270" t="s">
        <v>2833</v>
      </c>
      <c r="K1270">
        <v>578.4</v>
      </c>
      <c r="L1270">
        <v>31405</v>
      </c>
      <c r="M1270">
        <v>578.39</v>
      </c>
      <c r="N1270">
        <v>31376</v>
      </c>
      <c r="O1270" t="s">
        <v>2833</v>
      </c>
      <c r="P1270" t="s">
        <v>2833</v>
      </c>
      <c r="Q1270" t="s">
        <v>2833</v>
      </c>
      <c r="R1270">
        <f ca="1">RAND()*(Validation[[#This Row],[Range1_High]]-Validation[[#This Row],[Range1_Low]])+Validation[[#This Row],[Range1_Low]]</f>
        <v>5.382608413688652E-5</v>
      </c>
      <c r="S1270">
        <f>Validation[[#This Row],[Range2_High]]</f>
        <v>0</v>
      </c>
      <c r="T1270" t="str" cm="1">
        <f t="array" aca="1" ref="T1270" ca="1">RoundToTwoSigFigs(Validation[[#This Row],[Test Reading]]*Validation[[#This Row],[Mult]]+Validation[[#This Row],[Base]]) &amp;" "&amp;Validation[[#This Row],[Uncert_Units]]</f>
        <v>580 nA</v>
      </c>
      <c r="U1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V1270" t="b">
        <f ca="1">Validation[[#This Row],[Desired Result]]=Validation[[#This Row],[Result]]</f>
        <v>1</v>
      </c>
      <c r="W1270" t="b">
        <v>0</v>
      </c>
      <c r="X1270" t="b">
        <f>Validation[[#This Row],[Range1_Low]]&gt;=Validation[[#This Row],[Range1_High]]</f>
        <v>0</v>
      </c>
      <c r="Y1270" s="111" t="s">
        <v>2845</v>
      </c>
    </row>
    <row r="1271" spans="1:25" x14ac:dyDescent="0.25">
      <c r="A1271" t="s">
        <v>68</v>
      </c>
      <c r="B1271" t="s">
        <v>46</v>
      </c>
      <c r="C1271">
        <v>1E-3</v>
      </c>
      <c r="D1271">
        <v>0.01</v>
      </c>
      <c r="E1271">
        <v>1E-3</v>
      </c>
      <c r="F1271" t="s">
        <v>13</v>
      </c>
      <c r="G1271" t="s">
        <v>11</v>
      </c>
      <c r="H1271">
        <v>0</v>
      </c>
      <c r="I1271">
        <v>0</v>
      </c>
      <c r="J1271" t="s">
        <v>2833</v>
      </c>
      <c r="K1271">
        <v>577.36</v>
      </c>
      <c r="L1271">
        <v>1.8560000000000001</v>
      </c>
      <c r="M1271">
        <v>577.36</v>
      </c>
      <c r="N1271">
        <v>1.8431</v>
      </c>
      <c r="O1271" t="s">
        <v>2833</v>
      </c>
      <c r="P1271" t="s">
        <v>2833</v>
      </c>
      <c r="Q1271" t="s">
        <v>2833</v>
      </c>
      <c r="R1271">
        <f ca="1">RAND()*(Validation[[#This Row],[Range1_High]]-Validation[[#This Row],[Range1_Low]])+Validation[[#This Row],[Range1_Low]]</f>
        <v>1.2690159400640276E-3</v>
      </c>
      <c r="S1271">
        <f>Validation[[#This Row],[Range2_High]]</f>
        <v>0</v>
      </c>
      <c r="T1271" t="str" cm="1">
        <f t="array" aca="1" ref="T1271" ca="1">RoundToTwoSigFigs(Validation[[#This Row],[Test Reading]]*Validation[[#This Row],[Mult]]+Validation[[#This Row],[Base]]) &amp;" "&amp;Validation[[#This Row],[Uncert_Units]]</f>
        <v>580 µA</v>
      </c>
      <c r="U1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271" t="b">
        <f ca="1">Validation[[#This Row],[Desired Result]]=Validation[[#This Row],[Result]]</f>
        <v>1</v>
      </c>
      <c r="W1271" t="b">
        <v>0</v>
      </c>
      <c r="X1271" t="b">
        <f>Validation[[#This Row],[Range1_Low]]&gt;=Validation[[#This Row],[Range1_High]]</f>
        <v>0</v>
      </c>
      <c r="Y1271" s="111" t="s">
        <v>2845</v>
      </c>
    </row>
    <row r="1272" spans="1:25" ht="15.75" thickBot="1" x14ac:dyDescent="0.3">
      <c r="A1272" t="s">
        <v>68</v>
      </c>
      <c r="B1272" t="s">
        <v>46</v>
      </c>
      <c r="C1272">
        <v>0.1</v>
      </c>
      <c r="D1272">
        <v>1</v>
      </c>
      <c r="E1272">
        <v>0.1</v>
      </c>
      <c r="F1272" t="s">
        <v>13</v>
      </c>
      <c r="G1272" t="s">
        <v>11</v>
      </c>
      <c r="H1272">
        <v>0</v>
      </c>
      <c r="I1272">
        <v>0</v>
      </c>
      <c r="J1272" t="s">
        <v>2833</v>
      </c>
      <c r="K1272">
        <v>57736</v>
      </c>
      <c r="L1272">
        <v>2.3778000000000001</v>
      </c>
      <c r="M1272">
        <v>57736</v>
      </c>
      <c r="N1272">
        <v>2.3649</v>
      </c>
      <c r="O1272" t="s">
        <v>2833</v>
      </c>
      <c r="P1272" t="s">
        <v>2833</v>
      </c>
      <c r="Q1272" t="s">
        <v>2833</v>
      </c>
      <c r="R1272">
        <f ca="1">RAND()*(Validation[[#This Row],[Range1_High]]-Validation[[#This Row],[Range1_Low]])+Validation[[#This Row],[Range1_Low]]</f>
        <v>0.58630602220728911</v>
      </c>
      <c r="S1272">
        <f>Validation[[#This Row],[Range2_High]]</f>
        <v>0</v>
      </c>
      <c r="T1272" t="str" cm="1">
        <f t="array" aca="1" ref="T1272" ca="1">RoundToTwoSigFigs(Validation[[#This Row],[Test Reading]]*Validation[[#This Row],[Mult]]+Validation[[#This Row],[Base]]) &amp;" "&amp;Validation[[#This Row],[Uncert_Units]]</f>
        <v>58000 µA</v>
      </c>
      <c r="U1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1272" t="b">
        <f ca="1">Validation[[#This Row],[Desired Result]]=Validation[[#This Row],[Result]]</f>
        <v>1</v>
      </c>
      <c r="W1272" t="b">
        <v>0</v>
      </c>
      <c r="X1272" t="b">
        <f>Validation[[#This Row],[Range1_Low]]&gt;=Validation[[#This Row],[Range1_High]]</f>
        <v>0</v>
      </c>
      <c r="Y1272" s="111" t="s">
        <v>2845</v>
      </c>
    </row>
    <row r="1273" spans="1:25" ht="16.5" thickTop="1" thickBot="1" x14ac:dyDescent="0.3">
      <c r="A1273" t="s">
        <v>55</v>
      </c>
      <c r="B1273" t="s">
        <v>46</v>
      </c>
      <c r="C1273" s="113">
        <v>9.9999999999999995E-7</v>
      </c>
      <c r="D1273" s="113">
        <v>1.0000000000000001E-5</v>
      </c>
      <c r="E1273">
        <v>1.0000000000000001E-9</v>
      </c>
      <c r="F1273" t="s">
        <v>13</v>
      </c>
      <c r="G1273" t="s">
        <v>70</v>
      </c>
      <c r="H1273">
        <v>0</v>
      </c>
      <c r="I1273">
        <v>0</v>
      </c>
      <c r="J1273" t="s">
        <v>2833</v>
      </c>
      <c r="K1273">
        <v>0.58396000000000003</v>
      </c>
      <c r="L1273">
        <v>10197</v>
      </c>
      <c r="M1273">
        <v>0.58374000000000004</v>
      </c>
      <c r="N1273">
        <v>10200</v>
      </c>
      <c r="O1273" t="s">
        <v>2833</v>
      </c>
      <c r="P1273" t="s">
        <v>2833</v>
      </c>
      <c r="Q1273" t="s">
        <v>2833</v>
      </c>
      <c r="R1273">
        <f ca="1">RAND()*(Validation[[#This Row],[Range1_High]]-Validation[[#This Row],[Range1_Low]])+Validation[[#This Row],[Range1_Low]]</f>
        <v>1.9116642015516826E-6</v>
      </c>
      <c r="S1273">
        <f>Validation[[#This Row],[Range2_High]]</f>
        <v>0</v>
      </c>
      <c r="T1273" t="str" cm="1">
        <f t="array" aca="1" ref="T1273" ca="1">RoundToTwoSigFigs(Validation[[#This Row],[Test Reading]]*Validation[[#This Row],[Mult]]+Validation[[#This Row],[Base]]) &amp;" "&amp;Validation[[#This Row],[Uncert_Units]]</f>
        <v>0.6 nA</v>
      </c>
      <c r="U1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nA</v>
      </c>
      <c r="V1273" t="b">
        <f ca="1">Validation[[#This Row],[Desired Result]]=Validation[[#This Row],[Result]]</f>
        <v>1</v>
      </c>
      <c r="W1273" t="b">
        <v>1</v>
      </c>
      <c r="X1273" t="b">
        <f>Validation[[#This Row],[Range1_Low]]&gt;=Validation[[#This Row],[Range1_High]]</f>
        <v>0</v>
      </c>
      <c r="Y1273" s="111" t="s">
        <v>2843</v>
      </c>
    </row>
    <row r="1274" spans="1:25" ht="16.5" thickTop="1" thickBot="1" x14ac:dyDescent="0.3">
      <c r="A1274" t="s">
        <v>68</v>
      </c>
      <c r="B1274" t="s">
        <v>46</v>
      </c>
      <c r="C1274" s="113">
        <v>0.01</v>
      </c>
      <c r="D1274" s="113">
        <v>0.1</v>
      </c>
      <c r="E1274">
        <v>1.0000000000000001E-5</v>
      </c>
      <c r="F1274" t="s">
        <v>13</v>
      </c>
      <c r="G1274" t="s">
        <v>11</v>
      </c>
      <c r="H1274">
        <v>0</v>
      </c>
      <c r="I1274">
        <v>0</v>
      </c>
      <c r="J1274" t="s">
        <v>2833</v>
      </c>
      <c r="K1274">
        <v>12.73</v>
      </c>
      <c r="L1274">
        <v>340.62</v>
      </c>
      <c r="M1274">
        <v>12.725</v>
      </c>
      <c r="N1274">
        <v>340.63</v>
      </c>
      <c r="O1274" t="s">
        <v>2833</v>
      </c>
      <c r="P1274" t="s">
        <v>2833</v>
      </c>
      <c r="Q1274" t="s">
        <v>2833</v>
      </c>
      <c r="R1274">
        <f ca="1">RAND()*(Validation[[#This Row],[Range1_High]]-Validation[[#This Row],[Range1_Low]])+Validation[[#This Row],[Range1_Low]]</f>
        <v>8.2028160711874992E-2</v>
      </c>
      <c r="S1274">
        <f>Validation[[#This Row],[Range2_High]]</f>
        <v>0</v>
      </c>
      <c r="T1274" t="str" cm="1">
        <f t="array" aca="1" ref="T1274" ca="1">RoundToTwoSigFigs(Validation[[#This Row],[Test Reading]]*Validation[[#This Row],[Mult]]+Validation[[#This Row],[Base]]) &amp;" "&amp;Validation[[#This Row],[Uncert_Units]]</f>
        <v>41 µA</v>
      </c>
      <c r="U1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µA</v>
      </c>
      <c r="V1274" t="b">
        <f ca="1">Validation[[#This Row],[Desired Result]]=Validation[[#This Row],[Result]]</f>
        <v>1</v>
      </c>
      <c r="W1274" t="b">
        <v>1</v>
      </c>
      <c r="X1274" t="b">
        <f>Validation[[#This Row],[Range1_Low]]&gt;=Validation[[#This Row],[Range1_High]]</f>
        <v>0</v>
      </c>
      <c r="Y1274" s="111" t="s">
        <v>2843</v>
      </c>
    </row>
    <row r="1275" spans="1:25" ht="16.5" thickTop="1" thickBot="1" x14ac:dyDescent="0.3">
      <c r="A1275" t="s">
        <v>54</v>
      </c>
      <c r="B1275" t="s">
        <v>46</v>
      </c>
      <c r="C1275">
        <v>20.5</v>
      </c>
      <c r="D1275">
        <v>20.6</v>
      </c>
      <c r="E1275">
        <v>0.01</v>
      </c>
      <c r="F1275" t="s">
        <v>13</v>
      </c>
      <c r="G1275" t="s">
        <v>12</v>
      </c>
      <c r="H1275">
        <v>0</v>
      </c>
      <c r="I1275">
        <v>0</v>
      </c>
      <c r="J1275" t="s">
        <v>2833</v>
      </c>
      <c r="K1275">
        <v>4.2515999999999998</v>
      </c>
      <c r="L1275">
        <v>1.0555000000000001</v>
      </c>
      <c r="M1275">
        <v>4.2550999999999997</v>
      </c>
      <c r="N1275">
        <v>1.0545</v>
      </c>
      <c r="O1275" t="s">
        <v>2833</v>
      </c>
      <c r="P1275" t="s">
        <v>2833</v>
      </c>
      <c r="Q1275" t="s">
        <v>2833</v>
      </c>
      <c r="R1275">
        <f ca="1">RAND()*(Validation[[#This Row],[Range1_High]]-Validation[[#This Row],[Range1_Low]])+Validation[[#This Row],[Range1_Low]]</f>
        <v>20.571823740688345</v>
      </c>
      <c r="S1275">
        <f>Validation[[#This Row],[Range2_High]]</f>
        <v>0</v>
      </c>
      <c r="T1275" t="str" cm="1">
        <f t="array" aca="1" ref="T1275" ca="1">RoundToTwoSigFigs(Validation[[#This Row],[Test Reading]]*Validation[[#This Row],[Mult]]+Validation[[#This Row],[Base]]) &amp;" "&amp;Validation[[#This Row],[Uncert_Units]]</f>
        <v>26 mA</v>
      </c>
      <c r="U1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V1275" t="b">
        <f ca="1">Validation[[#This Row],[Desired Result]]=Validation[[#This Row],[Result]]</f>
        <v>1</v>
      </c>
      <c r="W1275" t="b">
        <v>0</v>
      </c>
      <c r="X1275" t="b">
        <f>Validation[[#This Row],[Range1_Low]]&gt;=Validation[[#This Row],[Range1_High]]</f>
        <v>0</v>
      </c>
      <c r="Y1275" s="111" t="s">
        <v>2845</v>
      </c>
    </row>
    <row r="1276" spans="1:25" ht="16.5" thickTop="1" thickBot="1" x14ac:dyDescent="0.3">
      <c r="A1276" t="s">
        <v>68</v>
      </c>
      <c r="B1276" t="s">
        <v>46</v>
      </c>
      <c r="C1276" s="113">
        <v>1E-4</v>
      </c>
      <c r="D1276" s="113">
        <v>1E-3</v>
      </c>
      <c r="E1276">
        <v>1E-8</v>
      </c>
      <c r="F1276" t="s">
        <v>13</v>
      </c>
      <c r="G1276" t="s">
        <v>70</v>
      </c>
      <c r="H1276">
        <v>0</v>
      </c>
      <c r="I1276">
        <v>0</v>
      </c>
      <c r="J1276" t="s">
        <v>2833</v>
      </c>
      <c r="K1276">
        <v>120</v>
      </c>
      <c r="L1276">
        <v>350000</v>
      </c>
      <c r="M1276">
        <v>115.86</v>
      </c>
      <c r="N1276">
        <v>347000</v>
      </c>
      <c r="O1276" t="s">
        <v>2833</v>
      </c>
      <c r="P1276" t="s">
        <v>2833</v>
      </c>
      <c r="Q1276" t="s">
        <v>2833</v>
      </c>
      <c r="R1276">
        <f ca="1">RAND()*(Validation[[#This Row],[Range1_High]]-Validation[[#This Row],[Range1_Low]])+Validation[[#This Row],[Range1_Low]]</f>
        <v>6.1606003197961338E-4</v>
      </c>
      <c r="S1276">
        <f>Validation[[#This Row],[Range2_High]]</f>
        <v>0</v>
      </c>
      <c r="T1276" t="str" cm="1">
        <f t="array" aca="1" ref="T1276" ca="1">RoundToTwoSigFigs(Validation[[#This Row],[Test Reading]]*Validation[[#This Row],[Mult]]+Validation[[#This Row],[Base]]) &amp;" "&amp;Validation[[#This Row],[Uncert_Units]]</f>
        <v>340 nA</v>
      </c>
      <c r="U1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nA</v>
      </c>
      <c r="V1276" t="b">
        <f ca="1">Validation[[#This Row],[Desired Result]]=Validation[[#This Row],[Result]]</f>
        <v>1</v>
      </c>
      <c r="W1276" t="b">
        <v>1</v>
      </c>
      <c r="X1276" t="b">
        <f>Validation[[#This Row],[Range1_Low]]&gt;=Validation[[#This Row],[Range1_High]]</f>
        <v>0</v>
      </c>
      <c r="Y1276" s="111" t="s">
        <v>2843</v>
      </c>
    </row>
    <row r="1277" spans="1:25" ht="16.5" thickTop="1" thickBot="1" x14ac:dyDescent="0.3">
      <c r="A1277" t="s">
        <v>68</v>
      </c>
      <c r="B1277" t="s">
        <v>46</v>
      </c>
      <c r="C1277" s="113">
        <v>0.1</v>
      </c>
      <c r="D1277" s="113">
        <v>1</v>
      </c>
      <c r="E1277">
        <v>1E-3</v>
      </c>
      <c r="F1277" t="s">
        <v>13</v>
      </c>
      <c r="G1277" t="s">
        <v>11</v>
      </c>
      <c r="H1277">
        <v>0</v>
      </c>
      <c r="I1277">
        <v>0</v>
      </c>
      <c r="J1277" t="s">
        <v>2833</v>
      </c>
      <c r="K1277">
        <v>594.75</v>
      </c>
      <c r="L1277">
        <v>194.63</v>
      </c>
      <c r="M1277">
        <v>594.71</v>
      </c>
      <c r="N1277">
        <v>194.58</v>
      </c>
      <c r="O1277" t="s">
        <v>2833</v>
      </c>
      <c r="P1277" t="s">
        <v>2833</v>
      </c>
      <c r="Q1277" t="s">
        <v>2833</v>
      </c>
      <c r="R1277">
        <f ca="1">RAND()*(Validation[[#This Row],[Range1_High]]-Validation[[#This Row],[Range1_Low]])+Validation[[#This Row],[Range1_Low]]</f>
        <v>0.96246391639622553</v>
      </c>
      <c r="S1277">
        <f>Validation[[#This Row],[Range2_High]]</f>
        <v>0</v>
      </c>
      <c r="T1277" t="str" cm="1">
        <f t="array" aca="1" ref="T1277" ca="1">RoundToTwoSigFigs(Validation[[#This Row],[Test Reading]]*Validation[[#This Row],[Mult]]+Validation[[#This Row],[Base]]) &amp;" "&amp;Validation[[#This Row],[Uncert_Units]]</f>
        <v>780 µA</v>
      </c>
      <c r="U1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µA</v>
      </c>
      <c r="V1277" t="b">
        <f ca="1">Validation[[#This Row],[Desired Result]]=Validation[[#This Row],[Result]]</f>
        <v>1</v>
      </c>
      <c r="W1277" t="b">
        <v>1</v>
      </c>
      <c r="X1277" t="b">
        <f>Validation[[#This Row],[Range1_Low]]&gt;=Validation[[#This Row],[Range1_High]]</f>
        <v>0</v>
      </c>
      <c r="Y1277" s="111" t="s">
        <v>2843</v>
      </c>
    </row>
    <row r="1278" spans="1:25" ht="15.75" thickTop="1" x14ac:dyDescent="0.25">
      <c r="A1278" t="s">
        <v>54</v>
      </c>
      <c r="B1278" t="s">
        <v>46</v>
      </c>
      <c r="C1278">
        <v>3.3E-3</v>
      </c>
      <c r="D1278">
        <v>3.3001000000000003E-2</v>
      </c>
      <c r="E1278">
        <v>1E-3</v>
      </c>
      <c r="F1278" t="s">
        <v>13</v>
      </c>
      <c r="G1278" t="s">
        <v>11</v>
      </c>
      <c r="H1278">
        <v>0</v>
      </c>
      <c r="I1278">
        <v>0</v>
      </c>
      <c r="J1278" t="s">
        <v>2833</v>
      </c>
      <c r="K1278">
        <v>580</v>
      </c>
      <c r="L1278">
        <v>0.74075999999999997</v>
      </c>
      <c r="M1278">
        <v>580</v>
      </c>
      <c r="N1278">
        <v>0.71564000000000005</v>
      </c>
      <c r="O1278" t="s">
        <v>2833</v>
      </c>
      <c r="P1278" t="s">
        <v>2833</v>
      </c>
      <c r="Q1278" t="s">
        <v>2833</v>
      </c>
      <c r="R1278">
        <f ca="1">RAND()*(Validation[[#This Row],[Range1_High]]-Validation[[#This Row],[Range1_Low]])+Validation[[#This Row],[Range1_Low]]</f>
        <v>1.0677989012161838E-2</v>
      </c>
      <c r="S1278">
        <f>Validation[[#This Row],[Range2_High]]</f>
        <v>0</v>
      </c>
      <c r="T1278" t="str" cm="1">
        <f t="array" aca="1" ref="T1278" ca="1">RoundToTwoSigFigs(Validation[[#This Row],[Test Reading]]*Validation[[#This Row],[Mult]]+Validation[[#This Row],[Base]]) &amp;" "&amp;Validation[[#This Row],[Uncert_Units]]</f>
        <v>580 µA</v>
      </c>
      <c r="U1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278" t="b">
        <f ca="1">Validation[[#This Row],[Desired Result]]=Validation[[#This Row],[Result]]</f>
        <v>1</v>
      </c>
      <c r="W1278" t="b">
        <v>0</v>
      </c>
      <c r="X1278" t="b">
        <f>Validation[[#This Row],[Range1_Low]]&gt;=Validation[[#This Row],[Range1_High]]</f>
        <v>0</v>
      </c>
      <c r="Y1278" s="111" t="s">
        <v>2845</v>
      </c>
    </row>
    <row r="1279" spans="1:25" x14ac:dyDescent="0.25">
      <c r="A1279" t="s">
        <v>55</v>
      </c>
      <c r="B1279" t="s">
        <v>46</v>
      </c>
      <c r="C1279">
        <v>9.9999999999999995E-7</v>
      </c>
      <c r="D1279">
        <v>1.0000000000000001E-5</v>
      </c>
      <c r="E1279">
        <v>1E-8</v>
      </c>
      <c r="F1279" t="s">
        <v>13</v>
      </c>
      <c r="G1279" t="s">
        <v>70</v>
      </c>
      <c r="H1279">
        <v>0</v>
      </c>
      <c r="I1279">
        <v>0</v>
      </c>
      <c r="J1279" t="s">
        <v>2833</v>
      </c>
      <c r="K1279">
        <v>5.7742000000000004</v>
      </c>
      <c r="L1279">
        <v>1129.0999999999999</v>
      </c>
      <c r="M1279">
        <v>5.7740999999999998</v>
      </c>
      <c r="N1279">
        <v>1129.0999999999999</v>
      </c>
      <c r="O1279" t="s">
        <v>2833</v>
      </c>
      <c r="P1279" t="s">
        <v>2833</v>
      </c>
      <c r="Q1279" t="s">
        <v>2833</v>
      </c>
      <c r="R1279">
        <f ca="1">RAND()*(Validation[[#This Row],[Range1_High]]-Validation[[#This Row],[Range1_Low]])+Validation[[#This Row],[Range1_Low]]</f>
        <v>7.4351646706124221E-6</v>
      </c>
      <c r="S1279">
        <f>Validation[[#This Row],[Range2_High]]</f>
        <v>0</v>
      </c>
      <c r="T1279" t="str" cm="1">
        <f t="array" aca="1" ref="T1279" ca="1">RoundToTwoSigFigs(Validation[[#This Row],[Test Reading]]*Validation[[#This Row],[Mult]]+Validation[[#This Row],[Base]]) &amp;" "&amp;Validation[[#This Row],[Uncert_Units]]</f>
        <v>5.8 nA</v>
      </c>
      <c r="U1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V1279" t="b">
        <f ca="1">Validation[[#This Row],[Desired Result]]=Validation[[#This Row],[Result]]</f>
        <v>1</v>
      </c>
      <c r="W1279" t="b">
        <v>0</v>
      </c>
      <c r="X1279" t="b">
        <f>Validation[[#This Row],[Range1_Low]]&gt;=Validation[[#This Row],[Range1_High]]</f>
        <v>0</v>
      </c>
      <c r="Y1279" s="111" t="s">
        <v>2845</v>
      </c>
    </row>
    <row r="1280" spans="1:25" x14ac:dyDescent="0.25">
      <c r="A1280" t="s">
        <v>55</v>
      </c>
      <c r="B1280" t="s">
        <v>46</v>
      </c>
      <c r="C1280">
        <v>1E-4</v>
      </c>
      <c r="D1280">
        <v>1E-3</v>
      </c>
      <c r="E1280">
        <v>9.9999999999999995E-7</v>
      </c>
      <c r="F1280" t="s">
        <v>13</v>
      </c>
      <c r="G1280" t="s">
        <v>70</v>
      </c>
      <c r="H1280">
        <v>0</v>
      </c>
      <c r="I1280">
        <v>0</v>
      </c>
      <c r="J1280" t="s">
        <v>2833</v>
      </c>
      <c r="K1280">
        <v>577.34</v>
      </c>
      <c r="L1280">
        <v>770.78</v>
      </c>
      <c r="M1280">
        <v>577.34</v>
      </c>
      <c r="N1280">
        <v>762.27</v>
      </c>
      <c r="O1280" t="s">
        <v>2833</v>
      </c>
      <c r="P1280" t="s">
        <v>2833</v>
      </c>
      <c r="Q1280" t="s">
        <v>2833</v>
      </c>
      <c r="R1280">
        <f ca="1">RAND()*(Validation[[#This Row],[Range1_High]]-Validation[[#This Row],[Range1_Low]])+Validation[[#This Row],[Range1_Low]]</f>
        <v>9.0496268424686776E-4</v>
      </c>
      <c r="S1280">
        <f>Validation[[#This Row],[Range2_High]]</f>
        <v>0</v>
      </c>
      <c r="T1280" t="str" cm="1">
        <f t="array" aca="1" ref="T1280" ca="1">RoundToTwoSigFigs(Validation[[#This Row],[Test Reading]]*Validation[[#This Row],[Mult]]+Validation[[#This Row],[Base]]) &amp;" "&amp;Validation[[#This Row],[Uncert_Units]]</f>
        <v>580 nA</v>
      </c>
      <c r="U1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V1280" t="b">
        <f ca="1">Validation[[#This Row],[Desired Result]]=Validation[[#This Row],[Result]]</f>
        <v>1</v>
      </c>
      <c r="W1280" t="b">
        <v>0</v>
      </c>
      <c r="X1280" t="b">
        <f>Validation[[#This Row],[Range1_Low]]&gt;=Validation[[#This Row],[Range1_High]]</f>
        <v>0</v>
      </c>
      <c r="Y1280" s="111" t="s">
        <v>2845</v>
      </c>
    </row>
    <row r="1281" spans="1:25" x14ac:dyDescent="0.25">
      <c r="A1281" t="s">
        <v>54</v>
      </c>
      <c r="B1281" t="s">
        <v>46</v>
      </c>
      <c r="C1281">
        <v>20.5</v>
      </c>
      <c r="D1281">
        <v>20.6</v>
      </c>
      <c r="E1281">
        <v>1E-3</v>
      </c>
      <c r="F1281" t="s">
        <v>13</v>
      </c>
      <c r="G1281" t="s">
        <v>12</v>
      </c>
      <c r="H1281">
        <v>0</v>
      </c>
      <c r="I1281">
        <v>0</v>
      </c>
      <c r="J1281" t="s">
        <v>2833</v>
      </c>
      <c r="K1281">
        <v>2.7</v>
      </c>
      <c r="L1281">
        <v>1.1006</v>
      </c>
      <c r="M1281">
        <v>2.6625999999999999</v>
      </c>
      <c r="N1281">
        <v>1.1004</v>
      </c>
      <c r="O1281" t="s">
        <v>2833</v>
      </c>
      <c r="P1281" t="s">
        <v>2833</v>
      </c>
      <c r="Q1281" t="s">
        <v>2833</v>
      </c>
      <c r="R1281">
        <f ca="1">RAND()*(Validation[[#This Row],[Range1_High]]-Validation[[#This Row],[Range1_Low]])+Validation[[#This Row],[Range1_Low]]</f>
        <v>20.507135390613989</v>
      </c>
      <c r="S1281">
        <f>Validation[[#This Row],[Range2_High]]</f>
        <v>0</v>
      </c>
      <c r="T1281" t="str" cm="1">
        <f t="array" aca="1" ref="T1281" ca="1">RoundToTwoSigFigs(Validation[[#This Row],[Test Reading]]*Validation[[#This Row],[Mult]]+Validation[[#This Row],[Base]]) &amp;" "&amp;Validation[[#This Row],[Uncert_Units]]</f>
        <v>25 mA</v>
      </c>
      <c r="U1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V1281" t="b">
        <f ca="1">Validation[[#This Row],[Desired Result]]=Validation[[#This Row],[Result]]</f>
        <v>1</v>
      </c>
      <c r="W1281" t="b">
        <v>0</v>
      </c>
      <c r="X1281" t="b">
        <f>Validation[[#This Row],[Range1_Low]]&gt;=Validation[[#This Row],[Range1_High]]</f>
        <v>0</v>
      </c>
      <c r="Y1281" s="111" t="s">
        <v>2845</v>
      </c>
    </row>
    <row r="1282" spans="1:25" x14ac:dyDescent="0.25">
      <c r="A1282" t="s">
        <v>55</v>
      </c>
      <c r="B1282" t="s">
        <v>46</v>
      </c>
      <c r="C1282">
        <v>0</v>
      </c>
      <c r="D1282">
        <v>9.9999999999999995E-8</v>
      </c>
      <c r="E1282">
        <v>9.9999999999999995E-8</v>
      </c>
      <c r="F1282" t="s">
        <v>13</v>
      </c>
      <c r="G1282" t="s">
        <v>70</v>
      </c>
      <c r="H1282">
        <v>0</v>
      </c>
      <c r="I1282">
        <v>0</v>
      </c>
      <c r="J1282" t="s">
        <v>2833</v>
      </c>
      <c r="K1282">
        <v>57.735999999999997</v>
      </c>
      <c r="L1282">
        <v>193.97</v>
      </c>
      <c r="M1282">
        <v>57.735999999999997</v>
      </c>
      <c r="N1282">
        <v>28.803000000000001</v>
      </c>
      <c r="O1282" t="s">
        <v>2833</v>
      </c>
      <c r="P1282" t="s">
        <v>2833</v>
      </c>
      <c r="Q1282" t="s">
        <v>2833</v>
      </c>
      <c r="R1282">
        <f ca="1">RAND()*(Validation[[#This Row],[Range1_High]]-Validation[[#This Row],[Range1_Low]])+Validation[[#This Row],[Range1_Low]]</f>
        <v>4.7135325902030928E-8</v>
      </c>
      <c r="S1282">
        <f>Validation[[#This Row],[Range2_High]]</f>
        <v>0</v>
      </c>
      <c r="T1282" t="str" cm="1">
        <f t="array" aca="1" ref="T1282" ca="1">RoundToTwoSigFigs(Validation[[#This Row],[Test Reading]]*Validation[[#This Row],[Mult]]+Validation[[#This Row],[Base]]) &amp;" "&amp;Validation[[#This Row],[Uncert_Units]]</f>
        <v>58 nA</v>
      </c>
      <c r="U1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V1282" t="b">
        <f ca="1">Validation[[#This Row],[Desired Result]]=Validation[[#This Row],[Result]]</f>
        <v>1</v>
      </c>
      <c r="W1282" t="b">
        <v>0</v>
      </c>
      <c r="X1282" t="b">
        <f>Validation[[#This Row],[Range1_Low]]&gt;=Validation[[#This Row],[Range1_High]]</f>
        <v>0</v>
      </c>
      <c r="Y1282" s="111" t="s">
        <v>2845</v>
      </c>
    </row>
    <row r="1283" spans="1:25" x14ac:dyDescent="0.25">
      <c r="A1283" t="s">
        <v>54</v>
      </c>
      <c r="B1283" t="s">
        <v>46</v>
      </c>
      <c r="C1283">
        <v>3.3E-4</v>
      </c>
      <c r="D1283">
        <v>3.3000999999999998E-3</v>
      </c>
      <c r="E1283">
        <v>1.0000000000000001E-5</v>
      </c>
      <c r="F1283" t="s">
        <v>13</v>
      </c>
      <c r="G1283" t="s">
        <v>11</v>
      </c>
      <c r="H1283">
        <v>0</v>
      </c>
      <c r="I1283">
        <v>0</v>
      </c>
      <c r="J1283" t="s">
        <v>2833</v>
      </c>
      <c r="K1283">
        <v>5.7988999999999997</v>
      </c>
      <c r="L1283">
        <v>9.0556999999999999</v>
      </c>
      <c r="M1283">
        <v>5.7980999999999998</v>
      </c>
      <c r="N1283">
        <v>8.8116000000000003</v>
      </c>
      <c r="O1283" t="s">
        <v>2833</v>
      </c>
      <c r="P1283" t="s">
        <v>2833</v>
      </c>
      <c r="Q1283" t="s">
        <v>2833</v>
      </c>
      <c r="R1283">
        <f ca="1">RAND()*(Validation[[#This Row],[Range1_High]]-Validation[[#This Row],[Range1_Low]])+Validation[[#This Row],[Range1_Low]]</f>
        <v>4.7021143630820479E-4</v>
      </c>
      <c r="S1283">
        <f>Validation[[#This Row],[Range2_High]]</f>
        <v>0</v>
      </c>
      <c r="T1283" t="str" cm="1">
        <f t="array" aca="1" ref="T1283" ca="1">RoundToTwoSigFigs(Validation[[#This Row],[Test Reading]]*Validation[[#This Row],[Mult]]+Validation[[#This Row],[Base]]) &amp;" "&amp;Validation[[#This Row],[Uncert_Units]]</f>
        <v>5.8 µA</v>
      </c>
      <c r="U1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283" t="b">
        <f ca="1">Validation[[#This Row],[Desired Result]]=Validation[[#This Row],[Result]]</f>
        <v>1</v>
      </c>
      <c r="W1283" t="b">
        <v>0</v>
      </c>
      <c r="X1283" t="b">
        <f>Validation[[#This Row],[Range1_Low]]&gt;=Validation[[#This Row],[Range1_High]]</f>
        <v>0</v>
      </c>
      <c r="Y1283" s="111" t="s">
        <v>2845</v>
      </c>
    </row>
    <row r="1284" spans="1:25" ht="15.75" thickBot="1" x14ac:dyDescent="0.3">
      <c r="A1284" t="s">
        <v>55</v>
      </c>
      <c r="B1284" t="s">
        <v>46</v>
      </c>
      <c r="C1284">
        <v>1E-3</v>
      </c>
      <c r="D1284">
        <v>0.01</v>
      </c>
      <c r="E1284">
        <v>1E-4</v>
      </c>
      <c r="F1284" t="s">
        <v>13</v>
      </c>
      <c r="G1284" t="s">
        <v>11</v>
      </c>
      <c r="H1284">
        <v>0</v>
      </c>
      <c r="I1284">
        <v>0</v>
      </c>
      <c r="J1284" t="s">
        <v>2833</v>
      </c>
      <c r="K1284">
        <v>57.735999999999997</v>
      </c>
      <c r="L1284">
        <v>7.9884999999999998E-2</v>
      </c>
      <c r="M1284">
        <v>57.734999999999999</v>
      </c>
      <c r="N1284">
        <v>7.6479000000000005E-2</v>
      </c>
      <c r="O1284" t="s">
        <v>2833</v>
      </c>
      <c r="P1284" t="s">
        <v>2833</v>
      </c>
      <c r="Q1284" t="s">
        <v>2833</v>
      </c>
      <c r="R1284">
        <f ca="1">RAND()*(Validation[[#This Row],[Range1_High]]-Validation[[#This Row],[Range1_Low]])+Validation[[#This Row],[Range1_Low]]</f>
        <v>5.4835489293758935E-3</v>
      </c>
      <c r="S1284">
        <f>Validation[[#This Row],[Range2_High]]</f>
        <v>0</v>
      </c>
      <c r="T1284" t="str" cm="1">
        <f t="array" aca="1" ref="T1284" ca="1">RoundToTwoSigFigs(Validation[[#This Row],[Test Reading]]*Validation[[#This Row],[Mult]]+Validation[[#This Row],[Base]]) &amp;" "&amp;Validation[[#This Row],[Uncert_Units]]</f>
        <v>58 µA</v>
      </c>
      <c r="U1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284" t="b">
        <f ca="1">Validation[[#This Row],[Desired Result]]=Validation[[#This Row],[Result]]</f>
        <v>1</v>
      </c>
      <c r="W1284" t="b">
        <v>0</v>
      </c>
      <c r="X1284" t="b">
        <f>Validation[[#This Row],[Range1_Low]]&gt;=Validation[[#This Row],[Range1_High]]</f>
        <v>0</v>
      </c>
      <c r="Y1284" s="111" t="s">
        <v>2845</v>
      </c>
    </row>
    <row r="1285" spans="1:25" ht="16.5" thickTop="1" thickBot="1" x14ac:dyDescent="0.3">
      <c r="A1285" t="s">
        <v>55</v>
      </c>
      <c r="B1285" t="s">
        <v>46</v>
      </c>
      <c r="C1285" s="113">
        <v>9.9999999999999995E-7</v>
      </c>
      <c r="D1285" s="113">
        <v>1.0000000000000001E-5</v>
      </c>
      <c r="E1285">
        <v>9.9999999999999998E-13</v>
      </c>
      <c r="F1285" t="s">
        <v>13</v>
      </c>
      <c r="G1285" t="s">
        <v>70</v>
      </c>
      <c r="H1285">
        <v>0</v>
      </c>
      <c r="I1285">
        <v>0</v>
      </c>
      <c r="J1285" t="s">
        <v>2833</v>
      </c>
      <c r="K1285">
        <v>0.13</v>
      </c>
      <c r="L1285">
        <v>25000</v>
      </c>
      <c r="M1285">
        <v>0.11375</v>
      </c>
      <c r="N1285">
        <v>25625</v>
      </c>
      <c r="O1285" t="s">
        <v>2833</v>
      </c>
      <c r="P1285" t="s">
        <v>2833</v>
      </c>
      <c r="Q1285" t="s">
        <v>2833</v>
      </c>
      <c r="R1285">
        <f ca="1">RAND()*(Validation[[#This Row],[Range1_High]]-Validation[[#This Row],[Range1_Low]])+Validation[[#This Row],[Range1_Low]]</f>
        <v>7.3551606096304213E-6</v>
      </c>
      <c r="S1285">
        <f>Validation[[#This Row],[Range2_High]]</f>
        <v>0</v>
      </c>
      <c r="T1285" t="str" cm="1">
        <f t="array" aca="1" ref="T1285" ca="1">RoundToTwoSigFigs(Validation[[#This Row],[Test Reading]]*Validation[[#This Row],[Mult]]+Validation[[#This Row],[Base]]) &amp;" "&amp;Validation[[#This Row],[Uncert_Units]]</f>
        <v>0.31 nA</v>
      </c>
      <c r="U1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nA</v>
      </c>
      <c r="V1285" t="b">
        <f ca="1">Validation[[#This Row],[Desired Result]]=Validation[[#This Row],[Result]]</f>
        <v>1</v>
      </c>
      <c r="W1285" t="b">
        <v>1</v>
      </c>
      <c r="X1285" t="b">
        <f>Validation[[#This Row],[Range1_Low]]&gt;=Validation[[#This Row],[Range1_High]]</f>
        <v>0</v>
      </c>
      <c r="Y1285" s="111" t="s">
        <v>2843</v>
      </c>
    </row>
    <row r="1286" spans="1:25" ht="16.5" thickTop="1" thickBot="1" x14ac:dyDescent="0.3">
      <c r="A1286" t="s">
        <v>54</v>
      </c>
      <c r="B1286" t="s">
        <v>46</v>
      </c>
      <c r="C1286" s="113">
        <v>0.33</v>
      </c>
      <c r="D1286" s="113">
        <v>3.0001000000000002</v>
      </c>
      <c r="E1286">
        <v>1E-4</v>
      </c>
      <c r="F1286" t="s">
        <v>13</v>
      </c>
      <c r="G1286" t="s">
        <v>12</v>
      </c>
      <c r="H1286">
        <v>0</v>
      </c>
      <c r="I1286">
        <v>0</v>
      </c>
      <c r="J1286" t="s">
        <v>2833</v>
      </c>
      <c r="K1286">
        <v>6.0248999999999997E-2</v>
      </c>
      <c r="L1286">
        <v>0.43614000000000003</v>
      </c>
      <c r="M1286">
        <v>6.0204000000000001E-2</v>
      </c>
      <c r="N1286">
        <v>0.43607000000000001</v>
      </c>
      <c r="O1286" t="s">
        <v>2833</v>
      </c>
      <c r="P1286" t="s">
        <v>2833</v>
      </c>
      <c r="Q1286" t="s">
        <v>2833</v>
      </c>
      <c r="R1286">
        <f ca="1">RAND()*(Validation[[#This Row],[Range1_High]]-Validation[[#This Row],[Range1_Low]])+Validation[[#This Row],[Range1_Low]]</f>
        <v>0.48185070452667855</v>
      </c>
      <c r="S1286">
        <f>Validation[[#This Row],[Range2_High]]</f>
        <v>0</v>
      </c>
      <c r="T1286" t="str" cm="1">
        <f t="array" aca="1" ref="T1286" ca="1">RoundToTwoSigFigs(Validation[[#This Row],[Test Reading]]*Validation[[#This Row],[Mult]]+Validation[[#This Row],[Base]]) &amp;" "&amp;Validation[[#This Row],[Uncert_Units]]</f>
        <v>0.27 mA</v>
      </c>
      <c r="U1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mA</v>
      </c>
      <c r="V1286" t="b">
        <f ca="1">Validation[[#This Row],[Desired Result]]=Validation[[#This Row],[Result]]</f>
        <v>1</v>
      </c>
      <c r="W1286" t="b">
        <v>1</v>
      </c>
      <c r="X1286" t="b">
        <f>Validation[[#This Row],[Range1_Low]]&gt;=Validation[[#This Row],[Range1_High]]</f>
        <v>0</v>
      </c>
      <c r="Y1286" s="111" t="s">
        <v>2843</v>
      </c>
    </row>
    <row r="1287" spans="1:25" ht="16.5" thickTop="1" thickBot="1" x14ac:dyDescent="0.3">
      <c r="A1287" t="s">
        <v>68</v>
      </c>
      <c r="B1287" t="s">
        <v>46</v>
      </c>
      <c r="C1287" s="113">
        <v>0.01</v>
      </c>
      <c r="D1287" s="113">
        <v>0.1</v>
      </c>
      <c r="E1287">
        <v>9.9999999999999995E-7</v>
      </c>
      <c r="F1287" t="s">
        <v>13</v>
      </c>
      <c r="G1287" t="s">
        <v>11</v>
      </c>
      <c r="H1287">
        <v>0</v>
      </c>
      <c r="I1287">
        <v>0</v>
      </c>
      <c r="J1287" t="s">
        <v>2833</v>
      </c>
      <c r="K1287">
        <v>12</v>
      </c>
      <c r="L1287">
        <v>350</v>
      </c>
      <c r="M1287">
        <v>11.589</v>
      </c>
      <c r="N1287">
        <v>348.45</v>
      </c>
      <c r="O1287" t="s">
        <v>2833</v>
      </c>
      <c r="P1287" t="s">
        <v>2833</v>
      </c>
      <c r="Q1287" t="s">
        <v>2833</v>
      </c>
      <c r="R1287">
        <f ca="1">RAND()*(Validation[[#This Row],[Range1_High]]-Validation[[#This Row],[Range1_Low]])+Validation[[#This Row],[Range1_Low]]</f>
        <v>1.2370080190330346E-2</v>
      </c>
      <c r="S1287">
        <f>Validation[[#This Row],[Range2_High]]</f>
        <v>0</v>
      </c>
      <c r="T1287" t="str" cm="1">
        <f t="array" aca="1" ref="T1287" ca="1">RoundToTwoSigFigs(Validation[[#This Row],[Test Reading]]*Validation[[#This Row],[Mult]]+Validation[[#This Row],[Base]]) &amp;" "&amp;Validation[[#This Row],[Uncert_Units]]</f>
        <v>16 µA</v>
      </c>
      <c r="U1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V1287" t="b">
        <f ca="1">Validation[[#This Row],[Desired Result]]=Validation[[#This Row],[Result]]</f>
        <v>1</v>
      </c>
      <c r="W1287" t="b">
        <v>1</v>
      </c>
      <c r="X1287" t="b">
        <f>Validation[[#This Row],[Range1_Low]]&gt;=Validation[[#This Row],[Range1_High]]</f>
        <v>0</v>
      </c>
      <c r="Y1287" s="111" t="s">
        <v>2843</v>
      </c>
    </row>
    <row r="1288" spans="1:25" ht="16.5" thickTop="1" thickBot="1" x14ac:dyDescent="0.3">
      <c r="A1288" t="s">
        <v>55</v>
      </c>
      <c r="B1288" t="s">
        <v>46</v>
      </c>
      <c r="C1288" s="113">
        <v>1.0000000000000001E-5</v>
      </c>
      <c r="D1288" s="113">
        <v>1E-4</v>
      </c>
      <c r="E1288">
        <v>9.9999999999999994E-12</v>
      </c>
      <c r="F1288" t="s">
        <v>13</v>
      </c>
      <c r="G1288" t="s">
        <v>70</v>
      </c>
      <c r="H1288">
        <v>0</v>
      </c>
      <c r="I1288">
        <v>0</v>
      </c>
      <c r="J1288" t="s">
        <v>2833</v>
      </c>
      <c r="K1288">
        <v>0.16</v>
      </c>
      <c r="L1288">
        <v>23000</v>
      </c>
      <c r="M1288">
        <v>0.11411</v>
      </c>
      <c r="N1288">
        <v>23000</v>
      </c>
      <c r="O1288" t="s">
        <v>2833</v>
      </c>
      <c r="P1288" t="s">
        <v>2833</v>
      </c>
      <c r="Q1288" t="s">
        <v>2833</v>
      </c>
      <c r="R1288">
        <f ca="1">RAND()*(Validation[[#This Row],[Range1_High]]-Validation[[#This Row],[Range1_Low]])+Validation[[#This Row],[Range1_Low]]</f>
        <v>9.1151932243911077E-5</v>
      </c>
      <c r="S1288">
        <f>Validation[[#This Row],[Range2_High]]</f>
        <v>0</v>
      </c>
      <c r="T1288" t="str" cm="1">
        <f t="array" aca="1" ref="T1288" ca="1">RoundToTwoSigFigs(Validation[[#This Row],[Test Reading]]*Validation[[#This Row],[Mult]]+Validation[[#This Row],[Base]]) &amp;" "&amp;Validation[[#This Row],[Uncert_Units]]</f>
        <v>2.3 nA</v>
      </c>
      <c r="U1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nA</v>
      </c>
      <c r="V1288" t="b">
        <f ca="1">Validation[[#This Row],[Desired Result]]=Validation[[#This Row],[Result]]</f>
        <v>1</v>
      </c>
      <c r="W1288" t="b">
        <v>1</v>
      </c>
      <c r="X1288" t="b">
        <f>Validation[[#This Row],[Range1_Low]]&gt;=Validation[[#This Row],[Range1_High]]</f>
        <v>0</v>
      </c>
      <c r="Y1288" s="111" t="s">
        <v>2843</v>
      </c>
    </row>
    <row r="1289" spans="1:25" ht="16.5" thickTop="1" thickBot="1" x14ac:dyDescent="0.3">
      <c r="A1289" t="s">
        <v>54</v>
      </c>
      <c r="B1289" t="s">
        <v>46</v>
      </c>
      <c r="C1289" s="113">
        <v>3</v>
      </c>
      <c r="D1289" s="113">
        <v>11.000999999999999</v>
      </c>
      <c r="E1289">
        <v>1E-4</v>
      </c>
      <c r="F1289" t="s">
        <v>13</v>
      </c>
      <c r="G1289" t="s">
        <v>12</v>
      </c>
      <c r="H1289">
        <v>0</v>
      </c>
      <c r="I1289">
        <v>0</v>
      </c>
      <c r="J1289" t="s">
        <v>2833</v>
      </c>
      <c r="K1289">
        <v>-2.4E-2</v>
      </c>
      <c r="L1289">
        <v>0.92</v>
      </c>
      <c r="M1289">
        <v>-2.4618999999999999E-2</v>
      </c>
      <c r="N1289">
        <v>0.91522999999999999</v>
      </c>
      <c r="O1289" t="s">
        <v>2833</v>
      </c>
      <c r="P1289" t="s">
        <v>2833</v>
      </c>
      <c r="Q1289" t="s">
        <v>2833</v>
      </c>
      <c r="R1289">
        <f ca="1">RAND()*(Validation[[#This Row],[Range1_High]]-Validation[[#This Row],[Range1_Low]])+Validation[[#This Row],[Range1_Low]]</f>
        <v>10.435028757193988</v>
      </c>
      <c r="S1289">
        <f>Validation[[#This Row],[Range2_High]]</f>
        <v>0</v>
      </c>
      <c r="T1289" t="str" cm="1">
        <f t="array" aca="1" ref="T1289" ca="1">RoundToTwoSigFigs(Validation[[#This Row],[Test Reading]]*Validation[[#This Row],[Mult]]+Validation[[#This Row],[Base]]) &amp;" "&amp;Validation[[#This Row],[Uncert_Units]]</f>
        <v>9.6 mA</v>
      </c>
      <c r="U1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mA</v>
      </c>
      <c r="V1289" t="b">
        <f ca="1">Validation[[#This Row],[Desired Result]]=Validation[[#This Row],[Result]]</f>
        <v>1</v>
      </c>
      <c r="W1289" t="b">
        <v>1</v>
      </c>
      <c r="X1289" t="b">
        <f>Validation[[#This Row],[Range1_Low]]&gt;=Validation[[#This Row],[Range1_High]]</f>
        <v>0</v>
      </c>
      <c r="Y1289" s="111" t="s">
        <v>2843</v>
      </c>
    </row>
    <row r="1290" spans="1:25" ht="16.5" thickTop="1" thickBot="1" x14ac:dyDescent="0.3">
      <c r="A1290" t="s">
        <v>55</v>
      </c>
      <c r="B1290" t="s">
        <v>46</v>
      </c>
      <c r="C1290">
        <v>1.0000000000000001E-5</v>
      </c>
      <c r="D1290">
        <v>1E-4</v>
      </c>
      <c r="E1290">
        <v>1E-8</v>
      </c>
      <c r="F1290" t="s">
        <v>13</v>
      </c>
      <c r="G1290" t="s">
        <v>70</v>
      </c>
      <c r="H1290">
        <v>0</v>
      </c>
      <c r="I1290">
        <v>0</v>
      </c>
      <c r="J1290" t="s">
        <v>2833</v>
      </c>
      <c r="K1290">
        <v>5.7304000000000004</v>
      </c>
      <c r="L1290">
        <v>5486.9</v>
      </c>
      <c r="M1290">
        <v>5.7294</v>
      </c>
      <c r="N1290">
        <v>5486.9</v>
      </c>
      <c r="O1290" t="s">
        <v>2833</v>
      </c>
      <c r="P1290" t="s">
        <v>2833</v>
      </c>
      <c r="Q1290" t="s">
        <v>2833</v>
      </c>
      <c r="R1290">
        <f ca="1">RAND()*(Validation[[#This Row],[Range1_High]]-Validation[[#This Row],[Range1_Low]])+Validation[[#This Row],[Range1_Low]]</f>
        <v>2.3720877512126659E-5</v>
      </c>
      <c r="S1290">
        <f>Validation[[#This Row],[Range2_High]]</f>
        <v>0</v>
      </c>
      <c r="T1290" t="str" cm="1">
        <f t="array" aca="1" ref="T1290" ca="1">RoundToTwoSigFigs(Validation[[#This Row],[Test Reading]]*Validation[[#This Row],[Mult]]+Validation[[#This Row],[Base]]) &amp;" "&amp;Validation[[#This Row],[Uncert_Units]]</f>
        <v>5.9 nA</v>
      </c>
      <c r="U1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nA</v>
      </c>
      <c r="V1290" t="b">
        <f ca="1">Validation[[#This Row],[Desired Result]]=Validation[[#This Row],[Result]]</f>
        <v>1</v>
      </c>
      <c r="W1290" t="b">
        <v>0</v>
      </c>
      <c r="X1290" t="b">
        <f>Validation[[#This Row],[Range1_Low]]&gt;=Validation[[#This Row],[Range1_High]]</f>
        <v>0</v>
      </c>
      <c r="Y1290" s="111" t="s">
        <v>2845</v>
      </c>
    </row>
    <row r="1291" spans="1:25" ht="16.5" thickTop="1" thickBot="1" x14ac:dyDescent="0.3">
      <c r="A1291" t="s">
        <v>55</v>
      </c>
      <c r="B1291" t="s">
        <v>46</v>
      </c>
      <c r="C1291" s="113">
        <v>1</v>
      </c>
      <c r="D1291" s="113">
        <v>20</v>
      </c>
      <c r="E1291">
        <v>9.9999999999999995E-7</v>
      </c>
      <c r="F1291" t="s">
        <v>13</v>
      </c>
      <c r="G1291" t="s">
        <v>12</v>
      </c>
      <c r="H1291">
        <v>0</v>
      </c>
      <c r="I1291">
        <v>0</v>
      </c>
      <c r="J1291" t="s">
        <v>2833</v>
      </c>
      <c r="K1291">
        <v>6.8000000000000005E-2</v>
      </c>
      <c r="L1291">
        <v>3.5999999999999999E-3</v>
      </c>
      <c r="M1291">
        <v>4.2999999999999997E-2</v>
      </c>
      <c r="N1291">
        <v>4.7600000000000003E-3</v>
      </c>
      <c r="O1291" t="s">
        <v>2833</v>
      </c>
      <c r="P1291" t="s">
        <v>2833</v>
      </c>
      <c r="Q1291" t="s">
        <v>2833</v>
      </c>
      <c r="R1291">
        <f ca="1">RAND()*(Validation[[#This Row],[Range1_High]]-Validation[[#This Row],[Range1_Low]])+Validation[[#This Row],[Range1_Low]]</f>
        <v>10.825116807177929</v>
      </c>
      <c r="S1291">
        <f>Validation[[#This Row],[Range2_High]]</f>
        <v>0</v>
      </c>
      <c r="T1291" t="str" cm="1">
        <f t="array" aca="1" ref="T1291" ca="1">RoundToTwoSigFigs(Validation[[#This Row],[Test Reading]]*Validation[[#This Row],[Mult]]+Validation[[#This Row],[Base]]) &amp;" "&amp;Validation[[#This Row],[Uncert_Units]]</f>
        <v>0.11 mA</v>
      </c>
      <c r="U1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mA</v>
      </c>
      <c r="V1291" t="b">
        <f ca="1">Validation[[#This Row],[Desired Result]]=Validation[[#This Row],[Result]]</f>
        <v>1</v>
      </c>
      <c r="W1291" t="b">
        <v>1</v>
      </c>
      <c r="X1291" t="b">
        <f>Validation[[#This Row],[Range1_Low]]&gt;=Validation[[#This Row],[Range1_High]]</f>
        <v>0</v>
      </c>
      <c r="Y1291" s="111" t="s">
        <v>2843</v>
      </c>
    </row>
    <row r="1292" spans="1:25" ht="15.75" thickTop="1" x14ac:dyDescent="0.25">
      <c r="A1292" t="s">
        <v>54</v>
      </c>
      <c r="B1292" t="s">
        <v>46</v>
      </c>
      <c r="C1292">
        <v>0</v>
      </c>
      <c r="D1292">
        <v>3.3000999999999999E-4</v>
      </c>
      <c r="E1292">
        <v>9.9999999999999995E-7</v>
      </c>
      <c r="F1292" t="s">
        <v>13</v>
      </c>
      <c r="G1292" t="s">
        <v>11</v>
      </c>
      <c r="H1292">
        <v>0</v>
      </c>
      <c r="I1292">
        <v>0</v>
      </c>
      <c r="J1292" t="s">
        <v>2833</v>
      </c>
      <c r="K1292">
        <v>0.58048</v>
      </c>
      <c r="L1292">
        <v>15.8</v>
      </c>
      <c r="M1292">
        <v>0.58045000000000002</v>
      </c>
      <c r="N1292">
        <v>15.6</v>
      </c>
      <c r="O1292" t="s">
        <v>2833</v>
      </c>
      <c r="P1292" t="s">
        <v>2833</v>
      </c>
      <c r="Q1292" t="s">
        <v>2833</v>
      </c>
      <c r="R1292">
        <f ca="1">RAND()*(Validation[[#This Row],[Range1_High]]-Validation[[#This Row],[Range1_Low]])+Validation[[#This Row],[Range1_Low]]</f>
        <v>8.1646791675768978E-5</v>
      </c>
      <c r="S1292">
        <f>Validation[[#This Row],[Range2_High]]</f>
        <v>0</v>
      </c>
      <c r="T1292" t="str" cm="1">
        <f t="array" aca="1" ref="T1292" ca="1">RoundToTwoSigFigs(Validation[[#This Row],[Test Reading]]*Validation[[#This Row],[Mult]]+Validation[[#This Row],[Base]]) &amp;" "&amp;Validation[[#This Row],[Uncert_Units]]</f>
        <v>0.58 µA</v>
      </c>
      <c r="U1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V1292" t="b">
        <f ca="1">Validation[[#This Row],[Desired Result]]=Validation[[#This Row],[Result]]</f>
        <v>1</v>
      </c>
      <c r="W1292" t="b">
        <v>0</v>
      </c>
      <c r="X1292" t="b">
        <f>Validation[[#This Row],[Range1_Low]]&gt;=Validation[[#This Row],[Range1_High]]</f>
        <v>0</v>
      </c>
      <c r="Y1292" s="111" t="s">
        <v>2845</v>
      </c>
    </row>
    <row r="1293" spans="1:25" ht="15.75" thickBot="1" x14ac:dyDescent="0.3">
      <c r="A1293" t="s">
        <v>55</v>
      </c>
      <c r="B1293" t="s">
        <v>46</v>
      </c>
      <c r="C1293">
        <v>0.1</v>
      </c>
      <c r="D1293">
        <v>1</v>
      </c>
      <c r="E1293">
        <v>1E-3</v>
      </c>
      <c r="F1293" t="s">
        <v>13</v>
      </c>
      <c r="G1293" t="s">
        <v>11</v>
      </c>
      <c r="H1293">
        <v>0</v>
      </c>
      <c r="I1293">
        <v>0</v>
      </c>
      <c r="J1293" t="s">
        <v>2833</v>
      </c>
      <c r="K1293">
        <v>576.12</v>
      </c>
      <c r="L1293">
        <v>17.673999999999999</v>
      </c>
      <c r="M1293">
        <v>576.1</v>
      </c>
      <c r="N1293">
        <v>17.7</v>
      </c>
      <c r="O1293" t="s">
        <v>2833</v>
      </c>
      <c r="P1293" t="s">
        <v>2833</v>
      </c>
      <c r="Q1293" t="s">
        <v>2833</v>
      </c>
      <c r="R1293">
        <f ca="1">RAND()*(Validation[[#This Row],[Range1_High]]-Validation[[#This Row],[Range1_Low]])+Validation[[#This Row],[Range1_Low]]</f>
        <v>0.74819994820388191</v>
      </c>
      <c r="S1293">
        <f>Validation[[#This Row],[Range2_High]]</f>
        <v>0</v>
      </c>
      <c r="T1293" t="str" cm="1">
        <f t="array" aca="1" ref="T1293" ca="1">RoundToTwoSigFigs(Validation[[#This Row],[Test Reading]]*Validation[[#This Row],[Mult]]+Validation[[#This Row],[Base]]) &amp;" "&amp;Validation[[#This Row],[Uncert_Units]]</f>
        <v>590 µA</v>
      </c>
      <c r="U1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V1293" t="b">
        <f ca="1">Validation[[#This Row],[Desired Result]]=Validation[[#This Row],[Result]]</f>
        <v>1</v>
      </c>
      <c r="W1293" t="b">
        <v>0</v>
      </c>
      <c r="X1293" t="b">
        <f>Validation[[#This Row],[Range1_Low]]&gt;=Validation[[#This Row],[Range1_High]]</f>
        <v>0</v>
      </c>
      <c r="Y1293" s="111" t="s">
        <v>2845</v>
      </c>
    </row>
    <row r="1294" spans="1:25" ht="16.5" thickTop="1" thickBot="1" x14ac:dyDescent="0.3">
      <c r="A1294" t="s">
        <v>54</v>
      </c>
      <c r="B1294" t="s">
        <v>46</v>
      </c>
      <c r="C1294" s="113">
        <v>3.3000000000000002E-2</v>
      </c>
      <c r="D1294" s="113">
        <v>0.33001000000000003</v>
      </c>
      <c r="E1294">
        <v>1.0000000000000001E-5</v>
      </c>
      <c r="F1294" t="s">
        <v>13</v>
      </c>
      <c r="G1294" t="s">
        <v>11</v>
      </c>
      <c r="H1294">
        <v>0</v>
      </c>
      <c r="I1294">
        <v>0</v>
      </c>
      <c r="J1294" t="s">
        <v>2833</v>
      </c>
      <c r="K1294">
        <v>5.2853000000000003</v>
      </c>
      <c r="L1294">
        <v>109.48</v>
      </c>
      <c r="M1294">
        <v>5.266</v>
      </c>
      <c r="N1294">
        <v>109.51</v>
      </c>
      <c r="O1294" t="s">
        <v>2833</v>
      </c>
      <c r="P1294" t="s">
        <v>2833</v>
      </c>
      <c r="Q1294" t="s">
        <v>2833</v>
      </c>
      <c r="R1294">
        <f ca="1">RAND()*(Validation[[#This Row],[Range1_High]]-Validation[[#This Row],[Range1_Low]])+Validation[[#This Row],[Range1_Low]]</f>
        <v>0.11224432368677333</v>
      </c>
      <c r="S1294">
        <f>Validation[[#This Row],[Range2_High]]</f>
        <v>0</v>
      </c>
      <c r="T1294" t="str" cm="1">
        <f t="array" aca="1" ref="T1294" ca="1">RoundToTwoSigFigs(Validation[[#This Row],[Test Reading]]*Validation[[#This Row],[Mult]]+Validation[[#This Row],[Base]]) &amp;" "&amp;Validation[[#This Row],[Uncert_Units]]</f>
        <v>18 µA</v>
      </c>
      <c r="U1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V1294" t="b">
        <f ca="1">Validation[[#This Row],[Desired Result]]=Validation[[#This Row],[Result]]</f>
        <v>1</v>
      </c>
      <c r="W1294" t="b">
        <v>1</v>
      </c>
      <c r="X1294" t="b">
        <f>Validation[[#This Row],[Range1_Low]]&gt;=Validation[[#This Row],[Range1_High]]</f>
        <v>0</v>
      </c>
      <c r="Y1294" s="111" t="s">
        <v>2843</v>
      </c>
    </row>
    <row r="1295" spans="1:25" ht="16.5" thickTop="1" thickBot="1" x14ac:dyDescent="0.3">
      <c r="A1295" t="s">
        <v>54</v>
      </c>
      <c r="B1295" t="s">
        <v>58</v>
      </c>
      <c r="C1295" s="113">
        <v>110</v>
      </c>
      <c r="D1295" s="113">
        <v>205</v>
      </c>
      <c r="E1295">
        <v>0.01</v>
      </c>
      <c r="F1295" t="s">
        <v>13</v>
      </c>
      <c r="G1295" t="s">
        <v>12</v>
      </c>
      <c r="H1295">
        <v>0</v>
      </c>
      <c r="I1295">
        <v>0</v>
      </c>
      <c r="J1295" t="s">
        <v>2833</v>
      </c>
      <c r="K1295">
        <v>6.5</v>
      </c>
      <c r="L1295">
        <v>2.2999999999999998</v>
      </c>
      <c r="M1295">
        <v>4.5922000000000001</v>
      </c>
      <c r="N1295">
        <v>2.3086000000000002</v>
      </c>
      <c r="O1295" t="s">
        <v>2833</v>
      </c>
      <c r="P1295" t="s">
        <v>157</v>
      </c>
      <c r="Q1295" t="s">
        <v>2833</v>
      </c>
      <c r="R1295">
        <f ca="1">RAND()*(Validation[[#This Row],[Range1_High]]-Validation[[#This Row],[Range1_Low]])+Validation[[#This Row],[Range1_Low]]</f>
        <v>118.68808928308873</v>
      </c>
      <c r="S1295">
        <f>Validation[[#This Row],[Range2_High]]</f>
        <v>0</v>
      </c>
      <c r="T1295" t="str" cm="1">
        <f t="array" aca="1" ref="T1295" ca="1">RoundToTwoSigFigs(Validation[[#This Row],[Test Reading]]*Validation[[#This Row],[Mult]]+Validation[[#This Row],[Base]]) &amp;" "&amp;Validation[[#This Row],[Uncert_Units]]</f>
        <v>280 mA</v>
      </c>
      <c r="U1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V1295" t="b">
        <f ca="1">Validation[[#This Row],[Desired Result]]=Validation[[#This Row],[Result]]</f>
        <v>1</v>
      </c>
      <c r="W1295" t="b">
        <v>1</v>
      </c>
      <c r="X1295" t="b">
        <f>Validation[[#This Row],[Range1_Low]]&gt;=Validation[[#This Row],[Range1_High]]</f>
        <v>0</v>
      </c>
      <c r="Y1295" s="111" t="s">
        <v>2843</v>
      </c>
    </row>
    <row r="1296" spans="1:25" ht="16.5" thickTop="1" thickBot="1" x14ac:dyDescent="0.3">
      <c r="A1296" t="s">
        <v>54</v>
      </c>
      <c r="B1296" t="s">
        <v>58</v>
      </c>
      <c r="C1296" s="113">
        <v>11</v>
      </c>
      <c r="D1296" s="113">
        <v>30.001000000000001</v>
      </c>
      <c r="E1296">
        <v>1E-3</v>
      </c>
      <c r="F1296" t="s">
        <v>13</v>
      </c>
      <c r="G1296" t="s">
        <v>12</v>
      </c>
      <c r="H1296">
        <v>0</v>
      </c>
      <c r="I1296">
        <v>0</v>
      </c>
      <c r="J1296" t="s">
        <v>2833</v>
      </c>
      <c r="K1296">
        <v>1.6</v>
      </c>
      <c r="L1296">
        <v>2</v>
      </c>
      <c r="M1296">
        <v>0.12764</v>
      </c>
      <c r="N1296">
        <v>2.0470999999999999</v>
      </c>
      <c r="O1296" t="s">
        <v>2833</v>
      </c>
      <c r="P1296" t="s">
        <v>157</v>
      </c>
      <c r="Q1296" t="s">
        <v>2833</v>
      </c>
      <c r="R1296">
        <f ca="1">RAND()*(Validation[[#This Row],[Range1_High]]-Validation[[#This Row],[Range1_Low]])+Validation[[#This Row],[Range1_Low]]</f>
        <v>23.477129623608864</v>
      </c>
      <c r="S1296">
        <f>Validation[[#This Row],[Range2_High]]</f>
        <v>0</v>
      </c>
      <c r="T1296" t="str" cm="1">
        <f t="array" aca="1" ref="T1296" ca="1">RoundToTwoSigFigs(Validation[[#This Row],[Test Reading]]*Validation[[#This Row],[Mult]]+Validation[[#This Row],[Base]]) &amp;" "&amp;Validation[[#This Row],[Uncert_Units]]</f>
        <v>49 mA</v>
      </c>
      <c r="U1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mA</v>
      </c>
      <c r="V1296" t="b">
        <f ca="1">Validation[[#This Row],[Desired Result]]=Validation[[#This Row],[Result]]</f>
        <v>1</v>
      </c>
      <c r="W1296" t="b">
        <v>1</v>
      </c>
      <c r="X1296" t="b">
        <f>Validation[[#This Row],[Range1_Low]]&gt;=Validation[[#This Row],[Range1_High]]</f>
        <v>0</v>
      </c>
      <c r="Y1296" s="111" t="s">
        <v>2843</v>
      </c>
    </row>
    <row r="1297" spans="1:25" ht="15.75" thickTop="1" x14ac:dyDescent="0.25">
      <c r="A1297" t="s">
        <v>68</v>
      </c>
      <c r="B1297" t="s">
        <v>58</v>
      </c>
      <c r="C1297">
        <v>10</v>
      </c>
      <c r="D1297">
        <v>102</v>
      </c>
      <c r="E1297">
        <v>10</v>
      </c>
      <c r="F1297" t="s">
        <v>13</v>
      </c>
      <c r="G1297" t="s">
        <v>12</v>
      </c>
      <c r="H1297">
        <v>0</v>
      </c>
      <c r="I1297">
        <v>0</v>
      </c>
      <c r="J1297" t="s">
        <v>2833</v>
      </c>
      <c r="K1297">
        <v>57735</v>
      </c>
      <c r="L1297">
        <v>4.4850999999999997E-3</v>
      </c>
      <c r="M1297">
        <v>57735</v>
      </c>
      <c r="N1297">
        <v>4.4377000000000002E-3</v>
      </c>
      <c r="O1297" t="s">
        <v>2833</v>
      </c>
      <c r="P1297" t="s">
        <v>157</v>
      </c>
      <c r="Q1297" t="s">
        <v>2833</v>
      </c>
      <c r="R1297">
        <f ca="1">RAND()*(Validation[[#This Row],[Range1_High]]-Validation[[#This Row],[Range1_Low]])+Validation[[#This Row],[Range1_Low]]</f>
        <v>44.469355709740377</v>
      </c>
      <c r="S1297">
        <f>Validation[[#This Row],[Range2_High]]</f>
        <v>0</v>
      </c>
      <c r="T1297" t="str" cm="1">
        <f t="array" aca="1" ref="T1297" ca="1">RoundToTwoSigFigs(Validation[[#This Row],[Test Reading]]*Validation[[#This Row],[Mult]]+Validation[[#This Row],[Base]]) &amp;" "&amp;Validation[[#This Row],[Uncert_Units]]</f>
        <v>58000 mA</v>
      </c>
      <c r="U1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297" t="b">
        <f ca="1">Validation[[#This Row],[Desired Result]]=Validation[[#This Row],[Result]]</f>
        <v>1</v>
      </c>
      <c r="W1297" t="b">
        <v>0</v>
      </c>
      <c r="X1297" t="b">
        <f>Validation[[#This Row],[Range1_Low]]&gt;=Validation[[#This Row],[Range1_High]]</f>
        <v>0</v>
      </c>
      <c r="Y1297" s="111" t="s">
        <v>2845</v>
      </c>
    </row>
    <row r="1298" spans="1:25" x14ac:dyDescent="0.25">
      <c r="A1298" t="s">
        <v>68</v>
      </c>
      <c r="B1298" t="s">
        <v>58</v>
      </c>
      <c r="C1298">
        <v>10</v>
      </c>
      <c r="D1298">
        <v>102</v>
      </c>
      <c r="E1298">
        <v>1E-3</v>
      </c>
      <c r="F1298" t="s">
        <v>13</v>
      </c>
      <c r="G1298" t="s">
        <v>12</v>
      </c>
      <c r="H1298">
        <v>0</v>
      </c>
      <c r="I1298">
        <v>0</v>
      </c>
      <c r="J1298" t="s">
        <v>2833</v>
      </c>
      <c r="K1298">
        <v>16</v>
      </c>
      <c r="L1298">
        <v>2.0045000000000002</v>
      </c>
      <c r="M1298">
        <v>15.566000000000001</v>
      </c>
      <c r="N1298">
        <v>2.0045000000000002</v>
      </c>
      <c r="O1298" t="s">
        <v>2833</v>
      </c>
      <c r="P1298" t="s">
        <v>157</v>
      </c>
      <c r="Q1298" t="s">
        <v>2833</v>
      </c>
      <c r="R1298">
        <f ca="1">RAND()*(Validation[[#This Row],[Range1_High]]-Validation[[#This Row],[Range1_Low]])+Validation[[#This Row],[Range1_Low]]</f>
        <v>56.313188333167439</v>
      </c>
      <c r="S1298">
        <f>Validation[[#This Row],[Range2_High]]</f>
        <v>0</v>
      </c>
      <c r="T1298" t="str" cm="1">
        <f t="array" aca="1" ref="T1298" ca="1">RoundToTwoSigFigs(Validation[[#This Row],[Test Reading]]*Validation[[#This Row],[Mult]]+Validation[[#This Row],[Base]]) &amp;" "&amp;Validation[[#This Row],[Uncert_Units]]</f>
        <v>130 mA</v>
      </c>
      <c r="U1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V1298" t="b">
        <f ca="1">Validation[[#This Row],[Desired Result]]=Validation[[#This Row],[Result]]</f>
        <v>1</v>
      </c>
      <c r="W1298" t="b">
        <v>0</v>
      </c>
      <c r="X1298" t="b">
        <f>Validation[[#This Row],[Range1_Low]]&gt;=Validation[[#This Row],[Range1_High]]</f>
        <v>0</v>
      </c>
      <c r="Y1298" s="111" t="s">
        <v>2845</v>
      </c>
    </row>
    <row r="1299" spans="1:25" ht="15.75" thickBot="1" x14ac:dyDescent="0.3">
      <c r="A1299" t="s">
        <v>54</v>
      </c>
      <c r="B1299" t="s">
        <v>58</v>
      </c>
      <c r="C1299">
        <v>205</v>
      </c>
      <c r="D1299">
        <v>206</v>
      </c>
      <c r="E1299">
        <v>10</v>
      </c>
      <c r="F1299" t="s">
        <v>13</v>
      </c>
      <c r="G1299" t="s">
        <v>12</v>
      </c>
      <c r="H1299">
        <v>0</v>
      </c>
      <c r="I1299">
        <v>0</v>
      </c>
      <c r="J1299" t="s">
        <v>2833</v>
      </c>
      <c r="K1299">
        <v>5763.1</v>
      </c>
      <c r="L1299">
        <v>0.14824000000000001</v>
      </c>
      <c r="M1299">
        <v>5763.2</v>
      </c>
      <c r="N1299">
        <v>0.1469</v>
      </c>
      <c r="O1299" t="s">
        <v>2833</v>
      </c>
      <c r="P1299" t="s">
        <v>157</v>
      </c>
      <c r="Q1299" t="s">
        <v>2833</v>
      </c>
      <c r="R1299">
        <f ca="1">RAND()*(Validation[[#This Row],[Range1_High]]-Validation[[#This Row],[Range1_Low]])+Validation[[#This Row],[Range1_Low]]</f>
        <v>205.22769720929784</v>
      </c>
      <c r="S1299">
        <f>Validation[[#This Row],[Range2_High]]</f>
        <v>0</v>
      </c>
      <c r="T1299" t="str" cm="1">
        <f t="array" aca="1" ref="T1299" ca="1">RoundToTwoSigFigs(Validation[[#This Row],[Test Reading]]*Validation[[#This Row],[Mult]]+Validation[[#This Row],[Base]]) &amp;" "&amp;Validation[[#This Row],[Uncert_Units]]</f>
        <v>5800 mA</v>
      </c>
      <c r="U1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299" t="b">
        <f ca="1">Validation[[#This Row],[Desired Result]]=Validation[[#This Row],[Result]]</f>
        <v>1</v>
      </c>
      <c r="W1299" t="b">
        <v>0</v>
      </c>
      <c r="X1299" t="b">
        <f>Validation[[#This Row],[Range1_Low]]&gt;=Validation[[#This Row],[Range1_High]]</f>
        <v>0</v>
      </c>
      <c r="Y1299" s="111" t="s">
        <v>2845</v>
      </c>
    </row>
    <row r="1300" spans="1:25" ht="16.5" thickTop="1" thickBot="1" x14ac:dyDescent="0.3">
      <c r="A1300" t="s">
        <v>54</v>
      </c>
      <c r="B1300" t="s">
        <v>58</v>
      </c>
      <c r="C1300" s="113">
        <v>110</v>
      </c>
      <c r="D1300" s="113">
        <v>205</v>
      </c>
      <c r="E1300">
        <v>0.1</v>
      </c>
      <c r="F1300" t="s">
        <v>13</v>
      </c>
      <c r="G1300" t="s">
        <v>12</v>
      </c>
      <c r="H1300">
        <v>0</v>
      </c>
      <c r="I1300">
        <v>0</v>
      </c>
      <c r="J1300" t="s">
        <v>2833</v>
      </c>
      <c r="K1300">
        <v>14.301</v>
      </c>
      <c r="L1300">
        <v>2.2787999999999999</v>
      </c>
      <c r="M1300">
        <v>14.221</v>
      </c>
      <c r="N1300">
        <v>2.2784</v>
      </c>
      <c r="O1300" t="s">
        <v>2833</v>
      </c>
      <c r="P1300" t="s">
        <v>157</v>
      </c>
      <c r="Q1300" t="s">
        <v>2833</v>
      </c>
      <c r="R1300">
        <f ca="1">RAND()*(Validation[[#This Row],[Range1_High]]-Validation[[#This Row],[Range1_Low]])+Validation[[#This Row],[Range1_Low]]</f>
        <v>142.75494021899175</v>
      </c>
      <c r="S1300">
        <f>Validation[[#This Row],[Range2_High]]</f>
        <v>0</v>
      </c>
      <c r="T1300" t="str" cm="1">
        <f t="array" aca="1" ref="T1300" ca="1">RoundToTwoSigFigs(Validation[[#This Row],[Test Reading]]*Validation[[#This Row],[Mult]]+Validation[[#This Row],[Base]]) &amp;" "&amp;Validation[[#This Row],[Uncert_Units]]</f>
        <v>340 mA</v>
      </c>
      <c r="U1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V1300" t="b">
        <f ca="1">Validation[[#This Row],[Desired Result]]=Validation[[#This Row],[Result]]</f>
        <v>1</v>
      </c>
      <c r="W1300" t="b">
        <v>1</v>
      </c>
      <c r="X1300" t="b">
        <f>Validation[[#This Row],[Range1_Low]]&gt;=Validation[[#This Row],[Range1_High]]</f>
        <v>0</v>
      </c>
      <c r="Y1300" s="111" t="s">
        <v>2843</v>
      </c>
    </row>
    <row r="1301" spans="1:25" ht="15.75" thickTop="1" x14ac:dyDescent="0.25">
      <c r="A1301" t="s">
        <v>54</v>
      </c>
      <c r="B1301" t="s">
        <v>58</v>
      </c>
      <c r="C1301">
        <v>30</v>
      </c>
      <c r="D1301">
        <v>110.01</v>
      </c>
      <c r="E1301">
        <v>1</v>
      </c>
      <c r="F1301" t="s">
        <v>13</v>
      </c>
      <c r="G1301" t="s">
        <v>12</v>
      </c>
      <c r="H1301">
        <v>0</v>
      </c>
      <c r="I1301">
        <v>0</v>
      </c>
      <c r="J1301" t="s">
        <v>2833</v>
      </c>
      <c r="K1301">
        <v>565.25</v>
      </c>
      <c r="L1301">
        <v>0.52854000000000001</v>
      </c>
      <c r="M1301">
        <v>565.25</v>
      </c>
      <c r="N1301">
        <v>0.52742999999999995</v>
      </c>
      <c r="O1301" t="s">
        <v>2833</v>
      </c>
      <c r="P1301" t="s">
        <v>157</v>
      </c>
      <c r="Q1301" t="s">
        <v>2833</v>
      </c>
      <c r="R1301">
        <f ca="1">RAND()*(Validation[[#This Row],[Range1_High]]-Validation[[#This Row],[Range1_Low]])+Validation[[#This Row],[Range1_Low]]</f>
        <v>31.710781679128093</v>
      </c>
      <c r="S1301">
        <f>Validation[[#This Row],[Range2_High]]</f>
        <v>0</v>
      </c>
      <c r="T1301" t="str" cm="1">
        <f t="array" aca="1" ref="T1301" ca="1">RoundToTwoSigFigs(Validation[[#This Row],[Test Reading]]*Validation[[#This Row],[Mult]]+Validation[[#This Row],[Base]]) &amp;" "&amp;Validation[[#This Row],[Uncert_Units]]</f>
        <v>580 mA</v>
      </c>
      <c r="U1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1301" t="b">
        <f ca="1">Validation[[#This Row],[Desired Result]]=Validation[[#This Row],[Result]]</f>
        <v>1</v>
      </c>
      <c r="W1301" t="b">
        <v>0</v>
      </c>
      <c r="X1301" t="b">
        <f>Validation[[#This Row],[Range1_Low]]&gt;=Validation[[#This Row],[Range1_High]]</f>
        <v>0</v>
      </c>
      <c r="Y1301" s="111" t="s">
        <v>2845</v>
      </c>
    </row>
    <row r="1302" spans="1:25" x14ac:dyDescent="0.25">
      <c r="A1302" t="s">
        <v>54</v>
      </c>
      <c r="B1302" t="s">
        <v>58</v>
      </c>
      <c r="C1302">
        <v>1</v>
      </c>
      <c r="D1302">
        <v>11.000999999999999</v>
      </c>
      <c r="E1302">
        <v>0.01</v>
      </c>
      <c r="F1302" t="s">
        <v>13</v>
      </c>
      <c r="G1302" t="s">
        <v>12</v>
      </c>
      <c r="H1302">
        <v>0</v>
      </c>
      <c r="I1302">
        <v>0</v>
      </c>
      <c r="J1302" t="s">
        <v>2833</v>
      </c>
      <c r="K1302">
        <v>4.4751000000000003</v>
      </c>
      <c r="L1302">
        <v>1.6631</v>
      </c>
      <c r="M1302">
        <v>4.4718</v>
      </c>
      <c r="N1302">
        <v>1.6632</v>
      </c>
      <c r="O1302" t="s">
        <v>2833</v>
      </c>
      <c r="P1302" t="s">
        <v>157</v>
      </c>
      <c r="Q1302" t="s">
        <v>2833</v>
      </c>
      <c r="R1302">
        <f ca="1">RAND()*(Validation[[#This Row],[Range1_High]]-Validation[[#This Row],[Range1_Low]])+Validation[[#This Row],[Range1_Low]]</f>
        <v>2.3415380301667454</v>
      </c>
      <c r="S1302">
        <f>Validation[[#This Row],[Range2_High]]</f>
        <v>0</v>
      </c>
      <c r="T1302" t="str" cm="1">
        <f t="array" aca="1" ref="T1302" ca="1">RoundToTwoSigFigs(Validation[[#This Row],[Test Reading]]*Validation[[#This Row],[Mult]]+Validation[[#This Row],[Base]]) &amp;" "&amp;Validation[[#This Row],[Uncert_Units]]</f>
        <v>8.4 mA</v>
      </c>
      <c r="U1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V1302" t="b">
        <f ca="1">Validation[[#This Row],[Desired Result]]=Validation[[#This Row],[Result]]</f>
        <v>1</v>
      </c>
      <c r="W1302" t="b">
        <v>0</v>
      </c>
      <c r="X1302" t="b">
        <f>Validation[[#This Row],[Range1_Low]]&gt;=Validation[[#This Row],[Range1_High]]</f>
        <v>0</v>
      </c>
      <c r="Y1302" s="111" t="s">
        <v>2845</v>
      </c>
    </row>
    <row r="1303" spans="1:25" ht="15.75" thickBot="1" x14ac:dyDescent="0.3">
      <c r="A1303" t="s">
        <v>54</v>
      </c>
      <c r="B1303" t="s">
        <v>58</v>
      </c>
      <c r="C1303">
        <v>30</v>
      </c>
      <c r="D1303">
        <v>110.01</v>
      </c>
      <c r="E1303">
        <v>100</v>
      </c>
      <c r="F1303" t="s">
        <v>13</v>
      </c>
      <c r="G1303" t="s">
        <v>12</v>
      </c>
      <c r="H1303">
        <v>0</v>
      </c>
      <c r="I1303">
        <v>0</v>
      </c>
      <c r="J1303" t="s">
        <v>2833</v>
      </c>
      <c r="K1303">
        <v>57735</v>
      </c>
      <c r="L1303">
        <v>5.6968000000000001E-3</v>
      </c>
      <c r="M1303">
        <v>57735</v>
      </c>
      <c r="N1303">
        <v>5.5009999999999998E-3</v>
      </c>
      <c r="O1303" t="s">
        <v>2833</v>
      </c>
      <c r="P1303" t="s">
        <v>157</v>
      </c>
      <c r="Q1303" t="s">
        <v>2833</v>
      </c>
      <c r="R1303">
        <f ca="1">RAND()*(Validation[[#This Row],[Range1_High]]-Validation[[#This Row],[Range1_Low]])+Validation[[#This Row],[Range1_Low]]</f>
        <v>60.454648831377071</v>
      </c>
      <c r="S1303">
        <f>Validation[[#This Row],[Range2_High]]</f>
        <v>0</v>
      </c>
      <c r="T1303" t="str" cm="1">
        <f t="array" aca="1" ref="T1303" ca="1">RoundToTwoSigFigs(Validation[[#This Row],[Test Reading]]*Validation[[#This Row],[Mult]]+Validation[[#This Row],[Base]]) &amp;" "&amp;Validation[[#This Row],[Uncert_Units]]</f>
        <v>58000 mA</v>
      </c>
      <c r="U1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303" t="b">
        <f ca="1">Validation[[#This Row],[Desired Result]]=Validation[[#This Row],[Result]]</f>
        <v>1</v>
      </c>
      <c r="W1303" t="b">
        <v>0</v>
      </c>
      <c r="X1303" t="b">
        <f>Validation[[#This Row],[Range1_Low]]&gt;=Validation[[#This Row],[Range1_High]]</f>
        <v>0</v>
      </c>
      <c r="Y1303" s="111" t="s">
        <v>2845</v>
      </c>
    </row>
    <row r="1304" spans="1:25" ht="16.5" thickTop="1" thickBot="1" x14ac:dyDescent="0.3">
      <c r="A1304" t="s">
        <v>54</v>
      </c>
      <c r="B1304" t="s">
        <v>58</v>
      </c>
      <c r="C1304" s="113">
        <v>30</v>
      </c>
      <c r="D1304" s="113">
        <v>110.01</v>
      </c>
      <c r="E1304">
        <v>0.1</v>
      </c>
      <c r="F1304" t="s">
        <v>13</v>
      </c>
      <c r="G1304" t="s">
        <v>12</v>
      </c>
      <c r="H1304">
        <v>0</v>
      </c>
      <c r="I1304">
        <v>0</v>
      </c>
      <c r="J1304" t="s">
        <v>2833</v>
      </c>
      <c r="K1304">
        <v>29.550999999999998</v>
      </c>
      <c r="L1304">
        <v>1.93</v>
      </c>
      <c r="M1304">
        <v>29.510999999999999</v>
      </c>
      <c r="N1304">
        <v>1.9297</v>
      </c>
      <c r="O1304" t="s">
        <v>2833</v>
      </c>
      <c r="P1304" t="s">
        <v>157</v>
      </c>
      <c r="Q1304" t="s">
        <v>2833</v>
      </c>
      <c r="R1304">
        <f ca="1">RAND()*(Validation[[#This Row],[Range1_High]]-Validation[[#This Row],[Range1_Low]])+Validation[[#This Row],[Range1_Low]]</f>
        <v>97.877062122964901</v>
      </c>
      <c r="S1304">
        <f>Validation[[#This Row],[Range2_High]]</f>
        <v>0</v>
      </c>
      <c r="T1304" t="str" cm="1">
        <f t="array" aca="1" ref="T1304" ca="1">RoundToTwoSigFigs(Validation[[#This Row],[Test Reading]]*Validation[[#This Row],[Mult]]+Validation[[#This Row],[Base]]) &amp;" "&amp;Validation[[#This Row],[Uncert_Units]]</f>
        <v>220 mA</v>
      </c>
      <c r="U1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V1304" t="b">
        <f ca="1">Validation[[#This Row],[Desired Result]]=Validation[[#This Row],[Result]]</f>
        <v>1</v>
      </c>
      <c r="W1304" t="b">
        <v>1</v>
      </c>
      <c r="X1304" t="b">
        <f>Validation[[#This Row],[Range1_Low]]&gt;=Validation[[#This Row],[Range1_High]]</f>
        <v>0</v>
      </c>
      <c r="Y1304" s="111" t="s">
        <v>2843</v>
      </c>
    </row>
    <row r="1305" spans="1:25" ht="16.5" thickTop="1" thickBot="1" x14ac:dyDescent="0.3">
      <c r="A1305" t="s">
        <v>68</v>
      </c>
      <c r="B1305" t="s">
        <v>58</v>
      </c>
      <c r="C1305">
        <v>10</v>
      </c>
      <c r="D1305">
        <v>102</v>
      </c>
      <c r="E1305">
        <v>1</v>
      </c>
      <c r="F1305" t="s">
        <v>13</v>
      </c>
      <c r="G1305" t="s">
        <v>12</v>
      </c>
      <c r="H1305">
        <v>0</v>
      </c>
      <c r="I1305">
        <v>0</v>
      </c>
      <c r="J1305" t="s">
        <v>2833</v>
      </c>
      <c r="K1305">
        <v>5773.2</v>
      </c>
      <c r="L1305">
        <v>4.4478999999999998E-2</v>
      </c>
      <c r="M1305">
        <v>5773.2</v>
      </c>
      <c r="N1305">
        <v>4.4360999999999998E-2</v>
      </c>
      <c r="O1305" t="s">
        <v>2833</v>
      </c>
      <c r="P1305" t="s">
        <v>157</v>
      </c>
      <c r="Q1305" t="s">
        <v>2833</v>
      </c>
      <c r="R1305">
        <f ca="1">RAND()*(Validation[[#This Row],[Range1_High]]-Validation[[#This Row],[Range1_Low]])+Validation[[#This Row],[Range1_Low]]</f>
        <v>87.118074536556193</v>
      </c>
      <c r="S1305">
        <f>Validation[[#This Row],[Range2_High]]</f>
        <v>0</v>
      </c>
      <c r="T1305" t="str" cm="1">
        <f t="array" aca="1" ref="T1305" ca="1">RoundToTwoSigFigs(Validation[[#This Row],[Test Reading]]*Validation[[#This Row],[Mult]]+Validation[[#This Row],[Base]]) &amp;" "&amp;Validation[[#This Row],[Uncert_Units]]</f>
        <v>5800 mA</v>
      </c>
      <c r="U1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305" t="b">
        <f ca="1">Validation[[#This Row],[Desired Result]]=Validation[[#This Row],[Result]]</f>
        <v>1</v>
      </c>
      <c r="W1305" t="b">
        <v>0</v>
      </c>
      <c r="X1305" t="b">
        <f>Validation[[#This Row],[Range1_Low]]&gt;=Validation[[#This Row],[Range1_High]]</f>
        <v>0</v>
      </c>
      <c r="Y1305" s="111" t="s">
        <v>2845</v>
      </c>
    </row>
    <row r="1306" spans="1:25" ht="16.5" thickTop="1" thickBot="1" x14ac:dyDescent="0.3">
      <c r="A1306" t="s">
        <v>54</v>
      </c>
      <c r="B1306" t="s">
        <v>58</v>
      </c>
      <c r="C1306" s="113">
        <v>11</v>
      </c>
      <c r="D1306" s="113">
        <v>30.001000000000001</v>
      </c>
      <c r="E1306">
        <v>0.01</v>
      </c>
      <c r="F1306" t="s">
        <v>13</v>
      </c>
      <c r="G1306" t="s">
        <v>12</v>
      </c>
      <c r="H1306">
        <v>0</v>
      </c>
      <c r="I1306">
        <v>0</v>
      </c>
      <c r="J1306" t="s">
        <v>2833</v>
      </c>
      <c r="K1306">
        <v>1.6</v>
      </c>
      <c r="L1306">
        <v>2.0127000000000002</v>
      </c>
      <c r="M1306">
        <v>1.1037999999999999</v>
      </c>
      <c r="N1306">
        <v>2.0234999999999999</v>
      </c>
      <c r="O1306" t="s">
        <v>2833</v>
      </c>
      <c r="P1306" t="s">
        <v>157</v>
      </c>
      <c r="Q1306" t="s">
        <v>2833</v>
      </c>
      <c r="R1306">
        <f ca="1">RAND()*(Validation[[#This Row],[Range1_High]]-Validation[[#This Row],[Range1_Low]])+Validation[[#This Row],[Range1_Low]]</f>
        <v>17.884847872114324</v>
      </c>
      <c r="S1306">
        <f>Validation[[#This Row],[Range2_High]]</f>
        <v>0</v>
      </c>
      <c r="T1306" t="str" cm="1">
        <f t="array" aca="1" ref="T1306" ca="1">RoundToTwoSigFigs(Validation[[#This Row],[Test Reading]]*Validation[[#This Row],[Mult]]+Validation[[#This Row],[Base]]) &amp;" "&amp;Validation[[#This Row],[Uncert_Units]]</f>
        <v>38 mA</v>
      </c>
      <c r="U1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mA</v>
      </c>
      <c r="V1306" t="b">
        <f ca="1">Validation[[#This Row],[Desired Result]]=Validation[[#This Row],[Result]]</f>
        <v>1</v>
      </c>
      <c r="W1306" t="b">
        <v>1</v>
      </c>
      <c r="X1306" t="b">
        <f>Validation[[#This Row],[Range1_Low]]&gt;=Validation[[#This Row],[Range1_High]]</f>
        <v>0</v>
      </c>
      <c r="Y1306" s="111" t="s">
        <v>2843</v>
      </c>
    </row>
    <row r="1307" spans="1:25" ht="15.75" thickTop="1" x14ac:dyDescent="0.25">
      <c r="A1307" t="s">
        <v>54</v>
      </c>
      <c r="B1307" t="s">
        <v>58</v>
      </c>
      <c r="C1307">
        <v>110</v>
      </c>
      <c r="D1307">
        <v>205</v>
      </c>
      <c r="E1307">
        <v>100</v>
      </c>
      <c r="F1307" t="s">
        <v>13</v>
      </c>
      <c r="G1307" t="s">
        <v>12</v>
      </c>
      <c r="H1307">
        <v>0</v>
      </c>
      <c r="I1307">
        <v>0</v>
      </c>
      <c r="J1307" t="s">
        <v>2833</v>
      </c>
      <c r="K1307">
        <v>57734</v>
      </c>
      <c r="L1307">
        <v>1.5259999999999999E-2</v>
      </c>
      <c r="M1307">
        <v>57734</v>
      </c>
      <c r="N1307">
        <v>1.4722000000000001E-2</v>
      </c>
      <c r="O1307" t="s">
        <v>2833</v>
      </c>
      <c r="P1307" t="s">
        <v>157</v>
      </c>
      <c r="Q1307" t="s">
        <v>2833</v>
      </c>
      <c r="R1307">
        <f ca="1">RAND()*(Validation[[#This Row],[Range1_High]]-Validation[[#This Row],[Range1_Low]])+Validation[[#This Row],[Range1_Low]]</f>
        <v>199.39108779062494</v>
      </c>
      <c r="S1307">
        <f>Validation[[#This Row],[Range2_High]]</f>
        <v>0</v>
      </c>
      <c r="T1307" t="str" cm="1">
        <f t="array" aca="1" ref="T1307" ca="1">RoundToTwoSigFigs(Validation[[#This Row],[Test Reading]]*Validation[[#This Row],[Mult]]+Validation[[#This Row],[Base]]) &amp;" "&amp;Validation[[#This Row],[Uncert_Units]]</f>
        <v>58000 mA</v>
      </c>
      <c r="U1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307" t="b">
        <f ca="1">Validation[[#This Row],[Desired Result]]=Validation[[#This Row],[Result]]</f>
        <v>1</v>
      </c>
      <c r="W1307" t="b">
        <v>0</v>
      </c>
      <c r="X1307" t="b">
        <f>Validation[[#This Row],[Range1_Low]]&gt;=Validation[[#This Row],[Range1_High]]</f>
        <v>0</v>
      </c>
      <c r="Y1307" s="111" t="s">
        <v>2845</v>
      </c>
    </row>
    <row r="1308" spans="1:25" ht="15.75" thickBot="1" x14ac:dyDescent="0.3">
      <c r="A1308" t="s">
        <v>54</v>
      </c>
      <c r="B1308" t="s">
        <v>58</v>
      </c>
      <c r="C1308">
        <v>1</v>
      </c>
      <c r="D1308">
        <v>11.000999999999999</v>
      </c>
      <c r="E1308">
        <v>1E-4</v>
      </c>
      <c r="F1308" t="s">
        <v>13</v>
      </c>
      <c r="G1308" t="s">
        <v>12</v>
      </c>
      <c r="H1308">
        <v>0</v>
      </c>
      <c r="I1308">
        <v>0</v>
      </c>
      <c r="J1308" t="s">
        <v>2833</v>
      </c>
      <c r="K1308">
        <v>8.2000000000000003E-2</v>
      </c>
      <c r="L1308">
        <v>2</v>
      </c>
      <c r="M1308">
        <v>8.0875000000000002E-2</v>
      </c>
      <c r="N1308">
        <v>1.9946999999999999</v>
      </c>
      <c r="O1308" t="s">
        <v>2833</v>
      </c>
      <c r="P1308" t="s">
        <v>157</v>
      </c>
      <c r="Q1308" t="s">
        <v>2833</v>
      </c>
      <c r="R1308">
        <f ca="1">RAND()*(Validation[[#This Row],[Range1_High]]-Validation[[#This Row],[Range1_Low]])+Validation[[#This Row],[Range1_Low]]</f>
        <v>6.7916014899610833</v>
      </c>
      <c r="S1308">
        <f>Validation[[#This Row],[Range2_High]]</f>
        <v>0</v>
      </c>
      <c r="T1308" t="str" cm="1">
        <f t="array" aca="1" ref="T1308" ca="1">RoundToTwoSigFigs(Validation[[#This Row],[Test Reading]]*Validation[[#This Row],[Mult]]+Validation[[#This Row],[Base]]) &amp;" "&amp;Validation[[#This Row],[Uncert_Units]]</f>
        <v>14 mA</v>
      </c>
      <c r="U1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V1308" t="b">
        <f ca="1">Validation[[#This Row],[Desired Result]]=Validation[[#This Row],[Result]]</f>
        <v>1</v>
      </c>
      <c r="W1308" t="b">
        <v>0</v>
      </c>
      <c r="X1308" t="b">
        <f>Validation[[#This Row],[Range1_Low]]&gt;=Validation[[#This Row],[Range1_High]]</f>
        <v>0</v>
      </c>
      <c r="Y1308" s="111" t="s">
        <v>2845</v>
      </c>
    </row>
    <row r="1309" spans="1:25" ht="16.5" thickTop="1" thickBot="1" x14ac:dyDescent="0.3">
      <c r="A1309" t="s">
        <v>54</v>
      </c>
      <c r="B1309" t="s">
        <v>58</v>
      </c>
      <c r="C1309" s="113">
        <v>30</v>
      </c>
      <c r="D1309" s="113">
        <v>110.01</v>
      </c>
      <c r="E1309">
        <v>0.01</v>
      </c>
      <c r="F1309" t="s">
        <v>13</v>
      </c>
      <c r="G1309" t="s">
        <v>12</v>
      </c>
      <c r="H1309">
        <v>0</v>
      </c>
      <c r="I1309">
        <v>0</v>
      </c>
      <c r="J1309" t="s">
        <v>2833</v>
      </c>
      <c r="K1309">
        <v>4</v>
      </c>
      <c r="L1309">
        <v>2.1</v>
      </c>
      <c r="M1309">
        <v>2.5089999999999999</v>
      </c>
      <c r="N1309">
        <v>2.1122000000000001</v>
      </c>
      <c r="O1309" t="s">
        <v>2833</v>
      </c>
      <c r="P1309" t="s">
        <v>157</v>
      </c>
      <c r="Q1309" t="s">
        <v>2833</v>
      </c>
      <c r="R1309">
        <f ca="1">RAND()*(Validation[[#This Row],[Range1_High]]-Validation[[#This Row],[Range1_Low]])+Validation[[#This Row],[Range1_Low]]</f>
        <v>104.61887835937746</v>
      </c>
      <c r="S1309">
        <f>Validation[[#This Row],[Range2_High]]</f>
        <v>0</v>
      </c>
      <c r="T1309" t="str" cm="1">
        <f t="array" aca="1" ref="T1309" ca="1">RoundToTwoSigFigs(Validation[[#This Row],[Test Reading]]*Validation[[#This Row],[Mult]]+Validation[[#This Row],[Base]]) &amp;" "&amp;Validation[[#This Row],[Uncert_Units]]</f>
        <v>220 mA</v>
      </c>
      <c r="U1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V1309" t="b">
        <f ca="1">Validation[[#This Row],[Desired Result]]=Validation[[#This Row],[Result]]</f>
        <v>1</v>
      </c>
      <c r="W1309" t="b">
        <v>1</v>
      </c>
      <c r="X1309" t="b">
        <f>Validation[[#This Row],[Range1_Low]]&gt;=Validation[[#This Row],[Range1_High]]</f>
        <v>0</v>
      </c>
      <c r="Y1309" s="111" t="s">
        <v>2843</v>
      </c>
    </row>
    <row r="1310" spans="1:25" ht="15.75" thickTop="1" x14ac:dyDescent="0.25">
      <c r="A1310" t="s">
        <v>54</v>
      </c>
      <c r="B1310" t="s">
        <v>58</v>
      </c>
      <c r="C1310">
        <v>11</v>
      </c>
      <c r="D1310">
        <v>30.001000000000001</v>
      </c>
      <c r="E1310">
        <v>10</v>
      </c>
      <c r="F1310" t="s">
        <v>13</v>
      </c>
      <c r="G1310" t="s">
        <v>12</v>
      </c>
      <c r="H1310">
        <v>0</v>
      </c>
      <c r="I1310">
        <v>0</v>
      </c>
      <c r="J1310" t="s">
        <v>2833</v>
      </c>
      <c r="K1310">
        <v>5773.4</v>
      </c>
      <c r="L1310">
        <v>1.5656E-2</v>
      </c>
      <c r="M1310">
        <v>5773.4</v>
      </c>
      <c r="N1310">
        <v>1.4925000000000001E-2</v>
      </c>
      <c r="O1310" t="s">
        <v>2833</v>
      </c>
      <c r="P1310" t="s">
        <v>157</v>
      </c>
      <c r="Q1310" t="s">
        <v>2833</v>
      </c>
      <c r="R1310">
        <f ca="1">RAND()*(Validation[[#This Row],[Range1_High]]-Validation[[#This Row],[Range1_Low]])+Validation[[#This Row],[Range1_Low]]</f>
        <v>21.658145001143026</v>
      </c>
      <c r="S1310">
        <f>Validation[[#This Row],[Range2_High]]</f>
        <v>0</v>
      </c>
      <c r="T1310" t="str" cm="1">
        <f t="array" aca="1" ref="T1310" ca="1">RoundToTwoSigFigs(Validation[[#This Row],[Test Reading]]*Validation[[#This Row],[Mult]]+Validation[[#This Row],[Base]]) &amp;" "&amp;Validation[[#This Row],[Uncert_Units]]</f>
        <v>5800 mA</v>
      </c>
      <c r="U1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310" t="b">
        <f ca="1">Validation[[#This Row],[Desired Result]]=Validation[[#This Row],[Result]]</f>
        <v>1</v>
      </c>
      <c r="W1310" t="b">
        <v>0</v>
      </c>
      <c r="X1310" t="b">
        <f>Validation[[#This Row],[Range1_Low]]&gt;=Validation[[#This Row],[Range1_High]]</f>
        <v>0</v>
      </c>
      <c r="Y1310" s="111" t="s">
        <v>2845</v>
      </c>
    </row>
    <row r="1311" spans="1:25" x14ac:dyDescent="0.25">
      <c r="A1311" t="s">
        <v>54</v>
      </c>
      <c r="B1311" t="s">
        <v>58</v>
      </c>
      <c r="C1311">
        <v>110</v>
      </c>
      <c r="D1311">
        <v>205</v>
      </c>
      <c r="E1311">
        <v>10</v>
      </c>
      <c r="F1311" t="s">
        <v>13</v>
      </c>
      <c r="G1311" t="s">
        <v>12</v>
      </c>
      <c r="H1311">
        <v>0</v>
      </c>
      <c r="I1311">
        <v>0</v>
      </c>
      <c r="J1311" t="s">
        <v>2833</v>
      </c>
      <c r="K1311">
        <v>5763.1</v>
      </c>
      <c r="L1311">
        <v>0.14824000000000001</v>
      </c>
      <c r="M1311">
        <v>5763.2</v>
      </c>
      <c r="N1311">
        <v>0.1469</v>
      </c>
      <c r="O1311" t="s">
        <v>2833</v>
      </c>
      <c r="P1311" t="s">
        <v>157</v>
      </c>
      <c r="Q1311" t="s">
        <v>2833</v>
      </c>
      <c r="R1311">
        <f ca="1">RAND()*(Validation[[#This Row],[Range1_High]]-Validation[[#This Row],[Range1_Low]])+Validation[[#This Row],[Range1_Low]]</f>
        <v>122.51275362109843</v>
      </c>
      <c r="S1311">
        <f>Validation[[#This Row],[Range2_High]]</f>
        <v>0</v>
      </c>
      <c r="T1311" t="str" cm="1">
        <f t="array" aca="1" ref="T1311" ca="1">RoundToTwoSigFigs(Validation[[#This Row],[Test Reading]]*Validation[[#This Row],[Mult]]+Validation[[#This Row],[Base]]) &amp;" "&amp;Validation[[#This Row],[Uncert_Units]]</f>
        <v>5800 mA</v>
      </c>
      <c r="U1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311" t="b">
        <f ca="1">Validation[[#This Row],[Desired Result]]=Validation[[#This Row],[Result]]</f>
        <v>1</v>
      </c>
      <c r="W1311" t="b">
        <v>0</v>
      </c>
      <c r="X1311" t="b">
        <f>Validation[[#This Row],[Range1_Low]]&gt;=Validation[[#This Row],[Range1_High]]</f>
        <v>0</v>
      </c>
      <c r="Y1311" s="111" t="s">
        <v>2845</v>
      </c>
    </row>
    <row r="1312" spans="1:25" x14ac:dyDescent="0.25">
      <c r="A1312" t="s">
        <v>68</v>
      </c>
      <c r="B1312" t="s">
        <v>59</v>
      </c>
      <c r="C1312">
        <v>20</v>
      </c>
      <c r="D1312">
        <v>204</v>
      </c>
      <c r="E1312">
        <v>1</v>
      </c>
      <c r="F1312" t="s">
        <v>13</v>
      </c>
      <c r="G1312" t="s">
        <v>12</v>
      </c>
      <c r="H1312">
        <v>0</v>
      </c>
      <c r="I1312">
        <v>0</v>
      </c>
      <c r="J1312" t="s">
        <v>2833</v>
      </c>
      <c r="K1312">
        <v>565.98</v>
      </c>
      <c r="L1312">
        <v>0.78427000000000002</v>
      </c>
      <c r="M1312">
        <v>565.94000000000005</v>
      </c>
      <c r="N1312">
        <v>0.78385000000000005</v>
      </c>
      <c r="O1312" t="s">
        <v>2833</v>
      </c>
      <c r="P1312" t="s">
        <v>158</v>
      </c>
      <c r="Q1312" t="s">
        <v>2833</v>
      </c>
      <c r="R1312">
        <f ca="1">RAND()*(Validation[[#This Row],[Range1_High]]-Validation[[#This Row],[Range1_Low]])+Validation[[#This Row],[Range1_Low]]</f>
        <v>117.00675866036275</v>
      </c>
      <c r="S1312">
        <f>Validation[[#This Row],[Range2_High]]</f>
        <v>0</v>
      </c>
      <c r="T1312" t="str" cm="1">
        <f t="array" aca="1" ref="T1312" ca="1">RoundToTwoSigFigs(Validation[[#This Row],[Test Reading]]*Validation[[#This Row],[Mult]]+Validation[[#This Row],[Base]]) &amp;" "&amp;Validation[[#This Row],[Uncert_Units]]</f>
        <v>660 mA</v>
      </c>
      <c r="U1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V1312" t="b">
        <f ca="1">Validation[[#This Row],[Desired Result]]=Validation[[#This Row],[Result]]</f>
        <v>1</v>
      </c>
      <c r="W1312" t="b">
        <v>0</v>
      </c>
      <c r="X1312" t="b">
        <f>Validation[[#This Row],[Range1_Low]]&gt;=Validation[[#This Row],[Range1_High]]</f>
        <v>0</v>
      </c>
      <c r="Y1312" s="111" t="s">
        <v>2845</v>
      </c>
    </row>
    <row r="1313" spans="1:25" ht="15.75" thickBot="1" x14ac:dyDescent="0.3">
      <c r="A1313" t="s">
        <v>54</v>
      </c>
      <c r="B1313" t="s">
        <v>59</v>
      </c>
      <c r="C1313">
        <v>20</v>
      </c>
      <c r="D1313">
        <v>60.01</v>
      </c>
      <c r="E1313">
        <v>10</v>
      </c>
      <c r="F1313" t="s">
        <v>13</v>
      </c>
      <c r="G1313" t="s">
        <v>12</v>
      </c>
      <c r="H1313">
        <v>0</v>
      </c>
      <c r="I1313">
        <v>0</v>
      </c>
      <c r="J1313" t="s">
        <v>2833</v>
      </c>
      <c r="K1313">
        <v>5773.1</v>
      </c>
      <c r="L1313">
        <v>2.9468000000000001E-2</v>
      </c>
      <c r="M1313">
        <v>5773.1</v>
      </c>
      <c r="N1313">
        <v>2.912E-2</v>
      </c>
      <c r="O1313" t="s">
        <v>2833</v>
      </c>
      <c r="P1313" t="s">
        <v>158</v>
      </c>
      <c r="Q1313" t="s">
        <v>2833</v>
      </c>
      <c r="R1313">
        <f ca="1">RAND()*(Validation[[#This Row],[Range1_High]]-Validation[[#This Row],[Range1_Low]])+Validation[[#This Row],[Range1_Low]]</f>
        <v>51.708401252215708</v>
      </c>
      <c r="S1313">
        <f>Validation[[#This Row],[Range2_High]]</f>
        <v>0</v>
      </c>
      <c r="T1313" t="str" cm="1">
        <f t="array" aca="1" ref="T1313" ca="1">RoundToTwoSigFigs(Validation[[#This Row],[Test Reading]]*Validation[[#This Row],[Mult]]+Validation[[#This Row],[Base]]) &amp;" "&amp;Validation[[#This Row],[Uncert_Units]]</f>
        <v>5800 mA</v>
      </c>
      <c r="U1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313" t="b">
        <f ca="1">Validation[[#This Row],[Desired Result]]=Validation[[#This Row],[Result]]</f>
        <v>1</v>
      </c>
      <c r="W1313" t="b">
        <v>0</v>
      </c>
      <c r="X1313" t="b">
        <f>Validation[[#This Row],[Range1_Low]]&gt;=Validation[[#This Row],[Range1_High]]</f>
        <v>0</v>
      </c>
      <c r="Y1313" s="111" t="s">
        <v>2845</v>
      </c>
    </row>
    <row r="1314" spans="1:25" ht="16.5" thickTop="1" thickBot="1" x14ac:dyDescent="0.3">
      <c r="A1314" t="s">
        <v>54</v>
      </c>
      <c r="B1314" t="s">
        <v>59</v>
      </c>
      <c r="C1314" s="113">
        <v>220</v>
      </c>
      <c r="D1314" s="113">
        <v>410</v>
      </c>
      <c r="E1314">
        <v>10</v>
      </c>
      <c r="F1314" t="s">
        <v>13</v>
      </c>
      <c r="G1314" t="s">
        <v>12</v>
      </c>
      <c r="H1314">
        <v>0</v>
      </c>
      <c r="I1314">
        <v>0</v>
      </c>
      <c r="J1314" t="s">
        <v>2833</v>
      </c>
      <c r="K1314">
        <v>5732.3</v>
      </c>
      <c r="L1314">
        <v>0.29332000000000003</v>
      </c>
      <c r="M1314">
        <v>5732.4</v>
      </c>
      <c r="N1314">
        <v>0.29187999999999997</v>
      </c>
      <c r="O1314" t="s">
        <v>2833</v>
      </c>
      <c r="P1314" t="s">
        <v>158</v>
      </c>
      <c r="Q1314" t="s">
        <v>2833</v>
      </c>
      <c r="R1314">
        <f ca="1">RAND()*(Validation[[#This Row],[Range1_High]]-Validation[[#This Row],[Range1_Low]])+Validation[[#This Row],[Range1_Low]]</f>
        <v>298.05161583792847</v>
      </c>
      <c r="S1314">
        <f>Validation[[#This Row],[Range2_High]]</f>
        <v>0</v>
      </c>
      <c r="T1314" t="str" cm="1">
        <f t="array" aca="1" ref="T1314" ca="1">RoundToTwoSigFigs(Validation[[#This Row],[Test Reading]]*Validation[[#This Row],[Mult]]+Validation[[#This Row],[Base]]) &amp;" "&amp;Validation[[#This Row],[Uncert_Units]]</f>
        <v>5800 mA</v>
      </c>
      <c r="U1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314" t="b">
        <f ca="1">Validation[[#This Row],[Desired Result]]=Validation[[#This Row],[Result]]</f>
        <v>1</v>
      </c>
      <c r="W1314" t="b">
        <v>1</v>
      </c>
      <c r="X1314" t="b">
        <f>Validation[[#This Row],[Range1_Low]]&gt;=Validation[[#This Row],[Range1_High]]</f>
        <v>0</v>
      </c>
      <c r="Y1314" s="111" t="s">
        <v>2843</v>
      </c>
    </row>
    <row r="1315" spans="1:25" ht="15.75" thickTop="1" x14ac:dyDescent="0.25">
      <c r="A1315" t="s">
        <v>54</v>
      </c>
      <c r="B1315" t="s">
        <v>59</v>
      </c>
      <c r="C1315">
        <v>410</v>
      </c>
      <c r="D1315">
        <v>411</v>
      </c>
      <c r="E1315">
        <v>0.01</v>
      </c>
      <c r="F1315" t="s">
        <v>13</v>
      </c>
      <c r="G1315" t="s">
        <v>12</v>
      </c>
      <c r="H1315">
        <v>0</v>
      </c>
      <c r="I1315">
        <v>0</v>
      </c>
      <c r="J1315" t="s">
        <v>2833</v>
      </c>
      <c r="K1315">
        <v>13</v>
      </c>
      <c r="L1315">
        <v>2.2999999999999998</v>
      </c>
      <c r="M1315">
        <v>9.0436999999999994</v>
      </c>
      <c r="N1315">
        <v>2.3088000000000002</v>
      </c>
      <c r="O1315" t="s">
        <v>2833</v>
      </c>
      <c r="P1315" t="s">
        <v>158</v>
      </c>
      <c r="Q1315" t="s">
        <v>2833</v>
      </c>
      <c r="R1315">
        <f ca="1">RAND()*(Validation[[#This Row],[Range1_High]]-Validation[[#This Row],[Range1_Low]])+Validation[[#This Row],[Range1_Low]]</f>
        <v>410.52597296896016</v>
      </c>
      <c r="S1315">
        <f>Validation[[#This Row],[Range2_High]]</f>
        <v>0</v>
      </c>
      <c r="T1315" t="str" cm="1">
        <f t="array" aca="1" ref="T1315" ca="1">RoundToTwoSigFigs(Validation[[#This Row],[Test Reading]]*Validation[[#This Row],[Mult]]+Validation[[#This Row],[Base]]) &amp;" "&amp;Validation[[#This Row],[Uncert_Units]]</f>
        <v>960 mA</v>
      </c>
      <c r="U1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V1315" t="b">
        <f ca="1">Validation[[#This Row],[Desired Result]]=Validation[[#This Row],[Result]]</f>
        <v>1</v>
      </c>
      <c r="W1315" t="b">
        <v>0</v>
      </c>
      <c r="X1315" t="b">
        <f>Validation[[#This Row],[Range1_Low]]&gt;=Validation[[#This Row],[Range1_High]]</f>
        <v>0</v>
      </c>
      <c r="Y1315" s="111" t="s">
        <v>2845</v>
      </c>
    </row>
    <row r="1316" spans="1:25" ht="15.75" thickBot="1" x14ac:dyDescent="0.3">
      <c r="A1316" t="s">
        <v>54</v>
      </c>
      <c r="B1316" t="s">
        <v>59</v>
      </c>
      <c r="C1316">
        <v>410</v>
      </c>
      <c r="D1316">
        <v>411</v>
      </c>
      <c r="E1316">
        <v>0.1</v>
      </c>
      <c r="F1316" t="s">
        <v>13</v>
      </c>
      <c r="G1316" t="s">
        <v>12</v>
      </c>
      <c r="H1316">
        <v>0</v>
      </c>
      <c r="I1316">
        <v>0</v>
      </c>
      <c r="J1316" t="s">
        <v>2833</v>
      </c>
      <c r="K1316">
        <v>13.978</v>
      </c>
      <c r="L1316">
        <v>2.3014000000000001</v>
      </c>
      <c r="M1316">
        <v>13.925000000000001</v>
      </c>
      <c r="N1316">
        <v>2.3010999999999999</v>
      </c>
      <c r="O1316" t="s">
        <v>2833</v>
      </c>
      <c r="P1316" t="s">
        <v>158</v>
      </c>
      <c r="Q1316" t="s">
        <v>2833</v>
      </c>
      <c r="R1316">
        <f ca="1">RAND()*(Validation[[#This Row],[Range1_High]]-Validation[[#This Row],[Range1_Low]])+Validation[[#This Row],[Range1_Low]]</f>
        <v>410.07135879899346</v>
      </c>
      <c r="S1316">
        <f>Validation[[#This Row],[Range2_High]]</f>
        <v>0</v>
      </c>
      <c r="T1316" t="str" cm="1">
        <f t="array" aca="1" ref="T1316" ca="1">RoundToTwoSigFigs(Validation[[#This Row],[Test Reading]]*Validation[[#This Row],[Mult]]+Validation[[#This Row],[Base]]) &amp;" "&amp;Validation[[#This Row],[Uncert_Units]]</f>
        <v>960 mA</v>
      </c>
      <c r="U1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V1316" t="b">
        <f ca="1">Validation[[#This Row],[Desired Result]]=Validation[[#This Row],[Result]]</f>
        <v>1</v>
      </c>
      <c r="W1316" t="b">
        <v>0</v>
      </c>
      <c r="X1316" t="b">
        <f>Validation[[#This Row],[Range1_Low]]&gt;=Validation[[#This Row],[Range1_High]]</f>
        <v>0</v>
      </c>
      <c r="Y1316" s="111" t="s">
        <v>2845</v>
      </c>
    </row>
    <row r="1317" spans="1:25" ht="16.5" thickTop="1" thickBot="1" x14ac:dyDescent="0.3">
      <c r="A1317" t="s">
        <v>54</v>
      </c>
      <c r="B1317" t="s">
        <v>59</v>
      </c>
      <c r="C1317" s="113">
        <v>60</v>
      </c>
      <c r="D1317" s="113">
        <v>220.01</v>
      </c>
      <c r="E1317">
        <v>100</v>
      </c>
      <c r="F1317" t="s">
        <v>13</v>
      </c>
      <c r="G1317" t="s">
        <v>12</v>
      </c>
      <c r="H1317">
        <v>0</v>
      </c>
      <c r="I1317">
        <v>0</v>
      </c>
      <c r="J1317" t="s">
        <v>2833</v>
      </c>
      <c r="K1317">
        <v>577360</v>
      </c>
      <c r="L1317">
        <v>1.2382000000000001E-3</v>
      </c>
      <c r="M1317">
        <v>577350</v>
      </c>
      <c r="N1317">
        <v>1.1002E-3</v>
      </c>
      <c r="O1317" t="s">
        <v>2833</v>
      </c>
      <c r="P1317" t="s">
        <v>158</v>
      </c>
      <c r="Q1317" t="s">
        <v>2833</v>
      </c>
      <c r="R1317">
        <f ca="1">RAND()*(Validation[[#This Row],[Range1_High]]-Validation[[#This Row],[Range1_Low]])+Validation[[#This Row],[Range1_Low]]</f>
        <v>60.791005500306305</v>
      </c>
      <c r="S1317">
        <f>Validation[[#This Row],[Range2_High]]</f>
        <v>0</v>
      </c>
      <c r="T1317" t="str" cm="1">
        <f t="array" aca="1" ref="T1317" ca="1">RoundToTwoSigFigs(Validation[[#This Row],[Test Reading]]*Validation[[#This Row],[Mult]]+Validation[[#This Row],[Base]]) &amp;" "&amp;Validation[[#This Row],[Uncert_Units]]</f>
        <v>580000 mA</v>
      </c>
      <c r="U1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V1317" t="b">
        <f ca="1">Validation[[#This Row],[Desired Result]]=Validation[[#This Row],[Result]]</f>
        <v>1</v>
      </c>
      <c r="W1317" t="b">
        <v>1</v>
      </c>
      <c r="X1317" t="b">
        <f>Validation[[#This Row],[Range1_Low]]&gt;=Validation[[#This Row],[Range1_High]]</f>
        <v>0</v>
      </c>
      <c r="Y1317" s="111" t="s">
        <v>2843</v>
      </c>
    </row>
    <row r="1318" spans="1:25" ht="16.5" thickTop="1" thickBot="1" x14ac:dyDescent="0.3">
      <c r="A1318" t="s">
        <v>54</v>
      </c>
      <c r="B1318" t="s">
        <v>59</v>
      </c>
      <c r="C1318" s="113">
        <v>60</v>
      </c>
      <c r="D1318" s="113">
        <v>220.01</v>
      </c>
      <c r="E1318">
        <v>0.01</v>
      </c>
      <c r="F1318" t="s">
        <v>13</v>
      </c>
      <c r="G1318" t="s">
        <v>12</v>
      </c>
      <c r="H1318">
        <v>0</v>
      </c>
      <c r="I1318">
        <v>0</v>
      </c>
      <c r="J1318" t="s">
        <v>2833</v>
      </c>
      <c r="K1318">
        <v>19</v>
      </c>
      <c r="L1318">
        <v>2.2000000000000002</v>
      </c>
      <c r="M1318">
        <v>19.725999999999999</v>
      </c>
      <c r="N1318">
        <v>2.0608</v>
      </c>
      <c r="O1318" t="s">
        <v>2833</v>
      </c>
      <c r="P1318" t="s">
        <v>158</v>
      </c>
      <c r="Q1318" t="s">
        <v>2833</v>
      </c>
      <c r="R1318">
        <f ca="1">RAND()*(Validation[[#This Row],[Range1_High]]-Validation[[#This Row],[Range1_Low]])+Validation[[#This Row],[Range1_Low]]</f>
        <v>99.957723248547651</v>
      </c>
      <c r="S1318">
        <f>Validation[[#This Row],[Range2_High]]</f>
        <v>0</v>
      </c>
      <c r="T1318" t="str" cm="1">
        <f t="array" aca="1" ref="T1318" ca="1">RoundToTwoSigFigs(Validation[[#This Row],[Test Reading]]*Validation[[#This Row],[Mult]]+Validation[[#This Row],[Base]]) &amp;" "&amp;Validation[[#This Row],[Uncert_Units]]</f>
        <v>240 mA</v>
      </c>
      <c r="U1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V1318" t="b">
        <f ca="1">Validation[[#This Row],[Desired Result]]=Validation[[#This Row],[Result]]</f>
        <v>1</v>
      </c>
      <c r="W1318" t="b">
        <v>1</v>
      </c>
      <c r="X1318" t="b">
        <f>Validation[[#This Row],[Range1_Low]]&gt;=Validation[[#This Row],[Range1_High]]</f>
        <v>0</v>
      </c>
      <c r="Y1318" s="111" t="s">
        <v>2843</v>
      </c>
    </row>
    <row r="1319" spans="1:25" ht="16.5" thickTop="1" thickBot="1" x14ac:dyDescent="0.3">
      <c r="A1319" t="s">
        <v>54</v>
      </c>
      <c r="B1319" t="s">
        <v>59</v>
      </c>
      <c r="C1319">
        <v>20</v>
      </c>
      <c r="D1319">
        <v>60.01</v>
      </c>
      <c r="E1319">
        <v>0.1</v>
      </c>
      <c r="F1319" t="s">
        <v>13</v>
      </c>
      <c r="G1319" t="s">
        <v>12</v>
      </c>
      <c r="H1319">
        <v>0</v>
      </c>
      <c r="I1319">
        <v>0</v>
      </c>
      <c r="J1319" t="s">
        <v>2833</v>
      </c>
      <c r="K1319">
        <v>38.447000000000003</v>
      </c>
      <c r="L1319">
        <v>1.6259999999999999</v>
      </c>
      <c r="M1319">
        <v>38.404000000000003</v>
      </c>
      <c r="N1319">
        <v>1.6256999999999999</v>
      </c>
      <c r="O1319" t="s">
        <v>2833</v>
      </c>
      <c r="P1319" t="s">
        <v>158</v>
      </c>
      <c r="Q1319" t="s">
        <v>2833</v>
      </c>
      <c r="R1319">
        <f ca="1">RAND()*(Validation[[#This Row],[Range1_High]]-Validation[[#This Row],[Range1_Low]])+Validation[[#This Row],[Range1_Low]]</f>
        <v>54.222968338926719</v>
      </c>
      <c r="S1319">
        <f>Validation[[#This Row],[Range2_High]]</f>
        <v>0</v>
      </c>
      <c r="T1319" t="str" cm="1">
        <f t="array" aca="1" ref="T1319" ca="1">RoundToTwoSigFigs(Validation[[#This Row],[Test Reading]]*Validation[[#This Row],[Mult]]+Validation[[#This Row],[Base]]) &amp;" "&amp;Validation[[#This Row],[Uncert_Units]]</f>
        <v>130 mA</v>
      </c>
      <c r="U1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V1319" t="b">
        <f ca="1">Validation[[#This Row],[Desired Result]]=Validation[[#This Row],[Result]]</f>
        <v>1</v>
      </c>
      <c r="W1319" t="b">
        <v>0</v>
      </c>
      <c r="X1319" t="b">
        <f>Validation[[#This Row],[Range1_Low]]&gt;=Validation[[#This Row],[Range1_High]]</f>
        <v>0</v>
      </c>
      <c r="Y1319" s="111" t="s">
        <v>2845</v>
      </c>
    </row>
    <row r="1320" spans="1:25" ht="16.5" thickTop="1" thickBot="1" x14ac:dyDescent="0.3">
      <c r="A1320" t="s">
        <v>54</v>
      </c>
      <c r="B1320" t="s">
        <v>59</v>
      </c>
      <c r="C1320" s="113">
        <v>220</v>
      </c>
      <c r="D1320" s="113">
        <v>410</v>
      </c>
      <c r="E1320">
        <v>0.01</v>
      </c>
      <c r="F1320" t="s">
        <v>13</v>
      </c>
      <c r="G1320" t="s">
        <v>12</v>
      </c>
      <c r="H1320">
        <v>0</v>
      </c>
      <c r="I1320">
        <v>0</v>
      </c>
      <c r="J1320" t="s">
        <v>2833</v>
      </c>
      <c r="K1320">
        <v>13</v>
      </c>
      <c r="L1320">
        <v>2.2999999999999998</v>
      </c>
      <c r="M1320">
        <v>9.0436999999999994</v>
      </c>
      <c r="N1320">
        <v>2.3088000000000002</v>
      </c>
      <c r="O1320" t="s">
        <v>2833</v>
      </c>
      <c r="P1320" t="s">
        <v>158</v>
      </c>
      <c r="Q1320" t="s">
        <v>2833</v>
      </c>
      <c r="R1320">
        <f ca="1">RAND()*(Validation[[#This Row],[Range1_High]]-Validation[[#This Row],[Range1_Low]])+Validation[[#This Row],[Range1_Low]]</f>
        <v>336.97596050574134</v>
      </c>
      <c r="S1320">
        <f>Validation[[#This Row],[Range2_High]]</f>
        <v>0</v>
      </c>
      <c r="T1320" t="str" cm="1">
        <f t="array" aca="1" ref="T1320" ca="1">RoundToTwoSigFigs(Validation[[#This Row],[Test Reading]]*Validation[[#This Row],[Mult]]+Validation[[#This Row],[Base]]) &amp;" "&amp;Validation[[#This Row],[Uncert_Units]]</f>
        <v>790 mA</v>
      </c>
      <c r="U1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V1320" t="b">
        <f ca="1">Validation[[#This Row],[Desired Result]]=Validation[[#This Row],[Result]]</f>
        <v>1</v>
      </c>
      <c r="W1320" t="b">
        <v>1</v>
      </c>
      <c r="X1320" t="b">
        <f>Validation[[#This Row],[Range1_Low]]&gt;=Validation[[#This Row],[Range1_High]]</f>
        <v>0</v>
      </c>
      <c r="Y1320" s="111" t="s">
        <v>2843</v>
      </c>
    </row>
    <row r="1321" spans="1:25" ht="15.75" thickTop="1" x14ac:dyDescent="0.25">
      <c r="A1321" t="s">
        <v>54</v>
      </c>
      <c r="B1321" t="s">
        <v>59</v>
      </c>
      <c r="C1321">
        <v>20</v>
      </c>
      <c r="D1321">
        <v>60.01</v>
      </c>
      <c r="E1321">
        <v>1E-3</v>
      </c>
      <c r="F1321" t="s">
        <v>13</v>
      </c>
      <c r="G1321" t="s">
        <v>12</v>
      </c>
      <c r="H1321">
        <v>0</v>
      </c>
      <c r="I1321">
        <v>0</v>
      </c>
      <c r="J1321" t="s">
        <v>2833</v>
      </c>
      <c r="K1321">
        <v>3.9</v>
      </c>
      <c r="L1321">
        <v>2.1</v>
      </c>
      <c r="M1321">
        <v>0.23927999999999999</v>
      </c>
      <c r="N1321">
        <v>2.0472999999999999</v>
      </c>
      <c r="O1321" t="s">
        <v>2833</v>
      </c>
      <c r="P1321" t="s">
        <v>158</v>
      </c>
      <c r="Q1321" t="s">
        <v>2833</v>
      </c>
      <c r="R1321">
        <f ca="1">RAND()*(Validation[[#This Row],[Range1_High]]-Validation[[#This Row],[Range1_Low]])+Validation[[#This Row],[Range1_Low]]</f>
        <v>40.466249247040139</v>
      </c>
      <c r="S1321">
        <f>Validation[[#This Row],[Range2_High]]</f>
        <v>0</v>
      </c>
      <c r="T1321" t="str" cm="1">
        <f t="array" aca="1" ref="T1321" ca="1">RoundToTwoSigFigs(Validation[[#This Row],[Test Reading]]*Validation[[#This Row],[Mult]]+Validation[[#This Row],[Base]]) &amp;" "&amp;Validation[[#This Row],[Uncert_Units]]</f>
        <v>89 mA</v>
      </c>
      <c r="U1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V1321" t="b">
        <f ca="1">Validation[[#This Row],[Desired Result]]=Validation[[#This Row],[Result]]</f>
        <v>1</v>
      </c>
      <c r="W1321" t="b">
        <v>0</v>
      </c>
      <c r="X1321" t="b">
        <f>Validation[[#This Row],[Range1_Low]]&gt;=Validation[[#This Row],[Range1_High]]</f>
        <v>0</v>
      </c>
      <c r="Y1321" s="111" t="s">
        <v>2845</v>
      </c>
    </row>
    <row r="1322" spans="1:25" ht="15.75" thickBot="1" x14ac:dyDescent="0.3">
      <c r="A1322" t="s">
        <v>54</v>
      </c>
      <c r="B1322" t="s">
        <v>59</v>
      </c>
      <c r="C1322">
        <v>410</v>
      </c>
      <c r="D1322">
        <v>411</v>
      </c>
      <c r="E1322">
        <v>10</v>
      </c>
      <c r="F1322" t="s">
        <v>13</v>
      </c>
      <c r="G1322" t="s">
        <v>12</v>
      </c>
      <c r="H1322">
        <v>0</v>
      </c>
      <c r="I1322">
        <v>0</v>
      </c>
      <c r="J1322" t="s">
        <v>2833</v>
      </c>
      <c r="K1322">
        <v>5732.3</v>
      </c>
      <c r="L1322">
        <v>0.29332000000000003</v>
      </c>
      <c r="M1322">
        <v>5732.4</v>
      </c>
      <c r="N1322">
        <v>0.29187999999999997</v>
      </c>
      <c r="O1322" t="s">
        <v>2833</v>
      </c>
      <c r="P1322" t="s">
        <v>158</v>
      </c>
      <c r="Q1322" t="s">
        <v>2833</v>
      </c>
      <c r="R1322">
        <f ca="1">RAND()*(Validation[[#This Row],[Range1_High]]-Validation[[#This Row],[Range1_Low]])+Validation[[#This Row],[Range1_Low]]</f>
        <v>410.69517757745996</v>
      </c>
      <c r="S1322">
        <f>Validation[[#This Row],[Range2_High]]</f>
        <v>0</v>
      </c>
      <c r="T1322" t="str" cm="1">
        <f t="array" aca="1" ref="T1322" ca="1">RoundToTwoSigFigs(Validation[[#This Row],[Test Reading]]*Validation[[#This Row],[Mult]]+Validation[[#This Row],[Base]]) &amp;" "&amp;Validation[[#This Row],[Uncert_Units]]</f>
        <v>5900 mA</v>
      </c>
      <c r="U1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1322" t="b">
        <f ca="1">Validation[[#This Row],[Desired Result]]=Validation[[#This Row],[Result]]</f>
        <v>1</v>
      </c>
      <c r="W1322" t="b">
        <v>0</v>
      </c>
      <c r="X1322" t="b">
        <f>Validation[[#This Row],[Range1_Low]]&gt;=Validation[[#This Row],[Range1_High]]</f>
        <v>0</v>
      </c>
      <c r="Y1322" s="111" t="s">
        <v>2845</v>
      </c>
    </row>
    <row r="1323" spans="1:25" ht="16.5" thickTop="1" thickBot="1" x14ac:dyDescent="0.3">
      <c r="A1323" t="s">
        <v>54</v>
      </c>
      <c r="B1323" t="s">
        <v>59</v>
      </c>
      <c r="C1323" s="113">
        <v>220</v>
      </c>
      <c r="D1323" s="113">
        <v>410</v>
      </c>
      <c r="E1323">
        <v>100</v>
      </c>
      <c r="F1323" t="s">
        <v>13</v>
      </c>
      <c r="G1323" t="s">
        <v>12</v>
      </c>
      <c r="H1323">
        <v>0</v>
      </c>
      <c r="I1323">
        <v>0</v>
      </c>
      <c r="J1323" t="s">
        <v>2833</v>
      </c>
      <c r="K1323">
        <v>57731</v>
      </c>
      <c r="L1323">
        <v>3.0030000000000001E-2</v>
      </c>
      <c r="M1323">
        <v>57731</v>
      </c>
      <c r="N1323">
        <v>2.9441999999999999E-2</v>
      </c>
      <c r="O1323" t="s">
        <v>2833</v>
      </c>
      <c r="P1323" t="s">
        <v>158</v>
      </c>
      <c r="Q1323" t="s">
        <v>2833</v>
      </c>
      <c r="R1323">
        <f ca="1">RAND()*(Validation[[#This Row],[Range1_High]]-Validation[[#This Row],[Range1_Low]])+Validation[[#This Row],[Range1_Low]]</f>
        <v>227.42883905557693</v>
      </c>
      <c r="S1323">
        <f>Validation[[#This Row],[Range2_High]]</f>
        <v>0</v>
      </c>
      <c r="T1323" t="str" cm="1">
        <f t="array" aca="1" ref="T1323" ca="1">RoundToTwoSigFigs(Validation[[#This Row],[Test Reading]]*Validation[[#This Row],[Mult]]+Validation[[#This Row],[Base]]) &amp;" "&amp;Validation[[#This Row],[Uncert_Units]]</f>
        <v>58000 mA</v>
      </c>
      <c r="U1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323" t="b">
        <f ca="1">Validation[[#This Row],[Desired Result]]=Validation[[#This Row],[Result]]</f>
        <v>1</v>
      </c>
      <c r="W1323" t="b">
        <v>1</v>
      </c>
      <c r="X1323" t="b">
        <f>Validation[[#This Row],[Range1_Low]]&gt;=Validation[[#This Row],[Range1_High]]</f>
        <v>0</v>
      </c>
      <c r="Y1323" s="111" t="s">
        <v>2843</v>
      </c>
    </row>
    <row r="1324" spans="1:25" ht="15.75" thickTop="1" x14ac:dyDescent="0.25">
      <c r="A1324" t="s">
        <v>68</v>
      </c>
      <c r="B1324" t="s">
        <v>59</v>
      </c>
      <c r="C1324">
        <v>20</v>
      </c>
      <c r="D1324">
        <v>204</v>
      </c>
      <c r="E1324">
        <v>1E-3</v>
      </c>
      <c r="F1324" t="s">
        <v>13</v>
      </c>
      <c r="G1324" t="s">
        <v>12</v>
      </c>
      <c r="H1324">
        <v>0</v>
      </c>
      <c r="I1324">
        <v>0</v>
      </c>
      <c r="J1324" t="s">
        <v>2833</v>
      </c>
      <c r="K1324">
        <v>32</v>
      </c>
      <c r="L1324">
        <v>2</v>
      </c>
      <c r="M1324">
        <v>30.087</v>
      </c>
      <c r="N1324">
        <v>2.0089000000000001</v>
      </c>
      <c r="O1324" t="s">
        <v>2833</v>
      </c>
      <c r="P1324" t="s">
        <v>158</v>
      </c>
      <c r="Q1324" t="s">
        <v>2833</v>
      </c>
      <c r="R1324">
        <f ca="1">RAND()*(Validation[[#This Row],[Range1_High]]-Validation[[#This Row],[Range1_Low]])+Validation[[#This Row],[Range1_Low]]</f>
        <v>91.816891852541488</v>
      </c>
      <c r="S1324">
        <f>Validation[[#This Row],[Range2_High]]</f>
        <v>0</v>
      </c>
      <c r="T1324" t="str" cm="1">
        <f t="array" aca="1" ref="T1324" ca="1">RoundToTwoSigFigs(Validation[[#This Row],[Test Reading]]*Validation[[#This Row],[Mult]]+Validation[[#This Row],[Base]]) &amp;" "&amp;Validation[[#This Row],[Uncert_Units]]</f>
        <v>220 mA</v>
      </c>
      <c r="U1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V1324" t="b">
        <f ca="1">Validation[[#This Row],[Desired Result]]=Validation[[#This Row],[Result]]</f>
        <v>1</v>
      </c>
      <c r="W1324" t="b">
        <v>0</v>
      </c>
      <c r="X1324" t="b">
        <f>Validation[[#This Row],[Range1_Low]]&gt;=Validation[[#This Row],[Range1_High]]</f>
        <v>0</v>
      </c>
      <c r="Y1324" s="111" t="s">
        <v>2845</v>
      </c>
    </row>
    <row r="1325" spans="1:25" x14ac:dyDescent="0.25">
      <c r="A1325" t="s">
        <v>68</v>
      </c>
      <c r="B1325" t="s">
        <v>59</v>
      </c>
      <c r="C1325">
        <v>20</v>
      </c>
      <c r="D1325">
        <v>204</v>
      </c>
      <c r="E1325">
        <v>0.01</v>
      </c>
      <c r="F1325" t="s">
        <v>13</v>
      </c>
      <c r="G1325" t="s">
        <v>12</v>
      </c>
      <c r="H1325">
        <v>0</v>
      </c>
      <c r="I1325">
        <v>0</v>
      </c>
      <c r="J1325" t="s">
        <v>2833</v>
      </c>
      <c r="K1325">
        <v>32</v>
      </c>
      <c r="L1325">
        <v>2.0076999999999998</v>
      </c>
      <c r="M1325">
        <v>30.344000000000001</v>
      </c>
      <c r="N1325">
        <v>2.0078</v>
      </c>
      <c r="O1325" t="s">
        <v>2833</v>
      </c>
      <c r="P1325" t="s">
        <v>158</v>
      </c>
      <c r="Q1325" t="s">
        <v>2833</v>
      </c>
      <c r="R1325">
        <f ca="1">RAND()*(Validation[[#This Row],[Range1_High]]-Validation[[#This Row],[Range1_Low]])+Validation[[#This Row],[Range1_Low]]</f>
        <v>134.85290106283327</v>
      </c>
      <c r="S1325">
        <f>Validation[[#This Row],[Range2_High]]</f>
        <v>0</v>
      </c>
      <c r="T1325" t="str" cm="1">
        <f t="array" aca="1" ref="T1325" ca="1">RoundToTwoSigFigs(Validation[[#This Row],[Test Reading]]*Validation[[#This Row],[Mult]]+Validation[[#This Row],[Base]]) &amp;" "&amp;Validation[[#This Row],[Uncert_Units]]</f>
        <v>300 mA</v>
      </c>
      <c r="U1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V1325" t="b">
        <f ca="1">Validation[[#This Row],[Desired Result]]=Validation[[#This Row],[Result]]</f>
        <v>1</v>
      </c>
      <c r="W1325" t="b">
        <v>0</v>
      </c>
      <c r="X1325" t="b">
        <f>Validation[[#This Row],[Range1_Low]]&gt;=Validation[[#This Row],[Range1_High]]</f>
        <v>0</v>
      </c>
      <c r="Y1325" s="111" t="s">
        <v>2845</v>
      </c>
    </row>
    <row r="1326" spans="1:25" x14ac:dyDescent="0.25">
      <c r="A1326" t="s">
        <v>54</v>
      </c>
      <c r="B1326" t="s">
        <v>60</v>
      </c>
      <c r="C1326">
        <v>550</v>
      </c>
      <c r="D1326">
        <v>1025</v>
      </c>
      <c r="E1326">
        <v>10</v>
      </c>
      <c r="F1326" t="s">
        <v>13</v>
      </c>
      <c r="G1326" t="s">
        <v>12</v>
      </c>
      <c r="H1326">
        <v>0</v>
      </c>
      <c r="I1326">
        <v>0</v>
      </c>
      <c r="J1326" t="s">
        <v>2833</v>
      </c>
      <c r="K1326">
        <v>5532.1</v>
      </c>
      <c r="L1326">
        <v>0.70111000000000001</v>
      </c>
      <c r="M1326">
        <v>5532.1</v>
      </c>
      <c r="N1326">
        <v>0.69874999999999998</v>
      </c>
      <c r="O1326" t="s">
        <v>2833</v>
      </c>
      <c r="P1326" t="s">
        <v>159</v>
      </c>
      <c r="Q1326" t="s">
        <v>2833</v>
      </c>
      <c r="R1326">
        <f ca="1">RAND()*(Validation[[#This Row],[Range1_High]]-Validation[[#This Row],[Range1_Low]])+Validation[[#This Row],[Range1_Low]]</f>
        <v>563.21385744723364</v>
      </c>
      <c r="S1326">
        <f>Validation[[#This Row],[Range2_High]]</f>
        <v>0</v>
      </c>
      <c r="T1326" t="str" cm="1">
        <f t="array" aca="1" ref="T1326" ca="1">RoundToTwoSigFigs(Validation[[#This Row],[Test Reading]]*Validation[[#This Row],[Mult]]+Validation[[#This Row],[Base]]) &amp;" "&amp;Validation[[#This Row],[Uncert_Units]]</f>
        <v>5900 mA</v>
      </c>
      <c r="U1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1326" t="b">
        <f ca="1">Validation[[#This Row],[Desired Result]]=Validation[[#This Row],[Result]]</f>
        <v>1</v>
      </c>
      <c r="W1326" t="b">
        <v>0</v>
      </c>
      <c r="X1326" t="b">
        <f>Validation[[#This Row],[Range1_Low]]&gt;=Validation[[#This Row],[Range1_High]]</f>
        <v>0</v>
      </c>
      <c r="Y1326" s="111" t="s">
        <v>2845</v>
      </c>
    </row>
    <row r="1327" spans="1:25" x14ac:dyDescent="0.25">
      <c r="A1327" t="s">
        <v>54</v>
      </c>
      <c r="B1327" t="s">
        <v>60</v>
      </c>
      <c r="C1327">
        <v>150</v>
      </c>
      <c r="D1327">
        <v>550.01</v>
      </c>
      <c r="E1327">
        <v>100</v>
      </c>
      <c r="F1327" t="s">
        <v>13</v>
      </c>
      <c r="G1327" t="s">
        <v>12</v>
      </c>
      <c r="H1327">
        <v>0</v>
      </c>
      <c r="I1327">
        <v>0</v>
      </c>
      <c r="J1327" t="s">
        <v>2833</v>
      </c>
      <c r="K1327">
        <v>57732</v>
      </c>
      <c r="L1327">
        <v>2.8329E-2</v>
      </c>
      <c r="M1327">
        <v>57732</v>
      </c>
      <c r="N1327">
        <v>2.7782999999999999E-2</v>
      </c>
      <c r="O1327" t="s">
        <v>2833</v>
      </c>
      <c r="P1327" t="s">
        <v>159</v>
      </c>
      <c r="Q1327" t="s">
        <v>2833</v>
      </c>
      <c r="R1327">
        <f ca="1">RAND()*(Validation[[#This Row],[Range1_High]]-Validation[[#This Row],[Range1_Low]])+Validation[[#This Row],[Range1_Low]]</f>
        <v>194.29402732913672</v>
      </c>
      <c r="S1327">
        <f>Validation[[#This Row],[Range2_High]]</f>
        <v>0</v>
      </c>
      <c r="T1327" t="str" cm="1">
        <f t="array" aca="1" ref="T1327" ca="1">RoundToTwoSigFigs(Validation[[#This Row],[Test Reading]]*Validation[[#This Row],[Mult]]+Validation[[#This Row],[Base]]) &amp;" "&amp;Validation[[#This Row],[Uncert_Units]]</f>
        <v>58000 mA</v>
      </c>
      <c r="U1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327" t="b">
        <f ca="1">Validation[[#This Row],[Desired Result]]=Validation[[#This Row],[Result]]</f>
        <v>1</v>
      </c>
      <c r="W1327" t="b">
        <v>0</v>
      </c>
      <c r="X1327" t="b">
        <f>Validation[[#This Row],[Range1_Low]]&gt;=Validation[[#This Row],[Range1_High]]</f>
        <v>0</v>
      </c>
      <c r="Y1327" s="111" t="s">
        <v>2845</v>
      </c>
    </row>
    <row r="1328" spans="1:25" ht="15.75" thickBot="1" x14ac:dyDescent="0.3">
      <c r="A1328" t="s">
        <v>68</v>
      </c>
      <c r="B1328" t="s">
        <v>60</v>
      </c>
      <c r="C1328">
        <v>50</v>
      </c>
      <c r="D1328">
        <v>510</v>
      </c>
      <c r="E1328">
        <v>10</v>
      </c>
      <c r="F1328" t="s">
        <v>13</v>
      </c>
      <c r="G1328" t="s">
        <v>12</v>
      </c>
      <c r="H1328">
        <v>0</v>
      </c>
      <c r="I1328">
        <v>0</v>
      </c>
      <c r="J1328" t="s">
        <v>2833</v>
      </c>
      <c r="K1328">
        <v>5765.3</v>
      </c>
      <c r="L1328">
        <v>0.22044</v>
      </c>
      <c r="M1328">
        <v>5765.2</v>
      </c>
      <c r="N1328">
        <v>0.21986</v>
      </c>
      <c r="O1328" t="s">
        <v>2833</v>
      </c>
      <c r="P1328" t="s">
        <v>159</v>
      </c>
      <c r="Q1328" t="s">
        <v>2833</v>
      </c>
      <c r="R1328">
        <f ca="1">RAND()*(Validation[[#This Row],[Range1_High]]-Validation[[#This Row],[Range1_Low]])+Validation[[#This Row],[Range1_Low]]</f>
        <v>478.85931008974336</v>
      </c>
      <c r="S1328">
        <f>Validation[[#This Row],[Range2_High]]</f>
        <v>0</v>
      </c>
      <c r="T1328" t="str" cm="1">
        <f t="array" aca="1" ref="T1328" ca="1">RoundToTwoSigFigs(Validation[[#This Row],[Test Reading]]*Validation[[#This Row],[Mult]]+Validation[[#This Row],[Base]]) &amp;" "&amp;Validation[[#This Row],[Uncert_Units]]</f>
        <v>5900 mA</v>
      </c>
      <c r="U1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1328" t="b">
        <f ca="1">Validation[[#This Row],[Desired Result]]=Validation[[#This Row],[Result]]</f>
        <v>1</v>
      </c>
      <c r="W1328" t="b">
        <v>0</v>
      </c>
      <c r="X1328" t="b">
        <f>Validation[[#This Row],[Range1_Low]]&gt;=Validation[[#This Row],[Range1_High]]</f>
        <v>0</v>
      </c>
      <c r="Y1328" s="111" t="s">
        <v>2845</v>
      </c>
    </row>
    <row r="1329" spans="1:25" ht="16.5" thickTop="1" thickBot="1" x14ac:dyDescent="0.3">
      <c r="A1329" t="s">
        <v>68</v>
      </c>
      <c r="B1329" t="s">
        <v>60</v>
      </c>
      <c r="C1329" s="113">
        <v>50</v>
      </c>
      <c r="D1329" s="113">
        <v>510</v>
      </c>
      <c r="E1329">
        <v>0.1</v>
      </c>
      <c r="F1329" t="s">
        <v>13</v>
      </c>
      <c r="G1329" t="s">
        <v>12</v>
      </c>
      <c r="H1329">
        <v>0</v>
      </c>
      <c r="I1329">
        <v>0</v>
      </c>
      <c r="J1329" t="s">
        <v>2833</v>
      </c>
      <c r="K1329">
        <v>85.569000000000003</v>
      </c>
      <c r="L1329">
        <v>1.9918</v>
      </c>
      <c r="M1329">
        <v>85.292000000000002</v>
      </c>
      <c r="N1329">
        <v>1.9921</v>
      </c>
      <c r="O1329" t="s">
        <v>2833</v>
      </c>
      <c r="P1329" t="s">
        <v>159</v>
      </c>
      <c r="Q1329" t="s">
        <v>2833</v>
      </c>
      <c r="R1329">
        <f ca="1">RAND()*(Validation[[#This Row],[Range1_High]]-Validation[[#This Row],[Range1_Low]])+Validation[[#This Row],[Range1_Low]]</f>
        <v>182.88946530027732</v>
      </c>
      <c r="S1329">
        <f>Validation[[#This Row],[Range2_High]]</f>
        <v>0</v>
      </c>
      <c r="T1329" t="str" cm="1">
        <f t="array" aca="1" ref="T1329" ca="1">RoundToTwoSigFigs(Validation[[#This Row],[Test Reading]]*Validation[[#This Row],[Mult]]+Validation[[#This Row],[Base]]) &amp;" "&amp;Validation[[#This Row],[Uncert_Units]]</f>
        <v>450 mA</v>
      </c>
      <c r="U1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V1329" t="b">
        <f ca="1">Validation[[#This Row],[Desired Result]]=Validation[[#This Row],[Result]]</f>
        <v>1</v>
      </c>
      <c r="W1329" t="b">
        <v>1</v>
      </c>
      <c r="X1329" t="b">
        <f>Validation[[#This Row],[Range1_Low]]&gt;=Validation[[#This Row],[Range1_High]]</f>
        <v>0</v>
      </c>
      <c r="Y1329" s="111" t="s">
        <v>2843</v>
      </c>
    </row>
    <row r="1330" spans="1:25" ht="15.75" thickTop="1" x14ac:dyDescent="0.25">
      <c r="A1330" t="s">
        <v>54</v>
      </c>
      <c r="B1330" t="s">
        <v>60</v>
      </c>
      <c r="C1330">
        <v>55</v>
      </c>
      <c r="D1330">
        <v>150.01</v>
      </c>
      <c r="E1330">
        <v>1</v>
      </c>
      <c r="F1330" t="s">
        <v>13</v>
      </c>
      <c r="G1330" t="s">
        <v>12</v>
      </c>
      <c r="H1330">
        <v>0</v>
      </c>
      <c r="I1330">
        <v>0</v>
      </c>
      <c r="J1330" t="s">
        <v>2833</v>
      </c>
      <c r="K1330">
        <v>550.23</v>
      </c>
      <c r="L1330">
        <v>0.69408000000000003</v>
      </c>
      <c r="M1330">
        <v>550.20000000000005</v>
      </c>
      <c r="N1330">
        <v>0.69349000000000005</v>
      </c>
      <c r="O1330" t="s">
        <v>2833</v>
      </c>
      <c r="P1330" t="s">
        <v>159</v>
      </c>
      <c r="Q1330" t="s">
        <v>2833</v>
      </c>
      <c r="R1330">
        <f ca="1">RAND()*(Validation[[#This Row],[Range1_High]]-Validation[[#This Row],[Range1_Low]])+Validation[[#This Row],[Range1_Low]]</f>
        <v>97.380457675964465</v>
      </c>
      <c r="S1330">
        <f>Validation[[#This Row],[Range2_High]]</f>
        <v>0</v>
      </c>
      <c r="T1330" t="str" cm="1">
        <f t="array" aca="1" ref="T1330" ca="1">RoundToTwoSigFigs(Validation[[#This Row],[Test Reading]]*Validation[[#This Row],[Mult]]+Validation[[#This Row],[Base]]) &amp;" "&amp;Validation[[#This Row],[Uncert_Units]]</f>
        <v>620 mA</v>
      </c>
      <c r="U1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V1330" t="b">
        <f ca="1">Validation[[#This Row],[Desired Result]]=Validation[[#This Row],[Result]]</f>
        <v>1</v>
      </c>
      <c r="W1330" t="b">
        <v>0</v>
      </c>
      <c r="X1330" t="b">
        <f>Validation[[#This Row],[Range1_Low]]&gt;=Validation[[#This Row],[Range1_High]]</f>
        <v>0</v>
      </c>
      <c r="Y1330" s="111" t="s">
        <v>2845</v>
      </c>
    </row>
    <row r="1331" spans="1:25" x14ac:dyDescent="0.25">
      <c r="A1331" t="s">
        <v>68</v>
      </c>
      <c r="B1331" t="s">
        <v>60</v>
      </c>
      <c r="C1331">
        <v>5</v>
      </c>
      <c r="D1331">
        <v>51</v>
      </c>
      <c r="E1331">
        <v>0.01</v>
      </c>
      <c r="F1331" t="s">
        <v>13</v>
      </c>
      <c r="G1331" t="s">
        <v>12</v>
      </c>
      <c r="H1331">
        <v>0</v>
      </c>
      <c r="I1331">
        <v>0</v>
      </c>
      <c r="J1331" t="s">
        <v>2833</v>
      </c>
      <c r="K1331">
        <v>5.9279000000000002</v>
      </c>
      <c r="L1331">
        <v>1.9581</v>
      </c>
      <c r="M1331">
        <v>5.8000999999999996</v>
      </c>
      <c r="N1331">
        <v>1.9595</v>
      </c>
      <c r="O1331" t="s">
        <v>2833</v>
      </c>
      <c r="P1331" t="s">
        <v>159</v>
      </c>
      <c r="Q1331" t="s">
        <v>2833</v>
      </c>
      <c r="R1331">
        <f ca="1">RAND()*(Validation[[#This Row],[Range1_High]]-Validation[[#This Row],[Range1_Low]])+Validation[[#This Row],[Range1_Low]]</f>
        <v>46.070528336399185</v>
      </c>
      <c r="S1331">
        <f>Validation[[#This Row],[Range2_High]]</f>
        <v>0</v>
      </c>
      <c r="T1331" t="str" cm="1">
        <f t="array" aca="1" ref="T1331" ca="1">RoundToTwoSigFigs(Validation[[#This Row],[Test Reading]]*Validation[[#This Row],[Mult]]+Validation[[#This Row],[Base]]) &amp;" "&amp;Validation[[#This Row],[Uncert_Units]]</f>
        <v>96 mA</v>
      </c>
      <c r="U1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mA</v>
      </c>
      <c r="V1331" t="b">
        <f ca="1">Validation[[#This Row],[Desired Result]]=Validation[[#This Row],[Result]]</f>
        <v>1</v>
      </c>
      <c r="W1331" t="b">
        <v>0</v>
      </c>
      <c r="X1331" t="b">
        <f>Validation[[#This Row],[Range1_Low]]&gt;=Validation[[#This Row],[Range1_High]]</f>
        <v>0</v>
      </c>
      <c r="Y1331" s="111" t="s">
        <v>2845</v>
      </c>
    </row>
    <row r="1332" spans="1:25" x14ac:dyDescent="0.25">
      <c r="A1332" t="s">
        <v>54</v>
      </c>
      <c r="B1332" t="s">
        <v>60</v>
      </c>
      <c r="C1332">
        <v>55</v>
      </c>
      <c r="D1332">
        <v>150.01</v>
      </c>
      <c r="E1332">
        <v>10</v>
      </c>
      <c r="F1332" t="s">
        <v>13</v>
      </c>
      <c r="G1332" t="s">
        <v>12</v>
      </c>
      <c r="H1332">
        <v>0</v>
      </c>
      <c r="I1332">
        <v>0</v>
      </c>
      <c r="J1332" t="s">
        <v>2833</v>
      </c>
      <c r="K1332">
        <v>5770.6</v>
      </c>
      <c r="L1332">
        <v>7.4861999999999998E-2</v>
      </c>
      <c r="M1332">
        <v>5770.6</v>
      </c>
      <c r="N1332">
        <v>7.4565000000000006E-2</v>
      </c>
      <c r="O1332" t="s">
        <v>2833</v>
      </c>
      <c r="P1332" t="s">
        <v>159</v>
      </c>
      <c r="Q1332" t="s">
        <v>2833</v>
      </c>
      <c r="R1332">
        <f ca="1">RAND()*(Validation[[#This Row],[Range1_High]]-Validation[[#This Row],[Range1_Low]])+Validation[[#This Row],[Range1_Low]]</f>
        <v>63.328455993053687</v>
      </c>
      <c r="S1332">
        <f>Validation[[#This Row],[Range2_High]]</f>
        <v>0</v>
      </c>
      <c r="T1332" t="str" cm="1">
        <f t="array" aca="1" ref="T1332" ca="1">RoundToTwoSigFigs(Validation[[#This Row],[Test Reading]]*Validation[[#This Row],[Mult]]+Validation[[#This Row],[Base]]) &amp;" "&amp;Validation[[#This Row],[Uncert_Units]]</f>
        <v>5800 mA</v>
      </c>
      <c r="U1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332" t="b">
        <f ca="1">Validation[[#This Row],[Desired Result]]=Validation[[#This Row],[Result]]</f>
        <v>1</v>
      </c>
      <c r="W1332" t="b">
        <v>0</v>
      </c>
      <c r="X1332" t="b">
        <f>Validation[[#This Row],[Range1_Low]]&gt;=Validation[[#This Row],[Range1_High]]</f>
        <v>0</v>
      </c>
      <c r="Y1332" s="111" t="s">
        <v>2845</v>
      </c>
    </row>
    <row r="1333" spans="1:25" x14ac:dyDescent="0.25">
      <c r="A1333" t="s">
        <v>54</v>
      </c>
      <c r="B1333" t="s">
        <v>60</v>
      </c>
      <c r="C1333">
        <v>1025</v>
      </c>
      <c r="D1333">
        <v>1026</v>
      </c>
      <c r="E1333">
        <v>100</v>
      </c>
      <c r="F1333" t="s">
        <v>13</v>
      </c>
      <c r="G1333" t="s">
        <v>12</v>
      </c>
      <c r="H1333">
        <v>0</v>
      </c>
      <c r="I1333">
        <v>0</v>
      </c>
      <c r="J1333" t="s">
        <v>2833</v>
      </c>
      <c r="K1333">
        <v>57709</v>
      </c>
      <c r="L1333">
        <v>7.4653999999999998E-2</v>
      </c>
      <c r="M1333">
        <v>57710</v>
      </c>
      <c r="N1333">
        <v>7.3570999999999998E-2</v>
      </c>
      <c r="O1333" t="s">
        <v>2833</v>
      </c>
      <c r="P1333" t="s">
        <v>159</v>
      </c>
      <c r="Q1333" t="s">
        <v>2833</v>
      </c>
      <c r="R1333">
        <f ca="1">RAND()*(Validation[[#This Row],[Range1_High]]-Validation[[#This Row],[Range1_Low]])+Validation[[#This Row],[Range1_Low]]</f>
        <v>1025.0383160546507</v>
      </c>
      <c r="S1333">
        <f>Validation[[#This Row],[Range2_High]]</f>
        <v>0</v>
      </c>
      <c r="T1333" t="str" cm="1">
        <f t="array" aca="1" ref="T1333" ca="1">RoundToTwoSigFigs(Validation[[#This Row],[Test Reading]]*Validation[[#This Row],[Mult]]+Validation[[#This Row],[Base]]) &amp;" "&amp;Validation[[#This Row],[Uncert_Units]]</f>
        <v>58000 mA</v>
      </c>
      <c r="U1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333" t="b">
        <f ca="1">Validation[[#This Row],[Desired Result]]=Validation[[#This Row],[Result]]</f>
        <v>1</v>
      </c>
      <c r="W1333" t="b">
        <v>0</v>
      </c>
      <c r="X1333" t="b">
        <f>Validation[[#This Row],[Range1_Low]]&gt;=Validation[[#This Row],[Range1_High]]</f>
        <v>0</v>
      </c>
      <c r="Y1333" s="111" t="s">
        <v>2845</v>
      </c>
    </row>
    <row r="1334" spans="1:25" x14ac:dyDescent="0.25">
      <c r="A1334" t="s">
        <v>54</v>
      </c>
      <c r="B1334" t="s">
        <v>60</v>
      </c>
      <c r="C1334">
        <v>150</v>
      </c>
      <c r="D1334">
        <v>550.01</v>
      </c>
      <c r="E1334">
        <v>10</v>
      </c>
      <c r="F1334" t="s">
        <v>13</v>
      </c>
      <c r="G1334" t="s">
        <v>12</v>
      </c>
      <c r="H1334">
        <v>0</v>
      </c>
      <c r="I1334">
        <v>0</v>
      </c>
      <c r="J1334" t="s">
        <v>2833</v>
      </c>
      <c r="K1334">
        <v>5740.6</v>
      </c>
      <c r="L1334">
        <v>0.27617999999999998</v>
      </c>
      <c r="M1334">
        <v>5740.5</v>
      </c>
      <c r="N1334">
        <v>0.27484999999999998</v>
      </c>
      <c r="O1334" t="s">
        <v>2833</v>
      </c>
      <c r="P1334" t="s">
        <v>159</v>
      </c>
      <c r="Q1334" t="s">
        <v>2833</v>
      </c>
      <c r="R1334">
        <f ca="1">RAND()*(Validation[[#This Row],[Range1_High]]-Validation[[#This Row],[Range1_Low]])+Validation[[#This Row],[Range1_Low]]</f>
        <v>343.04237260807781</v>
      </c>
      <c r="S1334">
        <f>Validation[[#This Row],[Range2_High]]</f>
        <v>0</v>
      </c>
      <c r="T1334" t="str" cm="1">
        <f t="array" aca="1" ref="T1334" ca="1">RoundToTwoSigFigs(Validation[[#This Row],[Test Reading]]*Validation[[#This Row],[Mult]]+Validation[[#This Row],[Base]]) &amp;" "&amp;Validation[[#This Row],[Uncert_Units]]</f>
        <v>5800 mA</v>
      </c>
      <c r="U1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334" t="b">
        <f ca="1">Validation[[#This Row],[Desired Result]]=Validation[[#This Row],[Result]]</f>
        <v>1</v>
      </c>
      <c r="W1334" t="b">
        <v>0</v>
      </c>
      <c r="X1334" t="b">
        <f>Validation[[#This Row],[Range1_Low]]&gt;=Validation[[#This Row],[Range1_High]]</f>
        <v>0</v>
      </c>
      <c r="Y1334" s="111" t="s">
        <v>2845</v>
      </c>
    </row>
    <row r="1335" spans="1:25" x14ac:dyDescent="0.25">
      <c r="A1335" t="s">
        <v>54</v>
      </c>
      <c r="B1335" t="s">
        <v>60</v>
      </c>
      <c r="C1335">
        <v>1025</v>
      </c>
      <c r="D1335">
        <v>1026</v>
      </c>
      <c r="E1335">
        <v>10</v>
      </c>
      <c r="F1335" t="s">
        <v>13</v>
      </c>
      <c r="G1335" t="s">
        <v>12</v>
      </c>
      <c r="H1335">
        <v>0</v>
      </c>
      <c r="I1335">
        <v>0</v>
      </c>
      <c r="J1335" t="s">
        <v>2833</v>
      </c>
      <c r="K1335">
        <v>5532.1</v>
      </c>
      <c r="L1335">
        <v>0.70111000000000001</v>
      </c>
      <c r="M1335">
        <v>5532.1</v>
      </c>
      <c r="N1335">
        <v>0.69874999999999998</v>
      </c>
      <c r="O1335" t="s">
        <v>2833</v>
      </c>
      <c r="P1335" t="s">
        <v>159</v>
      </c>
      <c r="Q1335" t="s">
        <v>2833</v>
      </c>
      <c r="R1335">
        <f ca="1">RAND()*(Validation[[#This Row],[Range1_High]]-Validation[[#This Row],[Range1_Low]])+Validation[[#This Row],[Range1_Low]]</f>
        <v>1025.3173689619603</v>
      </c>
      <c r="S1335">
        <f>Validation[[#This Row],[Range2_High]]</f>
        <v>0</v>
      </c>
      <c r="T1335" t="str" cm="1">
        <f t="array" aca="1" ref="T1335" ca="1">RoundToTwoSigFigs(Validation[[#This Row],[Test Reading]]*Validation[[#This Row],[Mult]]+Validation[[#This Row],[Base]]) &amp;" "&amp;Validation[[#This Row],[Uncert_Units]]</f>
        <v>6300 mA</v>
      </c>
      <c r="U1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V1335" t="b">
        <f ca="1">Validation[[#This Row],[Desired Result]]=Validation[[#This Row],[Result]]</f>
        <v>1</v>
      </c>
      <c r="W1335" t="b">
        <v>0</v>
      </c>
      <c r="X1335" t="b">
        <f>Validation[[#This Row],[Range1_Low]]&gt;=Validation[[#This Row],[Range1_High]]</f>
        <v>0</v>
      </c>
      <c r="Y1335" s="111" t="s">
        <v>2845</v>
      </c>
    </row>
    <row r="1336" spans="1:25" x14ac:dyDescent="0.25">
      <c r="A1336" t="s">
        <v>54</v>
      </c>
      <c r="B1336" t="s">
        <v>60</v>
      </c>
      <c r="C1336">
        <v>150</v>
      </c>
      <c r="D1336">
        <v>550.01</v>
      </c>
      <c r="E1336">
        <v>1</v>
      </c>
      <c r="F1336" t="s">
        <v>13</v>
      </c>
      <c r="G1336" t="s">
        <v>12</v>
      </c>
      <c r="H1336">
        <v>0</v>
      </c>
      <c r="I1336">
        <v>0</v>
      </c>
      <c r="J1336" t="s">
        <v>2833</v>
      </c>
      <c r="K1336">
        <v>409.49</v>
      </c>
      <c r="L1336">
        <v>1.6356999999999999</v>
      </c>
      <c r="M1336">
        <v>409.01</v>
      </c>
      <c r="N1336">
        <v>1.6349</v>
      </c>
      <c r="O1336" t="s">
        <v>2833</v>
      </c>
      <c r="P1336" t="s">
        <v>159</v>
      </c>
      <c r="Q1336" t="s">
        <v>2833</v>
      </c>
      <c r="R1336">
        <f ca="1">RAND()*(Validation[[#This Row],[Range1_High]]-Validation[[#This Row],[Range1_Low]])+Validation[[#This Row],[Range1_Low]]</f>
        <v>511.08741401909447</v>
      </c>
      <c r="S1336">
        <f>Validation[[#This Row],[Range2_High]]</f>
        <v>0</v>
      </c>
      <c r="T1336" t="str" cm="1">
        <f t="array" aca="1" ref="T1336" ca="1">RoundToTwoSigFigs(Validation[[#This Row],[Test Reading]]*Validation[[#This Row],[Mult]]+Validation[[#This Row],[Base]]) &amp;" "&amp;Validation[[#This Row],[Uncert_Units]]</f>
        <v>1200 mA</v>
      </c>
      <c r="U1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V1336" t="b">
        <f ca="1">Validation[[#This Row],[Desired Result]]=Validation[[#This Row],[Result]]</f>
        <v>1</v>
      </c>
      <c r="W1336" t="b">
        <v>0</v>
      </c>
      <c r="X1336" t="b">
        <f>Validation[[#This Row],[Range1_Low]]&gt;=Validation[[#This Row],[Range1_High]]</f>
        <v>0</v>
      </c>
      <c r="Y1336" s="111" t="s">
        <v>2845</v>
      </c>
    </row>
    <row r="1337" spans="1:25" x14ac:dyDescent="0.25">
      <c r="A1337" t="s">
        <v>54</v>
      </c>
      <c r="B1337" t="s">
        <v>60</v>
      </c>
      <c r="C1337">
        <v>1025</v>
      </c>
      <c r="D1337">
        <v>1026</v>
      </c>
      <c r="E1337">
        <v>0.01</v>
      </c>
      <c r="F1337" t="s">
        <v>13</v>
      </c>
      <c r="G1337" t="s">
        <v>12</v>
      </c>
      <c r="H1337">
        <v>0</v>
      </c>
      <c r="I1337">
        <v>0</v>
      </c>
      <c r="J1337" t="s">
        <v>2833</v>
      </c>
      <c r="K1337">
        <v>32</v>
      </c>
      <c r="L1337">
        <v>2.2999999999999998</v>
      </c>
      <c r="M1337">
        <v>22.486999999999998</v>
      </c>
      <c r="N1337">
        <v>2.3089</v>
      </c>
      <c r="O1337" t="s">
        <v>2833</v>
      </c>
      <c r="P1337" t="s">
        <v>159</v>
      </c>
      <c r="Q1337" t="s">
        <v>2833</v>
      </c>
      <c r="R1337">
        <f ca="1">RAND()*(Validation[[#This Row],[Range1_High]]-Validation[[#This Row],[Range1_Low]])+Validation[[#This Row],[Range1_Low]]</f>
        <v>1025.8250635106485</v>
      </c>
      <c r="S1337">
        <f>Validation[[#This Row],[Range2_High]]</f>
        <v>0</v>
      </c>
      <c r="T1337" t="str" cm="1">
        <f t="array" aca="1" ref="T1337" ca="1">RoundToTwoSigFigs(Validation[[#This Row],[Test Reading]]*Validation[[#This Row],[Mult]]+Validation[[#This Row],[Base]]) &amp;" "&amp;Validation[[#This Row],[Uncert_Units]]</f>
        <v>2400 mA</v>
      </c>
      <c r="U1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V1337" t="b">
        <f ca="1">Validation[[#This Row],[Desired Result]]=Validation[[#This Row],[Result]]</f>
        <v>1</v>
      </c>
      <c r="W1337" t="b">
        <v>0</v>
      </c>
      <c r="X1337" t="b">
        <f>Validation[[#This Row],[Range1_Low]]&gt;=Validation[[#This Row],[Range1_High]]</f>
        <v>0</v>
      </c>
      <c r="Y1337" s="111" t="s">
        <v>2845</v>
      </c>
    </row>
    <row r="1338" spans="1:25" ht="15.75" thickBot="1" x14ac:dyDescent="0.3">
      <c r="A1338" t="s">
        <v>54</v>
      </c>
      <c r="B1338" t="s">
        <v>60</v>
      </c>
      <c r="C1338">
        <v>550</v>
      </c>
      <c r="D1338">
        <v>1025</v>
      </c>
      <c r="E1338">
        <v>100</v>
      </c>
      <c r="F1338" t="s">
        <v>13</v>
      </c>
      <c r="G1338" t="s">
        <v>12</v>
      </c>
      <c r="H1338">
        <v>0</v>
      </c>
      <c r="I1338">
        <v>0</v>
      </c>
      <c r="J1338" t="s">
        <v>2833</v>
      </c>
      <c r="K1338">
        <v>57709</v>
      </c>
      <c r="L1338">
        <v>7.4653999999999998E-2</v>
      </c>
      <c r="M1338">
        <v>57710</v>
      </c>
      <c r="N1338">
        <v>7.3570999999999998E-2</v>
      </c>
      <c r="O1338" t="s">
        <v>2833</v>
      </c>
      <c r="P1338" t="s">
        <v>159</v>
      </c>
      <c r="Q1338" t="s">
        <v>2833</v>
      </c>
      <c r="R1338">
        <f ca="1">RAND()*(Validation[[#This Row],[Range1_High]]-Validation[[#This Row],[Range1_Low]])+Validation[[#This Row],[Range1_Low]]</f>
        <v>858.86773537815304</v>
      </c>
      <c r="S1338">
        <f>Validation[[#This Row],[Range2_High]]</f>
        <v>0</v>
      </c>
      <c r="T1338" t="str" cm="1">
        <f t="array" aca="1" ref="T1338" ca="1">RoundToTwoSigFigs(Validation[[#This Row],[Test Reading]]*Validation[[#This Row],[Mult]]+Validation[[#This Row],[Base]]) &amp;" "&amp;Validation[[#This Row],[Uncert_Units]]</f>
        <v>58000 mA</v>
      </c>
      <c r="U1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338" t="b">
        <f ca="1">Validation[[#This Row],[Desired Result]]=Validation[[#This Row],[Result]]</f>
        <v>1</v>
      </c>
      <c r="W1338" t="b">
        <v>0</v>
      </c>
      <c r="X1338" t="b">
        <f>Validation[[#This Row],[Range1_Low]]&gt;=Validation[[#This Row],[Range1_High]]</f>
        <v>0</v>
      </c>
      <c r="Y1338" s="111" t="s">
        <v>2845</v>
      </c>
    </row>
    <row r="1339" spans="1:25" ht="16.5" thickTop="1" thickBot="1" x14ac:dyDescent="0.3">
      <c r="A1339" t="s">
        <v>68</v>
      </c>
      <c r="B1339" t="s">
        <v>60</v>
      </c>
      <c r="C1339" s="113">
        <v>50</v>
      </c>
      <c r="D1339" s="113">
        <v>510</v>
      </c>
      <c r="E1339">
        <v>1E-3</v>
      </c>
      <c r="F1339" t="s">
        <v>13</v>
      </c>
      <c r="G1339" t="s">
        <v>12</v>
      </c>
      <c r="H1339">
        <v>0</v>
      </c>
      <c r="I1339">
        <v>0</v>
      </c>
      <c r="J1339" t="s">
        <v>2833</v>
      </c>
      <c r="K1339">
        <v>80</v>
      </c>
      <c r="L1339">
        <v>2</v>
      </c>
      <c r="M1339">
        <v>75.207999999999998</v>
      </c>
      <c r="N1339">
        <v>2.0089000000000001</v>
      </c>
      <c r="O1339" t="s">
        <v>2833</v>
      </c>
      <c r="P1339" t="s">
        <v>159</v>
      </c>
      <c r="Q1339" t="s">
        <v>2833</v>
      </c>
      <c r="R1339">
        <f ca="1">RAND()*(Validation[[#This Row],[Range1_High]]-Validation[[#This Row],[Range1_Low]])+Validation[[#This Row],[Range1_Low]]</f>
        <v>357.31786039649955</v>
      </c>
      <c r="S1339">
        <f>Validation[[#This Row],[Range2_High]]</f>
        <v>0</v>
      </c>
      <c r="T1339" t="str" cm="1">
        <f t="array" aca="1" ref="T1339" ca="1">RoundToTwoSigFigs(Validation[[#This Row],[Test Reading]]*Validation[[#This Row],[Mult]]+Validation[[#This Row],[Base]]) &amp;" "&amp;Validation[[#This Row],[Uncert_Units]]</f>
        <v>790 mA</v>
      </c>
      <c r="U1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V1339" t="b">
        <f ca="1">Validation[[#This Row],[Desired Result]]=Validation[[#This Row],[Result]]</f>
        <v>1</v>
      </c>
      <c r="W1339" t="b">
        <v>1</v>
      </c>
      <c r="X1339" t="b">
        <f>Validation[[#This Row],[Range1_Low]]&gt;=Validation[[#This Row],[Range1_High]]</f>
        <v>0</v>
      </c>
      <c r="Y1339" s="111" t="s">
        <v>2843</v>
      </c>
    </row>
    <row r="1340" spans="1:25" ht="15.75" thickTop="1" x14ac:dyDescent="0.25">
      <c r="A1340" t="s">
        <v>55</v>
      </c>
      <c r="B1340" t="s">
        <v>7</v>
      </c>
      <c r="C1340">
        <v>10</v>
      </c>
      <c r="D1340">
        <v>100</v>
      </c>
      <c r="E1340">
        <v>0.01</v>
      </c>
      <c r="F1340" t="s">
        <v>102</v>
      </c>
      <c r="G1340" t="s">
        <v>22</v>
      </c>
      <c r="H1340">
        <v>0</v>
      </c>
      <c r="I1340">
        <v>0</v>
      </c>
      <c r="J1340" t="s">
        <v>2833</v>
      </c>
      <c r="K1340">
        <v>5786.4</v>
      </c>
      <c r="L1340">
        <v>3.1625999999999999</v>
      </c>
      <c r="M1340">
        <v>5786.3</v>
      </c>
      <c r="N1340">
        <v>3.1617000000000002</v>
      </c>
      <c r="O1340" t="s">
        <v>2833</v>
      </c>
      <c r="P1340" t="s">
        <v>2833</v>
      </c>
      <c r="Q1340" t="s">
        <v>2833</v>
      </c>
      <c r="R1340">
        <f ca="1">RAND()*(Validation[[#This Row],[Range1_High]]-Validation[[#This Row],[Range1_Low]])+Validation[[#This Row],[Range1_Low]]</f>
        <v>19.962473104520885</v>
      </c>
      <c r="S1340">
        <f>Validation[[#This Row],[Range2_High]]</f>
        <v>0</v>
      </c>
      <c r="T1340" t="str" cm="1">
        <f t="array" aca="1" ref="T1340" ca="1">RoundToTwoSigFigs(Validation[[#This Row],[Test Reading]]*Validation[[#This Row],[Mult]]+Validation[[#This Row],[Base]]) &amp;" "&amp;Validation[[#This Row],[Uncert_Units]]</f>
        <v>5800 µΩ</v>
      </c>
      <c r="U1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V1340" t="b">
        <f ca="1">Validation[[#This Row],[Desired Result]]=Validation[[#This Row],[Result]]</f>
        <v>1</v>
      </c>
      <c r="W1340" t="b">
        <v>0</v>
      </c>
      <c r="X1340" t="b">
        <f>Validation[[#This Row],[Range1_Low]]&gt;=Validation[[#This Row],[Range1_High]]</f>
        <v>0</v>
      </c>
      <c r="Y1340" s="111" t="s">
        <v>2845</v>
      </c>
    </row>
    <row r="1341" spans="1:25" x14ac:dyDescent="0.25">
      <c r="A1341" t="s">
        <v>55</v>
      </c>
      <c r="B1341" t="s">
        <v>7</v>
      </c>
      <c r="C1341">
        <v>0</v>
      </c>
      <c r="D1341">
        <v>10</v>
      </c>
      <c r="E1341">
        <v>10</v>
      </c>
      <c r="F1341" t="s">
        <v>102</v>
      </c>
      <c r="G1341" t="s">
        <v>22</v>
      </c>
      <c r="H1341">
        <v>0</v>
      </c>
      <c r="I1341">
        <v>0</v>
      </c>
      <c r="J1341" t="s">
        <v>2833</v>
      </c>
      <c r="K1341">
        <v>5770000</v>
      </c>
      <c r="L1341">
        <v>8.3416999999999996E-4</v>
      </c>
      <c r="M1341">
        <v>5770000</v>
      </c>
      <c r="N1341">
        <v>4.7081E-4</v>
      </c>
      <c r="O1341" t="s">
        <v>2833</v>
      </c>
      <c r="P1341" t="s">
        <v>2833</v>
      </c>
      <c r="Q1341" t="s">
        <v>2833</v>
      </c>
      <c r="R1341">
        <f ca="1">RAND()*(Validation[[#This Row],[Range1_High]]-Validation[[#This Row],[Range1_Low]])+Validation[[#This Row],[Range1_Low]]</f>
        <v>6.4586160189906217</v>
      </c>
      <c r="S1341">
        <f>Validation[[#This Row],[Range2_High]]</f>
        <v>0</v>
      </c>
      <c r="T1341" t="str" cm="1">
        <f t="array" aca="1" ref="T1341" ca="1">RoundToTwoSigFigs(Validation[[#This Row],[Test Reading]]*Validation[[#This Row],[Mult]]+Validation[[#This Row],[Base]]) &amp;" "&amp;Validation[[#This Row],[Uncert_Units]]</f>
        <v>5800000 µΩ</v>
      </c>
      <c r="U1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V1341" t="b">
        <f ca="1">Validation[[#This Row],[Desired Result]]=Validation[[#This Row],[Result]]</f>
        <v>1</v>
      </c>
      <c r="W1341" t="b">
        <v>0</v>
      </c>
      <c r="X1341" t="b">
        <f>Validation[[#This Row],[Range1_Low]]&gt;=Validation[[#This Row],[Range1_High]]</f>
        <v>0</v>
      </c>
      <c r="Y1341" s="111" t="s">
        <v>2845</v>
      </c>
    </row>
    <row r="1342" spans="1:25" ht="15.75" thickBot="1" x14ac:dyDescent="0.3">
      <c r="A1342" t="s">
        <v>56</v>
      </c>
      <c r="B1342" t="s">
        <v>7</v>
      </c>
      <c r="C1342">
        <v>0</v>
      </c>
      <c r="D1342">
        <v>1000</v>
      </c>
      <c r="E1342">
        <v>1E-4</v>
      </c>
      <c r="F1342" t="s">
        <v>102</v>
      </c>
      <c r="G1342" t="s">
        <v>71</v>
      </c>
      <c r="H1342">
        <v>0</v>
      </c>
      <c r="I1342">
        <v>0</v>
      </c>
      <c r="J1342" t="s">
        <v>2833</v>
      </c>
      <c r="K1342">
        <v>63.692799999999998</v>
      </c>
      <c r="L1342">
        <v>6.2659430000000002E-2</v>
      </c>
      <c r="M1342">
        <v>54.207389999999997</v>
      </c>
      <c r="N1342">
        <v>4.7163209999999997E-2</v>
      </c>
      <c r="O1342" t="s">
        <v>2833</v>
      </c>
      <c r="P1342" t="s">
        <v>2833</v>
      </c>
      <c r="Q1342" t="s">
        <v>2833</v>
      </c>
      <c r="R1342">
        <f ca="1">RAND()*(Validation[[#This Row],[Range1_High]]-Validation[[#This Row],[Range1_Low]])+Validation[[#This Row],[Range1_Low]]</f>
        <v>224.18576799374802</v>
      </c>
      <c r="S1342">
        <f>Validation[[#This Row],[Range2_High]]</f>
        <v>0</v>
      </c>
      <c r="T1342" t="str" cm="1">
        <f t="array" aca="1" ref="T1342" ca="1">RoundToTwoSigFigs(Validation[[#This Row],[Test Reading]]*Validation[[#This Row],[Mult]]+Validation[[#This Row],[Base]]) &amp;" "&amp;Validation[[#This Row],[Uncert_Units]]</f>
        <v>78 µΩ</v>
      </c>
      <c r="U1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µΩ</v>
      </c>
      <c r="V1342" t="b">
        <f ca="1">Validation[[#This Row],[Desired Result]]=Validation[[#This Row],[Result]]</f>
        <v>1</v>
      </c>
      <c r="W1342" t="b">
        <v>0</v>
      </c>
      <c r="X1342" t="b">
        <f>Validation[[#This Row],[Range1_Low]]&gt;=Validation[[#This Row],[Range1_High]]</f>
        <v>0</v>
      </c>
      <c r="Y1342" s="111" t="s">
        <v>2845</v>
      </c>
    </row>
    <row r="1343" spans="1:25" ht="16.5" thickTop="1" thickBot="1" x14ac:dyDescent="0.3">
      <c r="A1343" t="s">
        <v>55</v>
      </c>
      <c r="B1343" t="s">
        <v>7</v>
      </c>
      <c r="C1343" s="113">
        <v>100</v>
      </c>
      <c r="D1343" s="113">
        <v>1000</v>
      </c>
      <c r="E1343">
        <v>1E-3</v>
      </c>
      <c r="F1343" t="s">
        <v>102</v>
      </c>
      <c r="G1343" t="s">
        <v>22</v>
      </c>
      <c r="H1343">
        <v>0</v>
      </c>
      <c r="I1343">
        <v>0</v>
      </c>
      <c r="J1343" t="s">
        <v>2833</v>
      </c>
      <c r="K1343">
        <v>647.66</v>
      </c>
      <c r="L1343">
        <v>11.942</v>
      </c>
      <c r="M1343">
        <v>669.04</v>
      </c>
      <c r="N1343">
        <v>11.724</v>
      </c>
      <c r="O1343" t="s">
        <v>2833</v>
      </c>
      <c r="P1343" t="s">
        <v>2833</v>
      </c>
      <c r="Q1343" t="s">
        <v>2833</v>
      </c>
      <c r="R1343">
        <f ca="1">RAND()*(Validation[[#This Row],[Range1_High]]-Validation[[#This Row],[Range1_Low]])+Validation[[#This Row],[Range1_Low]]</f>
        <v>957.7529218646107</v>
      </c>
      <c r="S1343">
        <f>Validation[[#This Row],[Range2_High]]</f>
        <v>0</v>
      </c>
      <c r="T1343" t="str" cm="1">
        <f t="array" aca="1" ref="T1343" ca="1">RoundToTwoSigFigs(Validation[[#This Row],[Test Reading]]*Validation[[#This Row],[Mult]]+Validation[[#This Row],[Base]]) &amp;" "&amp;Validation[[#This Row],[Uncert_Units]]</f>
        <v>12000 µΩ</v>
      </c>
      <c r="U1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µΩ</v>
      </c>
      <c r="V1343" t="b">
        <f ca="1">Validation[[#This Row],[Desired Result]]=Validation[[#This Row],[Result]]</f>
        <v>1</v>
      </c>
      <c r="W1343" t="b">
        <v>1</v>
      </c>
      <c r="X1343" t="b">
        <f>Validation[[#This Row],[Range1_Low]]&gt;=Validation[[#This Row],[Range1_High]]</f>
        <v>0</v>
      </c>
      <c r="Y1343" s="111" t="s">
        <v>2843</v>
      </c>
    </row>
    <row r="1344" spans="1:25" ht="16.5" thickTop="1" thickBot="1" x14ac:dyDescent="0.3">
      <c r="A1344" t="s">
        <v>55</v>
      </c>
      <c r="B1344" t="s">
        <v>7</v>
      </c>
      <c r="C1344" s="113">
        <v>10</v>
      </c>
      <c r="D1344" s="113">
        <v>100</v>
      </c>
      <c r="E1344">
        <v>1.0000000000000001E-5</v>
      </c>
      <c r="F1344" t="s">
        <v>102</v>
      </c>
      <c r="G1344" t="s">
        <v>22</v>
      </c>
      <c r="H1344">
        <v>0</v>
      </c>
      <c r="I1344">
        <v>0</v>
      </c>
      <c r="J1344" t="s">
        <v>2833</v>
      </c>
      <c r="K1344">
        <v>580</v>
      </c>
      <c r="L1344">
        <v>14</v>
      </c>
      <c r="M1344">
        <v>577.27</v>
      </c>
      <c r="N1344">
        <v>0</v>
      </c>
      <c r="O1344" t="s">
        <v>2833</v>
      </c>
      <c r="P1344" t="s">
        <v>2833</v>
      </c>
      <c r="Q1344" t="s">
        <v>2833</v>
      </c>
      <c r="R1344">
        <f ca="1">RAND()*(Validation[[#This Row],[Range1_High]]-Validation[[#This Row],[Range1_Low]])+Validation[[#This Row],[Range1_Low]]</f>
        <v>15.346281084384628</v>
      </c>
      <c r="S1344">
        <f>Validation[[#This Row],[Range2_High]]</f>
        <v>0</v>
      </c>
      <c r="T1344" t="str" cm="1">
        <f t="array" aca="1" ref="T1344" ca="1">RoundToTwoSigFigs(Validation[[#This Row],[Test Reading]]*Validation[[#This Row],[Mult]]+Validation[[#This Row],[Base]]) &amp;" "&amp;Validation[[#This Row],[Uncert_Units]]</f>
        <v>790 µΩ</v>
      </c>
      <c r="U1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µΩ</v>
      </c>
      <c r="V1344" t="b">
        <f ca="1">Validation[[#This Row],[Desired Result]]=Validation[[#This Row],[Result]]</f>
        <v>1</v>
      </c>
      <c r="W1344" t="b">
        <v>1</v>
      </c>
      <c r="X1344" t="b">
        <f>Validation[[#This Row],[Range1_Low]]&gt;=Validation[[#This Row],[Range1_High]]</f>
        <v>0</v>
      </c>
      <c r="Y1344" s="111" t="s">
        <v>2843</v>
      </c>
    </row>
    <row r="1345" spans="1:25" ht="16.5" thickTop="1" thickBot="1" x14ac:dyDescent="0.3">
      <c r="A1345" t="s">
        <v>55</v>
      </c>
      <c r="B1345" t="s">
        <v>7</v>
      </c>
      <c r="C1345" s="113">
        <v>1000000</v>
      </c>
      <c r="D1345" s="113">
        <v>10000000</v>
      </c>
      <c r="E1345">
        <v>100</v>
      </c>
      <c r="F1345" t="s">
        <v>102</v>
      </c>
      <c r="G1345" t="s">
        <v>49</v>
      </c>
      <c r="H1345">
        <v>0</v>
      </c>
      <c r="I1345">
        <v>0</v>
      </c>
      <c r="J1345" t="s">
        <v>2833</v>
      </c>
      <c r="K1345">
        <v>124.34</v>
      </c>
      <c r="L1345">
        <v>5.8566999999999997E-5</v>
      </c>
      <c r="M1345">
        <v>125.65</v>
      </c>
      <c r="N1345">
        <v>5.6965000000000001E-5</v>
      </c>
      <c r="O1345" t="s">
        <v>2833</v>
      </c>
      <c r="P1345" t="s">
        <v>2833</v>
      </c>
      <c r="Q1345" t="s">
        <v>2833</v>
      </c>
      <c r="R1345">
        <f ca="1">RAND()*(Validation[[#This Row],[Range1_High]]-Validation[[#This Row],[Range1_Low]])+Validation[[#This Row],[Range1_Low]]</f>
        <v>4711744.0863805953</v>
      </c>
      <c r="S1345">
        <f>Validation[[#This Row],[Range2_High]]</f>
        <v>0</v>
      </c>
      <c r="T1345" t="str" cm="1">
        <f t="array" aca="1" ref="T1345" ca="1">RoundToTwoSigFigs(Validation[[#This Row],[Test Reading]]*Validation[[#This Row],[Mult]]+Validation[[#This Row],[Base]]) &amp;" "&amp;Validation[[#This Row],[Uncert_Units]]</f>
        <v>400 Ω</v>
      </c>
      <c r="U1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Ω</v>
      </c>
      <c r="V1345" t="b">
        <f ca="1">Validation[[#This Row],[Desired Result]]=Validation[[#This Row],[Result]]</f>
        <v>1</v>
      </c>
      <c r="W1345" t="b">
        <v>1</v>
      </c>
      <c r="X1345" t="b">
        <f>Validation[[#This Row],[Range1_Low]]&gt;=Validation[[#This Row],[Range1_High]]</f>
        <v>0</v>
      </c>
      <c r="Y1345" s="111" t="s">
        <v>2843</v>
      </c>
    </row>
    <row r="1346" spans="1:25" ht="16.5" thickTop="1" thickBot="1" x14ac:dyDescent="0.3">
      <c r="A1346" t="s">
        <v>55</v>
      </c>
      <c r="B1346" t="s">
        <v>7</v>
      </c>
      <c r="C1346" s="113">
        <v>100000000</v>
      </c>
      <c r="D1346" s="113">
        <v>1000000000</v>
      </c>
      <c r="E1346">
        <v>1000</v>
      </c>
      <c r="F1346" t="s">
        <v>102</v>
      </c>
      <c r="G1346" t="s">
        <v>176</v>
      </c>
      <c r="H1346">
        <v>0</v>
      </c>
      <c r="I1346">
        <v>0</v>
      </c>
      <c r="J1346" t="s">
        <v>2833</v>
      </c>
      <c r="K1346">
        <v>12</v>
      </c>
      <c r="L1346">
        <v>5.8000000000000004E-6</v>
      </c>
      <c r="M1346">
        <v>11.592000000000001</v>
      </c>
      <c r="N1346">
        <v>5.7734999999999999E-6</v>
      </c>
      <c r="O1346" t="s">
        <v>2833</v>
      </c>
      <c r="P1346" t="s">
        <v>2833</v>
      </c>
      <c r="Q1346" t="s">
        <v>2833</v>
      </c>
      <c r="R1346">
        <f ca="1">RAND()*(Validation[[#This Row],[Range1_High]]-Validation[[#This Row],[Range1_Low]])+Validation[[#This Row],[Range1_Low]]</f>
        <v>944821034.05868125</v>
      </c>
      <c r="S1346">
        <f>Validation[[#This Row],[Range2_High]]</f>
        <v>0</v>
      </c>
      <c r="T1346" t="str" cm="1">
        <f t="array" aca="1" ref="T1346" ca="1">RoundToTwoSigFigs(Validation[[#This Row],[Test Reading]]*Validation[[#This Row],[Mult]]+Validation[[#This Row],[Base]]) &amp;" "&amp;Validation[[#This Row],[Uncert_Units]]</f>
        <v>5500 kΩ</v>
      </c>
      <c r="U1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kΩ</v>
      </c>
      <c r="V1346" t="b">
        <f ca="1">Validation[[#This Row],[Desired Result]]=Validation[[#This Row],[Result]]</f>
        <v>1</v>
      </c>
      <c r="W1346" t="b">
        <v>1</v>
      </c>
      <c r="X1346" t="b">
        <f>Validation[[#This Row],[Range1_Low]]&gt;=Validation[[#This Row],[Range1_High]]</f>
        <v>0</v>
      </c>
      <c r="Y1346" s="111" t="s">
        <v>2843</v>
      </c>
    </row>
    <row r="1347" spans="1:25" ht="16.5" thickTop="1" thickBot="1" x14ac:dyDescent="0.3">
      <c r="A1347" t="s">
        <v>54</v>
      </c>
      <c r="B1347" t="s">
        <v>7</v>
      </c>
      <c r="C1347" s="113">
        <v>330</v>
      </c>
      <c r="D1347" s="113">
        <v>1100.01</v>
      </c>
      <c r="E1347">
        <v>0.1</v>
      </c>
      <c r="F1347" t="s">
        <v>102</v>
      </c>
      <c r="G1347" t="s">
        <v>48</v>
      </c>
      <c r="H1347">
        <v>0</v>
      </c>
      <c r="I1347">
        <v>0</v>
      </c>
      <c r="J1347" t="s">
        <v>2833</v>
      </c>
      <c r="K1347">
        <v>52.968000000000004</v>
      </c>
      <c r="L1347">
        <v>8.7891999999999998E-2</v>
      </c>
      <c r="M1347">
        <v>52.866999999999997</v>
      </c>
      <c r="N1347">
        <v>8.7789000000000006E-2</v>
      </c>
      <c r="O1347" t="s">
        <v>2833</v>
      </c>
      <c r="P1347" t="s">
        <v>2833</v>
      </c>
      <c r="Q1347" t="s">
        <v>2833</v>
      </c>
      <c r="R1347">
        <f ca="1">RAND()*(Validation[[#This Row],[Range1_High]]-Validation[[#This Row],[Range1_Low]])+Validation[[#This Row],[Range1_Low]]</f>
        <v>775.14088089389838</v>
      </c>
      <c r="S1347">
        <f>Validation[[#This Row],[Range2_High]]</f>
        <v>0</v>
      </c>
      <c r="T1347" t="str" cm="1">
        <f t="array" aca="1" ref="T1347" ca="1">RoundToTwoSigFigs(Validation[[#This Row],[Test Reading]]*Validation[[#This Row],[Mult]]+Validation[[#This Row],[Base]]) &amp;" "&amp;Validation[[#This Row],[Uncert_Units]]</f>
        <v>120 mΩ</v>
      </c>
      <c r="U1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mΩ</v>
      </c>
      <c r="V1347" t="b">
        <f ca="1">Validation[[#This Row],[Desired Result]]=Validation[[#This Row],[Result]]</f>
        <v>1</v>
      </c>
      <c r="W1347" t="b">
        <v>1</v>
      </c>
      <c r="X1347" t="b">
        <f>Validation[[#This Row],[Range1_Low]]&gt;=Validation[[#This Row],[Range1_High]]</f>
        <v>0</v>
      </c>
      <c r="Y1347" s="111" t="s">
        <v>2843</v>
      </c>
    </row>
    <row r="1348" spans="1:25" ht="16.5" thickTop="1" thickBot="1" x14ac:dyDescent="0.3">
      <c r="A1348" t="s">
        <v>55</v>
      </c>
      <c r="B1348" t="s">
        <v>7</v>
      </c>
      <c r="C1348" s="113">
        <v>100000000</v>
      </c>
      <c r="D1348" s="113">
        <v>1000000000</v>
      </c>
      <c r="E1348">
        <v>100000</v>
      </c>
      <c r="F1348" t="s">
        <v>102</v>
      </c>
      <c r="G1348" t="s">
        <v>176</v>
      </c>
      <c r="H1348">
        <v>0</v>
      </c>
      <c r="I1348">
        <v>0</v>
      </c>
      <c r="J1348" t="s">
        <v>2833</v>
      </c>
      <c r="K1348">
        <v>12</v>
      </c>
      <c r="L1348">
        <v>5.8000000000000004E-6</v>
      </c>
      <c r="M1348">
        <v>14.68</v>
      </c>
      <c r="N1348">
        <v>5.7706999999999997E-6</v>
      </c>
      <c r="O1348" t="s">
        <v>2833</v>
      </c>
      <c r="P1348" t="s">
        <v>2833</v>
      </c>
      <c r="Q1348" t="s">
        <v>2833</v>
      </c>
      <c r="R1348">
        <f ca="1">RAND()*(Validation[[#This Row],[Range1_High]]-Validation[[#This Row],[Range1_Low]])+Validation[[#This Row],[Range1_Low]]</f>
        <v>428891315.93183607</v>
      </c>
      <c r="S1348">
        <f>Validation[[#This Row],[Range2_High]]</f>
        <v>0</v>
      </c>
      <c r="T1348" t="str" cm="1">
        <f t="array" aca="1" ref="T1348" ca="1">RoundToTwoSigFigs(Validation[[#This Row],[Test Reading]]*Validation[[#This Row],[Mult]]+Validation[[#This Row],[Base]]) &amp;" "&amp;Validation[[#This Row],[Uncert_Units]]</f>
        <v>2500 kΩ</v>
      </c>
      <c r="U1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kΩ</v>
      </c>
      <c r="V1348" t="b">
        <f ca="1">Validation[[#This Row],[Desired Result]]=Validation[[#This Row],[Result]]</f>
        <v>1</v>
      </c>
      <c r="W1348" t="b">
        <v>1</v>
      </c>
      <c r="X1348" t="b">
        <f>Validation[[#This Row],[Range1_Low]]&gt;=Validation[[#This Row],[Range1_High]]</f>
        <v>0</v>
      </c>
      <c r="Y1348" s="111" t="s">
        <v>2843</v>
      </c>
    </row>
    <row r="1349" spans="1:25" ht="16.5" thickTop="1" thickBot="1" x14ac:dyDescent="0.3">
      <c r="A1349" t="s">
        <v>54</v>
      </c>
      <c r="B1349" t="s">
        <v>7</v>
      </c>
      <c r="C1349" s="113">
        <v>110000000</v>
      </c>
      <c r="D1349" s="113">
        <v>330010000</v>
      </c>
      <c r="E1349">
        <v>100000</v>
      </c>
      <c r="F1349" t="s">
        <v>102</v>
      </c>
      <c r="G1349" t="s">
        <v>50</v>
      </c>
      <c r="H1349">
        <v>0</v>
      </c>
      <c r="I1349">
        <v>0</v>
      </c>
      <c r="J1349" t="s">
        <v>2833</v>
      </c>
      <c r="K1349">
        <v>120</v>
      </c>
      <c r="L1349">
        <v>5.7671000000000002E-6</v>
      </c>
      <c r="M1349">
        <v>118.42</v>
      </c>
      <c r="N1349">
        <v>5.7671000000000002E-6</v>
      </c>
      <c r="O1349" t="s">
        <v>2833</v>
      </c>
      <c r="P1349" t="s">
        <v>2833</v>
      </c>
      <c r="Q1349" t="s">
        <v>2833</v>
      </c>
      <c r="R1349">
        <f ca="1">RAND()*(Validation[[#This Row],[Range1_High]]-Validation[[#This Row],[Range1_Low]])+Validation[[#This Row],[Range1_Low]]</f>
        <v>312621940.4058097</v>
      </c>
      <c r="S1349">
        <f>Validation[[#This Row],[Range2_High]]</f>
        <v>0</v>
      </c>
      <c r="T1349" t="str" cm="1">
        <f t="array" aca="1" ref="T1349" ca="1">RoundToTwoSigFigs(Validation[[#This Row],[Test Reading]]*Validation[[#This Row],[Mult]]+Validation[[#This Row],[Base]]) &amp;" "&amp;Validation[[#This Row],[Uncert_Units]]</f>
        <v>1900 kΩ</v>
      </c>
      <c r="U1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kΩ</v>
      </c>
      <c r="V1349" t="b">
        <f ca="1">Validation[[#This Row],[Desired Result]]=Validation[[#This Row],[Result]]</f>
        <v>1</v>
      </c>
      <c r="W1349" t="b">
        <v>1</v>
      </c>
      <c r="X1349" t="b">
        <f>Validation[[#This Row],[Range1_Low]]&gt;=Validation[[#This Row],[Range1_High]]</f>
        <v>0</v>
      </c>
      <c r="Y1349" s="111" t="s">
        <v>2843</v>
      </c>
    </row>
    <row r="1350" spans="1:25" ht="16.5" thickTop="1" thickBot="1" x14ac:dyDescent="0.3">
      <c r="A1350" t="s">
        <v>55</v>
      </c>
      <c r="B1350" t="s">
        <v>7</v>
      </c>
      <c r="C1350" s="113">
        <v>1000000</v>
      </c>
      <c r="D1350" s="113">
        <v>10000000</v>
      </c>
      <c r="E1350">
        <v>1</v>
      </c>
      <c r="F1350" t="s">
        <v>102</v>
      </c>
      <c r="G1350" t="s">
        <v>49</v>
      </c>
      <c r="H1350">
        <v>0</v>
      </c>
      <c r="I1350">
        <v>0</v>
      </c>
      <c r="J1350" t="s">
        <v>2833</v>
      </c>
      <c r="K1350">
        <v>120</v>
      </c>
      <c r="L1350">
        <v>5.8999999999999998E-5</v>
      </c>
      <c r="M1350">
        <v>115.5</v>
      </c>
      <c r="N1350">
        <v>5.7738999999999997E-5</v>
      </c>
      <c r="O1350" t="s">
        <v>2833</v>
      </c>
      <c r="P1350" t="s">
        <v>2833</v>
      </c>
      <c r="Q1350" t="s">
        <v>2833</v>
      </c>
      <c r="R1350">
        <f ca="1">RAND()*(Validation[[#This Row],[Range1_High]]-Validation[[#This Row],[Range1_Low]])+Validation[[#This Row],[Range1_Low]]</f>
        <v>1768402.4599116235</v>
      </c>
      <c r="S1350">
        <f>Validation[[#This Row],[Range2_High]]</f>
        <v>0</v>
      </c>
      <c r="T1350" t="str" cm="1">
        <f t="array" aca="1" ref="T1350" ca="1">RoundToTwoSigFigs(Validation[[#This Row],[Test Reading]]*Validation[[#This Row],[Mult]]+Validation[[#This Row],[Base]]) &amp;" "&amp;Validation[[#This Row],[Uncert_Units]]</f>
        <v>220 Ω</v>
      </c>
      <c r="U1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Ω</v>
      </c>
      <c r="V1350" t="b">
        <f ca="1">Validation[[#This Row],[Desired Result]]=Validation[[#This Row],[Result]]</f>
        <v>1</v>
      </c>
      <c r="W1350" t="b">
        <v>1</v>
      </c>
      <c r="X1350" t="b">
        <f>Validation[[#This Row],[Range1_Low]]&gt;=Validation[[#This Row],[Range1_High]]</f>
        <v>0</v>
      </c>
      <c r="Y1350" s="111" t="s">
        <v>2843</v>
      </c>
    </row>
    <row r="1351" spans="1:25" ht="16.5" thickTop="1" thickBot="1" x14ac:dyDescent="0.3">
      <c r="A1351" t="s">
        <v>54</v>
      </c>
      <c r="B1351" t="s">
        <v>7</v>
      </c>
      <c r="C1351" s="113">
        <v>3300000</v>
      </c>
      <c r="D1351" s="113">
        <v>11001000</v>
      </c>
      <c r="E1351">
        <v>10000</v>
      </c>
      <c r="F1351" t="s">
        <v>102</v>
      </c>
      <c r="G1351" t="s">
        <v>50</v>
      </c>
      <c r="H1351">
        <v>0</v>
      </c>
      <c r="I1351">
        <v>0</v>
      </c>
      <c r="J1351" t="s">
        <v>2833</v>
      </c>
      <c r="K1351">
        <v>4.8625999999999996</v>
      </c>
      <c r="L1351">
        <v>4.4971999999999998E-7</v>
      </c>
      <c r="M1351">
        <v>4.8623000000000003</v>
      </c>
      <c r="N1351">
        <v>4.4966000000000002E-7</v>
      </c>
      <c r="O1351" t="s">
        <v>2833</v>
      </c>
      <c r="P1351" t="s">
        <v>2833</v>
      </c>
      <c r="Q1351" t="s">
        <v>2833</v>
      </c>
      <c r="R1351">
        <f ca="1">RAND()*(Validation[[#This Row],[Range1_High]]-Validation[[#This Row],[Range1_Low]])+Validation[[#This Row],[Range1_Low]]</f>
        <v>9901533.6924826987</v>
      </c>
      <c r="S1351">
        <f>Validation[[#This Row],[Range2_High]]</f>
        <v>0</v>
      </c>
      <c r="T1351" t="str" cm="1">
        <f t="array" aca="1" ref="T1351" ca="1">RoundToTwoSigFigs(Validation[[#This Row],[Test Reading]]*Validation[[#This Row],[Mult]]+Validation[[#This Row],[Base]]) &amp;" "&amp;Validation[[#This Row],[Uncert_Units]]</f>
        <v>9.3 kΩ</v>
      </c>
      <c r="U1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kΩ</v>
      </c>
      <c r="V1351" t="b">
        <f ca="1">Validation[[#This Row],[Desired Result]]=Validation[[#This Row],[Result]]</f>
        <v>1</v>
      </c>
      <c r="W1351" t="b">
        <v>1</v>
      </c>
      <c r="X1351" t="b">
        <f>Validation[[#This Row],[Range1_Low]]&gt;=Validation[[#This Row],[Range1_High]]</f>
        <v>0</v>
      </c>
      <c r="Y1351" s="111" t="s">
        <v>2843</v>
      </c>
    </row>
    <row r="1352" spans="1:25" ht="16.5" thickTop="1" thickBot="1" x14ac:dyDescent="0.3">
      <c r="A1352" t="s">
        <v>56</v>
      </c>
      <c r="B1352" t="s">
        <v>7</v>
      </c>
      <c r="C1352" s="115">
        <v>100000</v>
      </c>
      <c r="D1352" s="115">
        <v>1000</v>
      </c>
      <c r="E1352">
        <v>1000000000</v>
      </c>
      <c r="F1352" t="s">
        <v>102</v>
      </c>
      <c r="G1352" t="s">
        <v>49</v>
      </c>
      <c r="H1352">
        <v>0</v>
      </c>
      <c r="I1352">
        <v>0</v>
      </c>
      <c r="J1352" t="s">
        <v>2833</v>
      </c>
      <c r="K1352">
        <v>600.33960000000002</v>
      </c>
      <c r="L1352">
        <v>9.6699999999999999E-8</v>
      </c>
      <c r="M1352">
        <v>579.45889999999997</v>
      </c>
      <c r="N1352">
        <v>6.7999999999999997E-9</v>
      </c>
      <c r="O1352" t="s">
        <v>2833</v>
      </c>
      <c r="P1352" t="s">
        <v>2833</v>
      </c>
      <c r="Q1352" t="s">
        <v>2833</v>
      </c>
      <c r="R1352" s="100">
        <f ca="1">RAND()*(Validation[[#This Row],[Range1_High]]-Validation[[#This Row],[Range1_Low]])+Validation[[#This Row],[Range1_Low]]</f>
        <v>46747.746493148159</v>
      </c>
      <c r="S1352">
        <f>Validation[[#This Row],[Range2_High]]</f>
        <v>0</v>
      </c>
      <c r="T1352" t="str" cm="1">
        <f t="array" aca="1" ref="T1352" ca="1">RoundToTwoSigFigs(Validation[[#This Row],[Test Reading]]*Validation[[#This Row],[Mult]]+Validation[[#This Row],[Base]]) &amp;" "&amp;Validation[[#This Row],[Uncert_Units]]</f>
        <v>600 Ω</v>
      </c>
      <c r="U1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1352" t="b">
        <f ca="1">Validation[[#This Row],[Desired Result]]=Validation[[#This Row],[Result]]</f>
        <v>0</v>
      </c>
      <c r="W1352" t="b">
        <v>1</v>
      </c>
      <c r="X1352" t="b">
        <f>Validation[[#This Row],[Range1_Low]]&gt;=Validation[[#This Row],[Range1_High]]</f>
        <v>1</v>
      </c>
      <c r="Y1352" s="111" t="s">
        <v>2842</v>
      </c>
    </row>
    <row r="1353" spans="1:25" ht="16.5" thickTop="1" thickBot="1" x14ac:dyDescent="0.3">
      <c r="A1353" t="s">
        <v>55</v>
      </c>
      <c r="B1353" t="s">
        <v>7</v>
      </c>
      <c r="C1353" s="113">
        <v>1000</v>
      </c>
      <c r="D1353" s="113">
        <v>10000</v>
      </c>
      <c r="E1353">
        <v>10</v>
      </c>
      <c r="F1353" t="s">
        <v>102</v>
      </c>
      <c r="G1353" t="s">
        <v>48</v>
      </c>
      <c r="H1353">
        <v>0</v>
      </c>
      <c r="I1353">
        <v>0</v>
      </c>
      <c r="J1353" t="s">
        <v>2833</v>
      </c>
      <c r="K1353">
        <v>5773.4</v>
      </c>
      <c r="L1353">
        <v>1.416E-4</v>
      </c>
      <c r="M1353">
        <v>5773.4</v>
      </c>
      <c r="N1353">
        <v>1.4095000000000001E-4</v>
      </c>
      <c r="O1353" t="s">
        <v>2833</v>
      </c>
      <c r="P1353" t="s">
        <v>2833</v>
      </c>
      <c r="Q1353" t="s">
        <v>2833</v>
      </c>
      <c r="R1353">
        <f ca="1">RAND()*(Validation[[#This Row],[Range1_High]]-Validation[[#This Row],[Range1_Low]])+Validation[[#This Row],[Range1_Low]]</f>
        <v>3335.8040772279905</v>
      </c>
      <c r="S1353">
        <f>Validation[[#This Row],[Range2_High]]</f>
        <v>0</v>
      </c>
      <c r="T1353" t="str" cm="1">
        <f t="array" aca="1" ref="T1353" ca="1">RoundToTwoSigFigs(Validation[[#This Row],[Test Reading]]*Validation[[#This Row],[Mult]]+Validation[[#This Row],[Base]]) &amp;" "&amp;Validation[[#This Row],[Uncert_Units]]</f>
        <v>5800 mΩ</v>
      </c>
      <c r="U1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V1353" t="b">
        <f ca="1">Validation[[#This Row],[Desired Result]]=Validation[[#This Row],[Result]]</f>
        <v>1</v>
      </c>
      <c r="W1353" t="b">
        <v>1</v>
      </c>
      <c r="X1353" t="b">
        <f>Validation[[#This Row],[Range1_Low]]&gt;=Validation[[#This Row],[Range1_High]]</f>
        <v>0</v>
      </c>
      <c r="Y1353" s="111" t="s">
        <v>2843</v>
      </c>
    </row>
    <row r="1354" spans="1:25" ht="15.75" thickTop="1" x14ac:dyDescent="0.25">
      <c r="A1354" t="s">
        <v>56</v>
      </c>
      <c r="B1354" t="s">
        <v>7</v>
      </c>
      <c r="C1354">
        <v>1000</v>
      </c>
      <c r="D1354">
        <v>10000</v>
      </c>
      <c r="E1354">
        <v>1000</v>
      </c>
      <c r="F1354" t="s">
        <v>102</v>
      </c>
      <c r="G1354" t="s">
        <v>48</v>
      </c>
      <c r="H1354">
        <v>0</v>
      </c>
      <c r="I1354">
        <v>0</v>
      </c>
      <c r="J1354" t="s">
        <v>2833</v>
      </c>
      <c r="K1354">
        <v>643.21469999999999</v>
      </c>
      <c r="L1354">
        <v>5.4750999999999998E-5</v>
      </c>
      <c r="M1354">
        <v>550.19200000000001</v>
      </c>
      <c r="N1354">
        <v>3.7117999999999999E-5</v>
      </c>
      <c r="O1354" t="s">
        <v>2833</v>
      </c>
      <c r="P1354" t="s">
        <v>2833</v>
      </c>
      <c r="Q1354" t="s">
        <v>2833</v>
      </c>
      <c r="R1354">
        <f ca="1">RAND()*(Validation[[#This Row],[Range1_High]]-Validation[[#This Row],[Range1_Low]])+Validation[[#This Row],[Range1_Low]]</f>
        <v>4247.8916518123769</v>
      </c>
      <c r="S1354">
        <f>Validation[[#This Row],[Range2_High]]</f>
        <v>0</v>
      </c>
      <c r="T1354" t="str" cm="1">
        <f t="array" aca="1" ref="T1354" ca="1">RoundToTwoSigFigs(Validation[[#This Row],[Test Reading]]*Validation[[#This Row],[Mult]]+Validation[[#This Row],[Base]]) &amp;" "&amp;Validation[[#This Row],[Uncert_Units]]</f>
        <v>640 mΩ</v>
      </c>
      <c r="U1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V1354" t="b">
        <f ca="1">Validation[[#This Row],[Desired Result]]=Validation[[#This Row],[Result]]</f>
        <v>1</v>
      </c>
      <c r="W1354" t="b">
        <v>0</v>
      </c>
      <c r="X1354" t="b">
        <f>Validation[[#This Row],[Range1_Low]]&gt;=Validation[[#This Row],[Range1_High]]</f>
        <v>0</v>
      </c>
      <c r="Y1354" s="111" t="s">
        <v>2845</v>
      </c>
    </row>
    <row r="1355" spans="1:25" x14ac:dyDescent="0.25">
      <c r="A1355" t="s">
        <v>56</v>
      </c>
      <c r="B1355" t="s">
        <v>7</v>
      </c>
      <c r="C1355">
        <v>1000</v>
      </c>
      <c r="D1355">
        <v>10000</v>
      </c>
      <c r="E1355">
        <v>1E-3</v>
      </c>
      <c r="F1355" t="s">
        <v>102</v>
      </c>
      <c r="G1355" t="s">
        <v>71</v>
      </c>
      <c r="H1355">
        <v>0</v>
      </c>
      <c r="I1355">
        <v>0</v>
      </c>
      <c r="J1355" t="s">
        <v>2833</v>
      </c>
      <c r="K1355">
        <v>643.21469999999999</v>
      </c>
      <c r="L1355">
        <v>5.475087E-2</v>
      </c>
      <c r="M1355">
        <v>550.19219999999996</v>
      </c>
      <c r="N1355">
        <v>3.7118350000000001E-2</v>
      </c>
      <c r="O1355" t="s">
        <v>2833</v>
      </c>
      <c r="P1355" t="s">
        <v>2833</v>
      </c>
      <c r="Q1355" t="s">
        <v>2833</v>
      </c>
      <c r="R1355">
        <f ca="1">RAND()*(Validation[[#This Row],[Range1_High]]-Validation[[#This Row],[Range1_Low]])+Validation[[#This Row],[Range1_Low]]</f>
        <v>9437.5948639187445</v>
      </c>
      <c r="S1355">
        <f>Validation[[#This Row],[Range2_High]]</f>
        <v>0</v>
      </c>
      <c r="T1355" t="str" cm="1">
        <f t="array" aca="1" ref="T1355" ca="1">RoundToTwoSigFigs(Validation[[#This Row],[Test Reading]]*Validation[[#This Row],[Mult]]+Validation[[#This Row],[Base]]) &amp;" "&amp;Validation[[#This Row],[Uncert_Units]]</f>
        <v>1200 µΩ</v>
      </c>
      <c r="U1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µΩ</v>
      </c>
      <c r="V1355" t="b">
        <f ca="1">Validation[[#This Row],[Desired Result]]=Validation[[#This Row],[Result]]</f>
        <v>1</v>
      </c>
      <c r="W1355" t="b">
        <v>0</v>
      </c>
      <c r="X1355" t="b">
        <f>Validation[[#This Row],[Range1_Low]]&gt;=Validation[[#This Row],[Range1_High]]</f>
        <v>0</v>
      </c>
      <c r="Y1355" s="111" t="s">
        <v>2845</v>
      </c>
    </row>
    <row r="1356" spans="1:25" ht="15.75" thickBot="1" x14ac:dyDescent="0.3">
      <c r="A1356" t="s">
        <v>56</v>
      </c>
      <c r="B1356" t="s">
        <v>7</v>
      </c>
      <c r="C1356">
        <v>10000</v>
      </c>
      <c r="D1356">
        <v>100000</v>
      </c>
      <c r="E1356">
        <v>0.1</v>
      </c>
      <c r="F1356" t="s">
        <v>102</v>
      </c>
      <c r="G1356" t="s">
        <v>48</v>
      </c>
      <c r="H1356">
        <v>0</v>
      </c>
      <c r="I1356">
        <v>0</v>
      </c>
      <c r="J1356" t="s">
        <v>2833</v>
      </c>
      <c r="K1356">
        <v>60.044400000000003</v>
      </c>
      <c r="L1356">
        <v>9.5075999999999996E-5</v>
      </c>
      <c r="M1356">
        <v>57.959269999999997</v>
      </c>
      <c r="N1356">
        <v>4.809E-6</v>
      </c>
      <c r="O1356" t="s">
        <v>2833</v>
      </c>
      <c r="P1356" t="s">
        <v>2833</v>
      </c>
      <c r="Q1356" t="s">
        <v>2833</v>
      </c>
      <c r="R1356">
        <f ca="1">RAND()*(Validation[[#This Row],[Range1_High]]-Validation[[#This Row],[Range1_Low]])+Validation[[#This Row],[Range1_Low]]</f>
        <v>35418.633726243701</v>
      </c>
      <c r="S1356">
        <f>Validation[[#This Row],[Range2_High]]</f>
        <v>0</v>
      </c>
      <c r="T1356" t="str" cm="1">
        <f t="array" aca="1" ref="T1356" ca="1">RoundToTwoSigFigs(Validation[[#This Row],[Test Reading]]*Validation[[#This Row],[Mult]]+Validation[[#This Row],[Base]]) &amp;" "&amp;Validation[[#This Row],[Uncert_Units]]</f>
        <v>63 mΩ</v>
      </c>
      <c r="U1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V1356" t="b">
        <f ca="1">Validation[[#This Row],[Desired Result]]=Validation[[#This Row],[Result]]</f>
        <v>1</v>
      </c>
      <c r="W1356" t="b">
        <v>0</v>
      </c>
      <c r="X1356" t="b">
        <f>Validation[[#This Row],[Range1_Low]]&gt;=Validation[[#This Row],[Range1_High]]</f>
        <v>0</v>
      </c>
      <c r="Y1356" s="111" t="s">
        <v>2845</v>
      </c>
    </row>
    <row r="1357" spans="1:25" ht="16.5" thickTop="1" thickBot="1" x14ac:dyDescent="0.3">
      <c r="A1357" t="s">
        <v>55</v>
      </c>
      <c r="B1357" t="s">
        <v>7</v>
      </c>
      <c r="C1357" s="113">
        <v>10000</v>
      </c>
      <c r="D1357" s="113">
        <v>100000</v>
      </c>
      <c r="E1357">
        <v>1</v>
      </c>
      <c r="F1357" t="s">
        <v>102</v>
      </c>
      <c r="G1357" t="s">
        <v>48</v>
      </c>
      <c r="H1357">
        <v>0</v>
      </c>
      <c r="I1357">
        <v>0</v>
      </c>
      <c r="J1357" t="s">
        <v>2833</v>
      </c>
      <c r="K1357">
        <v>516.51</v>
      </c>
      <c r="L1357">
        <v>8.6656000000000007E-3</v>
      </c>
      <c r="M1357">
        <v>516.37</v>
      </c>
      <c r="N1357">
        <v>8.6648999999999997E-3</v>
      </c>
      <c r="O1357" t="s">
        <v>2833</v>
      </c>
      <c r="P1357" t="s">
        <v>2833</v>
      </c>
      <c r="Q1357" t="s">
        <v>2833</v>
      </c>
      <c r="R1357">
        <f ca="1">RAND()*(Validation[[#This Row],[Range1_High]]-Validation[[#This Row],[Range1_Low]])+Validation[[#This Row],[Range1_Low]]</f>
        <v>20986.699146164461</v>
      </c>
      <c r="S1357">
        <f>Validation[[#This Row],[Range2_High]]</f>
        <v>0</v>
      </c>
      <c r="T1357" t="str" cm="1">
        <f t="array" aca="1" ref="T1357" ca="1">RoundToTwoSigFigs(Validation[[#This Row],[Test Reading]]*Validation[[#This Row],[Mult]]+Validation[[#This Row],[Base]]) &amp;" "&amp;Validation[[#This Row],[Uncert_Units]]</f>
        <v>700 mΩ</v>
      </c>
      <c r="U1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mΩ</v>
      </c>
      <c r="V1357" t="b">
        <f ca="1">Validation[[#This Row],[Desired Result]]=Validation[[#This Row],[Result]]</f>
        <v>1</v>
      </c>
      <c r="W1357" t="b">
        <v>1</v>
      </c>
      <c r="X1357" t="b">
        <f>Validation[[#This Row],[Range1_Low]]&gt;=Validation[[#This Row],[Range1_High]]</f>
        <v>0</v>
      </c>
      <c r="Y1357" s="111" t="s">
        <v>2843</v>
      </c>
    </row>
    <row r="1358" spans="1:25" ht="16.5" thickTop="1" thickBot="1" x14ac:dyDescent="0.3">
      <c r="A1358" t="s">
        <v>56</v>
      </c>
      <c r="B1358" t="s">
        <v>7</v>
      </c>
      <c r="C1358" s="115">
        <v>100000</v>
      </c>
      <c r="D1358" s="115">
        <v>1000</v>
      </c>
      <c r="E1358">
        <v>1000000</v>
      </c>
      <c r="F1358" t="s">
        <v>102</v>
      </c>
      <c r="G1358" t="s">
        <v>49</v>
      </c>
      <c r="H1358">
        <v>0</v>
      </c>
      <c r="I1358">
        <v>0</v>
      </c>
      <c r="J1358" t="s">
        <v>2833</v>
      </c>
      <c r="K1358">
        <v>5</v>
      </c>
      <c r="L1358">
        <v>8.05E-8</v>
      </c>
      <c r="M1358">
        <v>4.633432</v>
      </c>
      <c r="N1358">
        <v>8.0799999999999996E-8</v>
      </c>
      <c r="O1358" t="s">
        <v>2833</v>
      </c>
      <c r="P1358" t="s">
        <v>2833</v>
      </c>
      <c r="Q1358" t="s">
        <v>2833</v>
      </c>
      <c r="R1358" s="100">
        <f ca="1">RAND()*(Validation[[#This Row],[Range1_High]]-Validation[[#This Row],[Range1_Low]])+Validation[[#This Row],[Range1_Low]]</f>
        <v>23525.603992398683</v>
      </c>
      <c r="S1358">
        <f>Validation[[#This Row],[Range2_High]]</f>
        <v>0</v>
      </c>
      <c r="T1358" t="str" cm="1">
        <f t="array" aca="1" ref="T1358" ca="1">RoundToTwoSigFigs(Validation[[#This Row],[Test Reading]]*Validation[[#This Row],[Mult]]+Validation[[#This Row],[Base]]) &amp;" "&amp;Validation[[#This Row],[Uncert_Units]]</f>
        <v>5 Ω</v>
      </c>
      <c r="U1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V1358" t="b">
        <f ca="1">Validation[[#This Row],[Desired Result]]=Validation[[#This Row],[Result]]</f>
        <v>0</v>
      </c>
      <c r="W1358" t="b">
        <v>1</v>
      </c>
      <c r="X1358" t="b">
        <f>Validation[[#This Row],[Range1_Low]]&gt;=Validation[[#This Row],[Range1_High]]</f>
        <v>1</v>
      </c>
      <c r="Y1358" s="111" t="s">
        <v>2842</v>
      </c>
    </row>
    <row r="1359" spans="1:25" ht="16.5" thickTop="1" thickBot="1" x14ac:dyDescent="0.3">
      <c r="A1359" t="s">
        <v>54</v>
      </c>
      <c r="B1359" t="s">
        <v>7</v>
      </c>
      <c r="C1359">
        <v>33000</v>
      </c>
      <c r="D1359">
        <v>110010</v>
      </c>
      <c r="E1359">
        <v>100</v>
      </c>
      <c r="F1359" t="s">
        <v>102</v>
      </c>
      <c r="G1359" t="s">
        <v>49</v>
      </c>
      <c r="H1359">
        <v>0</v>
      </c>
      <c r="I1359">
        <v>0</v>
      </c>
      <c r="J1359" t="s">
        <v>2833</v>
      </c>
      <c r="K1359">
        <v>57.521000000000001</v>
      </c>
      <c r="L1359">
        <v>2.2172999999999999E-5</v>
      </c>
      <c r="M1359">
        <v>57.521999999999998</v>
      </c>
      <c r="N1359">
        <v>2.2050999999999999E-5</v>
      </c>
      <c r="O1359" t="s">
        <v>2833</v>
      </c>
      <c r="P1359" t="s">
        <v>2833</v>
      </c>
      <c r="Q1359" t="s">
        <v>2833</v>
      </c>
      <c r="R1359">
        <f ca="1">RAND()*(Validation[[#This Row],[Range1_High]]-Validation[[#This Row],[Range1_Low]])+Validation[[#This Row],[Range1_Low]]</f>
        <v>107648.95306756496</v>
      </c>
      <c r="S1359">
        <f>Validation[[#This Row],[Range2_High]]</f>
        <v>0</v>
      </c>
      <c r="T1359" t="str" cm="1">
        <f t="array" aca="1" ref="T1359" ca="1">RoundToTwoSigFigs(Validation[[#This Row],[Test Reading]]*Validation[[#This Row],[Mult]]+Validation[[#This Row],[Base]]) &amp;" "&amp;Validation[[#This Row],[Uncert_Units]]</f>
        <v>60 Ω</v>
      </c>
      <c r="U1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V1359" t="b">
        <f ca="1">Validation[[#This Row],[Desired Result]]=Validation[[#This Row],[Result]]</f>
        <v>1</v>
      </c>
      <c r="W1359" t="b">
        <v>0</v>
      </c>
      <c r="X1359" t="b">
        <f>Validation[[#This Row],[Range1_Low]]&gt;=Validation[[#This Row],[Range1_High]]</f>
        <v>0</v>
      </c>
      <c r="Y1359" s="111" t="s">
        <v>2845</v>
      </c>
    </row>
    <row r="1360" spans="1:25" ht="16.5" thickTop="1" thickBot="1" x14ac:dyDescent="0.3">
      <c r="A1360" t="s">
        <v>55</v>
      </c>
      <c r="B1360" t="s">
        <v>7</v>
      </c>
      <c r="C1360" s="113">
        <v>100000</v>
      </c>
      <c r="D1360" s="113">
        <v>1000000</v>
      </c>
      <c r="E1360">
        <v>10</v>
      </c>
      <c r="F1360" t="s">
        <v>102</v>
      </c>
      <c r="G1360" t="s">
        <v>49</v>
      </c>
      <c r="H1360">
        <v>0</v>
      </c>
      <c r="I1360">
        <v>0</v>
      </c>
      <c r="J1360" t="s">
        <v>2833</v>
      </c>
      <c r="K1360">
        <v>5.5163000000000002</v>
      </c>
      <c r="L1360">
        <v>1.5438E-5</v>
      </c>
      <c r="M1360">
        <v>5.5115999999999996</v>
      </c>
      <c r="N1360">
        <v>1.5438999999999999E-5</v>
      </c>
      <c r="O1360" t="s">
        <v>2833</v>
      </c>
      <c r="P1360" t="s">
        <v>2833</v>
      </c>
      <c r="Q1360" t="s">
        <v>2833</v>
      </c>
      <c r="R1360">
        <f ca="1">RAND()*(Validation[[#This Row],[Range1_High]]-Validation[[#This Row],[Range1_Low]])+Validation[[#This Row],[Range1_Low]]</f>
        <v>821824.06026217423</v>
      </c>
      <c r="S1360">
        <f>Validation[[#This Row],[Range2_High]]</f>
        <v>0</v>
      </c>
      <c r="T1360" t="str" cm="1">
        <f t="array" aca="1" ref="T1360" ca="1">RoundToTwoSigFigs(Validation[[#This Row],[Test Reading]]*Validation[[#This Row],[Mult]]+Validation[[#This Row],[Base]]) &amp;" "&amp;Validation[[#This Row],[Uncert_Units]]</f>
        <v>18 Ω</v>
      </c>
      <c r="U1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Ω</v>
      </c>
      <c r="V1360" t="b">
        <f ca="1">Validation[[#This Row],[Desired Result]]=Validation[[#This Row],[Result]]</f>
        <v>1</v>
      </c>
      <c r="W1360" t="b">
        <v>1</v>
      </c>
      <c r="X1360" t="b">
        <f>Validation[[#This Row],[Range1_Low]]&gt;=Validation[[#This Row],[Range1_High]]</f>
        <v>0</v>
      </c>
      <c r="Y1360" s="111" t="s">
        <v>2843</v>
      </c>
    </row>
    <row r="1361" spans="1:25" ht="15.75" thickTop="1" x14ac:dyDescent="0.25">
      <c r="A1361" t="s">
        <v>54</v>
      </c>
      <c r="B1361" t="s">
        <v>7</v>
      </c>
      <c r="C1361">
        <v>33000000</v>
      </c>
      <c r="D1361">
        <v>110010000</v>
      </c>
      <c r="E1361">
        <v>1000000</v>
      </c>
      <c r="F1361" t="s">
        <v>102</v>
      </c>
      <c r="G1361" t="s">
        <v>50</v>
      </c>
      <c r="H1361">
        <v>0</v>
      </c>
      <c r="I1361">
        <v>0</v>
      </c>
      <c r="J1361" t="s">
        <v>2833</v>
      </c>
      <c r="K1361">
        <v>503.99</v>
      </c>
      <c r="L1361">
        <v>3.2606000000000002E-6</v>
      </c>
      <c r="M1361">
        <v>503.99</v>
      </c>
      <c r="N1361">
        <v>3.2605E-6</v>
      </c>
      <c r="O1361" t="s">
        <v>2833</v>
      </c>
      <c r="P1361" t="s">
        <v>2833</v>
      </c>
      <c r="Q1361" t="s">
        <v>2833</v>
      </c>
      <c r="R1361">
        <f ca="1">RAND()*(Validation[[#This Row],[Range1_High]]-Validation[[#This Row],[Range1_Low]])+Validation[[#This Row],[Range1_Low]]</f>
        <v>86903008.972089201</v>
      </c>
      <c r="S1361">
        <f>Validation[[#This Row],[Range2_High]]</f>
        <v>0</v>
      </c>
      <c r="T1361" t="str" cm="1">
        <f t="array" aca="1" ref="T1361" ca="1">RoundToTwoSigFigs(Validation[[#This Row],[Test Reading]]*Validation[[#This Row],[Mult]]+Validation[[#This Row],[Base]]) &amp;" "&amp;Validation[[#This Row],[Uncert_Units]]</f>
        <v>790 kΩ</v>
      </c>
      <c r="U1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kΩ</v>
      </c>
      <c r="V1361" t="b">
        <f ca="1">Validation[[#This Row],[Desired Result]]=Validation[[#This Row],[Result]]</f>
        <v>1</v>
      </c>
      <c r="W1361" t="b">
        <v>0</v>
      </c>
      <c r="X1361" t="b">
        <f>Validation[[#This Row],[Range1_Low]]&gt;=Validation[[#This Row],[Range1_High]]</f>
        <v>0</v>
      </c>
      <c r="Y1361" s="111" t="s">
        <v>2845</v>
      </c>
    </row>
    <row r="1362" spans="1:25" ht="15.75" thickBot="1" x14ac:dyDescent="0.3">
      <c r="A1362" t="s">
        <v>55</v>
      </c>
      <c r="B1362" t="s">
        <v>7</v>
      </c>
      <c r="C1362">
        <v>100000000</v>
      </c>
      <c r="D1362">
        <v>1000000000</v>
      </c>
      <c r="E1362">
        <v>10000000</v>
      </c>
      <c r="F1362" t="s">
        <v>102</v>
      </c>
      <c r="G1362" t="s">
        <v>176</v>
      </c>
      <c r="H1362">
        <v>0</v>
      </c>
      <c r="I1362">
        <v>0</v>
      </c>
      <c r="J1362" t="s">
        <v>2833</v>
      </c>
      <c r="K1362">
        <v>5540.2</v>
      </c>
      <c r="L1362">
        <v>2.6330999999999998E-6</v>
      </c>
      <c r="M1362">
        <v>5540.2</v>
      </c>
      <c r="N1362">
        <v>2.633E-6</v>
      </c>
      <c r="O1362" t="s">
        <v>2833</v>
      </c>
      <c r="P1362" t="s">
        <v>2833</v>
      </c>
      <c r="Q1362" t="s">
        <v>2833</v>
      </c>
      <c r="R1362">
        <f ca="1">RAND()*(Validation[[#This Row],[Range1_High]]-Validation[[#This Row],[Range1_Low]])+Validation[[#This Row],[Range1_Low]]</f>
        <v>816613365.16311526</v>
      </c>
      <c r="S1362">
        <f>Validation[[#This Row],[Range2_High]]</f>
        <v>0</v>
      </c>
      <c r="T1362" t="str" cm="1">
        <f t="array" aca="1" ref="T1362" ca="1">RoundToTwoSigFigs(Validation[[#This Row],[Test Reading]]*Validation[[#This Row],[Mult]]+Validation[[#This Row],[Base]]) &amp;" "&amp;Validation[[#This Row],[Uncert_Units]]</f>
        <v>7700 kΩ</v>
      </c>
      <c r="U1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kΩ</v>
      </c>
      <c r="V1362" t="b">
        <f ca="1">Validation[[#This Row],[Desired Result]]=Validation[[#This Row],[Result]]</f>
        <v>1</v>
      </c>
      <c r="W1362" t="b">
        <v>0</v>
      </c>
      <c r="X1362" t="b">
        <f>Validation[[#This Row],[Range1_Low]]&gt;=Validation[[#This Row],[Range1_High]]</f>
        <v>0</v>
      </c>
      <c r="Y1362" s="111" t="s">
        <v>2845</v>
      </c>
    </row>
    <row r="1363" spans="1:25" ht="16.5" thickTop="1" thickBot="1" x14ac:dyDescent="0.3">
      <c r="A1363" t="s">
        <v>56</v>
      </c>
      <c r="B1363" t="s">
        <v>7</v>
      </c>
      <c r="C1363" s="113">
        <v>10000</v>
      </c>
      <c r="D1363" s="113">
        <v>100000</v>
      </c>
      <c r="E1363">
        <v>100000</v>
      </c>
      <c r="F1363" t="s">
        <v>102</v>
      </c>
      <c r="G1363" t="s">
        <v>49</v>
      </c>
      <c r="H1363">
        <v>0</v>
      </c>
      <c r="I1363">
        <v>0</v>
      </c>
      <c r="J1363" t="s">
        <v>2833</v>
      </c>
      <c r="K1363">
        <v>60.046087</v>
      </c>
      <c r="L1363">
        <v>9.53E-8</v>
      </c>
      <c r="M1363">
        <v>57.96067</v>
      </c>
      <c r="N1363">
        <v>5.0899999999999996E-9</v>
      </c>
      <c r="O1363" t="s">
        <v>2833</v>
      </c>
      <c r="P1363" t="s">
        <v>2833</v>
      </c>
      <c r="Q1363" t="s">
        <v>2833</v>
      </c>
      <c r="R1363">
        <f ca="1">RAND()*(Validation[[#This Row],[Range1_High]]-Validation[[#This Row],[Range1_Low]])+Validation[[#This Row],[Range1_Low]]</f>
        <v>25270.046668559644</v>
      </c>
      <c r="S1363">
        <f>Validation[[#This Row],[Range2_High]]</f>
        <v>0</v>
      </c>
      <c r="T1363" t="str" cm="1">
        <f t="array" aca="1" ref="T1363" ca="1">RoundToTwoSigFigs(Validation[[#This Row],[Test Reading]]*Validation[[#This Row],[Mult]]+Validation[[#This Row],[Base]]) &amp;" "&amp;Validation[[#This Row],[Uncert_Units]]</f>
        <v>60 Ω</v>
      </c>
      <c r="U1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V1363" t="b">
        <f ca="1">Validation[[#This Row],[Desired Result]]=Validation[[#This Row],[Result]]</f>
        <v>1</v>
      </c>
      <c r="W1363" t="b">
        <v>1</v>
      </c>
      <c r="X1363" t="b">
        <f>Validation[[#This Row],[Range1_Low]]&gt;=Validation[[#This Row],[Range1_High]]</f>
        <v>0</v>
      </c>
      <c r="Y1363" s="111" t="s">
        <v>2843</v>
      </c>
    </row>
    <row r="1364" spans="1:25" ht="16.5" thickTop="1" thickBot="1" x14ac:dyDescent="0.3">
      <c r="A1364" t="s">
        <v>54</v>
      </c>
      <c r="B1364" t="s">
        <v>7</v>
      </c>
      <c r="C1364" s="113">
        <v>3300</v>
      </c>
      <c r="D1364" s="113">
        <v>11001</v>
      </c>
      <c r="E1364">
        <v>0.1</v>
      </c>
      <c r="F1364" t="s">
        <v>102</v>
      </c>
      <c r="G1364" t="s">
        <v>49</v>
      </c>
      <c r="H1364">
        <v>0</v>
      </c>
      <c r="I1364">
        <v>0</v>
      </c>
      <c r="J1364" t="s">
        <v>2833</v>
      </c>
      <c r="K1364">
        <v>0.17</v>
      </c>
      <c r="L1364">
        <v>1E-4</v>
      </c>
      <c r="M1364">
        <v>0.12474</v>
      </c>
      <c r="N1364">
        <v>1.0353000000000001E-4</v>
      </c>
      <c r="O1364" t="s">
        <v>2833</v>
      </c>
      <c r="P1364" t="s">
        <v>2833</v>
      </c>
      <c r="Q1364" t="s">
        <v>2833</v>
      </c>
      <c r="R1364">
        <f ca="1">RAND()*(Validation[[#This Row],[Range1_High]]-Validation[[#This Row],[Range1_Low]])+Validation[[#This Row],[Range1_Low]]</f>
        <v>6844.5860130760921</v>
      </c>
      <c r="S1364">
        <f>Validation[[#This Row],[Range2_High]]</f>
        <v>0</v>
      </c>
      <c r="T1364" t="str" cm="1">
        <f t="array" aca="1" ref="T1364" ca="1">RoundToTwoSigFigs(Validation[[#This Row],[Test Reading]]*Validation[[#This Row],[Mult]]+Validation[[#This Row],[Base]]) &amp;" "&amp;Validation[[#This Row],[Uncert_Units]]</f>
        <v>0.85 Ω</v>
      </c>
      <c r="U1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Ω</v>
      </c>
      <c r="V1364" t="b">
        <f ca="1">Validation[[#This Row],[Desired Result]]=Validation[[#This Row],[Result]]</f>
        <v>1</v>
      </c>
      <c r="W1364" t="b">
        <v>1</v>
      </c>
      <c r="X1364" t="b">
        <f>Validation[[#This Row],[Range1_Low]]&gt;=Validation[[#This Row],[Range1_High]]</f>
        <v>0</v>
      </c>
      <c r="Y1364" s="111" t="s">
        <v>2843</v>
      </c>
    </row>
    <row r="1365" spans="1:25" ht="16.5" thickTop="1" thickBot="1" x14ac:dyDescent="0.3">
      <c r="A1365" t="s">
        <v>56</v>
      </c>
      <c r="B1365" t="s">
        <v>7</v>
      </c>
      <c r="C1365">
        <v>1000</v>
      </c>
      <c r="D1365">
        <v>10000</v>
      </c>
      <c r="E1365">
        <v>10</v>
      </c>
      <c r="F1365" t="s">
        <v>102</v>
      </c>
      <c r="G1365" t="s">
        <v>48</v>
      </c>
      <c r="H1365">
        <v>0</v>
      </c>
      <c r="I1365">
        <v>0</v>
      </c>
      <c r="J1365" t="s">
        <v>2833</v>
      </c>
      <c r="K1365">
        <v>24.035060000000001</v>
      </c>
      <c r="L1365">
        <v>6.9214000000000005E-5</v>
      </c>
      <c r="M1365">
        <v>23.295500000000001</v>
      </c>
      <c r="N1365">
        <v>6.9264000000000006E-5</v>
      </c>
      <c r="O1365" t="s">
        <v>2833</v>
      </c>
      <c r="P1365" t="s">
        <v>2833</v>
      </c>
      <c r="Q1365" t="s">
        <v>2833</v>
      </c>
      <c r="R1365">
        <f ca="1">RAND()*(Validation[[#This Row],[Range1_High]]-Validation[[#This Row],[Range1_Low]])+Validation[[#This Row],[Range1_Low]]</f>
        <v>5180.6352886319992</v>
      </c>
      <c r="S1365">
        <f>Validation[[#This Row],[Range2_High]]</f>
        <v>0</v>
      </c>
      <c r="T1365" t="str" cm="1">
        <f t="array" aca="1" ref="T1365" ca="1">RoundToTwoSigFigs(Validation[[#This Row],[Test Reading]]*Validation[[#This Row],[Mult]]+Validation[[#This Row],[Base]]) &amp;" "&amp;Validation[[#This Row],[Uncert_Units]]</f>
        <v>24 mΩ</v>
      </c>
      <c r="U1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V1365" t="b">
        <f ca="1">Validation[[#This Row],[Desired Result]]=Validation[[#This Row],[Result]]</f>
        <v>1</v>
      </c>
      <c r="W1365" t="b">
        <v>0</v>
      </c>
      <c r="X1365" t="b">
        <f>Validation[[#This Row],[Range1_Low]]&gt;=Validation[[#This Row],[Range1_High]]</f>
        <v>0</v>
      </c>
      <c r="Y1365" s="111" t="s">
        <v>2845</v>
      </c>
    </row>
    <row r="1366" spans="1:25" ht="16.5" thickTop="1" thickBot="1" x14ac:dyDescent="0.3">
      <c r="A1366" t="s">
        <v>55</v>
      </c>
      <c r="B1366" t="s">
        <v>7</v>
      </c>
      <c r="C1366" s="113">
        <v>1000</v>
      </c>
      <c r="D1366" s="113">
        <v>10000</v>
      </c>
      <c r="E1366">
        <v>1E-3</v>
      </c>
      <c r="F1366" t="s">
        <v>102</v>
      </c>
      <c r="G1366" t="s">
        <v>48</v>
      </c>
      <c r="H1366">
        <v>0</v>
      </c>
      <c r="I1366">
        <v>0</v>
      </c>
      <c r="J1366" t="s">
        <v>2833</v>
      </c>
      <c r="K1366">
        <v>5.9</v>
      </c>
      <c r="L1366">
        <v>1.2E-2</v>
      </c>
      <c r="M1366">
        <v>5.8777999999999997</v>
      </c>
      <c r="N1366">
        <v>1.1642E-2</v>
      </c>
      <c r="O1366" t="s">
        <v>2833</v>
      </c>
      <c r="P1366" t="s">
        <v>2833</v>
      </c>
      <c r="Q1366" t="s">
        <v>2833</v>
      </c>
      <c r="R1366">
        <f ca="1">RAND()*(Validation[[#This Row],[Range1_High]]-Validation[[#This Row],[Range1_Low]])+Validation[[#This Row],[Range1_Low]]</f>
        <v>6694.5048994639683</v>
      </c>
      <c r="S1366">
        <f>Validation[[#This Row],[Range2_High]]</f>
        <v>0</v>
      </c>
      <c r="T1366" t="str" cm="1">
        <f t="array" aca="1" ref="T1366" ca="1">RoundToTwoSigFigs(Validation[[#This Row],[Test Reading]]*Validation[[#This Row],[Mult]]+Validation[[#This Row],[Base]]) &amp;" "&amp;Validation[[#This Row],[Uncert_Units]]</f>
        <v>86 mΩ</v>
      </c>
      <c r="U1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mΩ</v>
      </c>
      <c r="V1366" t="b">
        <f ca="1">Validation[[#This Row],[Desired Result]]=Validation[[#This Row],[Result]]</f>
        <v>1</v>
      </c>
      <c r="W1366" t="b">
        <v>1</v>
      </c>
      <c r="X1366" t="b">
        <f>Validation[[#This Row],[Range1_Low]]&gt;=Validation[[#This Row],[Range1_High]]</f>
        <v>0</v>
      </c>
      <c r="Y1366" s="111" t="s">
        <v>2843</v>
      </c>
    </row>
    <row r="1367" spans="1:25" ht="16.5" thickTop="1" thickBot="1" x14ac:dyDescent="0.3">
      <c r="A1367" t="s">
        <v>54</v>
      </c>
      <c r="B1367" t="s">
        <v>7</v>
      </c>
      <c r="C1367" s="113">
        <v>11000</v>
      </c>
      <c r="D1367" s="113">
        <v>33001</v>
      </c>
      <c r="E1367">
        <v>0.1</v>
      </c>
      <c r="F1367" t="s">
        <v>102</v>
      </c>
      <c r="G1367" t="s">
        <v>49</v>
      </c>
      <c r="H1367">
        <v>0</v>
      </c>
      <c r="I1367">
        <v>0</v>
      </c>
      <c r="J1367" t="s">
        <v>2833</v>
      </c>
      <c r="K1367">
        <v>1.3</v>
      </c>
      <c r="L1367">
        <v>1E-4</v>
      </c>
      <c r="M1367">
        <v>1.1560999999999999</v>
      </c>
      <c r="N1367">
        <v>1.0412E-4</v>
      </c>
      <c r="O1367" t="s">
        <v>2833</v>
      </c>
      <c r="P1367" t="s">
        <v>2833</v>
      </c>
      <c r="Q1367" t="s">
        <v>2833</v>
      </c>
      <c r="R1367">
        <f ca="1">RAND()*(Validation[[#This Row],[Range1_High]]-Validation[[#This Row],[Range1_Low]])+Validation[[#This Row],[Range1_Low]]</f>
        <v>30677.694111095287</v>
      </c>
      <c r="S1367">
        <f>Validation[[#This Row],[Range2_High]]</f>
        <v>0</v>
      </c>
      <c r="T1367" t="str" cm="1">
        <f t="array" aca="1" ref="T1367" ca="1">RoundToTwoSigFigs(Validation[[#This Row],[Test Reading]]*Validation[[#This Row],[Mult]]+Validation[[#This Row],[Base]]) &amp;" "&amp;Validation[[#This Row],[Uncert_Units]]</f>
        <v>4.4 Ω</v>
      </c>
      <c r="U1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Ω</v>
      </c>
      <c r="V1367" t="b">
        <f ca="1">Validation[[#This Row],[Desired Result]]=Validation[[#This Row],[Result]]</f>
        <v>1</v>
      </c>
      <c r="W1367" t="b">
        <v>1</v>
      </c>
      <c r="X1367" t="b">
        <f>Validation[[#This Row],[Range1_Low]]&gt;=Validation[[#This Row],[Range1_High]]</f>
        <v>0</v>
      </c>
      <c r="Y1367" s="111" t="s">
        <v>2843</v>
      </c>
    </row>
    <row r="1368" spans="1:25" ht="16.5" thickTop="1" thickBot="1" x14ac:dyDescent="0.3">
      <c r="A1368" t="s">
        <v>55</v>
      </c>
      <c r="B1368" t="s">
        <v>7</v>
      </c>
      <c r="C1368">
        <v>10</v>
      </c>
      <c r="D1368">
        <v>100</v>
      </c>
      <c r="E1368">
        <v>1</v>
      </c>
      <c r="F1368" t="s">
        <v>102</v>
      </c>
      <c r="G1368" t="s">
        <v>22</v>
      </c>
      <c r="H1368">
        <v>0</v>
      </c>
      <c r="I1368">
        <v>0</v>
      </c>
      <c r="J1368" t="s">
        <v>2833</v>
      </c>
      <c r="K1368">
        <v>577360</v>
      </c>
      <c r="L1368">
        <v>3.2801999999999998E-2</v>
      </c>
      <c r="M1368">
        <v>577350</v>
      </c>
      <c r="N1368">
        <v>3.2639000000000001E-2</v>
      </c>
      <c r="O1368" t="s">
        <v>2833</v>
      </c>
      <c r="P1368" t="s">
        <v>2833</v>
      </c>
      <c r="Q1368" t="s">
        <v>2833</v>
      </c>
      <c r="R1368">
        <f ca="1">RAND()*(Validation[[#This Row],[Range1_High]]-Validation[[#This Row],[Range1_Low]])+Validation[[#This Row],[Range1_Low]]</f>
        <v>88.859169543508003</v>
      </c>
      <c r="S1368">
        <f>Validation[[#This Row],[Range2_High]]</f>
        <v>0</v>
      </c>
      <c r="T1368" t="str" cm="1">
        <f t="array" aca="1" ref="T1368" ca="1">RoundToTwoSigFigs(Validation[[#This Row],[Test Reading]]*Validation[[#This Row],[Mult]]+Validation[[#This Row],[Base]]) &amp;" "&amp;Validation[[#This Row],[Uncert_Units]]</f>
        <v>580000 µΩ</v>
      </c>
      <c r="U1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V1368" t="b">
        <f ca="1">Validation[[#This Row],[Desired Result]]=Validation[[#This Row],[Result]]</f>
        <v>1</v>
      </c>
      <c r="W1368" t="b">
        <v>0</v>
      </c>
      <c r="X1368" t="b">
        <f>Validation[[#This Row],[Range1_Low]]&gt;=Validation[[#This Row],[Range1_High]]</f>
        <v>0</v>
      </c>
      <c r="Y1368" s="111" t="s">
        <v>2845</v>
      </c>
    </row>
    <row r="1369" spans="1:25" ht="16.5" thickTop="1" thickBot="1" x14ac:dyDescent="0.3">
      <c r="A1369" t="s">
        <v>54</v>
      </c>
      <c r="B1369" t="s">
        <v>7</v>
      </c>
      <c r="C1369" s="113">
        <v>11000000</v>
      </c>
      <c r="D1369" s="113">
        <v>33001000</v>
      </c>
      <c r="E1369">
        <v>1000</v>
      </c>
      <c r="F1369" t="s">
        <v>102</v>
      </c>
      <c r="G1369" t="s">
        <v>50</v>
      </c>
      <c r="H1369">
        <v>0</v>
      </c>
      <c r="I1369">
        <v>0</v>
      </c>
      <c r="J1369" t="s">
        <v>2833</v>
      </c>
      <c r="K1369">
        <v>2.9003999999999999</v>
      </c>
      <c r="L1369">
        <v>1.1544999999999999E-6</v>
      </c>
      <c r="M1369">
        <v>2.9</v>
      </c>
      <c r="N1369">
        <v>1.1544999999999999E-6</v>
      </c>
      <c r="O1369" t="s">
        <v>2833</v>
      </c>
      <c r="P1369" t="s">
        <v>2833</v>
      </c>
      <c r="Q1369" t="s">
        <v>2833</v>
      </c>
      <c r="R1369">
        <f ca="1">RAND()*(Validation[[#This Row],[Range1_High]]-Validation[[#This Row],[Range1_Low]])+Validation[[#This Row],[Range1_Low]]</f>
        <v>24559058.790517204</v>
      </c>
      <c r="S1369">
        <f>Validation[[#This Row],[Range2_High]]</f>
        <v>0</v>
      </c>
      <c r="T1369" t="str" cm="1">
        <f t="array" aca="1" ref="T1369" ca="1">RoundToTwoSigFigs(Validation[[#This Row],[Test Reading]]*Validation[[#This Row],[Mult]]+Validation[[#This Row],[Base]]) &amp;" "&amp;Validation[[#This Row],[Uncert_Units]]</f>
        <v>31 kΩ</v>
      </c>
      <c r="U1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kΩ</v>
      </c>
      <c r="V1369" t="b">
        <f ca="1">Validation[[#This Row],[Desired Result]]=Validation[[#This Row],[Result]]</f>
        <v>1</v>
      </c>
      <c r="W1369" t="b">
        <v>1</v>
      </c>
      <c r="X1369" t="b">
        <f>Validation[[#This Row],[Range1_Low]]&gt;=Validation[[#This Row],[Range1_High]]</f>
        <v>0</v>
      </c>
      <c r="Y1369" s="111" t="s">
        <v>2843</v>
      </c>
    </row>
    <row r="1370" spans="1:25" ht="16.5" thickTop="1" thickBot="1" x14ac:dyDescent="0.3">
      <c r="A1370" t="s">
        <v>55</v>
      </c>
      <c r="B1370" t="s">
        <v>7</v>
      </c>
      <c r="C1370">
        <v>100000000</v>
      </c>
      <c r="D1370">
        <v>1000000000</v>
      </c>
      <c r="E1370">
        <v>100000000</v>
      </c>
      <c r="F1370" t="s">
        <v>102</v>
      </c>
      <c r="G1370" t="s">
        <v>176</v>
      </c>
      <c r="H1370">
        <v>0</v>
      </c>
      <c r="I1370">
        <v>0</v>
      </c>
      <c r="J1370" t="s">
        <v>2833</v>
      </c>
      <c r="K1370">
        <v>57707</v>
      </c>
      <c r="L1370">
        <v>3.1791000000000002E-7</v>
      </c>
      <c r="M1370">
        <v>57475</v>
      </c>
      <c r="N1370">
        <v>3.1790000000000001E-7</v>
      </c>
      <c r="O1370" t="s">
        <v>2833</v>
      </c>
      <c r="P1370" t="s">
        <v>2833</v>
      </c>
      <c r="Q1370" t="s">
        <v>2833</v>
      </c>
      <c r="R1370">
        <f ca="1">RAND()*(Validation[[#This Row],[Range1_High]]-Validation[[#This Row],[Range1_Low]])+Validation[[#This Row],[Range1_Low]]</f>
        <v>244193149.863987</v>
      </c>
      <c r="S1370">
        <f>Validation[[#This Row],[Range2_High]]</f>
        <v>0</v>
      </c>
      <c r="T1370" t="str" cm="1">
        <f t="array" aca="1" ref="T1370" ca="1">RoundToTwoSigFigs(Validation[[#This Row],[Test Reading]]*Validation[[#This Row],[Mult]]+Validation[[#This Row],[Base]]) &amp;" "&amp;Validation[[#This Row],[Uncert_Units]]</f>
        <v>58000 kΩ</v>
      </c>
      <c r="U1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V1370" t="b">
        <f ca="1">Validation[[#This Row],[Desired Result]]=Validation[[#This Row],[Result]]</f>
        <v>1</v>
      </c>
      <c r="W1370" t="b">
        <v>0</v>
      </c>
      <c r="X1370" t="b">
        <f>Validation[[#This Row],[Range1_Low]]&gt;=Validation[[#This Row],[Range1_High]]</f>
        <v>0</v>
      </c>
      <c r="Y1370" s="111" t="s">
        <v>2845</v>
      </c>
    </row>
    <row r="1371" spans="1:25" ht="16.5" thickTop="1" thickBot="1" x14ac:dyDescent="0.3">
      <c r="A1371" t="s">
        <v>54</v>
      </c>
      <c r="B1371" t="s">
        <v>7</v>
      </c>
      <c r="C1371" s="113">
        <v>110000</v>
      </c>
      <c r="D1371" s="113">
        <v>330010</v>
      </c>
      <c r="E1371">
        <v>100</v>
      </c>
      <c r="F1371" t="s">
        <v>102</v>
      </c>
      <c r="G1371" t="s">
        <v>49</v>
      </c>
      <c r="H1371">
        <v>0</v>
      </c>
      <c r="I1371">
        <v>0</v>
      </c>
      <c r="J1371" t="s">
        <v>2833</v>
      </c>
      <c r="K1371">
        <v>55.026000000000003</v>
      </c>
      <c r="L1371">
        <v>8.0747999999999993E-5</v>
      </c>
      <c r="M1371">
        <v>55.024000000000001</v>
      </c>
      <c r="N1371">
        <v>8.0667000000000005E-5</v>
      </c>
      <c r="O1371" t="s">
        <v>2833</v>
      </c>
      <c r="P1371" t="s">
        <v>2833</v>
      </c>
      <c r="Q1371" t="s">
        <v>2833</v>
      </c>
      <c r="R1371">
        <f ca="1">RAND()*(Validation[[#This Row],[Range1_High]]-Validation[[#This Row],[Range1_Low]])+Validation[[#This Row],[Range1_Low]]</f>
        <v>247081.24870910874</v>
      </c>
      <c r="S1371">
        <f>Validation[[#This Row],[Range2_High]]</f>
        <v>0</v>
      </c>
      <c r="T1371" t="str" cm="1">
        <f t="array" aca="1" ref="T1371" ca="1">RoundToTwoSigFigs(Validation[[#This Row],[Test Reading]]*Validation[[#This Row],[Mult]]+Validation[[#This Row],[Base]]) &amp;" "&amp;Validation[[#This Row],[Uncert_Units]]</f>
        <v>75 Ω</v>
      </c>
      <c r="U1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Ω</v>
      </c>
      <c r="V1371" t="b">
        <f ca="1">Validation[[#This Row],[Desired Result]]=Validation[[#This Row],[Result]]</f>
        <v>1</v>
      </c>
      <c r="W1371" t="b">
        <v>1</v>
      </c>
      <c r="X1371" t="b">
        <f>Validation[[#This Row],[Range1_Low]]&gt;=Validation[[#This Row],[Range1_High]]</f>
        <v>0</v>
      </c>
      <c r="Y1371" s="111" t="s">
        <v>2843</v>
      </c>
    </row>
    <row r="1372" spans="1:25" ht="16.5" thickTop="1" thickBot="1" x14ac:dyDescent="0.3">
      <c r="A1372" t="s">
        <v>54</v>
      </c>
      <c r="B1372" t="s">
        <v>7</v>
      </c>
      <c r="C1372" s="113">
        <v>1100</v>
      </c>
      <c r="D1372" s="113">
        <v>3300.1</v>
      </c>
      <c r="E1372">
        <v>10</v>
      </c>
      <c r="F1372" t="s">
        <v>102</v>
      </c>
      <c r="G1372" t="s">
        <v>49</v>
      </c>
      <c r="H1372">
        <v>0</v>
      </c>
      <c r="I1372">
        <v>0</v>
      </c>
      <c r="J1372" t="s">
        <v>2833</v>
      </c>
      <c r="K1372">
        <v>5.8014000000000001</v>
      </c>
      <c r="L1372">
        <v>8.3760999999999993E-6</v>
      </c>
      <c r="M1372">
        <v>5.8011999999999997</v>
      </c>
      <c r="N1372">
        <v>8.2293999999999995E-6</v>
      </c>
      <c r="O1372" t="s">
        <v>2833</v>
      </c>
      <c r="P1372" t="s">
        <v>2833</v>
      </c>
      <c r="Q1372" t="s">
        <v>2833</v>
      </c>
      <c r="R1372">
        <f ca="1">RAND()*(Validation[[#This Row],[Range1_High]]-Validation[[#This Row],[Range1_Low]])+Validation[[#This Row],[Range1_Low]]</f>
        <v>1839.7820963103072</v>
      </c>
      <c r="S1372">
        <f>Validation[[#This Row],[Range2_High]]</f>
        <v>0</v>
      </c>
      <c r="T1372" t="str" cm="1">
        <f t="array" aca="1" ref="T1372" ca="1">RoundToTwoSigFigs(Validation[[#This Row],[Test Reading]]*Validation[[#This Row],[Mult]]+Validation[[#This Row],[Base]]) &amp;" "&amp;Validation[[#This Row],[Uncert_Units]]</f>
        <v>5.8 Ω</v>
      </c>
      <c r="U1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V1372" t="b">
        <f ca="1">Validation[[#This Row],[Desired Result]]=Validation[[#This Row],[Result]]</f>
        <v>1</v>
      </c>
      <c r="W1372" t="b">
        <v>1</v>
      </c>
      <c r="X1372" t="b">
        <f>Validation[[#This Row],[Range1_Low]]&gt;=Validation[[#This Row],[Range1_High]]</f>
        <v>0</v>
      </c>
      <c r="Y1372" s="111" t="s">
        <v>2843</v>
      </c>
    </row>
    <row r="1373" spans="1:25" ht="16.5" thickTop="1" thickBot="1" x14ac:dyDescent="0.3">
      <c r="A1373" t="s">
        <v>54</v>
      </c>
      <c r="B1373" t="s">
        <v>7</v>
      </c>
      <c r="C1373" s="113">
        <v>1100000</v>
      </c>
      <c r="D1373" s="113">
        <v>3301000</v>
      </c>
      <c r="E1373">
        <v>10</v>
      </c>
      <c r="F1373" t="s">
        <v>102</v>
      </c>
      <c r="G1373" t="s">
        <v>50</v>
      </c>
      <c r="H1373">
        <v>0</v>
      </c>
      <c r="I1373">
        <v>0</v>
      </c>
      <c r="J1373" t="s">
        <v>2833</v>
      </c>
      <c r="K1373">
        <v>0.19</v>
      </c>
      <c r="L1373">
        <v>1.6999999999999999E-7</v>
      </c>
      <c r="M1373">
        <v>0.17338999999999999</v>
      </c>
      <c r="N1373">
        <v>1.7317999999999999E-7</v>
      </c>
      <c r="O1373" t="s">
        <v>2833</v>
      </c>
      <c r="P1373" t="s">
        <v>2833</v>
      </c>
      <c r="Q1373" t="s">
        <v>2833</v>
      </c>
      <c r="R1373">
        <f ca="1">RAND()*(Validation[[#This Row],[Range1_High]]-Validation[[#This Row],[Range1_Low]])+Validation[[#This Row],[Range1_Low]]</f>
        <v>1713550.2356899711</v>
      </c>
      <c r="S1373">
        <f>Validation[[#This Row],[Range2_High]]</f>
        <v>0</v>
      </c>
      <c r="T1373" t="str" cm="1">
        <f t="array" aca="1" ref="T1373" ca="1">RoundToTwoSigFigs(Validation[[#This Row],[Test Reading]]*Validation[[#This Row],[Mult]]+Validation[[#This Row],[Base]]) &amp;" "&amp;Validation[[#This Row],[Uncert_Units]]</f>
        <v>0.48 kΩ</v>
      </c>
      <c r="U1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kΩ</v>
      </c>
      <c r="V1373" t="b">
        <f ca="1">Validation[[#This Row],[Desired Result]]=Validation[[#This Row],[Result]]</f>
        <v>1</v>
      </c>
      <c r="W1373" t="b">
        <v>1</v>
      </c>
      <c r="X1373" t="b">
        <f>Validation[[#This Row],[Range1_Low]]&gt;=Validation[[#This Row],[Range1_High]]</f>
        <v>0</v>
      </c>
      <c r="Y1373" s="111" t="s">
        <v>2843</v>
      </c>
    </row>
    <row r="1374" spans="1:25" ht="16.5" thickTop="1" thickBot="1" x14ac:dyDescent="0.3">
      <c r="A1374" t="s">
        <v>55</v>
      </c>
      <c r="B1374" t="s">
        <v>7</v>
      </c>
      <c r="C1374">
        <v>0</v>
      </c>
      <c r="D1374">
        <v>10</v>
      </c>
      <c r="E1374">
        <v>1</v>
      </c>
      <c r="F1374" t="s">
        <v>102</v>
      </c>
      <c r="G1374" t="s">
        <v>22</v>
      </c>
      <c r="H1374">
        <v>0</v>
      </c>
      <c r="I1374">
        <v>0</v>
      </c>
      <c r="J1374" t="s">
        <v>2833</v>
      </c>
      <c r="K1374">
        <v>577360</v>
      </c>
      <c r="L1374">
        <v>5.6165E-3</v>
      </c>
      <c r="M1374">
        <v>577360</v>
      </c>
      <c r="N1374">
        <v>4.7080999999999998E-3</v>
      </c>
      <c r="O1374" t="s">
        <v>2833</v>
      </c>
      <c r="P1374" t="s">
        <v>2833</v>
      </c>
      <c r="Q1374" t="s">
        <v>2833</v>
      </c>
      <c r="R1374">
        <f ca="1">RAND()*(Validation[[#This Row],[Range1_High]]-Validation[[#This Row],[Range1_Low]])+Validation[[#This Row],[Range1_Low]]</f>
        <v>1.1246360696150037</v>
      </c>
      <c r="S1374">
        <f>Validation[[#This Row],[Range2_High]]</f>
        <v>0</v>
      </c>
      <c r="T1374" t="str" cm="1">
        <f t="array" aca="1" ref="T1374" ca="1">RoundToTwoSigFigs(Validation[[#This Row],[Test Reading]]*Validation[[#This Row],[Mult]]+Validation[[#This Row],[Base]]) &amp;" "&amp;Validation[[#This Row],[Uncert_Units]]</f>
        <v>580000 µΩ</v>
      </c>
      <c r="U1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V1374" t="b">
        <f ca="1">Validation[[#This Row],[Desired Result]]=Validation[[#This Row],[Result]]</f>
        <v>1</v>
      </c>
      <c r="W1374" t="b">
        <v>0</v>
      </c>
      <c r="X1374" t="b">
        <f>Validation[[#This Row],[Range1_Low]]&gt;=Validation[[#This Row],[Range1_High]]</f>
        <v>0</v>
      </c>
      <c r="Y1374" s="111" t="s">
        <v>2845</v>
      </c>
    </row>
    <row r="1375" spans="1:25" ht="16.5" thickTop="1" thickBot="1" x14ac:dyDescent="0.3">
      <c r="A1375" t="s">
        <v>54</v>
      </c>
      <c r="B1375" t="s">
        <v>7</v>
      </c>
      <c r="C1375" s="113">
        <v>1100000</v>
      </c>
      <c r="D1375" s="113">
        <v>3301000</v>
      </c>
      <c r="E1375">
        <v>100</v>
      </c>
      <c r="F1375" t="s">
        <v>102</v>
      </c>
      <c r="G1375" t="s">
        <v>50</v>
      </c>
      <c r="H1375">
        <v>0</v>
      </c>
      <c r="I1375">
        <v>0</v>
      </c>
      <c r="J1375" t="s">
        <v>2833</v>
      </c>
      <c r="K1375">
        <v>0.19</v>
      </c>
      <c r="L1375">
        <v>1.7214999999999999E-7</v>
      </c>
      <c r="M1375">
        <v>0.17910000000000001</v>
      </c>
      <c r="N1375">
        <v>1.7212999999999999E-7</v>
      </c>
      <c r="O1375" t="s">
        <v>2833</v>
      </c>
      <c r="P1375" t="s">
        <v>2833</v>
      </c>
      <c r="Q1375" t="s">
        <v>2833</v>
      </c>
      <c r="R1375">
        <f ca="1">RAND()*(Validation[[#This Row],[Range1_High]]-Validation[[#This Row],[Range1_Low]])+Validation[[#This Row],[Range1_Low]]</f>
        <v>2519081.3168540373</v>
      </c>
      <c r="S1375">
        <f>Validation[[#This Row],[Range2_High]]</f>
        <v>0</v>
      </c>
      <c r="T1375" t="str" cm="1">
        <f t="array" aca="1" ref="T1375" ca="1">RoundToTwoSigFigs(Validation[[#This Row],[Test Reading]]*Validation[[#This Row],[Mult]]+Validation[[#This Row],[Base]]) &amp;" "&amp;Validation[[#This Row],[Uncert_Units]]</f>
        <v>0.62 kΩ</v>
      </c>
      <c r="U1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kΩ</v>
      </c>
      <c r="V1375" t="b">
        <f ca="1">Validation[[#This Row],[Desired Result]]=Validation[[#This Row],[Result]]</f>
        <v>1</v>
      </c>
      <c r="W1375" t="b">
        <v>1</v>
      </c>
      <c r="X1375" t="b">
        <f>Validation[[#This Row],[Range1_Low]]&gt;=Validation[[#This Row],[Range1_High]]</f>
        <v>0</v>
      </c>
      <c r="Y1375" s="111" t="s">
        <v>2843</v>
      </c>
    </row>
    <row r="1376" spans="1:25" ht="16.5" thickTop="1" thickBot="1" x14ac:dyDescent="0.3">
      <c r="A1376" t="s">
        <v>54</v>
      </c>
      <c r="B1376" t="s">
        <v>7</v>
      </c>
      <c r="C1376" s="113">
        <v>110000000</v>
      </c>
      <c r="D1376" s="113">
        <v>330010000</v>
      </c>
      <c r="E1376">
        <v>1000</v>
      </c>
      <c r="F1376" t="s">
        <v>102</v>
      </c>
      <c r="G1376" t="s">
        <v>50</v>
      </c>
      <c r="H1376">
        <v>0</v>
      </c>
      <c r="I1376">
        <v>0</v>
      </c>
      <c r="J1376" t="s">
        <v>2833</v>
      </c>
      <c r="K1376">
        <v>120</v>
      </c>
      <c r="L1376">
        <v>5.8000000000000004E-6</v>
      </c>
      <c r="M1376">
        <v>115.47</v>
      </c>
      <c r="N1376">
        <v>5.7734999999999999E-6</v>
      </c>
      <c r="O1376" t="s">
        <v>2833</v>
      </c>
      <c r="P1376" t="s">
        <v>2833</v>
      </c>
      <c r="Q1376" t="s">
        <v>2833</v>
      </c>
      <c r="R1376">
        <f ca="1">RAND()*(Validation[[#This Row],[Range1_High]]-Validation[[#This Row],[Range1_Low]])+Validation[[#This Row],[Range1_Low]]</f>
        <v>146537469.1872384</v>
      </c>
      <c r="S1376">
        <f>Validation[[#This Row],[Range2_High]]</f>
        <v>0</v>
      </c>
      <c r="T1376" t="str" cm="1">
        <f t="array" aca="1" ref="T1376" ca="1">RoundToTwoSigFigs(Validation[[#This Row],[Test Reading]]*Validation[[#This Row],[Mult]]+Validation[[#This Row],[Base]]) &amp;" "&amp;Validation[[#This Row],[Uncert_Units]]</f>
        <v>970 kΩ</v>
      </c>
      <c r="U1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kΩ</v>
      </c>
      <c r="V1376" t="b">
        <f ca="1">Validation[[#This Row],[Desired Result]]=Validation[[#This Row],[Result]]</f>
        <v>1</v>
      </c>
      <c r="W1376" t="b">
        <v>1</v>
      </c>
      <c r="X1376" t="b">
        <f>Validation[[#This Row],[Range1_Low]]&gt;=Validation[[#This Row],[Range1_High]]</f>
        <v>0</v>
      </c>
      <c r="Y1376" s="111" t="s">
        <v>2843</v>
      </c>
    </row>
    <row r="1377" spans="1:25" ht="16.5" thickTop="1" thickBot="1" x14ac:dyDescent="0.3">
      <c r="A1377" t="s">
        <v>54</v>
      </c>
      <c r="B1377" t="s">
        <v>7</v>
      </c>
      <c r="C1377" s="113">
        <v>33000</v>
      </c>
      <c r="D1377" s="113">
        <v>110010</v>
      </c>
      <c r="E1377">
        <v>1</v>
      </c>
      <c r="F1377" t="s">
        <v>102</v>
      </c>
      <c r="G1377" t="s">
        <v>49</v>
      </c>
      <c r="H1377">
        <v>0</v>
      </c>
      <c r="I1377">
        <v>0</v>
      </c>
      <c r="J1377" t="s">
        <v>2833</v>
      </c>
      <c r="K1377">
        <v>1.3</v>
      </c>
      <c r="L1377">
        <v>1.2999999999999999E-4</v>
      </c>
      <c r="M1377">
        <v>1.2346999999999999</v>
      </c>
      <c r="N1377">
        <v>1.2664999999999999E-4</v>
      </c>
      <c r="O1377" t="s">
        <v>2833</v>
      </c>
      <c r="P1377" t="s">
        <v>2833</v>
      </c>
      <c r="Q1377" t="s">
        <v>2833</v>
      </c>
      <c r="R1377">
        <f ca="1">RAND()*(Validation[[#This Row],[Range1_High]]-Validation[[#This Row],[Range1_Low]])+Validation[[#This Row],[Range1_Low]]</f>
        <v>33009.487324828166</v>
      </c>
      <c r="S1377">
        <f>Validation[[#This Row],[Range2_High]]</f>
        <v>0</v>
      </c>
      <c r="T1377" t="str" cm="1">
        <f t="array" aca="1" ref="T1377" ca="1">RoundToTwoSigFigs(Validation[[#This Row],[Test Reading]]*Validation[[#This Row],[Mult]]+Validation[[#This Row],[Base]]) &amp;" "&amp;Validation[[#This Row],[Uncert_Units]]</f>
        <v>5.6 Ω</v>
      </c>
      <c r="U1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Ω</v>
      </c>
      <c r="V1377" t="b">
        <f ca="1">Validation[[#This Row],[Desired Result]]=Validation[[#This Row],[Result]]</f>
        <v>1</v>
      </c>
      <c r="W1377" t="b">
        <v>1</v>
      </c>
      <c r="X1377" t="b">
        <f>Validation[[#This Row],[Range1_Low]]&gt;=Validation[[#This Row],[Range1_High]]</f>
        <v>0</v>
      </c>
      <c r="Y1377" s="111" t="s">
        <v>2843</v>
      </c>
    </row>
    <row r="1378" spans="1:25" ht="15.75" thickTop="1" x14ac:dyDescent="0.25">
      <c r="A1378" t="s">
        <v>55</v>
      </c>
      <c r="B1378" t="s">
        <v>7</v>
      </c>
      <c r="C1378">
        <v>10000</v>
      </c>
      <c r="D1378">
        <v>100000</v>
      </c>
      <c r="E1378">
        <v>10</v>
      </c>
      <c r="F1378" t="s">
        <v>102</v>
      </c>
      <c r="G1378" t="s">
        <v>48</v>
      </c>
      <c r="H1378">
        <v>0</v>
      </c>
      <c r="I1378">
        <v>0</v>
      </c>
      <c r="J1378" t="s">
        <v>2833</v>
      </c>
      <c r="K1378">
        <v>5761.5</v>
      </c>
      <c r="L1378">
        <v>1.4741999999999999E-3</v>
      </c>
      <c r="M1378">
        <v>5761.5</v>
      </c>
      <c r="N1378">
        <v>1.4725999999999999E-3</v>
      </c>
      <c r="O1378" t="s">
        <v>2833</v>
      </c>
      <c r="P1378" t="s">
        <v>2833</v>
      </c>
      <c r="Q1378" t="s">
        <v>2833</v>
      </c>
      <c r="R1378">
        <f ca="1">RAND()*(Validation[[#This Row],[Range1_High]]-Validation[[#This Row],[Range1_Low]])+Validation[[#This Row],[Range1_Low]]</f>
        <v>83831.441307612185</v>
      </c>
      <c r="S1378">
        <f>Validation[[#This Row],[Range2_High]]</f>
        <v>0</v>
      </c>
      <c r="T1378" t="str" cm="1">
        <f t="array" aca="1" ref="T1378" ca="1">RoundToTwoSigFigs(Validation[[#This Row],[Test Reading]]*Validation[[#This Row],[Mult]]+Validation[[#This Row],[Base]]) &amp;" "&amp;Validation[[#This Row],[Uncert_Units]]</f>
        <v>5900 mΩ</v>
      </c>
      <c r="U1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mΩ</v>
      </c>
      <c r="V1378" t="b">
        <f ca="1">Validation[[#This Row],[Desired Result]]=Validation[[#This Row],[Result]]</f>
        <v>1</v>
      </c>
      <c r="W1378" t="b">
        <v>0</v>
      </c>
      <c r="X1378" t="b">
        <f>Validation[[#This Row],[Range1_Low]]&gt;=Validation[[#This Row],[Range1_High]]</f>
        <v>0</v>
      </c>
      <c r="Y1378" s="111" t="s">
        <v>2845</v>
      </c>
    </row>
    <row r="1379" spans="1:25" ht="15.75" thickBot="1" x14ac:dyDescent="0.3">
      <c r="A1379" t="s">
        <v>54</v>
      </c>
      <c r="B1379" t="s">
        <v>7</v>
      </c>
      <c r="C1379">
        <v>1100000000</v>
      </c>
      <c r="D1379">
        <v>1101000000</v>
      </c>
      <c r="E1379">
        <v>1000000</v>
      </c>
      <c r="F1379" t="s">
        <v>102</v>
      </c>
      <c r="G1379" t="s">
        <v>50</v>
      </c>
      <c r="H1379">
        <v>0</v>
      </c>
      <c r="I1379">
        <v>0</v>
      </c>
      <c r="J1379" t="s">
        <v>2833</v>
      </c>
      <c r="K1379">
        <v>930</v>
      </c>
      <c r="L1379">
        <v>1.7297000000000001E-5</v>
      </c>
      <c r="M1379">
        <v>611.79</v>
      </c>
      <c r="N1379">
        <v>1.7297000000000001E-5</v>
      </c>
      <c r="O1379" t="s">
        <v>2833</v>
      </c>
      <c r="P1379" t="s">
        <v>2833</v>
      </c>
      <c r="Q1379" t="s">
        <v>2833</v>
      </c>
      <c r="R1379">
        <f ca="1">RAND()*(Validation[[#This Row],[Range1_High]]-Validation[[#This Row],[Range1_Low]])+Validation[[#This Row],[Range1_Low]]</f>
        <v>1100839093.3302448</v>
      </c>
      <c r="S1379">
        <f>Validation[[#This Row],[Range2_High]]</f>
        <v>0</v>
      </c>
      <c r="T1379" t="str" cm="1">
        <f t="array" aca="1" ref="T1379" ca="1">RoundToTwoSigFigs(Validation[[#This Row],[Test Reading]]*Validation[[#This Row],[Mult]]+Validation[[#This Row],[Base]]) &amp;" "&amp;Validation[[#This Row],[Uncert_Units]]</f>
        <v>20000 kΩ</v>
      </c>
      <c r="U1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V1379" t="b">
        <f ca="1">Validation[[#This Row],[Desired Result]]=Validation[[#This Row],[Result]]</f>
        <v>1</v>
      </c>
      <c r="W1379" t="b">
        <v>0</v>
      </c>
      <c r="X1379" t="b">
        <f>Validation[[#This Row],[Range1_Low]]&gt;=Validation[[#This Row],[Range1_High]]</f>
        <v>0</v>
      </c>
      <c r="Y1379" s="111" t="s">
        <v>2845</v>
      </c>
    </row>
    <row r="1380" spans="1:25" ht="16.5" thickTop="1" thickBot="1" x14ac:dyDescent="0.3">
      <c r="A1380" t="s">
        <v>55</v>
      </c>
      <c r="B1380" t="s">
        <v>7</v>
      </c>
      <c r="C1380" s="113">
        <v>100000</v>
      </c>
      <c r="D1380" s="113">
        <v>1000000</v>
      </c>
      <c r="E1380">
        <v>1000</v>
      </c>
      <c r="F1380" t="s">
        <v>102</v>
      </c>
      <c r="G1380" t="s">
        <v>49</v>
      </c>
      <c r="H1380">
        <v>0</v>
      </c>
      <c r="I1380">
        <v>0</v>
      </c>
      <c r="J1380" t="s">
        <v>2833</v>
      </c>
      <c r="K1380">
        <v>577.33000000000004</v>
      </c>
      <c r="L1380">
        <v>3.7584000000000001E-7</v>
      </c>
      <c r="M1380">
        <v>577.33000000000004</v>
      </c>
      <c r="N1380">
        <v>3.7432999999999999E-7</v>
      </c>
      <c r="O1380" t="s">
        <v>2833</v>
      </c>
      <c r="P1380" t="s">
        <v>2833</v>
      </c>
      <c r="Q1380" t="s">
        <v>2833</v>
      </c>
      <c r="R1380">
        <f ca="1">RAND()*(Validation[[#This Row],[Range1_High]]-Validation[[#This Row],[Range1_Low]])+Validation[[#This Row],[Range1_Low]]</f>
        <v>819231.77381780557</v>
      </c>
      <c r="S1380">
        <f>Validation[[#This Row],[Range2_High]]</f>
        <v>0</v>
      </c>
      <c r="T1380" t="str" cm="1">
        <f t="array" aca="1" ref="T1380" ca="1">RoundToTwoSigFigs(Validation[[#This Row],[Test Reading]]*Validation[[#This Row],[Mult]]+Validation[[#This Row],[Base]]) &amp;" "&amp;Validation[[#This Row],[Uncert_Units]]</f>
        <v>580 Ω</v>
      </c>
      <c r="U1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V1380" t="b">
        <f ca="1">Validation[[#This Row],[Desired Result]]=Validation[[#This Row],[Result]]</f>
        <v>1</v>
      </c>
      <c r="W1380" t="b">
        <v>1</v>
      </c>
      <c r="X1380" t="b">
        <f>Validation[[#This Row],[Range1_Low]]&gt;=Validation[[#This Row],[Range1_High]]</f>
        <v>0</v>
      </c>
      <c r="Y1380" s="111" t="s">
        <v>2843</v>
      </c>
    </row>
    <row r="1381" spans="1:25" ht="16.5" thickTop="1" thickBot="1" x14ac:dyDescent="0.3">
      <c r="A1381" t="s">
        <v>55</v>
      </c>
      <c r="B1381" t="s">
        <v>7</v>
      </c>
      <c r="C1381">
        <v>100</v>
      </c>
      <c r="D1381">
        <v>1000</v>
      </c>
      <c r="E1381">
        <v>10</v>
      </c>
      <c r="F1381" t="s">
        <v>102</v>
      </c>
      <c r="G1381" t="s">
        <v>22</v>
      </c>
      <c r="H1381">
        <v>0</v>
      </c>
      <c r="I1381">
        <v>0</v>
      </c>
      <c r="J1381" t="s">
        <v>2833</v>
      </c>
      <c r="K1381">
        <v>5773600</v>
      </c>
      <c r="L1381">
        <v>1.4652999999999999E-2</v>
      </c>
      <c r="M1381">
        <v>5773500</v>
      </c>
      <c r="N1381">
        <v>1.4453000000000001E-2</v>
      </c>
      <c r="O1381" t="s">
        <v>2833</v>
      </c>
      <c r="P1381" t="s">
        <v>2833</v>
      </c>
      <c r="Q1381" t="s">
        <v>2833</v>
      </c>
      <c r="R1381">
        <f ca="1">RAND()*(Validation[[#This Row],[Range1_High]]-Validation[[#This Row],[Range1_Low]])+Validation[[#This Row],[Range1_Low]]</f>
        <v>201.15021409331638</v>
      </c>
      <c r="S1381">
        <f>Validation[[#This Row],[Range2_High]]</f>
        <v>0</v>
      </c>
      <c r="T1381" t="str" cm="1">
        <f t="array" aca="1" ref="T1381" ca="1">RoundToTwoSigFigs(Validation[[#This Row],[Test Reading]]*Validation[[#This Row],[Mult]]+Validation[[#This Row],[Base]]) &amp;" "&amp;Validation[[#This Row],[Uncert_Units]]</f>
        <v>5800000 µΩ</v>
      </c>
      <c r="U1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V1381" t="b">
        <f ca="1">Validation[[#This Row],[Desired Result]]=Validation[[#This Row],[Result]]</f>
        <v>1</v>
      </c>
      <c r="W1381" t="b">
        <v>0</v>
      </c>
      <c r="X1381" t="b">
        <f>Validation[[#This Row],[Range1_Low]]&gt;=Validation[[#This Row],[Range1_High]]</f>
        <v>0</v>
      </c>
      <c r="Y1381" s="111" t="s">
        <v>2845</v>
      </c>
    </row>
    <row r="1382" spans="1:25" ht="16.5" thickTop="1" thickBot="1" x14ac:dyDescent="0.3">
      <c r="A1382" t="s">
        <v>56</v>
      </c>
      <c r="B1382" t="s">
        <v>7</v>
      </c>
      <c r="C1382" s="113">
        <v>10000</v>
      </c>
      <c r="D1382" s="113">
        <v>100000</v>
      </c>
      <c r="E1382">
        <v>100</v>
      </c>
      <c r="F1382" t="s">
        <v>102</v>
      </c>
      <c r="G1382" t="s">
        <v>49</v>
      </c>
      <c r="H1382">
        <v>0</v>
      </c>
      <c r="I1382">
        <v>0</v>
      </c>
      <c r="J1382" t="s">
        <v>2833</v>
      </c>
      <c r="K1382">
        <v>0.46937299999999998</v>
      </c>
      <c r="L1382">
        <v>6.9199999999999998E-8</v>
      </c>
      <c r="M1382">
        <v>0.46348800000000001</v>
      </c>
      <c r="N1382">
        <v>6.9300000000000005E-8</v>
      </c>
      <c r="O1382" t="s">
        <v>2833</v>
      </c>
      <c r="P1382" t="s">
        <v>2833</v>
      </c>
      <c r="Q1382" t="s">
        <v>2833</v>
      </c>
      <c r="R1382">
        <f ca="1">RAND()*(Validation[[#This Row],[Range1_High]]-Validation[[#This Row],[Range1_Low]])+Validation[[#This Row],[Range1_Low]]</f>
        <v>29636.872005648242</v>
      </c>
      <c r="S1382">
        <f>Validation[[#This Row],[Range2_High]]</f>
        <v>0</v>
      </c>
      <c r="T1382" t="str" cm="1">
        <f t="array" aca="1" ref="T1382" ca="1">RoundToTwoSigFigs(Validation[[#This Row],[Test Reading]]*Validation[[#This Row],[Mult]]+Validation[[#This Row],[Base]]) &amp;" "&amp;Validation[[#This Row],[Uncert_Units]]</f>
        <v>0.47 Ω</v>
      </c>
      <c r="U1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V1382" t="b">
        <f ca="1">Validation[[#This Row],[Desired Result]]=Validation[[#This Row],[Result]]</f>
        <v>1</v>
      </c>
      <c r="W1382" t="b">
        <v>1</v>
      </c>
      <c r="X1382" t="b">
        <f>Validation[[#This Row],[Range1_Low]]&gt;=Validation[[#This Row],[Range1_High]]</f>
        <v>0</v>
      </c>
      <c r="Y1382" s="111" t="s">
        <v>2843</v>
      </c>
    </row>
    <row r="1383" spans="1:25" ht="16.5" thickTop="1" thickBot="1" x14ac:dyDescent="0.3">
      <c r="A1383" t="s">
        <v>55</v>
      </c>
      <c r="B1383" t="s">
        <v>7</v>
      </c>
      <c r="C1383" s="113">
        <v>10000000</v>
      </c>
      <c r="D1383" s="113">
        <v>100000000</v>
      </c>
      <c r="E1383">
        <v>100</v>
      </c>
      <c r="F1383" t="s">
        <v>102</v>
      </c>
      <c r="G1383" t="s">
        <v>176</v>
      </c>
      <c r="H1383">
        <v>0</v>
      </c>
      <c r="I1383">
        <v>0</v>
      </c>
      <c r="J1383" t="s">
        <v>2833</v>
      </c>
      <c r="K1383">
        <v>1.2</v>
      </c>
      <c r="L1383">
        <v>5.7999999999999995E-7</v>
      </c>
      <c r="M1383">
        <v>1.1511</v>
      </c>
      <c r="N1383">
        <v>5.778E-7</v>
      </c>
      <c r="O1383" t="s">
        <v>2833</v>
      </c>
      <c r="P1383" t="s">
        <v>2833</v>
      </c>
      <c r="Q1383" t="s">
        <v>2833</v>
      </c>
      <c r="R1383">
        <f ca="1">RAND()*(Validation[[#This Row],[Range1_High]]-Validation[[#This Row],[Range1_Low]])+Validation[[#This Row],[Range1_Low]]</f>
        <v>85030624.999269634</v>
      </c>
      <c r="S1383">
        <f>Validation[[#This Row],[Range2_High]]</f>
        <v>0</v>
      </c>
      <c r="T1383" t="str" cm="1">
        <f t="array" aca="1" ref="T1383" ca="1">RoundToTwoSigFigs(Validation[[#This Row],[Test Reading]]*Validation[[#This Row],[Mult]]+Validation[[#This Row],[Base]]) &amp;" "&amp;Validation[[#This Row],[Uncert_Units]]</f>
        <v>51 kΩ</v>
      </c>
      <c r="U1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kΩ</v>
      </c>
      <c r="V1383" t="b">
        <f ca="1">Validation[[#This Row],[Desired Result]]=Validation[[#This Row],[Result]]</f>
        <v>1</v>
      </c>
      <c r="W1383" t="b">
        <v>1</v>
      </c>
      <c r="X1383" t="b">
        <f>Validation[[#This Row],[Range1_Low]]&gt;=Validation[[#This Row],[Range1_High]]</f>
        <v>0</v>
      </c>
      <c r="Y1383" s="111" t="s">
        <v>2843</v>
      </c>
    </row>
    <row r="1384" spans="1:25" ht="16.5" thickTop="1" thickBot="1" x14ac:dyDescent="0.3">
      <c r="A1384" t="s">
        <v>54</v>
      </c>
      <c r="B1384" t="s">
        <v>7</v>
      </c>
      <c r="C1384">
        <v>1100000000</v>
      </c>
      <c r="D1384">
        <v>1101000000</v>
      </c>
      <c r="E1384">
        <v>100000</v>
      </c>
      <c r="F1384" t="s">
        <v>102</v>
      </c>
      <c r="G1384" t="s">
        <v>50</v>
      </c>
      <c r="H1384">
        <v>0</v>
      </c>
      <c r="I1384">
        <v>0</v>
      </c>
      <c r="J1384" t="s">
        <v>2833</v>
      </c>
      <c r="K1384">
        <v>930</v>
      </c>
      <c r="L1384">
        <v>1.732E-5</v>
      </c>
      <c r="M1384">
        <v>578</v>
      </c>
      <c r="N1384">
        <v>1.732E-5</v>
      </c>
      <c r="O1384" t="s">
        <v>2833</v>
      </c>
      <c r="P1384" t="s">
        <v>2833</v>
      </c>
      <c r="Q1384" t="s">
        <v>2833</v>
      </c>
      <c r="R1384">
        <f ca="1">RAND()*(Validation[[#This Row],[Range1_High]]-Validation[[#This Row],[Range1_Low]])+Validation[[#This Row],[Range1_Low]]</f>
        <v>1100438169.6686177</v>
      </c>
      <c r="S1384">
        <f>Validation[[#This Row],[Range2_High]]</f>
        <v>0</v>
      </c>
      <c r="T1384" t="str" cm="1">
        <f t="array" aca="1" ref="T1384" ca="1">RoundToTwoSigFigs(Validation[[#This Row],[Test Reading]]*Validation[[#This Row],[Mult]]+Validation[[#This Row],[Base]]) &amp;" "&amp;Validation[[#This Row],[Uncert_Units]]</f>
        <v>20000 kΩ</v>
      </c>
      <c r="U1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V1384" t="b">
        <f ca="1">Validation[[#This Row],[Desired Result]]=Validation[[#This Row],[Result]]</f>
        <v>1</v>
      </c>
      <c r="W1384" t="b">
        <v>0</v>
      </c>
      <c r="X1384" t="b">
        <f>Validation[[#This Row],[Range1_Low]]&gt;=Validation[[#This Row],[Range1_High]]</f>
        <v>0</v>
      </c>
      <c r="Y1384" s="111" t="s">
        <v>2845</v>
      </c>
    </row>
    <row r="1385" spans="1:25" ht="16.5" thickTop="1" thickBot="1" x14ac:dyDescent="0.3">
      <c r="A1385" t="s">
        <v>54</v>
      </c>
      <c r="B1385" t="s">
        <v>7</v>
      </c>
      <c r="C1385" s="113">
        <v>1100000</v>
      </c>
      <c r="D1385" s="113">
        <v>3301000</v>
      </c>
      <c r="E1385">
        <v>10000</v>
      </c>
      <c r="F1385" t="s">
        <v>102</v>
      </c>
      <c r="G1385" t="s">
        <v>50</v>
      </c>
      <c r="H1385">
        <v>0</v>
      </c>
      <c r="I1385">
        <v>0</v>
      </c>
      <c r="J1385" t="s">
        <v>2833</v>
      </c>
      <c r="K1385">
        <v>5.7933000000000003</v>
      </c>
      <c r="L1385">
        <v>1.6590000000000002E-8</v>
      </c>
      <c r="M1385">
        <v>5.7933000000000003</v>
      </c>
      <c r="N1385">
        <v>1.6469E-8</v>
      </c>
      <c r="O1385" t="s">
        <v>2833</v>
      </c>
      <c r="P1385" t="s">
        <v>2833</v>
      </c>
      <c r="Q1385" t="s">
        <v>2833</v>
      </c>
      <c r="R1385">
        <f ca="1">RAND()*(Validation[[#This Row],[Range1_High]]-Validation[[#This Row],[Range1_Low]])+Validation[[#This Row],[Range1_Low]]</f>
        <v>2131483.1260168646</v>
      </c>
      <c r="S1385">
        <f>Validation[[#This Row],[Range2_High]]</f>
        <v>0</v>
      </c>
      <c r="T1385" t="str" cm="1">
        <f t="array" aca="1" ref="T1385" ca="1">RoundToTwoSigFigs(Validation[[#This Row],[Test Reading]]*Validation[[#This Row],[Mult]]+Validation[[#This Row],[Base]]) &amp;" "&amp;Validation[[#This Row],[Uncert_Units]]</f>
        <v>5.8 kΩ</v>
      </c>
      <c r="U1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V1385" t="b">
        <f ca="1">Validation[[#This Row],[Desired Result]]=Validation[[#This Row],[Result]]</f>
        <v>1</v>
      </c>
      <c r="W1385" t="b">
        <v>1</v>
      </c>
      <c r="X1385" t="b">
        <f>Validation[[#This Row],[Range1_Low]]&gt;=Validation[[#This Row],[Range1_High]]</f>
        <v>0</v>
      </c>
      <c r="Y1385" s="111" t="s">
        <v>2843</v>
      </c>
    </row>
    <row r="1386" spans="1:25" ht="16.5" thickTop="1" thickBot="1" x14ac:dyDescent="0.3">
      <c r="A1386" t="s">
        <v>54</v>
      </c>
      <c r="B1386" t="s">
        <v>7</v>
      </c>
      <c r="C1386">
        <v>1100000000</v>
      </c>
      <c r="D1386">
        <v>1101000000</v>
      </c>
      <c r="E1386">
        <v>10000</v>
      </c>
      <c r="F1386" t="s">
        <v>102</v>
      </c>
      <c r="G1386" t="s">
        <v>50</v>
      </c>
      <c r="H1386">
        <v>0</v>
      </c>
      <c r="I1386">
        <v>0</v>
      </c>
      <c r="J1386" t="s">
        <v>2833</v>
      </c>
      <c r="K1386">
        <v>930</v>
      </c>
      <c r="L1386">
        <v>1.7E-5</v>
      </c>
      <c r="M1386">
        <v>577.19000000000005</v>
      </c>
      <c r="N1386">
        <v>1.7320999999999999E-5</v>
      </c>
      <c r="O1386" t="s">
        <v>2833</v>
      </c>
      <c r="P1386" t="s">
        <v>2833</v>
      </c>
      <c r="Q1386" t="s">
        <v>2833</v>
      </c>
      <c r="R1386">
        <f ca="1">RAND()*(Validation[[#This Row],[Range1_High]]-Validation[[#This Row],[Range1_Low]])+Validation[[#This Row],[Range1_Low]]</f>
        <v>1100063968.4063213</v>
      </c>
      <c r="S1386">
        <f>Validation[[#This Row],[Range2_High]]</f>
        <v>0</v>
      </c>
      <c r="T1386" t="str" cm="1">
        <f t="array" aca="1" ref="T1386" ca="1">RoundToTwoSigFigs(Validation[[#This Row],[Test Reading]]*Validation[[#This Row],[Mult]]+Validation[[#This Row],[Base]]) &amp;" "&amp;Validation[[#This Row],[Uncert_Units]]</f>
        <v>20000 kΩ</v>
      </c>
      <c r="U1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V1386" t="b">
        <f ca="1">Validation[[#This Row],[Desired Result]]=Validation[[#This Row],[Result]]</f>
        <v>1</v>
      </c>
      <c r="W1386" t="b">
        <v>0</v>
      </c>
      <c r="X1386" t="b">
        <f>Validation[[#This Row],[Range1_Low]]&gt;=Validation[[#This Row],[Range1_High]]</f>
        <v>0</v>
      </c>
      <c r="Y1386" s="111" t="s">
        <v>2845</v>
      </c>
    </row>
    <row r="1387" spans="1:25" ht="16.5" thickTop="1" thickBot="1" x14ac:dyDescent="0.3">
      <c r="A1387" t="s">
        <v>54</v>
      </c>
      <c r="B1387" t="s">
        <v>7</v>
      </c>
      <c r="C1387" s="113">
        <v>1100</v>
      </c>
      <c r="D1387" s="113">
        <v>3300.1</v>
      </c>
      <c r="E1387">
        <v>1</v>
      </c>
      <c r="F1387" t="s">
        <v>102</v>
      </c>
      <c r="G1387" t="s">
        <v>49</v>
      </c>
      <c r="H1387">
        <v>0</v>
      </c>
      <c r="I1387">
        <v>0</v>
      </c>
      <c r="J1387" t="s">
        <v>2833</v>
      </c>
      <c r="K1387">
        <v>0.60487000000000002</v>
      </c>
      <c r="L1387">
        <v>6.4429000000000003E-5</v>
      </c>
      <c r="M1387">
        <v>0.60441</v>
      </c>
      <c r="N1387">
        <v>6.4220999999999994E-5</v>
      </c>
      <c r="O1387" t="s">
        <v>2833</v>
      </c>
      <c r="P1387" t="s">
        <v>2833</v>
      </c>
      <c r="Q1387" t="s">
        <v>2833</v>
      </c>
      <c r="R1387">
        <f ca="1">RAND()*(Validation[[#This Row],[Range1_High]]-Validation[[#This Row],[Range1_Low]])+Validation[[#This Row],[Range1_Low]]</f>
        <v>2784.1164647082096</v>
      </c>
      <c r="S1387">
        <f>Validation[[#This Row],[Range2_High]]</f>
        <v>0</v>
      </c>
      <c r="T1387" t="str" cm="1">
        <f t="array" aca="1" ref="T1387" ca="1">RoundToTwoSigFigs(Validation[[#This Row],[Test Reading]]*Validation[[#This Row],[Mult]]+Validation[[#This Row],[Base]]) &amp;" "&amp;Validation[[#This Row],[Uncert_Units]]</f>
        <v>0.78 Ω</v>
      </c>
      <c r="U1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Ω</v>
      </c>
      <c r="V1387" t="b">
        <f ca="1">Validation[[#This Row],[Desired Result]]=Validation[[#This Row],[Result]]</f>
        <v>1</v>
      </c>
      <c r="W1387" t="b">
        <v>1</v>
      </c>
      <c r="X1387" t="b">
        <f>Validation[[#This Row],[Range1_Low]]&gt;=Validation[[#This Row],[Range1_High]]</f>
        <v>0</v>
      </c>
      <c r="Y1387" s="111" t="s">
        <v>2843</v>
      </c>
    </row>
    <row r="1388" spans="1:25" ht="15.75" thickTop="1" x14ac:dyDescent="0.25">
      <c r="A1388" t="s">
        <v>56</v>
      </c>
      <c r="B1388" t="s">
        <v>7</v>
      </c>
      <c r="C1388">
        <v>10000</v>
      </c>
      <c r="D1388">
        <v>100000</v>
      </c>
      <c r="E1388">
        <v>1</v>
      </c>
      <c r="F1388" t="s">
        <v>102</v>
      </c>
      <c r="G1388" t="s">
        <v>48</v>
      </c>
      <c r="H1388">
        <v>0</v>
      </c>
      <c r="I1388">
        <v>0</v>
      </c>
      <c r="J1388" t="s">
        <v>2833</v>
      </c>
      <c r="K1388">
        <v>585.13469999999995</v>
      </c>
      <c r="L1388">
        <v>2.47889E-4</v>
      </c>
      <c r="M1388">
        <v>579.99590000000001</v>
      </c>
      <c r="N1388">
        <v>4.8299999999999997E-7</v>
      </c>
      <c r="O1388" t="s">
        <v>2833</v>
      </c>
      <c r="P1388" t="s">
        <v>2833</v>
      </c>
      <c r="Q1388" t="s">
        <v>2833</v>
      </c>
      <c r="R1388">
        <f ca="1">RAND()*(Validation[[#This Row],[Range1_High]]-Validation[[#This Row],[Range1_Low]])+Validation[[#This Row],[Range1_Low]]</f>
        <v>90972.996694698159</v>
      </c>
      <c r="S1388">
        <f>Validation[[#This Row],[Range2_High]]</f>
        <v>0</v>
      </c>
      <c r="T1388" t="str" cm="1">
        <f t="array" aca="1" ref="T1388" ca="1">RoundToTwoSigFigs(Validation[[#This Row],[Test Reading]]*Validation[[#This Row],[Mult]]+Validation[[#This Row],[Base]]) &amp;" "&amp;Validation[[#This Row],[Uncert_Units]]</f>
        <v>610 mΩ</v>
      </c>
      <c r="U1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mΩ</v>
      </c>
      <c r="V1388" t="b">
        <f ca="1">Validation[[#This Row],[Desired Result]]=Validation[[#This Row],[Result]]</f>
        <v>1</v>
      </c>
      <c r="W1388" t="b">
        <v>0</v>
      </c>
      <c r="X1388" t="b">
        <f>Validation[[#This Row],[Range1_Low]]&gt;=Validation[[#This Row],[Range1_High]]</f>
        <v>0</v>
      </c>
      <c r="Y1388" s="111" t="s">
        <v>2845</v>
      </c>
    </row>
    <row r="1389" spans="1:25" ht="15.75" thickBot="1" x14ac:dyDescent="0.3">
      <c r="A1389" t="s">
        <v>54</v>
      </c>
      <c r="B1389" t="s">
        <v>7</v>
      </c>
      <c r="C1389">
        <v>0</v>
      </c>
      <c r="D1389">
        <v>11.000999999999999</v>
      </c>
      <c r="E1389">
        <v>10000</v>
      </c>
      <c r="F1389" t="s">
        <v>102</v>
      </c>
      <c r="G1389" t="s">
        <v>48</v>
      </c>
      <c r="H1389">
        <v>0</v>
      </c>
      <c r="I1389">
        <v>0</v>
      </c>
      <c r="J1389" t="s">
        <v>2833</v>
      </c>
      <c r="K1389">
        <v>5800000</v>
      </c>
      <c r="L1389">
        <v>6.2674000000000003E-6</v>
      </c>
      <c r="M1389">
        <v>5800000</v>
      </c>
      <c r="N1389">
        <v>2.9434999999999999E-7</v>
      </c>
      <c r="O1389" t="s">
        <v>2833</v>
      </c>
      <c r="P1389" t="s">
        <v>2833</v>
      </c>
      <c r="Q1389" t="s">
        <v>2833</v>
      </c>
      <c r="R1389">
        <f ca="1">RAND()*(Validation[[#This Row],[Range1_High]]-Validation[[#This Row],[Range1_Low]])+Validation[[#This Row],[Range1_Low]]</f>
        <v>5.1561067974533827</v>
      </c>
      <c r="S1389">
        <f>Validation[[#This Row],[Range2_High]]</f>
        <v>0</v>
      </c>
      <c r="T1389" t="str" cm="1">
        <f t="array" aca="1" ref="T1389" ca="1">RoundToTwoSigFigs(Validation[[#This Row],[Test Reading]]*Validation[[#This Row],[Mult]]+Validation[[#This Row],[Base]]) &amp;" "&amp;Validation[[#This Row],[Uncert_Units]]</f>
        <v>5800000 mΩ</v>
      </c>
      <c r="U1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V1389" t="b">
        <f ca="1">Validation[[#This Row],[Desired Result]]=Validation[[#This Row],[Result]]</f>
        <v>1</v>
      </c>
      <c r="W1389" t="b">
        <v>0</v>
      </c>
      <c r="X1389" t="b">
        <f>Validation[[#This Row],[Range1_Low]]&gt;=Validation[[#This Row],[Range1_High]]</f>
        <v>0</v>
      </c>
      <c r="Y1389" s="111" t="s">
        <v>2845</v>
      </c>
    </row>
    <row r="1390" spans="1:25" ht="16.5" thickTop="1" thickBot="1" x14ac:dyDescent="0.3">
      <c r="A1390" t="s">
        <v>55</v>
      </c>
      <c r="B1390" t="s">
        <v>7</v>
      </c>
      <c r="C1390" s="113">
        <v>10000000</v>
      </c>
      <c r="D1390" s="113">
        <v>100000000</v>
      </c>
      <c r="E1390">
        <v>10</v>
      </c>
      <c r="F1390" t="s">
        <v>102</v>
      </c>
      <c r="G1390" t="s">
        <v>176</v>
      </c>
      <c r="H1390">
        <v>0</v>
      </c>
      <c r="I1390">
        <v>0</v>
      </c>
      <c r="J1390" t="s">
        <v>2833</v>
      </c>
      <c r="K1390">
        <v>1.2</v>
      </c>
      <c r="L1390">
        <v>5.7999999999999995E-7</v>
      </c>
      <c r="M1390">
        <v>1.1508</v>
      </c>
      <c r="N1390">
        <v>5.7800000000000001E-7</v>
      </c>
      <c r="O1390" t="s">
        <v>2833</v>
      </c>
      <c r="P1390" t="s">
        <v>2833</v>
      </c>
      <c r="Q1390" t="s">
        <v>2833</v>
      </c>
      <c r="R1390">
        <f ca="1">RAND()*(Validation[[#This Row],[Range1_High]]-Validation[[#This Row],[Range1_Low]])+Validation[[#This Row],[Range1_Low]]</f>
        <v>11071804.512953797</v>
      </c>
      <c r="S1390">
        <f>Validation[[#This Row],[Range2_High]]</f>
        <v>0</v>
      </c>
      <c r="T1390" t="str" cm="1">
        <f t="array" aca="1" ref="T1390" ca="1">RoundToTwoSigFigs(Validation[[#This Row],[Test Reading]]*Validation[[#This Row],[Mult]]+Validation[[#This Row],[Base]]) &amp;" "&amp;Validation[[#This Row],[Uncert_Units]]</f>
        <v>7.6 kΩ</v>
      </c>
      <c r="U1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kΩ</v>
      </c>
      <c r="V1390" t="b">
        <f ca="1">Validation[[#This Row],[Desired Result]]=Validation[[#This Row],[Result]]</f>
        <v>1</v>
      </c>
      <c r="W1390" t="b">
        <v>1</v>
      </c>
      <c r="X1390" t="b">
        <f>Validation[[#This Row],[Range1_Low]]&gt;=Validation[[#This Row],[Range1_High]]</f>
        <v>0</v>
      </c>
      <c r="Y1390" s="111" t="s">
        <v>2843</v>
      </c>
    </row>
    <row r="1391" spans="1:25" ht="16.5" thickTop="1" thickBot="1" x14ac:dyDescent="0.3">
      <c r="A1391" t="s">
        <v>54</v>
      </c>
      <c r="B1391" t="s">
        <v>7</v>
      </c>
      <c r="C1391">
        <v>3300</v>
      </c>
      <c r="D1391">
        <v>11001</v>
      </c>
      <c r="E1391">
        <v>100</v>
      </c>
      <c r="F1391" t="s">
        <v>102</v>
      </c>
      <c r="G1391" t="s">
        <v>49</v>
      </c>
      <c r="H1391">
        <v>0</v>
      </c>
      <c r="I1391">
        <v>0</v>
      </c>
      <c r="J1391" t="s">
        <v>2833</v>
      </c>
      <c r="K1391">
        <v>57.997</v>
      </c>
      <c r="L1391">
        <v>1.6098E-6</v>
      </c>
      <c r="M1391">
        <v>57.997</v>
      </c>
      <c r="N1391">
        <v>1.5437999999999999E-6</v>
      </c>
      <c r="O1391" t="s">
        <v>2833</v>
      </c>
      <c r="P1391" t="s">
        <v>2833</v>
      </c>
      <c r="Q1391" t="s">
        <v>2833</v>
      </c>
      <c r="R1391">
        <f ca="1">RAND()*(Validation[[#This Row],[Range1_High]]-Validation[[#This Row],[Range1_Low]])+Validation[[#This Row],[Range1_Low]]</f>
        <v>8982.4495030608286</v>
      </c>
      <c r="S1391">
        <f>Validation[[#This Row],[Range2_High]]</f>
        <v>0</v>
      </c>
      <c r="T1391" t="str" cm="1">
        <f t="array" aca="1" ref="T1391" ca="1">RoundToTwoSigFigs(Validation[[#This Row],[Test Reading]]*Validation[[#This Row],[Mult]]+Validation[[#This Row],[Base]]) &amp;" "&amp;Validation[[#This Row],[Uncert_Units]]</f>
        <v>58 Ω</v>
      </c>
      <c r="U1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V1391" t="b">
        <f ca="1">Validation[[#This Row],[Desired Result]]=Validation[[#This Row],[Result]]</f>
        <v>1</v>
      </c>
      <c r="W1391" t="b">
        <v>0</v>
      </c>
      <c r="X1391" t="b">
        <f>Validation[[#This Row],[Range1_Low]]&gt;=Validation[[#This Row],[Range1_High]]</f>
        <v>0</v>
      </c>
      <c r="Y1391" s="111" t="s">
        <v>2845</v>
      </c>
    </row>
    <row r="1392" spans="1:25" ht="16.5" thickTop="1" thickBot="1" x14ac:dyDescent="0.3">
      <c r="A1392" t="s">
        <v>54</v>
      </c>
      <c r="B1392" t="s">
        <v>7</v>
      </c>
      <c r="C1392" s="113">
        <v>330000000</v>
      </c>
      <c r="D1392" s="113">
        <v>1100010000</v>
      </c>
      <c r="E1392">
        <v>100000</v>
      </c>
      <c r="F1392" t="s">
        <v>102</v>
      </c>
      <c r="G1392" t="s">
        <v>50</v>
      </c>
      <c r="H1392">
        <v>0</v>
      </c>
      <c r="I1392">
        <v>0</v>
      </c>
      <c r="J1392" t="s">
        <v>2833</v>
      </c>
      <c r="K1392">
        <v>930</v>
      </c>
      <c r="L1392">
        <v>1.732E-5</v>
      </c>
      <c r="M1392">
        <v>578</v>
      </c>
      <c r="N1392">
        <v>1.732E-5</v>
      </c>
      <c r="O1392" t="s">
        <v>2833</v>
      </c>
      <c r="P1392" t="s">
        <v>2833</v>
      </c>
      <c r="Q1392" t="s">
        <v>2833</v>
      </c>
      <c r="R1392">
        <f ca="1">RAND()*(Validation[[#This Row],[Range1_High]]-Validation[[#This Row],[Range1_Low]])+Validation[[#This Row],[Range1_Low]]</f>
        <v>720722723.36912251</v>
      </c>
      <c r="S1392">
        <f>Validation[[#This Row],[Range2_High]]</f>
        <v>0</v>
      </c>
      <c r="T1392" t="str" cm="1">
        <f t="array" aca="1" ref="T1392" ca="1">RoundToTwoSigFigs(Validation[[#This Row],[Test Reading]]*Validation[[#This Row],[Mult]]+Validation[[#This Row],[Base]]) &amp;" "&amp;Validation[[#This Row],[Uncert_Units]]</f>
        <v>13000 kΩ</v>
      </c>
      <c r="U1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kΩ</v>
      </c>
      <c r="V1392" t="b">
        <f ca="1">Validation[[#This Row],[Desired Result]]=Validation[[#This Row],[Result]]</f>
        <v>1</v>
      </c>
      <c r="W1392" t="b">
        <v>1</v>
      </c>
      <c r="X1392" t="b">
        <f>Validation[[#This Row],[Range1_Low]]&gt;=Validation[[#This Row],[Range1_High]]</f>
        <v>0</v>
      </c>
      <c r="Y1392" s="111" t="s">
        <v>2843</v>
      </c>
    </row>
    <row r="1393" spans="1:25" ht="16.5" thickTop="1" thickBot="1" x14ac:dyDescent="0.3">
      <c r="A1393" t="s">
        <v>55</v>
      </c>
      <c r="B1393" t="s">
        <v>7</v>
      </c>
      <c r="C1393" s="113">
        <v>100000000</v>
      </c>
      <c r="D1393" s="113">
        <v>1000000000</v>
      </c>
      <c r="E1393">
        <v>100</v>
      </c>
      <c r="F1393" t="s">
        <v>102</v>
      </c>
      <c r="G1393" t="s">
        <v>176</v>
      </c>
      <c r="H1393">
        <v>0</v>
      </c>
      <c r="I1393">
        <v>0</v>
      </c>
      <c r="J1393" t="s">
        <v>2833</v>
      </c>
      <c r="K1393">
        <v>12</v>
      </c>
      <c r="L1393">
        <v>5.8000000000000004E-6</v>
      </c>
      <c r="M1393">
        <v>11.592000000000001</v>
      </c>
      <c r="N1393">
        <v>5.7734999999999999E-6</v>
      </c>
      <c r="O1393" t="s">
        <v>2833</v>
      </c>
      <c r="P1393" t="s">
        <v>2833</v>
      </c>
      <c r="Q1393" t="s">
        <v>2833</v>
      </c>
      <c r="R1393">
        <f ca="1">RAND()*(Validation[[#This Row],[Range1_High]]-Validation[[#This Row],[Range1_Low]])+Validation[[#This Row],[Range1_Low]]</f>
        <v>685953452.29018748</v>
      </c>
      <c r="S1393">
        <f>Validation[[#This Row],[Range2_High]]</f>
        <v>0</v>
      </c>
      <c r="T1393" t="str" cm="1">
        <f t="array" aca="1" ref="T1393" ca="1">RoundToTwoSigFigs(Validation[[#This Row],[Test Reading]]*Validation[[#This Row],[Mult]]+Validation[[#This Row],[Base]]) &amp;" "&amp;Validation[[#This Row],[Uncert_Units]]</f>
        <v>4000 kΩ</v>
      </c>
      <c r="U1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kΩ</v>
      </c>
      <c r="V1393" t="b">
        <f ca="1">Validation[[#This Row],[Desired Result]]=Validation[[#This Row],[Result]]</f>
        <v>1</v>
      </c>
      <c r="W1393" t="b">
        <v>1</v>
      </c>
      <c r="X1393" t="b">
        <f>Validation[[#This Row],[Range1_Low]]&gt;=Validation[[#This Row],[Range1_High]]</f>
        <v>0</v>
      </c>
      <c r="Y1393" s="111" t="s">
        <v>2843</v>
      </c>
    </row>
    <row r="1394" spans="1:25" ht="16.5" thickTop="1" thickBot="1" x14ac:dyDescent="0.3">
      <c r="A1394" t="s">
        <v>54</v>
      </c>
      <c r="B1394" t="s">
        <v>7</v>
      </c>
      <c r="C1394">
        <v>3300000</v>
      </c>
      <c r="D1394">
        <v>11001000</v>
      </c>
      <c r="E1394">
        <v>100000</v>
      </c>
      <c r="F1394" t="s">
        <v>102</v>
      </c>
      <c r="G1394" t="s">
        <v>50</v>
      </c>
      <c r="H1394">
        <v>0</v>
      </c>
      <c r="I1394">
        <v>0</v>
      </c>
      <c r="J1394" t="s">
        <v>2833</v>
      </c>
      <c r="K1394">
        <v>57.851999999999997</v>
      </c>
      <c r="L1394">
        <v>6.2356000000000006E-8</v>
      </c>
      <c r="M1394">
        <v>57.851999999999997</v>
      </c>
      <c r="N1394">
        <v>6.2304E-8</v>
      </c>
      <c r="O1394" t="s">
        <v>2833</v>
      </c>
      <c r="P1394" t="s">
        <v>2833</v>
      </c>
      <c r="Q1394" t="s">
        <v>2833</v>
      </c>
      <c r="R1394">
        <f ca="1">RAND()*(Validation[[#This Row],[Range1_High]]-Validation[[#This Row],[Range1_Low]])+Validation[[#This Row],[Range1_Low]]</f>
        <v>3384542.0986058111</v>
      </c>
      <c r="S1394">
        <f>Validation[[#This Row],[Range2_High]]</f>
        <v>0</v>
      </c>
      <c r="T1394" t="str" cm="1">
        <f t="array" aca="1" ref="T1394" ca="1">RoundToTwoSigFigs(Validation[[#This Row],[Test Reading]]*Validation[[#This Row],[Mult]]+Validation[[#This Row],[Base]]) &amp;" "&amp;Validation[[#This Row],[Uncert_Units]]</f>
        <v>58 kΩ</v>
      </c>
      <c r="U1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V1394" t="b">
        <f ca="1">Validation[[#This Row],[Desired Result]]=Validation[[#This Row],[Result]]</f>
        <v>1</v>
      </c>
      <c r="W1394" t="b">
        <v>0</v>
      </c>
      <c r="X1394" t="b">
        <f>Validation[[#This Row],[Range1_Low]]&gt;=Validation[[#This Row],[Range1_High]]</f>
        <v>0</v>
      </c>
      <c r="Y1394" s="111" t="s">
        <v>2845</v>
      </c>
    </row>
    <row r="1395" spans="1:25" ht="16.5" thickTop="1" thickBot="1" x14ac:dyDescent="0.3">
      <c r="A1395" t="s">
        <v>55</v>
      </c>
      <c r="B1395" t="s">
        <v>7</v>
      </c>
      <c r="C1395" s="113">
        <v>100</v>
      </c>
      <c r="D1395" s="113">
        <v>1000</v>
      </c>
      <c r="E1395">
        <v>0.01</v>
      </c>
      <c r="F1395" t="s">
        <v>102</v>
      </c>
      <c r="G1395" t="s">
        <v>22</v>
      </c>
      <c r="H1395">
        <v>0</v>
      </c>
      <c r="I1395">
        <v>0</v>
      </c>
      <c r="J1395" t="s">
        <v>2833</v>
      </c>
      <c r="K1395">
        <v>5185.8</v>
      </c>
      <c r="L1395">
        <v>8.4755000000000003</v>
      </c>
      <c r="M1395">
        <v>5185</v>
      </c>
      <c r="N1395">
        <v>8.4748000000000001</v>
      </c>
      <c r="O1395" t="s">
        <v>2833</v>
      </c>
      <c r="P1395" t="s">
        <v>2833</v>
      </c>
      <c r="Q1395" t="s">
        <v>2833</v>
      </c>
      <c r="R1395">
        <f ca="1">RAND()*(Validation[[#This Row],[Range1_High]]-Validation[[#This Row],[Range1_Low]])+Validation[[#This Row],[Range1_Low]]</f>
        <v>384.27806348563831</v>
      </c>
      <c r="S1395">
        <f>Validation[[#This Row],[Range2_High]]</f>
        <v>0</v>
      </c>
      <c r="T1395" t="str" cm="1">
        <f t="array" aca="1" ref="T1395" ca="1">RoundToTwoSigFigs(Validation[[#This Row],[Test Reading]]*Validation[[#This Row],[Mult]]+Validation[[#This Row],[Base]]) &amp;" "&amp;Validation[[#This Row],[Uncert_Units]]</f>
        <v>8400 µΩ</v>
      </c>
      <c r="U1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8400 µΩ</v>
      </c>
      <c r="V1395" t="b">
        <f ca="1">Validation[[#This Row],[Desired Result]]=Validation[[#This Row],[Result]]</f>
        <v>1</v>
      </c>
      <c r="W1395" t="b">
        <v>1</v>
      </c>
      <c r="X1395" t="b">
        <f>Validation[[#This Row],[Range1_Low]]&gt;=Validation[[#This Row],[Range1_High]]</f>
        <v>0</v>
      </c>
      <c r="Y1395" s="111" t="s">
        <v>2843</v>
      </c>
    </row>
    <row r="1396" spans="1:25" ht="16.5" thickTop="1" thickBot="1" x14ac:dyDescent="0.3">
      <c r="A1396" t="s">
        <v>54</v>
      </c>
      <c r="B1396" t="s">
        <v>7</v>
      </c>
      <c r="C1396">
        <v>110000</v>
      </c>
      <c r="D1396">
        <v>330010</v>
      </c>
      <c r="E1396">
        <v>1000</v>
      </c>
      <c r="F1396" t="s">
        <v>102</v>
      </c>
      <c r="G1396" t="s">
        <v>49</v>
      </c>
      <c r="H1396">
        <v>0</v>
      </c>
      <c r="I1396">
        <v>0</v>
      </c>
      <c r="J1396" t="s">
        <v>2833</v>
      </c>
      <c r="K1396">
        <v>579.51</v>
      </c>
      <c r="L1396">
        <v>1.0142E-5</v>
      </c>
      <c r="M1396">
        <v>579.51</v>
      </c>
      <c r="N1396">
        <v>1.0091E-5</v>
      </c>
      <c r="O1396" t="s">
        <v>2833</v>
      </c>
      <c r="P1396" t="s">
        <v>2833</v>
      </c>
      <c r="Q1396" t="s">
        <v>2833</v>
      </c>
      <c r="R1396">
        <f ca="1">RAND()*(Validation[[#This Row],[Range1_High]]-Validation[[#This Row],[Range1_Low]])+Validation[[#This Row],[Range1_Low]]</f>
        <v>186488.06243198965</v>
      </c>
      <c r="S1396">
        <f>Validation[[#This Row],[Range2_High]]</f>
        <v>0</v>
      </c>
      <c r="T1396" t="str" cm="1">
        <f t="array" aca="1" ref="T1396" ca="1">RoundToTwoSigFigs(Validation[[#This Row],[Test Reading]]*Validation[[#This Row],[Mult]]+Validation[[#This Row],[Base]]) &amp;" "&amp;Validation[[#This Row],[Uncert_Units]]</f>
        <v>580 Ω</v>
      </c>
      <c r="U1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V1396" t="b">
        <f ca="1">Validation[[#This Row],[Desired Result]]=Validation[[#This Row],[Result]]</f>
        <v>1</v>
      </c>
      <c r="W1396" t="b">
        <v>0</v>
      </c>
      <c r="X1396" t="b">
        <f>Validation[[#This Row],[Range1_Low]]&gt;=Validation[[#This Row],[Range1_High]]</f>
        <v>0</v>
      </c>
      <c r="Y1396" s="111" t="s">
        <v>2845</v>
      </c>
    </row>
    <row r="1397" spans="1:25" ht="16.5" thickTop="1" thickBot="1" x14ac:dyDescent="0.3">
      <c r="A1397" t="s">
        <v>54</v>
      </c>
      <c r="B1397" t="s">
        <v>7</v>
      </c>
      <c r="C1397" s="113">
        <v>330000000</v>
      </c>
      <c r="D1397" s="113">
        <v>1100010000</v>
      </c>
      <c r="E1397">
        <v>10000</v>
      </c>
      <c r="F1397" t="s">
        <v>102</v>
      </c>
      <c r="G1397" t="s">
        <v>50</v>
      </c>
      <c r="H1397">
        <v>0</v>
      </c>
      <c r="I1397">
        <v>0</v>
      </c>
      <c r="J1397" t="s">
        <v>2833</v>
      </c>
      <c r="K1397">
        <v>930</v>
      </c>
      <c r="L1397">
        <v>1.7E-5</v>
      </c>
      <c r="M1397">
        <v>577.19000000000005</v>
      </c>
      <c r="N1397">
        <v>1.7320999999999999E-5</v>
      </c>
      <c r="O1397" t="s">
        <v>2833</v>
      </c>
      <c r="P1397" t="s">
        <v>2833</v>
      </c>
      <c r="Q1397" t="s">
        <v>2833</v>
      </c>
      <c r="R1397">
        <f ca="1">RAND()*(Validation[[#This Row],[Range1_High]]-Validation[[#This Row],[Range1_Low]])+Validation[[#This Row],[Range1_Low]]</f>
        <v>973688809.71894813</v>
      </c>
      <c r="S1397">
        <f>Validation[[#This Row],[Range2_High]]</f>
        <v>0</v>
      </c>
      <c r="T1397" t="str" cm="1">
        <f t="array" aca="1" ref="T1397" ca="1">RoundToTwoSigFigs(Validation[[#This Row],[Test Reading]]*Validation[[#This Row],[Mult]]+Validation[[#This Row],[Base]]) &amp;" "&amp;Validation[[#This Row],[Uncert_Units]]</f>
        <v>17000 kΩ</v>
      </c>
      <c r="U1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kΩ</v>
      </c>
      <c r="V1397" t="b">
        <f ca="1">Validation[[#This Row],[Desired Result]]=Validation[[#This Row],[Result]]</f>
        <v>1</v>
      </c>
      <c r="W1397" t="b">
        <v>1</v>
      </c>
      <c r="X1397" t="b">
        <f>Validation[[#This Row],[Range1_Low]]&gt;=Validation[[#This Row],[Range1_High]]</f>
        <v>0</v>
      </c>
      <c r="Y1397" s="111" t="s">
        <v>2843</v>
      </c>
    </row>
    <row r="1398" spans="1:25" ht="16.5" thickTop="1" thickBot="1" x14ac:dyDescent="0.3">
      <c r="A1398" t="s">
        <v>56</v>
      </c>
      <c r="B1398" t="s">
        <v>7</v>
      </c>
      <c r="C1398">
        <v>1000</v>
      </c>
      <c r="D1398">
        <v>10000</v>
      </c>
      <c r="E1398">
        <v>0.1</v>
      </c>
      <c r="F1398" t="s">
        <v>102</v>
      </c>
      <c r="G1398" t="s">
        <v>48</v>
      </c>
      <c r="H1398">
        <v>0</v>
      </c>
      <c r="I1398">
        <v>0</v>
      </c>
      <c r="J1398" t="s">
        <v>2833</v>
      </c>
      <c r="K1398">
        <v>58.513469999999998</v>
      </c>
      <c r="L1398">
        <v>2.47889E-4</v>
      </c>
      <c r="M1398">
        <v>57.999589999999998</v>
      </c>
      <c r="N1398">
        <v>4.8273899999999997E-7</v>
      </c>
      <c r="O1398" t="s">
        <v>2833</v>
      </c>
      <c r="P1398" t="s">
        <v>2833</v>
      </c>
      <c r="Q1398" t="s">
        <v>2833</v>
      </c>
      <c r="R1398">
        <f ca="1">RAND()*(Validation[[#This Row],[Range1_High]]-Validation[[#This Row],[Range1_Low]])+Validation[[#This Row],[Range1_Low]]</f>
        <v>4994.4114878632063</v>
      </c>
      <c r="S1398">
        <f>Validation[[#This Row],[Range2_High]]</f>
        <v>0</v>
      </c>
      <c r="T1398" t="str" cm="1">
        <f t="array" aca="1" ref="T1398" ca="1">RoundToTwoSigFigs(Validation[[#This Row],[Test Reading]]*Validation[[#This Row],[Mult]]+Validation[[#This Row],[Base]]) &amp;" "&amp;Validation[[#This Row],[Uncert_Units]]</f>
        <v>60 mΩ</v>
      </c>
      <c r="U1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mΩ</v>
      </c>
      <c r="V1398" t="b">
        <f ca="1">Validation[[#This Row],[Desired Result]]=Validation[[#This Row],[Result]]</f>
        <v>1</v>
      </c>
      <c r="W1398" t="b">
        <v>0</v>
      </c>
      <c r="X1398" t="b">
        <f>Validation[[#This Row],[Range1_Low]]&gt;=Validation[[#This Row],[Range1_High]]</f>
        <v>0</v>
      </c>
      <c r="Y1398" s="111" t="s">
        <v>2845</v>
      </c>
    </row>
    <row r="1399" spans="1:25" ht="16.5" thickTop="1" thickBot="1" x14ac:dyDescent="0.3">
      <c r="A1399" t="s">
        <v>56</v>
      </c>
      <c r="B1399" t="s">
        <v>7</v>
      </c>
      <c r="C1399" s="115">
        <v>100000</v>
      </c>
      <c r="D1399" s="115">
        <v>1000</v>
      </c>
      <c r="E1399">
        <v>10000000</v>
      </c>
      <c r="F1399" t="s">
        <v>102</v>
      </c>
      <c r="G1399" t="s">
        <v>49</v>
      </c>
      <c r="H1399">
        <v>0</v>
      </c>
      <c r="I1399">
        <v>0</v>
      </c>
      <c r="J1399" t="s">
        <v>2833</v>
      </c>
      <c r="K1399">
        <v>8.0349120000000003</v>
      </c>
      <c r="L1399">
        <v>7.8400000000000001E-8</v>
      </c>
      <c r="M1399">
        <v>5.9988400000000004</v>
      </c>
      <c r="N1399">
        <v>7.9599999999999998E-8</v>
      </c>
      <c r="O1399" t="s">
        <v>2833</v>
      </c>
      <c r="P1399" t="s">
        <v>2833</v>
      </c>
      <c r="Q1399" t="s">
        <v>2833</v>
      </c>
      <c r="R1399" s="100">
        <f ca="1">RAND()*(Validation[[#This Row],[Range1_High]]-Validation[[#This Row],[Range1_Low]])+Validation[[#This Row],[Range1_Low]]</f>
        <v>41898.863326401886</v>
      </c>
      <c r="S1399">
        <f>Validation[[#This Row],[Range2_High]]</f>
        <v>0</v>
      </c>
      <c r="T1399" t="str" cm="1">
        <f t="array" aca="1" ref="T1399" ca="1">RoundToTwoSigFigs(Validation[[#This Row],[Test Reading]]*Validation[[#This Row],[Mult]]+Validation[[#This Row],[Base]]) &amp;" "&amp;Validation[[#This Row],[Uncert_Units]]</f>
        <v>8 Ω</v>
      </c>
      <c r="U1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1399" t="b">
        <f ca="1">Validation[[#This Row],[Desired Result]]=Validation[[#This Row],[Result]]</f>
        <v>0</v>
      </c>
      <c r="W1399" t="b">
        <v>1</v>
      </c>
      <c r="X1399" t="b">
        <f>Validation[[#This Row],[Range1_Low]]&gt;=Validation[[#This Row],[Range1_High]]</f>
        <v>1</v>
      </c>
      <c r="Y1399" s="111" t="s">
        <v>2842</v>
      </c>
    </row>
    <row r="1400" spans="1:25" ht="16.5" thickTop="1" thickBot="1" x14ac:dyDescent="0.3">
      <c r="A1400" t="s">
        <v>56</v>
      </c>
      <c r="B1400" t="s">
        <v>7</v>
      </c>
      <c r="C1400">
        <v>0</v>
      </c>
      <c r="D1400">
        <v>1000</v>
      </c>
      <c r="E1400">
        <v>1.0000000000000001E-5</v>
      </c>
      <c r="F1400" t="s">
        <v>102</v>
      </c>
      <c r="G1400" t="s">
        <v>71</v>
      </c>
      <c r="H1400">
        <v>0</v>
      </c>
      <c r="I1400">
        <v>0</v>
      </c>
      <c r="J1400" t="s">
        <v>2833</v>
      </c>
      <c r="K1400">
        <v>3</v>
      </c>
      <c r="L1400">
        <v>0.12</v>
      </c>
      <c r="M1400">
        <v>3.963721</v>
      </c>
      <c r="N1400">
        <v>7.9376769999999999E-2</v>
      </c>
      <c r="O1400" t="s">
        <v>2833</v>
      </c>
      <c r="P1400" t="s">
        <v>2833</v>
      </c>
      <c r="Q1400" t="s">
        <v>2833</v>
      </c>
      <c r="R1400">
        <f ca="1">RAND()*(Validation[[#This Row],[Range1_High]]-Validation[[#This Row],[Range1_Low]])+Validation[[#This Row],[Range1_Low]]</f>
        <v>264.0561554187201</v>
      </c>
      <c r="S1400">
        <f>Validation[[#This Row],[Range2_High]]</f>
        <v>0</v>
      </c>
      <c r="T1400" t="str" cm="1">
        <f t="array" aca="1" ref="T1400" ca="1">RoundToTwoSigFigs(Validation[[#This Row],[Test Reading]]*Validation[[#This Row],[Mult]]+Validation[[#This Row],[Base]]) &amp;" "&amp;Validation[[#This Row],[Uncert_Units]]</f>
        <v>35 µΩ</v>
      </c>
      <c r="U1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µΩ</v>
      </c>
      <c r="V1400" t="b">
        <f ca="1">Validation[[#This Row],[Desired Result]]=Validation[[#This Row],[Result]]</f>
        <v>1</v>
      </c>
      <c r="W1400" t="b">
        <v>0</v>
      </c>
      <c r="X1400" t="b">
        <f>Validation[[#This Row],[Range1_Low]]&gt;=Validation[[#This Row],[Range1_High]]</f>
        <v>0</v>
      </c>
      <c r="Y1400" s="111" t="s">
        <v>2845</v>
      </c>
    </row>
    <row r="1401" spans="1:25" ht="16.5" thickTop="1" thickBot="1" x14ac:dyDescent="0.3">
      <c r="A1401" t="s">
        <v>54</v>
      </c>
      <c r="B1401" t="s">
        <v>7</v>
      </c>
      <c r="C1401" s="113">
        <v>11</v>
      </c>
      <c r="D1401" s="113">
        <v>33.000999999999998</v>
      </c>
      <c r="E1401">
        <v>1E-3</v>
      </c>
      <c r="F1401" t="s">
        <v>102</v>
      </c>
      <c r="G1401" t="s">
        <v>48</v>
      </c>
      <c r="H1401">
        <v>0</v>
      </c>
      <c r="I1401">
        <v>0</v>
      </c>
      <c r="J1401" t="s">
        <v>2833</v>
      </c>
      <c r="K1401">
        <v>18</v>
      </c>
      <c r="L1401">
        <v>0.14000000000000001</v>
      </c>
      <c r="M1401">
        <v>17.338999999999999</v>
      </c>
      <c r="N1401">
        <v>0.13885</v>
      </c>
      <c r="O1401" t="s">
        <v>2833</v>
      </c>
      <c r="P1401" t="s">
        <v>2833</v>
      </c>
      <c r="Q1401" t="s">
        <v>2833</v>
      </c>
      <c r="R1401">
        <f ca="1">RAND()*(Validation[[#This Row],[Range1_High]]-Validation[[#This Row],[Range1_Low]])+Validation[[#This Row],[Range1_Low]]</f>
        <v>32.853531965824153</v>
      </c>
      <c r="S1401">
        <f>Validation[[#This Row],[Range2_High]]</f>
        <v>0</v>
      </c>
      <c r="T1401" t="str" cm="1">
        <f t="array" aca="1" ref="T1401" ca="1">RoundToTwoSigFigs(Validation[[#This Row],[Test Reading]]*Validation[[#This Row],[Mult]]+Validation[[#This Row],[Base]]) &amp;" "&amp;Validation[[#This Row],[Uncert_Units]]</f>
        <v>23 mΩ</v>
      </c>
      <c r="U1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mΩ</v>
      </c>
      <c r="V1401" t="b">
        <f ca="1">Validation[[#This Row],[Desired Result]]=Validation[[#This Row],[Result]]</f>
        <v>1</v>
      </c>
      <c r="W1401" t="b">
        <v>1</v>
      </c>
      <c r="X1401" t="b">
        <f>Validation[[#This Row],[Range1_Low]]&gt;=Validation[[#This Row],[Range1_High]]</f>
        <v>0</v>
      </c>
      <c r="Y1401" s="111" t="s">
        <v>2843</v>
      </c>
    </row>
    <row r="1402" spans="1:25" ht="15.75" thickTop="1" x14ac:dyDescent="0.25">
      <c r="A1402" t="s">
        <v>54</v>
      </c>
      <c r="B1402" t="s">
        <v>7</v>
      </c>
      <c r="C1402">
        <v>0</v>
      </c>
      <c r="D1402">
        <v>11.000999999999999</v>
      </c>
      <c r="E1402">
        <v>1</v>
      </c>
      <c r="F1402" t="s">
        <v>102</v>
      </c>
      <c r="G1402" t="s">
        <v>48</v>
      </c>
      <c r="H1402">
        <v>0</v>
      </c>
      <c r="I1402">
        <v>0</v>
      </c>
      <c r="J1402" t="s">
        <v>2833</v>
      </c>
      <c r="K1402">
        <v>580.12</v>
      </c>
      <c r="L1402">
        <v>3.176E-3</v>
      </c>
      <c r="M1402">
        <v>580.12</v>
      </c>
      <c r="N1402">
        <v>2.9426999999999999E-3</v>
      </c>
      <c r="O1402" t="s">
        <v>2833</v>
      </c>
      <c r="P1402" t="s">
        <v>2833</v>
      </c>
      <c r="Q1402" t="s">
        <v>2833</v>
      </c>
      <c r="R1402">
        <f ca="1">RAND()*(Validation[[#This Row],[Range1_High]]-Validation[[#This Row],[Range1_Low]])+Validation[[#This Row],[Range1_Low]]</f>
        <v>7.9328488953305518</v>
      </c>
      <c r="S1402">
        <f>Validation[[#This Row],[Range2_High]]</f>
        <v>0</v>
      </c>
      <c r="T1402" t="str" cm="1">
        <f t="array" aca="1" ref="T1402" ca="1">RoundToTwoSigFigs(Validation[[#This Row],[Test Reading]]*Validation[[#This Row],[Mult]]+Validation[[#This Row],[Base]]) &amp;" "&amp;Validation[[#This Row],[Uncert_Units]]</f>
        <v>580 mΩ</v>
      </c>
      <c r="U1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V1402" t="b">
        <f ca="1">Validation[[#This Row],[Desired Result]]=Validation[[#This Row],[Result]]</f>
        <v>1</v>
      </c>
      <c r="W1402" t="b">
        <v>0</v>
      </c>
      <c r="X1402" t="b">
        <f>Validation[[#This Row],[Range1_Low]]&gt;=Validation[[#This Row],[Range1_High]]</f>
        <v>0</v>
      </c>
      <c r="Y1402" s="111" t="s">
        <v>2845</v>
      </c>
    </row>
    <row r="1403" spans="1:25" x14ac:dyDescent="0.25">
      <c r="A1403" t="s">
        <v>56</v>
      </c>
      <c r="B1403" t="s">
        <v>7</v>
      </c>
      <c r="C1403">
        <v>0</v>
      </c>
      <c r="D1403">
        <v>1000</v>
      </c>
      <c r="E1403">
        <v>9.9999999999999995E-7</v>
      </c>
      <c r="F1403" t="s">
        <v>102</v>
      </c>
      <c r="G1403" t="s">
        <v>71</v>
      </c>
      <c r="H1403">
        <v>0</v>
      </c>
      <c r="I1403">
        <v>0</v>
      </c>
      <c r="J1403" t="s">
        <v>2833</v>
      </c>
      <c r="K1403">
        <v>3</v>
      </c>
      <c r="L1403">
        <v>0.12</v>
      </c>
      <c r="M1403">
        <v>2.3273220000000001</v>
      </c>
      <c r="N1403">
        <v>8.0813122000000001E-2</v>
      </c>
      <c r="O1403" t="s">
        <v>2833</v>
      </c>
      <c r="P1403" t="s">
        <v>2833</v>
      </c>
      <c r="Q1403" t="s">
        <v>2833</v>
      </c>
      <c r="R1403">
        <f ca="1">RAND()*(Validation[[#This Row],[Range1_High]]-Validation[[#This Row],[Range1_Low]])+Validation[[#This Row],[Range1_Low]]</f>
        <v>246.72985690971205</v>
      </c>
      <c r="S1403">
        <f>Validation[[#This Row],[Range2_High]]</f>
        <v>0</v>
      </c>
      <c r="T1403" t="str" cm="1">
        <f t="array" aca="1" ref="T1403" ca="1">RoundToTwoSigFigs(Validation[[#This Row],[Test Reading]]*Validation[[#This Row],[Mult]]+Validation[[#This Row],[Base]]) &amp;" "&amp;Validation[[#This Row],[Uncert_Units]]</f>
        <v>33 µΩ</v>
      </c>
      <c r="U1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µΩ</v>
      </c>
      <c r="V1403" t="b">
        <f ca="1">Validation[[#This Row],[Desired Result]]=Validation[[#This Row],[Result]]</f>
        <v>1</v>
      </c>
      <c r="W1403" t="b">
        <v>0</v>
      </c>
      <c r="X1403" t="b">
        <f>Validation[[#This Row],[Range1_Low]]&gt;=Validation[[#This Row],[Range1_High]]</f>
        <v>0</v>
      </c>
      <c r="Y1403" s="111" t="s">
        <v>2845</v>
      </c>
    </row>
    <row r="1404" spans="1:25" ht="15.75" thickBot="1" x14ac:dyDescent="0.3">
      <c r="A1404" t="s">
        <v>56</v>
      </c>
      <c r="B1404" t="s">
        <v>7</v>
      </c>
      <c r="C1404">
        <v>1000</v>
      </c>
      <c r="D1404">
        <v>10000</v>
      </c>
      <c r="E1404">
        <v>100</v>
      </c>
      <c r="F1404" t="s">
        <v>102</v>
      </c>
      <c r="G1404" t="s">
        <v>48</v>
      </c>
      <c r="H1404">
        <v>0</v>
      </c>
      <c r="I1404">
        <v>0</v>
      </c>
      <c r="J1404" t="s">
        <v>2833</v>
      </c>
      <c r="K1404">
        <v>66.558580000000006</v>
      </c>
      <c r="L1404">
        <v>6.6056000000000006E-5</v>
      </c>
      <c r="M1404">
        <v>41.389360000000003</v>
      </c>
      <c r="N1404">
        <v>6.7688000000000007E-5</v>
      </c>
      <c r="O1404" t="s">
        <v>2833</v>
      </c>
      <c r="P1404" t="s">
        <v>2833</v>
      </c>
      <c r="Q1404" t="s">
        <v>2833</v>
      </c>
      <c r="R1404">
        <f ca="1">RAND()*(Validation[[#This Row],[Range1_High]]-Validation[[#This Row],[Range1_Low]])+Validation[[#This Row],[Range1_Low]]</f>
        <v>3631.5568662080527</v>
      </c>
      <c r="S1404">
        <f>Validation[[#This Row],[Range2_High]]</f>
        <v>0</v>
      </c>
      <c r="T1404" t="str" cm="1">
        <f t="array" aca="1" ref="T1404" ca="1">RoundToTwoSigFigs(Validation[[#This Row],[Test Reading]]*Validation[[#This Row],[Mult]]+Validation[[#This Row],[Base]]) &amp;" "&amp;Validation[[#This Row],[Uncert_Units]]</f>
        <v>67 mΩ</v>
      </c>
      <c r="U1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V1404" t="b">
        <f ca="1">Validation[[#This Row],[Desired Result]]=Validation[[#This Row],[Result]]</f>
        <v>1</v>
      </c>
      <c r="W1404" t="b">
        <v>0</v>
      </c>
      <c r="X1404" t="b">
        <f>Validation[[#This Row],[Range1_Low]]&gt;=Validation[[#This Row],[Range1_High]]</f>
        <v>0</v>
      </c>
      <c r="Y1404" s="111" t="s">
        <v>2845</v>
      </c>
    </row>
    <row r="1405" spans="1:25" ht="16.5" thickTop="1" thickBot="1" x14ac:dyDescent="0.3">
      <c r="A1405" t="s">
        <v>54</v>
      </c>
      <c r="B1405" t="s">
        <v>7</v>
      </c>
      <c r="C1405" s="113">
        <v>11000000</v>
      </c>
      <c r="D1405" s="113">
        <v>33001000</v>
      </c>
      <c r="E1405">
        <v>100</v>
      </c>
      <c r="F1405" t="s">
        <v>102</v>
      </c>
      <c r="G1405" t="s">
        <v>50</v>
      </c>
      <c r="H1405">
        <v>0</v>
      </c>
      <c r="I1405">
        <v>0</v>
      </c>
      <c r="J1405" t="s">
        <v>2833</v>
      </c>
      <c r="K1405">
        <v>2.9</v>
      </c>
      <c r="L1405">
        <v>1.1999999999999999E-6</v>
      </c>
      <c r="M1405">
        <v>2.8873000000000002</v>
      </c>
      <c r="N1405">
        <v>1.1547999999999999E-6</v>
      </c>
      <c r="O1405" t="s">
        <v>2833</v>
      </c>
      <c r="P1405" t="s">
        <v>2833</v>
      </c>
      <c r="Q1405" t="s">
        <v>2833</v>
      </c>
      <c r="R1405">
        <f ca="1">RAND()*(Validation[[#This Row],[Range1_High]]-Validation[[#This Row],[Range1_Low]])+Validation[[#This Row],[Range1_Low]]</f>
        <v>25467967.900214262</v>
      </c>
      <c r="S1405">
        <f>Validation[[#This Row],[Range2_High]]</f>
        <v>0</v>
      </c>
      <c r="T1405" t="str" cm="1">
        <f t="array" aca="1" ref="T1405" ca="1">RoundToTwoSigFigs(Validation[[#This Row],[Test Reading]]*Validation[[#This Row],[Mult]]+Validation[[#This Row],[Base]]) &amp;" "&amp;Validation[[#This Row],[Uncert_Units]]</f>
        <v>33 kΩ</v>
      </c>
      <c r="U1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kΩ</v>
      </c>
      <c r="V1405" t="b">
        <f ca="1">Validation[[#This Row],[Desired Result]]=Validation[[#This Row],[Result]]</f>
        <v>1</v>
      </c>
      <c r="W1405" t="b">
        <v>1</v>
      </c>
      <c r="X1405" t="b">
        <f>Validation[[#This Row],[Range1_Low]]&gt;=Validation[[#This Row],[Range1_High]]</f>
        <v>0</v>
      </c>
      <c r="Y1405" s="111" t="s">
        <v>2843</v>
      </c>
    </row>
    <row r="1406" spans="1:25" ht="16.5" thickTop="1" thickBot="1" x14ac:dyDescent="0.3">
      <c r="A1406" t="s">
        <v>54</v>
      </c>
      <c r="B1406" t="s">
        <v>7</v>
      </c>
      <c r="C1406" s="113">
        <v>33000000</v>
      </c>
      <c r="D1406" s="113">
        <v>110010000</v>
      </c>
      <c r="E1406">
        <v>10000</v>
      </c>
      <c r="F1406" t="s">
        <v>102</v>
      </c>
      <c r="G1406" t="s">
        <v>50</v>
      </c>
      <c r="H1406">
        <v>0</v>
      </c>
      <c r="I1406">
        <v>0</v>
      </c>
      <c r="J1406" t="s">
        <v>2833</v>
      </c>
      <c r="K1406">
        <v>3.5802999999999998</v>
      </c>
      <c r="L1406">
        <v>5.7726999999999998E-6</v>
      </c>
      <c r="M1406">
        <v>3.5792000000000002</v>
      </c>
      <c r="N1406">
        <v>5.7726999999999998E-6</v>
      </c>
      <c r="O1406" t="s">
        <v>2833</v>
      </c>
      <c r="P1406" t="s">
        <v>2833</v>
      </c>
      <c r="Q1406" t="s">
        <v>2833</v>
      </c>
      <c r="R1406">
        <f ca="1">RAND()*(Validation[[#This Row],[Range1_High]]-Validation[[#This Row],[Range1_Low]])+Validation[[#This Row],[Range1_Low]]</f>
        <v>99329802.251054913</v>
      </c>
      <c r="S1406">
        <f>Validation[[#This Row],[Range2_High]]</f>
        <v>0</v>
      </c>
      <c r="T1406" t="str" cm="1">
        <f t="array" aca="1" ref="T1406" ca="1">RoundToTwoSigFigs(Validation[[#This Row],[Test Reading]]*Validation[[#This Row],[Mult]]+Validation[[#This Row],[Base]]) &amp;" "&amp;Validation[[#This Row],[Uncert_Units]]</f>
        <v>580 kΩ</v>
      </c>
      <c r="U1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kΩ</v>
      </c>
      <c r="V1406" t="b">
        <f ca="1">Validation[[#This Row],[Desired Result]]=Validation[[#This Row],[Result]]</f>
        <v>1</v>
      </c>
      <c r="W1406" t="b">
        <v>1</v>
      </c>
      <c r="X1406" t="b">
        <f>Validation[[#This Row],[Range1_Low]]&gt;=Validation[[#This Row],[Range1_High]]</f>
        <v>0</v>
      </c>
      <c r="Y1406" s="111" t="s">
        <v>2843</v>
      </c>
    </row>
    <row r="1407" spans="1:25" ht="16.5" thickTop="1" thickBot="1" x14ac:dyDescent="0.3">
      <c r="A1407" t="s">
        <v>54</v>
      </c>
      <c r="B1407" t="s">
        <v>7</v>
      </c>
      <c r="C1407">
        <v>0</v>
      </c>
      <c r="D1407">
        <v>11.000999999999999</v>
      </c>
      <c r="E1407">
        <v>10000000</v>
      </c>
      <c r="F1407" t="s">
        <v>102</v>
      </c>
      <c r="G1407" t="s">
        <v>48</v>
      </c>
      <c r="H1407">
        <v>0</v>
      </c>
      <c r="I1407">
        <v>0</v>
      </c>
      <c r="J1407" t="s">
        <v>2833</v>
      </c>
      <c r="K1407">
        <v>5800000000</v>
      </c>
      <c r="L1407">
        <v>0</v>
      </c>
      <c r="M1407">
        <v>5800000000</v>
      </c>
      <c r="N1407">
        <v>0</v>
      </c>
      <c r="O1407" t="s">
        <v>2833</v>
      </c>
      <c r="P1407" t="s">
        <v>2833</v>
      </c>
      <c r="Q1407" t="s">
        <v>2833</v>
      </c>
      <c r="R1407">
        <f ca="1">RAND()*(Validation[[#This Row],[Range1_High]]-Validation[[#This Row],[Range1_Low]])+Validation[[#This Row],[Range1_Low]]</f>
        <v>10.713193327938736</v>
      </c>
      <c r="S1407">
        <f>Validation[[#This Row],[Range2_High]]</f>
        <v>0</v>
      </c>
      <c r="T1407" t="str" cm="1">
        <f t="array" aca="1" ref="T1407" ca="1">RoundToTwoSigFigs(Validation[[#This Row],[Test Reading]]*Validation[[#This Row],[Mult]]+Validation[[#This Row],[Base]]) &amp;" "&amp;Validation[[#This Row],[Uncert_Units]]</f>
        <v>5800000000 mΩ</v>
      </c>
      <c r="U1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V1407" t="b">
        <f ca="1">Validation[[#This Row],[Desired Result]]=Validation[[#This Row],[Result]]</f>
        <v>1</v>
      </c>
      <c r="W1407" t="b">
        <v>0</v>
      </c>
      <c r="X1407" t="b">
        <f>Validation[[#This Row],[Range1_Low]]&gt;=Validation[[#This Row],[Range1_High]]</f>
        <v>0</v>
      </c>
      <c r="Y1407" s="111" t="s">
        <v>2845</v>
      </c>
    </row>
    <row r="1408" spans="1:25" ht="16.5" thickTop="1" thickBot="1" x14ac:dyDescent="0.3">
      <c r="A1408" t="s">
        <v>54</v>
      </c>
      <c r="B1408" t="s">
        <v>7</v>
      </c>
      <c r="C1408" s="113">
        <v>1100</v>
      </c>
      <c r="D1408" s="113">
        <v>3300.1</v>
      </c>
      <c r="E1408">
        <v>0.01</v>
      </c>
      <c r="F1408" t="s">
        <v>102</v>
      </c>
      <c r="G1408" t="s">
        <v>49</v>
      </c>
      <c r="H1408">
        <v>0</v>
      </c>
      <c r="I1408">
        <v>0</v>
      </c>
      <c r="J1408" t="s">
        <v>2833</v>
      </c>
      <c r="K1408">
        <v>0.25</v>
      </c>
      <c r="L1408">
        <v>1E-4</v>
      </c>
      <c r="M1408">
        <v>0.23096</v>
      </c>
      <c r="N1408">
        <v>1.0411E-4</v>
      </c>
      <c r="O1408" t="s">
        <v>2833</v>
      </c>
      <c r="P1408" t="s">
        <v>2833</v>
      </c>
      <c r="Q1408" t="s">
        <v>2833</v>
      </c>
      <c r="R1408">
        <f ca="1">RAND()*(Validation[[#This Row],[Range1_High]]-Validation[[#This Row],[Range1_Low]])+Validation[[#This Row],[Range1_Low]]</f>
        <v>1724.5091948628942</v>
      </c>
      <c r="S1408">
        <f>Validation[[#This Row],[Range2_High]]</f>
        <v>0</v>
      </c>
      <c r="T1408" t="str" cm="1">
        <f t="array" aca="1" ref="T1408" ca="1">RoundToTwoSigFigs(Validation[[#This Row],[Test Reading]]*Validation[[#This Row],[Mult]]+Validation[[#This Row],[Base]]) &amp;" "&amp;Validation[[#This Row],[Uncert_Units]]</f>
        <v>0.42 Ω</v>
      </c>
      <c r="U1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Ω</v>
      </c>
      <c r="V1408" t="b">
        <f ca="1">Validation[[#This Row],[Desired Result]]=Validation[[#This Row],[Result]]</f>
        <v>1</v>
      </c>
      <c r="W1408" t="b">
        <v>1</v>
      </c>
      <c r="X1408" t="b">
        <f>Validation[[#This Row],[Range1_Low]]&gt;=Validation[[#This Row],[Range1_High]]</f>
        <v>0</v>
      </c>
      <c r="Y1408" s="111" t="s">
        <v>2843</v>
      </c>
    </row>
    <row r="1409" spans="1:25" ht="15.75" thickTop="1" x14ac:dyDescent="0.25">
      <c r="A1409" t="s">
        <v>55</v>
      </c>
      <c r="B1409" t="s">
        <v>7</v>
      </c>
      <c r="C1409">
        <v>10000</v>
      </c>
      <c r="D1409">
        <v>100000</v>
      </c>
      <c r="E1409">
        <v>100</v>
      </c>
      <c r="F1409" t="s">
        <v>102</v>
      </c>
      <c r="G1409" t="s">
        <v>48</v>
      </c>
      <c r="H1409">
        <v>0</v>
      </c>
      <c r="I1409">
        <v>0</v>
      </c>
      <c r="J1409" t="s">
        <v>2833</v>
      </c>
      <c r="K1409">
        <v>57734</v>
      </c>
      <c r="L1409">
        <v>1.4965000000000001E-4</v>
      </c>
      <c r="M1409">
        <v>57734</v>
      </c>
      <c r="N1409">
        <v>1.4899999999999999E-4</v>
      </c>
      <c r="O1409" t="s">
        <v>2833</v>
      </c>
      <c r="P1409" t="s">
        <v>2833</v>
      </c>
      <c r="Q1409" t="s">
        <v>2833</v>
      </c>
      <c r="R1409">
        <f ca="1">RAND()*(Validation[[#This Row],[Range1_High]]-Validation[[#This Row],[Range1_Low]])+Validation[[#This Row],[Range1_Low]]</f>
        <v>10385.537912371909</v>
      </c>
      <c r="S1409">
        <f>Validation[[#This Row],[Range2_High]]</f>
        <v>0</v>
      </c>
      <c r="T1409" t="str" cm="1">
        <f t="array" aca="1" ref="T1409" ca="1">RoundToTwoSigFigs(Validation[[#This Row],[Test Reading]]*Validation[[#This Row],[Mult]]+Validation[[#This Row],[Base]]) &amp;" "&amp;Validation[[#This Row],[Uncert_Units]]</f>
        <v>58000 mΩ</v>
      </c>
      <c r="U1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V1409" t="b">
        <f ca="1">Validation[[#This Row],[Desired Result]]=Validation[[#This Row],[Result]]</f>
        <v>1</v>
      </c>
      <c r="W1409" t="b">
        <v>0</v>
      </c>
      <c r="X1409" t="b">
        <f>Validation[[#This Row],[Range1_Low]]&gt;=Validation[[#This Row],[Range1_High]]</f>
        <v>0</v>
      </c>
      <c r="Y1409" s="111" t="s">
        <v>2845</v>
      </c>
    </row>
    <row r="1410" spans="1:25" ht="15.75" thickBot="1" x14ac:dyDescent="0.3">
      <c r="A1410" t="s">
        <v>54</v>
      </c>
      <c r="B1410" t="s">
        <v>7</v>
      </c>
      <c r="C1410">
        <v>0</v>
      </c>
      <c r="D1410">
        <v>11.000999999999999</v>
      </c>
      <c r="E1410">
        <v>100000</v>
      </c>
      <c r="F1410" t="s">
        <v>102</v>
      </c>
      <c r="G1410" t="s">
        <v>48</v>
      </c>
      <c r="H1410">
        <v>0</v>
      </c>
      <c r="I1410">
        <v>0</v>
      </c>
      <c r="J1410" t="s">
        <v>2833</v>
      </c>
      <c r="K1410">
        <v>58000000</v>
      </c>
      <c r="L1410">
        <v>2.4177000000000002E-6</v>
      </c>
      <c r="M1410">
        <v>58000000</v>
      </c>
      <c r="N1410">
        <v>2.9391999999999999E-8</v>
      </c>
      <c r="O1410" t="s">
        <v>2833</v>
      </c>
      <c r="P1410" t="s">
        <v>2833</v>
      </c>
      <c r="Q1410" t="s">
        <v>2833</v>
      </c>
      <c r="R1410">
        <f ca="1">RAND()*(Validation[[#This Row],[Range1_High]]-Validation[[#This Row],[Range1_Low]])+Validation[[#This Row],[Range1_Low]]</f>
        <v>7.0843876459983921</v>
      </c>
      <c r="S1410">
        <f>Validation[[#This Row],[Range2_High]]</f>
        <v>0</v>
      </c>
      <c r="T1410" t="str" cm="1">
        <f t="array" aca="1" ref="T1410" ca="1">RoundToTwoSigFigs(Validation[[#This Row],[Test Reading]]*Validation[[#This Row],[Mult]]+Validation[[#This Row],[Base]]) &amp;" "&amp;Validation[[#This Row],[Uncert_Units]]</f>
        <v>58000000 mΩ</v>
      </c>
      <c r="U1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V1410" t="b">
        <f ca="1">Validation[[#This Row],[Desired Result]]=Validation[[#This Row],[Result]]</f>
        <v>1</v>
      </c>
      <c r="W1410" t="b">
        <v>0</v>
      </c>
      <c r="X1410" t="b">
        <f>Validation[[#This Row],[Range1_Low]]&gt;=Validation[[#This Row],[Range1_High]]</f>
        <v>0</v>
      </c>
      <c r="Y1410" s="111" t="s">
        <v>2845</v>
      </c>
    </row>
    <row r="1411" spans="1:25" ht="16.5" thickTop="1" thickBot="1" x14ac:dyDescent="0.3">
      <c r="A1411" t="s">
        <v>56</v>
      </c>
      <c r="B1411" t="s">
        <v>7</v>
      </c>
      <c r="C1411" s="115">
        <v>100000</v>
      </c>
      <c r="D1411" s="115">
        <v>1000</v>
      </c>
      <c r="E1411">
        <v>1000</v>
      </c>
      <c r="F1411" t="s">
        <v>102</v>
      </c>
      <c r="G1411" t="s">
        <v>48</v>
      </c>
      <c r="H1411">
        <v>0</v>
      </c>
      <c r="I1411">
        <v>0</v>
      </c>
      <c r="J1411" t="s">
        <v>2833</v>
      </c>
      <c r="K1411">
        <v>600.44399999999996</v>
      </c>
      <c r="L1411">
        <v>9.5075999999999996E-5</v>
      </c>
      <c r="M1411">
        <v>579.59270000000004</v>
      </c>
      <c r="N1411">
        <v>4.809E-6</v>
      </c>
      <c r="O1411" t="s">
        <v>2833</v>
      </c>
      <c r="P1411" t="s">
        <v>2833</v>
      </c>
      <c r="Q1411" t="s">
        <v>2833</v>
      </c>
      <c r="R1411" s="100">
        <f ca="1">RAND()*(Validation[[#This Row],[Range1_High]]-Validation[[#This Row],[Range1_Low]])+Validation[[#This Row],[Range1_Low]]</f>
        <v>53321.29634286018</v>
      </c>
      <c r="S1411">
        <f>Validation[[#This Row],[Range2_High]]</f>
        <v>0</v>
      </c>
      <c r="T1411" t="str" cm="1">
        <f t="array" aca="1" ref="T1411" ca="1">RoundToTwoSigFigs(Validation[[#This Row],[Test Reading]]*Validation[[#This Row],[Mult]]+Validation[[#This Row],[Base]]) &amp;" "&amp;Validation[[#This Row],[Uncert_Units]]</f>
        <v>610 mΩ</v>
      </c>
      <c r="U1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V1411" t="b">
        <f ca="1">Validation[[#This Row],[Desired Result]]=Validation[[#This Row],[Result]]</f>
        <v>0</v>
      </c>
      <c r="W1411" t="b">
        <v>1</v>
      </c>
      <c r="X1411" t="b">
        <f>Validation[[#This Row],[Range1_Low]]&gt;=Validation[[#This Row],[Range1_High]]</f>
        <v>1</v>
      </c>
      <c r="Y1411" s="111" t="s">
        <v>2842</v>
      </c>
    </row>
    <row r="1412" spans="1:25" ht="15.75" thickTop="1" x14ac:dyDescent="0.25">
      <c r="A1412" t="s">
        <v>55</v>
      </c>
      <c r="B1412" t="s">
        <v>7</v>
      </c>
      <c r="C1412">
        <v>100</v>
      </c>
      <c r="D1412">
        <v>1000</v>
      </c>
      <c r="E1412">
        <v>0.1</v>
      </c>
      <c r="F1412" t="s">
        <v>102</v>
      </c>
      <c r="G1412" t="s">
        <v>22</v>
      </c>
      <c r="H1412">
        <v>0</v>
      </c>
      <c r="I1412">
        <v>0</v>
      </c>
      <c r="J1412" t="s">
        <v>2833</v>
      </c>
      <c r="K1412">
        <v>57619</v>
      </c>
      <c r="L1412">
        <v>1.4298999999999999</v>
      </c>
      <c r="M1412">
        <v>57619</v>
      </c>
      <c r="N1412">
        <v>1.4287000000000001</v>
      </c>
      <c r="O1412" t="s">
        <v>2833</v>
      </c>
      <c r="P1412" t="s">
        <v>2833</v>
      </c>
      <c r="Q1412" t="s">
        <v>2833</v>
      </c>
      <c r="R1412">
        <f ca="1">RAND()*(Validation[[#This Row],[Range1_High]]-Validation[[#This Row],[Range1_Low]])+Validation[[#This Row],[Range1_Low]]</f>
        <v>239.12916563833525</v>
      </c>
      <c r="S1412">
        <f>Validation[[#This Row],[Range2_High]]</f>
        <v>0</v>
      </c>
      <c r="T1412" t="str" cm="1">
        <f t="array" aca="1" ref="T1412" ca="1">RoundToTwoSigFigs(Validation[[#This Row],[Test Reading]]*Validation[[#This Row],[Mult]]+Validation[[#This Row],[Base]]) &amp;" "&amp;Validation[[#This Row],[Uncert_Units]]</f>
        <v>58000 µΩ</v>
      </c>
      <c r="U1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V1412" t="b">
        <f ca="1">Validation[[#This Row],[Desired Result]]=Validation[[#This Row],[Result]]</f>
        <v>1</v>
      </c>
      <c r="W1412" t="b">
        <v>0</v>
      </c>
      <c r="X1412" t="b">
        <f>Validation[[#This Row],[Range1_Low]]&gt;=Validation[[#This Row],[Range1_High]]</f>
        <v>0</v>
      </c>
      <c r="Y1412" s="111" t="s">
        <v>2845</v>
      </c>
    </row>
    <row r="1413" spans="1:25" x14ac:dyDescent="0.25">
      <c r="A1413" t="s">
        <v>56</v>
      </c>
      <c r="B1413" t="s">
        <v>7</v>
      </c>
      <c r="C1413">
        <v>1000</v>
      </c>
      <c r="D1413">
        <v>10000</v>
      </c>
      <c r="E1413">
        <v>10000</v>
      </c>
      <c r="F1413" t="s">
        <v>102</v>
      </c>
      <c r="G1413" t="s">
        <v>49</v>
      </c>
      <c r="H1413">
        <v>0</v>
      </c>
      <c r="I1413">
        <v>0</v>
      </c>
      <c r="J1413" t="s">
        <v>2833</v>
      </c>
      <c r="K1413">
        <v>6.0044399999999998</v>
      </c>
      <c r="L1413">
        <v>9.5075999999999997E-8</v>
      </c>
      <c r="M1413">
        <v>5.7959269999999998</v>
      </c>
      <c r="N1413">
        <v>4.8090000000000002E-9</v>
      </c>
      <c r="O1413" t="s">
        <v>2833</v>
      </c>
      <c r="P1413" t="s">
        <v>2833</v>
      </c>
      <c r="Q1413" t="s">
        <v>2833</v>
      </c>
      <c r="R1413">
        <f ca="1">RAND()*(Validation[[#This Row],[Range1_High]]-Validation[[#This Row],[Range1_Low]])+Validation[[#This Row],[Range1_Low]]</f>
        <v>3022.9395446799567</v>
      </c>
      <c r="S1413">
        <f>Validation[[#This Row],[Range2_High]]</f>
        <v>0</v>
      </c>
      <c r="T1413" t="str" cm="1">
        <f t="array" aca="1" ref="T1413" ca="1">RoundToTwoSigFigs(Validation[[#This Row],[Test Reading]]*Validation[[#This Row],[Mult]]+Validation[[#This Row],[Base]]) &amp;" "&amp;Validation[[#This Row],[Uncert_Units]]</f>
        <v>6 Ω</v>
      </c>
      <c r="U1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V1413" t="b">
        <f ca="1">Validation[[#This Row],[Desired Result]]=Validation[[#This Row],[Result]]</f>
        <v>1</v>
      </c>
      <c r="W1413" t="b">
        <v>0</v>
      </c>
      <c r="X1413" t="b">
        <f>Validation[[#This Row],[Range1_Low]]&gt;=Validation[[#This Row],[Range1_High]]</f>
        <v>0</v>
      </c>
      <c r="Y1413" s="111" t="s">
        <v>2845</v>
      </c>
    </row>
    <row r="1414" spans="1:25" ht="15.75" thickBot="1" x14ac:dyDescent="0.3">
      <c r="A1414" t="s">
        <v>56</v>
      </c>
      <c r="B1414" t="s">
        <v>7</v>
      </c>
      <c r="C1414">
        <v>1000</v>
      </c>
      <c r="D1414">
        <v>10000</v>
      </c>
      <c r="E1414">
        <v>100000</v>
      </c>
      <c r="F1414" t="s">
        <v>102</v>
      </c>
      <c r="G1414" t="s">
        <v>49</v>
      </c>
      <c r="H1414">
        <v>0</v>
      </c>
      <c r="I1414">
        <v>0</v>
      </c>
      <c r="J1414" t="s">
        <v>2833</v>
      </c>
      <c r="K1414">
        <v>58.513469999999998</v>
      </c>
      <c r="L1414">
        <v>2.47889E-7</v>
      </c>
      <c r="M1414">
        <v>57.999589999999998</v>
      </c>
      <c r="N1414">
        <v>4.8299999999999999E-10</v>
      </c>
      <c r="O1414" t="s">
        <v>2833</v>
      </c>
      <c r="P1414" t="s">
        <v>2833</v>
      </c>
      <c r="Q1414" t="s">
        <v>2833</v>
      </c>
      <c r="R1414">
        <f ca="1">RAND()*(Validation[[#This Row],[Range1_High]]-Validation[[#This Row],[Range1_Low]])+Validation[[#This Row],[Range1_Low]]</f>
        <v>8600.1585148335398</v>
      </c>
      <c r="S1414">
        <f>Validation[[#This Row],[Range2_High]]</f>
        <v>0</v>
      </c>
      <c r="T1414" t="str" cm="1">
        <f t="array" aca="1" ref="T1414" ca="1">RoundToTwoSigFigs(Validation[[#This Row],[Test Reading]]*Validation[[#This Row],[Mult]]+Validation[[#This Row],[Base]]) &amp;" "&amp;Validation[[#This Row],[Uncert_Units]]</f>
        <v>59 Ω</v>
      </c>
      <c r="U1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V1414" t="b">
        <f ca="1">Validation[[#This Row],[Desired Result]]=Validation[[#This Row],[Result]]</f>
        <v>1</v>
      </c>
      <c r="W1414" t="b">
        <v>0</v>
      </c>
      <c r="X1414" t="b">
        <f>Validation[[#This Row],[Range1_Low]]&gt;=Validation[[#This Row],[Range1_High]]</f>
        <v>0</v>
      </c>
      <c r="Y1414" s="111" t="s">
        <v>2845</v>
      </c>
    </row>
    <row r="1415" spans="1:25" ht="16.5" thickTop="1" thickBot="1" x14ac:dyDescent="0.3">
      <c r="A1415" t="s">
        <v>54</v>
      </c>
      <c r="B1415" t="s">
        <v>7</v>
      </c>
      <c r="C1415" s="113">
        <v>11000000</v>
      </c>
      <c r="D1415" s="113">
        <v>33001000</v>
      </c>
      <c r="E1415">
        <v>10000</v>
      </c>
      <c r="F1415" t="s">
        <v>102</v>
      </c>
      <c r="G1415" t="s">
        <v>50</v>
      </c>
      <c r="H1415">
        <v>0</v>
      </c>
      <c r="I1415">
        <v>0</v>
      </c>
      <c r="J1415" t="s">
        <v>2833</v>
      </c>
      <c r="K1415">
        <v>4.2484000000000002</v>
      </c>
      <c r="L1415">
        <v>1.1259000000000001E-6</v>
      </c>
      <c r="M1415">
        <v>4.2477999999999998</v>
      </c>
      <c r="N1415">
        <v>1.1259000000000001E-6</v>
      </c>
      <c r="O1415" t="s">
        <v>2833</v>
      </c>
      <c r="P1415" t="s">
        <v>2833</v>
      </c>
      <c r="Q1415" t="s">
        <v>2833</v>
      </c>
      <c r="R1415">
        <f ca="1">RAND()*(Validation[[#This Row],[Range1_High]]-Validation[[#This Row],[Range1_Low]])+Validation[[#This Row],[Range1_Low]]</f>
        <v>18801879.588116195</v>
      </c>
      <c r="S1415">
        <f>Validation[[#This Row],[Range2_High]]</f>
        <v>0</v>
      </c>
      <c r="T1415" t="str" cm="1">
        <f t="array" aca="1" ref="T1415" ca="1">RoundToTwoSigFigs(Validation[[#This Row],[Test Reading]]*Validation[[#This Row],[Mult]]+Validation[[#This Row],[Base]]) &amp;" "&amp;Validation[[#This Row],[Uncert_Units]]</f>
        <v>25 kΩ</v>
      </c>
      <c r="U1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kΩ</v>
      </c>
      <c r="V1415" t="b">
        <f ca="1">Validation[[#This Row],[Desired Result]]=Validation[[#This Row],[Result]]</f>
        <v>1</v>
      </c>
      <c r="W1415" t="b">
        <v>1</v>
      </c>
      <c r="X1415" t="b">
        <f>Validation[[#This Row],[Range1_Low]]&gt;=Validation[[#This Row],[Range1_High]]</f>
        <v>0</v>
      </c>
      <c r="Y1415" s="111" t="s">
        <v>2843</v>
      </c>
    </row>
    <row r="1416" spans="1:25" ht="16.5" thickTop="1" thickBot="1" x14ac:dyDescent="0.3">
      <c r="A1416" t="s">
        <v>54</v>
      </c>
      <c r="B1416" t="s">
        <v>7</v>
      </c>
      <c r="C1416">
        <v>0</v>
      </c>
      <c r="D1416">
        <v>11.000999999999999</v>
      </c>
      <c r="E1416">
        <v>100</v>
      </c>
      <c r="F1416" t="s">
        <v>102</v>
      </c>
      <c r="G1416" t="s">
        <v>48</v>
      </c>
      <c r="H1416">
        <v>0</v>
      </c>
      <c r="I1416">
        <v>0</v>
      </c>
      <c r="J1416" t="s">
        <v>2833</v>
      </c>
      <c r="K1416">
        <v>58000</v>
      </c>
      <c r="L1416">
        <v>6.6765000000000002E-5</v>
      </c>
      <c r="M1416">
        <v>58000</v>
      </c>
      <c r="N1416">
        <v>2.9434E-5</v>
      </c>
      <c r="O1416" t="s">
        <v>2833</v>
      </c>
      <c r="P1416" t="s">
        <v>2833</v>
      </c>
      <c r="Q1416" t="s">
        <v>2833</v>
      </c>
      <c r="R1416">
        <f ca="1">RAND()*(Validation[[#This Row],[Range1_High]]-Validation[[#This Row],[Range1_Low]])+Validation[[#This Row],[Range1_Low]]</f>
        <v>8.4622505632844014</v>
      </c>
      <c r="S1416">
        <f>Validation[[#This Row],[Range2_High]]</f>
        <v>0</v>
      </c>
      <c r="T1416" t="str" cm="1">
        <f t="array" aca="1" ref="T1416" ca="1">RoundToTwoSigFigs(Validation[[#This Row],[Test Reading]]*Validation[[#This Row],[Mult]]+Validation[[#This Row],[Base]]) &amp;" "&amp;Validation[[#This Row],[Uncert_Units]]</f>
        <v>58000 mΩ</v>
      </c>
      <c r="U1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V1416" t="b">
        <f ca="1">Validation[[#This Row],[Desired Result]]=Validation[[#This Row],[Result]]</f>
        <v>1</v>
      </c>
      <c r="W1416" t="b">
        <v>0</v>
      </c>
      <c r="X1416" t="b">
        <f>Validation[[#This Row],[Range1_Low]]&gt;=Validation[[#This Row],[Range1_High]]</f>
        <v>0</v>
      </c>
      <c r="Y1416" s="111" t="s">
        <v>2845</v>
      </c>
    </row>
    <row r="1417" spans="1:25" ht="16.5" thickTop="1" thickBot="1" x14ac:dyDescent="0.3">
      <c r="A1417" t="s">
        <v>56</v>
      </c>
      <c r="B1417" t="s">
        <v>7</v>
      </c>
      <c r="C1417" s="113">
        <v>10000</v>
      </c>
      <c r="D1417" s="113">
        <v>100000</v>
      </c>
      <c r="E1417">
        <v>10000</v>
      </c>
      <c r="F1417" t="s">
        <v>102</v>
      </c>
      <c r="G1417" t="s">
        <v>49</v>
      </c>
      <c r="H1417">
        <v>0</v>
      </c>
      <c r="I1417">
        <v>0</v>
      </c>
      <c r="J1417" t="s">
        <v>2833</v>
      </c>
      <c r="K1417">
        <v>6.4546739999999998</v>
      </c>
      <c r="L1417">
        <v>5.5899999999999998E-8</v>
      </c>
      <c r="M1417">
        <v>5.527107</v>
      </c>
      <c r="N1417">
        <v>3.8700000000000002E-8</v>
      </c>
      <c r="O1417" t="s">
        <v>2833</v>
      </c>
      <c r="P1417" t="s">
        <v>2833</v>
      </c>
      <c r="Q1417" t="s">
        <v>2833</v>
      </c>
      <c r="R1417">
        <f ca="1">RAND()*(Validation[[#This Row],[Range1_High]]-Validation[[#This Row],[Range1_Low]])+Validation[[#This Row],[Range1_Low]]</f>
        <v>67493.745353771592</v>
      </c>
      <c r="S1417">
        <f>Validation[[#This Row],[Range2_High]]</f>
        <v>0</v>
      </c>
      <c r="T1417" t="str" cm="1">
        <f t="array" aca="1" ref="T1417" ca="1">RoundToTwoSigFigs(Validation[[#This Row],[Test Reading]]*Validation[[#This Row],[Mult]]+Validation[[#This Row],[Base]]) &amp;" "&amp;Validation[[#This Row],[Uncert_Units]]</f>
        <v>6.5 Ω</v>
      </c>
      <c r="U1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V1417" t="b">
        <f ca="1">Validation[[#This Row],[Desired Result]]=Validation[[#This Row],[Result]]</f>
        <v>1</v>
      </c>
      <c r="W1417" t="b">
        <v>1</v>
      </c>
      <c r="X1417" t="b">
        <f>Validation[[#This Row],[Range1_Low]]&gt;=Validation[[#This Row],[Range1_High]]</f>
        <v>0</v>
      </c>
      <c r="Y1417" s="111" t="s">
        <v>2843</v>
      </c>
    </row>
    <row r="1418" spans="1:25" ht="16.5" thickTop="1" thickBot="1" x14ac:dyDescent="0.3">
      <c r="A1418" t="s">
        <v>56</v>
      </c>
      <c r="B1418" t="s">
        <v>7</v>
      </c>
      <c r="C1418" s="115">
        <v>100000</v>
      </c>
      <c r="D1418" s="115">
        <v>1000</v>
      </c>
      <c r="E1418">
        <v>10000000000</v>
      </c>
      <c r="F1418" t="s">
        <v>102</v>
      </c>
      <c r="G1418" t="s">
        <v>50</v>
      </c>
      <c r="H1418">
        <v>0</v>
      </c>
      <c r="I1418">
        <v>0</v>
      </c>
      <c r="J1418" t="s">
        <v>2833</v>
      </c>
      <c r="K1418">
        <v>5.8513339999999996</v>
      </c>
      <c r="L1418">
        <v>2.4800000000000002E-10</v>
      </c>
      <c r="M1418">
        <v>5.7999460000000003</v>
      </c>
      <c r="N1418">
        <v>9.9999999999999998E-13</v>
      </c>
      <c r="O1418" t="s">
        <v>2833</v>
      </c>
      <c r="P1418" t="s">
        <v>2833</v>
      </c>
      <c r="Q1418" t="s">
        <v>2833</v>
      </c>
      <c r="R1418" s="100">
        <f ca="1">RAND()*(Validation[[#This Row],[Range1_High]]-Validation[[#This Row],[Range1_Low]])+Validation[[#This Row],[Range1_Low]]</f>
        <v>60529.142017403428</v>
      </c>
      <c r="S1418">
        <f>Validation[[#This Row],[Range2_High]]</f>
        <v>0</v>
      </c>
      <c r="T1418" t="str" cm="1">
        <f t="array" aca="1" ref="T1418" ca="1">RoundToTwoSigFigs(Validation[[#This Row],[Test Reading]]*Validation[[#This Row],[Mult]]+Validation[[#This Row],[Base]]) &amp;" "&amp;Validation[[#This Row],[Uncert_Units]]</f>
        <v>5.9 kΩ</v>
      </c>
      <c r="U1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1418" t="b">
        <f ca="1">Validation[[#This Row],[Desired Result]]=Validation[[#This Row],[Result]]</f>
        <v>0</v>
      </c>
      <c r="W1418" t="b">
        <v>1</v>
      </c>
      <c r="X1418" t="b">
        <f>Validation[[#This Row],[Range1_Low]]&gt;=Validation[[#This Row],[Range1_High]]</f>
        <v>1</v>
      </c>
      <c r="Y1418" s="111" t="s">
        <v>2842</v>
      </c>
    </row>
    <row r="1419" spans="1:25" ht="16.5" thickTop="1" thickBot="1" x14ac:dyDescent="0.3">
      <c r="A1419" t="s">
        <v>55</v>
      </c>
      <c r="B1419" t="s">
        <v>7</v>
      </c>
      <c r="C1419" s="113">
        <v>1000</v>
      </c>
      <c r="D1419" s="113">
        <v>10000</v>
      </c>
      <c r="E1419">
        <v>1</v>
      </c>
      <c r="F1419" t="s">
        <v>102</v>
      </c>
      <c r="G1419" t="s">
        <v>48</v>
      </c>
      <c r="H1419">
        <v>0</v>
      </c>
      <c r="I1419">
        <v>0</v>
      </c>
      <c r="J1419" t="s">
        <v>2833</v>
      </c>
      <c r="K1419">
        <v>576.23</v>
      </c>
      <c r="L1419">
        <v>1.3955E-3</v>
      </c>
      <c r="M1419">
        <v>576.23</v>
      </c>
      <c r="N1419">
        <v>1.3939E-3</v>
      </c>
      <c r="O1419" t="s">
        <v>2833</v>
      </c>
      <c r="P1419" t="s">
        <v>2833</v>
      </c>
      <c r="Q1419" t="s">
        <v>2833</v>
      </c>
      <c r="R1419">
        <f ca="1">RAND()*(Validation[[#This Row],[Range1_High]]-Validation[[#This Row],[Range1_Low]])+Validation[[#This Row],[Range1_Low]]</f>
        <v>5624.171330253349</v>
      </c>
      <c r="S1419">
        <f>Validation[[#This Row],[Range2_High]]</f>
        <v>0</v>
      </c>
      <c r="T1419" t="str" cm="1">
        <f t="array" aca="1" ref="T1419" ca="1">RoundToTwoSigFigs(Validation[[#This Row],[Test Reading]]*Validation[[#This Row],[Mult]]+Validation[[#This Row],[Base]]) &amp;" "&amp;Validation[[#This Row],[Uncert_Units]]</f>
        <v>580 mΩ</v>
      </c>
      <c r="U1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V1419" t="b">
        <f ca="1">Validation[[#This Row],[Desired Result]]=Validation[[#This Row],[Result]]</f>
        <v>1</v>
      </c>
      <c r="W1419" t="b">
        <v>1</v>
      </c>
      <c r="X1419" t="b">
        <f>Validation[[#This Row],[Range1_Low]]&gt;=Validation[[#This Row],[Range1_High]]</f>
        <v>0</v>
      </c>
      <c r="Y1419" s="111" t="s">
        <v>2843</v>
      </c>
    </row>
    <row r="1420" spans="1:25" ht="15.75" thickTop="1" x14ac:dyDescent="0.25">
      <c r="A1420" t="s">
        <v>54</v>
      </c>
      <c r="B1420" t="s">
        <v>7</v>
      </c>
      <c r="C1420">
        <v>0</v>
      </c>
      <c r="D1420">
        <v>11.000999999999999</v>
      </c>
      <c r="E1420">
        <v>1E-3</v>
      </c>
      <c r="F1420" t="s">
        <v>102</v>
      </c>
      <c r="G1420" t="s">
        <v>48</v>
      </c>
      <c r="H1420">
        <v>0</v>
      </c>
      <c r="I1420">
        <v>0</v>
      </c>
      <c r="J1420" t="s">
        <v>2833</v>
      </c>
      <c r="K1420">
        <v>12</v>
      </c>
      <c r="L1420">
        <v>0.14000000000000001</v>
      </c>
      <c r="M1420">
        <v>11.576000000000001</v>
      </c>
      <c r="N1420">
        <v>0.13830000000000001</v>
      </c>
      <c r="O1420" t="s">
        <v>2833</v>
      </c>
      <c r="P1420" t="s">
        <v>2833</v>
      </c>
      <c r="Q1420" t="s">
        <v>2833</v>
      </c>
      <c r="R1420">
        <f ca="1">RAND()*(Validation[[#This Row],[Range1_High]]-Validation[[#This Row],[Range1_Low]])+Validation[[#This Row],[Range1_Low]]</f>
        <v>8.5853447888223453</v>
      </c>
      <c r="S1420">
        <f>Validation[[#This Row],[Range2_High]]</f>
        <v>0</v>
      </c>
      <c r="T1420" t="str" cm="1">
        <f t="array" aca="1" ref="T1420" ca="1">RoundToTwoSigFigs(Validation[[#This Row],[Test Reading]]*Validation[[#This Row],[Mult]]+Validation[[#This Row],[Base]]) &amp;" "&amp;Validation[[#This Row],[Uncert_Units]]</f>
        <v>13 mΩ</v>
      </c>
      <c r="U1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V1420" t="b">
        <f ca="1">Validation[[#This Row],[Desired Result]]=Validation[[#This Row],[Result]]</f>
        <v>1</v>
      </c>
      <c r="W1420" t="b">
        <v>0</v>
      </c>
      <c r="X1420" t="b">
        <f>Validation[[#This Row],[Range1_Low]]&gt;=Validation[[#This Row],[Range1_High]]</f>
        <v>0</v>
      </c>
      <c r="Y1420" s="111" t="s">
        <v>2845</v>
      </c>
    </row>
    <row r="1421" spans="1:25" x14ac:dyDescent="0.25">
      <c r="A1421" t="s">
        <v>54</v>
      </c>
      <c r="B1421" t="s">
        <v>7</v>
      </c>
      <c r="C1421">
        <v>11</v>
      </c>
      <c r="D1421">
        <v>33.000999999999998</v>
      </c>
      <c r="E1421">
        <v>1</v>
      </c>
      <c r="F1421" t="s">
        <v>102</v>
      </c>
      <c r="G1421" t="s">
        <v>48</v>
      </c>
      <c r="H1421">
        <v>0</v>
      </c>
      <c r="I1421">
        <v>0</v>
      </c>
      <c r="J1421" t="s">
        <v>2833</v>
      </c>
      <c r="K1421">
        <v>580.26</v>
      </c>
      <c r="L1421">
        <v>4.9937999999999996E-3</v>
      </c>
      <c r="M1421">
        <v>580.25</v>
      </c>
      <c r="N1421">
        <v>4.8783000000000003E-3</v>
      </c>
      <c r="O1421" t="s">
        <v>2833</v>
      </c>
      <c r="P1421" t="s">
        <v>2833</v>
      </c>
      <c r="Q1421" t="s">
        <v>2833</v>
      </c>
      <c r="R1421">
        <f ca="1">RAND()*(Validation[[#This Row],[Range1_High]]-Validation[[#This Row],[Range1_Low]])+Validation[[#This Row],[Range1_Low]]</f>
        <v>13.120776393906075</v>
      </c>
      <c r="S1421">
        <f>Validation[[#This Row],[Range2_High]]</f>
        <v>0</v>
      </c>
      <c r="T1421" t="str" cm="1">
        <f t="array" aca="1" ref="T1421" ca="1">RoundToTwoSigFigs(Validation[[#This Row],[Test Reading]]*Validation[[#This Row],[Mult]]+Validation[[#This Row],[Base]]) &amp;" "&amp;Validation[[#This Row],[Uncert_Units]]</f>
        <v>580 mΩ</v>
      </c>
      <c r="U1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V1421" t="b">
        <f ca="1">Validation[[#This Row],[Desired Result]]=Validation[[#This Row],[Result]]</f>
        <v>1</v>
      </c>
      <c r="W1421" t="b">
        <v>0</v>
      </c>
      <c r="X1421" t="b">
        <f>Validation[[#This Row],[Range1_Low]]&gt;=Validation[[#This Row],[Range1_High]]</f>
        <v>0</v>
      </c>
      <c r="Y1421" s="111" t="s">
        <v>2845</v>
      </c>
    </row>
    <row r="1422" spans="1:25" ht="15.75" thickBot="1" x14ac:dyDescent="0.3">
      <c r="A1422" t="s">
        <v>54</v>
      </c>
      <c r="B1422" t="s">
        <v>7</v>
      </c>
      <c r="C1422">
        <v>0</v>
      </c>
      <c r="D1422">
        <v>11.000999999999999</v>
      </c>
      <c r="E1422">
        <v>1000</v>
      </c>
      <c r="F1422" t="s">
        <v>102</v>
      </c>
      <c r="G1422" t="s">
        <v>48</v>
      </c>
      <c r="H1422">
        <v>0</v>
      </c>
      <c r="I1422">
        <v>0</v>
      </c>
      <c r="J1422" t="s">
        <v>2833</v>
      </c>
      <c r="K1422">
        <v>580000</v>
      </c>
      <c r="L1422">
        <v>1.7876E-5</v>
      </c>
      <c r="M1422">
        <v>580000</v>
      </c>
      <c r="N1422">
        <v>2.9434000000000001E-6</v>
      </c>
      <c r="O1422" t="s">
        <v>2833</v>
      </c>
      <c r="P1422" t="s">
        <v>2833</v>
      </c>
      <c r="Q1422" t="s">
        <v>2833</v>
      </c>
      <c r="R1422">
        <f ca="1">RAND()*(Validation[[#This Row],[Range1_High]]-Validation[[#This Row],[Range1_Low]])+Validation[[#This Row],[Range1_Low]]</f>
        <v>4.9606319662295917</v>
      </c>
      <c r="S1422">
        <f>Validation[[#This Row],[Range2_High]]</f>
        <v>0</v>
      </c>
      <c r="T1422" t="str" cm="1">
        <f t="array" aca="1" ref="T1422" ca="1">RoundToTwoSigFigs(Validation[[#This Row],[Test Reading]]*Validation[[#This Row],[Mult]]+Validation[[#This Row],[Base]]) &amp;" "&amp;Validation[[#This Row],[Uncert_Units]]</f>
        <v>580000 mΩ</v>
      </c>
      <c r="U1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V1422" t="b">
        <f ca="1">Validation[[#This Row],[Desired Result]]=Validation[[#This Row],[Result]]</f>
        <v>1</v>
      </c>
      <c r="W1422" t="b">
        <v>0</v>
      </c>
      <c r="X1422" t="b">
        <f>Validation[[#This Row],[Range1_Low]]&gt;=Validation[[#This Row],[Range1_High]]</f>
        <v>0</v>
      </c>
      <c r="Y1422" s="111" t="s">
        <v>2845</v>
      </c>
    </row>
    <row r="1423" spans="1:25" ht="16.5" thickTop="1" thickBot="1" x14ac:dyDescent="0.3">
      <c r="A1423" t="s">
        <v>55</v>
      </c>
      <c r="B1423" t="s">
        <v>7</v>
      </c>
      <c r="C1423" s="113">
        <v>1000</v>
      </c>
      <c r="D1423" s="113">
        <v>10000</v>
      </c>
      <c r="E1423">
        <v>0.1</v>
      </c>
      <c r="F1423" t="s">
        <v>102</v>
      </c>
      <c r="G1423" t="s">
        <v>48</v>
      </c>
      <c r="H1423">
        <v>0</v>
      </c>
      <c r="I1423">
        <v>0</v>
      </c>
      <c r="J1423" t="s">
        <v>2833</v>
      </c>
      <c r="K1423">
        <v>52.024000000000001</v>
      </c>
      <c r="L1423">
        <v>8.3239000000000004E-3</v>
      </c>
      <c r="M1423">
        <v>52.009</v>
      </c>
      <c r="N1423">
        <v>8.3230999999999999E-3</v>
      </c>
      <c r="O1423" t="s">
        <v>2833</v>
      </c>
      <c r="P1423" t="s">
        <v>2833</v>
      </c>
      <c r="Q1423" t="s">
        <v>2833</v>
      </c>
      <c r="R1423">
        <f ca="1">RAND()*(Validation[[#This Row],[Range1_High]]-Validation[[#This Row],[Range1_Low]])+Validation[[#This Row],[Range1_Low]]</f>
        <v>7994.8608769872826</v>
      </c>
      <c r="S1423">
        <f>Validation[[#This Row],[Range2_High]]</f>
        <v>0</v>
      </c>
      <c r="T1423" t="str" cm="1">
        <f t="array" aca="1" ref="T1423" ca="1">RoundToTwoSigFigs(Validation[[#This Row],[Test Reading]]*Validation[[#This Row],[Mult]]+Validation[[#This Row],[Base]]) &amp;" "&amp;Validation[[#This Row],[Uncert_Units]]</f>
        <v>120 mΩ</v>
      </c>
      <c r="U1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mΩ</v>
      </c>
      <c r="V1423" t="b">
        <f ca="1">Validation[[#This Row],[Desired Result]]=Validation[[#This Row],[Result]]</f>
        <v>1</v>
      </c>
      <c r="W1423" t="b">
        <v>1</v>
      </c>
      <c r="X1423" t="b">
        <f>Validation[[#This Row],[Range1_Low]]&gt;=Validation[[#This Row],[Range1_High]]</f>
        <v>0</v>
      </c>
      <c r="Y1423" s="111" t="s">
        <v>2843</v>
      </c>
    </row>
    <row r="1424" spans="1:25" ht="16.5" thickTop="1" thickBot="1" x14ac:dyDescent="0.3">
      <c r="A1424" t="s">
        <v>54</v>
      </c>
      <c r="B1424" t="s">
        <v>7</v>
      </c>
      <c r="C1424" s="113">
        <v>110000</v>
      </c>
      <c r="D1424" s="113">
        <v>330010</v>
      </c>
      <c r="E1424">
        <v>1</v>
      </c>
      <c r="F1424" t="s">
        <v>102</v>
      </c>
      <c r="G1424" t="s">
        <v>49</v>
      </c>
      <c r="H1424">
        <v>0</v>
      </c>
      <c r="I1424">
        <v>0</v>
      </c>
      <c r="J1424" t="s">
        <v>2833</v>
      </c>
      <c r="K1424">
        <v>12</v>
      </c>
      <c r="L1424">
        <v>1.3999999999999999E-4</v>
      </c>
      <c r="M1424">
        <v>11.565</v>
      </c>
      <c r="N1424">
        <v>1.393E-4</v>
      </c>
      <c r="O1424" t="s">
        <v>2833</v>
      </c>
      <c r="P1424" t="s">
        <v>2833</v>
      </c>
      <c r="Q1424" t="s">
        <v>2833</v>
      </c>
      <c r="R1424">
        <f ca="1">RAND()*(Validation[[#This Row],[Range1_High]]-Validation[[#This Row],[Range1_Low]])+Validation[[#This Row],[Range1_Low]]</f>
        <v>144748.06666466911</v>
      </c>
      <c r="S1424">
        <f>Validation[[#This Row],[Range2_High]]</f>
        <v>0</v>
      </c>
      <c r="T1424" t="str" cm="1">
        <f t="array" aca="1" ref="T1424" ca="1">RoundToTwoSigFigs(Validation[[#This Row],[Test Reading]]*Validation[[#This Row],[Mult]]+Validation[[#This Row],[Base]]) &amp;" "&amp;Validation[[#This Row],[Uncert_Units]]</f>
        <v>32 Ω</v>
      </c>
      <c r="U1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Ω</v>
      </c>
      <c r="V1424" t="b">
        <f ca="1">Validation[[#This Row],[Desired Result]]=Validation[[#This Row],[Result]]</f>
        <v>1</v>
      </c>
      <c r="W1424" t="b">
        <v>1</v>
      </c>
      <c r="X1424" t="b">
        <f>Validation[[#This Row],[Range1_Low]]&gt;=Validation[[#This Row],[Range1_High]]</f>
        <v>0</v>
      </c>
      <c r="Y1424" s="111" t="s">
        <v>2843</v>
      </c>
    </row>
    <row r="1425" spans="1:25" ht="16.5" thickTop="1" thickBot="1" x14ac:dyDescent="0.3">
      <c r="A1425" t="s">
        <v>54</v>
      </c>
      <c r="B1425" t="s">
        <v>8</v>
      </c>
      <c r="C1425" s="113">
        <v>330</v>
      </c>
      <c r="D1425" s="113">
        <v>1020.01</v>
      </c>
      <c r="E1425">
        <v>1E-3</v>
      </c>
      <c r="F1425" t="s">
        <v>6</v>
      </c>
      <c r="G1425" t="s">
        <v>4</v>
      </c>
      <c r="H1425">
        <v>5</v>
      </c>
      <c r="I1425">
        <v>10.01</v>
      </c>
      <c r="J1425" t="s">
        <v>10</v>
      </c>
      <c r="K1425">
        <v>64</v>
      </c>
      <c r="L1425">
        <v>1</v>
      </c>
      <c r="M1425">
        <v>23.23</v>
      </c>
      <c r="N1425">
        <v>1.0398000000000001</v>
      </c>
      <c r="O1425" t="s">
        <v>2833</v>
      </c>
      <c r="P1425" t="s">
        <v>2833</v>
      </c>
      <c r="Q1425" t="s">
        <v>2833</v>
      </c>
      <c r="R1425">
        <f ca="1">RAND()*(Validation[[#This Row],[Range1_High]]-Validation[[#This Row],[Range1_Low]])+Validation[[#This Row],[Range1_Low]]</f>
        <v>536.78288690233023</v>
      </c>
      <c r="S1425">
        <f>Validation[[#This Row],[Range2_High]]</f>
        <v>10.01</v>
      </c>
      <c r="T1425" t="str" cm="1">
        <f t="array" aca="1" ref="T1425" ca="1">RoundToTwoSigFigs(Validation[[#This Row],[Test Reading]]*Validation[[#This Row],[Mult]]+Validation[[#This Row],[Base]]) &amp;" "&amp;Validation[[#This Row],[Uncert_Units]]</f>
        <v>600 mV</v>
      </c>
      <c r="U1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V1425" t="b">
        <f ca="1">Validation[[#This Row],[Desired Result]]=Validation[[#This Row],[Result]]</f>
        <v>1</v>
      </c>
      <c r="W1425" t="b">
        <v>1</v>
      </c>
      <c r="X1425" t="b">
        <f>Validation[[#This Row],[Range1_Low]]&gt;=Validation[[#This Row],[Range1_High]]</f>
        <v>0</v>
      </c>
      <c r="Y1425" s="111" t="s">
        <v>2843</v>
      </c>
    </row>
    <row r="1426" spans="1:25" ht="15.75" thickTop="1" x14ac:dyDescent="0.25">
      <c r="A1426" t="s">
        <v>54</v>
      </c>
      <c r="B1426" t="s">
        <v>8</v>
      </c>
      <c r="C1426">
        <v>0</v>
      </c>
      <c r="D1426">
        <v>3.3009999999999998E-2</v>
      </c>
      <c r="E1426">
        <v>1</v>
      </c>
      <c r="F1426" t="s">
        <v>6</v>
      </c>
      <c r="G1426" t="s">
        <v>5</v>
      </c>
      <c r="H1426">
        <v>20</v>
      </c>
      <c r="I1426">
        <v>50.01</v>
      </c>
      <c r="J1426" t="s">
        <v>10</v>
      </c>
      <c r="K1426">
        <v>580000</v>
      </c>
      <c r="L1426">
        <v>0.32665</v>
      </c>
      <c r="M1426">
        <v>580000</v>
      </c>
      <c r="N1426">
        <v>0.24865999999999999</v>
      </c>
      <c r="O1426" t="s">
        <v>2833</v>
      </c>
      <c r="P1426" t="s">
        <v>2833</v>
      </c>
      <c r="Q1426" t="s">
        <v>2833</v>
      </c>
      <c r="R1426">
        <f ca="1">RAND()*(Validation[[#This Row],[Range1_High]]-Validation[[#This Row],[Range1_Low]])+Validation[[#This Row],[Range1_Low]]</f>
        <v>2.3922860360002317E-2</v>
      </c>
      <c r="S1426">
        <f>Validation[[#This Row],[Range2_High]]</f>
        <v>50.01</v>
      </c>
      <c r="T1426" t="str" cm="1">
        <f t="array" aca="1" ref="T1426" ca="1">RoundToTwoSigFigs(Validation[[#This Row],[Test Reading]]*Validation[[#This Row],[Mult]]+Validation[[#This Row],[Base]]) &amp;" "&amp;Validation[[#This Row],[Uncert_Units]]</f>
        <v>580000 µV</v>
      </c>
      <c r="U1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1426" t="b">
        <f ca="1">Validation[[#This Row],[Desired Result]]=Validation[[#This Row],[Result]]</f>
        <v>1</v>
      </c>
      <c r="W1426" t="b">
        <v>0</v>
      </c>
      <c r="X1426" t="b">
        <f>Validation[[#This Row],[Range1_Low]]&gt;=Validation[[#This Row],[Range1_High]]</f>
        <v>0</v>
      </c>
      <c r="Y1426" s="111" t="s">
        <v>2845</v>
      </c>
    </row>
    <row r="1427" spans="1:25" x14ac:dyDescent="0.25">
      <c r="A1427" t="s">
        <v>54</v>
      </c>
      <c r="B1427" t="s">
        <v>8</v>
      </c>
      <c r="C1427">
        <v>3.3</v>
      </c>
      <c r="D1427">
        <v>33.000999999999998</v>
      </c>
      <c r="E1427">
        <v>0.1</v>
      </c>
      <c r="F1427" t="s">
        <v>6</v>
      </c>
      <c r="G1427" t="s">
        <v>4</v>
      </c>
      <c r="H1427">
        <v>0.01</v>
      </c>
      <c r="I1427">
        <v>4.5010000000000001E-2</v>
      </c>
      <c r="J1427" t="s">
        <v>10</v>
      </c>
      <c r="K1427">
        <v>57.704000000000001</v>
      </c>
      <c r="L1427">
        <v>0.11064</v>
      </c>
      <c r="M1427">
        <v>57.704000000000001</v>
      </c>
      <c r="N1427">
        <v>0.11058999999999999</v>
      </c>
      <c r="O1427" t="s">
        <v>2833</v>
      </c>
      <c r="P1427" t="s">
        <v>2833</v>
      </c>
      <c r="Q1427" t="s">
        <v>2833</v>
      </c>
      <c r="R1427">
        <f ca="1">RAND()*(Validation[[#This Row],[Range1_High]]-Validation[[#This Row],[Range1_Low]])+Validation[[#This Row],[Range1_Low]]</f>
        <v>21.034118198464711</v>
      </c>
      <c r="S1427">
        <f>Validation[[#This Row],[Range2_High]]</f>
        <v>4.5010000000000001E-2</v>
      </c>
      <c r="T1427" t="str" cm="1">
        <f t="array" aca="1" ref="T1427" ca="1">RoundToTwoSigFigs(Validation[[#This Row],[Test Reading]]*Validation[[#This Row],[Mult]]+Validation[[#This Row],[Base]]) &amp;" "&amp;Validation[[#This Row],[Uncert_Units]]</f>
        <v>60 mV</v>
      </c>
      <c r="U1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V1427" t="b">
        <f ca="1">Validation[[#This Row],[Desired Result]]=Validation[[#This Row],[Result]]</f>
        <v>1</v>
      </c>
      <c r="W1427" t="b">
        <v>0</v>
      </c>
      <c r="X1427" t="b">
        <f>Validation[[#This Row],[Range1_Low]]&gt;=Validation[[#This Row],[Range1_High]]</f>
        <v>0</v>
      </c>
      <c r="Y1427" s="111" t="s">
        <v>2845</v>
      </c>
    </row>
    <row r="1428" spans="1:25" x14ac:dyDescent="0.25">
      <c r="A1428" t="s">
        <v>55</v>
      </c>
      <c r="B1428" t="s">
        <v>8</v>
      </c>
      <c r="C1428">
        <v>10</v>
      </c>
      <c r="D1428">
        <v>20</v>
      </c>
      <c r="E1428">
        <v>0.1</v>
      </c>
      <c r="F1428" t="s">
        <v>6</v>
      </c>
      <c r="G1428" t="s">
        <v>4</v>
      </c>
      <c r="H1428">
        <v>20</v>
      </c>
      <c r="I1428">
        <v>50</v>
      </c>
      <c r="J1428" t="s">
        <v>10</v>
      </c>
      <c r="K1428">
        <v>57.496000000000002</v>
      </c>
      <c r="L1428">
        <v>5.9412E-2</v>
      </c>
      <c r="M1428">
        <v>57.494999999999997</v>
      </c>
      <c r="N1428">
        <v>5.8915000000000002E-2</v>
      </c>
      <c r="O1428" t="s">
        <v>2833</v>
      </c>
      <c r="P1428" t="s">
        <v>2833</v>
      </c>
      <c r="Q1428" t="s">
        <v>2833</v>
      </c>
      <c r="R1428">
        <f ca="1">RAND()*(Validation[[#This Row],[Range1_High]]-Validation[[#This Row],[Range1_Low]])+Validation[[#This Row],[Range1_Low]]</f>
        <v>19.287392468678387</v>
      </c>
      <c r="S1428">
        <f>Validation[[#This Row],[Range2_High]]</f>
        <v>50</v>
      </c>
      <c r="T1428" t="str" cm="1">
        <f t="array" aca="1" ref="T1428" ca="1">RoundToTwoSigFigs(Validation[[#This Row],[Test Reading]]*Validation[[#This Row],[Mult]]+Validation[[#This Row],[Base]]) &amp;" "&amp;Validation[[#This Row],[Uncert_Units]]</f>
        <v>59 mV</v>
      </c>
      <c r="U1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V1428" t="b">
        <f ca="1">Validation[[#This Row],[Desired Result]]=Validation[[#This Row],[Result]]</f>
        <v>1</v>
      </c>
      <c r="W1428" t="b">
        <v>0</v>
      </c>
      <c r="X1428" t="b">
        <f>Validation[[#This Row],[Range1_Low]]&gt;=Validation[[#This Row],[Range1_High]]</f>
        <v>0</v>
      </c>
      <c r="Y1428" s="111" t="s">
        <v>2845</v>
      </c>
    </row>
    <row r="1429" spans="1:25" x14ac:dyDescent="0.25">
      <c r="A1429" t="s">
        <v>54</v>
      </c>
      <c r="B1429" t="s">
        <v>8</v>
      </c>
      <c r="C1429">
        <v>33</v>
      </c>
      <c r="D1429">
        <v>330.01</v>
      </c>
      <c r="E1429">
        <v>10</v>
      </c>
      <c r="F1429" t="s">
        <v>6</v>
      </c>
      <c r="G1429" t="s">
        <v>4</v>
      </c>
      <c r="H1429">
        <v>20</v>
      </c>
      <c r="I1429">
        <v>50.01</v>
      </c>
      <c r="J1429" t="s">
        <v>10</v>
      </c>
      <c r="K1429">
        <v>5798.2</v>
      </c>
      <c r="L1429">
        <v>6.3011999999999999E-2</v>
      </c>
      <c r="M1429">
        <v>5798.2</v>
      </c>
      <c r="N1429">
        <v>6.2924999999999995E-2</v>
      </c>
      <c r="O1429" t="s">
        <v>2833</v>
      </c>
      <c r="P1429" t="s">
        <v>2833</v>
      </c>
      <c r="Q1429" t="s">
        <v>2833</v>
      </c>
      <c r="R1429">
        <f ca="1">RAND()*(Validation[[#This Row],[Range1_High]]-Validation[[#This Row],[Range1_Low]])+Validation[[#This Row],[Range1_Low]]</f>
        <v>88.466137827318562</v>
      </c>
      <c r="S1429">
        <f>Validation[[#This Row],[Range2_High]]</f>
        <v>50.01</v>
      </c>
      <c r="T1429" t="str" cm="1">
        <f t="array" aca="1" ref="T1429" ca="1">RoundToTwoSigFigs(Validation[[#This Row],[Test Reading]]*Validation[[#This Row],[Mult]]+Validation[[#This Row],[Base]]) &amp;" "&amp;Validation[[#This Row],[Uncert_Units]]</f>
        <v>5800 mV</v>
      </c>
      <c r="U1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1429" t="b">
        <f ca="1">Validation[[#This Row],[Desired Result]]=Validation[[#This Row],[Result]]</f>
        <v>1</v>
      </c>
      <c r="W1429" t="b">
        <v>0</v>
      </c>
      <c r="X1429" t="b">
        <f>Validation[[#This Row],[Range1_Low]]&gt;=Validation[[#This Row],[Range1_High]]</f>
        <v>0</v>
      </c>
      <c r="Y1429" s="111" t="s">
        <v>2845</v>
      </c>
    </row>
    <row r="1430" spans="1:25" x14ac:dyDescent="0.25">
      <c r="A1430" t="s">
        <v>55</v>
      </c>
      <c r="B1430" t="s">
        <v>8</v>
      </c>
      <c r="C1430">
        <v>0.1</v>
      </c>
      <c r="D1430">
        <v>1</v>
      </c>
      <c r="E1430">
        <v>1E-3</v>
      </c>
      <c r="F1430" t="s">
        <v>6</v>
      </c>
      <c r="G1430" t="s">
        <v>5</v>
      </c>
      <c r="H1430">
        <v>0.04</v>
      </c>
      <c r="I1430">
        <v>1</v>
      </c>
      <c r="J1430" t="s">
        <v>10</v>
      </c>
      <c r="K1430">
        <v>577.29999999999995</v>
      </c>
      <c r="L1430">
        <v>9.3986000000000001</v>
      </c>
      <c r="M1430">
        <v>577.28</v>
      </c>
      <c r="N1430">
        <v>9.3602000000000007</v>
      </c>
      <c r="O1430" t="s">
        <v>2833</v>
      </c>
      <c r="P1430" t="s">
        <v>2833</v>
      </c>
      <c r="Q1430" t="s">
        <v>2833</v>
      </c>
      <c r="R1430">
        <f ca="1">RAND()*(Validation[[#This Row],[Range1_High]]-Validation[[#This Row],[Range1_Low]])+Validation[[#This Row],[Range1_Low]]</f>
        <v>0.36491022074791546</v>
      </c>
      <c r="S1430">
        <f>Validation[[#This Row],[Range2_High]]</f>
        <v>1</v>
      </c>
      <c r="T1430" t="str" cm="1">
        <f t="array" aca="1" ref="T1430" ca="1">RoundToTwoSigFigs(Validation[[#This Row],[Test Reading]]*Validation[[#This Row],[Mult]]+Validation[[#This Row],[Base]]) &amp;" "&amp;Validation[[#This Row],[Uncert_Units]]</f>
        <v>580 µV</v>
      </c>
      <c r="U1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V1430" t="b">
        <f ca="1">Validation[[#This Row],[Desired Result]]=Validation[[#This Row],[Result]]</f>
        <v>0</v>
      </c>
      <c r="W1430" t="b">
        <v>1</v>
      </c>
      <c r="X1430" t="b">
        <f>Validation[[#This Row],[Range1_Low]]&gt;=Validation[[#This Row],[Range1_High]]</f>
        <v>0</v>
      </c>
      <c r="Y1430" s="111" t="s">
        <v>2845</v>
      </c>
    </row>
    <row r="1431" spans="1:25" ht="15.75" thickBot="1" x14ac:dyDescent="0.3">
      <c r="A1431" t="s">
        <v>54</v>
      </c>
      <c r="B1431" t="s">
        <v>8</v>
      </c>
      <c r="C1431">
        <v>3.3000000000000002E-2</v>
      </c>
      <c r="D1431">
        <v>0.33001000000000003</v>
      </c>
      <c r="E1431">
        <v>1E-3</v>
      </c>
      <c r="F1431" t="s">
        <v>6</v>
      </c>
      <c r="G1431" t="s">
        <v>5</v>
      </c>
      <c r="H1431">
        <v>20</v>
      </c>
      <c r="I1431">
        <v>50.01</v>
      </c>
      <c r="J1431" t="s">
        <v>10</v>
      </c>
      <c r="K1431">
        <v>571.22</v>
      </c>
      <c r="L1431">
        <v>452.98</v>
      </c>
      <c r="M1431">
        <v>571.17999999999995</v>
      </c>
      <c r="N1431">
        <v>452.85</v>
      </c>
      <c r="O1431" t="s">
        <v>2833</v>
      </c>
      <c r="P1431" t="s">
        <v>2833</v>
      </c>
      <c r="Q1431" t="s">
        <v>2833</v>
      </c>
      <c r="R1431">
        <f ca="1">RAND()*(Validation[[#This Row],[Range1_High]]-Validation[[#This Row],[Range1_Low]])+Validation[[#This Row],[Range1_Low]]</f>
        <v>0.2169570282855669</v>
      </c>
      <c r="S1431">
        <f>Validation[[#This Row],[Range2_High]]</f>
        <v>50.01</v>
      </c>
      <c r="T1431" t="str" cm="1">
        <f t="array" aca="1" ref="T1431" ca="1">RoundToTwoSigFigs(Validation[[#This Row],[Test Reading]]*Validation[[#This Row],[Mult]]+Validation[[#This Row],[Base]]) &amp;" "&amp;Validation[[#This Row],[Uncert_Units]]</f>
        <v>670 µV</v>
      </c>
      <c r="U1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µV</v>
      </c>
      <c r="V1431" t="b">
        <f ca="1">Validation[[#This Row],[Desired Result]]=Validation[[#This Row],[Result]]</f>
        <v>1</v>
      </c>
      <c r="W1431" t="b">
        <v>0</v>
      </c>
      <c r="X1431" t="b">
        <f>Validation[[#This Row],[Range1_Low]]&gt;=Validation[[#This Row],[Range1_High]]</f>
        <v>0</v>
      </c>
      <c r="Y1431" s="111" t="s">
        <v>2845</v>
      </c>
    </row>
    <row r="1432" spans="1:25" ht="16.5" thickTop="1" thickBot="1" x14ac:dyDescent="0.3">
      <c r="A1432" t="s">
        <v>54</v>
      </c>
      <c r="B1432" t="s">
        <v>8</v>
      </c>
      <c r="C1432" s="113">
        <v>3.3000000000000002E-2</v>
      </c>
      <c r="D1432" s="113">
        <v>0.33001000000000003</v>
      </c>
      <c r="E1432">
        <v>1E-4</v>
      </c>
      <c r="F1432" t="s">
        <v>6</v>
      </c>
      <c r="G1432" t="s">
        <v>5</v>
      </c>
      <c r="H1432">
        <v>20</v>
      </c>
      <c r="I1432">
        <v>50.01</v>
      </c>
      <c r="J1432" t="s">
        <v>10</v>
      </c>
      <c r="K1432">
        <v>66.007000000000005</v>
      </c>
      <c r="L1432">
        <v>1107.9000000000001</v>
      </c>
      <c r="M1432">
        <v>65.938999999999993</v>
      </c>
      <c r="N1432">
        <v>1108</v>
      </c>
      <c r="O1432" t="s">
        <v>2833</v>
      </c>
      <c r="P1432" t="s">
        <v>2833</v>
      </c>
      <c r="Q1432" t="s">
        <v>2833</v>
      </c>
      <c r="R1432">
        <f ca="1">RAND()*(Validation[[#This Row],[Range1_High]]-Validation[[#This Row],[Range1_Low]])+Validation[[#This Row],[Range1_Low]]</f>
        <v>0.10825492870384291</v>
      </c>
      <c r="S1432">
        <f>Validation[[#This Row],[Range2_High]]</f>
        <v>50.01</v>
      </c>
      <c r="T1432" t="str" cm="1">
        <f t="array" aca="1" ref="T1432" ca="1">RoundToTwoSigFigs(Validation[[#This Row],[Test Reading]]*Validation[[#This Row],[Mult]]+Validation[[#This Row],[Base]]) &amp;" "&amp;Validation[[#This Row],[Uncert_Units]]</f>
        <v>190 µV</v>
      </c>
      <c r="U1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V1432" t="b">
        <f ca="1">Validation[[#This Row],[Desired Result]]=Validation[[#This Row],[Result]]</f>
        <v>1</v>
      </c>
      <c r="W1432" t="b">
        <v>1</v>
      </c>
      <c r="X1432" t="b">
        <f>Validation[[#This Row],[Range1_Low]]&gt;=Validation[[#This Row],[Range1_High]]</f>
        <v>0</v>
      </c>
      <c r="Y1432" s="111" t="s">
        <v>2843</v>
      </c>
    </row>
    <row r="1433" spans="1:25" ht="16.5" thickTop="1" thickBot="1" x14ac:dyDescent="0.3">
      <c r="A1433" t="s">
        <v>54</v>
      </c>
      <c r="B1433" t="s">
        <v>8</v>
      </c>
      <c r="C1433">
        <v>0</v>
      </c>
      <c r="D1433">
        <v>3.3009999999999998E-2</v>
      </c>
      <c r="E1433">
        <v>1E-4</v>
      </c>
      <c r="F1433" t="s">
        <v>6</v>
      </c>
      <c r="G1433" t="s">
        <v>5</v>
      </c>
      <c r="H1433">
        <v>4.4999999999999998E-2</v>
      </c>
      <c r="I1433">
        <v>10.00001</v>
      </c>
      <c r="J1433" t="s">
        <v>10</v>
      </c>
      <c r="K1433">
        <v>62.237000000000002</v>
      </c>
      <c r="L1433">
        <v>673.84</v>
      </c>
      <c r="M1433">
        <v>62.225000000000001</v>
      </c>
      <c r="N1433">
        <v>671.86</v>
      </c>
      <c r="O1433" t="s">
        <v>2833</v>
      </c>
      <c r="P1433" t="s">
        <v>2833</v>
      </c>
      <c r="Q1433" t="s">
        <v>2833</v>
      </c>
      <c r="R1433">
        <f ca="1">RAND()*(Validation[[#This Row],[Range1_High]]-Validation[[#This Row],[Range1_Low]])+Validation[[#This Row],[Range1_Low]]</f>
        <v>1.6632872324844505E-2</v>
      </c>
      <c r="S1433">
        <f>Validation[[#This Row],[Range2_High]]</f>
        <v>10.00001</v>
      </c>
      <c r="T1433" t="str" cm="1">
        <f t="array" aca="1" ref="T1433" ca="1">RoundToTwoSigFigs(Validation[[#This Row],[Test Reading]]*Validation[[#This Row],[Mult]]+Validation[[#This Row],[Base]]) &amp;" "&amp;Validation[[#This Row],[Uncert_Units]]</f>
        <v>73 µV</v>
      </c>
      <c r="U1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µV</v>
      </c>
      <c r="V1433" t="b">
        <f ca="1">Validation[[#This Row],[Desired Result]]=Validation[[#This Row],[Result]]</f>
        <v>0</v>
      </c>
      <c r="W1433" t="b">
        <v>1</v>
      </c>
      <c r="X1433" t="b">
        <f>Validation[[#This Row],[Range1_Low]]&gt;=Validation[[#This Row],[Range1_High]]</f>
        <v>0</v>
      </c>
      <c r="Y1433" s="111" t="s">
        <v>2845</v>
      </c>
    </row>
    <row r="1434" spans="1:25" ht="16.5" thickTop="1" thickBot="1" x14ac:dyDescent="0.3">
      <c r="A1434" t="s">
        <v>55</v>
      </c>
      <c r="B1434" t="s">
        <v>8</v>
      </c>
      <c r="C1434" s="113">
        <v>0.1</v>
      </c>
      <c r="D1434" s="113">
        <v>1</v>
      </c>
      <c r="E1434">
        <v>1E-3</v>
      </c>
      <c r="F1434" t="s">
        <v>6</v>
      </c>
      <c r="G1434" t="s">
        <v>4</v>
      </c>
      <c r="H1434">
        <v>2000</v>
      </c>
      <c r="I1434">
        <v>4000</v>
      </c>
      <c r="J1434" t="s">
        <v>10</v>
      </c>
      <c r="K1434">
        <v>1.2</v>
      </c>
      <c r="L1434">
        <v>46.033999999999999</v>
      </c>
      <c r="M1434">
        <v>0.83431</v>
      </c>
      <c r="N1434">
        <v>46.295999999999999</v>
      </c>
      <c r="O1434" t="s">
        <v>2833</v>
      </c>
      <c r="P1434" t="s">
        <v>2833</v>
      </c>
      <c r="Q1434" t="s">
        <v>2833</v>
      </c>
      <c r="R1434">
        <f ca="1">RAND()*(Validation[[#This Row],[Range1_High]]-Validation[[#This Row],[Range1_Low]])+Validation[[#This Row],[Range1_Low]]</f>
        <v>0.14746576760338756</v>
      </c>
      <c r="S1434">
        <f>Validation[[#This Row],[Range2_High]]</f>
        <v>4000</v>
      </c>
      <c r="T1434" t="str" cm="1">
        <f t="array" aca="1" ref="T1434" ca="1">RoundToTwoSigFigs(Validation[[#This Row],[Test Reading]]*Validation[[#This Row],[Mult]]+Validation[[#This Row],[Base]]) &amp;" "&amp;Validation[[#This Row],[Uncert_Units]]</f>
        <v>8 mV</v>
      </c>
      <c r="U1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V1434" t="b">
        <f ca="1">Validation[[#This Row],[Desired Result]]=Validation[[#This Row],[Result]]</f>
        <v>0</v>
      </c>
      <c r="W1434" t="b">
        <v>1</v>
      </c>
      <c r="X1434" t="b">
        <f>Validation[[#This Row],[Range1_Low]]&gt;=Validation[[#This Row],[Range1_High]]</f>
        <v>0</v>
      </c>
      <c r="Y1434" s="111" t="s">
        <v>2843</v>
      </c>
    </row>
    <row r="1435" spans="1:25" ht="16.5" thickTop="1" thickBot="1" x14ac:dyDescent="0.3">
      <c r="A1435" t="s">
        <v>55</v>
      </c>
      <c r="B1435" t="s">
        <v>8</v>
      </c>
      <c r="C1435" s="113">
        <v>10</v>
      </c>
      <c r="D1435" s="113">
        <v>20</v>
      </c>
      <c r="E1435">
        <v>0.1</v>
      </c>
      <c r="F1435" t="s">
        <v>6</v>
      </c>
      <c r="G1435" t="s">
        <v>4</v>
      </c>
      <c r="H1435">
        <v>50</v>
      </c>
      <c r="I1435">
        <v>100</v>
      </c>
      <c r="J1435" t="s">
        <v>10</v>
      </c>
      <c r="K1435">
        <v>54.831000000000003</v>
      </c>
      <c r="L1435">
        <v>0.51571</v>
      </c>
      <c r="M1435">
        <v>54.83</v>
      </c>
      <c r="N1435">
        <v>0.51529000000000003</v>
      </c>
      <c r="O1435" t="s">
        <v>2833</v>
      </c>
      <c r="P1435" t="s">
        <v>2833</v>
      </c>
      <c r="Q1435" t="s">
        <v>2833</v>
      </c>
      <c r="R1435">
        <f ca="1">RAND()*(Validation[[#This Row],[Range1_High]]-Validation[[#This Row],[Range1_Low]])+Validation[[#This Row],[Range1_Low]]</f>
        <v>15.119741936787017</v>
      </c>
      <c r="S1435">
        <f>Validation[[#This Row],[Range2_High]]</f>
        <v>100</v>
      </c>
      <c r="T1435" t="str" cm="1">
        <f t="array" aca="1" ref="T1435" ca="1">RoundToTwoSigFigs(Validation[[#This Row],[Test Reading]]*Validation[[#This Row],[Mult]]+Validation[[#This Row],[Base]]) &amp;" "&amp;Validation[[#This Row],[Uncert_Units]]</f>
        <v>63 mV</v>
      </c>
      <c r="U1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V1435" t="b">
        <f ca="1">Validation[[#This Row],[Desired Result]]=Validation[[#This Row],[Result]]</f>
        <v>0</v>
      </c>
      <c r="W1435" t="b">
        <v>1</v>
      </c>
      <c r="X1435" t="b">
        <f>Validation[[#This Row],[Range1_Low]]&gt;=Validation[[#This Row],[Range1_High]]</f>
        <v>0</v>
      </c>
      <c r="Y1435" s="111" t="s">
        <v>2843</v>
      </c>
    </row>
    <row r="1436" spans="1:25" ht="15.75" thickTop="1" x14ac:dyDescent="0.25">
      <c r="A1436" t="s">
        <v>54</v>
      </c>
      <c r="B1436" t="s">
        <v>8</v>
      </c>
      <c r="C1436">
        <v>0</v>
      </c>
      <c r="D1436">
        <v>3.3009999999999998E-2</v>
      </c>
      <c r="E1436">
        <v>1</v>
      </c>
      <c r="F1436" t="s">
        <v>6</v>
      </c>
      <c r="G1436" t="s">
        <v>5</v>
      </c>
      <c r="H1436">
        <v>4.4999999999999998E-2</v>
      </c>
      <c r="I1436">
        <v>10.00001</v>
      </c>
      <c r="J1436" t="s">
        <v>10</v>
      </c>
      <c r="K1436">
        <v>580000</v>
      </c>
      <c r="L1436">
        <v>0.1633</v>
      </c>
      <c r="M1436">
        <v>580000</v>
      </c>
      <c r="N1436">
        <v>8.5309999999999997E-2</v>
      </c>
      <c r="O1436" t="s">
        <v>2833</v>
      </c>
      <c r="P1436" t="s">
        <v>2833</v>
      </c>
      <c r="Q1436" t="s">
        <v>2833</v>
      </c>
      <c r="R1436">
        <f ca="1">RAND()*(Validation[[#This Row],[Range1_High]]-Validation[[#This Row],[Range1_Low]])+Validation[[#This Row],[Range1_Low]]</f>
        <v>6.5848289221896944E-3</v>
      </c>
      <c r="S1436">
        <f>Validation[[#This Row],[Range2_High]]</f>
        <v>10.00001</v>
      </c>
      <c r="T1436" t="str" cm="1">
        <f t="array" aca="1" ref="T1436" ca="1">RoundToTwoSigFigs(Validation[[#This Row],[Test Reading]]*Validation[[#This Row],[Mult]]+Validation[[#This Row],[Base]]) &amp;" "&amp;Validation[[#This Row],[Uncert_Units]]</f>
        <v>580000 µV</v>
      </c>
      <c r="U1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1436" t="b">
        <f ca="1">Validation[[#This Row],[Desired Result]]=Validation[[#This Row],[Result]]</f>
        <v>1</v>
      </c>
      <c r="W1436" t="b">
        <v>0</v>
      </c>
      <c r="X1436" t="b">
        <f>Validation[[#This Row],[Range1_Low]]&gt;=Validation[[#This Row],[Range1_High]]</f>
        <v>0</v>
      </c>
      <c r="Y1436" s="111" t="s">
        <v>2845</v>
      </c>
    </row>
    <row r="1437" spans="1:25" x14ac:dyDescent="0.25">
      <c r="A1437" t="s">
        <v>55</v>
      </c>
      <c r="B1437" t="s">
        <v>8</v>
      </c>
      <c r="C1437">
        <v>330</v>
      </c>
      <c r="D1437">
        <v>1000</v>
      </c>
      <c r="E1437">
        <v>1E-4</v>
      </c>
      <c r="F1437" t="s">
        <v>6</v>
      </c>
      <c r="G1437" t="s">
        <v>4</v>
      </c>
      <c r="H1437">
        <v>0.04</v>
      </c>
      <c r="I1437">
        <v>1</v>
      </c>
      <c r="J1437" t="s">
        <v>10</v>
      </c>
      <c r="K1437">
        <v>27</v>
      </c>
      <c r="L1437">
        <v>0.46</v>
      </c>
      <c r="M1437">
        <v>23.030999999999999</v>
      </c>
      <c r="N1437">
        <v>0.46343000000000001</v>
      </c>
      <c r="O1437" t="s">
        <v>2833</v>
      </c>
      <c r="P1437" t="s">
        <v>2833</v>
      </c>
      <c r="Q1437" t="s">
        <v>2833</v>
      </c>
      <c r="R1437">
        <f ca="1">RAND()*(Validation[[#This Row],[Range1_High]]-Validation[[#This Row],[Range1_Low]])+Validation[[#This Row],[Range1_Low]]</f>
        <v>899.1475020362509</v>
      </c>
      <c r="S1437">
        <f>Validation[[#This Row],[Range2_High]]</f>
        <v>1</v>
      </c>
      <c r="T1437" t="str" cm="1">
        <f t="array" aca="1" ref="T1437" ca="1">RoundToTwoSigFigs(Validation[[#This Row],[Test Reading]]*Validation[[#This Row],[Mult]]+Validation[[#This Row],[Base]]) &amp;" "&amp;Validation[[#This Row],[Uncert_Units]]</f>
        <v>440 mV</v>
      </c>
      <c r="U1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V1437" t="b">
        <f ca="1">Validation[[#This Row],[Desired Result]]=Validation[[#This Row],[Result]]</f>
        <v>0</v>
      </c>
      <c r="W1437" t="b">
        <v>1</v>
      </c>
      <c r="X1437" t="b">
        <f>Validation[[#This Row],[Range1_Low]]&gt;=Validation[[#This Row],[Range1_High]]</f>
        <v>0</v>
      </c>
      <c r="Y1437" s="111" t="s">
        <v>2845</v>
      </c>
    </row>
    <row r="1438" spans="1:25" ht="15.75" thickBot="1" x14ac:dyDescent="0.3">
      <c r="A1438" t="s">
        <v>55</v>
      </c>
      <c r="B1438" t="s">
        <v>8</v>
      </c>
      <c r="C1438">
        <v>10</v>
      </c>
      <c r="D1438">
        <v>20</v>
      </c>
      <c r="E1438">
        <v>1</v>
      </c>
      <c r="F1438" t="s">
        <v>6</v>
      </c>
      <c r="G1438" t="s">
        <v>4</v>
      </c>
      <c r="H1438">
        <v>1</v>
      </c>
      <c r="I1438">
        <v>20</v>
      </c>
      <c r="J1438" t="s">
        <v>10</v>
      </c>
      <c r="K1438">
        <v>577.35</v>
      </c>
      <c r="L1438">
        <v>2.4694999999999999E-3</v>
      </c>
      <c r="M1438">
        <v>577.14</v>
      </c>
      <c r="N1438">
        <v>2.3387E-3</v>
      </c>
      <c r="O1438" t="s">
        <v>2833</v>
      </c>
      <c r="P1438" t="s">
        <v>2833</v>
      </c>
      <c r="Q1438" t="s">
        <v>2833</v>
      </c>
      <c r="R1438">
        <f ca="1">RAND()*(Validation[[#This Row],[Range1_High]]-Validation[[#This Row],[Range1_Low]])+Validation[[#This Row],[Range1_Low]]</f>
        <v>16.661197145974892</v>
      </c>
      <c r="S1438">
        <f>Validation[[#This Row],[Range2_High]]</f>
        <v>20</v>
      </c>
      <c r="T1438" t="str" cm="1">
        <f t="array" aca="1" ref="T1438" ca="1">RoundToTwoSigFigs(Validation[[#This Row],[Test Reading]]*Validation[[#This Row],[Mult]]+Validation[[#This Row],[Base]]) &amp;" "&amp;Validation[[#This Row],[Uncert_Units]]</f>
        <v>580 mV</v>
      </c>
      <c r="U1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438" t="b">
        <f ca="1">Validation[[#This Row],[Desired Result]]=Validation[[#This Row],[Result]]</f>
        <v>1</v>
      </c>
      <c r="W1438" t="b">
        <v>0</v>
      </c>
      <c r="X1438" t="b">
        <f>Validation[[#This Row],[Range1_Low]]&gt;=Validation[[#This Row],[Range1_High]]</f>
        <v>0</v>
      </c>
      <c r="Y1438" s="111" t="s">
        <v>2845</v>
      </c>
    </row>
    <row r="1439" spans="1:25" ht="16.5" thickTop="1" thickBot="1" x14ac:dyDescent="0.3">
      <c r="A1439" t="s">
        <v>54</v>
      </c>
      <c r="B1439" t="s">
        <v>8</v>
      </c>
      <c r="C1439" s="113">
        <v>3.3</v>
      </c>
      <c r="D1439" s="113">
        <v>33.000999999999998</v>
      </c>
      <c r="E1439">
        <v>0.1</v>
      </c>
      <c r="F1439" t="s">
        <v>6</v>
      </c>
      <c r="G1439" t="s">
        <v>4</v>
      </c>
      <c r="H1439">
        <v>100</v>
      </c>
      <c r="I1439">
        <v>500</v>
      </c>
      <c r="J1439" t="s">
        <v>10</v>
      </c>
      <c r="K1439">
        <v>47.329000000000001</v>
      </c>
      <c r="L1439">
        <v>3.5596999999999999</v>
      </c>
      <c r="M1439">
        <v>53.607999999999997</v>
      </c>
      <c r="N1439">
        <v>1.6549</v>
      </c>
      <c r="O1439" t="s">
        <v>2833</v>
      </c>
      <c r="P1439" t="s">
        <v>2833</v>
      </c>
      <c r="Q1439" t="s">
        <v>2833</v>
      </c>
      <c r="R1439">
        <f ca="1">RAND()*(Validation[[#This Row],[Range1_High]]-Validation[[#This Row],[Range1_Low]])+Validation[[#This Row],[Range1_Low]]</f>
        <v>26.165835544056016</v>
      </c>
      <c r="S1439">
        <f>Validation[[#This Row],[Range2_High]]</f>
        <v>500</v>
      </c>
      <c r="T1439" t="str" cm="1">
        <f t="array" aca="1" ref="T1439" ca="1">RoundToTwoSigFigs(Validation[[#This Row],[Test Reading]]*Validation[[#This Row],[Mult]]+Validation[[#This Row],[Base]]) &amp;" "&amp;Validation[[#This Row],[Uncert_Units]]</f>
        <v>140 mV</v>
      </c>
      <c r="U1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V1439" t="b">
        <f ca="1">Validation[[#This Row],[Desired Result]]=Validation[[#This Row],[Result]]</f>
        <v>1</v>
      </c>
      <c r="W1439" t="b">
        <v>1</v>
      </c>
      <c r="X1439" t="b">
        <f>Validation[[#This Row],[Range1_Low]]&gt;=Validation[[#This Row],[Range1_High]]</f>
        <v>0</v>
      </c>
      <c r="Y1439" s="111" t="s">
        <v>2843</v>
      </c>
    </row>
    <row r="1440" spans="1:25" ht="16.5" thickTop="1" thickBot="1" x14ac:dyDescent="0.3">
      <c r="A1440" t="s">
        <v>55</v>
      </c>
      <c r="B1440" t="s">
        <v>8</v>
      </c>
      <c r="C1440" s="113">
        <v>0.01</v>
      </c>
      <c r="D1440" s="113">
        <v>0.1</v>
      </c>
      <c r="E1440">
        <v>1E-8</v>
      </c>
      <c r="F1440" t="s">
        <v>6</v>
      </c>
      <c r="G1440" t="s">
        <v>5</v>
      </c>
      <c r="H1440">
        <v>50</v>
      </c>
      <c r="I1440">
        <v>100</v>
      </c>
      <c r="J1440" t="s">
        <v>10</v>
      </c>
      <c r="K1440">
        <v>6</v>
      </c>
      <c r="L1440">
        <v>910</v>
      </c>
      <c r="M1440">
        <v>5.9729000000000001</v>
      </c>
      <c r="N1440">
        <v>906.03</v>
      </c>
      <c r="O1440" t="s">
        <v>2833</v>
      </c>
      <c r="P1440" t="s">
        <v>2833</v>
      </c>
      <c r="Q1440" t="s">
        <v>2833</v>
      </c>
      <c r="R1440">
        <f ca="1">RAND()*(Validation[[#This Row],[Range1_High]]-Validation[[#This Row],[Range1_Low]])+Validation[[#This Row],[Range1_Low]]</f>
        <v>1.8665450236949876E-2</v>
      </c>
      <c r="S1440">
        <f>Validation[[#This Row],[Range2_High]]</f>
        <v>100</v>
      </c>
      <c r="T1440" t="str" cm="1">
        <f t="array" aca="1" ref="T1440" ca="1">RoundToTwoSigFigs(Validation[[#This Row],[Test Reading]]*Validation[[#This Row],[Mult]]+Validation[[#This Row],[Base]]) &amp;" "&amp;Validation[[#This Row],[Uncert_Units]]</f>
        <v>23 µV</v>
      </c>
      <c r="U1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V1440" t="b">
        <f ca="1">Validation[[#This Row],[Desired Result]]=Validation[[#This Row],[Result]]</f>
        <v>1</v>
      </c>
      <c r="W1440" t="b">
        <v>1</v>
      </c>
      <c r="X1440" t="b">
        <f>Validation[[#This Row],[Range1_Low]]&gt;=Validation[[#This Row],[Range1_High]]</f>
        <v>0</v>
      </c>
      <c r="Y1440" s="111" t="s">
        <v>2843</v>
      </c>
    </row>
    <row r="1441" spans="1:25" ht="16.5" thickTop="1" thickBot="1" x14ac:dyDescent="0.3">
      <c r="A1441" t="s">
        <v>54</v>
      </c>
      <c r="B1441" t="s">
        <v>8</v>
      </c>
      <c r="C1441">
        <v>0</v>
      </c>
      <c r="D1441">
        <v>3.3009999999999998E-2</v>
      </c>
      <c r="E1441">
        <v>0.01</v>
      </c>
      <c r="F1441" t="s">
        <v>6</v>
      </c>
      <c r="G1441" t="s">
        <v>5</v>
      </c>
      <c r="H1441">
        <v>20</v>
      </c>
      <c r="I1441">
        <v>50.01</v>
      </c>
      <c r="J1441" t="s">
        <v>10</v>
      </c>
      <c r="K1441">
        <v>5800</v>
      </c>
      <c r="L1441">
        <v>25.350999999999999</v>
      </c>
      <c r="M1441">
        <v>5800</v>
      </c>
      <c r="N1441">
        <v>24.864000000000001</v>
      </c>
      <c r="O1441" t="s">
        <v>2833</v>
      </c>
      <c r="P1441" t="s">
        <v>2833</v>
      </c>
      <c r="Q1441" t="s">
        <v>2833</v>
      </c>
      <c r="R1441">
        <f ca="1">RAND()*(Validation[[#This Row],[Range1_High]]-Validation[[#This Row],[Range1_Low]])+Validation[[#This Row],[Range1_Low]]</f>
        <v>1.0595962191429318E-3</v>
      </c>
      <c r="S1441">
        <f>Validation[[#This Row],[Range2_High]]</f>
        <v>50.01</v>
      </c>
      <c r="T1441" t="str" cm="1">
        <f t="array" aca="1" ref="T1441" ca="1">RoundToTwoSigFigs(Validation[[#This Row],[Test Reading]]*Validation[[#This Row],[Mult]]+Validation[[#This Row],[Base]]) &amp;" "&amp;Validation[[#This Row],[Uncert_Units]]</f>
        <v>5800 µV</v>
      </c>
      <c r="U1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441" t="b">
        <f ca="1">Validation[[#This Row],[Desired Result]]=Validation[[#This Row],[Result]]</f>
        <v>1</v>
      </c>
      <c r="W1441" t="b">
        <v>0</v>
      </c>
      <c r="X1441" t="b">
        <f>Validation[[#This Row],[Range1_Low]]&gt;=Validation[[#This Row],[Range1_High]]</f>
        <v>0</v>
      </c>
      <c r="Y1441" s="111" t="s">
        <v>2845</v>
      </c>
    </row>
    <row r="1442" spans="1:25" ht="16.5" thickTop="1" thickBot="1" x14ac:dyDescent="0.3">
      <c r="A1442" t="s">
        <v>55</v>
      </c>
      <c r="B1442" t="s">
        <v>8</v>
      </c>
      <c r="C1442" s="113">
        <v>20</v>
      </c>
      <c r="D1442" s="113">
        <v>100</v>
      </c>
      <c r="E1442">
        <v>0.01</v>
      </c>
      <c r="F1442" t="s">
        <v>6</v>
      </c>
      <c r="G1442" t="s">
        <v>4</v>
      </c>
      <c r="H1442">
        <v>20</v>
      </c>
      <c r="I1442">
        <v>50</v>
      </c>
      <c r="J1442" t="s">
        <v>10</v>
      </c>
      <c r="K1442">
        <v>8.3577999999999992</v>
      </c>
      <c r="L1442">
        <v>0.35409000000000002</v>
      </c>
      <c r="M1442">
        <v>8.3518000000000008</v>
      </c>
      <c r="N1442">
        <v>0.35408000000000001</v>
      </c>
      <c r="O1442" t="s">
        <v>2833</v>
      </c>
      <c r="P1442" t="s">
        <v>2833</v>
      </c>
      <c r="Q1442" t="s">
        <v>2833</v>
      </c>
      <c r="R1442">
        <f ca="1">RAND()*(Validation[[#This Row],[Range1_High]]-Validation[[#This Row],[Range1_Low]])+Validation[[#This Row],[Range1_Low]]</f>
        <v>28.875394486571029</v>
      </c>
      <c r="S1442">
        <f>Validation[[#This Row],[Range2_High]]</f>
        <v>50</v>
      </c>
      <c r="T1442" t="str" cm="1">
        <f t="array" aca="1" ref="T1442" ca="1">RoundToTwoSigFigs(Validation[[#This Row],[Test Reading]]*Validation[[#This Row],[Mult]]+Validation[[#This Row],[Base]]) &amp;" "&amp;Validation[[#This Row],[Uncert_Units]]</f>
        <v>19 mV</v>
      </c>
      <c r="U1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mV</v>
      </c>
      <c r="V1442" t="b">
        <f ca="1">Validation[[#This Row],[Desired Result]]=Validation[[#This Row],[Result]]</f>
        <v>0</v>
      </c>
      <c r="W1442" t="b">
        <v>1</v>
      </c>
      <c r="X1442" t="b">
        <f>Validation[[#This Row],[Range1_Low]]&gt;=Validation[[#This Row],[Range1_High]]</f>
        <v>0</v>
      </c>
      <c r="Y1442" s="111" t="s">
        <v>2843</v>
      </c>
    </row>
    <row r="1443" spans="1:25" ht="15.75" thickTop="1" x14ac:dyDescent="0.25">
      <c r="A1443" t="s">
        <v>55</v>
      </c>
      <c r="B1443" t="s">
        <v>8</v>
      </c>
      <c r="C1443">
        <v>330</v>
      </c>
      <c r="D1443">
        <v>1000</v>
      </c>
      <c r="E1443">
        <v>1E-4</v>
      </c>
      <c r="F1443" t="s">
        <v>6</v>
      </c>
      <c r="G1443" t="s">
        <v>4</v>
      </c>
      <c r="H1443">
        <v>1</v>
      </c>
      <c r="I1443">
        <v>10</v>
      </c>
      <c r="J1443" t="s">
        <v>10</v>
      </c>
      <c r="K1443">
        <v>23</v>
      </c>
      <c r="L1443">
        <v>0.7</v>
      </c>
      <c r="M1443">
        <v>23.056000000000001</v>
      </c>
      <c r="N1443">
        <v>0.69386999999999999</v>
      </c>
      <c r="O1443" t="s">
        <v>2833</v>
      </c>
      <c r="P1443" t="s">
        <v>2833</v>
      </c>
      <c r="Q1443" t="s">
        <v>2833</v>
      </c>
      <c r="R1443">
        <f ca="1">RAND()*(Validation[[#This Row],[Range1_High]]-Validation[[#This Row],[Range1_Low]])+Validation[[#This Row],[Range1_Low]]</f>
        <v>830.6926550402469</v>
      </c>
      <c r="S1443">
        <f>Validation[[#This Row],[Range2_High]]</f>
        <v>10</v>
      </c>
      <c r="T1443" t="str" cm="1">
        <f t="array" aca="1" ref="T1443" ca="1">RoundToTwoSigFigs(Validation[[#This Row],[Test Reading]]*Validation[[#This Row],[Mult]]+Validation[[#This Row],[Base]]) &amp;" "&amp;Validation[[#This Row],[Uncert_Units]]</f>
        <v>600 mV</v>
      </c>
      <c r="U1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V1443" t="b">
        <f ca="1">Validation[[#This Row],[Desired Result]]=Validation[[#This Row],[Result]]</f>
        <v>1</v>
      </c>
      <c r="W1443" t="b">
        <v>0</v>
      </c>
      <c r="X1443" t="b">
        <f>Validation[[#This Row],[Range1_Low]]&gt;=Validation[[#This Row],[Range1_High]]</f>
        <v>0</v>
      </c>
      <c r="Y1443" s="111" t="s">
        <v>2845</v>
      </c>
    </row>
    <row r="1444" spans="1:25" ht="15.75" thickBot="1" x14ac:dyDescent="0.3">
      <c r="A1444" t="s">
        <v>55</v>
      </c>
      <c r="B1444" t="s">
        <v>8</v>
      </c>
      <c r="C1444">
        <v>10</v>
      </c>
      <c r="D1444">
        <v>20</v>
      </c>
      <c r="E1444">
        <v>1</v>
      </c>
      <c r="F1444" t="s">
        <v>6</v>
      </c>
      <c r="G1444" t="s">
        <v>4</v>
      </c>
      <c r="H1444">
        <v>20</v>
      </c>
      <c r="I1444">
        <v>50</v>
      </c>
      <c r="J1444" t="s">
        <v>10</v>
      </c>
      <c r="K1444">
        <v>577.33000000000004</v>
      </c>
      <c r="L1444">
        <v>6.1608000000000001E-3</v>
      </c>
      <c r="M1444">
        <v>576.79999999999995</v>
      </c>
      <c r="N1444">
        <v>5.9565E-3</v>
      </c>
      <c r="O1444" t="s">
        <v>2833</v>
      </c>
      <c r="P1444" t="s">
        <v>2833</v>
      </c>
      <c r="Q1444" t="s">
        <v>2833</v>
      </c>
      <c r="R1444">
        <f ca="1">RAND()*(Validation[[#This Row],[Range1_High]]-Validation[[#This Row],[Range1_Low]])+Validation[[#This Row],[Range1_Low]]</f>
        <v>10.188569238720479</v>
      </c>
      <c r="S1444">
        <f>Validation[[#This Row],[Range2_High]]</f>
        <v>50</v>
      </c>
      <c r="T1444" t="str" cm="1">
        <f t="array" aca="1" ref="T1444" ca="1">RoundToTwoSigFigs(Validation[[#This Row],[Test Reading]]*Validation[[#This Row],[Mult]]+Validation[[#This Row],[Base]]) &amp;" "&amp;Validation[[#This Row],[Uncert_Units]]</f>
        <v>580 mV</v>
      </c>
      <c r="U1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444" t="b">
        <f ca="1">Validation[[#This Row],[Desired Result]]=Validation[[#This Row],[Result]]</f>
        <v>1</v>
      </c>
      <c r="W1444" t="b">
        <v>0</v>
      </c>
      <c r="X1444" t="b">
        <f>Validation[[#This Row],[Range1_Low]]&gt;=Validation[[#This Row],[Range1_High]]</f>
        <v>0</v>
      </c>
      <c r="Y1444" s="111" t="s">
        <v>2845</v>
      </c>
    </row>
    <row r="1445" spans="1:25" ht="16.5" thickTop="1" thickBot="1" x14ac:dyDescent="0.3">
      <c r="A1445" t="s">
        <v>55</v>
      </c>
      <c r="B1445" t="s">
        <v>8</v>
      </c>
      <c r="C1445" s="113">
        <v>20</v>
      </c>
      <c r="D1445" s="113">
        <v>100</v>
      </c>
      <c r="E1445">
        <v>1E-4</v>
      </c>
      <c r="F1445" t="s">
        <v>6</v>
      </c>
      <c r="G1445" t="s">
        <v>4</v>
      </c>
      <c r="H1445">
        <v>1E-3</v>
      </c>
      <c r="I1445">
        <v>0.04</v>
      </c>
      <c r="J1445" t="s">
        <v>10</v>
      </c>
      <c r="K1445">
        <v>5</v>
      </c>
      <c r="L1445">
        <v>0.23166999999999999</v>
      </c>
      <c r="M1445">
        <v>4.6010999999999997</v>
      </c>
      <c r="N1445">
        <v>0.23351</v>
      </c>
      <c r="O1445" t="s">
        <v>2833</v>
      </c>
      <c r="P1445" t="s">
        <v>2833</v>
      </c>
      <c r="Q1445" t="s">
        <v>2833</v>
      </c>
      <c r="R1445">
        <f ca="1">RAND()*(Validation[[#This Row],[Range1_High]]-Validation[[#This Row],[Range1_Low]])+Validation[[#This Row],[Range1_Low]]</f>
        <v>57.750469012035985</v>
      </c>
      <c r="S1445">
        <f>Validation[[#This Row],[Range2_High]]</f>
        <v>0.04</v>
      </c>
      <c r="T1445" t="str" cm="1">
        <f t="array" aca="1" ref="T1445" ca="1">RoundToTwoSigFigs(Validation[[#This Row],[Test Reading]]*Validation[[#This Row],[Mult]]+Validation[[#This Row],[Base]]) &amp;" "&amp;Validation[[#This Row],[Uncert_Units]]</f>
        <v>18 mV</v>
      </c>
      <c r="U1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V1445" t="b">
        <f ca="1">Validation[[#This Row],[Desired Result]]=Validation[[#This Row],[Result]]</f>
        <v>1</v>
      </c>
      <c r="W1445" t="b">
        <v>1</v>
      </c>
      <c r="X1445" t="b">
        <f>Validation[[#This Row],[Range1_Low]]&gt;=Validation[[#This Row],[Range1_High]]</f>
        <v>0</v>
      </c>
      <c r="Y1445" s="111" t="s">
        <v>2843</v>
      </c>
    </row>
    <row r="1446" spans="1:25" ht="16.5" thickTop="1" thickBot="1" x14ac:dyDescent="0.3">
      <c r="A1446" t="s">
        <v>54</v>
      </c>
      <c r="B1446" t="s">
        <v>8</v>
      </c>
      <c r="C1446" s="113">
        <v>3.3</v>
      </c>
      <c r="D1446" s="113">
        <v>33.000999999999998</v>
      </c>
      <c r="E1446">
        <v>1E-3</v>
      </c>
      <c r="F1446" t="s">
        <v>6</v>
      </c>
      <c r="G1446" t="s">
        <v>4</v>
      </c>
      <c r="H1446">
        <v>4.4999999999999998E-2</v>
      </c>
      <c r="I1446">
        <v>10.00001</v>
      </c>
      <c r="J1446" t="s">
        <v>10</v>
      </c>
      <c r="K1446">
        <v>0.78956999999999999</v>
      </c>
      <c r="L1446">
        <v>0.34543000000000001</v>
      </c>
      <c r="M1446">
        <v>0.78891</v>
      </c>
      <c r="N1446">
        <v>0.34543000000000001</v>
      </c>
      <c r="O1446" t="s">
        <v>2833</v>
      </c>
      <c r="P1446" t="s">
        <v>2833</v>
      </c>
      <c r="Q1446" t="s">
        <v>2833</v>
      </c>
      <c r="R1446">
        <f ca="1">RAND()*(Validation[[#This Row],[Range1_High]]-Validation[[#This Row],[Range1_Low]])+Validation[[#This Row],[Range1_Low]]</f>
        <v>25.256409232662087</v>
      </c>
      <c r="S1446">
        <f>Validation[[#This Row],[Range2_High]]</f>
        <v>10.00001</v>
      </c>
      <c r="T1446" t="str" cm="1">
        <f t="array" aca="1" ref="T1446" ca="1">RoundToTwoSigFigs(Validation[[#This Row],[Test Reading]]*Validation[[#This Row],[Mult]]+Validation[[#This Row],[Base]]) &amp;" "&amp;Validation[[#This Row],[Uncert_Units]]</f>
        <v>9.5 mV</v>
      </c>
      <c r="U1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mV</v>
      </c>
      <c r="V1446" t="b">
        <f ca="1">Validation[[#This Row],[Desired Result]]=Validation[[#This Row],[Result]]</f>
        <v>1</v>
      </c>
      <c r="W1446" t="b">
        <v>1</v>
      </c>
      <c r="X1446" t="b">
        <f>Validation[[#This Row],[Range1_Low]]&gt;=Validation[[#This Row],[Range1_High]]</f>
        <v>0</v>
      </c>
      <c r="Y1446" s="111" t="s">
        <v>2843</v>
      </c>
    </row>
    <row r="1447" spans="1:25" ht="16.5" thickTop="1" thickBot="1" x14ac:dyDescent="0.3">
      <c r="A1447" t="s">
        <v>54</v>
      </c>
      <c r="B1447" t="s">
        <v>8</v>
      </c>
      <c r="C1447" s="113">
        <v>3.3000000000000002E-2</v>
      </c>
      <c r="D1447" s="113">
        <v>0.33001000000000003</v>
      </c>
      <c r="E1447">
        <v>1.0000000000000001E-5</v>
      </c>
      <c r="F1447" t="s">
        <v>6</v>
      </c>
      <c r="G1447" t="s">
        <v>5</v>
      </c>
      <c r="H1447">
        <v>50</v>
      </c>
      <c r="I1447">
        <v>100.01</v>
      </c>
      <c r="J1447" t="s">
        <v>10</v>
      </c>
      <c r="K1447">
        <v>200</v>
      </c>
      <c r="L1447">
        <v>2656.2</v>
      </c>
      <c r="M1447">
        <v>196.56</v>
      </c>
      <c r="N1447">
        <v>2656.3</v>
      </c>
      <c r="O1447" t="s">
        <v>2833</v>
      </c>
      <c r="P1447" t="s">
        <v>2833</v>
      </c>
      <c r="Q1447" t="s">
        <v>2833</v>
      </c>
      <c r="R1447">
        <f ca="1">RAND()*(Validation[[#This Row],[Range1_High]]-Validation[[#This Row],[Range1_Low]])+Validation[[#This Row],[Range1_Low]]</f>
        <v>0.17619541515591525</v>
      </c>
      <c r="S1447">
        <f>Validation[[#This Row],[Range2_High]]</f>
        <v>100.01</v>
      </c>
      <c r="T1447" t="str" cm="1">
        <f t="array" aca="1" ref="T1447" ca="1">RoundToTwoSigFigs(Validation[[#This Row],[Test Reading]]*Validation[[#This Row],[Mult]]+Validation[[#This Row],[Base]]) &amp;" "&amp;Validation[[#This Row],[Uncert_Units]]</f>
        <v>670 µV</v>
      </c>
      <c r="U1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µV</v>
      </c>
      <c r="V1447" t="b">
        <f ca="1">Validation[[#This Row],[Desired Result]]=Validation[[#This Row],[Result]]</f>
        <v>1</v>
      </c>
      <c r="W1447" t="b">
        <v>1</v>
      </c>
      <c r="X1447" t="b">
        <f>Validation[[#This Row],[Range1_Low]]&gt;=Validation[[#This Row],[Range1_High]]</f>
        <v>0</v>
      </c>
      <c r="Y1447" s="111" t="s">
        <v>2843</v>
      </c>
    </row>
    <row r="1448" spans="1:25" ht="16.5" thickTop="1" thickBot="1" x14ac:dyDescent="0.3">
      <c r="A1448" t="s">
        <v>54</v>
      </c>
      <c r="B1448" t="s">
        <v>8</v>
      </c>
      <c r="C1448">
        <v>0</v>
      </c>
      <c r="D1448">
        <v>3.3009999999999998E-2</v>
      </c>
      <c r="E1448">
        <v>10</v>
      </c>
      <c r="F1448" t="s">
        <v>6</v>
      </c>
      <c r="G1448" t="s">
        <v>5</v>
      </c>
      <c r="H1448">
        <v>50</v>
      </c>
      <c r="I1448">
        <v>100.01</v>
      </c>
      <c r="J1448" t="s">
        <v>10</v>
      </c>
      <c r="K1448">
        <v>5800000</v>
      </c>
      <c r="L1448">
        <v>0.12109</v>
      </c>
      <c r="M1448">
        <v>5800000</v>
      </c>
      <c r="N1448">
        <v>7.4565999999999993E-2</v>
      </c>
      <c r="O1448" t="s">
        <v>2833</v>
      </c>
      <c r="P1448" t="s">
        <v>2833</v>
      </c>
      <c r="Q1448" t="s">
        <v>2833</v>
      </c>
      <c r="R1448">
        <f ca="1">RAND()*(Validation[[#This Row],[Range1_High]]-Validation[[#This Row],[Range1_Low]])+Validation[[#This Row],[Range1_Low]]</f>
        <v>2.369650841683579E-2</v>
      </c>
      <c r="S1448">
        <f>Validation[[#This Row],[Range2_High]]</f>
        <v>100.01</v>
      </c>
      <c r="T1448" t="str" cm="1">
        <f t="array" aca="1" ref="T1448" ca="1">RoundToTwoSigFigs(Validation[[#This Row],[Test Reading]]*Validation[[#This Row],[Mult]]+Validation[[#This Row],[Base]]) &amp;" "&amp;Validation[[#This Row],[Uncert_Units]]</f>
        <v>5800000 µV</v>
      </c>
      <c r="U1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V1448" t="b">
        <f ca="1">Validation[[#This Row],[Desired Result]]=Validation[[#This Row],[Result]]</f>
        <v>1</v>
      </c>
      <c r="W1448" t="b">
        <v>0</v>
      </c>
      <c r="X1448" t="b">
        <f>Validation[[#This Row],[Range1_Low]]&gt;=Validation[[#This Row],[Range1_High]]</f>
        <v>0</v>
      </c>
      <c r="Y1448" s="111" t="s">
        <v>2845</v>
      </c>
    </row>
    <row r="1449" spans="1:25" ht="16.5" thickTop="1" thickBot="1" x14ac:dyDescent="0.3">
      <c r="A1449" t="s">
        <v>55</v>
      </c>
      <c r="B1449" t="s">
        <v>8</v>
      </c>
      <c r="C1449" s="113">
        <v>0.01</v>
      </c>
      <c r="D1449" s="113">
        <v>0.1</v>
      </c>
      <c r="E1449">
        <v>1.0000000000000001E-5</v>
      </c>
      <c r="F1449" t="s">
        <v>6</v>
      </c>
      <c r="G1449" t="s">
        <v>5</v>
      </c>
      <c r="H1449">
        <v>50</v>
      </c>
      <c r="I1449">
        <v>100</v>
      </c>
      <c r="J1449" t="s">
        <v>10</v>
      </c>
      <c r="K1449">
        <v>7.1698000000000004</v>
      </c>
      <c r="L1449">
        <v>895.95</v>
      </c>
      <c r="M1449">
        <v>7.1433</v>
      </c>
      <c r="N1449">
        <v>896.05</v>
      </c>
      <c r="O1449" t="s">
        <v>2833</v>
      </c>
      <c r="P1449" t="s">
        <v>2833</v>
      </c>
      <c r="Q1449" t="s">
        <v>2833</v>
      </c>
      <c r="R1449">
        <f ca="1">RAND()*(Validation[[#This Row],[Range1_High]]-Validation[[#This Row],[Range1_Low]])+Validation[[#This Row],[Range1_Low]]</f>
        <v>8.1983724492149301E-2</v>
      </c>
      <c r="S1449">
        <f>Validation[[#This Row],[Range2_High]]</f>
        <v>100</v>
      </c>
      <c r="T1449" t="str" cm="1">
        <f t="array" aca="1" ref="T1449" ca="1">RoundToTwoSigFigs(Validation[[#This Row],[Test Reading]]*Validation[[#This Row],[Mult]]+Validation[[#This Row],[Base]]) &amp;" "&amp;Validation[[#This Row],[Uncert_Units]]</f>
        <v>81 µV</v>
      </c>
      <c r="U1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µV</v>
      </c>
      <c r="V1449" t="b">
        <f ca="1">Validation[[#This Row],[Desired Result]]=Validation[[#This Row],[Result]]</f>
        <v>1</v>
      </c>
      <c r="W1449" t="b">
        <v>1</v>
      </c>
      <c r="X1449" t="b">
        <f>Validation[[#This Row],[Range1_Low]]&gt;=Validation[[#This Row],[Range1_High]]</f>
        <v>0</v>
      </c>
      <c r="Y1449" s="111" t="s">
        <v>2843</v>
      </c>
    </row>
    <row r="1450" spans="1:25" ht="16.5" thickTop="1" thickBot="1" x14ac:dyDescent="0.3">
      <c r="A1450" t="s">
        <v>68</v>
      </c>
      <c r="B1450" t="s">
        <v>8</v>
      </c>
      <c r="C1450">
        <v>0</v>
      </c>
      <c r="D1450">
        <v>0.1</v>
      </c>
      <c r="E1450">
        <v>0.01</v>
      </c>
      <c r="F1450" t="s">
        <v>6</v>
      </c>
      <c r="G1450" t="s">
        <v>5</v>
      </c>
      <c r="H1450">
        <v>2</v>
      </c>
      <c r="I1450">
        <v>20</v>
      </c>
      <c r="J1450" t="s">
        <v>10</v>
      </c>
      <c r="K1450">
        <v>5773.7</v>
      </c>
      <c r="L1450">
        <v>13.173</v>
      </c>
      <c r="M1450">
        <v>5773.6</v>
      </c>
      <c r="N1450">
        <v>13.074999999999999</v>
      </c>
      <c r="O1450" t="s">
        <v>2833</v>
      </c>
      <c r="P1450" t="s">
        <v>2833</v>
      </c>
      <c r="Q1450" t="s">
        <v>2833</v>
      </c>
      <c r="R1450">
        <f ca="1">RAND()*(Validation[[#This Row],[Range1_High]]-Validation[[#This Row],[Range1_Low]])+Validation[[#This Row],[Range1_Low]]</f>
        <v>3.9441514297963998E-2</v>
      </c>
      <c r="S1450">
        <f>Validation[[#This Row],[Range2_High]]</f>
        <v>20</v>
      </c>
      <c r="T1450" t="str" cm="1">
        <f t="array" aca="1" ref="T1450" ca="1">RoundToTwoSigFigs(Validation[[#This Row],[Test Reading]]*Validation[[#This Row],[Mult]]+Validation[[#This Row],[Base]]) &amp;" "&amp;Validation[[#This Row],[Uncert_Units]]</f>
        <v>5800 µV</v>
      </c>
      <c r="U1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450" t="b">
        <f ca="1">Validation[[#This Row],[Desired Result]]=Validation[[#This Row],[Result]]</f>
        <v>1</v>
      </c>
      <c r="W1450" t="b">
        <v>0</v>
      </c>
      <c r="X1450" t="b">
        <f>Validation[[#This Row],[Range1_Low]]&gt;=Validation[[#This Row],[Range1_High]]</f>
        <v>0</v>
      </c>
      <c r="Y1450" s="111" t="s">
        <v>2845</v>
      </c>
    </row>
    <row r="1451" spans="1:25" ht="16.5" thickTop="1" thickBot="1" x14ac:dyDescent="0.3">
      <c r="A1451" t="s">
        <v>55</v>
      </c>
      <c r="B1451" t="s">
        <v>8</v>
      </c>
      <c r="C1451" s="113">
        <v>0.01</v>
      </c>
      <c r="D1451" s="113">
        <v>0.1</v>
      </c>
      <c r="E1451">
        <v>1.0000000000000001E-5</v>
      </c>
      <c r="F1451" t="s">
        <v>6</v>
      </c>
      <c r="G1451" t="s">
        <v>5</v>
      </c>
      <c r="H1451">
        <v>300</v>
      </c>
      <c r="I1451">
        <v>1000</v>
      </c>
      <c r="J1451" t="s">
        <v>10</v>
      </c>
      <c r="K1451">
        <v>12</v>
      </c>
      <c r="L1451">
        <v>12000</v>
      </c>
      <c r="M1451">
        <v>11.635</v>
      </c>
      <c r="N1451">
        <v>11630</v>
      </c>
      <c r="O1451" t="s">
        <v>2833</v>
      </c>
      <c r="P1451" t="s">
        <v>2833</v>
      </c>
      <c r="Q1451" t="s">
        <v>2833</v>
      </c>
      <c r="R1451">
        <f ca="1">RAND()*(Validation[[#This Row],[Range1_High]]-Validation[[#This Row],[Range1_Low]])+Validation[[#This Row],[Range1_Low]]</f>
        <v>1.513588407210718E-2</v>
      </c>
      <c r="S1451">
        <f>Validation[[#This Row],[Range2_High]]</f>
        <v>1000</v>
      </c>
      <c r="T1451" t="str" cm="1">
        <f t="array" aca="1" ref="T1451" ca="1">RoundToTwoSigFigs(Validation[[#This Row],[Test Reading]]*Validation[[#This Row],[Mult]]+Validation[[#This Row],[Base]]) &amp;" "&amp;Validation[[#This Row],[Uncert_Units]]</f>
        <v>190 µV</v>
      </c>
      <c r="U1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V1451" t="b">
        <f ca="1">Validation[[#This Row],[Desired Result]]=Validation[[#This Row],[Result]]</f>
        <v>0</v>
      </c>
      <c r="W1451" t="b">
        <v>1</v>
      </c>
      <c r="X1451" t="b">
        <f>Validation[[#This Row],[Range1_Low]]&gt;=Validation[[#This Row],[Range1_High]]</f>
        <v>0</v>
      </c>
      <c r="Y1451" s="111" t="s">
        <v>2843</v>
      </c>
    </row>
    <row r="1452" spans="1:25" ht="16.5" thickTop="1" thickBot="1" x14ac:dyDescent="0.3">
      <c r="A1452" t="s">
        <v>54</v>
      </c>
      <c r="B1452" t="s">
        <v>8</v>
      </c>
      <c r="C1452" s="113">
        <v>0.33</v>
      </c>
      <c r="D1452" s="113">
        <v>3.3001</v>
      </c>
      <c r="E1452">
        <v>1E-4</v>
      </c>
      <c r="F1452" t="s">
        <v>6</v>
      </c>
      <c r="G1452" t="s">
        <v>4</v>
      </c>
      <c r="H1452">
        <v>50</v>
      </c>
      <c r="I1452">
        <v>100.01</v>
      </c>
      <c r="J1452" t="s">
        <v>10</v>
      </c>
      <c r="K1452">
        <v>0.24</v>
      </c>
      <c r="L1452">
        <v>2.6566000000000001</v>
      </c>
      <c r="M1452">
        <v>0.23255999999999999</v>
      </c>
      <c r="N1452">
        <v>2.6566999999999998</v>
      </c>
      <c r="O1452" t="s">
        <v>2833</v>
      </c>
      <c r="P1452" t="s">
        <v>2833</v>
      </c>
      <c r="Q1452" t="s">
        <v>2833</v>
      </c>
      <c r="R1452">
        <f ca="1">RAND()*(Validation[[#This Row],[Range1_High]]-Validation[[#This Row],[Range1_Low]])+Validation[[#This Row],[Range1_Low]]</f>
        <v>1.8226200580418397</v>
      </c>
      <c r="S1452">
        <f>Validation[[#This Row],[Range2_High]]</f>
        <v>100.01</v>
      </c>
      <c r="T1452" t="str" cm="1">
        <f t="array" aca="1" ref="T1452" ca="1">RoundToTwoSigFigs(Validation[[#This Row],[Test Reading]]*Validation[[#This Row],[Mult]]+Validation[[#This Row],[Base]]) &amp;" "&amp;Validation[[#This Row],[Uncert_Units]]</f>
        <v>5.1 mV</v>
      </c>
      <c r="U1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V1452" t="b">
        <f ca="1">Validation[[#This Row],[Desired Result]]=Validation[[#This Row],[Result]]</f>
        <v>1</v>
      </c>
      <c r="W1452" t="b">
        <v>1</v>
      </c>
      <c r="X1452" t="b">
        <f>Validation[[#This Row],[Range1_Low]]&gt;=Validation[[#This Row],[Range1_High]]</f>
        <v>0</v>
      </c>
      <c r="Y1452" s="111" t="s">
        <v>2843</v>
      </c>
    </row>
    <row r="1453" spans="1:25" ht="16.5" thickTop="1" thickBot="1" x14ac:dyDescent="0.3">
      <c r="A1453" t="s">
        <v>54</v>
      </c>
      <c r="B1453" t="s">
        <v>8</v>
      </c>
      <c r="C1453" s="113">
        <v>3.3</v>
      </c>
      <c r="D1453" s="113">
        <v>33.000999999999998</v>
      </c>
      <c r="E1453">
        <v>0.01</v>
      </c>
      <c r="F1453" t="s">
        <v>6</v>
      </c>
      <c r="G1453" t="s">
        <v>4</v>
      </c>
      <c r="H1453">
        <v>500</v>
      </c>
      <c r="I1453">
        <v>501</v>
      </c>
      <c r="J1453" t="s">
        <v>10</v>
      </c>
      <c r="K1453">
        <v>13</v>
      </c>
      <c r="L1453">
        <v>4.5999999999999996</v>
      </c>
      <c r="M1453">
        <v>3.831</v>
      </c>
      <c r="N1453">
        <v>2.6581000000000001</v>
      </c>
      <c r="O1453" t="s">
        <v>2833</v>
      </c>
      <c r="P1453" t="s">
        <v>2833</v>
      </c>
      <c r="Q1453" t="s">
        <v>2833</v>
      </c>
      <c r="R1453">
        <f ca="1">RAND()*(Validation[[#This Row],[Range1_High]]-Validation[[#This Row],[Range1_Low]])+Validation[[#This Row],[Range1_Low]]</f>
        <v>32.824518159305676</v>
      </c>
      <c r="S1453">
        <f>Validation[[#This Row],[Range2_High]]</f>
        <v>501</v>
      </c>
      <c r="T1453" t="str" cm="1">
        <f t="array" aca="1" ref="T1453" ca="1">RoundToTwoSigFigs(Validation[[#This Row],[Test Reading]]*Validation[[#This Row],[Mult]]+Validation[[#This Row],[Base]]) &amp;" "&amp;Validation[[#This Row],[Uncert_Units]]</f>
        <v>160 mV</v>
      </c>
      <c r="U1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V1453" t="b">
        <f ca="1">Validation[[#This Row],[Desired Result]]=Validation[[#This Row],[Result]]</f>
        <v>1</v>
      </c>
      <c r="W1453" t="b">
        <v>1</v>
      </c>
      <c r="X1453" t="b">
        <f>Validation[[#This Row],[Range1_Low]]&gt;=Validation[[#This Row],[Range1_High]]</f>
        <v>0</v>
      </c>
      <c r="Y1453" s="111" t="s">
        <v>2843</v>
      </c>
    </row>
    <row r="1454" spans="1:25" ht="16.5" thickTop="1" thickBot="1" x14ac:dyDescent="0.3">
      <c r="A1454" t="s">
        <v>55</v>
      </c>
      <c r="B1454" t="s">
        <v>8</v>
      </c>
      <c r="C1454" s="113">
        <v>0.01</v>
      </c>
      <c r="D1454" s="113">
        <v>0.1</v>
      </c>
      <c r="E1454">
        <v>9.9999999999999995E-8</v>
      </c>
      <c r="F1454" t="s">
        <v>6</v>
      </c>
      <c r="G1454" t="s">
        <v>5</v>
      </c>
      <c r="H1454">
        <v>300</v>
      </c>
      <c r="I1454">
        <v>1000</v>
      </c>
      <c r="J1454" t="s">
        <v>10</v>
      </c>
      <c r="K1454">
        <v>12</v>
      </c>
      <c r="L1454">
        <v>12000</v>
      </c>
      <c r="M1454">
        <v>11.521000000000001</v>
      </c>
      <c r="N1454">
        <v>11631</v>
      </c>
      <c r="O1454" t="s">
        <v>2833</v>
      </c>
      <c r="P1454" t="s">
        <v>2833</v>
      </c>
      <c r="Q1454" t="s">
        <v>2833</v>
      </c>
      <c r="R1454">
        <f ca="1">RAND()*(Validation[[#This Row],[Range1_High]]-Validation[[#This Row],[Range1_Low]])+Validation[[#This Row],[Range1_Low]]</f>
        <v>9.0282783596561389E-2</v>
      </c>
      <c r="S1454">
        <f>Validation[[#This Row],[Range2_High]]</f>
        <v>1000</v>
      </c>
      <c r="T1454" t="str" cm="1">
        <f t="array" aca="1" ref="T1454" ca="1">RoundToTwoSigFigs(Validation[[#This Row],[Test Reading]]*Validation[[#This Row],[Mult]]+Validation[[#This Row],[Base]]) &amp;" "&amp;Validation[[#This Row],[Uncert_Units]]</f>
        <v>1100 µV</v>
      </c>
      <c r="U1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V1454" t="b">
        <f ca="1">Validation[[#This Row],[Desired Result]]=Validation[[#This Row],[Result]]</f>
        <v>0</v>
      </c>
      <c r="W1454" t="b">
        <v>1</v>
      </c>
      <c r="X1454" t="b">
        <f>Validation[[#This Row],[Range1_Low]]&gt;=Validation[[#This Row],[Range1_High]]</f>
        <v>0</v>
      </c>
      <c r="Y1454" s="111" t="s">
        <v>2843</v>
      </c>
    </row>
    <row r="1455" spans="1:25" ht="16.5" thickTop="1" thickBot="1" x14ac:dyDescent="0.3">
      <c r="A1455" t="s">
        <v>55</v>
      </c>
      <c r="B1455" t="s">
        <v>8</v>
      </c>
      <c r="C1455" s="113">
        <v>0.1</v>
      </c>
      <c r="D1455" s="113">
        <v>1</v>
      </c>
      <c r="E1455">
        <v>1E-3</v>
      </c>
      <c r="F1455" t="s">
        <v>6</v>
      </c>
      <c r="G1455" t="s">
        <v>5</v>
      </c>
      <c r="H1455">
        <v>300</v>
      </c>
      <c r="I1455">
        <v>1000</v>
      </c>
      <c r="J1455" t="s">
        <v>10</v>
      </c>
      <c r="K1455">
        <v>212.67</v>
      </c>
      <c r="L1455">
        <v>11907</v>
      </c>
      <c r="M1455">
        <v>246.94</v>
      </c>
      <c r="N1455">
        <v>11553</v>
      </c>
      <c r="O1455" t="s">
        <v>2833</v>
      </c>
      <c r="P1455" t="s">
        <v>2833</v>
      </c>
      <c r="Q1455" t="s">
        <v>2833</v>
      </c>
      <c r="R1455">
        <f ca="1">RAND()*(Validation[[#This Row],[Range1_High]]-Validation[[#This Row],[Range1_Low]])+Validation[[#This Row],[Range1_Low]]</f>
        <v>0.37678455803840827</v>
      </c>
      <c r="S1455">
        <f>Validation[[#This Row],[Range2_High]]</f>
        <v>1000</v>
      </c>
      <c r="T1455" t="str" cm="1">
        <f t="array" aca="1" ref="T1455" ca="1">RoundToTwoSigFigs(Validation[[#This Row],[Test Reading]]*Validation[[#This Row],[Mult]]+Validation[[#This Row],[Base]]) &amp;" "&amp;Validation[[#This Row],[Uncert_Units]]</f>
        <v>4700 µV</v>
      </c>
      <c r="U1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µV</v>
      </c>
      <c r="V1455" t="b">
        <f ca="1">Validation[[#This Row],[Desired Result]]=Validation[[#This Row],[Result]]</f>
        <v>0</v>
      </c>
      <c r="W1455" t="b">
        <v>1</v>
      </c>
      <c r="X1455" t="b">
        <f>Validation[[#This Row],[Range1_Low]]&gt;=Validation[[#This Row],[Range1_High]]</f>
        <v>0</v>
      </c>
      <c r="Y1455" s="111" t="s">
        <v>2843</v>
      </c>
    </row>
    <row r="1456" spans="1:25" ht="15.75" thickTop="1" x14ac:dyDescent="0.25">
      <c r="A1456" t="s">
        <v>54</v>
      </c>
      <c r="B1456" t="s">
        <v>8</v>
      </c>
      <c r="C1456">
        <v>0</v>
      </c>
      <c r="D1456">
        <v>3.3009999999999998E-2</v>
      </c>
      <c r="E1456">
        <v>10</v>
      </c>
      <c r="F1456" t="s">
        <v>6</v>
      </c>
      <c r="G1456" t="s">
        <v>5</v>
      </c>
      <c r="H1456">
        <v>20</v>
      </c>
      <c r="I1456">
        <v>50.01</v>
      </c>
      <c r="J1456" t="s">
        <v>10</v>
      </c>
      <c r="K1456">
        <v>5800000</v>
      </c>
      <c r="L1456">
        <v>5.6063000000000002E-2</v>
      </c>
      <c r="M1456">
        <v>5800000</v>
      </c>
      <c r="N1456">
        <v>2.4865999999999999E-2</v>
      </c>
      <c r="O1456" t="s">
        <v>2833</v>
      </c>
      <c r="P1456" t="s">
        <v>2833</v>
      </c>
      <c r="Q1456" t="s">
        <v>2833</v>
      </c>
      <c r="R1456">
        <f ca="1">RAND()*(Validation[[#This Row],[Range1_High]]-Validation[[#This Row],[Range1_Low]])+Validation[[#This Row],[Range1_Low]]</f>
        <v>2.0237194205661724E-2</v>
      </c>
      <c r="S1456">
        <f>Validation[[#This Row],[Range2_High]]</f>
        <v>50.01</v>
      </c>
      <c r="T1456" t="str" cm="1">
        <f t="array" aca="1" ref="T1456" ca="1">RoundToTwoSigFigs(Validation[[#This Row],[Test Reading]]*Validation[[#This Row],[Mult]]+Validation[[#This Row],[Base]]) &amp;" "&amp;Validation[[#This Row],[Uncert_Units]]</f>
        <v>5800000 µV</v>
      </c>
      <c r="U1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V1456" t="b">
        <f ca="1">Validation[[#This Row],[Desired Result]]=Validation[[#This Row],[Result]]</f>
        <v>1</v>
      </c>
      <c r="W1456" t="b">
        <v>0</v>
      </c>
      <c r="X1456" t="b">
        <f>Validation[[#This Row],[Range1_Low]]&gt;=Validation[[#This Row],[Range1_High]]</f>
        <v>0</v>
      </c>
      <c r="Y1456" s="111" t="s">
        <v>2845</v>
      </c>
    </row>
    <row r="1457" spans="1:25" x14ac:dyDescent="0.25">
      <c r="A1457" t="s">
        <v>55</v>
      </c>
      <c r="B1457" t="s">
        <v>8</v>
      </c>
      <c r="C1457">
        <v>100</v>
      </c>
      <c r="D1457">
        <v>330</v>
      </c>
      <c r="E1457">
        <v>1</v>
      </c>
      <c r="F1457" t="s">
        <v>6</v>
      </c>
      <c r="G1457" t="s">
        <v>4</v>
      </c>
      <c r="H1457">
        <v>1E-3</v>
      </c>
      <c r="I1457">
        <v>0.04</v>
      </c>
      <c r="J1457" t="s">
        <v>10</v>
      </c>
      <c r="K1457">
        <v>573.41999999999996</v>
      </c>
      <c r="L1457">
        <v>0.11327</v>
      </c>
      <c r="M1457">
        <v>573.41999999999996</v>
      </c>
      <c r="N1457">
        <v>0.11294</v>
      </c>
      <c r="O1457" t="s">
        <v>2833</v>
      </c>
      <c r="P1457" t="s">
        <v>2833</v>
      </c>
      <c r="Q1457" t="s">
        <v>2833</v>
      </c>
      <c r="R1457">
        <f ca="1">RAND()*(Validation[[#This Row],[Range1_High]]-Validation[[#This Row],[Range1_Low]])+Validation[[#This Row],[Range1_Low]]</f>
        <v>169.04529607491401</v>
      </c>
      <c r="S1457">
        <f>Validation[[#This Row],[Range2_High]]</f>
        <v>0.04</v>
      </c>
      <c r="T1457" t="str" cm="1">
        <f t="array" aca="1" ref="T1457" ca="1">RoundToTwoSigFigs(Validation[[#This Row],[Test Reading]]*Validation[[#This Row],[Mult]]+Validation[[#This Row],[Base]]) &amp;" "&amp;Validation[[#This Row],[Uncert_Units]]</f>
        <v>590 mV</v>
      </c>
      <c r="U1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V1457" t="b">
        <f ca="1">Validation[[#This Row],[Desired Result]]=Validation[[#This Row],[Result]]</f>
        <v>1</v>
      </c>
      <c r="W1457" t="b">
        <v>0</v>
      </c>
      <c r="X1457" t="b">
        <f>Validation[[#This Row],[Range1_Low]]&gt;=Validation[[#This Row],[Range1_High]]</f>
        <v>0</v>
      </c>
      <c r="Y1457" s="111" t="s">
        <v>2845</v>
      </c>
    </row>
    <row r="1458" spans="1:25" ht="15.75" thickBot="1" x14ac:dyDescent="0.3">
      <c r="A1458" t="s">
        <v>55</v>
      </c>
      <c r="B1458" t="s">
        <v>8</v>
      </c>
      <c r="C1458">
        <v>0</v>
      </c>
      <c r="D1458">
        <v>0.01</v>
      </c>
      <c r="E1458">
        <v>9.9999999999999995E-7</v>
      </c>
      <c r="F1458" t="s">
        <v>6</v>
      </c>
      <c r="G1458" t="s">
        <v>5</v>
      </c>
      <c r="H1458">
        <v>100</v>
      </c>
      <c r="I1458">
        <v>300</v>
      </c>
      <c r="J1458" t="s">
        <v>10</v>
      </c>
      <c r="K1458">
        <v>4.2004999999999999</v>
      </c>
      <c r="L1458">
        <v>46000</v>
      </c>
      <c r="M1458">
        <v>2.919</v>
      </c>
      <c r="N1458">
        <v>46128</v>
      </c>
      <c r="O1458" t="s">
        <v>2833</v>
      </c>
      <c r="P1458" t="s">
        <v>2833</v>
      </c>
      <c r="Q1458" t="s">
        <v>2833</v>
      </c>
      <c r="R1458">
        <f ca="1">RAND()*(Validation[[#This Row],[Range1_High]]-Validation[[#This Row],[Range1_Low]])+Validation[[#This Row],[Range1_Low]]</f>
        <v>8.5596247223941168E-3</v>
      </c>
      <c r="S1458">
        <f>Validation[[#This Row],[Range2_High]]</f>
        <v>300</v>
      </c>
      <c r="T1458" t="str" cm="1">
        <f t="array" aca="1" ref="T1458" ca="1">RoundToTwoSigFigs(Validation[[#This Row],[Test Reading]]*Validation[[#This Row],[Mult]]+Validation[[#This Row],[Base]]) &amp;" "&amp;Validation[[#This Row],[Uncert_Units]]</f>
        <v>400 µV</v>
      </c>
      <c r="U1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V1458" t="b">
        <f ca="1">Validation[[#This Row],[Desired Result]]=Validation[[#This Row],[Result]]</f>
        <v>1</v>
      </c>
      <c r="W1458" t="b">
        <v>0</v>
      </c>
      <c r="X1458" t="b">
        <f>Validation[[#This Row],[Range1_Low]]&gt;=Validation[[#This Row],[Range1_High]]</f>
        <v>0</v>
      </c>
      <c r="Y1458" s="111" t="s">
        <v>2845</v>
      </c>
    </row>
    <row r="1459" spans="1:25" ht="16.5" thickTop="1" thickBot="1" x14ac:dyDescent="0.3">
      <c r="A1459" t="s">
        <v>54</v>
      </c>
      <c r="B1459" t="s">
        <v>8</v>
      </c>
      <c r="C1459" s="113">
        <v>33</v>
      </c>
      <c r="D1459" s="113">
        <v>330.01</v>
      </c>
      <c r="E1459">
        <v>1E-3</v>
      </c>
      <c r="F1459" t="s">
        <v>6</v>
      </c>
      <c r="G1459" t="s">
        <v>4</v>
      </c>
      <c r="H1459">
        <v>100</v>
      </c>
      <c r="I1459">
        <v>100.1</v>
      </c>
      <c r="J1459" t="s">
        <v>10</v>
      </c>
      <c r="K1459">
        <v>92</v>
      </c>
      <c r="L1459">
        <v>2.8</v>
      </c>
      <c r="M1459">
        <v>91.936999999999998</v>
      </c>
      <c r="N1459">
        <v>2.7856000000000001</v>
      </c>
      <c r="O1459" t="s">
        <v>2833</v>
      </c>
      <c r="P1459" t="s">
        <v>2833</v>
      </c>
      <c r="Q1459" t="s">
        <v>2833</v>
      </c>
      <c r="R1459">
        <f ca="1">RAND()*(Validation[[#This Row],[Range1_High]]-Validation[[#This Row],[Range1_Low]])+Validation[[#This Row],[Range1_Low]]</f>
        <v>65.317978640385888</v>
      </c>
      <c r="S1459">
        <f>Validation[[#This Row],[Range2_High]]</f>
        <v>100.1</v>
      </c>
      <c r="T1459" t="str" cm="1">
        <f t="array" aca="1" ref="T1459" ca="1">RoundToTwoSigFigs(Validation[[#This Row],[Test Reading]]*Validation[[#This Row],[Mult]]+Validation[[#This Row],[Base]]) &amp;" "&amp;Validation[[#This Row],[Uncert_Units]]</f>
        <v>270 mV</v>
      </c>
      <c r="U1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V1459" t="b">
        <f ca="1">Validation[[#This Row],[Desired Result]]=Validation[[#This Row],[Result]]</f>
        <v>1</v>
      </c>
      <c r="W1459" t="b">
        <v>1</v>
      </c>
      <c r="X1459" t="b">
        <f>Validation[[#This Row],[Range1_Low]]&gt;=Validation[[#This Row],[Range1_High]]</f>
        <v>0</v>
      </c>
      <c r="Y1459" s="111" t="s">
        <v>2843</v>
      </c>
    </row>
    <row r="1460" spans="1:25" ht="16.5" thickTop="1" thickBot="1" x14ac:dyDescent="0.3">
      <c r="A1460" t="s">
        <v>55</v>
      </c>
      <c r="B1460" t="s">
        <v>8</v>
      </c>
      <c r="C1460" s="113">
        <v>10</v>
      </c>
      <c r="D1460" s="113">
        <v>20</v>
      </c>
      <c r="E1460">
        <v>0.01</v>
      </c>
      <c r="F1460" t="s">
        <v>6</v>
      </c>
      <c r="G1460" t="s">
        <v>4</v>
      </c>
      <c r="H1460">
        <v>20</v>
      </c>
      <c r="I1460">
        <v>50</v>
      </c>
      <c r="J1460" t="s">
        <v>10</v>
      </c>
      <c r="K1460">
        <v>5.2424999999999997</v>
      </c>
      <c r="L1460">
        <v>0.33546999999999999</v>
      </c>
      <c r="M1460">
        <v>5.2373000000000003</v>
      </c>
      <c r="N1460">
        <v>0.33510000000000001</v>
      </c>
      <c r="O1460" t="s">
        <v>2833</v>
      </c>
      <c r="P1460" t="s">
        <v>2833</v>
      </c>
      <c r="Q1460" t="s">
        <v>2833</v>
      </c>
      <c r="R1460">
        <f ca="1">RAND()*(Validation[[#This Row],[Range1_High]]-Validation[[#This Row],[Range1_Low]])+Validation[[#This Row],[Range1_Low]]</f>
        <v>13.893262112620317</v>
      </c>
      <c r="S1460">
        <f>Validation[[#This Row],[Range2_High]]</f>
        <v>50</v>
      </c>
      <c r="T1460" t="str" cm="1">
        <f t="array" aca="1" ref="T1460" ca="1">RoundToTwoSigFigs(Validation[[#This Row],[Test Reading]]*Validation[[#This Row],[Mult]]+Validation[[#This Row],[Base]]) &amp;" "&amp;Validation[[#This Row],[Uncert_Units]]</f>
        <v>9.9 mV</v>
      </c>
      <c r="U1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mV</v>
      </c>
      <c r="V1460" t="b">
        <f ca="1">Validation[[#This Row],[Desired Result]]=Validation[[#This Row],[Result]]</f>
        <v>1</v>
      </c>
      <c r="W1460" t="b">
        <v>1</v>
      </c>
      <c r="X1460" t="b">
        <f>Validation[[#This Row],[Range1_Low]]&gt;=Validation[[#This Row],[Range1_High]]</f>
        <v>0</v>
      </c>
      <c r="Y1460" s="111" t="s">
        <v>2843</v>
      </c>
    </row>
    <row r="1461" spans="1:25" ht="16.5" thickTop="1" thickBot="1" x14ac:dyDescent="0.3">
      <c r="A1461" t="s">
        <v>54</v>
      </c>
      <c r="B1461" t="s">
        <v>8</v>
      </c>
      <c r="C1461" s="113">
        <v>0.33</v>
      </c>
      <c r="D1461" s="113">
        <v>3.3001</v>
      </c>
      <c r="E1461">
        <v>1E-4</v>
      </c>
      <c r="F1461" t="s">
        <v>6</v>
      </c>
      <c r="G1461" t="s">
        <v>4</v>
      </c>
      <c r="H1461">
        <v>10</v>
      </c>
      <c r="I1461">
        <v>20.010000000000002</v>
      </c>
      <c r="J1461" t="s">
        <v>10</v>
      </c>
      <c r="K1461">
        <v>7.5008000000000005E-2</v>
      </c>
      <c r="L1461">
        <v>0.80728999999999995</v>
      </c>
      <c r="M1461">
        <v>7.4829000000000007E-2</v>
      </c>
      <c r="N1461">
        <v>0.80732999999999999</v>
      </c>
      <c r="O1461" t="s">
        <v>2833</v>
      </c>
      <c r="P1461" t="s">
        <v>2833</v>
      </c>
      <c r="Q1461" t="s">
        <v>2833</v>
      </c>
      <c r="R1461">
        <f ca="1">RAND()*(Validation[[#This Row],[Range1_High]]-Validation[[#This Row],[Range1_Low]])+Validation[[#This Row],[Range1_Low]]</f>
        <v>1.8412756985454843</v>
      </c>
      <c r="S1461">
        <f>Validation[[#This Row],[Range2_High]]</f>
        <v>20.010000000000002</v>
      </c>
      <c r="T1461" t="str" cm="1">
        <f t="array" aca="1" ref="T1461" ca="1">RoundToTwoSigFigs(Validation[[#This Row],[Test Reading]]*Validation[[#This Row],[Mult]]+Validation[[#This Row],[Base]]) &amp;" "&amp;Validation[[#This Row],[Uncert_Units]]</f>
        <v>1.6 mV</v>
      </c>
      <c r="U1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mV</v>
      </c>
      <c r="V1461" t="b">
        <f ca="1">Validation[[#This Row],[Desired Result]]=Validation[[#This Row],[Result]]</f>
        <v>0</v>
      </c>
      <c r="W1461" t="b">
        <v>1</v>
      </c>
      <c r="X1461" t="b">
        <f>Validation[[#This Row],[Range1_Low]]&gt;=Validation[[#This Row],[Range1_High]]</f>
        <v>0</v>
      </c>
      <c r="Y1461" s="111" t="s">
        <v>2843</v>
      </c>
    </row>
    <row r="1462" spans="1:25" ht="16.5" thickTop="1" thickBot="1" x14ac:dyDescent="0.3">
      <c r="A1462" t="s">
        <v>54</v>
      </c>
      <c r="B1462" t="s">
        <v>8</v>
      </c>
      <c r="C1462" s="113">
        <v>3.3</v>
      </c>
      <c r="D1462" s="113">
        <v>33.000999999999998</v>
      </c>
      <c r="E1462">
        <v>1E-3</v>
      </c>
      <c r="F1462" t="s">
        <v>6</v>
      </c>
      <c r="G1462" t="s">
        <v>4</v>
      </c>
      <c r="H1462">
        <v>10</v>
      </c>
      <c r="I1462">
        <v>20.010000000000002</v>
      </c>
      <c r="J1462" t="s">
        <v>10</v>
      </c>
      <c r="K1462">
        <v>0.74743999999999999</v>
      </c>
      <c r="L1462">
        <v>0.8075</v>
      </c>
      <c r="M1462">
        <v>0.74699000000000004</v>
      </c>
      <c r="N1462">
        <v>0.80750999999999995</v>
      </c>
      <c r="O1462" t="s">
        <v>2833</v>
      </c>
      <c r="P1462" t="s">
        <v>2833</v>
      </c>
      <c r="Q1462" t="s">
        <v>2833</v>
      </c>
      <c r="R1462">
        <f ca="1">RAND()*(Validation[[#This Row],[Range1_High]]-Validation[[#This Row],[Range1_Low]])+Validation[[#This Row],[Range1_Low]]</f>
        <v>7.9186070846204197</v>
      </c>
      <c r="S1462">
        <f>Validation[[#This Row],[Range2_High]]</f>
        <v>20.010000000000002</v>
      </c>
      <c r="T1462" t="str" cm="1">
        <f t="array" aca="1" ref="T1462" ca="1">RoundToTwoSigFigs(Validation[[#This Row],[Test Reading]]*Validation[[#This Row],[Mult]]+Validation[[#This Row],[Base]]) &amp;" "&amp;Validation[[#This Row],[Uncert_Units]]</f>
        <v>7.1 mV</v>
      </c>
      <c r="U1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mV</v>
      </c>
      <c r="V1462" t="b">
        <f ca="1">Validation[[#This Row],[Desired Result]]=Validation[[#This Row],[Result]]</f>
        <v>0</v>
      </c>
      <c r="W1462" t="b">
        <v>1</v>
      </c>
      <c r="X1462" t="b">
        <f>Validation[[#This Row],[Range1_Low]]&gt;=Validation[[#This Row],[Range1_High]]</f>
        <v>0</v>
      </c>
      <c r="Y1462" s="111" t="s">
        <v>2843</v>
      </c>
    </row>
    <row r="1463" spans="1:25" ht="15.75" thickTop="1" x14ac:dyDescent="0.25">
      <c r="A1463" t="s">
        <v>54</v>
      </c>
      <c r="B1463" t="s">
        <v>8</v>
      </c>
      <c r="C1463">
        <v>3.3000000000000002E-2</v>
      </c>
      <c r="D1463">
        <v>0.33001000000000003</v>
      </c>
      <c r="E1463">
        <v>0.01</v>
      </c>
      <c r="F1463" t="s">
        <v>6</v>
      </c>
      <c r="G1463" t="s">
        <v>5</v>
      </c>
      <c r="H1463">
        <v>500</v>
      </c>
      <c r="I1463">
        <v>501</v>
      </c>
      <c r="J1463" t="s">
        <v>10</v>
      </c>
      <c r="K1463">
        <v>5783</v>
      </c>
      <c r="L1463">
        <v>1371.2</v>
      </c>
      <c r="M1463">
        <v>5783</v>
      </c>
      <c r="N1463">
        <v>1370.9</v>
      </c>
      <c r="O1463" t="s">
        <v>2833</v>
      </c>
      <c r="P1463" t="s">
        <v>2833</v>
      </c>
      <c r="Q1463" t="s">
        <v>2833</v>
      </c>
      <c r="R1463">
        <f ca="1">RAND()*(Validation[[#This Row],[Range1_High]]-Validation[[#This Row],[Range1_Low]])+Validation[[#This Row],[Range1_Low]]</f>
        <v>9.7345799769101876E-2</v>
      </c>
      <c r="S1463">
        <f>Validation[[#This Row],[Range2_High]]</f>
        <v>501</v>
      </c>
      <c r="T1463" t="str" cm="1">
        <f t="array" aca="1" ref="T1463" ca="1">RoundToTwoSigFigs(Validation[[#This Row],[Test Reading]]*Validation[[#This Row],[Mult]]+Validation[[#This Row],[Base]]) &amp;" "&amp;Validation[[#This Row],[Uncert_Units]]</f>
        <v>5900 µV</v>
      </c>
      <c r="U1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V1463" t="b">
        <f ca="1">Validation[[#This Row],[Desired Result]]=Validation[[#This Row],[Result]]</f>
        <v>1</v>
      </c>
      <c r="W1463" t="b">
        <v>0</v>
      </c>
      <c r="X1463" t="b">
        <f>Validation[[#This Row],[Range1_Low]]&gt;=Validation[[#This Row],[Range1_High]]</f>
        <v>0</v>
      </c>
      <c r="Y1463" s="111" t="s">
        <v>2845</v>
      </c>
    </row>
    <row r="1464" spans="1:25" x14ac:dyDescent="0.25">
      <c r="A1464" t="s">
        <v>55</v>
      </c>
      <c r="B1464" t="s">
        <v>8</v>
      </c>
      <c r="C1464">
        <v>0</v>
      </c>
      <c r="D1464">
        <v>0.01</v>
      </c>
      <c r="E1464">
        <v>1E-4</v>
      </c>
      <c r="F1464" t="s">
        <v>6</v>
      </c>
      <c r="G1464" t="s">
        <v>5</v>
      </c>
      <c r="H1464">
        <v>100</v>
      </c>
      <c r="I1464">
        <v>300</v>
      </c>
      <c r="J1464" t="s">
        <v>10</v>
      </c>
      <c r="K1464">
        <v>54.13</v>
      </c>
      <c r="L1464">
        <v>41367</v>
      </c>
      <c r="M1464">
        <v>54.085999999999999</v>
      </c>
      <c r="N1464">
        <v>41369</v>
      </c>
      <c r="O1464" t="s">
        <v>2833</v>
      </c>
      <c r="P1464" t="s">
        <v>2833</v>
      </c>
      <c r="Q1464" t="s">
        <v>2833</v>
      </c>
      <c r="R1464">
        <f ca="1">RAND()*(Validation[[#This Row],[Range1_High]]-Validation[[#This Row],[Range1_Low]])+Validation[[#This Row],[Range1_Low]]</f>
        <v>9.5823033382963279E-4</v>
      </c>
      <c r="S1464">
        <f>Validation[[#This Row],[Range2_High]]</f>
        <v>300</v>
      </c>
      <c r="T1464" t="str" cm="1">
        <f t="array" aca="1" ref="T1464" ca="1">RoundToTwoSigFigs(Validation[[#This Row],[Test Reading]]*Validation[[#This Row],[Mult]]+Validation[[#This Row],[Base]]) &amp;" "&amp;Validation[[#This Row],[Uncert_Units]]</f>
        <v>94 µV</v>
      </c>
      <c r="U1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V1464" t="b">
        <f ca="1">Validation[[#This Row],[Desired Result]]=Validation[[#This Row],[Result]]</f>
        <v>0</v>
      </c>
      <c r="W1464" t="b">
        <v>1</v>
      </c>
      <c r="X1464" t="b">
        <f>Validation[[#This Row],[Range1_Low]]&gt;=Validation[[#This Row],[Range1_High]]</f>
        <v>0</v>
      </c>
      <c r="Y1464" s="111" t="s">
        <v>2845</v>
      </c>
    </row>
    <row r="1465" spans="1:25" ht="15.75" thickBot="1" x14ac:dyDescent="0.3">
      <c r="A1465" t="s">
        <v>68</v>
      </c>
      <c r="B1465" t="s">
        <v>8</v>
      </c>
      <c r="C1465">
        <v>0</v>
      </c>
      <c r="D1465">
        <v>0.1</v>
      </c>
      <c r="E1465">
        <v>1.0000000000000001E-5</v>
      </c>
      <c r="F1465" t="s">
        <v>6</v>
      </c>
      <c r="G1465" t="s">
        <v>5</v>
      </c>
      <c r="H1465">
        <v>0.01</v>
      </c>
      <c r="I1465">
        <v>2</v>
      </c>
      <c r="J1465" t="s">
        <v>10</v>
      </c>
      <c r="K1465">
        <v>35.161999999999999</v>
      </c>
      <c r="L1465">
        <v>934.08</v>
      </c>
      <c r="M1465">
        <v>35.156999999999996</v>
      </c>
      <c r="N1465">
        <v>934.05</v>
      </c>
      <c r="O1465" t="s">
        <v>2833</v>
      </c>
      <c r="P1465" t="s">
        <v>2833</v>
      </c>
      <c r="Q1465" t="s">
        <v>2833</v>
      </c>
      <c r="R1465">
        <f ca="1">RAND()*(Validation[[#This Row],[Range1_High]]-Validation[[#This Row],[Range1_Low]])+Validation[[#This Row],[Range1_Low]]</f>
        <v>7.8845319078636011E-2</v>
      </c>
      <c r="S1465">
        <f>Validation[[#This Row],[Range2_High]]</f>
        <v>2</v>
      </c>
      <c r="T1465" t="str" cm="1">
        <f t="array" aca="1" ref="T1465" ca="1">RoundToTwoSigFigs(Validation[[#This Row],[Test Reading]]*Validation[[#This Row],[Mult]]+Validation[[#This Row],[Base]]) &amp;" "&amp;Validation[[#This Row],[Uncert_Units]]</f>
        <v>110 µV</v>
      </c>
      <c r="U1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V1465" t="b">
        <f ca="1">Validation[[#This Row],[Desired Result]]=Validation[[#This Row],[Result]]</f>
        <v>1</v>
      </c>
      <c r="W1465" t="b">
        <v>0</v>
      </c>
      <c r="X1465" t="b">
        <f>Validation[[#This Row],[Range1_Low]]&gt;=Validation[[#This Row],[Range1_High]]</f>
        <v>0</v>
      </c>
      <c r="Y1465" s="111" t="s">
        <v>2845</v>
      </c>
    </row>
    <row r="1466" spans="1:25" ht="16.5" thickTop="1" thickBot="1" x14ac:dyDescent="0.3">
      <c r="A1466" t="s">
        <v>54</v>
      </c>
      <c r="B1466" t="s">
        <v>8</v>
      </c>
      <c r="C1466" s="113">
        <v>0.33</v>
      </c>
      <c r="D1466" s="113">
        <v>3.3001</v>
      </c>
      <c r="E1466">
        <v>1E-4</v>
      </c>
      <c r="F1466" t="s">
        <v>6</v>
      </c>
      <c r="G1466" t="s">
        <v>4</v>
      </c>
      <c r="H1466">
        <v>100</v>
      </c>
      <c r="I1466">
        <v>500</v>
      </c>
      <c r="J1466" t="s">
        <v>10</v>
      </c>
      <c r="K1466">
        <v>1.1000000000000001</v>
      </c>
      <c r="L1466">
        <v>5.7939999999999996</v>
      </c>
      <c r="M1466">
        <v>1.038</v>
      </c>
      <c r="N1466">
        <v>5.7941000000000003</v>
      </c>
      <c r="O1466" t="s">
        <v>2833</v>
      </c>
      <c r="P1466" t="s">
        <v>2833</v>
      </c>
      <c r="Q1466" t="s">
        <v>2833</v>
      </c>
      <c r="R1466">
        <f ca="1">RAND()*(Validation[[#This Row],[Range1_High]]-Validation[[#This Row],[Range1_Low]])+Validation[[#This Row],[Range1_Low]]</f>
        <v>1.0871902967906448</v>
      </c>
      <c r="S1466">
        <f>Validation[[#This Row],[Range2_High]]</f>
        <v>500</v>
      </c>
      <c r="T1466" t="str" cm="1">
        <f t="array" aca="1" ref="T1466" ca="1">RoundToTwoSigFigs(Validation[[#This Row],[Test Reading]]*Validation[[#This Row],[Mult]]+Validation[[#This Row],[Base]]) &amp;" "&amp;Validation[[#This Row],[Uncert_Units]]</f>
        <v>7.4 mV</v>
      </c>
      <c r="U1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V1466" t="b">
        <f ca="1">Validation[[#This Row],[Desired Result]]=Validation[[#This Row],[Result]]</f>
        <v>1</v>
      </c>
      <c r="W1466" t="b">
        <v>1</v>
      </c>
      <c r="X1466" t="b">
        <f>Validation[[#This Row],[Range1_Low]]&gt;=Validation[[#This Row],[Range1_High]]</f>
        <v>0</v>
      </c>
      <c r="Y1466" s="111" t="s">
        <v>2843</v>
      </c>
    </row>
    <row r="1467" spans="1:25" ht="16.5" thickTop="1" thickBot="1" x14ac:dyDescent="0.3">
      <c r="A1467" t="s">
        <v>55</v>
      </c>
      <c r="B1467" t="s">
        <v>8</v>
      </c>
      <c r="C1467">
        <v>10</v>
      </c>
      <c r="D1467">
        <v>20</v>
      </c>
      <c r="E1467">
        <v>1</v>
      </c>
      <c r="F1467" t="s">
        <v>6</v>
      </c>
      <c r="G1467" t="s">
        <v>4</v>
      </c>
      <c r="H1467">
        <v>300</v>
      </c>
      <c r="I1467">
        <v>1000</v>
      </c>
      <c r="J1467" t="s">
        <v>10</v>
      </c>
      <c r="K1467">
        <v>533.13</v>
      </c>
      <c r="L1467">
        <v>7.3338000000000001</v>
      </c>
      <c r="M1467">
        <v>437.38</v>
      </c>
      <c r="N1467">
        <v>7.3335999999999997</v>
      </c>
      <c r="O1467" t="s">
        <v>2833</v>
      </c>
      <c r="P1467" t="s">
        <v>2833</v>
      </c>
      <c r="Q1467" t="s">
        <v>2833</v>
      </c>
      <c r="R1467">
        <f ca="1">RAND()*(Validation[[#This Row],[Range1_High]]-Validation[[#This Row],[Range1_Low]])+Validation[[#This Row],[Range1_Low]]</f>
        <v>12.902067323690819</v>
      </c>
      <c r="S1467">
        <f>Validation[[#This Row],[Range2_High]]</f>
        <v>1000</v>
      </c>
      <c r="T1467" t="str" cm="1">
        <f t="array" aca="1" ref="T1467" ca="1">RoundToTwoSigFigs(Validation[[#This Row],[Test Reading]]*Validation[[#This Row],[Mult]]+Validation[[#This Row],[Base]]) &amp;" "&amp;Validation[[#This Row],[Uncert_Units]]</f>
        <v>630 mV</v>
      </c>
      <c r="U1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V1467" t="b">
        <f ca="1">Validation[[#This Row],[Desired Result]]=Validation[[#This Row],[Result]]</f>
        <v>1</v>
      </c>
      <c r="W1467" t="b">
        <v>0</v>
      </c>
      <c r="X1467" t="b">
        <f>Validation[[#This Row],[Range1_Low]]&gt;=Validation[[#This Row],[Range1_High]]</f>
        <v>0</v>
      </c>
      <c r="Y1467" s="111" t="s">
        <v>2845</v>
      </c>
    </row>
    <row r="1468" spans="1:25" ht="16.5" thickTop="1" thickBot="1" x14ac:dyDescent="0.3">
      <c r="A1468" t="s">
        <v>55</v>
      </c>
      <c r="B1468" t="s">
        <v>8</v>
      </c>
      <c r="C1468" s="113">
        <v>0.01</v>
      </c>
      <c r="D1468" s="113">
        <v>0.1</v>
      </c>
      <c r="E1468">
        <v>9.9999999999999995E-7</v>
      </c>
      <c r="F1468" t="s">
        <v>6</v>
      </c>
      <c r="G1468" t="s">
        <v>5</v>
      </c>
      <c r="H1468">
        <v>1</v>
      </c>
      <c r="I1468">
        <v>20</v>
      </c>
      <c r="J1468" t="s">
        <v>10</v>
      </c>
      <c r="K1468">
        <v>3.4</v>
      </c>
      <c r="L1468">
        <v>157.44999999999999</v>
      </c>
      <c r="M1468">
        <v>3.3910999999999998</v>
      </c>
      <c r="N1468">
        <v>157.44999999999999</v>
      </c>
      <c r="O1468" t="s">
        <v>2833</v>
      </c>
      <c r="P1468" t="s">
        <v>2833</v>
      </c>
      <c r="Q1468" t="s">
        <v>2833</v>
      </c>
      <c r="R1468">
        <f ca="1">RAND()*(Validation[[#This Row],[Range1_High]]-Validation[[#This Row],[Range1_Low]])+Validation[[#This Row],[Range1_Low]]</f>
        <v>4.8759361981829862E-2</v>
      </c>
      <c r="S1468">
        <f>Validation[[#This Row],[Range2_High]]</f>
        <v>20</v>
      </c>
      <c r="T1468" t="str" cm="1">
        <f t="array" aca="1" ref="T1468" ca="1">RoundToTwoSigFigs(Validation[[#This Row],[Test Reading]]*Validation[[#This Row],[Mult]]+Validation[[#This Row],[Base]]) &amp;" "&amp;Validation[[#This Row],[Uncert_Units]]</f>
        <v>11 µV</v>
      </c>
      <c r="U1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V1468" t="b">
        <f ca="1">Validation[[#This Row],[Desired Result]]=Validation[[#This Row],[Result]]</f>
        <v>1</v>
      </c>
      <c r="W1468" t="b">
        <v>1</v>
      </c>
      <c r="X1468" t="b">
        <f>Validation[[#This Row],[Range1_Low]]&gt;=Validation[[#This Row],[Range1_High]]</f>
        <v>0</v>
      </c>
      <c r="Y1468" s="111" t="s">
        <v>2843</v>
      </c>
    </row>
    <row r="1469" spans="1:25" ht="16.5" thickTop="1" thickBot="1" x14ac:dyDescent="0.3">
      <c r="A1469" t="s">
        <v>55</v>
      </c>
      <c r="B1469" t="s">
        <v>8</v>
      </c>
      <c r="C1469" s="113">
        <v>1</v>
      </c>
      <c r="D1469" s="113">
        <v>10</v>
      </c>
      <c r="E1469">
        <v>1E-3</v>
      </c>
      <c r="F1469" t="s">
        <v>6</v>
      </c>
      <c r="G1469" t="s">
        <v>4</v>
      </c>
      <c r="H1469">
        <v>1E-3</v>
      </c>
      <c r="I1469">
        <v>0.04</v>
      </c>
      <c r="J1469" t="s">
        <v>10</v>
      </c>
      <c r="K1469">
        <v>0.71618999999999999</v>
      </c>
      <c r="L1469">
        <v>7.7546000000000004E-2</v>
      </c>
      <c r="M1469">
        <v>0.71499000000000001</v>
      </c>
      <c r="N1469">
        <v>7.7401999999999999E-2</v>
      </c>
      <c r="O1469" t="s">
        <v>2833</v>
      </c>
      <c r="P1469" t="s">
        <v>2833</v>
      </c>
      <c r="Q1469" t="s">
        <v>2833</v>
      </c>
      <c r="R1469">
        <f ca="1">RAND()*(Validation[[#This Row],[Range1_High]]-Validation[[#This Row],[Range1_Low]])+Validation[[#This Row],[Range1_Low]]</f>
        <v>1.6354885931825631</v>
      </c>
      <c r="S1469">
        <f>Validation[[#This Row],[Range2_High]]</f>
        <v>0.04</v>
      </c>
      <c r="T1469" t="str" cm="1">
        <f t="array" aca="1" ref="T1469" ca="1">RoundToTwoSigFigs(Validation[[#This Row],[Test Reading]]*Validation[[#This Row],[Mult]]+Validation[[#This Row],[Base]]) &amp;" "&amp;Validation[[#This Row],[Uncert_Units]]</f>
        <v>0.84 mV</v>
      </c>
      <c r="U1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mV</v>
      </c>
      <c r="V1469" t="b">
        <f ca="1">Validation[[#This Row],[Desired Result]]=Validation[[#This Row],[Result]]</f>
        <v>1</v>
      </c>
      <c r="W1469" t="b">
        <v>1</v>
      </c>
      <c r="X1469" t="b">
        <f>Validation[[#This Row],[Range1_Low]]&gt;=Validation[[#This Row],[Range1_High]]</f>
        <v>0</v>
      </c>
      <c r="Y1469" s="111" t="s">
        <v>2843</v>
      </c>
    </row>
    <row r="1470" spans="1:25" ht="15.75" thickTop="1" x14ac:dyDescent="0.25">
      <c r="A1470" t="s">
        <v>54</v>
      </c>
      <c r="B1470" t="s">
        <v>8</v>
      </c>
      <c r="C1470">
        <v>0</v>
      </c>
      <c r="D1470">
        <v>3.3009999999999998E-2</v>
      </c>
      <c r="E1470">
        <v>1.0000000000000001E-5</v>
      </c>
      <c r="F1470" t="s">
        <v>6</v>
      </c>
      <c r="G1470" t="s">
        <v>5</v>
      </c>
      <c r="H1470">
        <v>4.4999999999999998E-2</v>
      </c>
      <c r="I1470">
        <v>10.00001</v>
      </c>
      <c r="J1470" t="s">
        <v>10</v>
      </c>
      <c r="K1470">
        <v>24</v>
      </c>
      <c r="L1470">
        <v>1143.4000000000001</v>
      </c>
      <c r="M1470">
        <v>23.87</v>
      </c>
      <c r="N1470">
        <v>1142.8</v>
      </c>
      <c r="O1470" t="s">
        <v>2833</v>
      </c>
      <c r="P1470" t="s">
        <v>2833</v>
      </c>
      <c r="Q1470" t="s">
        <v>2833</v>
      </c>
      <c r="R1470">
        <f ca="1">RAND()*(Validation[[#This Row],[Range1_High]]-Validation[[#This Row],[Range1_Low]])+Validation[[#This Row],[Range1_Low]]</f>
        <v>1.2139923574897829E-2</v>
      </c>
      <c r="S1470">
        <f>Validation[[#This Row],[Range2_High]]</f>
        <v>10.00001</v>
      </c>
      <c r="T1470" t="str" cm="1">
        <f t="array" aca="1" ref="T1470" ca="1">RoundToTwoSigFigs(Validation[[#This Row],[Test Reading]]*Validation[[#This Row],[Mult]]+Validation[[#This Row],[Base]]) &amp;" "&amp;Validation[[#This Row],[Uncert_Units]]</f>
        <v>38 µV</v>
      </c>
      <c r="U1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µV</v>
      </c>
      <c r="V1470" t="b">
        <f ca="1">Validation[[#This Row],[Desired Result]]=Validation[[#This Row],[Result]]</f>
        <v>0</v>
      </c>
      <c r="W1470" t="b">
        <v>1</v>
      </c>
      <c r="X1470" t="b">
        <f>Validation[[#This Row],[Range1_Low]]&gt;=Validation[[#This Row],[Range1_High]]</f>
        <v>0</v>
      </c>
      <c r="Y1470" s="111" t="s">
        <v>2845</v>
      </c>
    </row>
    <row r="1471" spans="1:25" ht="15.75" thickBot="1" x14ac:dyDescent="0.3">
      <c r="A1471" t="s">
        <v>54</v>
      </c>
      <c r="B1471" t="s">
        <v>8</v>
      </c>
      <c r="C1471">
        <v>0</v>
      </c>
      <c r="D1471">
        <v>3.3009999999999998E-2</v>
      </c>
      <c r="E1471">
        <v>1</v>
      </c>
      <c r="F1471" t="s">
        <v>6</v>
      </c>
      <c r="G1471" t="s">
        <v>5</v>
      </c>
      <c r="H1471">
        <v>50</v>
      </c>
      <c r="I1471">
        <v>100.01</v>
      </c>
      <c r="J1471" t="s">
        <v>10</v>
      </c>
      <c r="K1471">
        <v>580000</v>
      </c>
      <c r="L1471">
        <v>0.86197000000000001</v>
      </c>
      <c r="M1471">
        <v>580000</v>
      </c>
      <c r="N1471">
        <v>0.74565999999999999</v>
      </c>
      <c r="O1471" t="s">
        <v>2833</v>
      </c>
      <c r="P1471" t="s">
        <v>2833</v>
      </c>
      <c r="Q1471" t="s">
        <v>2833</v>
      </c>
      <c r="R1471">
        <f ca="1">RAND()*(Validation[[#This Row],[Range1_High]]-Validation[[#This Row],[Range1_Low]])+Validation[[#This Row],[Range1_Low]]</f>
        <v>2.3873497300934767E-2</v>
      </c>
      <c r="S1471">
        <f>Validation[[#This Row],[Range2_High]]</f>
        <v>100.01</v>
      </c>
      <c r="T1471" t="str" cm="1">
        <f t="array" aca="1" ref="T1471" ca="1">RoundToTwoSigFigs(Validation[[#This Row],[Test Reading]]*Validation[[#This Row],[Mult]]+Validation[[#This Row],[Base]]) &amp;" "&amp;Validation[[#This Row],[Uncert_Units]]</f>
        <v>580000 µV</v>
      </c>
      <c r="U1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1471" t="b">
        <f ca="1">Validation[[#This Row],[Desired Result]]=Validation[[#This Row],[Result]]</f>
        <v>1</v>
      </c>
      <c r="W1471" t="b">
        <v>0</v>
      </c>
      <c r="X1471" t="b">
        <f>Validation[[#This Row],[Range1_Low]]&gt;=Validation[[#This Row],[Range1_High]]</f>
        <v>0</v>
      </c>
      <c r="Y1471" s="111" t="s">
        <v>2845</v>
      </c>
    </row>
    <row r="1472" spans="1:25" ht="16.5" thickTop="1" thickBot="1" x14ac:dyDescent="0.3">
      <c r="A1472" t="s">
        <v>54</v>
      </c>
      <c r="B1472" t="s">
        <v>8</v>
      </c>
      <c r="C1472" s="113">
        <v>330</v>
      </c>
      <c r="D1472" s="113">
        <v>1020.01</v>
      </c>
      <c r="E1472">
        <v>0.01</v>
      </c>
      <c r="F1472" t="s">
        <v>6</v>
      </c>
      <c r="G1472" t="s">
        <v>4</v>
      </c>
      <c r="H1472">
        <v>1</v>
      </c>
      <c r="I1472">
        <v>5.01</v>
      </c>
      <c r="J1472" t="s">
        <v>10</v>
      </c>
      <c r="K1472">
        <v>29.895</v>
      </c>
      <c r="L1472">
        <v>0.91966999999999999</v>
      </c>
      <c r="M1472">
        <v>29.873000000000001</v>
      </c>
      <c r="N1472">
        <v>0.91957</v>
      </c>
      <c r="O1472" t="s">
        <v>2833</v>
      </c>
      <c r="P1472" t="s">
        <v>2833</v>
      </c>
      <c r="Q1472" t="s">
        <v>2833</v>
      </c>
      <c r="R1472">
        <f ca="1">RAND()*(Validation[[#This Row],[Range1_High]]-Validation[[#This Row],[Range1_Low]])+Validation[[#This Row],[Range1_Low]]</f>
        <v>449.46293551267269</v>
      </c>
      <c r="S1472">
        <f>Validation[[#This Row],[Range2_High]]</f>
        <v>5.01</v>
      </c>
      <c r="T1472" t="str" cm="1">
        <f t="array" aca="1" ref="T1472" ca="1">RoundToTwoSigFigs(Validation[[#This Row],[Test Reading]]*Validation[[#This Row],[Mult]]+Validation[[#This Row],[Base]]) &amp;" "&amp;Validation[[#This Row],[Uncert_Units]]</f>
        <v>440 mV</v>
      </c>
      <c r="U1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V1472" t="b">
        <f ca="1">Validation[[#This Row],[Desired Result]]=Validation[[#This Row],[Result]]</f>
        <v>1</v>
      </c>
      <c r="W1472" t="b">
        <v>1</v>
      </c>
      <c r="X1472" t="b">
        <f>Validation[[#This Row],[Range1_Low]]&gt;=Validation[[#This Row],[Range1_High]]</f>
        <v>0</v>
      </c>
      <c r="Y1472" s="111" t="s">
        <v>2843</v>
      </c>
    </row>
    <row r="1473" spans="1:25" ht="16.5" thickTop="1" thickBot="1" x14ac:dyDescent="0.3">
      <c r="A1473" t="s">
        <v>54</v>
      </c>
      <c r="B1473" t="s">
        <v>8</v>
      </c>
      <c r="C1473" s="113">
        <v>3.3000000000000002E-2</v>
      </c>
      <c r="D1473" s="113">
        <v>0.33001000000000003</v>
      </c>
      <c r="E1473">
        <v>1E-4</v>
      </c>
      <c r="F1473" t="s">
        <v>6</v>
      </c>
      <c r="G1473" t="s">
        <v>5</v>
      </c>
      <c r="H1473">
        <v>10</v>
      </c>
      <c r="I1473">
        <v>20.010000000000002</v>
      </c>
      <c r="J1473" t="s">
        <v>10</v>
      </c>
      <c r="K1473">
        <v>52.238</v>
      </c>
      <c r="L1473">
        <v>738.2</v>
      </c>
      <c r="M1473">
        <v>52.145000000000003</v>
      </c>
      <c r="N1473">
        <v>738.41</v>
      </c>
      <c r="O1473" t="s">
        <v>2833</v>
      </c>
      <c r="P1473" t="s">
        <v>2833</v>
      </c>
      <c r="Q1473" t="s">
        <v>2833</v>
      </c>
      <c r="R1473">
        <f ca="1">RAND()*(Validation[[#This Row],[Range1_High]]-Validation[[#This Row],[Range1_Low]])+Validation[[#This Row],[Range1_Low]]</f>
        <v>0.15533971049885087</v>
      </c>
      <c r="S1473">
        <f>Validation[[#This Row],[Range2_High]]</f>
        <v>20.010000000000002</v>
      </c>
      <c r="T1473" t="str" cm="1">
        <f t="array" aca="1" ref="T1473" ca="1">RoundToTwoSigFigs(Validation[[#This Row],[Test Reading]]*Validation[[#This Row],[Mult]]+Validation[[#This Row],[Base]]) &amp;" "&amp;Validation[[#This Row],[Uncert_Units]]</f>
        <v>170 µV</v>
      </c>
      <c r="U1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V1473" t="b">
        <f ca="1">Validation[[#This Row],[Desired Result]]=Validation[[#This Row],[Result]]</f>
        <v>1</v>
      </c>
      <c r="W1473" t="b">
        <v>1</v>
      </c>
      <c r="X1473" t="b">
        <f>Validation[[#This Row],[Range1_Low]]&gt;=Validation[[#This Row],[Range1_High]]</f>
        <v>0</v>
      </c>
      <c r="Y1473" s="111" t="s">
        <v>2843</v>
      </c>
    </row>
    <row r="1474" spans="1:25" ht="16.5" thickTop="1" thickBot="1" x14ac:dyDescent="0.3">
      <c r="A1474" t="s">
        <v>55</v>
      </c>
      <c r="B1474" t="s">
        <v>8</v>
      </c>
      <c r="C1474" s="113">
        <v>10</v>
      </c>
      <c r="D1474" s="113">
        <v>20</v>
      </c>
      <c r="E1474">
        <v>1E-4</v>
      </c>
      <c r="F1474" t="s">
        <v>6</v>
      </c>
      <c r="G1474" t="s">
        <v>4</v>
      </c>
      <c r="H1474">
        <v>1E-3</v>
      </c>
      <c r="I1474">
        <v>0.04</v>
      </c>
      <c r="J1474" t="s">
        <v>10</v>
      </c>
      <c r="K1474">
        <v>4.7</v>
      </c>
      <c r="L1474">
        <v>0.23</v>
      </c>
      <c r="M1474">
        <v>4.6189999999999998</v>
      </c>
      <c r="N1474">
        <v>0.2329</v>
      </c>
      <c r="O1474" t="s">
        <v>2833</v>
      </c>
      <c r="P1474" t="s">
        <v>2833</v>
      </c>
      <c r="Q1474" t="s">
        <v>2833</v>
      </c>
      <c r="R1474">
        <f ca="1">RAND()*(Validation[[#This Row],[Range1_High]]-Validation[[#This Row],[Range1_Low]])+Validation[[#This Row],[Range1_Low]]</f>
        <v>14.262179410555845</v>
      </c>
      <c r="S1474">
        <f>Validation[[#This Row],[Range2_High]]</f>
        <v>0.04</v>
      </c>
      <c r="T1474" t="str" cm="1">
        <f t="array" aca="1" ref="T1474" ca="1">RoundToTwoSigFigs(Validation[[#This Row],[Test Reading]]*Validation[[#This Row],[Mult]]+Validation[[#This Row],[Base]]) &amp;" "&amp;Validation[[#This Row],[Uncert_Units]]</f>
        <v>8 mV</v>
      </c>
      <c r="U1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V1474" t="b">
        <f ca="1">Validation[[#This Row],[Desired Result]]=Validation[[#This Row],[Result]]</f>
        <v>1</v>
      </c>
      <c r="W1474" t="b">
        <v>1</v>
      </c>
      <c r="X1474" t="b">
        <f>Validation[[#This Row],[Range1_Low]]&gt;=Validation[[#This Row],[Range1_High]]</f>
        <v>0</v>
      </c>
      <c r="Y1474" s="111" t="s">
        <v>2843</v>
      </c>
    </row>
    <row r="1475" spans="1:25" ht="16.5" thickTop="1" thickBot="1" x14ac:dyDescent="0.3">
      <c r="A1475" t="s">
        <v>55</v>
      </c>
      <c r="B1475" t="s">
        <v>8</v>
      </c>
      <c r="C1475">
        <v>0.01</v>
      </c>
      <c r="D1475">
        <v>0.1</v>
      </c>
      <c r="E1475">
        <v>1E-4</v>
      </c>
      <c r="F1475" t="s">
        <v>6</v>
      </c>
      <c r="G1475" t="s">
        <v>5</v>
      </c>
      <c r="H1475">
        <v>1E-3</v>
      </c>
      <c r="I1475">
        <v>0.04</v>
      </c>
      <c r="J1475" t="s">
        <v>10</v>
      </c>
      <c r="K1475">
        <v>57.923000000000002</v>
      </c>
      <c r="L1475">
        <v>14.074999999999999</v>
      </c>
      <c r="M1475">
        <v>57.921999999999997</v>
      </c>
      <c r="N1475">
        <v>14.013999999999999</v>
      </c>
      <c r="O1475" t="s">
        <v>2833</v>
      </c>
      <c r="P1475" t="s">
        <v>2833</v>
      </c>
      <c r="Q1475" t="s">
        <v>2833</v>
      </c>
      <c r="R1475">
        <f ca="1">RAND()*(Validation[[#This Row],[Range1_High]]-Validation[[#This Row],[Range1_Low]])+Validation[[#This Row],[Range1_Low]]</f>
        <v>6.1634984111361667E-2</v>
      </c>
      <c r="S1475">
        <f>Validation[[#This Row],[Range2_High]]</f>
        <v>0.04</v>
      </c>
      <c r="T1475" t="str" cm="1">
        <f t="array" aca="1" ref="T1475" ca="1">RoundToTwoSigFigs(Validation[[#This Row],[Test Reading]]*Validation[[#This Row],[Mult]]+Validation[[#This Row],[Base]]) &amp;" "&amp;Validation[[#This Row],[Uncert_Units]]</f>
        <v>59 µV</v>
      </c>
      <c r="U1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V1475" t="b">
        <f ca="1">Validation[[#This Row],[Desired Result]]=Validation[[#This Row],[Result]]</f>
        <v>1</v>
      </c>
      <c r="W1475" t="b">
        <v>0</v>
      </c>
      <c r="X1475" t="b">
        <f>Validation[[#This Row],[Range1_Low]]&gt;=Validation[[#This Row],[Range1_High]]</f>
        <v>0</v>
      </c>
      <c r="Y1475" s="111" t="s">
        <v>2845</v>
      </c>
    </row>
    <row r="1476" spans="1:25" ht="16.5" thickTop="1" thickBot="1" x14ac:dyDescent="0.3">
      <c r="A1476" t="s">
        <v>55</v>
      </c>
      <c r="B1476" t="s">
        <v>8</v>
      </c>
      <c r="C1476" s="113">
        <v>0.01</v>
      </c>
      <c r="D1476" s="113">
        <v>0.1</v>
      </c>
      <c r="E1476">
        <v>1E-4</v>
      </c>
      <c r="F1476" t="s">
        <v>6</v>
      </c>
      <c r="G1476" t="s">
        <v>5</v>
      </c>
      <c r="H1476">
        <v>1000</v>
      </c>
      <c r="I1476">
        <v>2000</v>
      </c>
      <c r="J1476" t="s">
        <v>10</v>
      </c>
      <c r="K1476">
        <v>53</v>
      </c>
      <c r="L1476">
        <v>17065</v>
      </c>
      <c r="M1476">
        <v>21.129000000000001</v>
      </c>
      <c r="N1476">
        <v>17327</v>
      </c>
      <c r="O1476" t="s">
        <v>2833</v>
      </c>
      <c r="P1476" t="s">
        <v>2833</v>
      </c>
      <c r="Q1476" t="s">
        <v>2833</v>
      </c>
      <c r="R1476">
        <f ca="1">RAND()*(Validation[[#This Row],[Range1_High]]-Validation[[#This Row],[Range1_Low]])+Validation[[#This Row],[Range1_Low]]</f>
        <v>2.9366545722901122E-2</v>
      </c>
      <c r="S1476">
        <f>Validation[[#This Row],[Range2_High]]</f>
        <v>2000</v>
      </c>
      <c r="T1476" t="str" cm="1">
        <f t="array" aca="1" ref="T1476" ca="1">RoundToTwoSigFigs(Validation[[#This Row],[Test Reading]]*Validation[[#This Row],[Mult]]+Validation[[#This Row],[Base]]) &amp;" "&amp;Validation[[#This Row],[Uncert_Units]]</f>
        <v>550 µV</v>
      </c>
      <c r="U1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V1476" t="b">
        <f ca="1">Validation[[#This Row],[Desired Result]]=Validation[[#This Row],[Result]]</f>
        <v>0</v>
      </c>
      <c r="W1476" t="b">
        <v>1</v>
      </c>
      <c r="X1476" t="b">
        <f>Validation[[#This Row],[Range1_Low]]&gt;=Validation[[#This Row],[Range1_High]]</f>
        <v>0</v>
      </c>
      <c r="Y1476" s="111" t="s">
        <v>2843</v>
      </c>
    </row>
    <row r="1477" spans="1:25" ht="16.5" thickTop="1" thickBot="1" x14ac:dyDescent="0.3">
      <c r="A1477" t="s">
        <v>54</v>
      </c>
      <c r="B1477" t="s">
        <v>8</v>
      </c>
      <c r="C1477" s="113">
        <v>330</v>
      </c>
      <c r="D1477" s="113">
        <v>1020.01</v>
      </c>
      <c r="E1477">
        <v>10</v>
      </c>
      <c r="F1477" t="s">
        <v>6</v>
      </c>
      <c r="G1477" t="s">
        <v>4</v>
      </c>
      <c r="H1477">
        <v>4.4999999999999998E-2</v>
      </c>
      <c r="I1477">
        <v>1.0000100000000001</v>
      </c>
      <c r="J1477" t="s">
        <v>10</v>
      </c>
      <c r="K1477">
        <v>57999</v>
      </c>
      <c r="L1477">
        <v>4.2792999999999998E-3</v>
      </c>
      <c r="M1477">
        <v>57999</v>
      </c>
      <c r="N1477">
        <v>4.1250000000000002E-3</v>
      </c>
      <c r="O1477" t="s">
        <v>2833</v>
      </c>
      <c r="P1477" t="s">
        <v>2833</v>
      </c>
      <c r="Q1477" t="s">
        <v>2833</v>
      </c>
      <c r="R1477">
        <f ca="1">RAND()*(Validation[[#This Row],[Range1_High]]-Validation[[#This Row],[Range1_Low]])+Validation[[#This Row],[Range1_Low]]</f>
        <v>515.45727614718635</v>
      </c>
      <c r="S1477">
        <f>Validation[[#This Row],[Range2_High]]</f>
        <v>1.0000100000000001</v>
      </c>
      <c r="T1477" t="str" cm="1">
        <f t="array" aca="1" ref="T1477" ca="1">RoundToTwoSigFigs(Validation[[#This Row],[Test Reading]]*Validation[[#This Row],[Mult]]+Validation[[#This Row],[Base]]) &amp;" "&amp;Validation[[#This Row],[Uncert_Units]]</f>
        <v>58000 mV</v>
      </c>
      <c r="U1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V1477" t="b">
        <f ca="1">Validation[[#This Row],[Desired Result]]=Validation[[#This Row],[Result]]</f>
        <v>1</v>
      </c>
      <c r="W1477" t="b">
        <v>1</v>
      </c>
      <c r="X1477" t="b">
        <f>Validation[[#This Row],[Range1_Low]]&gt;=Validation[[#This Row],[Range1_High]]</f>
        <v>0</v>
      </c>
      <c r="Y1477" s="111" t="s">
        <v>2843</v>
      </c>
    </row>
    <row r="1478" spans="1:25" ht="15.75" thickTop="1" x14ac:dyDescent="0.25">
      <c r="A1478" t="s">
        <v>68</v>
      </c>
      <c r="B1478" t="s">
        <v>8</v>
      </c>
      <c r="C1478">
        <v>0</v>
      </c>
      <c r="D1478">
        <v>0.1</v>
      </c>
      <c r="E1478">
        <v>9.9999999999999995E-7</v>
      </c>
      <c r="F1478" t="s">
        <v>6</v>
      </c>
      <c r="G1478" t="s">
        <v>5</v>
      </c>
      <c r="H1478">
        <v>2</v>
      </c>
      <c r="I1478">
        <v>20</v>
      </c>
      <c r="J1478" t="s">
        <v>10</v>
      </c>
      <c r="K1478">
        <v>36</v>
      </c>
      <c r="L1478">
        <v>930</v>
      </c>
      <c r="M1478">
        <v>35.470999999999997</v>
      </c>
      <c r="N1478">
        <v>926.49</v>
      </c>
      <c r="O1478" t="s">
        <v>2833</v>
      </c>
      <c r="P1478" t="s">
        <v>2833</v>
      </c>
      <c r="Q1478" t="s">
        <v>2833</v>
      </c>
      <c r="R1478">
        <f ca="1">RAND()*(Validation[[#This Row],[Range1_High]]-Validation[[#This Row],[Range1_Low]])+Validation[[#This Row],[Range1_Low]]</f>
        <v>9.539235415517805E-2</v>
      </c>
      <c r="S1478">
        <f>Validation[[#This Row],[Range2_High]]</f>
        <v>20</v>
      </c>
      <c r="T1478" t="str" cm="1">
        <f t="array" aca="1" ref="T1478" ca="1">RoundToTwoSigFigs(Validation[[#This Row],[Test Reading]]*Validation[[#This Row],[Mult]]+Validation[[#This Row],[Base]]) &amp;" "&amp;Validation[[#This Row],[Uncert_Units]]</f>
        <v>120 µV</v>
      </c>
      <c r="U1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V1478" t="b">
        <f ca="1">Validation[[#This Row],[Desired Result]]=Validation[[#This Row],[Result]]</f>
        <v>1</v>
      </c>
      <c r="W1478" t="b">
        <v>0</v>
      </c>
      <c r="X1478" t="b">
        <f>Validation[[#This Row],[Range1_Low]]&gt;=Validation[[#This Row],[Range1_High]]</f>
        <v>0</v>
      </c>
      <c r="Y1478" s="111" t="s">
        <v>2845</v>
      </c>
    </row>
    <row r="1479" spans="1:25" ht="15.75" thickBot="1" x14ac:dyDescent="0.3">
      <c r="A1479" t="s">
        <v>54</v>
      </c>
      <c r="B1479" t="s">
        <v>8</v>
      </c>
      <c r="C1479">
        <v>0</v>
      </c>
      <c r="D1479">
        <v>3.3009999999999998E-2</v>
      </c>
      <c r="E1479">
        <v>0.01</v>
      </c>
      <c r="F1479" t="s">
        <v>6</v>
      </c>
      <c r="G1479" t="s">
        <v>5</v>
      </c>
      <c r="H1479">
        <v>100</v>
      </c>
      <c r="I1479">
        <v>500</v>
      </c>
      <c r="J1479" t="s">
        <v>10</v>
      </c>
      <c r="K1479">
        <v>5800.1</v>
      </c>
      <c r="L1479">
        <v>530.77</v>
      </c>
      <c r="M1479">
        <v>5800.1</v>
      </c>
      <c r="N1479">
        <v>529.12</v>
      </c>
      <c r="O1479" t="s">
        <v>2833</v>
      </c>
      <c r="P1479" t="s">
        <v>2833</v>
      </c>
      <c r="Q1479" t="s">
        <v>2833</v>
      </c>
      <c r="R1479">
        <f ca="1">RAND()*(Validation[[#This Row],[Range1_High]]-Validation[[#This Row],[Range1_Low]])+Validation[[#This Row],[Range1_Low]]</f>
        <v>2.5861340756005508E-2</v>
      </c>
      <c r="S1479">
        <f>Validation[[#This Row],[Range2_High]]</f>
        <v>500</v>
      </c>
      <c r="T1479" t="str" cm="1">
        <f t="array" aca="1" ref="T1479" ca="1">RoundToTwoSigFigs(Validation[[#This Row],[Test Reading]]*Validation[[#This Row],[Mult]]+Validation[[#This Row],[Base]]) &amp;" "&amp;Validation[[#This Row],[Uncert_Units]]</f>
        <v>5800 µV</v>
      </c>
      <c r="U1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479" t="b">
        <f ca="1">Validation[[#This Row],[Desired Result]]=Validation[[#This Row],[Result]]</f>
        <v>1</v>
      </c>
      <c r="W1479" t="b">
        <v>0</v>
      </c>
      <c r="X1479" t="b">
        <f>Validation[[#This Row],[Range1_Low]]&gt;=Validation[[#This Row],[Range1_High]]</f>
        <v>0</v>
      </c>
      <c r="Y1479" s="111" t="s">
        <v>2845</v>
      </c>
    </row>
    <row r="1480" spans="1:25" ht="16.5" thickTop="1" thickBot="1" x14ac:dyDescent="0.3">
      <c r="A1480" t="s">
        <v>55</v>
      </c>
      <c r="B1480" t="s">
        <v>8</v>
      </c>
      <c r="C1480" s="113">
        <v>100</v>
      </c>
      <c r="D1480" s="113">
        <v>330</v>
      </c>
      <c r="E1480">
        <v>0.01</v>
      </c>
      <c r="F1480" t="s">
        <v>6</v>
      </c>
      <c r="G1480" t="s">
        <v>4</v>
      </c>
      <c r="H1480">
        <v>0.04</v>
      </c>
      <c r="I1480">
        <v>1</v>
      </c>
      <c r="J1480" t="s">
        <v>10</v>
      </c>
      <c r="K1480">
        <v>25</v>
      </c>
      <c r="L1480">
        <v>0.46116000000000001</v>
      </c>
      <c r="M1480">
        <v>23.338000000000001</v>
      </c>
      <c r="N1480">
        <v>0.46273999999999998</v>
      </c>
      <c r="O1480" t="s">
        <v>2833</v>
      </c>
      <c r="P1480" t="s">
        <v>2833</v>
      </c>
      <c r="Q1480" t="s">
        <v>2833</v>
      </c>
      <c r="R1480">
        <f ca="1">RAND()*(Validation[[#This Row],[Range1_High]]-Validation[[#This Row],[Range1_Low]])+Validation[[#This Row],[Range1_Low]]</f>
        <v>289.49369903018635</v>
      </c>
      <c r="S1480">
        <f>Validation[[#This Row],[Range2_High]]</f>
        <v>1</v>
      </c>
      <c r="T1480" t="str" cm="1">
        <f t="array" aca="1" ref="T1480" ca="1">RoundToTwoSigFigs(Validation[[#This Row],[Test Reading]]*Validation[[#This Row],[Mult]]+Validation[[#This Row],[Base]]) &amp;" "&amp;Validation[[#This Row],[Uncert_Units]]</f>
        <v>160 mV</v>
      </c>
      <c r="U1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V1480" t="b">
        <f ca="1">Validation[[#This Row],[Desired Result]]=Validation[[#This Row],[Result]]</f>
        <v>0</v>
      </c>
      <c r="W1480" t="b">
        <v>1</v>
      </c>
      <c r="X1480" t="b">
        <f>Validation[[#This Row],[Range1_Low]]&gt;=Validation[[#This Row],[Range1_High]]</f>
        <v>0</v>
      </c>
      <c r="Y1480" s="111" t="s">
        <v>2843</v>
      </c>
    </row>
    <row r="1481" spans="1:25" ht="16.5" thickTop="1" thickBot="1" x14ac:dyDescent="0.3">
      <c r="A1481" t="s">
        <v>54</v>
      </c>
      <c r="B1481" t="s">
        <v>8</v>
      </c>
      <c r="C1481" s="113">
        <v>0.33</v>
      </c>
      <c r="D1481" s="113">
        <v>3.3001</v>
      </c>
      <c r="E1481">
        <v>1.0000000000000001E-5</v>
      </c>
      <c r="F1481" t="s">
        <v>6</v>
      </c>
      <c r="G1481" t="s">
        <v>4</v>
      </c>
      <c r="H1481">
        <v>20</v>
      </c>
      <c r="I1481">
        <v>50.01</v>
      </c>
      <c r="J1481" t="s">
        <v>10</v>
      </c>
      <c r="K1481">
        <v>7.0000000000000007E-2</v>
      </c>
      <c r="L1481">
        <v>1.2</v>
      </c>
      <c r="M1481">
        <v>6.9505999999999998E-2</v>
      </c>
      <c r="N1481">
        <v>1.1558999999999999</v>
      </c>
      <c r="O1481" t="s">
        <v>2833</v>
      </c>
      <c r="P1481" t="s">
        <v>2833</v>
      </c>
      <c r="Q1481" t="s">
        <v>2833</v>
      </c>
      <c r="R1481">
        <f ca="1">RAND()*(Validation[[#This Row],[Range1_High]]-Validation[[#This Row],[Range1_Low]])+Validation[[#This Row],[Range1_Low]]</f>
        <v>1.5463666400967571</v>
      </c>
      <c r="S1481">
        <f>Validation[[#This Row],[Range2_High]]</f>
        <v>50.01</v>
      </c>
      <c r="T1481" t="str" cm="1">
        <f t="array" aca="1" ref="T1481" ca="1">RoundToTwoSigFigs(Validation[[#This Row],[Test Reading]]*Validation[[#This Row],[Mult]]+Validation[[#This Row],[Base]]) &amp;" "&amp;Validation[[#This Row],[Uncert_Units]]</f>
        <v>1.9 mV</v>
      </c>
      <c r="U1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mV</v>
      </c>
      <c r="V1481" t="b">
        <f ca="1">Validation[[#This Row],[Desired Result]]=Validation[[#This Row],[Result]]</f>
        <v>0</v>
      </c>
      <c r="W1481" t="b">
        <v>1</v>
      </c>
      <c r="X1481" t="b">
        <f>Validation[[#This Row],[Range1_Low]]&gt;=Validation[[#This Row],[Range1_High]]</f>
        <v>0</v>
      </c>
      <c r="Y1481" s="111" t="s">
        <v>2843</v>
      </c>
    </row>
    <row r="1482" spans="1:25" ht="16.5" thickTop="1" thickBot="1" x14ac:dyDescent="0.3">
      <c r="A1482" t="s">
        <v>54</v>
      </c>
      <c r="B1482" t="s">
        <v>8</v>
      </c>
      <c r="C1482" s="113">
        <v>33</v>
      </c>
      <c r="D1482" s="113">
        <v>330.01</v>
      </c>
      <c r="E1482">
        <v>0.1</v>
      </c>
      <c r="F1482" t="s">
        <v>6</v>
      </c>
      <c r="G1482" t="s">
        <v>4</v>
      </c>
      <c r="H1482">
        <v>50</v>
      </c>
      <c r="I1482">
        <v>100</v>
      </c>
      <c r="J1482" t="s">
        <v>10</v>
      </c>
      <c r="K1482">
        <v>101.77</v>
      </c>
      <c r="L1482">
        <v>2.7610000000000001</v>
      </c>
      <c r="M1482">
        <v>101.69</v>
      </c>
      <c r="N1482">
        <v>2.7610999999999999</v>
      </c>
      <c r="O1482" t="s">
        <v>2833</v>
      </c>
      <c r="P1482" t="s">
        <v>2833</v>
      </c>
      <c r="Q1482" t="s">
        <v>2833</v>
      </c>
      <c r="R1482">
        <f ca="1">RAND()*(Validation[[#This Row],[Range1_High]]-Validation[[#This Row],[Range1_Low]])+Validation[[#This Row],[Range1_Low]]</f>
        <v>40.312908122416381</v>
      </c>
      <c r="S1482">
        <f>Validation[[#This Row],[Range2_High]]</f>
        <v>100</v>
      </c>
      <c r="T1482" t="str" cm="1">
        <f t="array" aca="1" ref="T1482" ca="1">RoundToTwoSigFigs(Validation[[#This Row],[Test Reading]]*Validation[[#This Row],[Mult]]+Validation[[#This Row],[Base]]) &amp;" "&amp;Validation[[#This Row],[Uncert_Units]]</f>
        <v>210 mV</v>
      </c>
      <c r="U1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V1482" t="b">
        <f ca="1">Validation[[#This Row],[Desired Result]]=Validation[[#This Row],[Result]]</f>
        <v>1</v>
      </c>
      <c r="W1482" t="b">
        <v>1</v>
      </c>
      <c r="X1482" t="b">
        <f>Validation[[#This Row],[Range1_Low]]&gt;=Validation[[#This Row],[Range1_High]]</f>
        <v>0</v>
      </c>
      <c r="Y1482" s="111" t="s">
        <v>2843</v>
      </c>
    </row>
    <row r="1483" spans="1:25" ht="16.5" thickTop="1" thickBot="1" x14ac:dyDescent="0.3">
      <c r="A1483" t="s">
        <v>55</v>
      </c>
      <c r="B1483" t="s">
        <v>8</v>
      </c>
      <c r="C1483">
        <v>10</v>
      </c>
      <c r="D1483">
        <v>20</v>
      </c>
      <c r="E1483">
        <v>0.1</v>
      </c>
      <c r="F1483" t="s">
        <v>6</v>
      </c>
      <c r="G1483" t="s">
        <v>4</v>
      </c>
      <c r="H1483">
        <v>1</v>
      </c>
      <c r="I1483">
        <v>20</v>
      </c>
      <c r="J1483" t="s">
        <v>10</v>
      </c>
      <c r="K1483">
        <v>57.686999999999998</v>
      </c>
      <c r="L1483">
        <v>2.3591000000000001E-2</v>
      </c>
      <c r="M1483">
        <v>57.688000000000002</v>
      </c>
      <c r="N1483">
        <v>2.3266999999999999E-2</v>
      </c>
      <c r="O1483" t="s">
        <v>2833</v>
      </c>
      <c r="P1483" t="s">
        <v>2833</v>
      </c>
      <c r="Q1483" t="s">
        <v>2833</v>
      </c>
      <c r="R1483">
        <f ca="1">RAND()*(Validation[[#This Row],[Range1_High]]-Validation[[#This Row],[Range1_Low]])+Validation[[#This Row],[Range1_Low]]</f>
        <v>14.842431251484367</v>
      </c>
      <c r="S1483">
        <f>Validation[[#This Row],[Range2_High]]</f>
        <v>20</v>
      </c>
      <c r="T1483" t="str" cm="1">
        <f t="array" aca="1" ref="T1483" ca="1">RoundToTwoSigFigs(Validation[[#This Row],[Test Reading]]*Validation[[#This Row],[Mult]]+Validation[[#This Row],[Base]]) &amp;" "&amp;Validation[[#This Row],[Uncert_Units]]</f>
        <v>58 mV</v>
      </c>
      <c r="U1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483" t="b">
        <f ca="1">Validation[[#This Row],[Desired Result]]=Validation[[#This Row],[Result]]</f>
        <v>1</v>
      </c>
      <c r="W1483" t="b">
        <v>0</v>
      </c>
      <c r="X1483" t="b">
        <f>Validation[[#This Row],[Range1_Low]]&gt;=Validation[[#This Row],[Range1_High]]</f>
        <v>0</v>
      </c>
      <c r="Y1483" s="111" t="s">
        <v>2845</v>
      </c>
    </row>
    <row r="1484" spans="1:25" ht="16.5" thickTop="1" thickBot="1" x14ac:dyDescent="0.3">
      <c r="A1484" t="s">
        <v>54</v>
      </c>
      <c r="B1484" t="s">
        <v>8</v>
      </c>
      <c r="C1484" s="113">
        <v>3.3000000000000002E-2</v>
      </c>
      <c r="D1484" s="113">
        <v>0.33001000000000003</v>
      </c>
      <c r="E1484">
        <v>1E-4</v>
      </c>
      <c r="F1484" t="s">
        <v>6</v>
      </c>
      <c r="G1484" t="s">
        <v>5</v>
      </c>
      <c r="H1484">
        <v>50</v>
      </c>
      <c r="I1484">
        <v>100.01</v>
      </c>
      <c r="J1484" t="s">
        <v>10</v>
      </c>
      <c r="K1484">
        <v>202.89</v>
      </c>
      <c r="L1484">
        <v>2641.9</v>
      </c>
      <c r="M1484">
        <v>202.83</v>
      </c>
      <c r="N1484">
        <v>2642</v>
      </c>
      <c r="O1484" t="s">
        <v>2833</v>
      </c>
      <c r="P1484" t="s">
        <v>2833</v>
      </c>
      <c r="Q1484" t="s">
        <v>2833</v>
      </c>
      <c r="R1484">
        <f ca="1">RAND()*(Validation[[#This Row],[Range1_High]]-Validation[[#This Row],[Range1_Low]])+Validation[[#This Row],[Range1_Low]]</f>
        <v>0.11106884785906494</v>
      </c>
      <c r="S1484">
        <f>Validation[[#This Row],[Range2_High]]</f>
        <v>100.01</v>
      </c>
      <c r="T1484" t="str" cm="1">
        <f t="array" aca="1" ref="T1484" ca="1">RoundToTwoSigFigs(Validation[[#This Row],[Test Reading]]*Validation[[#This Row],[Mult]]+Validation[[#This Row],[Base]]) &amp;" "&amp;Validation[[#This Row],[Uncert_Units]]</f>
        <v>500 µV</v>
      </c>
      <c r="U1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V1484" t="b">
        <f ca="1">Validation[[#This Row],[Desired Result]]=Validation[[#This Row],[Result]]</f>
        <v>0</v>
      </c>
      <c r="W1484" t="b">
        <v>1</v>
      </c>
      <c r="X1484" t="b">
        <f>Validation[[#This Row],[Range1_Low]]&gt;=Validation[[#This Row],[Range1_High]]</f>
        <v>0</v>
      </c>
      <c r="Y1484" s="111" t="s">
        <v>2843</v>
      </c>
    </row>
    <row r="1485" spans="1:25" ht="16.5" thickTop="1" thickBot="1" x14ac:dyDescent="0.3">
      <c r="A1485" t="s">
        <v>55</v>
      </c>
      <c r="B1485" t="s">
        <v>8</v>
      </c>
      <c r="C1485" s="113">
        <v>0.1</v>
      </c>
      <c r="D1485" s="113">
        <v>1</v>
      </c>
      <c r="E1485">
        <v>1E-3</v>
      </c>
      <c r="F1485" t="s">
        <v>6</v>
      </c>
      <c r="G1485" t="s">
        <v>5</v>
      </c>
      <c r="H1485">
        <v>100</v>
      </c>
      <c r="I1485">
        <v>300</v>
      </c>
      <c r="J1485" t="s">
        <v>10</v>
      </c>
      <c r="K1485">
        <v>420.55</v>
      </c>
      <c r="L1485">
        <v>3205.9</v>
      </c>
      <c r="M1485">
        <v>419.31</v>
      </c>
      <c r="N1485">
        <v>3206.7</v>
      </c>
      <c r="O1485" t="s">
        <v>2833</v>
      </c>
      <c r="P1485" t="s">
        <v>2833</v>
      </c>
      <c r="Q1485" t="s">
        <v>2833</v>
      </c>
      <c r="R1485">
        <f ca="1">RAND()*(Validation[[#This Row],[Range1_High]]-Validation[[#This Row],[Range1_Low]])+Validation[[#This Row],[Range1_Low]]</f>
        <v>0.90128263163035605</v>
      </c>
      <c r="S1485">
        <f>Validation[[#This Row],[Range2_High]]</f>
        <v>300</v>
      </c>
      <c r="T1485" t="str" cm="1">
        <f t="array" aca="1" ref="T1485" ca="1">RoundToTwoSigFigs(Validation[[#This Row],[Test Reading]]*Validation[[#This Row],[Mult]]+Validation[[#This Row],[Base]]) &amp;" "&amp;Validation[[#This Row],[Uncert_Units]]</f>
        <v>3300 µV</v>
      </c>
      <c r="U1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µV</v>
      </c>
      <c r="V1485" t="b">
        <f ca="1">Validation[[#This Row],[Desired Result]]=Validation[[#This Row],[Result]]</f>
        <v>1</v>
      </c>
      <c r="W1485" t="b">
        <v>1</v>
      </c>
      <c r="X1485" t="b">
        <f>Validation[[#This Row],[Range1_Low]]&gt;=Validation[[#This Row],[Range1_High]]</f>
        <v>0</v>
      </c>
      <c r="Y1485" s="111" t="s">
        <v>2843</v>
      </c>
    </row>
    <row r="1486" spans="1:25" ht="15.75" thickTop="1" x14ac:dyDescent="0.25">
      <c r="A1486" t="s">
        <v>55</v>
      </c>
      <c r="B1486" t="s">
        <v>8</v>
      </c>
      <c r="C1486">
        <v>0</v>
      </c>
      <c r="D1486">
        <v>0.01</v>
      </c>
      <c r="E1486">
        <v>9.9999999999999995E-7</v>
      </c>
      <c r="F1486" t="s">
        <v>6</v>
      </c>
      <c r="G1486" t="s">
        <v>5</v>
      </c>
      <c r="H1486">
        <v>0.04</v>
      </c>
      <c r="I1486">
        <v>1</v>
      </c>
      <c r="J1486" t="s">
        <v>10</v>
      </c>
      <c r="K1486">
        <v>3.0304000000000002</v>
      </c>
      <c r="L1486">
        <v>161.11000000000001</v>
      </c>
      <c r="M1486">
        <v>3.028</v>
      </c>
      <c r="N1486">
        <v>160.75</v>
      </c>
      <c r="O1486" t="s">
        <v>2833</v>
      </c>
      <c r="P1486" t="s">
        <v>2833</v>
      </c>
      <c r="Q1486" t="s">
        <v>2833</v>
      </c>
      <c r="R1486">
        <f ca="1">RAND()*(Validation[[#This Row],[Range1_High]]-Validation[[#This Row],[Range1_Low]])+Validation[[#This Row],[Range1_Low]]</f>
        <v>2.6557619259832345E-3</v>
      </c>
      <c r="S1486">
        <f>Validation[[#This Row],[Range2_High]]</f>
        <v>1</v>
      </c>
      <c r="T1486" t="str" cm="1">
        <f t="array" aca="1" ref="T1486" ca="1">RoundToTwoSigFigs(Validation[[#This Row],[Test Reading]]*Validation[[#This Row],[Mult]]+Validation[[#This Row],[Base]]) &amp;" "&amp;Validation[[#This Row],[Uncert_Units]]</f>
        <v>3.5 µV</v>
      </c>
      <c r="U1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µV</v>
      </c>
      <c r="V1486" t="b">
        <f ca="1">Validation[[#This Row],[Desired Result]]=Validation[[#This Row],[Result]]</f>
        <v>0</v>
      </c>
      <c r="W1486" t="b">
        <v>1</v>
      </c>
      <c r="X1486" t="b">
        <f>Validation[[#This Row],[Range1_Low]]&gt;=Validation[[#This Row],[Range1_High]]</f>
        <v>0</v>
      </c>
      <c r="Y1486" s="111" t="s">
        <v>2845</v>
      </c>
    </row>
    <row r="1487" spans="1:25" x14ac:dyDescent="0.25">
      <c r="A1487" t="s">
        <v>55</v>
      </c>
      <c r="B1487" t="s">
        <v>8</v>
      </c>
      <c r="C1487">
        <v>1</v>
      </c>
      <c r="D1487">
        <v>10</v>
      </c>
      <c r="E1487">
        <v>0.1</v>
      </c>
      <c r="F1487" t="s">
        <v>6</v>
      </c>
      <c r="G1487" t="s">
        <v>4</v>
      </c>
      <c r="H1487">
        <v>1000</v>
      </c>
      <c r="I1487">
        <v>2000</v>
      </c>
      <c r="J1487" t="s">
        <v>10</v>
      </c>
      <c r="K1487">
        <v>46.847000000000001</v>
      </c>
      <c r="L1487">
        <v>13.84</v>
      </c>
      <c r="M1487">
        <v>43.262</v>
      </c>
      <c r="N1487">
        <v>13.840999999999999</v>
      </c>
      <c r="O1487" t="s">
        <v>2833</v>
      </c>
      <c r="P1487" t="s">
        <v>2833</v>
      </c>
      <c r="Q1487" t="s">
        <v>2833</v>
      </c>
      <c r="R1487">
        <f ca="1">RAND()*(Validation[[#This Row],[Range1_High]]-Validation[[#This Row],[Range1_Low]])+Validation[[#This Row],[Range1_Low]]</f>
        <v>1.2952340203285297</v>
      </c>
      <c r="S1487">
        <f>Validation[[#This Row],[Range2_High]]</f>
        <v>2000</v>
      </c>
      <c r="T1487" t="str" cm="1">
        <f t="array" aca="1" ref="T1487" ca="1">RoundToTwoSigFigs(Validation[[#This Row],[Test Reading]]*Validation[[#This Row],[Mult]]+Validation[[#This Row],[Base]]) &amp;" "&amp;Validation[[#This Row],[Uncert_Units]]</f>
        <v>65 mV</v>
      </c>
      <c r="U1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V1487" t="b">
        <f ca="1">Validation[[#This Row],[Desired Result]]=Validation[[#This Row],[Result]]</f>
        <v>0</v>
      </c>
      <c r="W1487" t="b">
        <v>1</v>
      </c>
      <c r="X1487" t="b">
        <f>Validation[[#This Row],[Range1_Low]]&gt;=Validation[[#This Row],[Range1_High]]</f>
        <v>0</v>
      </c>
      <c r="Y1487" s="111" t="s">
        <v>2845</v>
      </c>
    </row>
    <row r="1488" spans="1:25" x14ac:dyDescent="0.25">
      <c r="A1488" t="s">
        <v>54</v>
      </c>
      <c r="B1488" t="s">
        <v>8</v>
      </c>
      <c r="C1488">
        <v>3.3</v>
      </c>
      <c r="D1488">
        <v>33.000999999999998</v>
      </c>
      <c r="E1488">
        <v>1</v>
      </c>
      <c r="F1488" t="s">
        <v>6</v>
      </c>
      <c r="G1488" t="s">
        <v>4</v>
      </c>
      <c r="H1488">
        <v>50</v>
      </c>
      <c r="I1488">
        <v>100.01</v>
      </c>
      <c r="J1488" t="s">
        <v>10</v>
      </c>
      <c r="K1488">
        <v>579.35</v>
      </c>
      <c r="L1488">
        <v>0.23028000000000001</v>
      </c>
      <c r="M1488">
        <v>579.35</v>
      </c>
      <c r="N1488">
        <v>0.23021</v>
      </c>
      <c r="O1488" t="s">
        <v>2833</v>
      </c>
      <c r="P1488" t="s">
        <v>2833</v>
      </c>
      <c r="Q1488" t="s">
        <v>2833</v>
      </c>
      <c r="R1488">
        <f ca="1">RAND()*(Validation[[#This Row],[Range1_High]]-Validation[[#This Row],[Range1_Low]])+Validation[[#This Row],[Range1_Low]]</f>
        <v>15.86851403180977</v>
      </c>
      <c r="S1488">
        <f>Validation[[#This Row],[Range2_High]]</f>
        <v>100.01</v>
      </c>
      <c r="T1488" t="str" cm="1">
        <f t="array" aca="1" ref="T1488" ca="1">RoundToTwoSigFigs(Validation[[#This Row],[Test Reading]]*Validation[[#This Row],[Mult]]+Validation[[#This Row],[Base]]) &amp;" "&amp;Validation[[#This Row],[Uncert_Units]]</f>
        <v>580 mV</v>
      </c>
      <c r="U1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488" t="b">
        <f ca="1">Validation[[#This Row],[Desired Result]]=Validation[[#This Row],[Result]]</f>
        <v>1</v>
      </c>
      <c r="W1488" t="b">
        <v>1</v>
      </c>
      <c r="X1488" t="b">
        <f>Validation[[#This Row],[Range1_Low]]&gt;=Validation[[#This Row],[Range1_High]]</f>
        <v>0</v>
      </c>
      <c r="Y1488" s="111" t="s">
        <v>2845</v>
      </c>
    </row>
    <row r="1489" spans="1:25" ht="15.75" thickBot="1" x14ac:dyDescent="0.3">
      <c r="A1489" t="s">
        <v>55</v>
      </c>
      <c r="B1489" t="s">
        <v>8</v>
      </c>
      <c r="C1489">
        <v>0</v>
      </c>
      <c r="D1489">
        <v>0.01</v>
      </c>
      <c r="E1489">
        <v>0.1</v>
      </c>
      <c r="F1489" t="s">
        <v>6</v>
      </c>
      <c r="G1489" t="s">
        <v>5</v>
      </c>
      <c r="H1489">
        <v>4000</v>
      </c>
      <c r="I1489">
        <v>8000</v>
      </c>
      <c r="J1489" t="s">
        <v>10</v>
      </c>
      <c r="K1489">
        <v>57735</v>
      </c>
      <c r="L1489">
        <v>4703.5</v>
      </c>
      <c r="M1489">
        <v>57713</v>
      </c>
      <c r="N1489">
        <v>4700</v>
      </c>
      <c r="O1489" t="s">
        <v>2833</v>
      </c>
      <c r="P1489" t="s">
        <v>2833</v>
      </c>
      <c r="Q1489" t="s">
        <v>2833</v>
      </c>
      <c r="R1489">
        <f ca="1">RAND()*(Validation[[#This Row],[Range1_High]]-Validation[[#This Row],[Range1_Low]])+Validation[[#This Row],[Range1_Low]]</f>
        <v>2.143642957968124E-3</v>
      </c>
      <c r="S1489">
        <f>Validation[[#This Row],[Range2_High]]</f>
        <v>8000</v>
      </c>
      <c r="T1489" t="str" cm="1">
        <f t="array" aca="1" ref="T1489" ca="1">RoundToTwoSigFigs(Validation[[#This Row],[Test Reading]]*Validation[[#This Row],[Mult]]+Validation[[#This Row],[Base]]) &amp;" "&amp;Validation[[#This Row],[Uncert_Units]]</f>
        <v>58000 µV</v>
      </c>
      <c r="U1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489" t="b">
        <f ca="1">Validation[[#This Row],[Desired Result]]=Validation[[#This Row],[Result]]</f>
        <v>1</v>
      </c>
      <c r="W1489" t="b">
        <v>0</v>
      </c>
      <c r="X1489" t="b">
        <f>Validation[[#This Row],[Range1_Low]]&gt;=Validation[[#This Row],[Range1_High]]</f>
        <v>0</v>
      </c>
      <c r="Y1489" s="111" t="s">
        <v>2845</v>
      </c>
    </row>
    <row r="1490" spans="1:25" ht="16.5" thickTop="1" thickBot="1" x14ac:dyDescent="0.3">
      <c r="A1490" t="s">
        <v>68</v>
      </c>
      <c r="B1490" t="s">
        <v>8</v>
      </c>
      <c r="C1490" s="113">
        <v>1</v>
      </c>
      <c r="D1490" s="113">
        <v>10</v>
      </c>
      <c r="E1490">
        <v>1E-3</v>
      </c>
      <c r="F1490" t="s">
        <v>6</v>
      </c>
      <c r="G1490" t="s">
        <v>4</v>
      </c>
      <c r="H1490">
        <v>2</v>
      </c>
      <c r="I1490">
        <v>20</v>
      </c>
      <c r="J1490" t="s">
        <v>10</v>
      </c>
      <c r="K1490">
        <v>8.1999999999999993</v>
      </c>
      <c r="L1490">
        <v>1.7524999999999999</v>
      </c>
      <c r="M1490">
        <v>8.1524999999999999</v>
      </c>
      <c r="N1490">
        <v>1.7525999999999999</v>
      </c>
      <c r="O1490" t="s">
        <v>2833</v>
      </c>
      <c r="P1490" t="s">
        <v>2833</v>
      </c>
      <c r="Q1490" t="s">
        <v>2833</v>
      </c>
      <c r="R1490">
        <f ca="1">RAND()*(Validation[[#This Row],[Range1_High]]-Validation[[#This Row],[Range1_Low]])+Validation[[#This Row],[Range1_Low]]</f>
        <v>3.9907719084518316</v>
      </c>
      <c r="S1490">
        <f>Validation[[#This Row],[Range2_High]]</f>
        <v>20</v>
      </c>
      <c r="T1490" t="str" cm="1">
        <f t="array" aca="1" ref="T1490" ca="1">RoundToTwoSigFigs(Validation[[#This Row],[Test Reading]]*Validation[[#This Row],[Mult]]+Validation[[#This Row],[Base]]) &amp;" "&amp;Validation[[#This Row],[Uncert_Units]]</f>
        <v>15 mV</v>
      </c>
      <c r="U1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V1490" t="b">
        <f ca="1">Validation[[#This Row],[Desired Result]]=Validation[[#This Row],[Result]]</f>
        <v>1</v>
      </c>
      <c r="W1490" t="b">
        <v>1</v>
      </c>
      <c r="X1490" t="b">
        <f>Validation[[#This Row],[Range1_Low]]&gt;=Validation[[#This Row],[Range1_High]]</f>
        <v>0</v>
      </c>
      <c r="Y1490" s="111" t="s">
        <v>2843</v>
      </c>
    </row>
    <row r="1491" spans="1:25" ht="16.5" thickTop="1" thickBot="1" x14ac:dyDescent="0.3">
      <c r="A1491" t="s">
        <v>55</v>
      </c>
      <c r="B1491" t="s">
        <v>8</v>
      </c>
      <c r="C1491" s="113">
        <v>0.01</v>
      </c>
      <c r="D1491" s="113">
        <v>0.1</v>
      </c>
      <c r="E1491">
        <v>1.0000000000000001E-5</v>
      </c>
      <c r="F1491" t="s">
        <v>6</v>
      </c>
      <c r="G1491" t="s">
        <v>5</v>
      </c>
      <c r="H1491">
        <v>4000</v>
      </c>
      <c r="I1491">
        <v>8000</v>
      </c>
      <c r="J1491" t="s">
        <v>10</v>
      </c>
      <c r="K1491">
        <v>120</v>
      </c>
      <c r="L1491">
        <v>46000</v>
      </c>
      <c r="M1491">
        <v>92.287000000000006</v>
      </c>
      <c r="N1491">
        <v>46261</v>
      </c>
      <c r="O1491" t="s">
        <v>2833</v>
      </c>
      <c r="P1491" t="s">
        <v>2833</v>
      </c>
      <c r="Q1491" t="s">
        <v>2833</v>
      </c>
      <c r="R1491">
        <f ca="1">RAND()*(Validation[[#This Row],[Range1_High]]-Validation[[#This Row],[Range1_Low]])+Validation[[#This Row],[Range1_Low]]</f>
        <v>3.2300072761310319E-2</v>
      </c>
      <c r="S1491">
        <f>Validation[[#This Row],[Range2_High]]</f>
        <v>8000</v>
      </c>
      <c r="T1491" t="str" cm="1">
        <f t="array" aca="1" ref="T1491" ca="1">RoundToTwoSigFigs(Validation[[#This Row],[Test Reading]]*Validation[[#This Row],[Mult]]+Validation[[#This Row],[Base]]) &amp;" "&amp;Validation[[#This Row],[Uncert_Units]]</f>
        <v>1600 µV</v>
      </c>
      <c r="U1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V1491" t="b">
        <f ca="1">Validation[[#This Row],[Desired Result]]=Validation[[#This Row],[Result]]</f>
        <v>0</v>
      </c>
      <c r="W1491" t="b">
        <v>1</v>
      </c>
      <c r="X1491" t="b">
        <f>Validation[[#This Row],[Range1_Low]]&gt;=Validation[[#This Row],[Range1_High]]</f>
        <v>0</v>
      </c>
      <c r="Y1491" s="111" t="s">
        <v>2843</v>
      </c>
    </row>
    <row r="1492" spans="1:25" ht="16.5" thickTop="1" thickBot="1" x14ac:dyDescent="0.3">
      <c r="A1492" t="s">
        <v>68</v>
      </c>
      <c r="B1492" t="s">
        <v>8</v>
      </c>
      <c r="C1492" s="113">
        <v>10</v>
      </c>
      <c r="D1492" s="113">
        <v>100</v>
      </c>
      <c r="E1492">
        <v>0.01</v>
      </c>
      <c r="F1492" t="s">
        <v>6</v>
      </c>
      <c r="G1492" t="s">
        <v>4</v>
      </c>
      <c r="H1492">
        <v>0.04</v>
      </c>
      <c r="I1492">
        <v>1</v>
      </c>
      <c r="J1492" t="s">
        <v>10</v>
      </c>
      <c r="K1492">
        <v>35.348999999999997</v>
      </c>
      <c r="L1492">
        <v>0.94557000000000002</v>
      </c>
      <c r="M1492">
        <v>35.281999999999996</v>
      </c>
      <c r="N1492">
        <v>0.94527000000000005</v>
      </c>
      <c r="O1492" t="s">
        <v>2833</v>
      </c>
      <c r="P1492" t="s">
        <v>2833</v>
      </c>
      <c r="Q1492" t="s">
        <v>2833</v>
      </c>
      <c r="R1492">
        <f ca="1">RAND()*(Validation[[#This Row],[Range1_High]]-Validation[[#This Row],[Range1_Low]])+Validation[[#This Row],[Range1_Low]]</f>
        <v>44.784706749212781</v>
      </c>
      <c r="S1492">
        <f>Validation[[#This Row],[Range2_High]]</f>
        <v>1</v>
      </c>
      <c r="T1492" t="str" cm="1">
        <f t="array" aca="1" ref="T1492" ca="1">RoundToTwoSigFigs(Validation[[#This Row],[Test Reading]]*Validation[[#This Row],[Mult]]+Validation[[#This Row],[Base]]) &amp;" "&amp;Validation[[#This Row],[Uncert_Units]]</f>
        <v>78 mV</v>
      </c>
      <c r="U1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V1492" t="b">
        <f ca="1">Validation[[#This Row],[Desired Result]]=Validation[[#This Row],[Result]]</f>
        <v>1</v>
      </c>
      <c r="W1492" t="b">
        <v>1</v>
      </c>
      <c r="X1492" t="b">
        <f>Validation[[#This Row],[Range1_Low]]&gt;=Validation[[#This Row],[Range1_High]]</f>
        <v>0</v>
      </c>
      <c r="Y1492" s="111" t="s">
        <v>2843</v>
      </c>
    </row>
    <row r="1493" spans="1:25" ht="16.5" thickTop="1" thickBot="1" x14ac:dyDescent="0.3">
      <c r="A1493" t="s">
        <v>55</v>
      </c>
      <c r="B1493" t="s">
        <v>8</v>
      </c>
      <c r="C1493" s="113">
        <v>20</v>
      </c>
      <c r="D1493" s="113">
        <v>100</v>
      </c>
      <c r="E1493">
        <v>1E-3</v>
      </c>
      <c r="F1493" t="s">
        <v>6</v>
      </c>
      <c r="G1493" t="s">
        <v>4</v>
      </c>
      <c r="H1493">
        <v>20</v>
      </c>
      <c r="I1493">
        <v>50</v>
      </c>
      <c r="J1493" t="s">
        <v>10</v>
      </c>
      <c r="K1493">
        <v>6.8</v>
      </c>
      <c r="L1493">
        <v>0.36631000000000002</v>
      </c>
      <c r="M1493">
        <v>6.7495000000000003</v>
      </c>
      <c r="N1493">
        <v>0.36631999999999998</v>
      </c>
      <c r="O1493" t="s">
        <v>2833</v>
      </c>
      <c r="P1493" t="s">
        <v>2833</v>
      </c>
      <c r="Q1493" t="s">
        <v>2833</v>
      </c>
      <c r="R1493">
        <f ca="1">RAND()*(Validation[[#This Row],[Range1_High]]-Validation[[#This Row],[Range1_Low]])+Validation[[#This Row],[Range1_Low]]</f>
        <v>91.841685510223328</v>
      </c>
      <c r="S1493">
        <f>Validation[[#This Row],[Range2_High]]</f>
        <v>50</v>
      </c>
      <c r="T1493" t="str" cm="1">
        <f t="array" aca="1" ref="T1493" ca="1">RoundToTwoSigFigs(Validation[[#This Row],[Test Reading]]*Validation[[#This Row],[Mult]]+Validation[[#This Row],[Base]]) &amp;" "&amp;Validation[[#This Row],[Uncert_Units]]</f>
        <v>40 mV</v>
      </c>
      <c r="U1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V1493" t="b">
        <f ca="1">Validation[[#This Row],[Desired Result]]=Validation[[#This Row],[Result]]</f>
        <v>1</v>
      </c>
      <c r="W1493" t="b">
        <v>1</v>
      </c>
      <c r="X1493" t="b">
        <f>Validation[[#This Row],[Range1_Low]]&gt;=Validation[[#This Row],[Range1_High]]</f>
        <v>0</v>
      </c>
      <c r="Y1493" s="111" t="s">
        <v>2843</v>
      </c>
    </row>
    <row r="1494" spans="1:25" ht="16.5" thickTop="1" thickBot="1" x14ac:dyDescent="0.3">
      <c r="A1494" t="s">
        <v>55</v>
      </c>
      <c r="B1494" t="s">
        <v>8</v>
      </c>
      <c r="C1494">
        <v>10</v>
      </c>
      <c r="D1494">
        <v>20</v>
      </c>
      <c r="E1494">
        <v>0.1</v>
      </c>
      <c r="F1494" t="s">
        <v>6</v>
      </c>
      <c r="G1494" t="s">
        <v>4</v>
      </c>
      <c r="H1494">
        <v>1E-3</v>
      </c>
      <c r="I1494">
        <v>0.04</v>
      </c>
      <c r="J1494" t="s">
        <v>10</v>
      </c>
      <c r="K1494">
        <v>57.826999999999998</v>
      </c>
      <c r="L1494">
        <v>3.2722000000000001E-2</v>
      </c>
      <c r="M1494">
        <v>57.828000000000003</v>
      </c>
      <c r="N1494">
        <v>3.2399999999999998E-2</v>
      </c>
      <c r="O1494" t="s">
        <v>2833</v>
      </c>
      <c r="P1494" t="s">
        <v>2833</v>
      </c>
      <c r="Q1494" t="s">
        <v>2833</v>
      </c>
      <c r="R1494">
        <f ca="1">RAND()*(Validation[[#This Row],[Range1_High]]-Validation[[#This Row],[Range1_Low]])+Validation[[#This Row],[Range1_Low]]</f>
        <v>13.597192658278999</v>
      </c>
      <c r="S1494">
        <f>Validation[[#This Row],[Range2_High]]</f>
        <v>0.04</v>
      </c>
      <c r="T1494" t="str" cm="1">
        <f t="array" aca="1" ref="T1494" ca="1">RoundToTwoSigFigs(Validation[[#This Row],[Test Reading]]*Validation[[#This Row],[Mult]]+Validation[[#This Row],[Base]]) &amp;" "&amp;Validation[[#This Row],[Uncert_Units]]</f>
        <v>58 mV</v>
      </c>
      <c r="U1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494" t="b">
        <f ca="1">Validation[[#This Row],[Desired Result]]=Validation[[#This Row],[Result]]</f>
        <v>1</v>
      </c>
      <c r="W1494" t="b">
        <v>0</v>
      </c>
      <c r="X1494" t="b">
        <f>Validation[[#This Row],[Range1_Low]]&gt;=Validation[[#This Row],[Range1_High]]</f>
        <v>0</v>
      </c>
      <c r="Y1494" s="111" t="s">
        <v>2845</v>
      </c>
    </row>
    <row r="1495" spans="1:25" ht="16.5" thickTop="1" thickBot="1" x14ac:dyDescent="0.3">
      <c r="A1495" t="s">
        <v>55</v>
      </c>
      <c r="B1495" t="s">
        <v>8</v>
      </c>
      <c r="C1495" s="113">
        <v>0.01</v>
      </c>
      <c r="D1495" s="113">
        <v>0.1</v>
      </c>
      <c r="E1495">
        <v>1E-3</v>
      </c>
      <c r="F1495" t="s">
        <v>6</v>
      </c>
      <c r="G1495" t="s">
        <v>5</v>
      </c>
      <c r="H1495">
        <v>1000</v>
      </c>
      <c r="I1495">
        <v>2000</v>
      </c>
      <c r="J1495" t="s">
        <v>10</v>
      </c>
      <c r="K1495">
        <v>469.05</v>
      </c>
      <c r="L1495">
        <v>13766</v>
      </c>
      <c r="M1495">
        <v>433.19</v>
      </c>
      <c r="N1495">
        <v>13767</v>
      </c>
      <c r="O1495" t="s">
        <v>2833</v>
      </c>
      <c r="P1495" t="s">
        <v>2833</v>
      </c>
      <c r="Q1495" t="s">
        <v>2833</v>
      </c>
      <c r="R1495">
        <f ca="1">RAND()*(Validation[[#This Row],[Range1_High]]-Validation[[#This Row],[Range1_Low]])+Validation[[#This Row],[Range1_Low]]</f>
        <v>9.9719782965291701E-2</v>
      </c>
      <c r="S1495">
        <f>Validation[[#This Row],[Range2_High]]</f>
        <v>2000</v>
      </c>
      <c r="T1495" t="str" cm="1">
        <f t="array" aca="1" ref="T1495" ca="1">RoundToTwoSigFigs(Validation[[#This Row],[Test Reading]]*Validation[[#This Row],[Mult]]+Validation[[#This Row],[Base]]) &amp;" "&amp;Validation[[#This Row],[Uncert_Units]]</f>
        <v>1800 µV</v>
      </c>
      <c r="U1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µV</v>
      </c>
      <c r="V1495" t="b">
        <f ca="1">Validation[[#This Row],[Desired Result]]=Validation[[#This Row],[Result]]</f>
        <v>0</v>
      </c>
      <c r="W1495" t="b">
        <v>1</v>
      </c>
      <c r="X1495" t="b">
        <f>Validation[[#This Row],[Range1_Low]]&gt;=Validation[[#This Row],[Range1_High]]</f>
        <v>0</v>
      </c>
      <c r="Y1495" s="111" t="s">
        <v>2843</v>
      </c>
    </row>
    <row r="1496" spans="1:25" ht="15.75" thickTop="1" x14ac:dyDescent="0.25">
      <c r="A1496" t="s">
        <v>55</v>
      </c>
      <c r="B1496" t="s">
        <v>8</v>
      </c>
      <c r="C1496">
        <v>1</v>
      </c>
      <c r="D1496">
        <v>10</v>
      </c>
      <c r="E1496">
        <v>0.1</v>
      </c>
      <c r="F1496" t="s">
        <v>6</v>
      </c>
      <c r="G1496" t="s">
        <v>4</v>
      </c>
      <c r="H1496">
        <v>0.04</v>
      </c>
      <c r="I1496">
        <v>1</v>
      </c>
      <c r="J1496" t="s">
        <v>10</v>
      </c>
      <c r="K1496">
        <v>57.735999999999997</v>
      </c>
      <c r="L1496">
        <v>1.1207000000000001E-3</v>
      </c>
      <c r="M1496">
        <v>57.725999999999999</v>
      </c>
      <c r="N1496">
        <v>1.0323000000000001E-3</v>
      </c>
      <c r="O1496" t="s">
        <v>2833</v>
      </c>
      <c r="P1496" t="s">
        <v>2833</v>
      </c>
      <c r="Q1496" t="s">
        <v>2833</v>
      </c>
      <c r="R1496">
        <f ca="1">RAND()*(Validation[[#This Row],[Range1_High]]-Validation[[#This Row],[Range1_Low]])+Validation[[#This Row],[Range1_Low]]</f>
        <v>2.6328193999083411</v>
      </c>
      <c r="S1496">
        <f>Validation[[#This Row],[Range2_High]]</f>
        <v>1</v>
      </c>
      <c r="T1496" t="str" cm="1">
        <f t="array" aca="1" ref="T1496" ca="1">RoundToTwoSigFigs(Validation[[#This Row],[Test Reading]]*Validation[[#This Row],[Mult]]+Validation[[#This Row],[Base]]) &amp;" "&amp;Validation[[#This Row],[Uncert_Units]]</f>
        <v>58 mV</v>
      </c>
      <c r="U1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496" t="b">
        <f ca="1">Validation[[#This Row],[Desired Result]]=Validation[[#This Row],[Result]]</f>
        <v>1</v>
      </c>
      <c r="W1496" t="b">
        <v>0</v>
      </c>
      <c r="X1496" t="b">
        <f>Validation[[#This Row],[Range1_Low]]&gt;=Validation[[#This Row],[Range1_High]]</f>
        <v>0</v>
      </c>
      <c r="Y1496" s="111" t="s">
        <v>2845</v>
      </c>
    </row>
    <row r="1497" spans="1:25" ht="15.75" thickBot="1" x14ac:dyDescent="0.3">
      <c r="A1497" t="s">
        <v>54</v>
      </c>
      <c r="B1497" t="s">
        <v>8</v>
      </c>
      <c r="C1497">
        <v>0.33</v>
      </c>
      <c r="D1497">
        <v>3.3001</v>
      </c>
      <c r="E1497">
        <v>0.1</v>
      </c>
      <c r="F1497" t="s">
        <v>6</v>
      </c>
      <c r="G1497" t="s">
        <v>4</v>
      </c>
      <c r="H1497">
        <v>20</v>
      </c>
      <c r="I1497">
        <v>50.01</v>
      </c>
      <c r="J1497" t="s">
        <v>10</v>
      </c>
      <c r="K1497">
        <v>57.988</v>
      </c>
      <c r="L1497">
        <v>4.3219E-2</v>
      </c>
      <c r="M1497">
        <v>57.988</v>
      </c>
      <c r="N1497">
        <v>4.3147999999999999E-2</v>
      </c>
      <c r="O1497" t="s">
        <v>2833</v>
      </c>
      <c r="P1497" t="s">
        <v>2833</v>
      </c>
      <c r="Q1497" t="s">
        <v>2833</v>
      </c>
      <c r="R1497">
        <f ca="1">RAND()*(Validation[[#This Row],[Range1_High]]-Validation[[#This Row],[Range1_Low]])+Validation[[#This Row],[Range1_Low]]</f>
        <v>0.40250362082952901</v>
      </c>
      <c r="S1497">
        <f>Validation[[#This Row],[Range2_High]]</f>
        <v>50.01</v>
      </c>
      <c r="T1497" t="str" cm="1">
        <f t="array" aca="1" ref="T1497" ca="1">RoundToTwoSigFigs(Validation[[#This Row],[Test Reading]]*Validation[[#This Row],[Mult]]+Validation[[#This Row],[Base]]) &amp;" "&amp;Validation[[#This Row],[Uncert_Units]]</f>
        <v>58 mV</v>
      </c>
      <c r="U1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497" t="b">
        <f ca="1">Validation[[#This Row],[Desired Result]]=Validation[[#This Row],[Result]]</f>
        <v>1</v>
      </c>
      <c r="W1497" t="b">
        <v>0</v>
      </c>
      <c r="X1497" t="b">
        <f>Validation[[#This Row],[Range1_Low]]&gt;=Validation[[#This Row],[Range1_High]]</f>
        <v>0</v>
      </c>
      <c r="Y1497" s="111" t="s">
        <v>2845</v>
      </c>
    </row>
    <row r="1498" spans="1:25" ht="16.5" thickTop="1" thickBot="1" x14ac:dyDescent="0.3">
      <c r="A1498" t="s">
        <v>55</v>
      </c>
      <c r="B1498" t="s">
        <v>8</v>
      </c>
      <c r="C1498">
        <v>10</v>
      </c>
      <c r="D1498">
        <v>100</v>
      </c>
      <c r="E1498">
        <v>1</v>
      </c>
      <c r="F1498" t="s">
        <v>6</v>
      </c>
      <c r="G1498" t="s">
        <v>4</v>
      </c>
      <c r="H1498" s="113">
        <v>100</v>
      </c>
      <c r="I1498" s="113">
        <v>300</v>
      </c>
      <c r="J1498" t="s">
        <v>10</v>
      </c>
      <c r="K1498">
        <v>561.72</v>
      </c>
      <c r="L1498">
        <v>1.8549</v>
      </c>
      <c r="M1498">
        <v>536.24</v>
      </c>
      <c r="N1498">
        <v>1.8547</v>
      </c>
      <c r="O1498" t="s">
        <v>2833</v>
      </c>
      <c r="P1498" t="s">
        <v>2833</v>
      </c>
      <c r="Q1498" t="s">
        <v>2833</v>
      </c>
      <c r="R1498">
        <f ca="1">RAND()*(Validation[[#This Row],[Range1_High]]-Validation[[#This Row],[Range1_Low]])+Validation[[#This Row],[Range1_Low]]</f>
        <v>61.681543260930816</v>
      </c>
      <c r="S1498">
        <f>Validation[[#This Row],[Range2_High]]</f>
        <v>300</v>
      </c>
      <c r="T1498" t="str" cm="1">
        <f t="array" aca="1" ref="T1498" ca="1">RoundToTwoSigFigs(Validation[[#This Row],[Test Reading]]*Validation[[#This Row],[Mult]]+Validation[[#This Row],[Base]]) &amp;" "&amp;Validation[[#This Row],[Uncert_Units]]</f>
        <v>680 mV</v>
      </c>
      <c r="U1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V1498" t="b">
        <f ca="1">Validation[[#This Row],[Desired Result]]=Validation[[#This Row],[Result]]</f>
        <v>0</v>
      </c>
      <c r="W1498" t="b">
        <v>1</v>
      </c>
      <c r="X1498" t="b">
        <f>Validation[[#This Row],[Range1_Low]]&gt;=Validation[[#This Row],[Range1_High]]</f>
        <v>0</v>
      </c>
      <c r="Y1498" s="114" t="s">
        <v>2847</v>
      </c>
    </row>
    <row r="1499" spans="1:25" ht="16.5" thickTop="1" thickBot="1" x14ac:dyDescent="0.3">
      <c r="A1499" t="s">
        <v>54</v>
      </c>
      <c r="B1499" t="s">
        <v>8</v>
      </c>
      <c r="C1499" s="113">
        <v>3.3</v>
      </c>
      <c r="D1499" s="113">
        <v>33.000999999999998</v>
      </c>
      <c r="E1499">
        <v>0.01</v>
      </c>
      <c r="F1499" t="s">
        <v>6</v>
      </c>
      <c r="G1499" t="s">
        <v>4</v>
      </c>
      <c r="H1499">
        <v>10</v>
      </c>
      <c r="I1499">
        <v>20.010000000000002</v>
      </c>
      <c r="J1499" t="s">
        <v>10</v>
      </c>
      <c r="K1499">
        <v>4.3391999999999999</v>
      </c>
      <c r="L1499">
        <v>0.71689999999999998</v>
      </c>
      <c r="M1499">
        <v>4.3383000000000003</v>
      </c>
      <c r="N1499">
        <v>0.71689999999999998</v>
      </c>
      <c r="O1499" t="s">
        <v>2833</v>
      </c>
      <c r="P1499" t="s">
        <v>2833</v>
      </c>
      <c r="Q1499" t="s">
        <v>2833</v>
      </c>
      <c r="R1499">
        <f ca="1">RAND()*(Validation[[#This Row],[Range1_High]]-Validation[[#This Row],[Range1_Low]])+Validation[[#This Row],[Range1_Low]]</f>
        <v>9.82079170432044</v>
      </c>
      <c r="S1499">
        <f>Validation[[#This Row],[Range2_High]]</f>
        <v>20.010000000000002</v>
      </c>
      <c r="T1499" t="str" cm="1">
        <f t="array" aca="1" ref="T1499" ca="1">RoundToTwoSigFigs(Validation[[#This Row],[Test Reading]]*Validation[[#This Row],[Mult]]+Validation[[#This Row],[Base]]) &amp;" "&amp;Validation[[#This Row],[Uncert_Units]]</f>
        <v>11 mV</v>
      </c>
      <c r="U1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V1499" t="b">
        <f ca="1">Validation[[#This Row],[Desired Result]]=Validation[[#This Row],[Result]]</f>
        <v>0</v>
      </c>
      <c r="W1499" t="b">
        <v>1</v>
      </c>
      <c r="X1499" t="b">
        <f>Validation[[#This Row],[Range1_Low]]&gt;=Validation[[#This Row],[Range1_High]]</f>
        <v>0</v>
      </c>
      <c r="Y1499" s="111" t="s">
        <v>2843</v>
      </c>
    </row>
    <row r="1500" spans="1:25" ht="16.5" thickTop="1" thickBot="1" x14ac:dyDescent="0.3">
      <c r="A1500" t="s">
        <v>55</v>
      </c>
      <c r="B1500" t="s">
        <v>8</v>
      </c>
      <c r="C1500" s="113">
        <v>10</v>
      </c>
      <c r="D1500" s="113">
        <v>20</v>
      </c>
      <c r="E1500">
        <v>0.1</v>
      </c>
      <c r="F1500" t="s">
        <v>6</v>
      </c>
      <c r="G1500" t="s">
        <v>4</v>
      </c>
      <c r="H1500">
        <v>100</v>
      </c>
      <c r="I1500">
        <v>300</v>
      </c>
      <c r="J1500" t="s">
        <v>10</v>
      </c>
      <c r="K1500">
        <v>44.405999999999999</v>
      </c>
      <c r="L1500">
        <v>3.7323</v>
      </c>
      <c r="M1500">
        <v>44.402999999999999</v>
      </c>
      <c r="N1500">
        <v>3.7322000000000002</v>
      </c>
      <c r="O1500" t="s">
        <v>2833</v>
      </c>
      <c r="P1500" t="s">
        <v>2833</v>
      </c>
      <c r="Q1500" t="s">
        <v>2833</v>
      </c>
      <c r="R1500" s="100">
        <f ca="1">RAND()*(Validation[[#This Row],[Range1_High]]-Validation[[#This Row],[Range1_Low]])+Validation[[#This Row],[Range1_Low]]</f>
        <v>19.964211772038219</v>
      </c>
      <c r="S1500">
        <f>Validation[[#This Row],[Range2_High]]</f>
        <v>300</v>
      </c>
      <c r="T1500" t="str" cm="1">
        <f t="array" aca="1" ref="T1500" ca="1">RoundToTwoSigFigs(Validation[[#This Row],[Test Reading]]*Validation[[#This Row],[Mult]]+Validation[[#This Row],[Base]]) &amp;" "&amp;Validation[[#This Row],[Uncert_Units]]</f>
        <v>120 mV</v>
      </c>
      <c r="U1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V1500" t="b">
        <f ca="1">Validation[[#This Row],[Desired Result]]=Validation[[#This Row],[Result]]</f>
        <v>0</v>
      </c>
      <c r="W1500" t="b">
        <v>1</v>
      </c>
      <c r="X1500" t="b">
        <f>Validation[[#This Row],[Range1_Low]]&gt;=Validation[[#This Row],[Range1_High]]</f>
        <v>0</v>
      </c>
      <c r="Y1500" s="111" t="s">
        <v>2844</v>
      </c>
    </row>
    <row r="1501" spans="1:25" ht="16.5" thickTop="1" thickBot="1" x14ac:dyDescent="0.3">
      <c r="A1501" t="s">
        <v>55</v>
      </c>
      <c r="B1501" t="s">
        <v>8</v>
      </c>
      <c r="C1501" s="113">
        <v>10</v>
      </c>
      <c r="D1501" s="113">
        <v>20</v>
      </c>
      <c r="E1501">
        <v>1E-3</v>
      </c>
      <c r="F1501" t="s">
        <v>6</v>
      </c>
      <c r="G1501" t="s">
        <v>4</v>
      </c>
      <c r="H1501">
        <v>1</v>
      </c>
      <c r="I1501">
        <v>20</v>
      </c>
      <c r="J1501" t="s">
        <v>10</v>
      </c>
      <c r="K1501">
        <v>2.4</v>
      </c>
      <c r="L1501">
        <v>0.23</v>
      </c>
      <c r="M1501">
        <v>2.3458000000000001</v>
      </c>
      <c r="N1501">
        <v>0.23186999999999999</v>
      </c>
      <c r="O1501" t="s">
        <v>2833</v>
      </c>
      <c r="P1501" t="s">
        <v>2833</v>
      </c>
      <c r="Q1501" t="s">
        <v>2833</v>
      </c>
      <c r="R1501">
        <f ca="1">RAND()*(Validation[[#This Row],[Range1_High]]-Validation[[#This Row],[Range1_Low]])+Validation[[#This Row],[Range1_Low]]</f>
        <v>19.818350217111313</v>
      </c>
      <c r="S1501">
        <f>Validation[[#This Row],[Range2_High]]</f>
        <v>20</v>
      </c>
      <c r="T1501" t="str" cm="1">
        <f t="array" aca="1" ref="T1501" ca="1">RoundToTwoSigFigs(Validation[[#This Row],[Test Reading]]*Validation[[#This Row],[Mult]]+Validation[[#This Row],[Base]]) &amp;" "&amp;Validation[[#This Row],[Uncert_Units]]</f>
        <v>7 mV</v>
      </c>
      <c r="U1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mV</v>
      </c>
      <c r="V1501" t="b">
        <f ca="1">Validation[[#This Row],[Desired Result]]=Validation[[#This Row],[Result]]</f>
        <v>1</v>
      </c>
      <c r="W1501" t="b">
        <v>1</v>
      </c>
      <c r="X1501" t="b">
        <f>Validation[[#This Row],[Range1_Low]]&gt;=Validation[[#This Row],[Range1_High]]</f>
        <v>0</v>
      </c>
      <c r="Y1501" s="111" t="s">
        <v>2843</v>
      </c>
    </row>
    <row r="1502" spans="1:25" ht="16.5" thickTop="1" thickBot="1" x14ac:dyDescent="0.3">
      <c r="A1502" t="s">
        <v>54</v>
      </c>
      <c r="B1502" t="s">
        <v>8</v>
      </c>
      <c r="C1502" s="113">
        <v>3.3</v>
      </c>
      <c r="D1502" s="113">
        <v>33.000999999999998</v>
      </c>
      <c r="E1502">
        <v>0.01</v>
      </c>
      <c r="F1502" t="s">
        <v>6</v>
      </c>
      <c r="G1502" t="s">
        <v>4</v>
      </c>
      <c r="H1502">
        <v>20</v>
      </c>
      <c r="I1502">
        <v>50.01</v>
      </c>
      <c r="J1502" t="s">
        <v>10</v>
      </c>
      <c r="K1502">
        <v>3.8001999999999998</v>
      </c>
      <c r="L1502">
        <v>1.0753999999999999</v>
      </c>
      <c r="M1502">
        <v>3.7970999999999999</v>
      </c>
      <c r="N1502">
        <v>1.0753999999999999</v>
      </c>
      <c r="O1502" t="s">
        <v>2833</v>
      </c>
      <c r="P1502" t="s">
        <v>2833</v>
      </c>
      <c r="Q1502" t="s">
        <v>2833</v>
      </c>
      <c r="R1502">
        <f ca="1">RAND()*(Validation[[#This Row],[Range1_High]]-Validation[[#This Row],[Range1_Low]])+Validation[[#This Row],[Range1_Low]]</f>
        <v>10.828389551950371</v>
      </c>
      <c r="S1502">
        <f>Validation[[#This Row],[Range2_High]]</f>
        <v>50.01</v>
      </c>
      <c r="T1502" t="str" cm="1">
        <f t="array" aca="1" ref="T1502" ca="1">RoundToTwoSigFigs(Validation[[#This Row],[Test Reading]]*Validation[[#This Row],[Mult]]+Validation[[#This Row],[Base]]) &amp;" "&amp;Validation[[#This Row],[Uncert_Units]]</f>
        <v>15 mV</v>
      </c>
      <c r="U1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mV</v>
      </c>
      <c r="V1502" t="b">
        <f ca="1">Validation[[#This Row],[Desired Result]]=Validation[[#This Row],[Result]]</f>
        <v>0</v>
      </c>
      <c r="W1502" t="b">
        <v>1</v>
      </c>
      <c r="X1502" t="b">
        <f>Validation[[#This Row],[Range1_Low]]&gt;=Validation[[#This Row],[Range1_High]]</f>
        <v>0</v>
      </c>
      <c r="Y1502" s="111" t="s">
        <v>2843</v>
      </c>
    </row>
    <row r="1503" spans="1:25" ht="16.5" thickTop="1" thickBot="1" x14ac:dyDescent="0.3">
      <c r="A1503" t="s">
        <v>55</v>
      </c>
      <c r="B1503" t="s">
        <v>8</v>
      </c>
      <c r="C1503">
        <v>0.01</v>
      </c>
      <c r="D1503">
        <v>0.1</v>
      </c>
      <c r="E1503">
        <v>1E-4</v>
      </c>
      <c r="F1503" t="s">
        <v>6</v>
      </c>
      <c r="G1503" t="s">
        <v>5</v>
      </c>
      <c r="H1503">
        <v>0.04</v>
      </c>
      <c r="I1503">
        <v>1</v>
      </c>
      <c r="J1503" t="s">
        <v>10</v>
      </c>
      <c r="K1503">
        <v>57.783999999999999</v>
      </c>
      <c r="L1503">
        <v>10.952999999999999</v>
      </c>
      <c r="M1503">
        <v>57.783000000000001</v>
      </c>
      <c r="N1503">
        <v>10.891</v>
      </c>
      <c r="O1503" t="s">
        <v>2833</v>
      </c>
      <c r="P1503" t="s">
        <v>2833</v>
      </c>
      <c r="Q1503" t="s">
        <v>2833</v>
      </c>
      <c r="R1503">
        <f ca="1">RAND()*(Validation[[#This Row],[Range1_High]]-Validation[[#This Row],[Range1_Low]])+Validation[[#This Row],[Range1_Low]]</f>
        <v>9.0692525882285019E-2</v>
      </c>
      <c r="S1503">
        <f>Validation[[#This Row],[Range2_High]]</f>
        <v>1</v>
      </c>
      <c r="T1503" t="str" cm="1">
        <f t="array" aca="1" ref="T1503" ca="1">RoundToTwoSigFigs(Validation[[#This Row],[Test Reading]]*Validation[[#This Row],[Mult]]+Validation[[#This Row],[Base]]) &amp;" "&amp;Validation[[#This Row],[Uncert_Units]]</f>
        <v>59 µV</v>
      </c>
      <c r="U1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V1503" t="b">
        <f ca="1">Validation[[#This Row],[Desired Result]]=Validation[[#This Row],[Result]]</f>
        <v>1</v>
      </c>
      <c r="W1503" t="b">
        <v>0</v>
      </c>
      <c r="X1503" t="b">
        <f>Validation[[#This Row],[Range1_Low]]&gt;=Validation[[#This Row],[Range1_High]]</f>
        <v>0</v>
      </c>
      <c r="Y1503" s="111" t="s">
        <v>2845</v>
      </c>
    </row>
    <row r="1504" spans="1:25" ht="16.5" thickTop="1" thickBot="1" x14ac:dyDescent="0.3">
      <c r="A1504" t="s">
        <v>55</v>
      </c>
      <c r="B1504" t="s">
        <v>8</v>
      </c>
      <c r="C1504" s="113">
        <v>1</v>
      </c>
      <c r="D1504" s="113">
        <v>10</v>
      </c>
      <c r="E1504">
        <v>1E-4</v>
      </c>
      <c r="F1504" t="s">
        <v>6</v>
      </c>
      <c r="G1504" t="s">
        <v>4</v>
      </c>
      <c r="H1504">
        <v>4000</v>
      </c>
      <c r="I1504">
        <v>8000</v>
      </c>
      <c r="J1504" t="s">
        <v>10</v>
      </c>
      <c r="K1504">
        <v>15</v>
      </c>
      <c r="L1504">
        <v>46.325000000000003</v>
      </c>
      <c r="M1504">
        <v>9.1631999999999998</v>
      </c>
      <c r="N1504">
        <v>46.576000000000001</v>
      </c>
      <c r="O1504" t="s">
        <v>2833</v>
      </c>
      <c r="P1504" t="s">
        <v>2833</v>
      </c>
      <c r="Q1504" t="s">
        <v>2833</v>
      </c>
      <c r="R1504">
        <f ca="1">RAND()*(Validation[[#This Row],[Range1_High]]-Validation[[#This Row],[Range1_Low]])+Validation[[#This Row],[Range1_Low]]</f>
        <v>5.7510178607223006</v>
      </c>
      <c r="S1504">
        <f>Validation[[#This Row],[Range2_High]]</f>
        <v>8000</v>
      </c>
      <c r="T1504" t="str" cm="1">
        <f t="array" aca="1" ref="T1504" ca="1">RoundToTwoSigFigs(Validation[[#This Row],[Test Reading]]*Validation[[#This Row],[Mult]]+Validation[[#This Row],[Base]]) &amp;" "&amp;Validation[[#This Row],[Uncert_Units]]</f>
        <v>280 mV</v>
      </c>
      <c r="U1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V1504" t="b">
        <f ca="1">Validation[[#This Row],[Desired Result]]=Validation[[#This Row],[Result]]</f>
        <v>1</v>
      </c>
      <c r="W1504" t="b">
        <v>1</v>
      </c>
      <c r="X1504" t="b">
        <f>Validation[[#This Row],[Range1_Low]]&gt;=Validation[[#This Row],[Range1_High]]</f>
        <v>0</v>
      </c>
      <c r="Y1504" s="111" t="s">
        <v>2843</v>
      </c>
    </row>
    <row r="1505" spans="1:25" ht="16.5" thickTop="1" thickBot="1" x14ac:dyDescent="0.3">
      <c r="A1505" t="s">
        <v>54</v>
      </c>
      <c r="B1505" t="s">
        <v>8</v>
      </c>
      <c r="C1505" s="113">
        <v>330</v>
      </c>
      <c r="D1505" s="113">
        <v>1020.01</v>
      </c>
      <c r="E1505">
        <v>0.1</v>
      </c>
      <c r="F1505" t="s">
        <v>6</v>
      </c>
      <c r="G1505" t="s">
        <v>4</v>
      </c>
      <c r="H1505">
        <v>4.4999999999999998E-2</v>
      </c>
      <c r="I1505">
        <v>1.0000100000000001</v>
      </c>
      <c r="J1505" t="s">
        <v>10</v>
      </c>
      <c r="K1505">
        <v>510.18</v>
      </c>
      <c r="L1505">
        <v>0.32784999999999997</v>
      </c>
      <c r="M1505">
        <v>510.26</v>
      </c>
      <c r="N1505">
        <v>0.32723999999999998</v>
      </c>
      <c r="O1505" t="s">
        <v>2833</v>
      </c>
      <c r="P1505" t="s">
        <v>2833</v>
      </c>
      <c r="Q1505" t="s">
        <v>2833</v>
      </c>
      <c r="R1505">
        <f ca="1">RAND()*(Validation[[#This Row],[Range1_High]]-Validation[[#This Row],[Range1_Low]])+Validation[[#This Row],[Range1_Low]]</f>
        <v>508.61881995840633</v>
      </c>
      <c r="S1505">
        <f>Validation[[#This Row],[Range2_High]]</f>
        <v>1.0000100000000001</v>
      </c>
      <c r="T1505" t="str" cm="1">
        <f t="array" aca="1" ref="T1505" ca="1">RoundToTwoSigFigs(Validation[[#This Row],[Test Reading]]*Validation[[#This Row],[Mult]]+Validation[[#This Row],[Base]]) &amp;" "&amp;Validation[[#This Row],[Uncert_Units]]</f>
        <v>680 mV</v>
      </c>
      <c r="U1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V1505" t="b">
        <f ca="1">Validation[[#This Row],[Desired Result]]=Validation[[#This Row],[Result]]</f>
        <v>1</v>
      </c>
      <c r="W1505" t="b">
        <v>1</v>
      </c>
      <c r="X1505" t="b">
        <f>Validation[[#This Row],[Range1_Low]]&gt;=Validation[[#This Row],[Range1_High]]</f>
        <v>0</v>
      </c>
      <c r="Y1505" s="111" t="s">
        <v>2843</v>
      </c>
    </row>
    <row r="1506" spans="1:25" ht="16.5" thickTop="1" thickBot="1" x14ac:dyDescent="0.3">
      <c r="A1506" t="s">
        <v>54</v>
      </c>
      <c r="B1506" t="s">
        <v>8</v>
      </c>
      <c r="C1506" s="113">
        <v>0.33</v>
      </c>
      <c r="D1506" s="113">
        <v>3.3001</v>
      </c>
      <c r="E1506">
        <v>0.01</v>
      </c>
      <c r="F1506" t="s">
        <v>6</v>
      </c>
      <c r="G1506" t="s">
        <v>4</v>
      </c>
      <c r="H1506">
        <v>50</v>
      </c>
      <c r="I1506">
        <v>100.01</v>
      </c>
      <c r="J1506" t="s">
        <v>10</v>
      </c>
      <c r="K1506">
        <v>5.3723000000000001</v>
      </c>
      <c r="L1506">
        <v>1.6168</v>
      </c>
      <c r="M1506">
        <v>5.3715000000000002</v>
      </c>
      <c r="N1506">
        <v>1.6167</v>
      </c>
      <c r="O1506" t="s">
        <v>2833</v>
      </c>
      <c r="P1506" t="s">
        <v>2833</v>
      </c>
      <c r="Q1506" t="s">
        <v>2833</v>
      </c>
      <c r="R1506">
        <f ca="1">RAND()*(Validation[[#This Row],[Range1_High]]-Validation[[#This Row],[Range1_Low]])+Validation[[#This Row],[Range1_Low]]</f>
        <v>2.5619237994773774</v>
      </c>
      <c r="S1506">
        <f>Validation[[#This Row],[Range2_High]]</f>
        <v>100.01</v>
      </c>
      <c r="T1506" t="str" cm="1">
        <f t="array" aca="1" ref="T1506" ca="1">RoundToTwoSigFigs(Validation[[#This Row],[Test Reading]]*Validation[[#This Row],[Mult]]+Validation[[#This Row],[Base]]) &amp;" "&amp;Validation[[#This Row],[Uncert_Units]]</f>
        <v>9.5 mV</v>
      </c>
      <c r="U1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V1506" t="b">
        <f ca="1">Validation[[#This Row],[Desired Result]]=Validation[[#This Row],[Result]]</f>
        <v>0</v>
      </c>
      <c r="W1506" t="b">
        <v>1</v>
      </c>
      <c r="X1506" t="b">
        <f>Validation[[#This Row],[Range1_Low]]&gt;=Validation[[#This Row],[Range1_High]]</f>
        <v>0</v>
      </c>
      <c r="Y1506" s="111" t="s">
        <v>2843</v>
      </c>
    </row>
    <row r="1507" spans="1:25" ht="16.5" thickTop="1" thickBot="1" x14ac:dyDescent="0.3">
      <c r="A1507" t="s">
        <v>55</v>
      </c>
      <c r="B1507" t="s">
        <v>8</v>
      </c>
      <c r="C1507" s="113">
        <v>0.1</v>
      </c>
      <c r="D1507" s="113">
        <v>1</v>
      </c>
      <c r="E1507">
        <v>1.0000000000000001E-5</v>
      </c>
      <c r="F1507" t="s">
        <v>6</v>
      </c>
      <c r="G1507" t="s">
        <v>5</v>
      </c>
      <c r="H1507">
        <v>0.04</v>
      </c>
      <c r="I1507">
        <v>1</v>
      </c>
      <c r="J1507" t="s">
        <v>10</v>
      </c>
      <c r="K1507">
        <v>24</v>
      </c>
      <c r="L1507">
        <v>82</v>
      </c>
      <c r="M1507">
        <v>24.088000000000001</v>
      </c>
      <c r="N1507">
        <v>80.040999999999997</v>
      </c>
      <c r="O1507" t="s">
        <v>2833</v>
      </c>
      <c r="P1507" t="s">
        <v>2833</v>
      </c>
      <c r="Q1507" t="s">
        <v>2833</v>
      </c>
      <c r="R1507">
        <f ca="1">RAND()*(Validation[[#This Row],[Range1_High]]-Validation[[#This Row],[Range1_Low]])+Validation[[#This Row],[Range1_Low]]</f>
        <v>0.80346449850146817</v>
      </c>
      <c r="S1507">
        <f>Validation[[#This Row],[Range2_High]]</f>
        <v>1</v>
      </c>
      <c r="T1507" t="str" cm="1">
        <f t="array" aca="1" ref="T1507" ca="1">RoundToTwoSigFigs(Validation[[#This Row],[Test Reading]]*Validation[[#This Row],[Mult]]+Validation[[#This Row],[Base]]) &amp;" "&amp;Validation[[#This Row],[Uncert_Units]]</f>
        <v>90 µV</v>
      </c>
      <c r="U1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V1507" t="b">
        <f ca="1">Validation[[#This Row],[Desired Result]]=Validation[[#This Row],[Result]]</f>
        <v>1</v>
      </c>
      <c r="W1507" t="b">
        <v>1</v>
      </c>
      <c r="X1507" t="b">
        <f>Validation[[#This Row],[Range1_Low]]&gt;=Validation[[#This Row],[Range1_High]]</f>
        <v>0</v>
      </c>
      <c r="Y1507" s="111" t="s">
        <v>2843</v>
      </c>
    </row>
    <row r="1508" spans="1:25" ht="16.5" thickTop="1" thickBot="1" x14ac:dyDescent="0.3">
      <c r="A1508" t="s">
        <v>55</v>
      </c>
      <c r="B1508" t="s">
        <v>8</v>
      </c>
      <c r="C1508">
        <v>0</v>
      </c>
      <c r="D1508">
        <v>0.01</v>
      </c>
      <c r="E1508">
        <v>1E-8</v>
      </c>
      <c r="F1508" t="s">
        <v>6</v>
      </c>
      <c r="G1508" t="s">
        <v>5</v>
      </c>
      <c r="H1508">
        <v>1</v>
      </c>
      <c r="I1508">
        <v>20</v>
      </c>
      <c r="J1508" t="s">
        <v>10</v>
      </c>
      <c r="K1508">
        <v>3.1</v>
      </c>
      <c r="L1508">
        <v>254.16</v>
      </c>
      <c r="M1508">
        <v>3.0562999999999998</v>
      </c>
      <c r="N1508">
        <v>254.09</v>
      </c>
      <c r="O1508" t="s">
        <v>2833</v>
      </c>
      <c r="P1508" t="s">
        <v>2833</v>
      </c>
      <c r="Q1508" t="s">
        <v>2833</v>
      </c>
      <c r="R1508">
        <f ca="1">RAND()*(Validation[[#This Row],[Range1_High]]-Validation[[#This Row],[Range1_Low]])+Validation[[#This Row],[Range1_Low]]</f>
        <v>3.1666253306879945E-3</v>
      </c>
      <c r="S1508">
        <f>Validation[[#This Row],[Range2_High]]</f>
        <v>20</v>
      </c>
      <c r="T1508" t="str" cm="1">
        <f t="array" aca="1" ref="T1508" ca="1">RoundToTwoSigFigs(Validation[[#This Row],[Test Reading]]*Validation[[#This Row],[Mult]]+Validation[[#This Row],[Base]]) &amp;" "&amp;Validation[[#This Row],[Uncert_Units]]</f>
        <v>3.9 µV</v>
      </c>
      <c r="U1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V1508" t="b">
        <f ca="1">Validation[[#This Row],[Desired Result]]=Validation[[#This Row],[Result]]</f>
        <v>1</v>
      </c>
      <c r="W1508" t="b">
        <v>0</v>
      </c>
      <c r="X1508" t="b">
        <f>Validation[[#This Row],[Range1_Low]]&gt;=Validation[[#This Row],[Range1_High]]</f>
        <v>0</v>
      </c>
      <c r="Y1508" s="111" t="s">
        <v>2845</v>
      </c>
    </row>
    <row r="1509" spans="1:25" ht="16.5" thickTop="1" thickBot="1" x14ac:dyDescent="0.3">
      <c r="A1509" t="s">
        <v>55</v>
      </c>
      <c r="B1509" t="s">
        <v>8</v>
      </c>
      <c r="C1509" s="113">
        <v>1</v>
      </c>
      <c r="D1509" s="113">
        <v>10</v>
      </c>
      <c r="E1509">
        <v>1E-4</v>
      </c>
      <c r="F1509" t="s">
        <v>6</v>
      </c>
      <c r="G1509" t="s">
        <v>4</v>
      </c>
      <c r="H1509">
        <v>50</v>
      </c>
      <c r="I1509">
        <v>100</v>
      </c>
      <c r="J1509" t="s">
        <v>10</v>
      </c>
      <c r="K1509">
        <v>0.27</v>
      </c>
      <c r="L1509">
        <v>0.93767999999999996</v>
      </c>
      <c r="M1509">
        <v>0.22761000000000001</v>
      </c>
      <c r="N1509">
        <v>0.94106999999999996</v>
      </c>
      <c r="O1509" t="s">
        <v>2833</v>
      </c>
      <c r="P1509" t="s">
        <v>2833</v>
      </c>
      <c r="Q1509" t="s">
        <v>2833</v>
      </c>
      <c r="R1509">
        <f ca="1">RAND()*(Validation[[#This Row],[Range1_High]]-Validation[[#This Row],[Range1_Low]])+Validation[[#This Row],[Range1_Low]]</f>
        <v>4.7204642784633988</v>
      </c>
      <c r="S1509">
        <f>Validation[[#This Row],[Range2_High]]</f>
        <v>100</v>
      </c>
      <c r="T1509" t="str" cm="1">
        <f t="array" aca="1" ref="T1509" ca="1">RoundToTwoSigFigs(Validation[[#This Row],[Test Reading]]*Validation[[#This Row],[Mult]]+Validation[[#This Row],[Base]]) &amp;" "&amp;Validation[[#This Row],[Uncert_Units]]</f>
        <v>4.7 mV</v>
      </c>
      <c r="U1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mV</v>
      </c>
      <c r="V1509" t="b">
        <f ca="1">Validation[[#This Row],[Desired Result]]=Validation[[#This Row],[Result]]</f>
        <v>1</v>
      </c>
      <c r="W1509" t="b">
        <v>1</v>
      </c>
      <c r="X1509" t="b">
        <f>Validation[[#This Row],[Range1_Low]]&gt;=Validation[[#This Row],[Range1_High]]</f>
        <v>0</v>
      </c>
      <c r="Y1509" s="111" t="s">
        <v>2843</v>
      </c>
    </row>
    <row r="1510" spans="1:25" ht="16.5" thickTop="1" thickBot="1" x14ac:dyDescent="0.3">
      <c r="A1510" t="s">
        <v>68</v>
      </c>
      <c r="B1510" t="s">
        <v>8</v>
      </c>
      <c r="C1510" s="113">
        <v>0.1</v>
      </c>
      <c r="D1510" s="113">
        <v>1</v>
      </c>
      <c r="E1510">
        <v>1E-4</v>
      </c>
      <c r="F1510" t="s">
        <v>6</v>
      </c>
      <c r="G1510" t="s">
        <v>5</v>
      </c>
      <c r="H1510">
        <v>0.01</v>
      </c>
      <c r="I1510">
        <v>2</v>
      </c>
      <c r="J1510" t="s">
        <v>10</v>
      </c>
      <c r="K1510">
        <v>351.19</v>
      </c>
      <c r="L1510">
        <v>934.51</v>
      </c>
      <c r="M1510">
        <v>351.16</v>
      </c>
      <c r="N1510">
        <v>934.46</v>
      </c>
      <c r="O1510" t="s">
        <v>2833</v>
      </c>
      <c r="P1510" t="s">
        <v>2833</v>
      </c>
      <c r="Q1510" t="s">
        <v>2833</v>
      </c>
      <c r="R1510">
        <f ca="1">RAND()*(Validation[[#This Row],[Range1_High]]-Validation[[#This Row],[Range1_Low]])+Validation[[#This Row],[Range1_Low]]</f>
        <v>0.36713484724239354</v>
      </c>
      <c r="S1510">
        <f>Validation[[#This Row],[Range2_High]]</f>
        <v>2</v>
      </c>
      <c r="T1510" t="str" cm="1">
        <f t="array" aca="1" ref="T1510" ca="1">RoundToTwoSigFigs(Validation[[#This Row],[Test Reading]]*Validation[[#This Row],[Mult]]+Validation[[#This Row],[Base]]) &amp;" "&amp;Validation[[#This Row],[Uncert_Units]]</f>
        <v>690 µV</v>
      </c>
      <c r="U1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V1510" t="b">
        <f ca="1">Validation[[#This Row],[Desired Result]]=Validation[[#This Row],[Result]]</f>
        <v>0</v>
      </c>
      <c r="W1510" t="b">
        <v>1</v>
      </c>
      <c r="X1510" t="b">
        <f>Validation[[#This Row],[Range1_Low]]&gt;=Validation[[#This Row],[Range1_High]]</f>
        <v>0</v>
      </c>
      <c r="Y1510" s="111" t="s">
        <v>2843</v>
      </c>
    </row>
    <row r="1511" spans="1:25" ht="16.5" thickTop="1" thickBot="1" x14ac:dyDescent="0.3">
      <c r="A1511" t="s">
        <v>55</v>
      </c>
      <c r="B1511" t="s">
        <v>8</v>
      </c>
      <c r="C1511" s="113">
        <v>100</v>
      </c>
      <c r="D1511" s="113">
        <v>1000</v>
      </c>
      <c r="E1511">
        <v>0.1</v>
      </c>
      <c r="F1511" t="s">
        <v>6</v>
      </c>
      <c r="G1511" t="s">
        <v>4</v>
      </c>
      <c r="H1511">
        <v>50</v>
      </c>
      <c r="I1511">
        <v>100</v>
      </c>
      <c r="J1511" t="s">
        <v>10</v>
      </c>
      <c r="K1511">
        <v>24.483000000000001</v>
      </c>
      <c r="L1511">
        <v>3.4984999999999999</v>
      </c>
      <c r="M1511">
        <v>28.03</v>
      </c>
      <c r="N1511">
        <v>3.4611999999999998</v>
      </c>
      <c r="O1511" t="s">
        <v>2833</v>
      </c>
      <c r="P1511" t="s">
        <v>2833</v>
      </c>
      <c r="Q1511" t="s">
        <v>2833</v>
      </c>
      <c r="R1511">
        <f ca="1">RAND()*(Validation[[#This Row],[Range1_High]]-Validation[[#This Row],[Range1_Low]])+Validation[[#This Row],[Range1_Low]]</f>
        <v>753.92245740755743</v>
      </c>
      <c r="S1511">
        <f>Validation[[#This Row],[Range2_High]]</f>
        <v>100</v>
      </c>
      <c r="T1511" t="str" cm="1">
        <f t="array" aca="1" ref="T1511" ca="1">RoundToTwoSigFigs(Validation[[#This Row],[Test Reading]]*Validation[[#This Row],[Mult]]+Validation[[#This Row],[Base]]) &amp;" "&amp;Validation[[#This Row],[Uncert_Units]]</f>
        <v>2700 mV</v>
      </c>
      <c r="U1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mV</v>
      </c>
      <c r="V1511" t="b">
        <f ca="1">Validation[[#This Row],[Desired Result]]=Validation[[#This Row],[Result]]</f>
        <v>1</v>
      </c>
      <c r="W1511" t="b">
        <v>1</v>
      </c>
      <c r="X1511" t="b">
        <f>Validation[[#This Row],[Range1_Low]]&gt;=Validation[[#This Row],[Range1_High]]</f>
        <v>0</v>
      </c>
      <c r="Y1511" s="111" t="s">
        <v>2843</v>
      </c>
    </row>
    <row r="1512" spans="1:25" ht="16.5" thickTop="1" thickBot="1" x14ac:dyDescent="0.3">
      <c r="A1512" t="s">
        <v>55</v>
      </c>
      <c r="B1512" t="s">
        <v>8</v>
      </c>
      <c r="C1512" s="113">
        <v>10</v>
      </c>
      <c r="D1512" s="113">
        <v>20</v>
      </c>
      <c r="E1512">
        <v>0.1</v>
      </c>
      <c r="F1512" t="s">
        <v>6</v>
      </c>
      <c r="G1512" t="s">
        <v>4</v>
      </c>
      <c r="H1512">
        <v>300</v>
      </c>
      <c r="I1512">
        <v>1000</v>
      </c>
      <c r="J1512" t="s">
        <v>10</v>
      </c>
      <c r="K1512">
        <v>25.324999999999999</v>
      </c>
      <c r="L1512">
        <v>16.908000000000001</v>
      </c>
      <c r="M1512">
        <v>25.323</v>
      </c>
      <c r="N1512">
        <v>16.908000000000001</v>
      </c>
      <c r="O1512" t="s">
        <v>2833</v>
      </c>
      <c r="P1512" t="s">
        <v>2833</v>
      </c>
      <c r="Q1512" t="s">
        <v>2833</v>
      </c>
      <c r="R1512" s="100">
        <f ca="1">RAND()*(Validation[[#This Row],[Range1_High]]-Validation[[#This Row],[Range1_Low]])+Validation[[#This Row],[Range1_Low]]</f>
        <v>18.546657455875465</v>
      </c>
      <c r="S1512">
        <f>Validation[[#This Row],[Range2_High]]</f>
        <v>1000</v>
      </c>
      <c r="T1512" t="str" cm="1">
        <f t="array" aca="1" ref="T1512" ca="1">RoundToTwoSigFigs(Validation[[#This Row],[Test Reading]]*Validation[[#This Row],[Mult]]+Validation[[#This Row],[Base]]) &amp;" "&amp;Validation[[#This Row],[Uncert_Units]]</f>
        <v>340 mV</v>
      </c>
      <c r="U1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V1512" t="b">
        <f ca="1">Validation[[#This Row],[Desired Result]]=Validation[[#This Row],[Result]]</f>
        <v>0</v>
      </c>
      <c r="W1512" t="b">
        <v>1</v>
      </c>
      <c r="X1512" t="b">
        <f>Validation[[#This Row],[Range1_Low]]&gt;=Validation[[#This Row],[Range1_High]]</f>
        <v>0</v>
      </c>
      <c r="Y1512" s="111" t="s">
        <v>2844</v>
      </c>
    </row>
    <row r="1513" spans="1:25" ht="16.5" thickTop="1" thickBot="1" x14ac:dyDescent="0.3">
      <c r="A1513" t="s">
        <v>55</v>
      </c>
      <c r="B1513" t="s">
        <v>8</v>
      </c>
      <c r="C1513" s="113">
        <v>0.01</v>
      </c>
      <c r="D1513" s="113">
        <v>0.1</v>
      </c>
      <c r="E1513">
        <v>9.9999999999999995E-7</v>
      </c>
      <c r="F1513" t="s">
        <v>6</v>
      </c>
      <c r="G1513" t="s">
        <v>5</v>
      </c>
      <c r="H1513">
        <v>4000</v>
      </c>
      <c r="I1513">
        <v>8000</v>
      </c>
      <c r="J1513" t="s">
        <v>10</v>
      </c>
      <c r="K1513">
        <v>120</v>
      </c>
      <c r="L1513">
        <v>46000</v>
      </c>
      <c r="M1513">
        <v>92.257000000000005</v>
      </c>
      <c r="N1513">
        <v>46261</v>
      </c>
      <c r="O1513" t="s">
        <v>2833</v>
      </c>
      <c r="P1513" t="s">
        <v>2833</v>
      </c>
      <c r="Q1513" t="s">
        <v>2833</v>
      </c>
      <c r="R1513">
        <f ca="1">RAND()*(Validation[[#This Row],[Range1_High]]-Validation[[#This Row],[Range1_Low]])+Validation[[#This Row],[Range1_Low]]</f>
        <v>9.7487881780506394E-2</v>
      </c>
      <c r="S1513">
        <f>Validation[[#This Row],[Range2_High]]</f>
        <v>8000</v>
      </c>
      <c r="T1513" t="str" cm="1">
        <f t="array" aca="1" ref="T1513" ca="1">RoundToTwoSigFigs(Validation[[#This Row],[Test Reading]]*Validation[[#This Row],[Mult]]+Validation[[#This Row],[Base]]) &amp;" "&amp;Validation[[#This Row],[Uncert_Units]]</f>
        <v>4600 µV</v>
      </c>
      <c r="U1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µV</v>
      </c>
      <c r="V1513" t="b">
        <f ca="1">Validation[[#This Row],[Desired Result]]=Validation[[#This Row],[Result]]</f>
        <v>0</v>
      </c>
      <c r="W1513" t="b">
        <v>1</v>
      </c>
      <c r="X1513" t="b">
        <f>Validation[[#This Row],[Range1_Low]]&gt;=Validation[[#This Row],[Range1_High]]</f>
        <v>0</v>
      </c>
      <c r="Y1513" s="111" t="s">
        <v>2843</v>
      </c>
    </row>
    <row r="1514" spans="1:25" ht="16.5" thickTop="1" thickBot="1" x14ac:dyDescent="0.3">
      <c r="A1514" t="s">
        <v>55</v>
      </c>
      <c r="B1514" t="s">
        <v>8</v>
      </c>
      <c r="C1514" s="113">
        <v>0.01</v>
      </c>
      <c r="D1514" s="113">
        <v>0.1</v>
      </c>
      <c r="E1514">
        <v>1E-8</v>
      </c>
      <c r="F1514" t="s">
        <v>6</v>
      </c>
      <c r="G1514" t="s">
        <v>5</v>
      </c>
      <c r="H1514">
        <v>0.04</v>
      </c>
      <c r="I1514">
        <v>1</v>
      </c>
      <c r="J1514" t="s">
        <v>10</v>
      </c>
      <c r="K1514">
        <v>3.5</v>
      </c>
      <c r="L1514">
        <v>81</v>
      </c>
      <c r="M1514">
        <v>3.4428999999999998</v>
      </c>
      <c r="N1514">
        <v>80.683999999999997</v>
      </c>
      <c r="O1514" t="s">
        <v>2833</v>
      </c>
      <c r="P1514" t="s">
        <v>2833</v>
      </c>
      <c r="Q1514" t="s">
        <v>2833</v>
      </c>
      <c r="R1514">
        <f ca="1">RAND()*(Validation[[#This Row],[Range1_High]]-Validation[[#This Row],[Range1_Low]])+Validation[[#This Row],[Range1_Low]]</f>
        <v>4.2153274747599986E-2</v>
      </c>
      <c r="S1514">
        <f>Validation[[#This Row],[Range2_High]]</f>
        <v>1</v>
      </c>
      <c r="T1514" t="str" cm="1">
        <f t="array" aca="1" ref="T1514" ca="1">RoundToTwoSigFigs(Validation[[#This Row],[Test Reading]]*Validation[[#This Row],[Mult]]+Validation[[#This Row],[Base]]) &amp;" "&amp;Validation[[#This Row],[Uncert_Units]]</f>
        <v>6.9 µV</v>
      </c>
      <c r="U1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µV</v>
      </c>
      <c r="V1514" t="b">
        <f ca="1">Validation[[#This Row],[Desired Result]]=Validation[[#This Row],[Result]]</f>
        <v>1</v>
      </c>
      <c r="W1514" t="b">
        <v>1</v>
      </c>
      <c r="X1514" t="b">
        <f>Validation[[#This Row],[Range1_Low]]&gt;=Validation[[#This Row],[Range1_High]]</f>
        <v>0</v>
      </c>
      <c r="Y1514" s="111" t="s">
        <v>2843</v>
      </c>
    </row>
    <row r="1515" spans="1:25" ht="16.5" thickTop="1" thickBot="1" x14ac:dyDescent="0.3">
      <c r="A1515" t="s">
        <v>55</v>
      </c>
      <c r="B1515" t="s">
        <v>8</v>
      </c>
      <c r="C1515" s="113">
        <v>0.01</v>
      </c>
      <c r="D1515" s="113">
        <v>0.1</v>
      </c>
      <c r="E1515">
        <v>1E-4</v>
      </c>
      <c r="F1515" t="s">
        <v>6</v>
      </c>
      <c r="G1515" t="s">
        <v>5</v>
      </c>
      <c r="H1515">
        <v>100</v>
      </c>
      <c r="I1515">
        <v>300</v>
      </c>
      <c r="J1515" t="s">
        <v>10</v>
      </c>
      <c r="K1515">
        <v>41.904000000000003</v>
      </c>
      <c r="L1515">
        <v>3219</v>
      </c>
      <c r="M1515">
        <v>41.802</v>
      </c>
      <c r="N1515">
        <v>3219.4</v>
      </c>
      <c r="O1515" t="s">
        <v>2833</v>
      </c>
      <c r="P1515" t="s">
        <v>2833</v>
      </c>
      <c r="Q1515" t="s">
        <v>2833</v>
      </c>
      <c r="R1515">
        <f ca="1">RAND()*(Validation[[#This Row],[Range1_High]]-Validation[[#This Row],[Range1_Low]])+Validation[[#This Row],[Range1_Low]]</f>
        <v>2.8551504377613689E-2</v>
      </c>
      <c r="S1515">
        <f>Validation[[#This Row],[Range2_High]]</f>
        <v>300</v>
      </c>
      <c r="T1515" t="str" cm="1">
        <f t="array" aca="1" ref="T1515" ca="1">RoundToTwoSigFigs(Validation[[#This Row],[Test Reading]]*Validation[[#This Row],[Mult]]+Validation[[#This Row],[Base]]) &amp;" "&amp;Validation[[#This Row],[Uncert_Units]]</f>
        <v>130 µV</v>
      </c>
      <c r="U1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V1515" t="b">
        <f ca="1">Validation[[#This Row],[Desired Result]]=Validation[[#This Row],[Result]]</f>
        <v>0</v>
      </c>
      <c r="W1515" t="b">
        <v>1</v>
      </c>
      <c r="X1515" t="b">
        <f>Validation[[#This Row],[Range1_Low]]&gt;=Validation[[#This Row],[Range1_High]]</f>
        <v>0</v>
      </c>
      <c r="Y1515" s="111" t="s">
        <v>2843</v>
      </c>
    </row>
    <row r="1516" spans="1:25" ht="16.5" thickTop="1" thickBot="1" x14ac:dyDescent="0.3">
      <c r="A1516" t="s">
        <v>68</v>
      </c>
      <c r="B1516" t="s">
        <v>8</v>
      </c>
      <c r="C1516" s="113">
        <v>100</v>
      </c>
      <c r="D1516" s="113">
        <v>1020</v>
      </c>
      <c r="E1516">
        <v>1</v>
      </c>
      <c r="F1516" t="s">
        <v>6</v>
      </c>
      <c r="G1516" t="s">
        <v>4</v>
      </c>
      <c r="H1516">
        <v>0.04</v>
      </c>
      <c r="I1516">
        <v>1</v>
      </c>
      <c r="J1516" t="s">
        <v>10</v>
      </c>
      <c r="K1516">
        <v>639.27</v>
      </c>
      <c r="L1516">
        <v>0.92932000000000003</v>
      </c>
      <c r="M1516">
        <v>638.46</v>
      </c>
      <c r="N1516">
        <v>0.92803000000000002</v>
      </c>
      <c r="O1516" t="s">
        <v>2833</v>
      </c>
      <c r="P1516" t="s">
        <v>2833</v>
      </c>
      <c r="Q1516" t="s">
        <v>2833</v>
      </c>
      <c r="R1516">
        <f ca="1">RAND()*(Validation[[#This Row],[Range1_High]]-Validation[[#This Row],[Range1_Low]])+Validation[[#This Row],[Range1_Low]]</f>
        <v>779.4080022725517</v>
      </c>
      <c r="S1516">
        <f>Validation[[#This Row],[Range2_High]]</f>
        <v>1</v>
      </c>
      <c r="T1516" t="str" cm="1">
        <f t="array" aca="1" ref="T1516" ca="1">RoundToTwoSigFigs(Validation[[#This Row],[Test Reading]]*Validation[[#This Row],[Mult]]+Validation[[#This Row],[Base]]) &amp;" "&amp;Validation[[#This Row],[Uncert_Units]]</f>
        <v>1400 mV</v>
      </c>
      <c r="U1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V1516" t="b">
        <f ca="1">Validation[[#This Row],[Desired Result]]=Validation[[#This Row],[Result]]</f>
        <v>1</v>
      </c>
      <c r="W1516" t="b">
        <v>1</v>
      </c>
      <c r="X1516" t="b">
        <f>Validation[[#This Row],[Range1_Low]]&gt;=Validation[[#This Row],[Range1_High]]</f>
        <v>0</v>
      </c>
      <c r="Y1516" s="111" t="s">
        <v>2843</v>
      </c>
    </row>
    <row r="1517" spans="1:25" ht="16.5" thickTop="1" thickBot="1" x14ac:dyDescent="0.3">
      <c r="A1517" t="s">
        <v>55</v>
      </c>
      <c r="B1517" t="s">
        <v>8</v>
      </c>
      <c r="C1517" s="113">
        <v>10</v>
      </c>
      <c r="D1517" s="113">
        <v>100</v>
      </c>
      <c r="E1517">
        <v>0.1</v>
      </c>
      <c r="F1517" t="s">
        <v>6</v>
      </c>
      <c r="G1517" t="s">
        <v>4</v>
      </c>
      <c r="H1517">
        <v>300</v>
      </c>
      <c r="I1517">
        <v>1000</v>
      </c>
      <c r="J1517" t="s">
        <v>10</v>
      </c>
      <c r="K1517">
        <v>46</v>
      </c>
      <c r="L1517">
        <v>17.03</v>
      </c>
      <c r="M1517">
        <v>21.972000000000001</v>
      </c>
      <c r="N1517">
        <v>17.247</v>
      </c>
      <c r="O1517" t="s">
        <v>2833</v>
      </c>
      <c r="P1517" t="s">
        <v>2833</v>
      </c>
      <c r="Q1517" t="s">
        <v>2833</v>
      </c>
      <c r="R1517">
        <f ca="1">RAND()*(Validation[[#This Row],[Range1_High]]-Validation[[#This Row],[Range1_Low]])+Validation[[#This Row],[Range1_Low]]</f>
        <v>18.779615469921847</v>
      </c>
      <c r="S1517">
        <f>Validation[[#This Row],[Range2_High]]</f>
        <v>1000</v>
      </c>
      <c r="T1517" t="str" cm="1">
        <f t="array" aca="1" ref="T1517" ca="1">RoundToTwoSigFigs(Validation[[#This Row],[Test Reading]]*Validation[[#This Row],[Mult]]+Validation[[#This Row],[Base]]) &amp;" "&amp;Validation[[#This Row],[Uncert_Units]]</f>
        <v>370 mV</v>
      </c>
      <c r="U1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V1517" t="b">
        <f ca="1">Validation[[#This Row],[Desired Result]]=Validation[[#This Row],[Result]]</f>
        <v>1</v>
      </c>
      <c r="W1517" t="b">
        <v>1</v>
      </c>
      <c r="X1517" t="b">
        <f>Validation[[#This Row],[Range1_Low]]&gt;=Validation[[#This Row],[Range1_High]]</f>
        <v>0</v>
      </c>
      <c r="Y1517" s="111" t="s">
        <v>2843</v>
      </c>
    </row>
    <row r="1518" spans="1:25" ht="16.5" thickTop="1" thickBot="1" x14ac:dyDescent="0.3">
      <c r="A1518" t="s">
        <v>55</v>
      </c>
      <c r="B1518" t="s">
        <v>8</v>
      </c>
      <c r="C1518" s="113">
        <v>0.1</v>
      </c>
      <c r="D1518" s="113">
        <v>1</v>
      </c>
      <c r="E1518">
        <v>1E-4</v>
      </c>
      <c r="F1518" t="s">
        <v>6</v>
      </c>
      <c r="G1518" t="s">
        <v>5</v>
      </c>
      <c r="H1518">
        <v>1</v>
      </c>
      <c r="I1518">
        <v>20</v>
      </c>
      <c r="J1518" t="s">
        <v>10</v>
      </c>
      <c r="K1518">
        <v>56.377000000000002</v>
      </c>
      <c r="L1518">
        <v>137.35</v>
      </c>
      <c r="M1518">
        <v>56.262</v>
      </c>
      <c r="N1518">
        <v>137.33000000000001</v>
      </c>
      <c r="O1518" t="s">
        <v>2833</v>
      </c>
      <c r="P1518" t="s">
        <v>2833</v>
      </c>
      <c r="Q1518" t="s">
        <v>2833</v>
      </c>
      <c r="R1518">
        <f ca="1">RAND()*(Validation[[#This Row],[Range1_High]]-Validation[[#This Row],[Range1_Low]])+Validation[[#This Row],[Range1_Low]]</f>
        <v>0.1337634258536847</v>
      </c>
      <c r="S1518">
        <f>Validation[[#This Row],[Range2_High]]</f>
        <v>20</v>
      </c>
      <c r="T1518" t="str" cm="1">
        <f t="array" aca="1" ref="T1518" ca="1">RoundToTwoSigFigs(Validation[[#This Row],[Test Reading]]*Validation[[#This Row],[Mult]]+Validation[[#This Row],[Base]]) &amp;" "&amp;Validation[[#This Row],[Uncert_Units]]</f>
        <v>75 µV</v>
      </c>
      <c r="U1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µV</v>
      </c>
      <c r="V1518" t="b">
        <f ca="1">Validation[[#This Row],[Desired Result]]=Validation[[#This Row],[Result]]</f>
        <v>0</v>
      </c>
      <c r="W1518" t="b">
        <v>1</v>
      </c>
      <c r="X1518" t="b">
        <f>Validation[[#This Row],[Range1_Low]]&gt;=Validation[[#This Row],[Range1_High]]</f>
        <v>0</v>
      </c>
      <c r="Y1518" s="111" t="s">
        <v>2843</v>
      </c>
    </row>
    <row r="1519" spans="1:25" ht="16.5" thickTop="1" thickBot="1" x14ac:dyDescent="0.3">
      <c r="A1519" t="s">
        <v>54</v>
      </c>
      <c r="B1519" t="s">
        <v>8</v>
      </c>
      <c r="C1519" s="113">
        <v>0.33</v>
      </c>
      <c r="D1519" s="113">
        <v>3.3001</v>
      </c>
      <c r="E1519">
        <v>1E-3</v>
      </c>
      <c r="F1519" t="s">
        <v>6</v>
      </c>
      <c r="G1519" t="s">
        <v>4</v>
      </c>
      <c r="H1519">
        <v>500</v>
      </c>
      <c r="I1519">
        <v>501</v>
      </c>
      <c r="J1519" t="s">
        <v>10</v>
      </c>
      <c r="K1519">
        <v>1.1000000000000001</v>
      </c>
      <c r="L1519">
        <v>5.7778</v>
      </c>
      <c r="M1519">
        <v>1.0964</v>
      </c>
      <c r="N1519">
        <v>5.7779999999999996</v>
      </c>
      <c r="O1519" t="s">
        <v>2833</v>
      </c>
      <c r="P1519" t="s">
        <v>2833</v>
      </c>
      <c r="Q1519" t="s">
        <v>2833</v>
      </c>
      <c r="R1519">
        <f ca="1">RAND()*(Validation[[#This Row],[Range1_High]]-Validation[[#This Row],[Range1_Low]])+Validation[[#This Row],[Range1_Low]]</f>
        <v>2.77251163088415</v>
      </c>
      <c r="S1519">
        <f>Validation[[#This Row],[Range2_High]]</f>
        <v>501</v>
      </c>
      <c r="T1519" t="str" cm="1">
        <f t="array" aca="1" ref="T1519" ca="1">RoundToTwoSigFigs(Validation[[#This Row],[Test Reading]]*Validation[[#This Row],[Mult]]+Validation[[#This Row],[Base]]) &amp;" "&amp;Validation[[#This Row],[Uncert_Units]]</f>
        <v>17 mV</v>
      </c>
      <c r="U1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V1519" t="b">
        <f ca="1">Validation[[#This Row],[Desired Result]]=Validation[[#This Row],[Result]]</f>
        <v>1</v>
      </c>
      <c r="W1519" t="b">
        <v>1</v>
      </c>
      <c r="X1519" t="b">
        <f>Validation[[#This Row],[Range1_Low]]&gt;=Validation[[#This Row],[Range1_High]]</f>
        <v>0</v>
      </c>
      <c r="Y1519" s="111" t="s">
        <v>2843</v>
      </c>
    </row>
    <row r="1520" spans="1:25" ht="15.75" thickTop="1" x14ac:dyDescent="0.25">
      <c r="A1520" t="s">
        <v>55</v>
      </c>
      <c r="B1520" t="s">
        <v>8</v>
      </c>
      <c r="C1520">
        <v>0</v>
      </c>
      <c r="D1520">
        <v>0.01</v>
      </c>
      <c r="E1520">
        <v>1.0000000000000001E-5</v>
      </c>
      <c r="F1520" t="s">
        <v>6</v>
      </c>
      <c r="G1520" t="s">
        <v>5</v>
      </c>
      <c r="H1520">
        <v>1</v>
      </c>
      <c r="I1520">
        <v>20</v>
      </c>
      <c r="J1520" t="s">
        <v>10</v>
      </c>
      <c r="K1520">
        <v>6.5335000000000001</v>
      </c>
      <c r="L1520">
        <v>152.12</v>
      </c>
      <c r="M1520">
        <v>6.5290999999999997</v>
      </c>
      <c r="N1520">
        <v>151.19</v>
      </c>
      <c r="O1520" t="s">
        <v>2833</v>
      </c>
      <c r="P1520" t="s">
        <v>2833</v>
      </c>
      <c r="Q1520" t="s">
        <v>2833</v>
      </c>
      <c r="R1520">
        <f ca="1">RAND()*(Validation[[#This Row],[Range1_High]]-Validation[[#This Row],[Range1_Low]])+Validation[[#This Row],[Range1_Low]]</f>
        <v>5.7024087971277908E-3</v>
      </c>
      <c r="S1520">
        <f>Validation[[#This Row],[Range2_High]]</f>
        <v>20</v>
      </c>
      <c r="T1520" t="str" cm="1">
        <f t="array" aca="1" ref="T1520" ca="1">RoundToTwoSigFigs(Validation[[#This Row],[Test Reading]]*Validation[[#This Row],[Mult]]+Validation[[#This Row],[Base]]) &amp;" "&amp;Validation[[#This Row],[Uncert_Units]]</f>
        <v>7.4 µV</v>
      </c>
      <c r="U1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µV</v>
      </c>
      <c r="V1520" t="b">
        <f ca="1">Validation[[#This Row],[Desired Result]]=Validation[[#This Row],[Result]]</f>
        <v>1</v>
      </c>
      <c r="W1520" t="b">
        <v>1</v>
      </c>
      <c r="X1520" t="b">
        <f>Validation[[#This Row],[Range1_Low]]&gt;=Validation[[#This Row],[Range1_High]]</f>
        <v>0</v>
      </c>
      <c r="Y1520" s="111" t="s">
        <v>2845</v>
      </c>
    </row>
    <row r="1521" spans="1:25" x14ac:dyDescent="0.25">
      <c r="A1521" t="s">
        <v>54</v>
      </c>
      <c r="B1521" t="s">
        <v>8</v>
      </c>
      <c r="C1521">
        <v>0</v>
      </c>
      <c r="D1521">
        <v>3.3009999999999998E-2</v>
      </c>
      <c r="E1521">
        <v>1</v>
      </c>
      <c r="F1521" t="s">
        <v>6</v>
      </c>
      <c r="G1521" t="s">
        <v>5</v>
      </c>
      <c r="H1521">
        <v>500</v>
      </c>
      <c r="I1521">
        <v>501</v>
      </c>
      <c r="J1521" t="s">
        <v>10</v>
      </c>
      <c r="K1521">
        <v>580000</v>
      </c>
      <c r="L1521">
        <v>5.5656999999999996</v>
      </c>
      <c r="M1521">
        <v>580000</v>
      </c>
      <c r="N1521">
        <v>5.2995000000000001</v>
      </c>
      <c r="O1521" t="s">
        <v>2833</v>
      </c>
      <c r="P1521" t="s">
        <v>2833</v>
      </c>
      <c r="Q1521" t="s">
        <v>2833</v>
      </c>
      <c r="R1521">
        <f ca="1">RAND()*(Validation[[#This Row],[Range1_High]]-Validation[[#This Row],[Range1_Low]])+Validation[[#This Row],[Range1_Low]]</f>
        <v>2.0577425454557801E-2</v>
      </c>
      <c r="S1521">
        <f>Validation[[#This Row],[Range2_High]]</f>
        <v>501</v>
      </c>
      <c r="T1521" t="str" cm="1">
        <f t="array" aca="1" ref="T1521" ca="1">RoundToTwoSigFigs(Validation[[#This Row],[Test Reading]]*Validation[[#This Row],[Mult]]+Validation[[#This Row],[Base]]) &amp;" "&amp;Validation[[#This Row],[Uncert_Units]]</f>
        <v>580000 µV</v>
      </c>
      <c r="U1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1521" t="b">
        <f ca="1">Validation[[#This Row],[Desired Result]]=Validation[[#This Row],[Result]]</f>
        <v>1</v>
      </c>
      <c r="W1521" t="b">
        <v>0</v>
      </c>
      <c r="X1521" t="b">
        <f>Validation[[#This Row],[Range1_Low]]&gt;=Validation[[#This Row],[Range1_High]]</f>
        <v>0</v>
      </c>
      <c r="Y1521" s="111" t="s">
        <v>2845</v>
      </c>
    </row>
    <row r="1522" spans="1:25" ht="15.75" thickBot="1" x14ac:dyDescent="0.3">
      <c r="A1522" t="s">
        <v>68</v>
      </c>
      <c r="B1522" t="s">
        <v>8</v>
      </c>
      <c r="C1522">
        <v>0</v>
      </c>
      <c r="D1522">
        <v>0.1</v>
      </c>
      <c r="E1522">
        <v>1.0000000000000001E-5</v>
      </c>
      <c r="F1522" t="s">
        <v>6</v>
      </c>
      <c r="G1522" t="s">
        <v>5</v>
      </c>
      <c r="H1522">
        <v>2</v>
      </c>
      <c r="I1522">
        <v>20</v>
      </c>
      <c r="J1522" t="s">
        <v>10</v>
      </c>
      <c r="K1522">
        <v>36</v>
      </c>
      <c r="L1522">
        <v>923.18</v>
      </c>
      <c r="M1522">
        <v>35.865000000000002</v>
      </c>
      <c r="N1522">
        <v>923.15</v>
      </c>
      <c r="O1522" t="s">
        <v>2833</v>
      </c>
      <c r="P1522" t="s">
        <v>2833</v>
      </c>
      <c r="Q1522" t="s">
        <v>2833</v>
      </c>
      <c r="R1522">
        <f ca="1">RAND()*(Validation[[#This Row],[Range1_High]]-Validation[[#This Row],[Range1_Low]])+Validation[[#This Row],[Range1_Low]]</f>
        <v>4.6179760421690988E-2</v>
      </c>
      <c r="S1522">
        <f>Validation[[#This Row],[Range2_High]]</f>
        <v>20</v>
      </c>
      <c r="T1522" t="str" cm="1">
        <f t="array" aca="1" ref="T1522" ca="1">RoundToTwoSigFigs(Validation[[#This Row],[Test Reading]]*Validation[[#This Row],[Mult]]+Validation[[#This Row],[Base]]) &amp;" "&amp;Validation[[#This Row],[Uncert_Units]]</f>
        <v>79 µV</v>
      </c>
      <c r="U1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µV</v>
      </c>
      <c r="V1522" t="b">
        <f ca="1">Validation[[#This Row],[Desired Result]]=Validation[[#This Row],[Result]]</f>
        <v>1</v>
      </c>
      <c r="W1522" t="b">
        <v>0</v>
      </c>
      <c r="X1522" t="b">
        <f>Validation[[#This Row],[Range1_Low]]&gt;=Validation[[#This Row],[Range1_High]]</f>
        <v>0</v>
      </c>
      <c r="Y1522" s="111" t="s">
        <v>2845</v>
      </c>
    </row>
    <row r="1523" spans="1:25" ht="16.5" thickTop="1" thickBot="1" x14ac:dyDescent="0.3">
      <c r="A1523" t="s">
        <v>54</v>
      </c>
      <c r="B1523" t="s">
        <v>8</v>
      </c>
      <c r="C1523" s="113">
        <v>3.3000000000000002E-2</v>
      </c>
      <c r="D1523" s="113">
        <v>0.33001000000000003</v>
      </c>
      <c r="E1523">
        <v>1E-3</v>
      </c>
      <c r="F1523" t="s">
        <v>6</v>
      </c>
      <c r="G1523" t="s">
        <v>5</v>
      </c>
      <c r="H1523">
        <v>10</v>
      </c>
      <c r="I1523">
        <v>20.010000000000002</v>
      </c>
      <c r="J1523" t="s">
        <v>10</v>
      </c>
      <c r="K1523">
        <v>574.82000000000005</v>
      </c>
      <c r="L1523">
        <v>223.39</v>
      </c>
      <c r="M1523">
        <v>574.77</v>
      </c>
      <c r="N1523">
        <v>223.41</v>
      </c>
      <c r="O1523" t="s">
        <v>2833</v>
      </c>
      <c r="P1523" t="s">
        <v>2833</v>
      </c>
      <c r="Q1523" t="s">
        <v>2833</v>
      </c>
      <c r="R1523">
        <f ca="1">RAND()*(Validation[[#This Row],[Range1_High]]-Validation[[#This Row],[Range1_Low]])+Validation[[#This Row],[Range1_Low]]</f>
        <v>0.26596718186078505</v>
      </c>
      <c r="S1523">
        <f>Validation[[#This Row],[Range2_High]]</f>
        <v>20.010000000000002</v>
      </c>
      <c r="T1523" t="str" cm="1">
        <f t="array" aca="1" ref="T1523" ca="1">RoundToTwoSigFigs(Validation[[#This Row],[Test Reading]]*Validation[[#This Row],[Mult]]+Validation[[#This Row],[Base]]) &amp;" "&amp;Validation[[#This Row],[Uncert_Units]]</f>
        <v>630 µV</v>
      </c>
      <c r="U1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V1523" t="b">
        <f ca="1">Validation[[#This Row],[Desired Result]]=Validation[[#This Row],[Result]]</f>
        <v>0</v>
      </c>
      <c r="W1523" t="b">
        <v>1</v>
      </c>
      <c r="X1523" t="b">
        <f>Validation[[#This Row],[Range1_Low]]&gt;=Validation[[#This Row],[Range1_High]]</f>
        <v>0</v>
      </c>
      <c r="Y1523" s="111" t="s">
        <v>2843</v>
      </c>
    </row>
    <row r="1524" spans="1:25" ht="16.5" thickTop="1" thickBot="1" x14ac:dyDescent="0.3">
      <c r="A1524" t="s">
        <v>55</v>
      </c>
      <c r="B1524" t="s">
        <v>8</v>
      </c>
      <c r="C1524" s="113">
        <v>0.01</v>
      </c>
      <c r="D1524" s="113">
        <v>0.1</v>
      </c>
      <c r="E1524">
        <v>1E-8</v>
      </c>
      <c r="F1524" t="s">
        <v>6</v>
      </c>
      <c r="G1524" t="s">
        <v>5</v>
      </c>
      <c r="H1524">
        <v>100</v>
      </c>
      <c r="I1524">
        <v>300</v>
      </c>
      <c r="J1524" t="s">
        <v>10</v>
      </c>
      <c r="K1524">
        <v>12</v>
      </c>
      <c r="L1524">
        <v>3500</v>
      </c>
      <c r="M1524">
        <v>11.521000000000001</v>
      </c>
      <c r="N1524">
        <v>3476.1</v>
      </c>
      <c r="O1524" t="s">
        <v>2833</v>
      </c>
      <c r="P1524" t="s">
        <v>2833</v>
      </c>
      <c r="Q1524" t="s">
        <v>2833</v>
      </c>
      <c r="R1524">
        <f ca="1">RAND()*(Validation[[#This Row],[Range1_High]]-Validation[[#This Row],[Range1_Low]])+Validation[[#This Row],[Range1_Low]]</f>
        <v>6.7590649776077469E-2</v>
      </c>
      <c r="S1524">
        <f>Validation[[#This Row],[Range2_High]]</f>
        <v>300</v>
      </c>
      <c r="T1524" t="str" cm="1">
        <f t="array" aca="1" ref="T1524" ca="1">RoundToTwoSigFigs(Validation[[#This Row],[Test Reading]]*Validation[[#This Row],[Mult]]+Validation[[#This Row],[Base]]) &amp;" "&amp;Validation[[#This Row],[Uncert_Units]]</f>
        <v>250 µV</v>
      </c>
      <c r="U1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V1524" t="b">
        <f ca="1">Validation[[#This Row],[Desired Result]]=Validation[[#This Row],[Result]]</f>
        <v>1</v>
      </c>
      <c r="W1524" t="b">
        <v>1</v>
      </c>
      <c r="X1524" t="b">
        <f>Validation[[#This Row],[Range1_Low]]&gt;=Validation[[#This Row],[Range1_High]]</f>
        <v>0</v>
      </c>
      <c r="Y1524" s="111" t="s">
        <v>2843</v>
      </c>
    </row>
    <row r="1525" spans="1:25" ht="16.5" thickTop="1" thickBot="1" x14ac:dyDescent="0.3">
      <c r="A1525" t="s">
        <v>55</v>
      </c>
      <c r="B1525" t="s">
        <v>8</v>
      </c>
      <c r="C1525" s="113">
        <v>0.1</v>
      </c>
      <c r="D1525" s="113">
        <v>1</v>
      </c>
      <c r="E1525">
        <v>9.9999999999999995E-7</v>
      </c>
      <c r="F1525" t="s">
        <v>6</v>
      </c>
      <c r="G1525" t="s">
        <v>5</v>
      </c>
      <c r="H1525">
        <v>300</v>
      </c>
      <c r="I1525">
        <v>1000</v>
      </c>
      <c r="J1525" t="s">
        <v>10</v>
      </c>
      <c r="K1525">
        <v>120</v>
      </c>
      <c r="L1525">
        <v>12000</v>
      </c>
      <c r="M1525">
        <v>110.73</v>
      </c>
      <c r="N1525">
        <v>11675</v>
      </c>
      <c r="O1525" t="s">
        <v>2833</v>
      </c>
      <c r="P1525" t="s">
        <v>2833</v>
      </c>
      <c r="Q1525" t="s">
        <v>2833</v>
      </c>
      <c r="R1525">
        <f ca="1">RAND()*(Validation[[#This Row],[Range1_High]]-Validation[[#This Row],[Range1_Low]])+Validation[[#This Row],[Range1_Low]]</f>
        <v>0.4588814218712316</v>
      </c>
      <c r="S1525">
        <f>Validation[[#This Row],[Range2_High]]</f>
        <v>1000</v>
      </c>
      <c r="T1525" t="str" cm="1">
        <f t="array" aca="1" ref="T1525" ca="1">RoundToTwoSigFigs(Validation[[#This Row],[Test Reading]]*Validation[[#This Row],[Mult]]+Validation[[#This Row],[Base]]) &amp;" "&amp;Validation[[#This Row],[Uncert_Units]]</f>
        <v>5600 µV</v>
      </c>
      <c r="U1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µV</v>
      </c>
      <c r="V1525" t="b">
        <f ca="1">Validation[[#This Row],[Desired Result]]=Validation[[#This Row],[Result]]</f>
        <v>0</v>
      </c>
      <c r="W1525" t="b">
        <v>1</v>
      </c>
      <c r="X1525" t="b">
        <f>Validation[[#This Row],[Range1_Low]]&gt;=Validation[[#This Row],[Range1_High]]</f>
        <v>0</v>
      </c>
      <c r="Y1525" s="111" t="s">
        <v>2843</v>
      </c>
    </row>
    <row r="1526" spans="1:25" ht="16.5" thickTop="1" thickBot="1" x14ac:dyDescent="0.3">
      <c r="A1526" t="s">
        <v>55</v>
      </c>
      <c r="B1526" t="s">
        <v>8</v>
      </c>
      <c r="C1526" s="113">
        <v>0.1</v>
      </c>
      <c r="D1526" s="113">
        <v>1</v>
      </c>
      <c r="E1526">
        <v>1.0000000000000001E-5</v>
      </c>
      <c r="F1526" t="s">
        <v>6</v>
      </c>
      <c r="G1526" t="s">
        <v>5</v>
      </c>
      <c r="H1526">
        <v>100</v>
      </c>
      <c r="I1526">
        <v>300</v>
      </c>
      <c r="J1526" t="s">
        <v>10</v>
      </c>
      <c r="K1526">
        <v>120</v>
      </c>
      <c r="L1526">
        <v>3500</v>
      </c>
      <c r="M1526">
        <v>116.55</v>
      </c>
      <c r="N1526">
        <v>3463.2</v>
      </c>
      <c r="O1526" t="s">
        <v>2833</v>
      </c>
      <c r="P1526" t="s">
        <v>2833</v>
      </c>
      <c r="Q1526" t="s">
        <v>2833</v>
      </c>
      <c r="R1526">
        <f ca="1">RAND()*(Validation[[#This Row],[Range1_High]]-Validation[[#This Row],[Range1_Low]])+Validation[[#This Row],[Range1_Low]]</f>
        <v>0.37970424330887131</v>
      </c>
      <c r="S1526">
        <f>Validation[[#This Row],[Range2_High]]</f>
        <v>300</v>
      </c>
      <c r="T1526" t="str" cm="1">
        <f t="array" aca="1" ref="T1526" ca="1">RoundToTwoSigFigs(Validation[[#This Row],[Test Reading]]*Validation[[#This Row],[Mult]]+Validation[[#This Row],[Base]]) &amp;" "&amp;Validation[[#This Row],[Uncert_Units]]</f>
        <v>1400 µV</v>
      </c>
      <c r="U1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µV</v>
      </c>
      <c r="V1526" t="b">
        <f ca="1">Validation[[#This Row],[Desired Result]]=Validation[[#This Row],[Result]]</f>
        <v>0</v>
      </c>
      <c r="W1526" t="b">
        <v>1</v>
      </c>
      <c r="X1526" t="b">
        <f>Validation[[#This Row],[Range1_Low]]&gt;=Validation[[#This Row],[Range1_High]]</f>
        <v>0</v>
      </c>
      <c r="Y1526" s="111" t="s">
        <v>2843</v>
      </c>
    </row>
    <row r="1527" spans="1:25" ht="15.75" thickTop="1" x14ac:dyDescent="0.25">
      <c r="A1527" t="s">
        <v>55</v>
      </c>
      <c r="B1527" t="s">
        <v>8</v>
      </c>
      <c r="C1527">
        <v>20</v>
      </c>
      <c r="D1527">
        <v>100</v>
      </c>
      <c r="E1527">
        <v>0.1</v>
      </c>
      <c r="F1527" t="s">
        <v>6</v>
      </c>
      <c r="G1527" t="s">
        <v>4</v>
      </c>
      <c r="H1527">
        <v>1E-3</v>
      </c>
      <c r="I1527">
        <v>0.04</v>
      </c>
      <c r="J1527" t="s">
        <v>10</v>
      </c>
      <c r="K1527">
        <v>57.057000000000002</v>
      </c>
      <c r="L1527">
        <v>7.0854E-2</v>
      </c>
      <c r="M1527">
        <v>57.055999999999997</v>
      </c>
      <c r="N1527">
        <v>7.0818999999999993E-2</v>
      </c>
      <c r="O1527" t="s">
        <v>2833</v>
      </c>
      <c r="P1527" t="s">
        <v>2833</v>
      </c>
      <c r="Q1527" t="s">
        <v>2833</v>
      </c>
      <c r="R1527">
        <f ca="1">RAND()*(Validation[[#This Row],[Range1_High]]-Validation[[#This Row],[Range1_Low]])+Validation[[#This Row],[Range1_Low]]</f>
        <v>91.932890175048442</v>
      </c>
      <c r="S1527">
        <f>Validation[[#This Row],[Range2_High]]</f>
        <v>0.04</v>
      </c>
      <c r="T1527" t="str" cm="1">
        <f t="array" aca="1" ref="T1527" ca="1">RoundToTwoSigFigs(Validation[[#This Row],[Test Reading]]*Validation[[#This Row],[Mult]]+Validation[[#This Row],[Base]]) &amp;" "&amp;Validation[[#This Row],[Uncert_Units]]</f>
        <v>64 mV</v>
      </c>
      <c r="U1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V1527" t="b">
        <f ca="1">Validation[[#This Row],[Desired Result]]=Validation[[#This Row],[Result]]</f>
        <v>0</v>
      </c>
      <c r="W1527" t="b">
        <v>1</v>
      </c>
      <c r="X1527" t="b">
        <f>Validation[[#This Row],[Range1_Low]]&gt;=Validation[[#This Row],[Range1_High]]</f>
        <v>0</v>
      </c>
      <c r="Y1527" s="111" t="s">
        <v>2845</v>
      </c>
    </row>
    <row r="1528" spans="1:25" ht="15.75" thickBot="1" x14ac:dyDescent="0.3">
      <c r="A1528" t="s">
        <v>54</v>
      </c>
      <c r="B1528" t="s">
        <v>8</v>
      </c>
      <c r="C1528">
        <v>0.33</v>
      </c>
      <c r="D1528">
        <v>3.3001</v>
      </c>
      <c r="E1528">
        <v>0.1</v>
      </c>
      <c r="F1528" t="s">
        <v>6</v>
      </c>
      <c r="G1528" t="s">
        <v>4</v>
      </c>
      <c r="H1528">
        <v>4.4999999999999998E-2</v>
      </c>
      <c r="I1528">
        <v>10.00001</v>
      </c>
      <c r="J1528" t="s">
        <v>10</v>
      </c>
      <c r="K1528">
        <v>57.999000000000002</v>
      </c>
      <c r="L1528">
        <v>4.2262999999999997E-3</v>
      </c>
      <c r="M1528">
        <v>57.999000000000002</v>
      </c>
      <c r="N1528">
        <v>4.1960000000000001E-3</v>
      </c>
      <c r="O1528" t="s">
        <v>2833</v>
      </c>
      <c r="P1528" t="s">
        <v>2833</v>
      </c>
      <c r="Q1528" t="s">
        <v>2833</v>
      </c>
      <c r="R1528">
        <f ca="1">RAND()*(Validation[[#This Row],[Range1_High]]-Validation[[#This Row],[Range1_Low]])+Validation[[#This Row],[Range1_Low]]</f>
        <v>0.5843610236867649</v>
      </c>
      <c r="S1528">
        <f>Validation[[#This Row],[Range2_High]]</f>
        <v>10.00001</v>
      </c>
      <c r="T1528" t="str" cm="1">
        <f t="array" aca="1" ref="T1528" ca="1">RoundToTwoSigFigs(Validation[[#This Row],[Test Reading]]*Validation[[#This Row],[Mult]]+Validation[[#This Row],[Base]]) &amp;" "&amp;Validation[[#This Row],[Uncert_Units]]</f>
        <v>58 mV</v>
      </c>
      <c r="U1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528" t="b">
        <f ca="1">Validation[[#This Row],[Desired Result]]=Validation[[#This Row],[Result]]</f>
        <v>1</v>
      </c>
      <c r="W1528" t="b">
        <v>0</v>
      </c>
      <c r="X1528" t="b">
        <f>Validation[[#This Row],[Range1_Low]]&gt;=Validation[[#This Row],[Range1_High]]</f>
        <v>0</v>
      </c>
      <c r="Y1528" s="111" t="s">
        <v>2845</v>
      </c>
    </row>
    <row r="1529" spans="1:25" ht="16.5" thickTop="1" thickBot="1" x14ac:dyDescent="0.3">
      <c r="A1529" t="s">
        <v>55</v>
      </c>
      <c r="B1529" t="s">
        <v>8</v>
      </c>
      <c r="C1529" s="113">
        <v>10</v>
      </c>
      <c r="D1529" s="113">
        <v>20</v>
      </c>
      <c r="E1529">
        <v>1E-4</v>
      </c>
      <c r="F1529" t="s">
        <v>6</v>
      </c>
      <c r="G1529" t="s">
        <v>4</v>
      </c>
      <c r="H1529">
        <v>1</v>
      </c>
      <c r="I1529">
        <v>20</v>
      </c>
      <c r="J1529" t="s">
        <v>10</v>
      </c>
      <c r="K1529">
        <v>2.4</v>
      </c>
      <c r="L1529">
        <v>0.23</v>
      </c>
      <c r="M1529">
        <v>2.2985000000000002</v>
      </c>
      <c r="N1529">
        <v>0.23305000000000001</v>
      </c>
      <c r="O1529" t="s">
        <v>2833</v>
      </c>
      <c r="P1529" t="s">
        <v>2833</v>
      </c>
      <c r="Q1529" t="s">
        <v>2833</v>
      </c>
      <c r="R1529">
        <f ca="1">RAND()*(Validation[[#This Row],[Range1_High]]-Validation[[#This Row],[Range1_Low]])+Validation[[#This Row],[Range1_Low]]</f>
        <v>14.996962865255181</v>
      </c>
      <c r="S1529">
        <f>Validation[[#This Row],[Range2_High]]</f>
        <v>20</v>
      </c>
      <c r="T1529" t="str" cm="1">
        <f t="array" aca="1" ref="T1529" ca="1">RoundToTwoSigFigs(Validation[[#This Row],[Test Reading]]*Validation[[#This Row],[Mult]]+Validation[[#This Row],[Base]]) &amp;" "&amp;Validation[[#This Row],[Uncert_Units]]</f>
        <v>5.8 mV</v>
      </c>
      <c r="U1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mV</v>
      </c>
      <c r="V1529" t="b">
        <f ca="1">Validation[[#This Row],[Desired Result]]=Validation[[#This Row],[Result]]</f>
        <v>0</v>
      </c>
      <c r="W1529" t="b">
        <v>1</v>
      </c>
      <c r="X1529" t="b">
        <f>Validation[[#This Row],[Range1_Low]]&gt;=Validation[[#This Row],[Range1_High]]</f>
        <v>0</v>
      </c>
      <c r="Y1529" s="111" t="s">
        <v>2843</v>
      </c>
    </row>
    <row r="1530" spans="1:25" ht="16.5" thickTop="1" thickBot="1" x14ac:dyDescent="0.3">
      <c r="A1530" t="s">
        <v>55</v>
      </c>
      <c r="B1530" t="s">
        <v>8</v>
      </c>
      <c r="C1530" s="113">
        <v>10</v>
      </c>
      <c r="D1530" s="113">
        <v>20</v>
      </c>
      <c r="E1530">
        <v>1E-3</v>
      </c>
      <c r="F1530" t="s">
        <v>6</v>
      </c>
      <c r="G1530" t="s">
        <v>4</v>
      </c>
      <c r="H1530">
        <v>100</v>
      </c>
      <c r="I1530">
        <v>300</v>
      </c>
      <c r="J1530" t="s">
        <v>10</v>
      </c>
      <c r="K1530">
        <v>13</v>
      </c>
      <c r="L1530">
        <v>4.6111000000000004</v>
      </c>
      <c r="M1530">
        <v>11.577</v>
      </c>
      <c r="N1530">
        <v>4.6266999999999996</v>
      </c>
      <c r="O1530" t="s">
        <v>2833</v>
      </c>
      <c r="P1530" t="s">
        <v>2833</v>
      </c>
      <c r="Q1530" t="s">
        <v>2833</v>
      </c>
      <c r="R1530" s="100">
        <f ca="1">RAND()*(Validation[[#This Row],[Range1_High]]-Validation[[#This Row],[Range1_Low]])+Validation[[#This Row],[Range1_Low]]</f>
        <v>17.208714037707708</v>
      </c>
      <c r="S1530">
        <f>Validation[[#This Row],[Range2_High]]</f>
        <v>300</v>
      </c>
      <c r="T1530" t="str" cm="1">
        <f t="array" aca="1" ref="T1530" ca="1">RoundToTwoSigFigs(Validation[[#This Row],[Test Reading]]*Validation[[#This Row],[Mult]]+Validation[[#This Row],[Base]]) &amp;" "&amp;Validation[[#This Row],[Uncert_Units]]</f>
        <v>92 mV</v>
      </c>
      <c r="U1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V1530" t="b">
        <f ca="1">Validation[[#This Row],[Desired Result]]=Validation[[#This Row],[Result]]</f>
        <v>0</v>
      </c>
      <c r="W1530" t="b">
        <v>1</v>
      </c>
      <c r="X1530" t="b">
        <f>Validation[[#This Row],[Range1_Low]]&gt;=Validation[[#This Row],[Range1_High]]</f>
        <v>0</v>
      </c>
      <c r="Y1530" s="111" t="s">
        <v>2843</v>
      </c>
    </row>
    <row r="1531" spans="1:25" ht="16.5" thickTop="1" thickBot="1" x14ac:dyDescent="0.3">
      <c r="A1531" t="s">
        <v>54</v>
      </c>
      <c r="B1531" t="s">
        <v>8</v>
      </c>
      <c r="C1531" s="113">
        <v>3.3</v>
      </c>
      <c r="D1531" s="113">
        <v>33.000999999999998</v>
      </c>
      <c r="E1531">
        <v>1E-4</v>
      </c>
      <c r="F1531" t="s">
        <v>6</v>
      </c>
      <c r="G1531" t="s">
        <v>4</v>
      </c>
      <c r="H1531">
        <v>0.01</v>
      </c>
      <c r="I1531">
        <v>4.5010000000000001E-2</v>
      </c>
      <c r="J1531" t="s">
        <v>10</v>
      </c>
      <c r="K1531">
        <v>0.93</v>
      </c>
      <c r="L1531">
        <v>0.57999999999999996</v>
      </c>
      <c r="M1531">
        <v>0.92291999999999996</v>
      </c>
      <c r="N1531">
        <v>0.57830000000000004</v>
      </c>
      <c r="O1531" t="s">
        <v>2833</v>
      </c>
      <c r="P1531" t="s">
        <v>2833</v>
      </c>
      <c r="Q1531" t="s">
        <v>2833</v>
      </c>
      <c r="R1531">
        <f ca="1">RAND()*(Validation[[#This Row],[Range1_High]]-Validation[[#This Row],[Range1_Low]])+Validation[[#This Row],[Range1_Low]]</f>
        <v>32.560330710083441</v>
      </c>
      <c r="S1531">
        <f>Validation[[#This Row],[Range2_High]]</f>
        <v>4.5010000000000001E-2</v>
      </c>
      <c r="T1531" t="str" cm="1">
        <f t="array" aca="1" ref="T1531" ca="1">RoundToTwoSigFigs(Validation[[#This Row],[Test Reading]]*Validation[[#This Row],[Mult]]+Validation[[#This Row],[Base]]) &amp;" "&amp;Validation[[#This Row],[Uncert_Units]]</f>
        <v>20 mV</v>
      </c>
      <c r="U1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V1531" t="b">
        <f ca="1">Validation[[#This Row],[Desired Result]]=Validation[[#This Row],[Result]]</f>
        <v>0</v>
      </c>
      <c r="W1531" t="b">
        <v>1</v>
      </c>
      <c r="X1531" t="b">
        <f>Validation[[#This Row],[Range1_Low]]&gt;=Validation[[#This Row],[Range1_High]]</f>
        <v>0</v>
      </c>
      <c r="Y1531" s="111" t="s">
        <v>2843</v>
      </c>
    </row>
    <row r="1532" spans="1:25" ht="16.5" thickTop="1" thickBot="1" x14ac:dyDescent="0.3">
      <c r="A1532" t="s">
        <v>54</v>
      </c>
      <c r="B1532" t="s">
        <v>8</v>
      </c>
      <c r="C1532" s="113">
        <v>3.3</v>
      </c>
      <c r="D1532" s="113">
        <v>33.000999999999998</v>
      </c>
      <c r="E1532">
        <v>1E-4</v>
      </c>
      <c r="F1532" t="s">
        <v>6</v>
      </c>
      <c r="G1532" t="s">
        <v>4</v>
      </c>
      <c r="H1532">
        <v>500</v>
      </c>
      <c r="I1532">
        <v>501</v>
      </c>
      <c r="J1532" t="s">
        <v>10</v>
      </c>
      <c r="K1532">
        <v>13</v>
      </c>
      <c r="L1532">
        <v>4.5999999999999996</v>
      </c>
      <c r="M1532">
        <v>2.3363999999999998</v>
      </c>
      <c r="N1532">
        <v>2.6995</v>
      </c>
      <c r="O1532" t="s">
        <v>2833</v>
      </c>
      <c r="P1532" t="s">
        <v>2833</v>
      </c>
      <c r="Q1532" t="s">
        <v>2833</v>
      </c>
      <c r="R1532">
        <f ca="1">RAND()*(Validation[[#This Row],[Range1_High]]-Validation[[#This Row],[Range1_Low]])+Validation[[#This Row],[Range1_Low]]</f>
        <v>14.867425283393658</v>
      </c>
      <c r="S1532">
        <f>Validation[[#This Row],[Range2_High]]</f>
        <v>501</v>
      </c>
      <c r="T1532" t="str" cm="1">
        <f t="array" aca="1" ref="T1532" ca="1">RoundToTwoSigFigs(Validation[[#This Row],[Test Reading]]*Validation[[#This Row],[Mult]]+Validation[[#This Row],[Base]]) &amp;" "&amp;Validation[[#This Row],[Uncert_Units]]</f>
        <v>81 mV</v>
      </c>
      <c r="U1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V1532" t="b">
        <f ca="1">Validation[[#This Row],[Desired Result]]=Validation[[#This Row],[Result]]</f>
        <v>1</v>
      </c>
      <c r="W1532" t="b">
        <v>1</v>
      </c>
      <c r="X1532" t="b">
        <f>Validation[[#This Row],[Range1_Low]]&gt;=Validation[[#This Row],[Range1_High]]</f>
        <v>0</v>
      </c>
      <c r="Y1532" s="111" t="s">
        <v>2843</v>
      </c>
    </row>
    <row r="1533" spans="1:25" ht="16.5" thickTop="1" thickBot="1" x14ac:dyDescent="0.3">
      <c r="A1533" t="s">
        <v>55</v>
      </c>
      <c r="B1533" t="s">
        <v>8</v>
      </c>
      <c r="C1533" s="113">
        <v>100</v>
      </c>
      <c r="D1533" s="113">
        <v>330</v>
      </c>
      <c r="E1533">
        <v>1E-4</v>
      </c>
      <c r="F1533" t="s">
        <v>6</v>
      </c>
      <c r="G1533" t="s">
        <v>4</v>
      </c>
      <c r="H1533">
        <v>0.04</v>
      </c>
      <c r="I1533">
        <v>1</v>
      </c>
      <c r="J1533" t="s">
        <v>10</v>
      </c>
      <c r="K1533">
        <v>25</v>
      </c>
      <c r="L1533">
        <v>0.46</v>
      </c>
      <c r="M1533">
        <v>23.033999999999999</v>
      </c>
      <c r="N1533">
        <v>0.46337</v>
      </c>
      <c r="O1533" t="s">
        <v>2833</v>
      </c>
      <c r="P1533" t="s">
        <v>2833</v>
      </c>
      <c r="Q1533" t="s">
        <v>2833</v>
      </c>
      <c r="R1533">
        <f ca="1">RAND()*(Validation[[#This Row],[Range1_High]]-Validation[[#This Row],[Range1_Low]])+Validation[[#This Row],[Range1_Low]]</f>
        <v>323.55922728391994</v>
      </c>
      <c r="S1533">
        <f>Validation[[#This Row],[Range2_High]]</f>
        <v>1</v>
      </c>
      <c r="T1533" t="str" cm="1">
        <f t="array" aca="1" ref="T1533" ca="1">RoundToTwoSigFigs(Validation[[#This Row],[Test Reading]]*Validation[[#This Row],[Mult]]+Validation[[#This Row],[Base]]) &amp;" "&amp;Validation[[#This Row],[Uncert_Units]]</f>
        <v>170 mV</v>
      </c>
      <c r="U1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V1533" t="b">
        <f ca="1">Validation[[#This Row],[Desired Result]]=Validation[[#This Row],[Result]]</f>
        <v>0</v>
      </c>
      <c r="W1533" t="b">
        <v>1</v>
      </c>
      <c r="X1533" t="b">
        <f>Validation[[#This Row],[Range1_Low]]&gt;=Validation[[#This Row],[Range1_High]]</f>
        <v>0</v>
      </c>
      <c r="Y1533" s="111" t="s">
        <v>2843</v>
      </c>
    </row>
    <row r="1534" spans="1:25" ht="16.5" thickTop="1" thickBot="1" x14ac:dyDescent="0.3">
      <c r="A1534" t="s">
        <v>55</v>
      </c>
      <c r="B1534" t="s">
        <v>8</v>
      </c>
      <c r="C1534" s="113">
        <v>100</v>
      </c>
      <c r="D1534" s="113">
        <v>330</v>
      </c>
      <c r="E1534">
        <v>1</v>
      </c>
      <c r="F1534" t="s">
        <v>6</v>
      </c>
      <c r="G1534" t="s">
        <v>4</v>
      </c>
      <c r="H1534">
        <v>20</v>
      </c>
      <c r="I1534">
        <v>50</v>
      </c>
      <c r="J1534" t="s">
        <v>10</v>
      </c>
      <c r="K1534">
        <v>533.77</v>
      </c>
      <c r="L1534">
        <v>0.66047</v>
      </c>
      <c r="M1534">
        <v>533.57000000000005</v>
      </c>
      <c r="N1534">
        <v>0.66042000000000001</v>
      </c>
      <c r="O1534" t="s">
        <v>2833</v>
      </c>
      <c r="P1534" t="s">
        <v>2833</v>
      </c>
      <c r="Q1534" t="s">
        <v>2833</v>
      </c>
      <c r="R1534" s="100">
        <f ca="1">RAND()*(Validation[[#This Row],[Range1_High]]-Validation[[#This Row],[Range1_Low]])+Validation[[#This Row],[Range1_Low]]</f>
        <v>107.92505476093505</v>
      </c>
      <c r="S1534">
        <f>Validation[[#This Row],[Range2_High]]</f>
        <v>50</v>
      </c>
      <c r="T1534" t="str" cm="1">
        <f t="array" aca="1" ref="T1534" ca="1">RoundToTwoSigFigs(Validation[[#This Row],[Test Reading]]*Validation[[#This Row],[Mult]]+Validation[[#This Row],[Base]]) &amp;" "&amp;Validation[[#This Row],[Uncert_Units]]</f>
        <v>610 mV</v>
      </c>
      <c r="U1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V1534" t="b">
        <f ca="1">Validation[[#This Row],[Desired Result]]=Validation[[#This Row],[Result]]</f>
        <v>1</v>
      </c>
      <c r="W1534" t="b">
        <v>1</v>
      </c>
      <c r="X1534" t="b">
        <f>Validation[[#This Row],[Range1_Low]]&gt;=Validation[[#This Row],[Range1_High]]</f>
        <v>0</v>
      </c>
      <c r="Y1534" s="111" t="s">
        <v>2844</v>
      </c>
    </row>
    <row r="1535" spans="1:25" ht="16.5" thickTop="1" thickBot="1" x14ac:dyDescent="0.3">
      <c r="A1535" t="s">
        <v>54</v>
      </c>
      <c r="B1535" t="s">
        <v>8</v>
      </c>
      <c r="C1535" s="113">
        <v>33</v>
      </c>
      <c r="D1535" s="113">
        <v>330.01</v>
      </c>
      <c r="E1535">
        <v>0.01</v>
      </c>
      <c r="F1535" t="s">
        <v>6</v>
      </c>
      <c r="G1535" t="s">
        <v>4</v>
      </c>
      <c r="H1535">
        <v>20</v>
      </c>
      <c r="I1535">
        <v>50.01</v>
      </c>
      <c r="J1535" t="s">
        <v>10</v>
      </c>
      <c r="K1535">
        <v>22</v>
      </c>
      <c r="L1535">
        <v>1.4</v>
      </c>
      <c r="M1535">
        <v>10.577</v>
      </c>
      <c r="N1535">
        <v>1.3904000000000001</v>
      </c>
      <c r="O1535" t="s">
        <v>2833</v>
      </c>
      <c r="P1535" t="s">
        <v>2833</v>
      </c>
      <c r="Q1535" t="s">
        <v>2833</v>
      </c>
      <c r="R1535">
        <f ca="1">RAND()*(Validation[[#This Row],[Range1_High]]-Validation[[#This Row],[Range1_Low]])+Validation[[#This Row],[Range1_Low]]</f>
        <v>83.713695401040582</v>
      </c>
      <c r="S1535">
        <f>Validation[[#This Row],[Range2_High]]</f>
        <v>50.01</v>
      </c>
      <c r="T1535" t="str" cm="1">
        <f t="array" aca="1" ref="T1535" ca="1">RoundToTwoSigFigs(Validation[[#This Row],[Test Reading]]*Validation[[#This Row],[Mult]]+Validation[[#This Row],[Base]]) &amp;" "&amp;Validation[[#This Row],[Uncert_Units]]</f>
        <v>140 mV</v>
      </c>
      <c r="U1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V1535" t="b">
        <f ca="1">Validation[[#This Row],[Desired Result]]=Validation[[#This Row],[Result]]</f>
        <v>0</v>
      </c>
      <c r="W1535" t="b">
        <v>1</v>
      </c>
      <c r="X1535" t="b">
        <f>Validation[[#This Row],[Range1_Low]]&gt;=Validation[[#This Row],[Range1_High]]</f>
        <v>0</v>
      </c>
      <c r="Y1535" s="111" t="s">
        <v>2843</v>
      </c>
    </row>
    <row r="1536" spans="1:25" ht="16.5" thickTop="1" thickBot="1" x14ac:dyDescent="0.3">
      <c r="A1536" t="s">
        <v>55</v>
      </c>
      <c r="B1536" t="s">
        <v>8</v>
      </c>
      <c r="C1536" s="113">
        <v>100</v>
      </c>
      <c r="D1536" s="113">
        <v>1000</v>
      </c>
      <c r="E1536">
        <v>0.01</v>
      </c>
      <c r="F1536" t="s">
        <v>6</v>
      </c>
      <c r="G1536" t="s">
        <v>4</v>
      </c>
      <c r="H1536">
        <v>1</v>
      </c>
      <c r="I1536">
        <v>20</v>
      </c>
      <c r="J1536" t="s">
        <v>10</v>
      </c>
      <c r="K1536">
        <v>23</v>
      </c>
      <c r="L1536">
        <v>0.7</v>
      </c>
      <c r="M1536">
        <v>23.256</v>
      </c>
      <c r="N1536">
        <v>0.69369000000000003</v>
      </c>
      <c r="O1536" t="s">
        <v>2833</v>
      </c>
      <c r="P1536" t="s">
        <v>2833</v>
      </c>
      <c r="Q1536" t="s">
        <v>2833</v>
      </c>
      <c r="R1536">
        <f ca="1">RAND()*(Validation[[#This Row],[Range1_High]]-Validation[[#This Row],[Range1_Low]])+Validation[[#This Row],[Range1_Low]]</f>
        <v>772.57232070316252</v>
      </c>
      <c r="S1536">
        <f>Validation[[#This Row],[Range2_High]]</f>
        <v>20</v>
      </c>
      <c r="T1536" t="str" cm="1">
        <f t="array" aca="1" ref="T1536" ca="1">RoundToTwoSigFigs(Validation[[#This Row],[Test Reading]]*Validation[[#This Row],[Mult]]+Validation[[#This Row],[Base]]) &amp;" "&amp;Validation[[#This Row],[Uncert_Units]]</f>
        <v>560 mV</v>
      </c>
      <c r="U1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mV</v>
      </c>
      <c r="V1536" t="b">
        <f ca="1">Validation[[#This Row],[Desired Result]]=Validation[[#This Row],[Result]]</f>
        <v>1</v>
      </c>
      <c r="W1536" t="b">
        <v>1</v>
      </c>
      <c r="X1536" t="b">
        <f>Validation[[#This Row],[Range1_Low]]&gt;=Validation[[#This Row],[Range1_High]]</f>
        <v>0</v>
      </c>
      <c r="Y1536" s="111" t="s">
        <v>2843</v>
      </c>
    </row>
    <row r="1537" spans="1:25" ht="16.5" thickTop="1" thickBot="1" x14ac:dyDescent="0.3">
      <c r="A1537" t="s">
        <v>54</v>
      </c>
      <c r="B1537" t="s">
        <v>8</v>
      </c>
      <c r="C1537" s="113">
        <v>0.33</v>
      </c>
      <c r="D1537" s="113">
        <v>3.3001</v>
      </c>
      <c r="E1537">
        <v>0.01</v>
      </c>
      <c r="F1537" t="s">
        <v>6</v>
      </c>
      <c r="G1537" t="s">
        <v>4</v>
      </c>
      <c r="H1537">
        <v>500</v>
      </c>
      <c r="I1537">
        <v>501</v>
      </c>
      <c r="J1537" t="s">
        <v>10</v>
      </c>
      <c r="K1537">
        <v>4.9001000000000001</v>
      </c>
      <c r="L1537">
        <v>4.8711000000000002</v>
      </c>
      <c r="M1537">
        <v>4.8981000000000003</v>
      </c>
      <c r="N1537">
        <v>4.8712999999999997</v>
      </c>
      <c r="O1537" t="s">
        <v>2833</v>
      </c>
      <c r="P1537" t="s">
        <v>2833</v>
      </c>
      <c r="Q1537" t="s">
        <v>2833</v>
      </c>
      <c r="R1537">
        <f ca="1">RAND()*(Validation[[#This Row],[Range1_High]]-Validation[[#This Row],[Range1_Low]])+Validation[[#This Row],[Range1_Low]]</f>
        <v>3.1918043251190422</v>
      </c>
      <c r="S1537">
        <f>Validation[[#This Row],[Range2_High]]</f>
        <v>501</v>
      </c>
      <c r="T1537" t="str" cm="1">
        <f t="array" aca="1" ref="T1537" ca="1">RoundToTwoSigFigs(Validation[[#This Row],[Test Reading]]*Validation[[#This Row],[Mult]]+Validation[[#This Row],[Base]]) &amp;" "&amp;Validation[[#This Row],[Uncert_Units]]</f>
        <v>20 mV</v>
      </c>
      <c r="U1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V1537" t="b">
        <f ca="1">Validation[[#This Row],[Desired Result]]=Validation[[#This Row],[Result]]</f>
        <v>1</v>
      </c>
      <c r="W1537" t="b">
        <v>1</v>
      </c>
      <c r="X1537" t="b">
        <f>Validation[[#This Row],[Range1_Low]]&gt;=Validation[[#This Row],[Range1_High]]</f>
        <v>0</v>
      </c>
      <c r="Y1537" s="111" t="s">
        <v>2843</v>
      </c>
    </row>
    <row r="1538" spans="1:25" ht="16.5" thickTop="1" thickBot="1" x14ac:dyDescent="0.3">
      <c r="A1538" t="s">
        <v>54</v>
      </c>
      <c r="B1538" t="s">
        <v>8</v>
      </c>
      <c r="C1538" s="113">
        <v>33</v>
      </c>
      <c r="D1538" s="113">
        <v>330.01</v>
      </c>
      <c r="E1538">
        <v>0.1</v>
      </c>
      <c r="F1538" t="s">
        <v>6</v>
      </c>
      <c r="G1538" t="s">
        <v>4</v>
      </c>
      <c r="H1538">
        <v>100</v>
      </c>
      <c r="I1538">
        <v>100.1</v>
      </c>
      <c r="J1538" t="s">
        <v>10</v>
      </c>
      <c r="K1538">
        <v>101.77</v>
      </c>
      <c r="L1538">
        <v>2.7610000000000001</v>
      </c>
      <c r="M1538">
        <v>101.69</v>
      </c>
      <c r="N1538">
        <v>2.7610999999999999</v>
      </c>
      <c r="O1538" t="s">
        <v>2833</v>
      </c>
      <c r="P1538" t="s">
        <v>2833</v>
      </c>
      <c r="Q1538" t="s">
        <v>2833</v>
      </c>
      <c r="R1538">
        <f ca="1">RAND()*(Validation[[#This Row],[Range1_High]]-Validation[[#This Row],[Range1_Low]])+Validation[[#This Row],[Range1_Low]]</f>
        <v>296.02076233436446</v>
      </c>
      <c r="S1538">
        <f>Validation[[#This Row],[Range2_High]]</f>
        <v>100.1</v>
      </c>
      <c r="T1538" t="str" cm="1">
        <f t="array" aca="1" ref="T1538" ca="1">RoundToTwoSigFigs(Validation[[#This Row],[Test Reading]]*Validation[[#This Row],[Mult]]+Validation[[#This Row],[Base]]) &amp;" "&amp;Validation[[#This Row],[Uncert_Units]]</f>
        <v>920 mV</v>
      </c>
      <c r="U1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mV</v>
      </c>
      <c r="V1538" t="b">
        <f ca="1">Validation[[#This Row],[Desired Result]]=Validation[[#This Row],[Result]]</f>
        <v>1</v>
      </c>
      <c r="W1538" t="b">
        <v>1</v>
      </c>
      <c r="X1538" t="b">
        <f>Validation[[#This Row],[Range1_Low]]&gt;=Validation[[#This Row],[Range1_High]]</f>
        <v>0</v>
      </c>
      <c r="Y1538" s="111" t="s">
        <v>2843</v>
      </c>
    </row>
    <row r="1539" spans="1:25" ht="16.5" thickTop="1" thickBot="1" x14ac:dyDescent="0.3">
      <c r="A1539" t="s">
        <v>55</v>
      </c>
      <c r="B1539" t="s">
        <v>8</v>
      </c>
      <c r="C1539" s="113">
        <v>10</v>
      </c>
      <c r="D1539" s="113">
        <v>100</v>
      </c>
      <c r="E1539">
        <v>0.01</v>
      </c>
      <c r="F1539" t="s">
        <v>6</v>
      </c>
      <c r="G1539" t="s">
        <v>4</v>
      </c>
      <c r="H1539">
        <v>100</v>
      </c>
      <c r="I1539">
        <v>300</v>
      </c>
      <c r="J1539" t="s">
        <v>10</v>
      </c>
      <c r="K1539">
        <v>15</v>
      </c>
      <c r="L1539">
        <v>4.6032999999999999</v>
      </c>
      <c r="M1539">
        <v>11.89</v>
      </c>
      <c r="N1539">
        <v>4.6239999999999997</v>
      </c>
      <c r="O1539" t="s">
        <v>2833</v>
      </c>
      <c r="P1539" t="s">
        <v>2833</v>
      </c>
      <c r="Q1539" t="s">
        <v>2833</v>
      </c>
      <c r="R1539">
        <f ca="1">RAND()*(Validation[[#This Row],[Range1_High]]-Validation[[#This Row],[Range1_Low]])+Validation[[#This Row],[Range1_Low]]</f>
        <v>55.867695133284037</v>
      </c>
      <c r="S1539">
        <f>Validation[[#This Row],[Range2_High]]</f>
        <v>300</v>
      </c>
      <c r="T1539" t="str" cm="1">
        <f t="array" aca="1" ref="T1539" ca="1">RoundToTwoSigFigs(Validation[[#This Row],[Test Reading]]*Validation[[#This Row],[Mult]]+Validation[[#This Row],[Base]]) &amp;" "&amp;Validation[[#This Row],[Uncert_Units]]</f>
        <v>270 mV</v>
      </c>
      <c r="U1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V1539" t="b">
        <f ca="1">Validation[[#This Row],[Desired Result]]=Validation[[#This Row],[Result]]</f>
        <v>0</v>
      </c>
      <c r="W1539" t="b">
        <v>1</v>
      </c>
      <c r="X1539" t="b">
        <f>Validation[[#This Row],[Range1_Low]]&gt;=Validation[[#This Row],[Range1_High]]</f>
        <v>0</v>
      </c>
      <c r="Y1539" s="111" t="s">
        <v>2843</v>
      </c>
    </row>
    <row r="1540" spans="1:25" ht="16.5" thickTop="1" thickBot="1" x14ac:dyDescent="0.3">
      <c r="A1540" t="s">
        <v>55</v>
      </c>
      <c r="B1540" t="s">
        <v>8</v>
      </c>
      <c r="C1540" s="113">
        <v>330</v>
      </c>
      <c r="D1540" s="113">
        <v>1000</v>
      </c>
      <c r="E1540">
        <v>1</v>
      </c>
      <c r="F1540" t="s">
        <v>6</v>
      </c>
      <c r="G1540" t="s">
        <v>4</v>
      </c>
      <c r="H1540">
        <v>1E-3</v>
      </c>
      <c r="I1540">
        <v>0.04</v>
      </c>
      <c r="J1540" t="s">
        <v>10</v>
      </c>
      <c r="K1540">
        <v>564.15</v>
      </c>
      <c r="L1540">
        <v>0.20594999999999999</v>
      </c>
      <c r="M1540">
        <v>564.12</v>
      </c>
      <c r="N1540">
        <v>0.20588999999999999</v>
      </c>
      <c r="O1540" t="s">
        <v>2833</v>
      </c>
      <c r="P1540" t="s">
        <v>2833</v>
      </c>
      <c r="Q1540" t="s">
        <v>2833</v>
      </c>
      <c r="R1540">
        <f ca="1">RAND()*(Validation[[#This Row],[Range1_High]]-Validation[[#This Row],[Range1_Low]])+Validation[[#This Row],[Range1_Low]]</f>
        <v>339.63195329535228</v>
      </c>
      <c r="S1540">
        <f>Validation[[#This Row],[Range2_High]]</f>
        <v>0.04</v>
      </c>
      <c r="T1540" t="str" cm="1">
        <f t="array" aca="1" ref="T1540" ca="1">RoundToTwoSigFigs(Validation[[#This Row],[Test Reading]]*Validation[[#This Row],[Mult]]+Validation[[#This Row],[Base]]) &amp;" "&amp;Validation[[#This Row],[Uncert_Units]]</f>
        <v>630 mV</v>
      </c>
      <c r="U1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V1540" t="b">
        <f ca="1">Validation[[#This Row],[Desired Result]]=Validation[[#This Row],[Result]]</f>
        <v>1</v>
      </c>
      <c r="W1540" t="b">
        <v>1</v>
      </c>
      <c r="X1540" t="b">
        <f>Validation[[#This Row],[Range1_Low]]&gt;=Validation[[#This Row],[Range1_High]]</f>
        <v>0</v>
      </c>
      <c r="Y1540" s="111" t="s">
        <v>2843</v>
      </c>
    </row>
    <row r="1541" spans="1:25" ht="15.75" thickTop="1" x14ac:dyDescent="0.25">
      <c r="A1541" t="s">
        <v>55</v>
      </c>
      <c r="B1541" t="s">
        <v>8</v>
      </c>
      <c r="C1541">
        <v>0</v>
      </c>
      <c r="D1541">
        <v>0.01</v>
      </c>
      <c r="E1541">
        <v>1E-4</v>
      </c>
      <c r="F1541" t="s">
        <v>6</v>
      </c>
      <c r="G1541" t="s">
        <v>5</v>
      </c>
      <c r="H1541">
        <v>4000</v>
      </c>
      <c r="I1541">
        <v>8000</v>
      </c>
      <c r="J1541" t="s">
        <v>10</v>
      </c>
      <c r="K1541">
        <v>56.084000000000003</v>
      </c>
      <c r="L1541">
        <v>226390</v>
      </c>
      <c r="M1541">
        <v>55.738</v>
      </c>
      <c r="N1541">
        <v>226400</v>
      </c>
      <c r="O1541" t="s">
        <v>2833</v>
      </c>
      <c r="P1541" t="s">
        <v>2833</v>
      </c>
      <c r="Q1541" t="s">
        <v>2833</v>
      </c>
      <c r="R1541">
        <f ca="1">RAND()*(Validation[[#This Row],[Range1_High]]-Validation[[#This Row],[Range1_Low]])+Validation[[#This Row],[Range1_Low]]</f>
        <v>8.3173783236932704E-3</v>
      </c>
      <c r="S1541">
        <f>Validation[[#This Row],[Range2_High]]</f>
        <v>8000</v>
      </c>
      <c r="T1541" t="str" cm="1">
        <f t="array" aca="1" ref="T1541" ca="1">RoundToTwoSigFigs(Validation[[#This Row],[Test Reading]]*Validation[[#This Row],[Mult]]+Validation[[#This Row],[Base]]) &amp;" "&amp;Validation[[#This Row],[Uncert_Units]]</f>
        <v>1900 µV</v>
      </c>
      <c r="U1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V1541" t="b">
        <f ca="1">Validation[[#This Row],[Desired Result]]=Validation[[#This Row],[Result]]</f>
        <v>1</v>
      </c>
      <c r="W1541" t="b">
        <v>1</v>
      </c>
      <c r="X1541" t="b">
        <f>Validation[[#This Row],[Range1_Low]]&gt;=Validation[[#This Row],[Range1_High]]</f>
        <v>0</v>
      </c>
      <c r="Y1541" s="111" t="s">
        <v>2845</v>
      </c>
    </row>
    <row r="1542" spans="1:25" ht="15.75" thickBot="1" x14ac:dyDescent="0.3">
      <c r="A1542" t="s">
        <v>55</v>
      </c>
      <c r="B1542" t="s">
        <v>8</v>
      </c>
      <c r="C1542">
        <v>0</v>
      </c>
      <c r="D1542">
        <v>0.01</v>
      </c>
      <c r="E1542">
        <v>1.0000000000000001E-5</v>
      </c>
      <c r="F1542" t="s">
        <v>6</v>
      </c>
      <c r="G1542" t="s">
        <v>5</v>
      </c>
      <c r="H1542">
        <v>1E-3</v>
      </c>
      <c r="I1542">
        <v>0.04</v>
      </c>
      <c r="J1542" t="s">
        <v>10</v>
      </c>
      <c r="K1542">
        <v>7.2506000000000004</v>
      </c>
      <c r="L1542">
        <v>223.08</v>
      </c>
      <c r="M1542">
        <v>7.2465999999999999</v>
      </c>
      <c r="N1542">
        <v>222.31</v>
      </c>
      <c r="O1542" t="s">
        <v>2833</v>
      </c>
      <c r="P1542" t="s">
        <v>2833</v>
      </c>
      <c r="Q1542" t="s">
        <v>2833</v>
      </c>
      <c r="R1542">
        <f ca="1">RAND()*(Validation[[#This Row],[Range1_High]]-Validation[[#This Row],[Range1_Low]])+Validation[[#This Row],[Range1_Low]]</f>
        <v>9.5268334863255442E-3</v>
      </c>
      <c r="S1542">
        <f>Validation[[#This Row],[Range2_High]]</f>
        <v>0.04</v>
      </c>
      <c r="T1542" t="str" cm="1">
        <f t="array" aca="1" ref="T1542" ca="1">RoundToTwoSigFigs(Validation[[#This Row],[Test Reading]]*Validation[[#This Row],[Mult]]+Validation[[#This Row],[Base]]) &amp;" "&amp;Validation[[#This Row],[Uncert_Units]]</f>
        <v>9.4 µV</v>
      </c>
      <c r="U1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µV</v>
      </c>
      <c r="V1542" t="b">
        <f ca="1">Validation[[#This Row],[Desired Result]]=Validation[[#This Row],[Result]]</f>
        <v>0</v>
      </c>
      <c r="W1542" t="b">
        <v>1</v>
      </c>
      <c r="X1542" t="b">
        <f>Validation[[#This Row],[Range1_Low]]&gt;=Validation[[#This Row],[Range1_High]]</f>
        <v>0</v>
      </c>
      <c r="Y1542" s="111" t="s">
        <v>2845</v>
      </c>
    </row>
    <row r="1543" spans="1:25" ht="16.5" thickTop="1" thickBot="1" x14ac:dyDescent="0.3">
      <c r="A1543" t="s">
        <v>68</v>
      </c>
      <c r="B1543" t="s">
        <v>8</v>
      </c>
      <c r="C1543" s="113">
        <v>0.1</v>
      </c>
      <c r="D1543" s="113">
        <v>1</v>
      </c>
      <c r="E1543">
        <v>0.01</v>
      </c>
      <c r="F1543" t="s">
        <v>6</v>
      </c>
      <c r="G1543" t="s">
        <v>5</v>
      </c>
      <c r="H1543">
        <v>2</v>
      </c>
      <c r="I1543">
        <v>20</v>
      </c>
      <c r="J1543" t="s">
        <v>10</v>
      </c>
      <c r="K1543">
        <v>5806.3</v>
      </c>
      <c r="L1543">
        <v>505.05</v>
      </c>
      <c r="M1543">
        <v>5806.1</v>
      </c>
      <c r="N1543">
        <v>504.49</v>
      </c>
      <c r="O1543" t="s">
        <v>2833</v>
      </c>
      <c r="P1543" t="s">
        <v>2833</v>
      </c>
      <c r="Q1543" t="s">
        <v>2833</v>
      </c>
      <c r="R1543">
        <f ca="1">RAND()*(Validation[[#This Row],[Range1_High]]-Validation[[#This Row],[Range1_Low]])+Validation[[#This Row],[Range1_Low]]</f>
        <v>0.77116535703451505</v>
      </c>
      <c r="S1543">
        <f>Validation[[#This Row],[Range2_High]]</f>
        <v>20</v>
      </c>
      <c r="T1543" t="str" cm="1">
        <f t="array" aca="1" ref="T1543" ca="1">RoundToTwoSigFigs(Validation[[#This Row],[Test Reading]]*Validation[[#This Row],[Mult]]+Validation[[#This Row],[Base]]) &amp;" "&amp;Validation[[#This Row],[Uncert_Units]]</f>
        <v>6200 µV</v>
      </c>
      <c r="U1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V1543" t="b">
        <f ca="1">Validation[[#This Row],[Desired Result]]=Validation[[#This Row],[Result]]</f>
        <v>1</v>
      </c>
      <c r="W1543" t="b">
        <v>1</v>
      </c>
      <c r="X1543" t="b">
        <f>Validation[[#This Row],[Range1_Low]]&gt;=Validation[[#This Row],[Range1_High]]</f>
        <v>0</v>
      </c>
      <c r="Y1543" s="111" t="s">
        <v>2843</v>
      </c>
    </row>
    <row r="1544" spans="1:25" ht="16.5" thickTop="1" thickBot="1" x14ac:dyDescent="0.3">
      <c r="A1544" t="s">
        <v>55</v>
      </c>
      <c r="B1544" t="s">
        <v>8</v>
      </c>
      <c r="C1544" s="113">
        <v>1</v>
      </c>
      <c r="D1544" s="113">
        <v>10</v>
      </c>
      <c r="E1544">
        <v>9.9999999999999995E-7</v>
      </c>
      <c r="F1544" t="s">
        <v>6</v>
      </c>
      <c r="G1544" t="s">
        <v>4</v>
      </c>
      <c r="H1544">
        <v>20</v>
      </c>
      <c r="I1544">
        <v>50</v>
      </c>
      <c r="J1544" t="s">
        <v>10</v>
      </c>
      <c r="K1544">
        <v>0.24</v>
      </c>
      <c r="L1544">
        <v>0.35</v>
      </c>
      <c r="M1544">
        <v>0.22967000000000001</v>
      </c>
      <c r="N1544">
        <v>0.34776000000000001</v>
      </c>
      <c r="O1544" t="s">
        <v>2833</v>
      </c>
      <c r="P1544" t="s">
        <v>2833</v>
      </c>
      <c r="Q1544" t="s">
        <v>2833</v>
      </c>
      <c r="R1544">
        <f ca="1">RAND()*(Validation[[#This Row],[Range1_High]]-Validation[[#This Row],[Range1_Low]])+Validation[[#This Row],[Range1_Low]]</f>
        <v>1.592623849246483</v>
      </c>
      <c r="S1544">
        <f>Validation[[#This Row],[Range2_High]]</f>
        <v>50</v>
      </c>
      <c r="T1544" t="str" cm="1">
        <f t="array" aca="1" ref="T1544" ca="1">RoundToTwoSigFigs(Validation[[#This Row],[Test Reading]]*Validation[[#This Row],[Mult]]+Validation[[#This Row],[Base]]) &amp;" "&amp;Validation[[#This Row],[Uncert_Units]]</f>
        <v>0.8 mV</v>
      </c>
      <c r="U1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mV</v>
      </c>
      <c r="V1544" t="b">
        <f ca="1">Validation[[#This Row],[Desired Result]]=Validation[[#This Row],[Result]]</f>
        <v>1</v>
      </c>
      <c r="W1544" t="b">
        <v>1</v>
      </c>
      <c r="X1544" t="b">
        <f>Validation[[#This Row],[Range1_Low]]&gt;=Validation[[#This Row],[Range1_High]]</f>
        <v>0</v>
      </c>
      <c r="Y1544" s="111" t="s">
        <v>2843</v>
      </c>
    </row>
    <row r="1545" spans="1:25" ht="16.5" thickTop="1" thickBot="1" x14ac:dyDescent="0.3">
      <c r="A1545" t="s">
        <v>54</v>
      </c>
      <c r="B1545" t="s">
        <v>8</v>
      </c>
      <c r="C1545" s="113">
        <v>330</v>
      </c>
      <c r="D1545" s="113">
        <v>1020.01</v>
      </c>
      <c r="E1545">
        <v>1E-3</v>
      </c>
      <c r="F1545" t="s">
        <v>6</v>
      </c>
      <c r="G1545" t="s">
        <v>4</v>
      </c>
      <c r="H1545">
        <v>4.4999999999999998E-2</v>
      </c>
      <c r="I1545">
        <v>1.0000100000000001</v>
      </c>
      <c r="J1545" t="s">
        <v>10</v>
      </c>
      <c r="K1545">
        <v>24</v>
      </c>
      <c r="L1545">
        <v>0.57999999999999996</v>
      </c>
      <c r="M1545">
        <v>23.335000000000001</v>
      </c>
      <c r="N1545">
        <v>0.57833999999999997</v>
      </c>
      <c r="O1545" t="s">
        <v>2833</v>
      </c>
      <c r="P1545" t="s">
        <v>2833</v>
      </c>
      <c r="Q1545" t="s">
        <v>2833</v>
      </c>
      <c r="R1545">
        <f ca="1">RAND()*(Validation[[#This Row],[Range1_High]]-Validation[[#This Row],[Range1_Low]])+Validation[[#This Row],[Range1_Low]]</f>
        <v>515.2601286606523</v>
      </c>
      <c r="S1545">
        <f>Validation[[#This Row],[Range2_High]]</f>
        <v>1.0000100000000001</v>
      </c>
      <c r="T1545" t="str" cm="1">
        <f t="array" aca="1" ref="T1545" ca="1">RoundToTwoSigFigs(Validation[[#This Row],[Test Reading]]*Validation[[#This Row],[Mult]]+Validation[[#This Row],[Base]]) &amp;" "&amp;Validation[[#This Row],[Uncert_Units]]</f>
        <v>320 mV</v>
      </c>
      <c r="U1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V1545" t="b">
        <f ca="1">Validation[[#This Row],[Desired Result]]=Validation[[#This Row],[Result]]</f>
        <v>1</v>
      </c>
      <c r="W1545" t="b">
        <v>1</v>
      </c>
      <c r="X1545" t="b">
        <f>Validation[[#This Row],[Range1_Low]]&gt;=Validation[[#This Row],[Range1_High]]</f>
        <v>0</v>
      </c>
      <c r="Y1545" s="111" t="s">
        <v>2843</v>
      </c>
    </row>
    <row r="1546" spans="1:25" ht="16.5" thickTop="1" thickBot="1" x14ac:dyDescent="0.3">
      <c r="A1546" t="s">
        <v>54</v>
      </c>
      <c r="B1546" t="s">
        <v>8</v>
      </c>
      <c r="C1546" s="113">
        <v>3.3</v>
      </c>
      <c r="D1546" s="113">
        <v>33.000999999999998</v>
      </c>
      <c r="E1546">
        <v>0.1</v>
      </c>
      <c r="F1546" t="s">
        <v>6</v>
      </c>
      <c r="G1546" t="s">
        <v>4</v>
      </c>
      <c r="H1546">
        <v>500</v>
      </c>
      <c r="I1546">
        <v>501</v>
      </c>
      <c r="J1546" t="s">
        <v>10</v>
      </c>
      <c r="K1546">
        <v>47.329000000000001</v>
      </c>
      <c r="L1546">
        <v>3.5596999999999999</v>
      </c>
      <c r="M1546">
        <v>53.607999999999997</v>
      </c>
      <c r="N1546">
        <v>1.6549</v>
      </c>
      <c r="O1546" t="s">
        <v>2833</v>
      </c>
      <c r="P1546" t="s">
        <v>2833</v>
      </c>
      <c r="Q1546" t="s">
        <v>2833</v>
      </c>
      <c r="R1546">
        <f ca="1">RAND()*(Validation[[#This Row],[Range1_High]]-Validation[[#This Row],[Range1_Low]])+Validation[[#This Row],[Range1_Low]]</f>
        <v>21.393835560668649</v>
      </c>
      <c r="S1546">
        <f>Validation[[#This Row],[Range2_High]]</f>
        <v>501</v>
      </c>
      <c r="T1546" t="str" cm="1">
        <f t="array" aca="1" ref="T1546" ca="1">RoundToTwoSigFigs(Validation[[#This Row],[Test Reading]]*Validation[[#This Row],[Mult]]+Validation[[#This Row],[Base]]) &amp;" "&amp;Validation[[#This Row],[Uncert_Units]]</f>
        <v>120 mV</v>
      </c>
      <c r="U1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V1546" t="b">
        <f ca="1">Validation[[#This Row],[Desired Result]]=Validation[[#This Row],[Result]]</f>
        <v>1</v>
      </c>
      <c r="W1546" t="b">
        <v>1</v>
      </c>
      <c r="X1546" t="b">
        <f>Validation[[#This Row],[Range1_Low]]&gt;=Validation[[#This Row],[Range1_High]]</f>
        <v>0</v>
      </c>
      <c r="Y1546" s="111" t="s">
        <v>2843</v>
      </c>
    </row>
    <row r="1547" spans="1:25" ht="16.5" thickTop="1" thickBot="1" x14ac:dyDescent="0.3">
      <c r="A1547" t="s">
        <v>55</v>
      </c>
      <c r="B1547" t="s">
        <v>8</v>
      </c>
      <c r="C1547" s="113">
        <v>0.1</v>
      </c>
      <c r="D1547" s="113">
        <v>1</v>
      </c>
      <c r="E1547">
        <v>9.9999999999999995E-7</v>
      </c>
      <c r="F1547" t="s">
        <v>6</v>
      </c>
      <c r="G1547" t="s">
        <v>5</v>
      </c>
      <c r="H1547">
        <v>1000</v>
      </c>
      <c r="I1547">
        <v>2000</v>
      </c>
      <c r="J1547" t="s">
        <v>10</v>
      </c>
      <c r="K1547">
        <v>590</v>
      </c>
      <c r="L1547">
        <v>17152</v>
      </c>
      <c r="M1547">
        <v>108.37</v>
      </c>
      <c r="N1547">
        <v>17479</v>
      </c>
      <c r="O1547" t="s">
        <v>2833</v>
      </c>
      <c r="P1547" t="s">
        <v>2833</v>
      </c>
      <c r="Q1547" t="s">
        <v>2833</v>
      </c>
      <c r="R1547">
        <f ca="1">RAND()*(Validation[[#This Row],[Range1_High]]-Validation[[#This Row],[Range1_Low]])+Validation[[#This Row],[Range1_Low]]</f>
        <v>0.37825256464446189</v>
      </c>
      <c r="S1547">
        <f>Validation[[#This Row],[Range2_High]]</f>
        <v>2000</v>
      </c>
      <c r="T1547" t="str" cm="1">
        <f t="array" aca="1" ref="T1547" ca="1">RoundToTwoSigFigs(Validation[[#This Row],[Test Reading]]*Validation[[#This Row],[Mult]]+Validation[[#This Row],[Base]]) &amp;" "&amp;Validation[[#This Row],[Uncert_Units]]</f>
        <v>7100 µV</v>
      </c>
      <c r="U1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µV</v>
      </c>
      <c r="V1547" t="b">
        <f ca="1">Validation[[#This Row],[Desired Result]]=Validation[[#This Row],[Result]]</f>
        <v>1</v>
      </c>
      <c r="W1547" t="b">
        <v>1</v>
      </c>
      <c r="X1547" t="b">
        <f>Validation[[#This Row],[Range1_Low]]&gt;=Validation[[#This Row],[Range1_High]]</f>
        <v>0</v>
      </c>
      <c r="Y1547" s="111" t="s">
        <v>2843</v>
      </c>
    </row>
    <row r="1548" spans="1:25" ht="16.5" thickTop="1" thickBot="1" x14ac:dyDescent="0.3">
      <c r="A1548" t="s">
        <v>54</v>
      </c>
      <c r="B1548" t="s">
        <v>8</v>
      </c>
      <c r="C1548">
        <v>0</v>
      </c>
      <c r="D1548">
        <v>3.3009999999999998E-2</v>
      </c>
      <c r="E1548">
        <v>9.9999999999999995E-7</v>
      </c>
      <c r="F1548" t="s">
        <v>6</v>
      </c>
      <c r="G1548" t="s">
        <v>5</v>
      </c>
      <c r="H1548">
        <v>10</v>
      </c>
      <c r="I1548">
        <v>20.010000000000002</v>
      </c>
      <c r="J1548" t="s">
        <v>10</v>
      </c>
      <c r="K1548">
        <v>25</v>
      </c>
      <c r="L1548">
        <v>1700</v>
      </c>
      <c r="M1548">
        <v>23.181000000000001</v>
      </c>
      <c r="N1548">
        <v>1732</v>
      </c>
      <c r="O1548" t="s">
        <v>2833</v>
      </c>
      <c r="P1548" t="s">
        <v>2833</v>
      </c>
      <c r="Q1548" t="s">
        <v>2833</v>
      </c>
      <c r="R1548">
        <f ca="1">RAND()*(Validation[[#This Row],[Range1_High]]-Validation[[#This Row],[Range1_Low]])+Validation[[#This Row],[Range1_Low]]</f>
        <v>1.2783623961096387E-2</v>
      </c>
      <c r="S1548">
        <f>Validation[[#This Row],[Range2_High]]</f>
        <v>20.010000000000002</v>
      </c>
      <c r="T1548" t="str" cm="1">
        <f t="array" aca="1" ref="T1548" ca="1">RoundToTwoSigFigs(Validation[[#This Row],[Test Reading]]*Validation[[#This Row],[Mult]]+Validation[[#This Row],[Base]]) &amp;" "&amp;Validation[[#This Row],[Uncert_Units]]</f>
        <v>47 µV</v>
      </c>
      <c r="U1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V1548" t="b">
        <f ca="1">Validation[[#This Row],[Desired Result]]=Validation[[#This Row],[Result]]</f>
        <v>0</v>
      </c>
      <c r="W1548" t="b">
        <v>1</v>
      </c>
      <c r="X1548" t="b">
        <f>Validation[[#This Row],[Range1_Low]]&gt;=Validation[[#This Row],[Range1_High]]</f>
        <v>0</v>
      </c>
      <c r="Y1548" s="111" t="s">
        <v>2845</v>
      </c>
    </row>
    <row r="1549" spans="1:25" ht="16.5" thickTop="1" thickBot="1" x14ac:dyDescent="0.3">
      <c r="A1549" t="s">
        <v>55</v>
      </c>
      <c r="B1549" t="s">
        <v>8</v>
      </c>
      <c r="C1549" s="113">
        <v>20</v>
      </c>
      <c r="D1549" s="113">
        <v>100</v>
      </c>
      <c r="E1549">
        <v>1E-4</v>
      </c>
      <c r="F1549" t="s">
        <v>6</v>
      </c>
      <c r="G1549" t="s">
        <v>4</v>
      </c>
      <c r="H1549">
        <v>20</v>
      </c>
      <c r="I1549">
        <v>50</v>
      </c>
      <c r="J1549" t="s">
        <v>10</v>
      </c>
      <c r="K1549">
        <v>6.8</v>
      </c>
      <c r="L1549">
        <v>0.36642000000000002</v>
      </c>
      <c r="M1549">
        <v>6.7324000000000002</v>
      </c>
      <c r="N1549">
        <v>0.36645</v>
      </c>
      <c r="O1549" t="s">
        <v>2833</v>
      </c>
      <c r="P1549" t="s">
        <v>2833</v>
      </c>
      <c r="Q1549" t="s">
        <v>2833</v>
      </c>
      <c r="R1549">
        <f ca="1">RAND()*(Validation[[#This Row],[Range1_High]]-Validation[[#This Row],[Range1_Low]])+Validation[[#This Row],[Range1_Low]]</f>
        <v>44.868099169602857</v>
      </c>
      <c r="S1549">
        <f>Validation[[#This Row],[Range2_High]]</f>
        <v>50</v>
      </c>
      <c r="T1549" t="str" cm="1">
        <f t="array" aca="1" ref="T1549" ca="1">RoundToTwoSigFigs(Validation[[#This Row],[Test Reading]]*Validation[[#This Row],[Mult]]+Validation[[#This Row],[Base]]) &amp;" "&amp;Validation[[#This Row],[Uncert_Units]]</f>
        <v>23 mV</v>
      </c>
      <c r="U1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V1549" t="b">
        <f ca="1">Validation[[#This Row],[Desired Result]]=Validation[[#This Row],[Result]]</f>
        <v>0</v>
      </c>
      <c r="W1549" t="b">
        <v>1</v>
      </c>
      <c r="X1549" t="b">
        <f>Validation[[#This Row],[Range1_Low]]&gt;=Validation[[#This Row],[Range1_High]]</f>
        <v>0</v>
      </c>
      <c r="Y1549" s="111" t="s">
        <v>2843</v>
      </c>
    </row>
    <row r="1550" spans="1:25" ht="16.5" thickTop="1" thickBot="1" x14ac:dyDescent="0.3">
      <c r="A1550" t="s">
        <v>55</v>
      </c>
      <c r="B1550" t="s">
        <v>8</v>
      </c>
      <c r="C1550" s="113">
        <v>1</v>
      </c>
      <c r="D1550" s="113">
        <v>10</v>
      </c>
      <c r="E1550">
        <v>1E-3</v>
      </c>
      <c r="F1550" t="s">
        <v>6</v>
      </c>
      <c r="G1550" t="s">
        <v>4</v>
      </c>
      <c r="H1550">
        <v>20</v>
      </c>
      <c r="I1550">
        <v>50</v>
      </c>
      <c r="J1550" t="s">
        <v>10</v>
      </c>
      <c r="K1550">
        <v>0.50358000000000003</v>
      </c>
      <c r="L1550">
        <v>0.32533000000000001</v>
      </c>
      <c r="M1550">
        <v>0.49042000000000002</v>
      </c>
      <c r="N1550">
        <v>0.32615</v>
      </c>
      <c r="O1550" t="s">
        <v>2833</v>
      </c>
      <c r="P1550" t="s">
        <v>2833</v>
      </c>
      <c r="Q1550" t="s">
        <v>2833</v>
      </c>
      <c r="R1550">
        <f ca="1">RAND()*(Validation[[#This Row],[Range1_High]]-Validation[[#This Row],[Range1_Low]])+Validation[[#This Row],[Range1_Low]]</f>
        <v>9.5600975396086021</v>
      </c>
      <c r="S1550">
        <f>Validation[[#This Row],[Range2_High]]</f>
        <v>50</v>
      </c>
      <c r="T1550" t="str" cm="1">
        <f t="array" aca="1" ref="T1550" ca="1">RoundToTwoSigFigs(Validation[[#This Row],[Test Reading]]*Validation[[#This Row],[Mult]]+Validation[[#This Row],[Base]]) &amp;" "&amp;Validation[[#This Row],[Uncert_Units]]</f>
        <v>3.6 mV</v>
      </c>
      <c r="U1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V1550" t="b">
        <f ca="1">Validation[[#This Row],[Desired Result]]=Validation[[#This Row],[Result]]</f>
        <v>0</v>
      </c>
      <c r="W1550" t="b">
        <v>1</v>
      </c>
      <c r="X1550" t="b">
        <f>Validation[[#This Row],[Range1_Low]]&gt;=Validation[[#This Row],[Range1_High]]</f>
        <v>0</v>
      </c>
      <c r="Y1550" s="111" t="s">
        <v>2843</v>
      </c>
    </row>
    <row r="1551" spans="1:25" ht="16.5" thickTop="1" thickBot="1" x14ac:dyDescent="0.3">
      <c r="A1551" t="s">
        <v>54</v>
      </c>
      <c r="B1551" t="s">
        <v>8</v>
      </c>
      <c r="C1551" s="113">
        <v>33</v>
      </c>
      <c r="D1551" s="113">
        <v>330.01</v>
      </c>
      <c r="E1551">
        <v>0.1</v>
      </c>
      <c r="F1551" t="s">
        <v>6</v>
      </c>
      <c r="G1551" t="s">
        <v>4</v>
      </c>
      <c r="H1551">
        <v>20</v>
      </c>
      <c r="I1551">
        <v>50.01</v>
      </c>
      <c r="J1551" t="s">
        <v>10</v>
      </c>
      <c r="K1551">
        <v>36.020000000000003</v>
      </c>
      <c r="L1551">
        <v>1.3574999999999999</v>
      </c>
      <c r="M1551">
        <v>37.167000000000002</v>
      </c>
      <c r="N1551">
        <v>1.3205</v>
      </c>
      <c r="O1551" t="s">
        <v>2833</v>
      </c>
      <c r="P1551" t="s">
        <v>2833</v>
      </c>
      <c r="Q1551" t="s">
        <v>2833</v>
      </c>
      <c r="R1551">
        <f ca="1">RAND()*(Validation[[#This Row],[Range1_High]]-Validation[[#This Row],[Range1_Low]])+Validation[[#This Row],[Range1_Low]]</f>
        <v>43.772655207664755</v>
      </c>
      <c r="S1551">
        <f>Validation[[#This Row],[Range2_High]]</f>
        <v>50.01</v>
      </c>
      <c r="T1551" t="str" cm="1">
        <f t="array" aca="1" ref="T1551" ca="1">RoundToTwoSigFigs(Validation[[#This Row],[Test Reading]]*Validation[[#This Row],[Mult]]+Validation[[#This Row],[Base]]) &amp;" "&amp;Validation[[#This Row],[Uncert_Units]]</f>
        <v>95 mV</v>
      </c>
      <c r="U1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V1551" t="b">
        <f ca="1">Validation[[#This Row],[Desired Result]]=Validation[[#This Row],[Result]]</f>
        <v>1</v>
      </c>
      <c r="W1551" t="b">
        <v>1</v>
      </c>
      <c r="X1551" t="b">
        <f>Validation[[#This Row],[Range1_Low]]&gt;=Validation[[#This Row],[Range1_High]]</f>
        <v>0</v>
      </c>
      <c r="Y1551" s="111" t="s">
        <v>2843</v>
      </c>
    </row>
    <row r="1552" spans="1:25" ht="16.5" thickTop="1" thickBot="1" x14ac:dyDescent="0.3">
      <c r="A1552" t="s">
        <v>55</v>
      </c>
      <c r="B1552" t="s">
        <v>8</v>
      </c>
      <c r="C1552" s="113">
        <v>100</v>
      </c>
      <c r="D1552" s="113">
        <v>1000</v>
      </c>
      <c r="E1552">
        <v>1</v>
      </c>
      <c r="F1552" t="s">
        <v>6</v>
      </c>
      <c r="G1552" t="s">
        <v>4</v>
      </c>
      <c r="H1552">
        <v>50</v>
      </c>
      <c r="I1552">
        <v>100</v>
      </c>
      <c r="J1552" t="s">
        <v>10</v>
      </c>
      <c r="K1552">
        <v>369.25</v>
      </c>
      <c r="L1552">
        <v>3.1671</v>
      </c>
      <c r="M1552">
        <v>368.87</v>
      </c>
      <c r="N1552">
        <v>3.1673</v>
      </c>
      <c r="O1552" t="s">
        <v>2833</v>
      </c>
      <c r="P1552" t="s">
        <v>2833</v>
      </c>
      <c r="Q1552" t="s">
        <v>2833</v>
      </c>
      <c r="R1552">
        <f ca="1">RAND()*(Validation[[#This Row],[Range1_High]]-Validation[[#This Row],[Range1_Low]])+Validation[[#This Row],[Range1_Low]]</f>
        <v>577.01367818002666</v>
      </c>
      <c r="S1552">
        <f>Validation[[#This Row],[Range2_High]]</f>
        <v>100</v>
      </c>
      <c r="T1552" t="str" cm="1">
        <f t="array" aca="1" ref="T1552" ca="1">RoundToTwoSigFigs(Validation[[#This Row],[Test Reading]]*Validation[[#This Row],[Mult]]+Validation[[#This Row],[Base]]) &amp;" "&amp;Validation[[#This Row],[Uncert_Units]]</f>
        <v>2200 mV</v>
      </c>
      <c r="U1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mV</v>
      </c>
      <c r="V1552" t="b">
        <f ca="1">Validation[[#This Row],[Desired Result]]=Validation[[#This Row],[Result]]</f>
        <v>1</v>
      </c>
      <c r="W1552" t="b">
        <v>1</v>
      </c>
      <c r="X1552" t="b">
        <f>Validation[[#This Row],[Range1_Low]]&gt;=Validation[[#This Row],[Range1_High]]</f>
        <v>0</v>
      </c>
      <c r="Y1552" s="111" t="s">
        <v>2843</v>
      </c>
    </row>
    <row r="1553" spans="1:25" ht="15.75" thickTop="1" x14ac:dyDescent="0.25">
      <c r="A1553" t="s">
        <v>54</v>
      </c>
      <c r="B1553" t="s">
        <v>8</v>
      </c>
      <c r="C1553">
        <v>0</v>
      </c>
      <c r="D1553">
        <v>3.3009999999999998E-2</v>
      </c>
      <c r="E1553">
        <v>9.9999999999999995E-7</v>
      </c>
      <c r="F1553" t="s">
        <v>6</v>
      </c>
      <c r="G1553" t="s">
        <v>5</v>
      </c>
      <c r="H1553">
        <v>500</v>
      </c>
      <c r="I1553">
        <v>501</v>
      </c>
      <c r="J1553" t="s">
        <v>10</v>
      </c>
      <c r="K1553">
        <v>89</v>
      </c>
      <c r="L1553">
        <v>11000</v>
      </c>
      <c r="M1553">
        <v>72.86</v>
      </c>
      <c r="N1553">
        <v>11473</v>
      </c>
      <c r="O1553" t="s">
        <v>2833</v>
      </c>
      <c r="P1553" t="s">
        <v>2833</v>
      </c>
      <c r="Q1553" t="s">
        <v>2833</v>
      </c>
      <c r="R1553">
        <f ca="1">RAND()*(Validation[[#This Row],[Range1_High]]-Validation[[#This Row],[Range1_Low]])+Validation[[#This Row],[Range1_Low]]</f>
        <v>3.2138170737247743E-2</v>
      </c>
      <c r="S1553">
        <f>Validation[[#This Row],[Range2_High]]</f>
        <v>501</v>
      </c>
      <c r="T1553" t="str" cm="1">
        <f t="array" aca="1" ref="T1553" ca="1">RoundToTwoSigFigs(Validation[[#This Row],[Test Reading]]*Validation[[#This Row],[Mult]]+Validation[[#This Row],[Base]]) &amp;" "&amp;Validation[[#This Row],[Uncert_Units]]</f>
        <v>440 µV</v>
      </c>
      <c r="U1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V1553" t="b">
        <f ca="1">Validation[[#This Row],[Desired Result]]=Validation[[#This Row],[Result]]</f>
        <v>1</v>
      </c>
      <c r="W1553" t="b">
        <v>0</v>
      </c>
      <c r="X1553" t="b">
        <f>Validation[[#This Row],[Range1_Low]]&gt;=Validation[[#This Row],[Range1_High]]</f>
        <v>0</v>
      </c>
      <c r="Y1553" s="111" t="s">
        <v>2845</v>
      </c>
    </row>
    <row r="1554" spans="1:25" ht="15.75" thickBot="1" x14ac:dyDescent="0.3">
      <c r="A1554" t="s">
        <v>54</v>
      </c>
      <c r="B1554" t="s">
        <v>8</v>
      </c>
      <c r="C1554">
        <v>0</v>
      </c>
      <c r="D1554">
        <v>3.3009999999999998E-2</v>
      </c>
      <c r="E1554">
        <v>9.9999999999999995E-7</v>
      </c>
      <c r="F1554" t="s">
        <v>6</v>
      </c>
      <c r="G1554" t="s">
        <v>5</v>
      </c>
      <c r="H1554">
        <v>50</v>
      </c>
      <c r="I1554">
        <v>100</v>
      </c>
      <c r="J1554" t="s">
        <v>10</v>
      </c>
      <c r="K1554">
        <v>40</v>
      </c>
      <c r="L1554">
        <v>4000</v>
      </c>
      <c r="M1554">
        <v>38.936999999999998</v>
      </c>
      <c r="N1554">
        <v>4027</v>
      </c>
      <c r="O1554" t="s">
        <v>2833</v>
      </c>
      <c r="P1554" t="s">
        <v>2833</v>
      </c>
      <c r="Q1554" t="s">
        <v>2833</v>
      </c>
      <c r="R1554">
        <f ca="1">RAND()*(Validation[[#This Row],[Range1_High]]-Validation[[#This Row],[Range1_Low]])+Validation[[#This Row],[Range1_Low]]</f>
        <v>1.1433372125936918E-2</v>
      </c>
      <c r="S1554">
        <f>Validation[[#This Row],[Range2_High]]</f>
        <v>100</v>
      </c>
      <c r="T1554" t="str" cm="1">
        <f t="array" aca="1" ref="T1554" ca="1">RoundToTwoSigFigs(Validation[[#This Row],[Test Reading]]*Validation[[#This Row],[Mult]]+Validation[[#This Row],[Base]]) &amp;" "&amp;Validation[[#This Row],[Uncert_Units]]</f>
        <v>86 µV</v>
      </c>
      <c r="U1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V1554" t="b">
        <f ca="1">Validation[[#This Row],[Desired Result]]=Validation[[#This Row],[Result]]</f>
        <v>0</v>
      </c>
      <c r="W1554" t="b">
        <v>1</v>
      </c>
      <c r="X1554" t="b">
        <f>Validation[[#This Row],[Range1_Low]]&gt;=Validation[[#This Row],[Range1_High]]</f>
        <v>0</v>
      </c>
      <c r="Y1554" s="111" t="s">
        <v>2845</v>
      </c>
    </row>
    <row r="1555" spans="1:25" ht="16.5" thickTop="1" thickBot="1" x14ac:dyDescent="0.3">
      <c r="A1555" t="s">
        <v>55</v>
      </c>
      <c r="B1555" t="s">
        <v>8</v>
      </c>
      <c r="C1555" s="113">
        <v>100</v>
      </c>
      <c r="D1555" s="113">
        <v>1000</v>
      </c>
      <c r="E1555">
        <v>1E-3</v>
      </c>
      <c r="F1555" t="s">
        <v>6</v>
      </c>
      <c r="G1555" t="s">
        <v>4</v>
      </c>
      <c r="H1555">
        <v>1</v>
      </c>
      <c r="I1555">
        <v>20</v>
      </c>
      <c r="J1555" t="s">
        <v>10</v>
      </c>
      <c r="K1555">
        <v>23</v>
      </c>
      <c r="L1555">
        <v>0.7</v>
      </c>
      <c r="M1555">
        <v>23.062999999999999</v>
      </c>
      <c r="N1555">
        <v>0.69386000000000003</v>
      </c>
      <c r="O1555" t="s">
        <v>2833</v>
      </c>
      <c r="P1555" t="s">
        <v>2833</v>
      </c>
      <c r="Q1555" t="s">
        <v>2833</v>
      </c>
      <c r="R1555">
        <f ca="1">RAND()*(Validation[[#This Row],[Range1_High]]-Validation[[#This Row],[Range1_Low]])+Validation[[#This Row],[Range1_Low]]</f>
        <v>511.63720750816293</v>
      </c>
      <c r="S1555">
        <f>Validation[[#This Row],[Range2_High]]</f>
        <v>20</v>
      </c>
      <c r="T1555" t="str" cm="1">
        <f t="array" aca="1" ref="T1555" ca="1">RoundToTwoSigFigs(Validation[[#This Row],[Test Reading]]*Validation[[#This Row],[Mult]]+Validation[[#This Row],[Base]]) &amp;" "&amp;Validation[[#This Row],[Uncert_Units]]</f>
        <v>380 mV</v>
      </c>
      <c r="U1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V1555" t="b">
        <f ca="1">Validation[[#This Row],[Desired Result]]=Validation[[#This Row],[Result]]</f>
        <v>1</v>
      </c>
      <c r="W1555" t="b">
        <v>1</v>
      </c>
      <c r="X1555" t="b">
        <f>Validation[[#This Row],[Range1_Low]]&gt;=Validation[[#This Row],[Range1_High]]</f>
        <v>0</v>
      </c>
      <c r="Y1555" s="111" t="s">
        <v>2843</v>
      </c>
    </row>
    <row r="1556" spans="1:25" ht="16.5" thickTop="1" thickBot="1" x14ac:dyDescent="0.3">
      <c r="A1556" t="s">
        <v>55</v>
      </c>
      <c r="B1556" t="s">
        <v>8</v>
      </c>
      <c r="C1556" s="113">
        <v>10</v>
      </c>
      <c r="D1556" s="113">
        <v>20</v>
      </c>
      <c r="E1556">
        <v>0.01</v>
      </c>
      <c r="F1556" t="s">
        <v>6</v>
      </c>
      <c r="G1556" t="s">
        <v>4</v>
      </c>
      <c r="H1556">
        <v>100</v>
      </c>
      <c r="I1556">
        <v>300</v>
      </c>
      <c r="J1556" t="s">
        <v>10</v>
      </c>
      <c r="K1556">
        <v>13</v>
      </c>
      <c r="L1556">
        <v>4.6140999999999996</v>
      </c>
      <c r="M1556">
        <v>11.988</v>
      </c>
      <c r="N1556">
        <v>4.6140999999999996</v>
      </c>
      <c r="O1556" t="s">
        <v>2833</v>
      </c>
      <c r="P1556" t="s">
        <v>2833</v>
      </c>
      <c r="Q1556" t="s">
        <v>2833</v>
      </c>
      <c r="R1556">
        <f ca="1">RAND()*(Validation[[#This Row],[Range1_High]]-Validation[[#This Row],[Range1_Low]])+Validation[[#This Row],[Range1_Low]]</f>
        <v>16.326718274197731</v>
      </c>
      <c r="S1556">
        <f>Validation[[#This Row],[Range2_High]]</f>
        <v>300</v>
      </c>
      <c r="T1556" t="str" cm="1">
        <f t="array" aca="1" ref="T1556" ca="1">RoundToTwoSigFigs(Validation[[#This Row],[Test Reading]]*Validation[[#This Row],[Mult]]+Validation[[#This Row],[Base]]) &amp;" "&amp;Validation[[#This Row],[Uncert_Units]]</f>
        <v>88 mV</v>
      </c>
      <c r="U1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V1556" t="b">
        <f ca="1">Validation[[#This Row],[Desired Result]]=Validation[[#This Row],[Result]]</f>
        <v>0</v>
      </c>
      <c r="W1556" t="b">
        <v>1</v>
      </c>
      <c r="X1556" t="b">
        <f>Validation[[#This Row],[Range1_Low]]&gt;=Validation[[#This Row],[Range1_High]]</f>
        <v>0</v>
      </c>
      <c r="Y1556" s="111" t="s">
        <v>2843</v>
      </c>
    </row>
    <row r="1557" spans="1:25" ht="16.5" thickTop="1" thickBot="1" x14ac:dyDescent="0.3">
      <c r="A1557" t="s">
        <v>55</v>
      </c>
      <c r="B1557" t="s">
        <v>8</v>
      </c>
      <c r="C1557" s="113">
        <v>10</v>
      </c>
      <c r="D1557" s="113">
        <v>20</v>
      </c>
      <c r="E1557">
        <v>1E-3</v>
      </c>
      <c r="F1557" t="s">
        <v>6</v>
      </c>
      <c r="G1557" t="s">
        <v>4</v>
      </c>
      <c r="H1557">
        <v>0.04</v>
      </c>
      <c r="I1557">
        <v>1</v>
      </c>
      <c r="J1557" t="s">
        <v>10</v>
      </c>
      <c r="K1557">
        <v>2.4</v>
      </c>
      <c r="L1557">
        <v>0.23</v>
      </c>
      <c r="M1557">
        <v>2.3458000000000001</v>
      </c>
      <c r="N1557">
        <v>0.23186999999999999</v>
      </c>
      <c r="O1557" t="s">
        <v>2833</v>
      </c>
      <c r="P1557" t="s">
        <v>2833</v>
      </c>
      <c r="Q1557" t="s">
        <v>2833</v>
      </c>
      <c r="R1557">
        <f ca="1">RAND()*(Validation[[#This Row],[Range1_High]]-Validation[[#This Row],[Range1_Low]])+Validation[[#This Row],[Range1_Low]]</f>
        <v>19.742560478239977</v>
      </c>
      <c r="S1557">
        <f>Validation[[#This Row],[Range2_High]]</f>
        <v>1</v>
      </c>
      <c r="T1557" t="str" cm="1">
        <f t="array" aca="1" ref="T1557" ca="1">RoundToTwoSigFigs(Validation[[#This Row],[Test Reading]]*Validation[[#This Row],[Mult]]+Validation[[#This Row],[Base]]) &amp;" "&amp;Validation[[#This Row],[Uncert_Units]]</f>
        <v>6.9 mV</v>
      </c>
      <c r="U1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V1557" t="b">
        <f ca="1">Validation[[#This Row],[Desired Result]]=Validation[[#This Row],[Result]]</f>
        <v>1</v>
      </c>
      <c r="W1557" t="b">
        <v>1</v>
      </c>
      <c r="X1557" t="b">
        <f>Validation[[#This Row],[Range1_Low]]&gt;=Validation[[#This Row],[Range1_High]]</f>
        <v>0</v>
      </c>
      <c r="Y1557" s="111" t="s">
        <v>2843</v>
      </c>
    </row>
    <row r="1558" spans="1:25" ht="16.5" thickTop="1" thickBot="1" x14ac:dyDescent="0.3">
      <c r="A1558" t="s">
        <v>54</v>
      </c>
      <c r="B1558" t="s">
        <v>8</v>
      </c>
      <c r="C1558" s="113">
        <v>3.3</v>
      </c>
      <c r="D1558" s="113">
        <v>33.000999999999998</v>
      </c>
      <c r="E1558">
        <v>1E-4</v>
      </c>
      <c r="F1558" t="s">
        <v>6</v>
      </c>
      <c r="G1558" t="s">
        <v>4</v>
      </c>
      <c r="H1558">
        <v>10</v>
      </c>
      <c r="I1558">
        <v>20.010000000000002</v>
      </c>
      <c r="J1558" t="s">
        <v>10</v>
      </c>
      <c r="K1558">
        <v>0.7</v>
      </c>
      <c r="L1558">
        <v>0.81</v>
      </c>
      <c r="M1558">
        <v>0.69303999999999999</v>
      </c>
      <c r="N1558">
        <v>0.80896000000000001</v>
      </c>
      <c r="O1558" t="s">
        <v>2833</v>
      </c>
      <c r="P1558" t="s">
        <v>2833</v>
      </c>
      <c r="Q1558" t="s">
        <v>2833</v>
      </c>
      <c r="R1558">
        <f ca="1">RAND()*(Validation[[#This Row],[Range1_High]]-Validation[[#This Row],[Range1_Low]])+Validation[[#This Row],[Range1_Low]]</f>
        <v>8.7908716815613026</v>
      </c>
      <c r="S1558">
        <f>Validation[[#This Row],[Range2_High]]</f>
        <v>20.010000000000002</v>
      </c>
      <c r="T1558" t="str" cm="1">
        <f t="array" aca="1" ref="T1558" ca="1">RoundToTwoSigFigs(Validation[[#This Row],[Test Reading]]*Validation[[#This Row],[Mult]]+Validation[[#This Row],[Base]]) &amp;" "&amp;Validation[[#This Row],[Uncert_Units]]</f>
        <v>7.8 mV</v>
      </c>
      <c r="U1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V1558" t="b">
        <f ca="1">Validation[[#This Row],[Desired Result]]=Validation[[#This Row],[Result]]</f>
        <v>0</v>
      </c>
      <c r="W1558" t="b">
        <v>1</v>
      </c>
      <c r="X1558" t="b">
        <f>Validation[[#This Row],[Range1_Low]]&gt;=Validation[[#This Row],[Range1_High]]</f>
        <v>0</v>
      </c>
      <c r="Y1558" s="111" t="s">
        <v>2843</v>
      </c>
    </row>
    <row r="1559" spans="1:25" ht="15.75" thickTop="1" x14ac:dyDescent="0.25">
      <c r="A1559" t="s">
        <v>54</v>
      </c>
      <c r="B1559" t="s">
        <v>8</v>
      </c>
      <c r="C1559">
        <v>33</v>
      </c>
      <c r="D1559">
        <v>330.01</v>
      </c>
      <c r="E1559">
        <v>10</v>
      </c>
      <c r="F1559" t="s">
        <v>6</v>
      </c>
      <c r="G1559" t="s">
        <v>4</v>
      </c>
      <c r="H1559">
        <v>4.4999999999999998E-2</v>
      </c>
      <c r="I1559">
        <v>10.00001</v>
      </c>
      <c r="J1559" t="s">
        <v>10</v>
      </c>
      <c r="K1559">
        <v>5799.2</v>
      </c>
      <c r="L1559">
        <v>2.8473999999999999E-2</v>
      </c>
      <c r="M1559">
        <v>5799.2</v>
      </c>
      <c r="N1559">
        <v>2.8386000000000002E-2</v>
      </c>
      <c r="O1559" t="s">
        <v>2833</v>
      </c>
      <c r="P1559" t="s">
        <v>2833</v>
      </c>
      <c r="Q1559" t="s">
        <v>2833</v>
      </c>
      <c r="R1559">
        <f ca="1">RAND()*(Validation[[#This Row],[Range1_High]]-Validation[[#This Row],[Range1_Low]])+Validation[[#This Row],[Range1_Low]]</f>
        <v>51.17673806876553</v>
      </c>
      <c r="S1559">
        <f>Validation[[#This Row],[Range2_High]]</f>
        <v>10.00001</v>
      </c>
      <c r="T1559" t="str" cm="1">
        <f t="array" aca="1" ref="T1559" ca="1">RoundToTwoSigFigs(Validation[[#This Row],[Test Reading]]*Validation[[#This Row],[Mult]]+Validation[[#This Row],[Base]]) &amp;" "&amp;Validation[[#This Row],[Uncert_Units]]</f>
        <v>5800 mV</v>
      </c>
      <c r="U1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1559" t="b">
        <f ca="1">Validation[[#This Row],[Desired Result]]=Validation[[#This Row],[Result]]</f>
        <v>1</v>
      </c>
      <c r="W1559" t="b">
        <v>0</v>
      </c>
      <c r="X1559" t="b">
        <f>Validation[[#This Row],[Range1_Low]]&gt;=Validation[[#This Row],[Range1_High]]</f>
        <v>0</v>
      </c>
      <c r="Y1559" s="111" t="s">
        <v>2845</v>
      </c>
    </row>
    <row r="1560" spans="1:25" ht="15.75" thickBot="1" x14ac:dyDescent="0.3">
      <c r="A1560" t="s">
        <v>55</v>
      </c>
      <c r="B1560" t="s">
        <v>8</v>
      </c>
      <c r="C1560">
        <v>1</v>
      </c>
      <c r="D1560">
        <v>10</v>
      </c>
      <c r="E1560">
        <v>0.1</v>
      </c>
      <c r="F1560" t="s">
        <v>6</v>
      </c>
      <c r="G1560" t="s">
        <v>4</v>
      </c>
      <c r="H1560">
        <v>50</v>
      </c>
      <c r="I1560">
        <v>100</v>
      </c>
      <c r="J1560" t="s">
        <v>10</v>
      </c>
      <c r="K1560">
        <v>57.664999999999999</v>
      </c>
      <c r="L1560">
        <v>8.7822999999999998E-2</v>
      </c>
      <c r="M1560">
        <v>57.152999999999999</v>
      </c>
      <c r="N1560">
        <v>8.7461999999999998E-2</v>
      </c>
      <c r="O1560" t="s">
        <v>2833</v>
      </c>
      <c r="P1560" t="s">
        <v>2833</v>
      </c>
      <c r="Q1560" t="s">
        <v>2833</v>
      </c>
      <c r="R1560">
        <f ca="1">RAND()*(Validation[[#This Row],[Range1_High]]-Validation[[#This Row],[Range1_Low]])+Validation[[#This Row],[Range1_Low]]</f>
        <v>4.486973441598872</v>
      </c>
      <c r="S1560">
        <f>Validation[[#This Row],[Range2_High]]</f>
        <v>100</v>
      </c>
      <c r="T1560" t="str" cm="1">
        <f t="array" aca="1" ref="T1560" ca="1">RoundToTwoSigFigs(Validation[[#This Row],[Test Reading]]*Validation[[#This Row],[Mult]]+Validation[[#This Row],[Base]]) &amp;" "&amp;Validation[[#This Row],[Uncert_Units]]</f>
        <v>58 mV</v>
      </c>
      <c r="U1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V1560" t="b">
        <f ca="1">Validation[[#This Row],[Desired Result]]=Validation[[#This Row],[Result]]</f>
        <v>0</v>
      </c>
      <c r="W1560" t="b">
        <v>1</v>
      </c>
      <c r="X1560" t="b">
        <f>Validation[[#This Row],[Range1_Low]]&gt;=Validation[[#This Row],[Range1_High]]</f>
        <v>0</v>
      </c>
      <c r="Y1560" s="111" t="s">
        <v>2845</v>
      </c>
    </row>
    <row r="1561" spans="1:25" ht="16.5" thickTop="1" thickBot="1" x14ac:dyDescent="0.3">
      <c r="A1561" t="s">
        <v>55</v>
      </c>
      <c r="B1561" t="s">
        <v>8</v>
      </c>
      <c r="C1561" s="113">
        <v>0.1</v>
      </c>
      <c r="D1561" s="113">
        <v>1</v>
      </c>
      <c r="E1561">
        <v>9.9999999999999995E-8</v>
      </c>
      <c r="F1561" t="s">
        <v>6</v>
      </c>
      <c r="G1561" t="s">
        <v>5</v>
      </c>
      <c r="H1561">
        <v>50</v>
      </c>
      <c r="I1561">
        <v>100</v>
      </c>
      <c r="J1561" t="s">
        <v>10</v>
      </c>
      <c r="K1561">
        <v>27</v>
      </c>
      <c r="L1561">
        <v>940</v>
      </c>
      <c r="M1561">
        <v>23.140999999999998</v>
      </c>
      <c r="N1561">
        <v>938.86</v>
      </c>
      <c r="O1561" t="s">
        <v>2833</v>
      </c>
      <c r="P1561" t="s">
        <v>2833</v>
      </c>
      <c r="Q1561" t="s">
        <v>2833</v>
      </c>
      <c r="R1561">
        <f ca="1">RAND()*(Validation[[#This Row],[Range1_High]]-Validation[[#This Row],[Range1_Low]])+Validation[[#This Row],[Range1_Low]]</f>
        <v>0.32525482955272139</v>
      </c>
      <c r="S1561">
        <f>Validation[[#This Row],[Range2_High]]</f>
        <v>100</v>
      </c>
      <c r="T1561" t="str" cm="1">
        <f t="array" aca="1" ref="T1561" ca="1">RoundToTwoSigFigs(Validation[[#This Row],[Test Reading]]*Validation[[#This Row],[Mult]]+Validation[[#This Row],[Base]]) &amp;" "&amp;Validation[[#This Row],[Uncert_Units]]</f>
        <v>330 µV</v>
      </c>
      <c r="U1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V1561" t="b">
        <f ca="1">Validation[[#This Row],[Desired Result]]=Validation[[#This Row],[Result]]</f>
        <v>0</v>
      </c>
      <c r="W1561" t="b">
        <v>1</v>
      </c>
      <c r="X1561" t="b">
        <f>Validation[[#This Row],[Range1_Low]]&gt;=Validation[[#This Row],[Range1_High]]</f>
        <v>0</v>
      </c>
      <c r="Y1561" s="111" t="s">
        <v>2843</v>
      </c>
    </row>
    <row r="1562" spans="1:25" ht="16.5" thickTop="1" thickBot="1" x14ac:dyDescent="0.3">
      <c r="A1562" t="s">
        <v>55</v>
      </c>
      <c r="B1562" t="s">
        <v>8</v>
      </c>
      <c r="C1562" s="113">
        <v>100</v>
      </c>
      <c r="D1562" s="113">
        <v>1000</v>
      </c>
      <c r="E1562">
        <v>0.01</v>
      </c>
      <c r="F1562" t="s">
        <v>6</v>
      </c>
      <c r="G1562" t="s">
        <v>4</v>
      </c>
      <c r="H1562">
        <v>50</v>
      </c>
      <c r="I1562">
        <v>100</v>
      </c>
      <c r="J1562" t="s">
        <v>10</v>
      </c>
      <c r="K1562">
        <v>23</v>
      </c>
      <c r="L1562">
        <v>3.5</v>
      </c>
      <c r="M1562">
        <v>23.152999999999999</v>
      </c>
      <c r="N1562">
        <v>3.4655999999999998</v>
      </c>
      <c r="O1562" t="s">
        <v>2833</v>
      </c>
      <c r="P1562" t="s">
        <v>2833</v>
      </c>
      <c r="Q1562" t="s">
        <v>2833</v>
      </c>
      <c r="R1562">
        <f ca="1">RAND()*(Validation[[#This Row],[Range1_High]]-Validation[[#This Row],[Range1_Low]])+Validation[[#This Row],[Range1_Low]]</f>
        <v>409.2922037225332</v>
      </c>
      <c r="S1562">
        <f>Validation[[#This Row],[Range2_High]]</f>
        <v>100</v>
      </c>
      <c r="T1562" t="str" cm="1">
        <f t="array" aca="1" ref="T1562" ca="1">RoundToTwoSigFigs(Validation[[#This Row],[Test Reading]]*Validation[[#This Row],[Mult]]+Validation[[#This Row],[Base]]) &amp;" "&amp;Validation[[#This Row],[Uncert_Units]]</f>
        <v>1500 mV</v>
      </c>
      <c r="U1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V1562" t="b">
        <f ca="1">Validation[[#This Row],[Desired Result]]=Validation[[#This Row],[Result]]</f>
        <v>1</v>
      </c>
      <c r="W1562" t="b">
        <v>1</v>
      </c>
      <c r="X1562" t="b">
        <f>Validation[[#This Row],[Range1_Low]]&gt;=Validation[[#This Row],[Range1_High]]</f>
        <v>0</v>
      </c>
      <c r="Y1562" s="111" t="s">
        <v>2843</v>
      </c>
    </row>
    <row r="1563" spans="1:25" ht="16.5" thickTop="1" thickBot="1" x14ac:dyDescent="0.3">
      <c r="A1563" t="s">
        <v>55</v>
      </c>
      <c r="B1563" t="s">
        <v>8</v>
      </c>
      <c r="C1563">
        <v>20</v>
      </c>
      <c r="D1563">
        <v>100</v>
      </c>
      <c r="E1563">
        <v>1</v>
      </c>
      <c r="F1563" t="s">
        <v>6</v>
      </c>
      <c r="G1563" t="s">
        <v>4</v>
      </c>
      <c r="H1563">
        <v>0.04</v>
      </c>
      <c r="I1563">
        <v>1</v>
      </c>
      <c r="J1563" t="s">
        <v>10</v>
      </c>
      <c r="K1563">
        <v>577.27</v>
      </c>
      <c r="L1563">
        <v>6.6108E-3</v>
      </c>
      <c r="M1563">
        <v>576.14</v>
      </c>
      <c r="N1563">
        <v>6.5944999999999997E-3</v>
      </c>
      <c r="O1563" t="s">
        <v>2833</v>
      </c>
      <c r="P1563" t="s">
        <v>2833</v>
      </c>
      <c r="Q1563" t="s">
        <v>2833</v>
      </c>
      <c r="R1563">
        <f ca="1">RAND()*(Validation[[#This Row],[Range1_High]]-Validation[[#This Row],[Range1_Low]])+Validation[[#This Row],[Range1_Low]]</f>
        <v>72.292008011534477</v>
      </c>
      <c r="S1563">
        <f>Validation[[#This Row],[Range2_High]]</f>
        <v>1</v>
      </c>
      <c r="T1563" t="str" cm="1">
        <f t="array" aca="1" ref="T1563" ca="1">RoundToTwoSigFigs(Validation[[#This Row],[Test Reading]]*Validation[[#This Row],[Mult]]+Validation[[#This Row],[Base]]) &amp;" "&amp;Validation[[#This Row],[Uncert_Units]]</f>
        <v>580 mV</v>
      </c>
      <c r="U1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563" t="b">
        <f ca="1">Validation[[#This Row],[Desired Result]]=Validation[[#This Row],[Result]]</f>
        <v>1</v>
      </c>
      <c r="W1563" t="b">
        <v>0</v>
      </c>
      <c r="X1563" t="b">
        <f>Validation[[#This Row],[Range1_Low]]&gt;=Validation[[#This Row],[Range1_High]]</f>
        <v>0</v>
      </c>
      <c r="Y1563" s="111" t="s">
        <v>2845</v>
      </c>
    </row>
    <row r="1564" spans="1:25" ht="16.5" thickTop="1" thickBot="1" x14ac:dyDescent="0.3">
      <c r="A1564" t="s">
        <v>55</v>
      </c>
      <c r="B1564" t="s">
        <v>8</v>
      </c>
      <c r="C1564" s="113">
        <v>1</v>
      </c>
      <c r="D1564" s="113">
        <v>10</v>
      </c>
      <c r="E1564">
        <v>9.9999999999999995E-7</v>
      </c>
      <c r="F1564" t="s">
        <v>6</v>
      </c>
      <c r="G1564" t="s">
        <v>4</v>
      </c>
      <c r="H1564">
        <v>1E-3</v>
      </c>
      <c r="I1564">
        <v>0.04</v>
      </c>
      <c r="J1564" t="s">
        <v>10</v>
      </c>
      <c r="K1564">
        <v>0.46</v>
      </c>
      <c r="L1564">
        <v>9.1999999999999998E-2</v>
      </c>
      <c r="M1564">
        <v>0.45052999999999999</v>
      </c>
      <c r="N1564">
        <v>9.2199000000000003E-2</v>
      </c>
      <c r="O1564" t="s">
        <v>2833</v>
      </c>
      <c r="P1564" t="s">
        <v>2833</v>
      </c>
      <c r="Q1564" t="s">
        <v>2833</v>
      </c>
      <c r="R1564">
        <f ca="1">RAND()*(Validation[[#This Row],[Range1_High]]-Validation[[#This Row],[Range1_Low]])+Validation[[#This Row],[Range1_Low]]</f>
        <v>4.6646095783881449</v>
      </c>
      <c r="S1564">
        <f>Validation[[#This Row],[Range2_High]]</f>
        <v>0.04</v>
      </c>
      <c r="T1564" t="str" cm="1">
        <f t="array" aca="1" ref="T1564" ca="1">RoundToTwoSigFigs(Validation[[#This Row],[Test Reading]]*Validation[[#This Row],[Mult]]+Validation[[#This Row],[Base]]) &amp;" "&amp;Validation[[#This Row],[Uncert_Units]]</f>
        <v>0.89 mV</v>
      </c>
      <c r="U1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mV</v>
      </c>
      <c r="V1564" t="b">
        <f ca="1">Validation[[#This Row],[Desired Result]]=Validation[[#This Row],[Result]]</f>
        <v>1</v>
      </c>
      <c r="W1564" t="b">
        <v>1</v>
      </c>
      <c r="X1564" t="b">
        <f>Validation[[#This Row],[Range1_Low]]&gt;=Validation[[#This Row],[Range1_High]]</f>
        <v>0</v>
      </c>
      <c r="Y1564" s="111" t="s">
        <v>2843</v>
      </c>
    </row>
    <row r="1565" spans="1:25" ht="16.5" thickTop="1" thickBot="1" x14ac:dyDescent="0.3">
      <c r="A1565" t="s">
        <v>55</v>
      </c>
      <c r="B1565" t="s">
        <v>8</v>
      </c>
      <c r="C1565" s="113">
        <v>10</v>
      </c>
      <c r="D1565" s="113">
        <v>20</v>
      </c>
      <c r="E1565">
        <v>1E-4</v>
      </c>
      <c r="F1565" t="s">
        <v>6</v>
      </c>
      <c r="G1565" t="s">
        <v>4</v>
      </c>
      <c r="H1565">
        <v>300</v>
      </c>
      <c r="I1565">
        <v>1000</v>
      </c>
      <c r="J1565" t="s">
        <v>10</v>
      </c>
      <c r="K1565">
        <v>19</v>
      </c>
      <c r="L1565">
        <v>17.087</v>
      </c>
      <c r="M1565">
        <v>12.388999999999999</v>
      </c>
      <c r="N1565">
        <v>17.324000000000002</v>
      </c>
      <c r="O1565" t="s">
        <v>2833</v>
      </c>
      <c r="P1565" t="s">
        <v>2833</v>
      </c>
      <c r="Q1565" t="s">
        <v>2833</v>
      </c>
      <c r="R1565" s="100">
        <f ca="1">RAND()*(Validation[[#This Row],[Range1_High]]-Validation[[#This Row],[Range1_Low]])+Validation[[#This Row],[Range1_Low]]</f>
        <v>12.848930103960562</v>
      </c>
      <c r="S1565">
        <f>Validation[[#This Row],[Range2_High]]</f>
        <v>1000</v>
      </c>
      <c r="T1565" t="str" cm="1">
        <f t="array" aca="1" ref="T1565" ca="1">RoundToTwoSigFigs(Validation[[#This Row],[Test Reading]]*Validation[[#This Row],[Mult]]+Validation[[#This Row],[Base]]) &amp;" "&amp;Validation[[#This Row],[Uncert_Units]]</f>
        <v>240 mV</v>
      </c>
      <c r="U1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V1565" t="b">
        <f ca="1">Validation[[#This Row],[Desired Result]]=Validation[[#This Row],[Result]]</f>
        <v>0</v>
      </c>
      <c r="W1565" t="b">
        <v>1</v>
      </c>
      <c r="X1565" t="b">
        <f>Validation[[#This Row],[Range1_Low]]&gt;=Validation[[#This Row],[Range1_High]]</f>
        <v>0</v>
      </c>
      <c r="Y1565" s="111" t="s">
        <v>2844</v>
      </c>
    </row>
    <row r="1566" spans="1:25" ht="16.5" thickTop="1" thickBot="1" x14ac:dyDescent="0.3">
      <c r="A1566" t="s">
        <v>54</v>
      </c>
      <c r="B1566" t="s">
        <v>8</v>
      </c>
      <c r="C1566">
        <v>3.3</v>
      </c>
      <c r="D1566">
        <v>33.000999999999998</v>
      </c>
      <c r="E1566">
        <v>0.1</v>
      </c>
      <c r="F1566" t="s">
        <v>6</v>
      </c>
      <c r="G1566" t="s">
        <v>4</v>
      </c>
      <c r="H1566">
        <v>10</v>
      </c>
      <c r="I1566">
        <v>20.010000000000002</v>
      </c>
      <c r="J1566" t="s">
        <v>10</v>
      </c>
      <c r="K1566">
        <v>57.426000000000002</v>
      </c>
      <c r="L1566">
        <v>0.20355000000000001</v>
      </c>
      <c r="M1566">
        <v>57.426000000000002</v>
      </c>
      <c r="N1566">
        <v>0.20351</v>
      </c>
      <c r="O1566" t="s">
        <v>2833</v>
      </c>
      <c r="P1566" t="s">
        <v>2833</v>
      </c>
      <c r="Q1566" t="s">
        <v>2833</v>
      </c>
      <c r="R1566">
        <f ca="1">RAND()*(Validation[[#This Row],[Range1_High]]-Validation[[#This Row],[Range1_Low]])+Validation[[#This Row],[Range1_Low]]</f>
        <v>10.442780524979574</v>
      </c>
      <c r="S1566">
        <f>Validation[[#This Row],[Range2_High]]</f>
        <v>20.010000000000002</v>
      </c>
      <c r="T1566" t="str" cm="1">
        <f t="array" aca="1" ref="T1566" ca="1">RoundToTwoSigFigs(Validation[[#This Row],[Test Reading]]*Validation[[#This Row],[Mult]]+Validation[[#This Row],[Base]]) &amp;" "&amp;Validation[[#This Row],[Uncert_Units]]</f>
        <v>60 mV</v>
      </c>
      <c r="U1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V1566" t="b">
        <f ca="1">Validation[[#This Row],[Desired Result]]=Validation[[#This Row],[Result]]</f>
        <v>0</v>
      </c>
      <c r="W1566" t="b">
        <v>1</v>
      </c>
      <c r="X1566" t="b">
        <f>Validation[[#This Row],[Range1_Low]]&gt;=Validation[[#This Row],[Range1_High]]</f>
        <v>0</v>
      </c>
      <c r="Y1566" s="111" t="s">
        <v>2845</v>
      </c>
    </row>
    <row r="1567" spans="1:25" ht="16.5" thickTop="1" thickBot="1" x14ac:dyDescent="0.3">
      <c r="A1567" t="s">
        <v>54</v>
      </c>
      <c r="B1567" t="s">
        <v>8</v>
      </c>
      <c r="C1567" s="113">
        <v>0.33</v>
      </c>
      <c r="D1567" s="113">
        <v>3.3001</v>
      </c>
      <c r="E1567">
        <v>1E-4</v>
      </c>
      <c r="F1567" t="s">
        <v>6</v>
      </c>
      <c r="G1567" t="s">
        <v>4</v>
      </c>
      <c r="H1567">
        <v>500</v>
      </c>
      <c r="I1567">
        <v>501</v>
      </c>
      <c r="J1567" t="s">
        <v>10</v>
      </c>
      <c r="K1567">
        <v>1.1000000000000001</v>
      </c>
      <c r="L1567">
        <v>5.7939999999999996</v>
      </c>
      <c r="M1567">
        <v>1.038</v>
      </c>
      <c r="N1567">
        <v>5.7941000000000003</v>
      </c>
      <c r="O1567" t="s">
        <v>2833</v>
      </c>
      <c r="P1567" t="s">
        <v>2833</v>
      </c>
      <c r="Q1567" t="s">
        <v>2833</v>
      </c>
      <c r="R1567">
        <f ca="1">RAND()*(Validation[[#This Row],[Range1_High]]-Validation[[#This Row],[Range1_Low]])+Validation[[#This Row],[Range1_Low]]</f>
        <v>1.6549587900399756</v>
      </c>
      <c r="S1567">
        <f>Validation[[#This Row],[Range2_High]]</f>
        <v>501</v>
      </c>
      <c r="T1567" t="str" cm="1">
        <f t="array" aca="1" ref="T1567" ca="1">RoundToTwoSigFigs(Validation[[#This Row],[Test Reading]]*Validation[[#This Row],[Mult]]+Validation[[#This Row],[Base]]) &amp;" "&amp;Validation[[#This Row],[Uncert_Units]]</f>
        <v>11 mV</v>
      </c>
      <c r="U1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V1567" t="b">
        <f ca="1">Validation[[#This Row],[Desired Result]]=Validation[[#This Row],[Result]]</f>
        <v>1</v>
      </c>
      <c r="W1567" t="b">
        <v>1</v>
      </c>
      <c r="X1567" t="b">
        <f>Validation[[#This Row],[Range1_Low]]&gt;=Validation[[#This Row],[Range1_High]]</f>
        <v>0</v>
      </c>
      <c r="Y1567" s="111" t="s">
        <v>2843</v>
      </c>
    </row>
    <row r="1568" spans="1:25" ht="16.5" thickTop="1" thickBot="1" x14ac:dyDescent="0.3">
      <c r="A1568" t="s">
        <v>55</v>
      </c>
      <c r="B1568" t="s">
        <v>8</v>
      </c>
      <c r="C1568" s="113">
        <v>20</v>
      </c>
      <c r="D1568" s="113">
        <v>100</v>
      </c>
      <c r="E1568">
        <v>1.0000000000000001E-5</v>
      </c>
      <c r="F1568" t="s">
        <v>6</v>
      </c>
      <c r="G1568" t="s">
        <v>4</v>
      </c>
      <c r="H1568">
        <v>0.04</v>
      </c>
      <c r="I1568">
        <v>1</v>
      </c>
      <c r="J1568" t="s">
        <v>10</v>
      </c>
      <c r="K1568">
        <v>2.7</v>
      </c>
      <c r="L1568">
        <v>0.23</v>
      </c>
      <c r="M1568">
        <v>2.2757999999999998</v>
      </c>
      <c r="N1568">
        <v>0.23386000000000001</v>
      </c>
      <c r="O1568" t="s">
        <v>2833</v>
      </c>
      <c r="P1568" t="s">
        <v>2833</v>
      </c>
      <c r="Q1568" t="s">
        <v>2833</v>
      </c>
      <c r="R1568">
        <f ca="1">RAND()*(Validation[[#This Row],[Range1_High]]-Validation[[#This Row],[Range1_Low]])+Validation[[#This Row],[Range1_Low]]</f>
        <v>88.136225360275176</v>
      </c>
      <c r="S1568">
        <f>Validation[[#This Row],[Range2_High]]</f>
        <v>1</v>
      </c>
      <c r="T1568" t="str" cm="1">
        <f t="array" aca="1" ref="T1568" ca="1">RoundToTwoSigFigs(Validation[[#This Row],[Test Reading]]*Validation[[#This Row],[Mult]]+Validation[[#This Row],[Base]]) &amp;" "&amp;Validation[[#This Row],[Uncert_Units]]</f>
        <v>23 mV</v>
      </c>
      <c r="U1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V1568" t="b">
        <f ca="1">Validation[[#This Row],[Desired Result]]=Validation[[#This Row],[Result]]</f>
        <v>1</v>
      </c>
      <c r="W1568" t="b">
        <v>1</v>
      </c>
      <c r="X1568" t="b">
        <f>Validation[[#This Row],[Range1_Low]]&gt;=Validation[[#This Row],[Range1_High]]</f>
        <v>0</v>
      </c>
      <c r="Y1568" s="111" t="s">
        <v>2843</v>
      </c>
    </row>
    <row r="1569" spans="1:25" ht="15.75" thickTop="1" x14ac:dyDescent="0.25">
      <c r="A1569" t="s">
        <v>55</v>
      </c>
      <c r="B1569" t="s">
        <v>8</v>
      </c>
      <c r="C1569">
        <v>0</v>
      </c>
      <c r="D1569">
        <v>0.01</v>
      </c>
      <c r="E1569">
        <v>1E-4</v>
      </c>
      <c r="F1569" t="s">
        <v>6</v>
      </c>
      <c r="G1569" t="s">
        <v>5</v>
      </c>
      <c r="H1569">
        <v>1E-3</v>
      </c>
      <c r="I1569">
        <v>0.04</v>
      </c>
      <c r="J1569" t="s">
        <v>10</v>
      </c>
      <c r="K1569">
        <v>57.902999999999999</v>
      </c>
      <c r="L1569">
        <v>32.603000000000002</v>
      </c>
      <c r="M1569">
        <v>57.901000000000003</v>
      </c>
      <c r="N1569">
        <v>32.045000000000002</v>
      </c>
      <c r="O1569" t="s">
        <v>2833</v>
      </c>
      <c r="P1569" t="s">
        <v>2833</v>
      </c>
      <c r="Q1569" t="s">
        <v>2833</v>
      </c>
      <c r="R1569">
        <f ca="1">RAND()*(Validation[[#This Row],[Range1_High]]-Validation[[#This Row],[Range1_Low]])+Validation[[#This Row],[Range1_Low]]</f>
        <v>6.5185129574651815E-3</v>
      </c>
      <c r="S1569">
        <f>Validation[[#This Row],[Range2_High]]</f>
        <v>0.04</v>
      </c>
      <c r="T1569" t="str" cm="1">
        <f t="array" aca="1" ref="T1569" ca="1">RoundToTwoSigFigs(Validation[[#This Row],[Test Reading]]*Validation[[#This Row],[Mult]]+Validation[[#This Row],[Base]]) &amp;" "&amp;Validation[[#This Row],[Uncert_Units]]</f>
        <v>58 µV</v>
      </c>
      <c r="U1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1569" t="b">
        <f ca="1">Validation[[#This Row],[Desired Result]]=Validation[[#This Row],[Result]]</f>
        <v>1</v>
      </c>
      <c r="W1569" t="b">
        <v>0</v>
      </c>
      <c r="X1569" t="b">
        <f>Validation[[#This Row],[Range1_Low]]&gt;=Validation[[#This Row],[Range1_High]]</f>
        <v>0</v>
      </c>
      <c r="Y1569" s="111" t="s">
        <v>2845</v>
      </c>
    </row>
    <row r="1570" spans="1:25" x14ac:dyDescent="0.25">
      <c r="A1570" t="s">
        <v>55</v>
      </c>
      <c r="B1570" t="s">
        <v>8</v>
      </c>
      <c r="C1570">
        <v>1</v>
      </c>
      <c r="D1570">
        <v>10</v>
      </c>
      <c r="E1570">
        <v>0.1</v>
      </c>
      <c r="F1570" t="s">
        <v>6</v>
      </c>
      <c r="G1570" t="s">
        <v>4</v>
      </c>
      <c r="H1570">
        <v>100</v>
      </c>
      <c r="I1570">
        <v>300</v>
      </c>
      <c r="J1570" t="s">
        <v>10</v>
      </c>
      <c r="K1570">
        <v>56.807000000000002</v>
      </c>
      <c r="L1570">
        <v>1.1229</v>
      </c>
      <c r="M1570">
        <v>54.694000000000003</v>
      </c>
      <c r="N1570">
        <v>1.1224000000000001</v>
      </c>
      <c r="O1570" t="s">
        <v>2833</v>
      </c>
      <c r="P1570" t="s">
        <v>2833</v>
      </c>
      <c r="Q1570" t="s">
        <v>2833</v>
      </c>
      <c r="R1570">
        <f ca="1">RAND()*(Validation[[#This Row],[Range1_High]]-Validation[[#This Row],[Range1_Low]])+Validation[[#This Row],[Range1_Low]]</f>
        <v>3.9009693415828783</v>
      </c>
      <c r="S1570">
        <f>Validation[[#This Row],[Range2_High]]</f>
        <v>300</v>
      </c>
      <c r="T1570" t="str" cm="1">
        <f t="array" aca="1" ref="T1570" ca="1">RoundToTwoSigFigs(Validation[[#This Row],[Test Reading]]*Validation[[#This Row],[Mult]]+Validation[[#This Row],[Base]]) &amp;" "&amp;Validation[[#This Row],[Uncert_Units]]</f>
        <v>61 mV</v>
      </c>
      <c r="U1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mV</v>
      </c>
      <c r="V1570" t="b">
        <f ca="1">Validation[[#This Row],[Desired Result]]=Validation[[#This Row],[Result]]</f>
        <v>0</v>
      </c>
      <c r="W1570" t="b">
        <v>1</v>
      </c>
      <c r="X1570" t="b">
        <f>Validation[[#This Row],[Range1_Low]]&gt;=Validation[[#This Row],[Range1_High]]</f>
        <v>0</v>
      </c>
      <c r="Y1570" s="111" t="s">
        <v>2845</v>
      </c>
    </row>
    <row r="1571" spans="1:25" x14ac:dyDescent="0.25">
      <c r="A1571" t="s">
        <v>55</v>
      </c>
      <c r="B1571" t="s">
        <v>8</v>
      </c>
      <c r="C1571">
        <v>0.01</v>
      </c>
      <c r="D1571">
        <v>0.1</v>
      </c>
      <c r="E1571">
        <v>1E-3</v>
      </c>
      <c r="F1571" t="s">
        <v>6</v>
      </c>
      <c r="G1571" t="s">
        <v>5</v>
      </c>
      <c r="H1571">
        <v>0.04</v>
      </c>
      <c r="I1571">
        <v>1</v>
      </c>
      <c r="J1571" t="s">
        <v>10</v>
      </c>
      <c r="K1571">
        <v>577.36</v>
      </c>
      <c r="L1571">
        <v>1.1266</v>
      </c>
      <c r="M1571">
        <v>577.26</v>
      </c>
      <c r="N1571">
        <v>1.1012</v>
      </c>
      <c r="O1571" t="s">
        <v>2833</v>
      </c>
      <c r="P1571" t="s">
        <v>2833</v>
      </c>
      <c r="Q1571" t="s">
        <v>2833</v>
      </c>
      <c r="R1571">
        <f ca="1">RAND()*(Validation[[#This Row],[Range1_High]]-Validation[[#This Row],[Range1_Low]])+Validation[[#This Row],[Range1_Low]]</f>
        <v>6.9580944527473543E-2</v>
      </c>
      <c r="S1571">
        <f>Validation[[#This Row],[Range2_High]]</f>
        <v>1</v>
      </c>
      <c r="T1571" t="str" cm="1">
        <f t="array" aca="1" ref="T1571" ca="1">RoundToTwoSigFigs(Validation[[#This Row],[Test Reading]]*Validation[[#This Row],[Mult]]+Validation[[#This Row],[Base]]) &amp;" "&amp;Validation[[#This Row],[Uncert_Units]]</f>
        <v>580 µV</v>
      </c>
      <c r="U1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571" t="b">
        <f ca="1">Validation[[#This Row],[Desired Result]]=Validation[[#This Row],[Result]]</f>
        <v>1</v>
      </c>
      <c r="W1571" t="b">
        <v>0</v>
      </c>
      <c r="X1571" t="b">
        <f>Validation[[#This Row],[Range1_Low]]&gt;=Validation[[#This Row],[Range1_High]]</f>
        <v>0</v>
      </c>
      <c r="Y1571" s="111" t="s">
        <v>2845</v>
      </c>
    </row>
    <row r="1572" spans="1:25" ht="15.75" thickBot="1" x14ac:dyDescent="0.3">
      <c r="A1572" t="s">
        <v>54</v>
      </c>
      <c r="B1572" t="s">
        <v>8</v>
      </c>
      <c r="C1572">
        <v>0</v>
      </c>
      <c r="D1572">
        <v>3.3009999999999998E-2</v>
      </c>
      <c r="E1572">
        <v>0.01</v>
      </c>
      <c r="F1572" t="s">
        <v>6</v>
      </c>
      <c r="G1572" t="s">
        <v>5</v>
      </c>
      <c r="H1572">
        <v>4.4999999999999998E-2</v>
      </c>
      <c r="I1572">
        <v>10.00001</v>
      </c>
      <c r="J1572" t="s">
        <v>10</v>
      </c>
      <c r="K1572">
        <v>5800.1</v>
      </c>
      <c r="L1572">
        <v>9.0181000000000004</v>
      </c>
      <c r="M1572">
        <v>5800.1</v>
      </c>
      <c r="N1572">
        <v>8.5306999999999995</v>
      </c>
      <c r="O1572" t="s">
        <v>2833</v>
      </c>
      <c r="P1572" t="s">
        <v>2833</v>
      </c>
      <c r="Q1572" t="s">
        <v>2833</v>
      </c>
      <c r="R1572">
        <f ca="1">RAND()*(Validation[[#This Row],[Range1_High]]-Validation[[#This Row],[Range1_Low]])+Validation[[#This Row],[Range1_Low]]</f>
        <v>8.5275533772834044E-3</v>
      </c>
      <c r="S1572">
        <f>Validation[[#This Row],[Range2_High]]</f>
        <v>10.00001</v>
      </c>
      <c r="T1572" t="str" cm="1">
        <f t="array" aca="1" ref="T1572" ca="1">RoundToTwoSigFigs(Validation[[#This Row],[Test Reading]]*Validation[[#This Row],[Mult]]+Validation[[#This Row],[Base]]) &amp;" "&amp;Validation[[#This Row],[Uncert_Units]]</f>
        <v>5800 µV</v>
      </c>
      <c r="U1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572" t="b">
        <f ca="1">Validation[[#This Row],[Desired Result]]=Validation[[#This Row],[Result]]</f>
        <v>1</v>
      </c>
      <c r="W1572" t="b">
        <v>0</v>
      </c>
      <c r="X1572" t="b">
        <f>Validation[[#This Row],[Range1_Low]]&gt;=Validation[[#This Row],[Range1_High]]</f>
        <v>0</v>
      </c>
      <c r="Y1572" s="111" t="s">
        <v>2845</v>
      </c>
    </row>
    <row r="1573" spans="1:25" ht="16.5" thickTop="1" thickBot="1" x14ac:dyDescent="0.3">
      <c r="A1573" t="s">
        <v>55</v>
      </c>
      <c r="B1573" t="s">
        <v>8</v>
      </c>
      <c r="C1573" s="113">
        <v>100</v>
      </c>
      <c r="D1573" s="113">
        <v>1000</v>
      </c>
      <c r="E1573">
        <v>1E-4</v>
      </c>
      <c r="F1573" t="s">
        <v>6</v>
      </c>
      <c r="G1573" t="s">
        <v>4</v>
      </c>
      <c r="H1573">
        <v>20</v>
      </c>
      <c r="I1573">
        <v>50</v>
      </c>
      <c r="J1573" t="s">
        <v>10</v>
      </c>
      <c r="K1573">
        <v>23</v>
      </c>
      <c r="L1573">
        <v>1.4</v>
      </c>
      <c r="M1573">
        <v>22.895</v>
      </c>
      <c r="N1573">
        <v>1.3895999999999999</v>
      </c>
      <c r="O1573" t="s">
        <v>2833</v>
      </c>
      <c r="P1573" t="s">
        <v>2833</v>
      </c>
      <c r="Q1573" t="s">
        <v>2833</v>
      </c>
      <c r="R1573">
        <f ca="1">RAND()*(Validation[[#This Row],[Range1_High]]-Validation[[#This Row],[Range1_Low]])+Validation[[#This Row],[Range1_Low]]</f>
        <v>326.77875443205346</v>
      </c>
      <c r="S1573">
        <f>Validation[[#This Row],[Range2_High]]</f>
        <v>50</v>
      </c>
      <c r="T1573" t="str" cm="1">
        <f t="array" aca="1" ref="T1573" ca="1">RoundToTwoSigFigs(Validation[[#This Row],[Test Reading]]*Validation[[#This Row],[Mult]]+Validation[[#This Row],[Base]]) &amp;" "&amp;Validation[[#This Row],[Uncert_Units]]</f>
        <v>480 mV</v>
      </c>
      <c r="U1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V1573" t="b">
        <f ca="1">Validation[[#This Row],[Desired Result]]=Validation[[#This Row],[Result]]</f>
        <v>0</v>
      </c>
      <c r="W1573" t="b">
        <v>1</v>
      </c>
      <c r="X1573" t="b">
        <f>Validation[[#This Row],[Range1_Low]]&gt;=Validation[[#This Row],[Range1_High]]</f>
        <v>0</v>
      </c>
      <c r="Y1573" s="111" t="s">
        <v>2843</v>
      </c>
    </row>
    <row r="1574" spans="1:25" ht="16.5" thickTop="1" thickBot="1" x14ac:dyDescent="0.3">
      <c r="A1574" t="s">
        <v>55</v>
      </c>
      <c r="B1574" t="s">
        <v>8</v>
      </c>
      <c r="C1574" s="113">
        <v>0.1</v>
      </c>
      <c r="D1574" s="113">
        <v>1</v>
      </c>
      <c r="E1574">
        <v>1E-3</v>
      </c>
      <c r="F1574" t="s">
        <v>6</v>
      </c>
      <c r="G1574" t="s">
        <v>4</v>
      </c>
      <c r="H1574">
        <v>4000</v>
      </c>
      <c r="I1574">
        <v>8000</v>
      </c>
      <c r="J1574" t="s">
        <v>10</v>
      </c>
      <c r="K1574">
        <v>1.3</v>
      </c>
      <c r="L1574">
        <v>46.051000000000002</v>
      </c>
      <c r="M1574">
        <v>0.94915000000000005</v>
      </c>
      <c r="N1574">
        <v>46.295999999999999</v>
      </c>
      <c r="O1574" t="s">
        <v>2833</v>
      </c>
      <c r="P1574" t="s">
        <v>2833</v>
      </c>
      <c r="Q1574" t="s">
        <v>2833</v>
      </c>
      <c r="R1574">
        <f ca="1">RAND()*(Validation[[#This Row],[Range1_High]]-Validation[[#This Row],[Range1_Low]])+Validation[[#This Row],[Range1_Low]]</f>
        <v>0.21573531717283312</v>
      </c>
      <c r="S1574">
        <f>Validation[[#This Row],[Range2_High]]</f>
        <v>8000</v>
      </c>
      <c r="T1574" t="str" cm="1">
        <f t="array" aca="1" ref="T1574" ca="1">RoundToTwoSigFigs(Validation[[#This Row],[Test Reading]]*Validation[[#This Row],[Mult]]+Validation[[#This Row],[Base]]) &amp;" "&amp;Validation[[#This Row],[Uncert_Units]]</f>
        <v>11 mV</v>
      </c>
      <c r="U1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V1574" t="b">
        <f ca="1">Validation[[#This Row],[Desired Result]]=Validation[[#This Row],[Result]]</f>
        <v>1</v>
      </c>
      <c r="W1574" t="b">
        <v>1</v>
      </c>
      <c r="X1574" t="b">
        <f>Validation[[#This Row],[Range1_Low]]&gt;=Validation[[#This Row],[Range1_High]]</f>
        <v>0</v>
      </c>
      <c r="Y1574" s="111" t="s">
        <v>2843</v>
      </c>
    </row>
    <row r="1575" spans="1:25" ht="15.75" thickTop="1" x14ac:dyDescent="0.25">
      <c r="A1575" t="s">
        <v>55</v>
      </c>
      <c r="B1575" t="s">
        <v>8</v>
      </c>
      <c r="C1575">
        <v>0.01</v>
      </c>
      <c r="D1575">
        <v>0.1</v>
      </c>
      <c r="E1575">
        <v>1E-3</v>
      </c>
      <c r="F1575" t="s">
        <v>6</v>
      </c>
      <c r="G1575" t="s">
        <v>5</v>
      </c>
      <c r="H1575">
        <v>1</v>
      </c>
      <c r="I1575">
        <v>20</v>
      </c>
      <c r="J1575" t="s">
        <v>10</v>
      </c>
      <c r="K1575">
        <v>577.34</v>
      </c>
      <c r="L1575">
        <v>3.3107000000000002</v>
      </c>
      <c r="M1575">
        <v>577.05999999999995</v>
      </c>
      <c r="N1575">
        <v>3.2852999999999999</v>
      </c>
      <c r="O1575" t="s">
        <v>2833</v>
      </c>
      <c r="P1575" t="s">
        <v>2833</v>
      </c>
      <c r="Q1575" t="s">
        <v>2833</v>
      </c>
      <c r="R1575">
        <f ca="1">RAND()*(Validation[[#This Row],[Range1_High]]-Validation[[#This Row],[Range1_Low]])+Validation[[#This Row],[Range1_Low]]</f>
        <v>1.5274117586884808E-2</v>
      </c>
      <c r="S1575">
        <f>Validation[[#This Row],[Range2_High]]</f>
        <v>20</v>
      </c>
      <c r="T1575" t="str" cm="1">
        <f t="array" aca="1" ref="T1575" ca="1">RoundToTwoSigFigs(Validation[[#This Row],[Test Reading]]*Validation[[#This Row],[Mult]]+Validation[[#This Row],[Base]]) &amp;" "&amp;Validation[[#This Row],[Uncert_Units]]</f>
        <v>580 µV</v>
      </c>
      <c r="U1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575" t="b">
        <f ca="1">Validation[[#This Row],[Desired Result]]=Validation[[#This Row],[Result]]</f>
        <v>1</v>
      </c>
      <c r="W1575" t="b">
        <v>0</v>
      </c>
      <c r="X1575" t="b">
        <f>Validation[[#This Row],[Range1_Low]]&gt;=Validation[[#This Row],[Range1_High]]</f>
        <v>0</v>
      </c>
      <c r="Y1575" s="111" t="s">
        <v>2845</v>
      </c>
    </row>
    <row r="1576" spans="1:25" x14ac:dyDescent="0.25">
      <c r="A1576" t="s">
        <v>55</v>
      </c>
      <c r="B1576" t="s">
        <v>8</v>
      </c>
      <c r="C1576">
        <v>0</v>
      </c>
      <c r="D1576">
        <v>0.01</v>
      </c>
      <c r="E1576">
        <v>9.9999999999999995E-7</v>
      </c>
      <c r="F1576" t="s">
        <v>6</v>
      </c>
      <c r="G1576" t="s">
        <v>5</v>
      </c>
      <c r="H1576">
        <v>4000</v>
      </c>
      <c r="I1576">
        <v>8000</v>
      </c>
      <c r="J1576" t="s">
        <v>10</v>
      </c>
      <c r="K1576">
        <v>31</v>
      </c>
      <c r="L1576">
        <v>228990</v>
      </c>
      <c r="M1576">
        <v>30.12</v>
      </c>
      <c r="N1576">
        <v>228890</v>
      </c>
      <c r="O1576" t="s">
        <v>2833</v>
      </c>
      <c r="P1576" t="s">
        <v>2833</v>
      </c>
      <c r="Q1576" t="s">
        <v>2833</v>
      </c>
      <c r="R1576">
        <f ca="1">RAND()*(Validation[[#This Row],[Range1_High]]-Validation[[#This Row],[Range1_Low]])+Validation[[#This Row],[Range1_Low]]</f>
        <v>3.4285099258758779E-3</v>
      </c>
      <c r="S1576">
        <f>Validation[[#This Row],[Range2_High]]</f>
        <v>8000</v>
      </c>
      <c r="T1576" t="str" cm="1">
        <f t="array" aca="1" ref="T1576" ca="1">RoundToTwoSigFigs(Validation[[#This Row],[Test Reading]]*Validation[[#This Row],[Mult]]+Validation[[#This Row],[Base]]) &amp;" "&amp;Validation[[#This Row],[Uncert_Units]]</f>
        <v>820 µV</v>
      </c>
      <c r="U1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µV</v>
      </c>
      <c r="V1576" t="b">
        <f ca="1">Validation[[#This Row],[Desired Result]]=Validation[[#This Row],[Result]]</f>
        <v>1</v>
      </c>
      <c r="W1576" t="b">
        <v>0</v>
      </c>
      <c r="X1576" t="b">
        <f>Validation[[#This Row],[Range1_Low]]&gt;=Validation[[#This Row],[Range1_High]]</f>
        <v>0</v>
      </c>
      <c r="Y1576" s="111" t="s">
        <v>2845</v>
      </c>
    </row>
    <row r="1577" spans="1:25" ht="15.75" thickBot="1" x14ac:dyDescent="0.3">
      <c r="A1577" t="s">
        <v>54</v>
      </c>
      <c r="B1577" t="s">
        <v>8</v>
      </c>
      <c r="C1577">
        <v>3.3</v>
      </c>
      <c r="D1577">
        <v>33.000999999999998</v>
      </c>
      <c r="E1577">
        <v>1</v>
      </c>
      <c r="F1577" t="s">
        <v>6</v>
      </c>
      <c r="G1577" t="s">
        <v>4</v>
      </c>
      <c r="H1577">
        <v>0.01</v>
      </c>
      <c r="I1577">
        <v>4.5010000000000001E-2</v>
      </c>
      <c r="J1577" t="s">
        <v>10</v>
      </c>
      <c r="K1577">
        <v>579.97</v>
      </c>
      <c r="L1577">
        <v>1.1401E-2</v>
      </c>
      <c r="M1577">
        <v>579.97</v>
      </c>
      <c r="N1577">
        <v>1.1382E-2</v>
      </c>
      <c r="O1577" t="s">
        <v>2833</v>
      </c>
      <c r="P1577" t="s">
        <v>2833</v>
      </c>
      <c r="Q1577" t="s">
        <v>2833</v>
      </c>
      <c r="R1577">
        <f ca="1">RAND()*(Validation[[#This Row],[Range1_High]]-Validation[[#This Row],[Range1_Low]])+Validation[[#This Row],[Range1_Low]]</f>
        <v>25.66333344458484</v>
      </c>
      <c r="S1577">
        <f>Validation[[#This Row],[Range2_High]]</f>
        <v>4.5010000000000001E-2</v>
      </c>
      <c r="T1577" t="str" cm="1">
        <f t="array" aca="1" ref="T1577" ca="1">RoundToTwoSigFigs(Validation[[#This Row],[Test Reading]]*Validation[[#This Row],[Mult]]+Validation[[#This Row],[Base]]) &amp;" "&amp;Validation[[#This Row],[Uncert_Units]]</f>
        <v>580 mV</v>
      </c>
      <c r="U1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577" t="b">
        <f ca="1">Validation[[#This Row],[Desired Result]]=Validation[[#This Row],[Result]]</f>
        <v>1</v>
      </c>
      <c r="W1577" t="b">
        <v>0</v>
      </c>
      <c r="X1577" t="b">
        <f>Validation[[#This Row],[Range1_Low]]&gt;=Validation[[#This Row],[Range1_High]]</f>
        <v>0</v>
      </c>
      <c r="Y1577" s="111" t="s">
        <v>2845</v>
      </c>
    </row>
    <row r="1578" spans="1:25" ht="16.5" thickTop="1" thickBot="1" x14ac:dyDescent="0.3">
      <c r="A1578" t="s">
        <v>55</v>
      </c>
      <c r="B1578" t="s">
        <v>8</v>
      </c>
      <c r="C1578" s="113">
        <v>1</v>
      </c>
      <c r="D1578" s="113">
        <v>10</v>
      </c>
      <c r="E1578">
        <v>0.01</v>
      </c>
      <c r="F1578" t="s">
        <v>6</v>
      </c>
      <c r="G1578" t="s">
        <v>4</v>
      </c>
      <c r="H1578">
        <v>0.04</v>
      </c>
      <c r="I1578">
        <v>1</v>
      </c>
      <c r="J1578" t="s">
        <v>10</v>
      </c>
      <c r="K1578">
        <v>5.7723000000000004</v>
      </c>
      <c r="L1578">
        <v>1.0442999999999999E-2</v>
      </c>
      <c r="M1578">
        <v>5.7717000000000001</v>
      </c>
      <c r="N1578">
        <v>1.0227E-2</v>
      </c>
      <c r="O1578" t="s">
        <v>2833</v>
      </c>
      <c r="P1578" t="s">
        <v>2833</v>
      </c>
      <c r="Q1578" t="s">
        <v>2833</v>
      </c>
      <c r="R1578">
        <f ca="1">RAND()*(Validation[[#This Row],[Range1_High]]-Validation[[#This Row],[Range1_Low]])+Validation[[#This Row],[Range1_Low]]</f>
        <v>1.6265112409273565</v>
      </c>
      <c r="S1578">
        <f>Validation[[#This Row],[Range2_High]]</f>
        <v>1</v>
      </c>
      <c r="T1578" t="str" cm="1">
        <f t="array" aca="1" ref="T1578" ca="1">RoundToTwoSigFigs(Validation[[#This Row],[Test Reading]]*Validation[[#This Row],[Mult]]+Validation[[#This Row],[Base]]) &amp;" "&amp;Validation[[#This Row],[Uncert_Units]]</f>
        <v>5.8 mV</v>
      </c>
      <c r="U1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V1578" t="b">
        <f ca="1">Validation[[#This Row],[Desired Result]]=Validation[[#This Row],[Result]]</f>
        <v>1</v>
      </c>
      <c r="W1578" t="b">
        <v>1</v>
      </c>
      <c r="X1578" t="b">
        <f>Validation[[#This Row],[Range1_Low]]&gt;=Validation[[#This Row],[Range1_High]]</f>
        <v>0</v>
      </c>
      <c r="Y1578" s="111" t="s">
        <v>2843</v>
      </c>
    </row>
    <row r="1579" spans="1:25" ht="16.5" thickTop="1" thickBot="1" x14ac:dyDescent="0.3">
      <c r="A1579" t="s">
        <v>55</v>
      </c>
      <c r="B1579" t="s">
        <v>8</v>
      </c>
      <c r="C1579" s="113">
        <v>0.01</v>
      </c>
      <c r="D1579" s="113">
        <v>0.1</v>
      </c>
      <c r="E1579">
        <v>1.0000000000000001E-5</v>
      </c>
      <c r="F1579" t="s">
        <v>6</v>
      </c>
      <c r="G1579" t="s">
        <v>5</v>
      </c>
      <c r="H1579">
        <v>0.04</v>
      </c>
      <c r="I1579">
        <v>1</v>
      </c>
      <c r="J1579" t="s">
        <v>10</v>
      </c>
      <c r="K1579">
        <v>6.5380000000000003</v>
      </c>
      <c r="L1579">
        <v>63.487000000000002</v>
      </c>
      <c r="M1579">
        <v>6.5346000000000002</v>
      </c>
      <c r="N1579">
        <v>63.435000000000002</v>
      </c>
      <c r="O1579" t="s">
        <v>2833</v>
      </c>
      <c r="P1579" t="s">
        <v>2833</v>
      </c>
      <c r="Q1579" t="s">
        <v>2833</v>
      </c>
      <c r="R1579">
        <f ca="1">RAND()*(Validation[[#This Row],[Range1_High]]-Validation[[#This Row],[Range1_Low]])+Validation[[#This Row],[Range1_Low]]</f>
        <v>8.0710376543957033E-2</v>
      </c>
      <c r="S1579">
        <f>Validation[[#This Row],[Range2_High]]</f>
        <v>1</v>
      </c>
      <c r="T1579" t="str" cm="1">
        <f t="array" aca="1" ref="T1579" ca="1">RoundToTwoSigFigs(Validation[[#This Row],[Test Reading]]*Validation[[#This Row],[Mult]]+Validation[[#This Row],[Base]]) &amp;" "&amp;Validation[[#This Row],[Uncert_Units]]</f>
        <v>12 µV</v>
      </c>
      <c r="U1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V1579" t="b">
        <f ca="1">Validation[[#This Row],[Desired Result]]=Validation[[#This Row],[Result]]</f>
        <v>0</v>
      </c>
      <c r="W1579" t="b">
        <v>1</v>
      </c>
      <c r="X1579" t="b">
        <f>Validation[[#This Row],[Range1_Low]]&gt;=Validation[[#This Row],[Range1_High]]</f>
        <v>0</v>
      </c>
      <c r="Y1579" s="111" t="s">
        <v>2843</v>
      </c>
    </row>
    <row r="1580" spans="1:25" ht="16.5" thickTop="1" thickBot="1" x14ac:dyDescent="0.3">
      <c r="A1580" t="s">
        <v>54</v>
      </c>
      <c r="B1580" t="s">
        <v>8</v>
      </c>
      <c r="C1580" s="113">
        <v>3.3000000000000002E-2</v>
      </c>
      <c r="D1580" s="113">
        <v>0.33001000000000003</v>
      </c>
      <c r="E1580">
        <v>1.0000000000000001E-5</v>
      </c>
      <c r="F1580" t="s">
        <v>6</v>
      </c>
      <c r="G1580" t="s">
        <v>5</v>
      </c>
      <c r="H1580">
        <v>4.4999999999999998E-2</v>
      </c>
      <c r="I1580">
        <v>10.00001</v>
      </c>
      <c r="J1580" t="s">
        <v>10</v>
      </c>
      <c r="K1580">
        <v>24</v>
      </c>
      <c r="L1580">
        <v>346.2</v>
      </c>
      <c r="M1580">
        <v>23.771000000000001</v>
      </c>
      <c r="N1580">
        <v>346.32</v>
      </c>
      <c r="O1580" t="s">
        <v>2833</v>
      </c>
      <c r="P1580" t="s">
        <v>2833</v>
      </c>
      <c r="Q1580" t="s">
        <v>2833</v>
      </c>
      <c r="R1580">
        <f ca="1">RAND()*(Validation[[#This Row],[Range1_High]]-Validation[[#This Row],[Range1_Low]])+Validation[[#This Row],[Range1_Low]]</f>
        <v>0.11589369648337287</v>
      </c>
      <c r="S1580">
        <f>Validation[[#This Row],[Range2_High]]</f>
        <v>10.00001</v>
      </c>
      <c r="T1580" t="str" cm="1">
        <f t="array" aca="1" ref="T1580" ca="1">RoundToTwoSigFigs(Validation[[#This Row],[Test Reading]]*Validation[[#This Row],[Mult]]+Validation[[#This Row],[Base]]) &amp;" "&amp;Validation[[#This Row],[Uncert_Units]]</f>
        <v>64 µV</v>
      </c>
      <c r="U1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V1580" t="b">
        <f ca="1">Validation[[#This Row],[Desired Result]]=Validation[[#This Row],[Result]]</f>
        <v>1</v>
      </c>
      <c r="W1580" t="b">
        <v>1</v>
      </c>
      <c r="X1580" t="b">
        <f>Validation[[#This Row],[Range1_Low]]&gt;=Validation[[#This Row],[Range1_High]]</f>
        <v>0</v>
      </c>
      <c r="Y1580" s="111" t="s">
        <v>2843</v>
      </c>
    </row>
    <row r="1581" spans="1:25" ht="16.5" thickTop="1" thickBot="1" x14ac:dyDescent="0.3">
      <c r="A1581" t="s">
        <v>55</v>
      </c>
      <c r="B1581" t="s">
        <v>8</v>
      </c>
      <c r="C1581">
        <v>0</v>
      </c>
      <c r="D1581">
        <v>0.01</v>
      </c>
      <c r="E1581">
        <v>1E-3</v>
      </c>
      <c r="F1581" t="s">
        <v>6</v>
      </c>
      <c r="G1581" t="s">
        <v>5</v>
      </c>
      <c r="H1581">
        <v>1E-3</v>
      </c>
      <c r="I1581">
        <v>0.04</v>
      </c>
      <c r="J1581" t="s">
        <v>10</v>
      </c>
      <c r="K1581">
        <v>577.37</v>
      </c>
      <c r="L1581">
        <v>3.4481000000000002</v>
      </c>
      <c r="M1581">
        <v>577.37</v>
      </c>
      <c r="N1581">
        <v>3.2223999999999999</v>
      </c>
      <c r="O1581" t="s">
        <v>2833</v>
      </c>
      <c r="P1581" t="s">
        <v>2833</v>
      </c>
      <c r="Q1581" t="s">
        <v>2833</v>
      </c>
      <c r="R1581">
        <f ca="1">RAND()*(Validation[[#This Row],[Range1_High]]-Validation[[#This Row],[Range1_Low]])+Validation[[#This Row],[Range1_Low]]</f>
        <v>4.8762589521208376E-4</v>
      </c>
      <c r="S1581">
        <f>Validation[[#This Row],[Range2_High]]</f>
        <v>0.04</v>
      </c>
      <c r="T1581" t="str" cm="1">
        <f t="array" aca="1" ref="T1581" ca="1">RoundToTwoSigFigs(Validation[[#This Row],[Test Reading]]*Validation[[#This Row],[Mult]]+Validation[[#This Row],[Base]]) &amp;" "&amp;Validation[[#This Row],[Uncert_Units]]</f>
        <v>580 µV</v>
      </c>
      <c r="U1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581" t="b">
        <f ca="1">Validation[[#This Row],[Desired Result]]=Validation[[#This Row],[Result]]</f>
        <v>1</v>
      </c>
      <c r="W1581" t="b">
        <v>0</v>
      </c>
      <c r="X1581" t="b">
        <f>Validation[[#This Row],[Range1_Low]]&gt;=Validation[[#This Row],[Range1_High]]</f>
        <v>0</v>
      </c>
      <c r="Y1581" s="111" t="s">
        <v>2845</v>
      </c>
    </row>
    <row r="1582" spans="1:25" ht="16.5" thickTop="1" thickBot="1" x14ac:dyDescent="0.3">
      <c r="A1582" t="s">
        <v>55</v>
      </c>
      <c r="B1582" t="s">
        <v>8</v>
      </c>
      <c r="C1582" s="113">
        <v>1</v>
      </c>
      <c r="D1582" s="113">
        <v>10</v>
      </c>
      <c r="E1582">
        <v>9.9999999999999995E-7</v>
      </c>
      <c r="F1582" t="s">
        <v>6</v>
      </c>
      <c r="G1582" t="s">
        <v>4</v>
      </c>
      <c r="H1582">
        <v>1</v>
      </c>
      <c r="I1582">
        <v>20</v>
      </c>
      <c r="J1582" t="s">
        <v>10</v>
      </c>
      <c r="K1582">
        <v>0.28000000000000003</v>
      </c>
      <c r="L1582">
        <v>0.16</v>
      </c>
      <c r="M1582">
        <v>0.22835</v>
      </c>
      <c r="N1582">
        <v>0.16434000000000001</v>
      </c>
      <c r="O1582" t="s">
        <v>2833</v>
      </c>
      <c r="P1582" t="s">
        <v>2833</v>
      </c>
      <c r="Q1582" t="s">
        <v>2833</v>
      </c>
      <c r="R1582">
        <f ca="1">RAND()*(Validation[[#This Row],[Range1_High]]-Validation[[#This Row],[Range1_Low]])+Validation[[#This Row],[Range1_Low]]</f>
        <v>4.1169822836691754</v>
      </c>
      <c r="S1582">
        <f>Validation[[#This Row],[Range2_High]]</f>
        <v>20</v>
      </c>
      <c r="T1582" t="str" cm="1">
        <f t="array" aca="1" ref="T1582" ca="1">RoundToTwoSigFigs(Validation[[#This Row],[Test Reading]]*Validation[[#This Row],[Mult]]+Validation[[#This Row],[Base]]) &amp;" "&amp;Validation[[#This Row],[Uncert_Units]]</f>
        <v>0.94 mV</v>
      </c>
      <c r="U1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mV</v>
      </c>
      <c r="V1582" t="b">
        <f ca="1">Validation[[#This Row],[Desired Result]]=Validation[[#This Row],[Result]]</f>
        <v>1</v>
      </c>
      <c r="W1582" t="b">
        <v>1</v>
      </c>
      <c r="X1582" t="b">
        <f>Validation[[#This Row],[Range1_Low]]&gt;=Validation[[#This Row],[Range1_High]]</f>
        <v>0</v>
      </c>
      <c r="Y1582" s="111" t="s">
        <v>2843</v>
      </c>
    </row>
    <row r="1583" spans="1:25" ht="15.75" thickTop="1" x14ac:dyDescent="0.25">
      <c r="A1583" t="s">
        <v>55</v>
      </c>
      <c r="B1583" t="s">
        <v>8</v>
      </c>
      <c r="C1583">
        <v>0</v>
      </c>
      <c r="D1583">
        <v>0.01</v>
      </c>
      <c r="E1583">
        <v>9.9999999999999995E-7</v>
      </c>
      <c r="F1583" t="s">
        <v>6</v>
      </c>
      <c r="G1583" t="s">
        <v>5</v>
      </c>
      <c r="H1583">
        <v>50</v>
      </c>
      <c r="I1583">
        <v>100</v>
      </c>
      <c r="J1583" t="s">
        <v>10</v>
      </c>
      <c r="K1583">
        <v>8.8000000000000007</v>
      </c>
      <c r="L1583">
        <v>5145.7</v>
      </c>
      <c r="M1583">
        <v>8.3291000000000004</v>
      </c>
      <c r="N1583">
        <v>5145.8999999999996</v>
      </c>
      <c r="O1583" t="s">
        <v>2833</v>
      </c>
      <c r="P1583" t="s">
        <v>2833</v>
      </c>
      <c r="Q1583" t="s">
        <v>2833</v>
      </c>
      <c r="R1583">
        <f ca="1">RAND()*(Validation[[#This Row],[Range1_High]]-Validation[[#This Row],[Range1_Low]])+Validation[[#This Row],[Range1_Low]]</f>
        <v>6.1485993865400173E-3</v>
      </c>
      <c r="S1583">
        <f>Validation[[#This Row],[Range2_High]]</f>
        <v>100</v>
      </c>
      <c r="T1583" t="str" cm="1">
        <f t="array" aca="1" ref="T1583" ca="1">RoundToTwoSigFigs(Validation[[#This Row],[Test Reading]]*Validation[[#This Row],[Mult]]+Validation[[#This Row],[Base]]) &amp;" "&amp;Validation[[#This Row],[Uncert_Units]]</f>
        <v>40 µV</v>
      </c>
      <c r="U1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V1583" t="b">
        <f ca="1">Validation[[#This Row],[Desired Result]]=Validation[[#This Row],[Result]]</f>
        <v>0</v>
      </c>
      <c r="W1583" t="b">
        <v>1</v>
      </c>
      <c r="X1583" t="b">
        <f>Validation[[#This Row],[Range1_Low]]&gt;=Validation[[#This Row],[Range1_High]]</f>
        <v>0</v>
      </c>
      <c r="Y1583" s="111" t="s">
        <v>2845</v>
      </c>
    </row>
    <row r="1584" spans="1:25" ht="15.75" thickBot="1" x14ac:dyDescent="0.3">
      <c r="A1584" t="s">
        <v>54</v>
      </c>
      <c r="B1584" t="s">
        <v>8</v>
      </c>
      <c r="C1584">
        <v>3.3000000000000002E-2</v>
      </c>
      <c r="D1584">
        <v>0.33001000000000003</v>
      </c>
      <c r="E1584">
        <v>0.01</v>
      </c>
      <c r="F1584" t="s">
        <v>6</v>
      </c>
      <c r="G1584" t="s">
        <v>5</v>
      </c>
      <c r="H1584">
        <v>10</v>
      </c>
      <c r="I1584">
        <v>20.010000000000002</v>
      </c>
      <c r="J1584" t="s">
        <v>10</v>
      </c>
      <c r="K1584">
        <v>5799.5</v>
      </c>
      <c r="L1584">
        <v>23.686</v>
      </c>
      <c r="M1584">
        <v>5799.4</v>
      </c>
      <c r="N1584">
        <v>23.686</v>
      </c>
      <c r="O1584" t="s">
        <v>2833</v>
      </c>
      <c r="P1584" t="s">
        <v>2833</v>
      </c>
      <c r="Q1584" t="s">
        <v>2833</v>
      </c>
      <c r="R1584">
        <f ca="1">RAND()*(Validation[[#This Row],[Range1_High]]-Validation[[#This Row],[Range1_Low]])+Validation[[#This Row],[Range1_Low]]</f>
        <v>0.30060316540547016</v>
      </c>
      <c r="S1584">
        <f>Validation[[#This Row],[Range2_High]]</f>
        <v>20.010000000000002</v>
      </c>
      <c r="T1584" t="str" cm="1">
        <f t="array" aca="1" ref="T1584" ca="1">RoundToTwoSigFigs(Validation[[#This Row],[Test Reading]]*Validation[[#This Row],[Mult]]+Validation[[#This Row],[Base]]) &amp;" "&amp;Validation[[#This Row],[Uncert_Units]]</f>
        <v>5800 µV</v>
      </c>
      <c r="U1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584" t="b">
        <f ca="1">Validation[[#This Row],[Desired Result]]=Validation[[#This Row],[Result]]</f>
        <v>1</v>
      </c>
      <c r="W1584" t="b">
        <v>0</v>
      </c>
      <c r="X1584" t="b">
        <f>Validation[[#This Row],[Range1_Low]]&gt;=Validation[[#This Row],[Range1_High]]</f>
        <v>0</v>
      </c>
      <c r="Y1584" s="111" t="s">
        <v>2845</v>
      </c>
    </row>
    <row r="1585" spans="1:25" ht="16.5" thickTop="1" thickBot="1" x14ac:dyDescent="0.3">
      <c r="A1585" t="s">
        <v>54</v>
      </c>
      <c r="B1585" t="s">
        <v>8</v>
      </c>
      <c r="C1585" s="113">
        <v>0.33</v>
      </c>
      <c r="D1585" s="113">
        <v>3.3001</v>
      </c>
      <c r="E1585">
        <v>1E-4</v>
      </c>
      <c r="F1585" t="s">
        <v>6</v>
      </c>
      <c r="G1585" t="s">
        <v>4</v>
      </c>
      <c r="H1585">
        <v>4.4999999999999998E-2</v>
      </c>
      <c r="I1585">
        <v>10.00001</v>
      </c>
      <c r="J1585" t="s">
        <v>10</v>
      </c>
      <c r="K1585">
        <v>7.9443E-2</v>
      </c>
      <c r="L1585">
        <v>0.34499000000000002</v>
      </c>
      <c r="M1585">
        <v>7.9135999999999998E-2</v>
      </c>
      <c r="N1585">
        <v>0.34505000000000002</v>
      </c>
      <c r="O1585" t="s">
        <v>2833</v>
      </c>
      <c r="P1585" t="s">
        <v>2833</v>
      </c>
      <c r="Q1585" t="s">
        <v>2833</v>
      </c>
      <c r="R1585">
        <f ca="1">RAND()*(Validation[[#This Row],[Range1_High]]-Validation[[#This Row],[Range1_Low]])+Validation[[#This Row],[Range1_Low]]</f>
        <v>0.74251489780635982</v>
      </c>
      <c r="S1585">
        <f>Validation[[#This Row],[Range2_High]]</f>
        <v>10.00001</v>
      </c>
      <c r="T1585" t="str" cm="1">
        <f t="array" aca="1" ref="T1585" ca="1">RoundToTwoSigFigs(Validation[[#This Row],[Test Reading]]*Validation[[#This Row],[Mult]]+Validation[[#This Row],[Base]]) &amp;" "&amp;Validation[[#This Row],[Uncert_Units]]</f>
        <v>0.34 mV</v>
      </c>
      <c r="U1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mV</v>
      </c>
      <c r="V1585" t="b">
        <f ca="1">Validation[[#This Row],[Desired Result]]=Validation[[#This Row],[Result]]</f>
        <v>1</v>
      </c>
      <c r="W1585" t="b">
        <v>1</v>
      </c>
      <c r="X1585" t="b">
        <f>Validation[[#This Row],[Range1_Low]]&gt;=Validation[[#This Row],[Range1_High]]</f>
        <v>0</v>
      </c>
      <c r="Y1585" s="111" t="s">
        <v>2843</v>
      </c>
    </row>
    <row r="1586" spans="1:25" ht="16.5" thickTop="1" thickBot="1" x14ac:dyDescent="0.3">
      <c r="A1586" t="s">
        <v>68</v>
      </c>
      <c r="B1586" t="s">
        <v>8</v>
      </c>
      <c r="C1586">
        <v>0.1</v>
      </c>
      <c r="D1586">
        <v>1</v>
      </c>
      <c r="E1586">
        <v>0.1</v>
      </c>
      <c r="F1586" t="s">
        <v>6</v>
      </c>
      <c r="G1586" t="s">
        <v>5</v>
      </c>
      <c r="H1586">
        <v>0.01</v>
      </c>
      <c r="I1586">
        <v>2</v>
      </c>
      <c r="J1586" t="s">
        <v>10</v>
      </c>
      <c r="K1586">
        <v>57736</v>
      </c>
      <c r="L1586">
        <v>14.108000000000001</v>
      </c>
      <c r="M1586">
        <v>57736</v>
      </c>
      <c r="N1586">
        <v>14</v>
      </c>
      <c r="O1586" t="s">
        <v>2833</v>
      </c>
      <c r="P1586" t="s">
        <v>2833</v>
      </c>
      <c r="Q1586" t="s">
        <v>2833</v>
      </c>
      <c r="R1586">
        <f ca="1">RAND()*(Validation[[#This Row],[Range1_High]]-Validation[[#This Row],[Range1_Low]])+Validation[[#This Row],[Range1_Low]]</f>
        <v>0.4018005008082316</v>
      </c>
      <c r="S1586">
        <f>Validation[[#This Row],[Range2_High]]</f>
        <v>2</v>
      </c>
      <c r="T1586" t="str" cm="1">
        <f t="array" aca="1" ref="T1586" ca="1">RoundToTwoSigFigs(Validation[[#This Row],[Test Reading]]*Validation[[#This Row],[Mult]]+Validation[[#This Row],[Base]]) &amp;" "&amp;Validation[[#This Row],[Uncert_Units]]</f>
        <v>58000 µV</v>
      </c>
      <c r="U1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586" t="b">
        <f ca="1">Validation[[#This Row],[Desired Result]]=Validation[[#This Row],[Result]]</f>
        <v>1</v>
      </c>
      <c r="W1586" t="b">
        <v>0</v>
      </c>
      <c r="X1586" t="b">
        <f>Validation[[#This Row],[Range1_Low]]&gt;=Validation[[#This Row],[Range1_High]]</f>
        <v>0</v>
      </c>
      <c r="Y1586" s="111" t="s">
        <v>2845</v>
      </c>
    </row>
    <row r="1587" spans="1:25" ht="16.5" thickTop="1" thickBot="1" x14ac:dyDescent="0.3">
      <c r="A1587" t="s">
        <v>55</v>
      </c>
      <c r="B1587" t="s">
        <v>8</v>
      </c>
      <c r="C1587" s="113">
        <v>0.01</v>
      </c>
      <c r="D1587" s="113">
        <v>0.1</v>
      </c>
      <c r="E1587">
        <v>9.9999999999999995E-8</v>
      </c>
      <c r="F1587" t="s">
        <v>6</v>
      </c>
      <c r="G1587" t="s">
        <v>5</v>
      </c>
      <c r="H1587">
        <v>100</v>
      </c>
      <c r="I1587">
        <v>300</v>
      </c>
      <c r="J1587" t="s">
        <v>10</v>
      </c>
      <c r="K1587">
        <v>12</v>
      </c>
      <c r="L1587">
        <v>3500</v>
      </c>
      <c r="M1587">
        <v>11.521000000000001</v>
      </c>
      <c r="N1587">
        <v>3476.1</v>
      </c>
      <c r="O1587" t="s">
        <v>2833</v>
      </c>
      <c r="P1587" t="s">
        <v>2833</v>
      </c>
      <c r="Q1587" t="s">
        <v>2833</v>
      </c>
      <c r="R1587">
        <f ca="1">RAND()*(Validation[[#This Row],[Range1_High]]-Validation[[#This Row],[Range1_Low]])+Validation[[#This Row],[Range1_Low]]</f>
        <v>7.3765451335159701E-2</v>
      </c>
      <c r="S1587">
        <f>Validation[[#This Row],[Range2_High]]</f>
        <v>300</v>
      </c>
      <c r="T1587" t="str" cm="1">
        <f t="array" aca="1" ref="T1587" ca="1">RoundToTwoSigFigs(Validation[[#This Row],[Test Reading]]*Validation[[#This Row],[Mult]]+Validation[[#This Row],[Base]]) &amp;" "&amp;Validation[[#This Row],[Uncert_Units]]</f>
        <v>270 µV</v>
      </c>
      <c r="U1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µV</v>
      </c>
      <c r="V1587" t="b">
        <f ca="1">Validation[[#This Row],[Desired Result]]=Validation[[#This Row],[Result]]</f>
        <v>0</v>
      </c>
      <c r="W1587" t="b">
        <v>1</v>
      </c>
      <c r="X1587" t="b">
        <f>Validation[[#This Row],[Range1_Low]]&gt;=Validation[[#This Row],[Range1_High]]</f>
        <v>0</v>
      </c>
      <c r="Y1587" s="111" t="s">
        <v>2843</v>
      </c>
    </row>
    <row r="1588" spans="1:25" ht="16.5" thickTop="1" thickBot="1" x14ac:dyDescent="0.3">
      <c r="A1588" t="s">
        <v>55</v>
      </c>
      <c r="B1588" t="s">
        <v>8</v>
      </c>
      <c r="C1588">
        <v>0</v>
      </c>
      <c r="D1588">
        <v>0.01</v>
      </c>
      <c r="E1588">
        <v>1.0000000000000001E-5</v>
      </c>
      <c r="F1588" t="s">
        <v>6</v>
      </c>
      <c r="G1588" t="s">
        <v>5</v>
      </c>
      <c r="H1588">
        <v>1000</v>
      </c>
      <c r="I1588">
        <v>4000</v>
      </c>
      <c r="J1588" t="s">
        <v>10</v>
      </c>
      <c r="K1588">
        <v>23.292999999999999</v>
      </c>
      <c r="L1588">
        <v>79521</v>
      </c>
      <c r="M1588">
        <v>23.228000000000002</v>
      </c>
      <c r="N1588">
        <v>79358</v>
      </c>
      <c r="O1588" t="s">
        <v>2833</v>
      </c>
      <c r="P1588" t="s">
        <v>2833</v>
      </c>
      <c r="Q1588" t="s">
        <v>2833</v>
      </c>
      <c r="R1588">
        <f ca="1">RAND()*(Validation[[#This Row],[Range1_High]]-Validation[[#This Row],[Range1_Low]])+Validation[[#This Row],[Range1_Low]]</f>
        <v>2.6603247621337788E-3</v>
      </c>
      <c r="S1588">
        <f>Validation[[#This Row],[Range2_High]]</f>
        <v>4000</v>
      </c>
      <c r="T1588" t="str" cm="1">
        <f t="array" aca="1" ref="T1588" ca="1">RoundToTwoSigFigs(Validation[[#This Row],[Test Reading]]*Validation[[#This Row],[Mult]]+Validation[[#This Row],[Base]]) &amp;" "&amp;Validation[[#This Row],[Uncert_Units]]</f>
        <v>230 µV</v>
      </c>
      <c r="U1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V1588" t="b">
        <f ca="1">Validation[[#This Row],[Desired Result]]=Validation[[#This Row],[Result]]</f>
        <v>0</v>
      </c>
      <c r="W1588" t="b">
        <v>1</v>
      </c>
      <c r="X1588" t="b">
        <f>Validation[[#This Row],[Range1_Low]]&gt;=Validation[[#This Row],[Range1_High]]</f>
        <v>0</v>
      </c>
      <c r="Y1588" s="111" t="s">
        <v>2845</v>
      </c>
    </row>
    <row r="1589" spans="1:25" ht="16.5" thickTop="1" thickBot="1" x14ac:dyDescent="0.3">
      <c r="A1589" t="s">
        <v>68</v>
      </c>
      <c r="B1589" t="s">
        <v>8</v>
      </c>
      <c r="C1589" s="113">
        <v>1</v>
      </c>
      <c r="D1589" s="113">
        <v>10</v>
      </c>
      <c r="E1589">
        <v>0.1</v>
      </c>
      <c r="F1589" t="s">
        <v>6</v>
      </c>
      <c r="G1589" t="s">
        <v>4</v>
      </c>
      <c r="H1589">
        <v>0.01</v>
      </c>
      <c r="I1589">
        <v>2</v>
      </c>
      <c r="J1589" t="s">
        <v>10</v>
      </c>
      <c r="K1589">
        <v>57.765999999999998</v>
      </c>
      <c r="L1589">
        <v>0.1391</v>
      </c>
      <c r="M1589">
        <v>57.765000000000001</v>
      </c>
      <c r="N1589">
        <v>0.13813</v>
      </c>
      <c r="O1589" t="s">
        <v>2833</v>
      </c>
      <c r="P1589" t="s">
        <v>2833</v>
      </c>
      <c r="Q1589" t="s">
        <v>2833</v>
      </c>
      <c r="R1589">
        <f ca="1">RAND()*(Validation[[#This Row],[Range1_High]]-Validation[[#This Row],[Range1_Low]])+Validation[[#This Row],[Range1_Low]]</f>
        <v>6.9204755686519688</v>
      </c>
      <c r="S1589">
        <f>Validation[[#This Row],[Range2_High]]</f>
        <v>2</v>
      </c>
      <c r="T1589" t="str" cm="1">
        <f t="array" aca="1" ref="T1589" ca="1">RoundToTwoSigFigs(Validation[[#This Row],[Test Reading]]*Validation[[#This Row],[Mult]]+Validation[[#This Row],[Base]]) &amp;" "&amp;Validation[[#This Row],[Uncert_Units]]</f>
        <v>59 mV</v>
      </c>
      <c r="U1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V1589" t="b">
        <f ca="1">Validation[[#This Row],[Desired Result]]=Validation[[#This Row],[Result]]</f>
        <v>0</v>
      </c>
      <c r="W1589" t="b">
        <v>1</v>
      </c>
      <c r="X1589" t="b">
        <f>Validation[[#This Row],[Range1_Low]]&gt;=Validation[[#This Row],[Range1_High]]</f>
        <v>0</v>
      </c>
      <c r="Y1589" s="111" t="s">
        <v>2843</v>
      </c>
    </row>
    <row r="1590" spans="1:25" ht="16.5" thickTop="1" thickBot="1" x14ac:dyDescent="0.3">
      <c r="A1590" t="s">
        <v>55</v>
      </c>
      <c r="B1590" t="s">
        <v>8</v>
      </c>
      <c r="C1590" s="113">
        <v>20</v>
      </c>
      <c r="D1590" s="113">
        <v>100</v>
      </c>
      <c r="E1590">
        <v>1.0000000000000001E-5</v>
      </c>
      <c r="F1590" t="s">
        <v>6</v>
      </c>
      <c r="G1590" t="s">
        <v>4</v>
      </c>
      <c r="H1590">
        <v>20</v>
      </c>
      <c r="I1590">
        <v>50</v>
      </c>
      <c r="J1590" t="s">
        <v>10</v>
      </c>
      <c r="K1590">
        <v>6.8</v>
      </c>
      <c r="L1590">
        <v>0.37</v>
      </c>
      <c r="M1590">
        <v>6.7323000000000004</v>
      </c>
      <c r="N1590">
        <v>0.36645</v>
      </c>
      <c r="O1590" t="s">
        <v>2833</v>
      </c>
      <c r="P1590" t="s">
        <v>2833</v>
      </c>
      <c r="Q1590" t="s">
        <v>2833</v>
      </c>
      <c r="R1590">
        <f ca="1">RAND()*(Validation[[#This Row],[Range1_High]]-Validation[[#This Row],[Range1_Low]])+Validation[[#This Row],[Range1_Low]]</f>
        <v>23.094855767501805</v>
      </c>
      <c r="S1590">
        <f>Validation[[#This Row],[Range2_High]]</f>
        <v>50</v>
      </c>
      <c r="T1590" t="str" cm="1">
        <f t="array" aca="1" ref="T1590" ca="1">RoundToTwoSigFigs(Validation[[#This Row],[Test Reading]]*Validation[[#This Row],[Mult]]+Validation[[#This Row],[Base]]) &amp;" "&amp;Validation[[#This Row],[Uncert_Units]]</f>
        <v>15 mV</v>
      </c>
      <c r="U1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V1590" t="b">
        <f ca="1">Validation[[#This Row],[Desired Result]]=Validation[[#This Row],[Result]]</f>
        <v>1</v>
      </c>
      <c r="W1590" t="b">
        <v>1</v>
      </c>
      <c r="X1590" t="b">
        <f>Validation[[#This Row],[Range1_Low]]&gt;=Validation[[#This Row],[Range1_High]]</f>
        <v>0</v>
      </c>
      <c r="Y1590" s="111" t="s">
        <v>2843</v>
      </c>
    </row>
    <row r="1591" spans="1:25" ht="16.5" thickTop="1" thickBot="1" x14ac:dyDescent="0.3">
      <c r="A1591" t="s">
        <v>55</v>
      </c>
      <c r="B1591" t="s">
        <v>8</v>
      </c>
      <c r="C1591" s="113">
        <v>0.01</v>
      </c>
      <c r="D1591" s="113">
        <v>0.1</v>
      </c>
      <c r="E1591">
        <v>1E-8</v>
      </c>
      <c r="F1591" t="s">
        <v>6</v>
      </c>
      <c r="G1591" t="s">
        <v>5</v>
      </c>
      <c r="H1591">
        <v>1</v>
      </c>
      <c r="I1591">
        <v>20</v>
      </c>
      <c r="J1591" t="s">
        <v>10</v>
      </c>
      <c r="K1591">
        <v>3.4</v>
      </c>
      <c r="L1591">
        <v>160</v>
      </c>
      <c r="M1591">
        <v>3.3551000000000002</v>
      </c>
      <c r="N1591">
        <v>157.72</v>
      </c>
      <c r="O1591" t="s">
        <v>2833</v>
      </c>
      <c r="P1591" t="s">
        <v>2833</v>
      </c>
      <c r="Q1591" t="s">
        <v>2833</v>
      </c>
      <c r="R1591">
        <f ca="1">RAND()*(Validation[[#This Row],[Range1_High]]-Validation[[#This Row],[Range1_Low]])+Validation[[#This Row],[Range1_Low]]</f>
        <v>5.8001773432899882E-2</v>
      </c>
      <c r="S1591">
        <f>Validation[[#This Row],[Range2_High]]</f>
        <v>20</v>
      </c>
      <c r="T1591" t="str" cm="1">
        <f t="array" aca="1" ref="T1591" ca="1">RoundToTwoSigFigs(Validation[[#This Row],[Test Reading]]*Validation[[#This Row],[Mult]]+Validation[[#This Row],[Base]]) &amp;" "&amp;Validation[[#This Row],[Uncert_Units]]</f>
        <v>13 µV</v>
      </c>
      <c r="U1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V1591" t="b">
        <f ca="1">Validation[[#This Row],[Desired Result]]=Validation[[#This Row],[Result]]</f>
        <v>1</v>
      </c>
      <c r="W1591" t="b">
        <v>1</v>
      </c>
      <c r="X1591" t="b">
        <f>Validation[[#This Row],[Range1_Low]]&gt;=Validation[[#This Row],[Range1_High]]</f>
        <v>0</v>
      </c>
      <c r="Y1591" s="111" t="s">
        <v>2843</v>
      </c>
    </row>
    <row r="1592" spans="1:25" ht="16.5" thickTop="1" thickBot="1" x14ac:dyDescent="0.3">
      <c r="A1592" t="s">
        <v>55</v>
      </c>
      <c r="B1592" t="s">
        <v>8</v>
      </c>
      <c r="C1592" s="113">
        <v>1</v>
      </c>
      <c r="D1592" s="113">
        <v>10</v>
      </c>
      <c r="E1592">
        <v>1.0000000000000001E-5</v>
      </c>
      <c r="F1592" t="s">
        <v>6</v>
      </c>
      <c r="G1592" t="s">
        <v>4</v>
      </c>
      <c r="H1592">
        <v>8000</v>
      </c>
      <c r="I1592">
        <v>10000</v>
      </c>
      <c r="J1592" t="s">
        <v>10</v>
      </c>
      <c r="K1592">
        <v>46</v>
      </c>
      <c r="L1592">
        <v>170.12</v>
      </c>
      <c r="M1592">
        <v>11.529</v>
      </c>
      <c r="N1592">
        <v>173.36</v>
      </c>
      <c r="O1592" t="s">
        <v>2833</v>
      </c>
      <c r="P1592" t="s">
        <v>2833</v>
      </c>
      <c r="Q1592" t="s">
        <v>2833</v>
      </c>
      <c r="R1592">
        <f ca="1">RAND()*(Validation[[#This Row],[Range1_High]]-Validation[[#This Row],[Range1_Low]])+Validation[[#This Row],[Range1_Low]]</f>
        <v>4.2645705389932633</v>
      </c>
      <c r="S1592">
        <f>Validation[[#This Row],[Range2_High]]</f>
        <v>10000</v>
      </c>
      <c r="T1592" t="str" cm="1">
        <f t="array" aca="1" ref="T1592" ca="1">RoundToTwoSigFigs(Validation[[#This Row],[Test Reading]]*Validation[[#This Row],[Mult]]+Validation[[#This Row],[Base]]) &amp;" "&amp;Validation[[#This Row],[Uncert_Units]]</f>
        <v>770 mV</v>
      </c>
      <c r="U1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mV</v>
      </c>
      <c r="V1592" t="b">
        <f ca="1">Validation[[#This Row],[Desired Result]]=Validation[[#This Row],[Result]]</f>
        <v>1</v>
      </c>
      <c r="W1592" t="b">
        <v>1</v>
      </c>
      <c r="X1592" t="b">
        <f>Validation[[#This Row],[Range1_Low]]&gt;=Validation[[#This Row],[Range1_High]]</f>
        <v>0</v>
      </c>
      <c r="Y1592" s="111" t="s">
        <v>2843</v>
      </c>
    </row>
    <row r="1593" spans="1:25" ht="16.5" thickTop="1" thickBot="1" x14ac:dyDescent="0.3">
      <c r="A1593" t="s">
        <v>55</v>
      </c>
      <c r="B1593" t="s">
        <v>8</v>
      </c>
      <c r="C1593">
        <v>0</v>
      </c>
      <c r="D1593">
        <v>0.01</v>
      </c>
      <c r="E1593">
        <v>1E-8</v>
      </c>
      <c r="F1593" t="s">
        <v>6</v>
      </c>
      <c r="G1593" t="s">
        <v>5</v>
      </c>
      <c r="H1593">
        <v>100</v>
      </c>
      <c r="I1593">
        <v>300</v>
      </c>
      <c r="J1593" t="s">
        <v>10</v>
      </c>
      <c r="K1593">
        <v>4.2</v>
      </c>
      <c r="L1593">
        <v>46000</v>
      </c>
      <c r="M1593">
        <v>2.8932000000000002</v>
      </c>
      <c r="N1593">
        <v>46131</v>
      </c>
      <c r="O1593" t="s">
        <v>2833</v>
      </c>
      <c r="P1593" t="s">
        <v>2833</v>
      </c>
      <c r="Q1593" t="s">
        <v>2833</v>
      </c>
      <c r="R1593">
        <f ca="1">RAND()*(Validation[[#This Row],[Range1_High]]-Validation[[#This Row],[Range1_Low]])+Validation[[#This Row],[Range1_Low]]</f>
        <v>6.9578701765586675E-3</v>
      </c>
      <c r="S1593">
        <f>Validation[[#This Row],[Range2_High]]</f>
        <v>300</v>
      </c>
      <c r="T1593" t="str" cm="1">
        <f t="array" aca="1" ref="T1593" ca="1">RoundToTwoSigFigs(Validation[[#This Row],[Test Reading]]*Validation[[#This Row],[Mult]]+Validation[[#This Row],[Base]]) &amp;" "&amp;Validation[[#This Row],[Uncert_Units]]</f>
        <v>320 µV</v>
      </c>
      <c r="U1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V1593" t="b">
        <f ca="1">Validation[[#This Row],[Desired Result]]=Validation[[#This Row],[Result]]</f>
        <v>0</v>
      </c>
      <c r="W1593" t="b">
        <v>1</v>
      </c>
      <c r="X1593" t="b">
        <f>Validation[[#This Row],[Range1_Low]]&gt;=Validation[[#This Row],[Range1_High]]</f>
        <v>0</v>
      </c>
      <c r="Y1593" s="111" t="s">
        <v>2845</v>
      </c>
    </row>
    <row r="1594" spans="1:25" ht="16.5" thickTop="1" thickBot="1" x14ac:dyDescent="0.3">
      <c r="A1594" t="s">
        <v>55</v>
      </c>
      <c r="B1594" t="s">
        <v>8</v>
      </c>
      <c r="C1594" s="113">
        <v>1</v>
      </c>
      <c r="D1594" s="113">
        <v>10</v>
      </c>
      <c r="E1594">
        <v>9.9999999999999995E-7</v>
      </c>
      <c r="F1594" t="s">
        <v>6</v>
      </c>
      <c r="G1594" t="s">
        <v>4</v>
      </c>
      <c r="H1594">
        <v>300</v>
      </c>
      <c r="I1594">
        <v>1000</v>
      </c>
      <c r="J1594" t="s">
        <v>10</v>
      </c>
      <c r="K1594">
        <v>0.83</v>
      </c>
      <c r="L1594">
        <v>12</v>
      </c>
      <c r="M1594">
        <v>1.127</v>
      </c>
      <c r="N1594">
        <v>11.688000000000001</v>
      </c>
      <c r="O1594" t="s">
        <v>2833</v>
      </c>
      <c r="P1594" t="s">
        <v>2833</v>
      </c>
      <c r="Q1594" t="s">
        <v>2833</v>
      </c>
      <c r="R1594">
        <f ca="1">RAND()*(Validation[[#This Row],[Range1_High]]-Validation[[#This Row],[Range1_Low]])+Validation[[#This Row],[Range1_Low]]</f>
        <v>1.1492638514663676</v>
      </c>
      <c r="S1594">
        <f>Validation[[#This Row],[Range2_High]]</f>
        <v>1000</v>
      </c>
      <c r="T1594" t="str" cm="1">
        <f t="array" aca="1" ref="T1594" ca="1">RoundToTwoSigFigs(Validation[[#This Row],[Test Reading]]*Validation[[#This Row],[Mult]]+Validation[[#This Row],[Base]]) &amp;" "&amp;Validation[[#This Row],[Uncert_Units]]</f>
        <v>15 mV</v>
      </c>
      <c r="U1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V1594" t="b">
        <f ca="1">Validation[[#This Row],[Desired Result]]=Validation[[#This Row],[Result]]</f>
        <v>0</v>
      </c>
      <c r="W1594" t="b">
        <v>1</v>
      </c>
      <c r="X1594" t="b">
        <f>Validation[[#This Row],[Range1_Low]]&gt;=Validation[[#This Row],[Range1_High]]</f>
        <v>0</v>
      </c>
      <c r="Y1594" s="111" t="s">
        <v>2843</v>
      </c>
    </row>
    <row r="1595" spans="1:25" ht="16.5" thickTop="1" thickBot="1" x14ac:dyDescent="0.3">
      <c r="A1595" t="s">
        <v>55</v>
      </c>
      <c r="B1595" t="s">
        <v>8</v>
      </c>
      <c r="C1595">
        <v>1</v>
      </c>
      <c r="D1595">
        <v>10</v>
      </c>
      <c r="E1595">
        <v>0.1</v>
      </c>
      <c r="F1595" t="s">
        <v>6</v>
      </c>
      <c r="G1595" t="s">
        <v>4</v>
      </c>
      <c r="H1595">
        <v>1</v>
      </c>
      <c r="I1595">
        <v>20</v>
      </c>
      <c r="J1595" t="s">
        <v>10</v>
      </c>
      <c r="K1595">
        <v>57.734999999999999</v>
      </c>
      <c r="L1595">
        <v>3.4134999999999999E-3</v>
      </c>
      <c r="M1595">
        <v>57.704999999999998</v>
      </c>
      <c r="N1595">
        <v>3.222E-3</v>
      </c>
      <c r="O1595" t="s">
        <v>2833</v>
      </c>
      <c r="P1595" t="s">
        <v>2833</v>
      </c>
      <c r="Q1595" t="s">
        <v>2833</v>
      </c>
      <c r="R1595">
        <f ca="1">RAND()*(Validation[[#This Row],[Range1_High]]-Validation[[#This Row],[Range1_Low]])+Validation[[#This Row],[Range1_Low]]</f>
        <v>8.4111469284992069</v>
      </c>
      <c r="S1595">
        <f>Validation[[#This Row],[Range2_High]]</f>
        <v>20</v>
      </c>
      <c r="T1595" t="str" cm="1">
        <f t="array" aca="1" ref="T1595" ca="1">RoundToTwoSigFigs(Validation[[#This Row],[Test Reading]]*Validation[[#This Row],[Mult]]+Validation[[#This Row],[Base]]) &amp;" "&amp;Validation[[#This Row],[Uncert_Units]]</f>
        <v>58 mV</v>
      </c>
      <c r="U1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595" t="b">
        <f ca="1">Validation[[#This Row],[Desired Result]]=Validation[[#This Row],[Result]]</f>
        <v>1</v>
      </c>
      <c r="W1595" t="b">
        <v>0</v>
      </c>
      <c r="X1595" t="b">
        <f>Validation[[#This Row],[Range1_Low]]&gt;=Validation[[#This Row],[Range1_High]]</f>
        <v>0</v>
      </c>
      <c r="Y1595" s="111" t="s">
        <v>2845</v>
      </c>
    </row>
    <row r="1596" spans="1:25" ht="16.5" thickTop="1" thickBot="1" x14ac:dyDescent="0.3">
      <c r="A1596" t="s">
        <v>55</v>
      </c>
      <c r="B1596" t="s">
        <v>8</v>
      </c>
      <c r="C1596" s="113">
        <v>0.1</v>
      </c>
      <c r="D1596" s="113">
        <v>1</v>
      </c>
      <c r="E1596">
        <v>1.0000000000000001E-5</v>
      </c>
      <c r="F1596" t="s">
        <v>6</v>
      </c>
      <c r="G1596" t="s">
        <v>4</v>
      </c>
      <c r="H1596">
        <v>8000</v>
      </c>
      <c r="I1596">
        <v>10000</v>
      </c>
      <c r="J1596" t="s">
        <v>10</v>
      </c>
      <c r="K1596">
        <v>4.5999999999999996</v>
      </c>
      <c r="L1596">
        <v>170.12</v>
      </c>
      <c r="M1596">
        <v>1.1459999999999999</v>
      </c>
      <c r="N1596">
        <v>173.36</v>
      </c>
      <c r="O1596" t="s">
        <v>2833</v>
      </c>
      <c r="P1596" t="s">
        <v>2833</v>
      </c>
      <c r="Q1596" t="s">
        <v>2833</v>
      </c>
      <c r="R1596">
        <f ca="1">RAND()*(Validation[[#This Row],[Range1_High]]-Validation[[#This Row],[Range1_Low]])+Validation[[#This Row],[Range1_Low]]</f>
        <v>0.18482780863555387</v>
      </c>
      <c r="S1596">
        <f>Validation[[#This Row],[Range2_High]]</f>
        <v>10000</v>
      </c>
      <c r="T1596" t="str" cm="1">
        <f t="array" aca="1" ref="T1596" ca="1">RoundToTwoSigFigs(Validation[[#This Row],[Test Reading]]*Validation[[#This Row],[Mult]]+Validation[[#This Row],[Base]]) &amp;" "&amp;Validation[[#This Row],[Uncert_Units]]</f>
        <v>36 mV</v>
      </c>
      <c r="U1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mV</v>
      </c>
      <c r="V1596" t="b">
        <f ca="1">Validation[[#This Row],[Desired Result]]=Validation[[#This Row],[Result]]</f>
        <v>1</v>
      </c>
      <c r="W1596" t="b">
        <v>1</v>
      </c>
      <c r="X1596" t="b">
        <f>Validation[[#This Row],[Range1_Low]]&gt;=Validation[[#This Row],[Range1_High]]</f>
        <v>0</v>
      </c>
      <c r="Y1596" s="111" t="s">
        <v>2843</v>
      </c>
    </row>
    <row r="1597" spans="1:25" ht="16.5" thickTop="1" thickBot="1" x14ac:dyDescent="0.3">
      <c r="A1597" t="s">
        <v>55</v>
      </c>
      <c r="B1597" t="s">
        <v>8</v>
      </c>
      <c r="C1597" s="113">
        <v>1</v>
      </c>
      <c r="D1597" s="113">
        <v>10</v>
      </c>
      <c r="E1597">
        <v>1E-3</v>
      </c>
      <c r="F1597" t="s">
        <v>6</v>
      </c>
      <c r="G1597" t="s">
        <v>4</v>
      </c>
      <c r="H1597">
        <v>100</v>
      </c>
      <c r="I1597">
        <v>300</v>
      </c>
      <c r="J1597" t="s">
        <v>10</v>
      </c>
      <c r="K1597">
        <v>1.2</v>
      </c>
      <c r="L1597">
        <v>3.5</v>
      </c>
      <c r="M1597">
        <v>1.1754</v>
      </c>
      <c r="N1597">
        <v>3.4796</v>
      </c>
      <c r="O1597" t="s">
        <v>2833</v>
      </c>
      <c r="P1597" t="s">
        <v>2833</v>
      </c>
      <c r="Q1597" t="s">
        <v>2833</v>
      </c>
      <c r="R1597">
        <f ca="1">RAND()*(Validation[[#This Row],[Range1_High]]-Validation[[#This Row],[Range1_Low]])+Validation[[#This Row],[Range1_Low]]</f>
        <v>8.5089290747077122</v>
      </c>
      <c r="S1597">
        <f>Validation[[#This Row],[Range2_High]]</f>
        <v>300</v>
      </c>
      <c r="T1597" t="str" cm="1">
        <f t="array" aca="1" ref="T1597" ca="1">RoundToTwoSigFigs(Validation[[#This Row],[Test Reading]]*Validation[[#This Row],[Mult]]+Validation[[#This Row],[Base]]) &amp;" "&amp;Validation[[#This Row],[Uncert_Units]]</f>
        <v>31 mV</v>
      </c>
      <c r="U1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V1597" t="b">
        <f ca="1">Validation[[#This Row],[Desired Result]]=Validation[[#This Row],[Result]]</f>
        <v>0</v>
      </c>
      <c r="W1597" t="b">
        <v>1</v>
      </c>
      <c r="X1597" t="b">
        <f>Validation[[#This Row],[Range1_Low]]&gt;=Validation[[#This Row],[Range1_High]]</f>
        <v>0</v>
      </c>
      <c r="Y1597" s="111" t="s">
        <v>2843</v>
      </c>
    </row>
    <row r="1598" spans="1:25" ht="16.5" thickTop="1" thickBot="1" x14ac:dyDescent="0.3">
      <c r="A1598" t="s">
        <v>55</v>
      </c>
      <c r="B1598" t="s">
        <v>8</v>
      </c>
      <c r="C1598" s="113">
        <v>100</v>
      </c>
      <c r="D1598" s="113">
        <v>330</v>
      </c>
      <c r="E1598">
        <v>1E-4</v>
      </c>
      <c r="F1598" t="s">
        <v>6</v>
      </c>
      <c r="G1598" t="s">
        <v>4</v>
      </c>
      <c r="H1598">
        <v>50</v>
      </c>
      <c r="I1598">
        <v>100</v>
      </c>
      <c r="J1598" t="s">
        <v>10</v>
      </c>
      <c r="K1598">
        <v>23</v>
      </c>
      <c r="L1598">
        <v>3.5</v>
      </c>
      <c r="M1598">
        <v>23.11</v>
      </c>
      <c r="N1598">
        <v>3.4655999999999998</v>
      </c>
      <c r="O1598" t="s">
        <v>2833</v>
      </c>
      <c r="P1598" t="s">
        <v>2833</v>
      </c>
      <c r="Q1598" t="s">
        <v>2833</v>
      </c>
      <c r="R1598">
        <f ca="1">RAND()*(Validation[[#This Row],[Range1_High]]-Validation[[#This Row],[Range1_Low]])+Validation[[#This Row],[Range1_Low]]</f>
        <v>120.20148535458264</v>
      </c>
      <c r="S1598">
        <f>Validation[[#This Row],[Range2_High]]</f>
        <v>100</v>
      </c>
      <c r="T1598" t="str" cm="1">
        <f t="array" aca="1" ref="T1598" ca="1">RoundToTwoSigFigs(Validation[[#This Row],[Test Reading]]*Validation[[#This Row],[Mult]]+Validation[[#This Row],[Base]]) &amp;" "&amp;Validation[[#This Row],[Uncert_Units]]</f>
        <v>440 mV</v>
      </c>
      <c r="U1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V1598" t="b">
        <f ca="1">Validation[[#This Row],[Desired Result]]=Validation[[#This Row],[Result]]</f>
        <v>1</v>
      </c>
      <c r="W1598" t="b">
        <v>1</v>
      </c>
      <c r="X1598" t="b">
        <f>Validation[[#This Row],[Range1_Low]]&gt;=Validation[[#This Row],[Range1_High]]</f>
        <v>0</v>
      </c>
      <c r="Y1598" s="111" t="s">
        <v>2843</v>
      </c>
    </row>
    <row r="1599" spans="1:25" ht="16.5" thickTop="1" thickBot="1" x14ac:dyDescent="0.3">
      <c r="A1599" t="s">
        <v>54</v>
      </c>
      <c r="B1599" t="s">
        <v>8</v>
      </c>
      <c r="C1599" s="113">
        <v>0.33</v>
      </c>
      <c r="D1599" s="113">
        <v>3.3001</v>
      </c>
      <c r="E1599">
        <v>1.0000000000000001E-5</v>
      </c>
      <c r="F1599" t="s">
        <v>6</v>
      </c>
      <c r="G1599" t="s">
        <v>4</v>
      </c>
      <c r="H1599">
        <v>50</v>
      </c>
      <c r="I1599">
        <v>100.01</v>
      </c>
      <c r="J1599" t="s">
        <v>10</v>
      </c>
      <c r="K1599">
        <v>0.24</v>
      </c>
      <c r="L1599">
        <v>2.7</v>
      </c>
      <c r="M1599">
        <v>0.23108000000000001</v>
      </c>
      <c r="N1599">
        <v>2.6570999999999998</v>
      </c>
      <c r="O1599" t="s">
        <v>2833</v>
      </c>
      <c r="P1599" t="s">
        <v>2833</v>
      </c>
      <c r="Q1599" t="s">
        <v>2833</v>
      </c>
      <c r="R1599">
        <f ca="1">RAND()*(Validation[[#This Row],[Range1_High]]-Validation[[#This Row],[Range1_Low]])+Validation[[#This Row],[Range1_Low]]</f>
        <v>1.8509391708785004</v>
      </c>
      <c r="S1599">
        <f>Validation[[#This Row],[Range2_High]]</f>
        <v>100.01</v>
      </c>
      <c r="T1599" t="str" cm="1">
        <f t="array" aca="1" ref="T1599" ca="1">RoundToTwoSigFigs(Validation[[#This Row],[Test Reading]]*Validation[[#This Row],[Mult]]+Validation[[#This Row],[Base]]) &amp;" "&amp;Validation[[#This Row],[Uncert_Units]]</f>
        <v>5.2 mV</v>
      </c>
      <c r="U1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V1599" t="b">
        <f ca="1">Validation[[#This Row],[Desired Result]]=Validation[[#This Row],[Result]]</f>
        <v>0</v>
      </c>
      <c r="W1599" t="b">
        <v>1</v>
      </c>
      <c r="X1599" t="b">
        <f>Validation[[#This Row],[Range1_Low]]&gt;=Validation[[#This Row],[Range1_High]]</f>
        <v>0</v>
      </c>
      <c r="Y1599" s="111" t="s">
        <v>2843</v>
      </c>
    </row>
    <row r="1600" spans="1:25" ht="16.5" thickTop="1" thickBot="1" x14ac:dyDescent="0.3">
      <c r="A1600" t="s">
        <v>55</v>
      </c>
      <c r="B1600" t="s">
        <v>8</v>
      </c>
      <c r="C1600" s="113">
        <v>10</v>
      </c>
      <c r="D1600" s="113">
        <v>20</v>
      </c>
      <c r="E1600">
        <v>1E-4</v>
      </c>
      <c r="F1600" t="s">
        <v>6</v>
      </c>
      <c r="G1600" t="s">
        <v>4</v>
      </c>
      <c r="H1600">
        <v>100</v>
      </c>
      <c r="I1600">
        <v>300</v>
      </c>
      <c r="J1600" t="s">
        <v>10</v>
      </c>
      <c r="K1600">
        <v>13</v>
      </c>
      <c r="L1600">
        <v>4.6109</v>
      </c>
      <c r="M1600">
        <v>11.574</v>
      </c>
      <c r="N1600">
        <v>4.6268000000000002</v>
      </c>
      <c r="O1600" t="s">
        <v>2833</v>
      </c>
      <c r="P1600" t="s">
        <v>2833</v>
      </c>
      <c r="Q1600" t="s">
        <v>2833</v>
      </c>
      <c r="R1600" s="100">
        <f ca="1">RAND()*(Validation[[#This Row],[Range1_High]]-Validation[[#This Row],[Range1_Low]])+Validation[[#This Row],[Range1_Low]]</f>
        <v>18.911054257877385</v>
      </c>
      <c r="S1600">
        <f>Validation[[#This Row],[Range2_High]]</f>
        <v>300</v>
      </c>
      <c r="T1600" t="str" cm="1">
        <f t="array" aca="1" ref="T1600" ca="1">RoundToTwoSigFigs(Validation[[#This Row],[Test Reading]]*Validation[[#This Row],[Mult]]+Validation[[#This Row],[Base]]) &amp;" "&amp;Validation[[#This Row],[Uncert_Units]]</f>
        <v>100 mV</v>
      </c>
      <c r="U1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V1600" t="b">
        <f ca="1">Validation[[#This Row],[Desired Result]]=Validation[[#This Row],[Result]]</f>
        <v>1</v>
      </c>
      <c r="W1600" t="b">
        <v>1</v>
      </c>
      <c r="X1600" t="b">
        <f>Validation[[#This Row],[Range1_Low]]&gt;=Validation[[#This Row],[Range1_High]]</f>
        <v>0</v>
      </c>
      <c r="Y1600" s="111" t="s">
        <v>2843</v>
      </c>
    </row>
    <row r="1601" spans="1:25" ht="16.5" thickTop="1" thickBot="1" x14ac:dyDescent="0.3">
      <c r="A1601" t="s">
        <v>55</v>
      </c>
      <c r="B1601" t="s">
        <v>8</v>
      </c>
      <c r="C1601" s="113">
        <v>10</v>
      </c>
      <c r="D1601" s="113">
        <v>20</v>
      </c>
      <c r="E1601">
        <v>1.0000000000000001E-5</v>
      </c>
      <c r="F1601" t="s">
        <v>6</v>
      </c>
      <c r="G1601" t="s">
        <v>4</v>
      </c>
      <c r="H1601">
        <v>20</v>
      </c>
      <c r="I1601">
        <v>50</v>
      </c>
      <c r="J1601" t="s">
        <v>10</v>
      </c>
      <c r="K1601">
        <v>2.4</v>
      </c>
      <c r="L1601">
        <v>0.41</v>
      </c>
      <c r="M1601">
        <v>2.2656000000000001</v>
      </c>
      <c r="N1601">
        <v>0.40923999999999999</v>
      </c>
      <c r="O1601" t="s">
        <v>2833</v>
      </c>
      <c r="P1601" t="s">
        <v>2833</v>
      </c>
      <c r="Q1601" t="s">
        <v>2833</v>
      </c>
      <c r="R1601">
        <f ca="1">RAND()*(Validation[[#This Row],[Range1_High]]-Validation[[#This Row],[Range1_Low]])+Validation[[#This Row],[Range1_Low]]</f>
        <v>17.553153486445261</v>
      </c>
      <c r="S1601">
        <f>Validation[[#This Row],[Range2_High]]</f>
        <v>50</v>
      </c>
      <c r="T1601" t="str" cm="1">
        <f t="array" aca="1" ref="T1601" ca="1">RoundToTwoSigFigs(Validation[[#This Row],[Test Reading]]*Validation[[#This Row],[Mult]]+Validation[[#This Row],[Base]]) &amp;" "&amp;Validation[[#This Row],[Uncert_Units]]</f>
        <v>9.6 mV</v>
      </c>
      <c r="U1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V1601" t="b">
        <f ca="1">Validation[[#This Row],[Desired Result]]=Validation[[#This Row],[Result]]</f>
        <v>0</v>
      </c>
      <c r="W1601" t="b">
        <v>1</v>
      </c>
      <c r="X1601" t="b">
        <f>Validation[[#This Row],[Range1_Low]]&gt;=Validation[[#This Row],[Range1_High]]</f>
        <v>0</v>
      </c>
      <c r="Y1601" s="111" t="s">
        <v>2843</v>
      </c>
    </row>
    <row r="1602" spans="1:25" ht="16.5" thickTop="1" thickBot="1" x14ac:dyDescent="0.3">
      <c r="A1602" t="s">
        <v>55</v>
      </c>
      <c r="B1602" t="s">
        <v>8</v>
      </c>
      <c r="C1602" s="113">
        <v>0.1</v>
      </c>
      <c r="D1602" s="113">
        <v>1</v>
      </c>
      <c r="E1602">
        <v>1E-4</v>
      </c>
      <c r="F1602" t="s">
        <v>6</v>
      </c>
      <c r="G1602" t="s">
        <v>5</v>
      </c>
      <c r="H1602">
        <v>0.04</v>
      </c>
      <c r="I1602">
        <v>1</v>
      </c>
      <c r="J1602" t="s">
        <v>10</v>
      </c>
      <c r="K1602">
        <v>59.942999999999998</v>
      </c>
      <c r="L1602">
        <v>59.048999999999999</v>
      </c>
      <c r="M1602">
        <v>59.9</v>
      </c>
      <c r="N1602">
        <v>59.024000000000001</v>
      </c>
      <c r="O1602" t="s">
        <v>2833</v>
      </c>
      <c r="P1602" t="s">
        <v>2833</v>
      </c>
      <c r="Q1602" t="s">
        <v>2833</v>
      </c>
      <c r="R1602">
        <f ca="1">RAND()*(Validation[[#This Row],[Range1_High]]-Validation[[#This Row],[Range1_Low]])+Validation[[#This Row],[Range1_Low]]</f>
        <v>0.37533027637635497</v>
      </c>
      <c r="S1602">
        <f>Validation[[#This Row],[Range2_High]]</f>
        <v>1</v>
      </c>
      <c r="T1602" t="str" cm="1">
        <f t="array" aca="1" ref="T1602" ca="1">RoundToTwoSigFigs(Validation[[#This Row],[Test Reading]]*Validation[[#This Row],[Mult]]+Validation[[#This Row],[Base]]) &amp;" "&amp;Validation[[#This Row],[Uncert_Units]]</f>
        <v>82 µV</v>
      </c>
      <c r="U1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V1602" t="b">
        <f ca="1">Validation[[#This Row],[Desired Result]]=Validation[[#This Row],[Result]]</f>
        <v>1</v>
      </c>
      <c r="W1602" t="b">
        <v>1</v>
      </c>
      <c r="X1602" t="b">
        <f>Validation[[#This Row],[Range1_Low]]&gt;=Validation[[#This Row],[Range1_High]]</f>
        <v>0</v>
      </c>
      <c r="Y1602" s="111" t="s">
        <v>2843</v>
      </c>
    </row>
    <row r="1603" spans="1:25" ht="16.5" thickTop="1" thickBot="1" x14ac:dyDescent="0.3">
      <c r="A1603" t="s">
        <v>55</v>
      </c>
      <c r="B1603" t="s">
        <v>8</v>
      </c>
      <c r="C1603">
        <v>1</v>
      </c>
      <c r="D1603">
        <v>10</v>
      </c>
      <c r="E1603">
        <v>0.1</v>
      </c>
      <c r="F1603" t="s">
        <v>6</v>
      </c>
      <c r="G1603" t="s">
        <v>4</v>
      </c>
      <c r="H1603">
        <v>1E-3</v>
      </c>
      <c r="I1603">
        <v>0.04</v>
      </c>
      <c r="J1603" t="s">
        <v>10</v>
      </c>
      <c r="K1603">
        <v>57.737000000000002</v>
      </c>
      <c r="L1603">
        <v>1.6174E-3</v>
      </c>
      <c r="M1603">
        <v>57.722999999999999</v>
      </c>
      <c r="N1603">
        <v>1.529E-3</v>
      </c>
      <c r="O1603" t="s">
        <v>2833</v>
      </c>
      <c r="P1603" t="s">
        <v>2833</v>
      </c>
      <c r="Q1603" t="s">
        <v>2833</v>
      </c>
      <c r="R1603">
        <f ca="1">RAND()*(Validation[[#This Row],[Range1_High]]-Validation[[#This Row],[Range1_Low]])+Validation[[#This Row],[Range1_Low]]</f>
        <v>2.6231359832008128</v>
      </c>
      <c r="S1603">
        <f>Validation[[#This Row],[Range2_High]]</f>
        <v>0.04</v>
      </c>
      <c r="T1603" t="str" cm="1">
        <f t="array" aca="1" ref="T1603" ca="1">RoundToTwoSigFigs(Validation[[#This Row],[Test Reading]]*Validation[[#This Row],[Mult]]+Validation[[#This Row],[Base]]) &amp;" "&amp;Validation[[#This Row],[Uncert_Units]]</f>
        <v>58 mV</v>
      </c>
      <c r="U1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603" t="b">
        <f ca="1">Validation[[#This Row],[Desired Result]]=Validation[[#This Row],[Result]]</f>
        <v>1</v>
      </c>
      <c r="W1603" t="b">
        <v>0</v>
      </c>
      <c r="X1603" t="b">
        <f>Validation[[#This Row],[Range1_Low]]&gt;=Validation[[#This Row],[Range1_High]]</f>
        <v>0</v>
      </c>
      <c r="Y1603" s="111" t="s">
        <v>2845</v>
      </c>
    </row>
    <row r="1604" spans="1:25" ht="16.5" thickTop="1" thickBot="1" x14ac:dyDescent="0.3">
      <c r="A1604" t="s">
        <v>55</v>
      </c>
      <c r="B1604" t="s">
        <v>8</v>
      </c>
      <c r="C1604" s="113">
        <v>10</v>
      </c>
      <c r="D1604" s="113">
        <v>20</v>
      </c>
      <c r="E1604">
        <v>1E-4</v>
      </c>
      <c r="F1604" t="s">
        <v>6</v>
      </c>
      <c r="G1604" t="s">
        <v>4</v>
      </c>
      <c r="H1604">
        <v>50</v>
      </c>
      <c r="I1604">
        <v>100</v>
      </c>
      <c r="J1604" t="s">
        <v>10</v>
      </c>
      <c r="K1604">
        <v>2.4</v>
      </c>
      <c r="L1604">
        <v>1.4</v>
      </c>
      <c r="M1604">
        <v>2.3769</v>
      </c>
      <c r="N1604">
        <v>1.3889</v>
      </c>
      <c r="O1604" t="s">
        <v>2833</v>
      </c>
      <c r="P1604" t="s">
        <v>2833</v>
      </c>
      <c r="Q1604" t="s">
        <v>2833</v>
      </c>
      <c r="R1604">
        <f ca="1">RAND()*(Validation[[#This Row],[Range1_High]]-Validation[[#This Row],[Range1_Low]])+Validation[[#This Row],[Range1_Low]]</f>
        <v>16.799965099172169</v>
      </c>
      <c r="S1604">
        <f>Validation[[#This Row],[Range2_High]]</f>
        <v>100</v>
      </c>
      <c r="T1604" t="str" cm="1">
        <f t="array" aca="1" ref="T1604" ca="1">RoundToTwoSigFigs(Validation[[#This Row],[Test Reading]]*Validation[[#This Row],[Mult]]+Validation[[#This Row],[Base]]) &amp;" "&amp;Validation[[#This Row],[Uncert_Units]]</f>
        <v>26 mV</v>
      </c>
      <c r="U1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V1604" t="b">
        <f ca="1">Validation[[#This Row],[Desired Result]]=Validation[[#This Row],[Result]]</f>
        <v>1</v>
      </c>
      <c r="W1604" t="b">
        <v>1</v>
      </c>
      <c r="X1604" t="b">
        <f>Validation[[#This Row],[Range1_Low]]&gt;=Validation[[#This Row],[Range1_High]]</f>
        <v>0</v>
      </c>
      <c r="Y1604" s="111" t="s">
        <v>2843</v>
      </c>
    </row>
    <row r="1605" spans="1:25" ht="16.5" thickTop="1" thickBot="1" x14ac:dyDescent="0.3">
      <c r="A1605" t="s">
        <v>55</v>
      </c>
      <c r="B1605" t="s">
        <v>8</v>
      </c>
      <c r="C1605" s="113">
        <v>0.01</v>
      </c>
      <c r="D1605" s="113">
        <v>0.1</v>
      </c>
      <c r="E1605">
        <v>9.9999999999999995E-7</v>
      </c>
      <c r="F1605" t="s">
        <v>6</v>
      </c>
      <c r="G1605" t="s">
        <v>5</v>
      </c>
      <c r="H1605">
        <v>50</v>
      </c>
      <c r="I1605">
        <v>100</v>
      </c>
      <c r="J1605" t="s">
        <v>10</v>
      </c>
      <c r="K1605">
        <v>6</v>
      </c>
      <c r="L1605">
        <v>905.89</v>
      </c>
      <c r="M1605">
        <v>5.9854000000000003</v>
      </c>
      <c r="N1605">
        <v>905.92</v>
      </c>
      <c r="O1605" t="s">
        <v>2833</v>
      </c>
      <c r="P1605" t="s">
        <v>2833</v>
      </c>
      <c r="Q1605" t="s">
        <v>2833</v>
      </c>
      <c r="R1605">
        <f ca="1">RAND()*(Validation[[#This Row],[Range1_High]]-Validation[[#This Row],[Range1_Low]])+Validation[[#This Row],[Range1_Low]]</f>
        <v>8.1940316355549575E-2</v>
      </c>
      <c r="S1605">
        <f>Validation[[#This Row],[Range2_High]]</f>
        <v>100</v>
      </c>
      <c r="T1605" t="str" cm="1">
        <f t="array" aca="1" ref="T1605" ca="1">RoundToTwoSigFigs(Validation[[#This Row],[Test Reading]]*Validation[[#This Row],[Mult]]+Validation[[#This Row],[Base]]) &amp;" "&amp;Validation[[#This Row],[Uncert_Units]]</f>
        <v>80 µV</v>
      </c>
      <c r="U1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V1605" t="b">
        <f ca="1">Validation[[#This Row],[Desired Result]]=Validation[[#This Row],[Result]]</f>
        <v>1</v>
      </c>
      <c r="W1605" t="b">
        <v>1</v>
      </c>
      <c r="X1605" t="b">
        <f>Validation[[#This Row],[Range1_Low]]&gt;=Validation[[#This Row],[Range1_High]]</f>
        <v>0</v>
      </c>
      <c r="Y1605" s="111" t="s">
        <v>2843</v>
      </c>
    </row>
    <row r="1606" spans="1:25" ht="16.5" thickTop="1" thickBot="1" x14ac:dyDescent="0.3">
      <c r="A1606" t="s">
        <v>55</v>
      </c>
      <c r="B1606" t="s">
        <v>8</v>
      </c>
      <c r="C1606">
        <v>20</v>
      </c>
      <c r="D1606">
        <v>100</v>
      </c>
      <c r="E1606">
        <v>1</v>
      </c>
      <c r="F1606" t="s">
        <v>6</v>
      </c>
      <c r="G1606" t="s">
        <v>4</v>
      </c>
      <c r="H1606">
        <v>50</v>
      </c>
      <c r="I1606">
        <v>100</v>
      </c>
      <c r="J1606" t="s">
        <v>10</v>
      </c>
      <c r="K1606">
        <v>576.34</v>
      </c>
      <c r="L1606">
        <v>0.18074999999999999</v>
      </c>
      <c r="M1606">
        <v>568.41</v>
      </c>
      <c r="N1606">
        <v>0.18063000000000001</v>
      </c>
      <c r="O1606" t="s">
        <v>2833</v>
      </c>
      <c r="P1606" t="s">
        <v>2833</v>
      </c>
      <c r="Q1606" t="s">
        <v>2833</v>
      </c>
      <c r="R1606">
        <f ca="1">RAND()*(Validation[[#This Row],[Range1_High]]-Validation[[#This Row],[Range1_Low]])+Validation[[#This Row],[Range1_Low]]</f>
        <v>72.718968962314293</v>
      </c>
      <c r="S1606">
        <f>Validation[[#This Row],[Range2_High]]</f>
        <v>100</v>
      </c>
      <c r="T1606" t="str" cm="1">
        <f t="array" aca="1" ref="T1606" ca="1">RoundToTwoSigFigs(Validation[[#This Row],[Test Reading]]*Validation[[#This Row],[Mult]]+Validation[[#This Row],[Base]]) &amp;" "&amp;Validation[[#This Row],[Uncert_Units]]</f>
        <v>590 mV</v>
      </c>
      <c r="U1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V1606" t="b">
        <f ca="1">Validation[[#This Row],[Desired Result]]=Validation[[#This Row],[Result]]</f>
        <v>0</v>
      </c>
      <c r="W1606" t="b">
        <v>1</v>
      </c>
      <c r="X1606" t="b">
        <f>Validation[[#This Row],[Range1_Low]]&gt;=Validation[[#This Row],[Range1_High]]</f>
        <v>0</v>
      </c>
      <c r="Y1606" s="111" t="s">
        <v>2845</v>
      </c>
    </row>
    <row r="1607" spans="1:25" ht="16.5" thickTop="1" thickBot="1" x14ac:dyDescent="0.3">
      <c r="A1607" t="s">
        <v>55</v>
      </c>
      <c r="B1607" t="s">
        <v>8</v>
      </c>
      <c r="C1607" s="113">
        <v>0.1</v>
      </c>
      <c r="D1607" s="113">
        <v>1</v>
      </c>
      <c r="E1607">
        <v>9.9999999999999995E-8</v>
      </c>
      <c r="F1607" t="s">
        <v>6</v>
      </c>
      <c r="G1607" t="s">
        <v>5</v>
      </c>
      <c r="H1607">
        <v>1E-3</v>
      </c>
      <c r="I1607">
        <v>0.04</v>
      </c>
      <c r="J1607" t="s">
        <v>10</v>
      </c>
      <c r="K1607">
        <v>47</v>
      </c>
      <c r="L1607">
        <v>82</v>
      </c>
      <c r="M1607">
        <v>80.62</v>
      </c>
      <c r="N1607">
        <v>80.62</v>
      </c>
      <c r="O1607" t="s">
        <v>2833</v>
      </c>
      <c r="P1607" t="s">
        <v>2833</v>
      </c>
      <c r="Q1607" t="s">
        <v>2833</v>
      </c>
      <c r="R1607">
        <f ca="1">RAND()*(Validation[[#This Row],[Range1_High]]-Validation[[#This Row],[Range1_Low]])+Validation[[#This Row],[Range1_Low]]</f>
        <v>0.32993137443385318</v>
      </c>
      <c r="S1607">
        <f>Validation[[#This Row],[Range2_High]]</f>
        <v>0.04</v>
      </c>
      <c r="T1607" t="str" cm="1">
        <f t="array" aca="1" ref="T1607" ca="1">RoundToTwoSigFigs(Validation[[#This Row],[Test Reading]]*Validation[[#This Row],[Mult]]+Validation[[#This Row],[Base]]) &amp;" "&amp;Validation[[#This Row],[Uncert_Units]]</f>
        <v>74 µV</v>
      </c>
      <c r="U1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V1607" t="b">
        <f ca="1">Validation[[#This Row],[Desired Result]]=Validation[[#This Row],[Result]]</f>
        <v>1</v>
      </c>
      <c r="W1607" t="b">
        <v>1</v>
      </c>
      <c r="X1607" t="b">
        <f>Validation[[#This Row],[Range1_Low]]&gt;=Validation[[#This Row],[Range1_High]]</f>
        <v>0</v>
      </c>
      <c r="Y1607" s="111" t="s">
        <v>2843</v>
      </c>
    </row>
    <row r="1608" spans="1:25" ht="16.5" thickTop="1" thickBot="1" x14ac:dyDescent="0.3">
      <c r="A1608" t="s">
        <v>55</v>
      </c>
      <c r="B1608" t="s">
        <v>8</v>
      </c>
      <c r="C1608" s="113">
        <v>0.1</v>
      </c>
      <c r="D1608" s="113">
        <v>1</v>
      </c>
      <c r="E1608">
        <v>1E-4</v>
      </c>
      <c r="F1608" t="s">
        <v>6</v>
      </c>
      <c r="G1608" t="s">
        <v>5</v>
      </c>
      <c r="H1608">
        <v>1000</v>
      </c>
      <c r="I1608">
        <v>2000</v>
      </c>
      <c r="J1608" t="s">
        <v>10</v>
      </c>
      <c r="K1608">
        <v>590</v>
      </c>
      <c r="L1608">
        <v>17152</v>
      </c>
      <c r="M1608">
        <v>109.37</v>
      </c>
      <c r="N1608">
        <v>17478</v>
      </c>
      <c r="O1608" t="s">
        <v>2833</v>
      </c>
      <c r="P1608" t="s">
        <v>2833</v>
      </c>
      <c r="Q1608" t="s">
        <v>2833</v>
      </c>
      <c r="R1608">
        <f ca="1">RAND()*(Validation[[#This Row],[Range1_High]]-Validation[[#This Row],[Range1_Low]])+Validation[[#This Row],[Range1_Low]]</f>
        <v>0.5974185262281938</v>
      </c>
      <c r="S1608">
        <f>Validation[[#This Row],[Range2_High]]</f>
        <v>2000</v>
      </c>
      <c r="T1608" t="str" cm="1">
        <f t="array" aca="1" ref="T1608" ca="1">RoundToTwoSigFigs(Validation[[#This Row],[Test Reading]]*Validation[[#This Row],[Mult]]+Validation[[#This Row],[Base]]) &amp;" "&amp;Validation[[#This Row],[Uncert_Units]]</f>
        <v>11000 µV</v>
      </c>
      <c r="U1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V1608" t="b">
        <f ca="1">Validation[[#This Row],[Desired Result]]=Validation[[#This Row],[Result]]</f>
        <v>1</v>
      </c>
      <c r="W1608" t="b">
        <v>1</v>
      </c>
      <c r="X1608" t="b">
        <f>Validation[[#This Row],[Range1_Low]]&gt;=Validation[[#This Row],[Range1_High]]</f>
        <v>0</v>
      </c>
      <c r="Y1608" s="111" t="s">
        <v>2843</v>
      </c>
    </row>
    <row r="1609" spans="1:25" ht="16.5" thickTop="1" thickBot="1" x14ac:dyDescent="0.3">
      <c r="A1609" t="s">
        <v>54</v>
      </c>
      <c r="B1609" t="s">
        <v>8</v>
      </c>
      <c r="C1609" s="113">
        <v>33</v>
      </c>
      <c r="D1609" s="113">
        <v>330.01</v>
      </c>
      <c r="E1609">
        <v>0.1</v>
      </c>
      <c r="F1609" t="s">
        <v>6</v>
      </c>
      <c r="G1609" t="s">
        <v>4</v>
      </c>
      <c r="H1609">
        <v>4.4999999999999998E-2</v>
      </c>
      <c r="I1609">
        <v>10.00001</v>
      </c>
      <c r="J1609" t="s">
        <v>10</v>
      </c>
      <c r="K1609">
        <v>43.308999999999997</v>
      </c>
      <c r="L1609">
        <v>0.84099999999999997</v>
      </c>
      <c r="M1609">
        <v>43.21</v>
      </c>
      <c r="N1609">
        <v>0.84114999999999995</v>
      </c>
      <c r="O1609" t="s">
        <v>2833</v>
      </c>
      <c r="P1609" t="s">
        <v>2833</v>
      </c>
      <c r="Q1609" t="s">
        <v>2833</v>
      </c>
      <c r="R1609">
        <f ca="1">RAND()*(Validation[[#This Row],[Range1_High]]-Validation[[#This Row],[Range1_Low]])+Validation[[#This Row],[Range1_Low]]</f>
        <v>231.52911131395868</v>
      </c>
      <c r="S1609">
        <f>Validation[[#This Row],[Range2_High]]</f>
        <v>10.00001</v>
      </c>
      <c r="T1609" t="str" cm="1">
        <f t="array" aca="1" ref="T1609" ca="1">RoundToTwoSigFigs(Validation[[#This Row],[Test Reading]]*Validation[[#This Row],[Mult]]+Validation[[#This Row],[Base]]) &amp;" "&amp;Validation[[#This Row],[Uncert_Units]]</f>
        <v>240 mV</v>
      </c>
      <c r="U1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V1609" t="b">
        <f ca="1">Validation[[#This Row],[Desired Result]]=Validation[[#This Row],[Result]]</f>
        <v>1</v>
      </c>
      <c r="W1609" t="b">
        <v>1</v>
      </c>
      <c r="X1609" t="b">
        <f>Validation[[#This Row],[Range1_Low]]&gt;=Validation[[#This Row],[Range1_High]]</f>
        <v>0</v>
      </c>
      <c r="Y1609" s="111" t="s">
        <v>2843</v>
      </c>
    </row>
    <row r="1610" spans="1:25" ht="16.5" thickTop="1" thickBot="1" x14ac:dyDescent="0.3">
      <c r="A1610" t="s">
        <v>55</v>
      </c>
      <c r="B1610" t="s">
        <v>8</v>
      </c>
      <c r="C1610">
        <v>100</v>
      </c>
      <c r="D1610">
        <v>330</v>
      </c>
      <c r="E1610">
        <v>1</v>
      </c>
      <c r="F1610" t="s">
        <v>6</v>
      </c>
      <c r="G1610" t="s">
        <v>4</v>
      </c>
      <c r="H1610">
        <v>0.04</v>
      </c>
      <c r="I1610">
        <v>1</v>
      </c>
      <c r="J1610" t="s">
        <v>10</v>
      </c>
      <c r="K1610">
        <v>571.91999999999996</v>
      </c>
      <c r="L1610">
        <v>9.6252000000000004E-2</v>
      </c>
      <c r="M1610">
        <v>571.91999999999996</v>
      </c>
      <c r="N1610">
        <v>9.5921000000000006E-2</v>
      </c>
      <c r="O1610" t="s">
        <v>2833</v>
      </c>
      <c r="P1610" t="s">
        <v>2833</v>
      </c>
      <c r="Q1610" t="s">
        <v>2833</v>
      </c>
      <c r="R1610">
        <f ca="1">RAND()*(Validation[[#This Row],[Range1_High]]-Validation[[#This Row],[Range1_Low]])+Validation[[#This Row],[Range1_Low]]</f>
        <v>244.99725127843033</v>
      </c>
      <c r="S1610">
        <f>Validation[[#This Row],[Range2_High]]</f>
        <v>1</v>
      </c>
      <c r="T1610" t="str" cm="1">
        <f t="array" aca="1" ref="T1610" ca="1">RoundToTwoSigFigs(Validation[[#This Row],[Test Reading]]*Validation[[#This Row],[Mult]]+Validation[[#This Row],[Base]]) &amp;" "&amp;Validation[[#This Row],[Uncert_Units]]</f>
        <v>600 mV</v>
      </c>
      <c r="U1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V1610" t="b">
        <f ca="1">Validation[[#This Row],[Desired Result]]=Validation[[#This Row],[Result]]</f>
        <v>0</v>
      </c>
      <c r="W1610" t="b">
        <v>1</v>
      </c>
      <c r="X1610" t="b">
        <f>Validation[[#This Row],[Range1_Low]]&gt;=Validation[[#This Row],[Range1_High]]</f>
        <v>0</v>
      </c>
      <c r="Y1610" s="111" t="s">
        <v>2845</v>
      </c>
    </row>
    <row r="1611" spans="1:25" ht="16.5" thickTop="1" thickBot="1" x14ac:dyDescent="0.3">
      <c r="A1611" t="s">
        <v>54</v>
      </c>
      <c r="B1611" t="s">
        <v>8</v>
      </c>
      <c r="C1611" s="113">
        <v>330</v>
      </c>
      <c r="D1611" s="113">
        <v>1020.01</v>
      </c>
      <c r="E1611">
        <v>0.1</v>
      </c>
      <c r="F1611" t="s">
        <v>6</v>
      </c>
      <c r="G1611" t="s">
        <v>4</v>
      </c>
      <c r="H1611">
        <v>5</v>
      </c>
      <c r="I1611">
        <v>10.01</v>
      </c>
      <c r="J1611" t="s">
        <v>10</v>
      </c>
      <c r="K1611">
        <v>426.17</v>
      </c>
      <c r="L1611">
        <v>0.78768000000000005</v>
      </c>
      <c r="M1611">
        <v>426.19</v>
      </c>
      <c r="N1611">
        <v>0.7873</v>
      </c>
      <c r="O1611" t="s">
        <v>2833</v>
      </c>
      <c r="P1611" t="s">
        <v>2833</v>
      </c>
      <c r="Q1611" t="s">
        <v>2833</v>
      </c>
      <c r="R1611">
        <f ca="1">RAND()*(Validation[[#This Row],[Range1_High]]-Validation[[#This Row],[Range1_Low]])+Validation[[#This Row],[Range1_Low]]</f>
        <v>515.42651510012752</v>
      </c>
      <c r="S1611">
        <f>Validation[[#This Row],[Range2_High]]</f>
        <v>10.01</v>
      </c>
      <c r="T1611" t="str" cm="1">
        <f t="array" aca="1" ref="T1611" ca="1">RoundToTwoSigFigs(Validation[[#This Row],[Test Reading]]*Validation[[#This Row],[Mult]]+Validation[[#This Row],[Base]]) &amp;" "&amp;Validation[[#This Row],[Uncert_Units]]</f>
        <v>830 mV</v>
      </c>
      <c r="U1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mV</v>
      </c>
      <c r="V1611" t="b">
        <f ca="1">Validation[[#This Row],[Desired Result]]=Validation[[#This Row],[Result]]</f>
        <v>1</v>
      </c>
      <c r="W1611" t="b">
        <v>1</v>
      </c>
      <c r="X1611" t="b">
        <f>Validation[[#This Row],[Range1_Low]]&gt;=Validation[[#This Row],[Range1_High]]</f>
        <v>0</v>
      </c>
      <c r="Y1611" s="111" t="s">
        <v>2843</v>
      </c>
    </row>
    <row r="1612" spans="1:25" ht="16.5" thickTop="1" thickBot="1" x14ac:dyDescent="0.3">
      <c r="A1612" t="s">
        <v>55</v>
      </c>
      <c r="B1612" t="s">
        <v>8</v>
      </c>
      <c r="C1612" s="113">
        <v>1</v>
      </c>
      <c r="D1612" s="113">
        <v>10</v>
      </c>
      <c r="E1612">
        <v>1E-4</v>
      </c>
      <c r="F1612" t="s">
        <v>6</v>
      </c>
      <c r="G1612" t="s">
        <v>4</v>
      </c>
      <c r="H1612">
        <v>0.04</v>
      </c>
      <c r="I1612">
        <v>1</v>
      </c>
      <c r="J1612" t="s">
        <v>10</v>
      </c>
      <c r="K1612">
        <v>0.25</v>
      </c>
      <c r="L1612">
        <v>8.4682999999999994E-2</v>
      </c>
      <c r="M1612">
        <v>0.23197999999999999</v>
      </c>
      <c r="N1612">
        <v>8.5126999999999994E-2</v>
      </c>
      <c r="O1612" t="s">
        <v>2833</v>
      </c>
      <c r="P1612" t="s">
        <v>2833</v>
      </c>
      <c r="Q1612" t="s">
        <v>2833</v>
      </c>
      <c r="R1612">
        <f ca="1">RAND()*(Validation[[#This Row],[Range1_High]]-Validation[[#This Row],[Range1_Low]])+Validation[[#This Row],[Range1_Low]]</f>
        <v>5.9681962421340264</v>
      </c>
      <c r="S1612">
        <f>Validation[[#This Row],[Range2_High]]</f>
        <v>1</v>
      </c>
      <c r="T1612" t="str" cm="1">
        <f t="array" aca="1" ref="T1612" ca="1">RoundToTwoSigFigs(Validation[[#This Row],[Test Reading]]*Validation[[#This Row],[Mult]]+Validation[[#This Row],[Base]]) &amp;" "&amp;Validation[[#This Row],[Uncert_Units]]</f>
        <v>0.76 mV</v>
      </c>
      <c r="U1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mV</v>
      </c>
      <c r="V1612" t="b">
        <f ca="1">Validation[[#This Row],[Desired Result]]=Validation[[#This Row],[Result]]</f>
        <v>1</v>
      </c>
      <c r="W1612" t="b">
        <v>1</v>
      </c>
      <c r="X1612" t="b">
        <f>Validation[[#This Row],[Range1_Low]]&gt;=Validation[[#This Row],[Range1_High]]</f>
        <v>0</v>
      </c>
      <c r="Y1612" s="111" t="s">
        <v>2843</v>
      </c>
    </row>
    <row r="1613" spans="1:25" ht="16.5" thickTop="1" thickBot="1" x14ac:dyDescent="0.3">
      <c r="A1613" t="s">
        <v>55</v>
      </c>
      <c r="B1613" t="s">
        <v>8</v>
      </c>
      <c r="C1613" s="113">
        <v>10</v>
      </c>
      <c r="D1613" s="113">
        <v>20</v>
      </c>
      <c r="E1613">
        <v>1E-4</v>
      </c>
      <c r="F1613" t="s">
        <v>6</v>
      </c>
      <c r="G1613" t="s">
        <v>4</v>
      </c>
      <c r="H1613">
        <v>20</v>
      </c>
      <c r="I1613">
        <v>50</v>
      </c>
      <c r="J1613" t="s">
        <v>10</v>
      </c>
      <c r="K1613">
        <v>2.4</v>
      </c>
      <c r="L1613">
        <v>0.41</v>
      </c>
      <c r="M1613">
        <v>2.266</v>
      </c>
      <c r="N1613">
        <v>0.40922999999999998</v>
      </c>
      <c r="O1613" t="s">
        <v>2833</v>
      </c>
      <c r="P1613" t="s">
        <v>2833</v>
      </c>
      <c r="Q1613" t="s">
        <v>2833</v>
      </c>
      <c r="R1613">
        <f ca="1">RAND()*(Validation[[#This Row],[Range1_High]]-Validation[[#This Row],[Range1_Low]])+Validation[[#This Row],[Range1_Low]]</f>
        <v>18.723822914163009</v>
      </c>
      <c r="S1613">
        <f>Validation[[#This Row],[Range2_High]]</f>
        <v>50</v>
      </c>
      <c r="T1613" t="str" cm="1">
        <f t="array" aca="1" ref="T1613" ca="1">RoundToTwoSigFigs(Validation[[#This Row],[Test Reading]]*Validation[[#This Row],[Mult]]+Validation[[#This Row],[Base]]) &amp;" "&amp;Validation[[#This Row],[Uncert_Units]]</f>
        <v>10 mV</v>
      </c>
      <c r="U1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mV</v>
      </c>
      <c r="V1613" t="b">
        <f ca="1">Validation[[#This Row],[Desired Result]]=Validation[[#This Row],[Result]]</f>
        <v>0</v>
      </c>
      <c r="W1613" t="b">
        <v>1</v>
      </c>
      <c r="X1613" t="b">
        <f>Validation[[#This Row],[Range1_Low]]&gt;=Validation[[#This Row],[Range1_High]]</f>
        <v>0</v>
      </c>
      <c r="Y1613" s="111" t="s">
        <v>2843</v>
      </c>
    </row>
    <row r="1614" spans="1:25" ht="15.75" thickTop="1" x14ac:dyDescent="0.25">
      <c r="A1614" t="s">
        <v>55</v>
      </c>
      <c r="B1614" t="s">
        <v>8</v>
      </c>
      <c r="C1614">
        <v>0.01</v>
      </c>
      <c r="D1614">
        <v>0.1</v>
      </c>
      <c r="E1614">
        <v>1E-3</v>
      </c>
      <c r="F1614" t="s">
        <v>6</v>
      </c>
      <c r="G1614" t="s">
        <v>5</v>
      </c>
      <c r="H1614">
        <v>1E-3</v>
      </c>
      <c r="I1614">
        <v>0.04</v>
      </c>
      <c r="J1614" t="s">
        <v>10</v>
      </c>
      <c r="K1614">
        <v>577.37</v>
      </c>
      <c r="L1614">
        <v>1.4498</v>
      </c>
      <c r="M1614">
        <v>577.25</v>
      </c>
      <c r="N1614">
        <v>1.4244000000000001</v>
      </c>
      <c r="O1614" t="s">
        <v>2833</v>
      </c>
      <c r="P1614" t="s">
        <v>2833</v>
      </c>
      <c r="Q1614" t="s">
        <v>2833</v>
      </c>
      <c r="R1614">
        <f ca="1">RAND()*(Validation[[#This Row],[Range1_High]]-Validation[[#This Row],[Range1_Low]])+Validation[[#This Row],[Range1_Low]]</f>
        <v>9.6473449006155343E-2</v>
      </c>
      <c r="S1614">
        <f>Validation[[#This Row],[Range2_High]]</f>
        <v>0.04</v>
      </c>
      <c r="T1614" t="str" cm="1">
        <f t="array" aca="1" ref="T1614" ca="1">RoundToTwoSigFigs(Validation[[#This Row],[Test Reading]]*Validation[[#This Row],[Mult]]+Validation[[#This Row],[Base]]) &amp;" "&amp;Validation[[#This Row],[Uncert_Units]]</f>
        <v>580 µV</v>
      </c>
      <c r="U1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614" t="b">
        <f ca="1">Validation[[#This Row],[Desired Result]]=Validation[[#This Row],[Result]]</f>
        <v>1</v>
      </c>
      <c r="W1614" t="b">
        <v>0</v>
      </c>
      <c r="X1614" t="b">
        <f>Validation[[#This Row],[Range1_Low]]&gt;=Validation[[#This Row],[Range1_High]]</f>
        <v>0</v>
      </c>
      <c r="Y1614" s="111" t="s">
        <v>2845</v>
      </c>
    </row>
    <row r="1615" spans="1:25" x14ac:dyDescent="0.25">
      <c r="A1615" t="s">
        <v>55</v>
      </c>
      <c r="B1615" t="s">
        <v>8</v>
      </c>
      <c r="C1615">
        <v>330</v>
      </c>
      <c r="D1615">
        <v>1000</v>
      </c>
      <c r="E1615">
        <v>1E-3</v>
      </c>
      <c r="F1615" t="s">
        <v>6</v>
      </c>
      <c r="G1615" t="s">
        <v>4</v>
      </c>
      <c r="H1615">
        <v>1</v>
      </c>
      <c r="I1615">
        <v>10</v>
      </c>
      <c r="J1615" t="s">
        <v>10</v>
      </c>
      <c r="K1615">
        <v>23</v>
      </c>
      <c r="L1615">
        <v>0.7</v>
      </c>
      <c r="M1615">
        <v>23.062999999999999</v>
      </c>
      <c r="N1615">
        <v>0.69386000000000003</v>
      </c>
      <c r="O1615" t="s">
        <v>2833</v>
      </c>
      <c r="P1615" t="s">
        <v>2833</v>
      </c>
      <c r="Q1615" t="s">
        <v>2833</v>
      </c>
      <c r="R1615">
        <f ca="1">RAND()*(Validation[[#This Row],[Range1_High]]-Validation[[#This Row],[Range1_Low]])+Validation[[#This Row],[Range1_Low]]</f>
        <v>941.81934349085623</v>
      </c>
      <c r="S1615">
        <f>Validation[[#This Row],[Range2_High]]</f>
        <v>10</v>
      </c>
      <c r="T1615" t="str" cm="1">
        <f t="array" aca="1" ref="T1615" ca="1">RoundToTwoSigFigs(Validation[[#This Row],[Test Reading]]*Validation[[#This Row],[Mult]]+Validation[[#This Row],[Base]]) &amp;" "&amp;Validation[[#This Row],[Uncert_Units]]</f>
        <v>680 mV</v>
      </c>
      <c r="U1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V1615" t="b">
        <f ca="1">Validation[[#This Row],[Desired Result]]=Validation[[#This Row],[Result]]</f>
        <v>1</v>
      </c>
      <c r="W1615" t="b">
        <v>0</v>
      </c>
      <c r="X1615" t="b">
        <f>Validation[[#This Row],[Range1_Low]]&gt;=Validation[[#This Row],[Range1_High]]</f>
        <v>0</v>
      </c>
      <c r="Y1615" s="111" t="s">
        <v>2845</v>
      </c>
    </row>
    <row r="1616" spans="1:25" ht="15.75" thickBot="1" x14ac:dyDescent="0.3">
      <c r="A1616" t="s">
        <v>55</v>
      </c>
      <c r="B1616" t="s">
        <v>8</v>
      </c>
      <c r="C1616">
        <v>330</v>
      </c>
      <c r="D1616">
        <v>1000</v>
      </c>
      <c r="E1616">
        <v>0.01</v>
      </c>
      <c r="F1616" t="s">
        <v>6</v>
      </c>
      <c r="G1616" t="s">
        <v>4</v>
      </c>
      <c r="H1616">
        <v>1E-3</v>
      </c>
      <c r="I1616">
        <v>0.04</v>
      </c>
      <c r="J1616" t="s">
        <v>10</v>
      </c>
      <c r="K1616">
        <v>50</v>
      </c>
      <c r="L1616">
        <v>0.46059</v>
      </c>
      <c r="M1616">
        <v>46.301000000000002</v>
      </c>
      <c r="N1616">
        <v>0.46322000000000002</v>
      </c>
      <c r="O1616" t="s">
        <v>2833</v>
      </c>
      <c r="P1616" t="s">
        <v>2833</v>
      </c>
      <c r="Q1616" t="s">
        <v>2833</v>
      </c>
      <c r="R1616">
        <f ca="1">RAND()*(Validation[[#This Row],[Range1_High]]-Validation[[#This Row],[Range1_Low]])+Validation[[#This Row],[Range1_Low]]</f>
        <v>816.54263572840978</v>
      </c>
      <c r="S1616">
        <f>Validation[[#This Row],[Range2_High]]</f>
        <v>0.04</v>
      </c>
      <c r="T1616" t="str" cm="1">
        <f t="array" aca="1" ref="T1616" ca="1">RoundToTwoSigFigs(Validation[[#This Row],[Test Reading]]*Validation[[#This Row],[Mult]]+Validation[[#This Row],[Base]]) &amp;" "&amp;Validation[[#This Row],[Uncert_Units]]</f>
        <v>430 mV</v>
      </c>
      <c r="U1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V1616" t="b">
        <f ca="1">Validation[[#This Row],[Desired Result]]=Validation[[#This Row],[Result]]</f>
        <v>0</v>
      </c>
      <c r="W1616" t="b">
        <v>1</v>
      </c>
      <c r="X1616" t="b">
        <f>Validation[[#This Row],[Range1_Low]]&gt;=Validation[[#This Row],[Range1_High]]</f>
        <v>0</v>
      </c>
      <c r="Y1616" s="111" t="s">
        <v>2845</v>
      </c>
    </row>
    <row r="1617" spans="1:25" ht="16.5" thickTop="1" thickBot="1" x14ac:dyDescent="0.3">
      <c r="A1617" t="s">
        <v>55</v>
      </c>
      <c r="B1617" t="s">
        <v>8</v>
      </c>
      <c r="C1617" s="113">
        <v>100</v>
      </c>
      <c r="D1617" s="113">
        <v>330</v>
      </c>
      <c r="E1617">
        <v>0.1</v>
      </c>
      <c r="F1617" t="s">
        <v>6</v>
      </c>
      <c r="G1617" t="s">
        <v>4</v>
      </c>
      <c r="H1617">
        <v>20</v>
      </c>
      <c r="I1617">
        <v>50</v>
      </c>
      <c r="J1617" t="s">
        <v>10</v>
      </c>
      <c r="K1617">
        <v>35.929000000000002</v>
      </c>
      <c r="L1617">
        <v>1.3608</v>
      </c>
      <c r="M1617">
        <v>35.878</v>
      </c>
      <c r="N1617">
        <v>1.3594999999999999</v>
      </c>
      <c r="O1617" t="s">
        <v>2833</v>
      </c>
      <c r="P1617" t="s">
        <v>2833</v>
      </c>
      <c r="Q1617" t="s">
        <v>2833</v>
      </c>
      <c r="R1617">
        <f ca="1">RAND()*(Validation[[#This Row],[Range1_High]]-Validation[[#This Row],[Range1_Low]])+Validation[[#This Row],[Range1_Low]]</f>
        <v>206.58777826091665</v>
      </c>
      <c r="S1617">
        <f>Validation[[#This Row],[Range2_High]]</f>
        <v>50</v>
      </c>
      <c r="T1617" t="str" cm="1">
        <f t="array" aca="1" ref="T1617" ca="1">RoundToTwoSigFigs(Validation[[#This Row],[Test Reading]]*Validation[[#This Row],[Mult]]+Validation[[#This Row],[Base]]) &amp;" "&amp;Validation[[#This Row],[Uncert_Units]]</f>
        <v>320 mV</v>
      </c>
      <c r="U1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V1617" t="b">
        <f ca="1">Validation[[#This Row],[Desired Result]]=Validation[[#This Row],[Result]]</f>
        <v>1</v>
      </c>
      <c r="W1617" t="b">
        <v>1</v>
      </c>
      <c r="X1617" t="b">
        <f>Validation[[#This Row],[Range1_Low]]&gt;=Validation[[#This Row],[Range1_High]]</f>
        <v>0</v>
      </c>
      <c r="Y1617" s="111" t="s">
        <v>2843</v>
      </c>
    </row>
    <row r="1618" spans="1:25" ht="15.75" thickTop="1" x14ac:dyDescent="0.25">
      <c r="A1618" t="s">
        <v>54</v>
      </c>
      <c r="B1618" t="s">
        <v>8</v>
      </c>
      <c r="C1618">
        <v>0.33</v>
      </c>
      <c r="D1618">
        <v>3.3001</v>
      </c>
      <c r="E1618">
        <v>0.1</v>
      </c>
      <c r="F1618" t="s">
        <v>6</v>
      </c>
      <c r="G1618" t="s">
        <v>4</v>
      </c>
      <c r="H1618">
        <v>0.01</v>
      </c>
      <c r="I1618">
        <v>4.5010000000000001E-2</v>
      </c>
      <c r="J1618" t="s">
        <v>10</v>
      </c>
      <c r="K1618">
        <v>57.997</v>
      </c>
      <c r="L1618">
        <v>1.0643E-2</v>
      </c>
      <c r="M1618">
        <v>57.997</v>
      </c>
      <c r="N1618">
        <v>1.0612E-2</v>
      </c>
      <c r="O1618" t="s">
        <v>2833</v>
      </c>
      <c r="P1618" t="s">
        <v>2833</v>
      </c>
      <c r="Q1618" t="s">
        <v>2833</v>
      </c>
      <c r="R1618">
        <f ca="1">RAND()*(Validation[[#This Row],[Range1_High]]-Validation[[#This Row],[Range1_Low]])+Validation[[#This Row],[Range1_Low]]</f>
        <v>2.8734165374743199</v>
      </c>
      <c r="S1618">
        <f>Validation[[#This Row],[Range2_High]]</f>
        <v>4.5010000000000001E-2</v>
      </c>
      <c r="T1618" t="str" cm="1">
        <f t="array" aca="1" ref="T1618" ca="1">RoundToTwoSigFigs(Validation[[#This Row],[Test Reading]]*Validation[[#This Row],[Mult]]+Validation[[#This Row],[Base]]) &amp;" "&amp;Validation[[#This Row],[Uncert_Units]]</f>
        <v>58 mV</v>
      </c>
      <c r="U1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618" t="b">
        <f ca="1">Validation[[#This Row],[Desired Result]]=Validation[[#This Row],[Result]]</f>
        <v>1</v>
      </c>
      <c r="W1618" t="b">
        <v>0</v>
      </c>
      <c r="X1618" t="b">
        <f>Validation[[#This Row],[Range1_Low]]&gt;=Validation[[#This Row],[Range1_High]]</f>
        <v>0</v>
      </c>
      <c r="Y1618" s="111" t="s">
        <v>2845</v>
      </c>
    </row>
    <row r="1619" spans="1:25" ht="15.75" thickBot="1" x14ac:dyDescent="0.3">
      <c r="A1619" t="s">
        <v>55</v>
      </c>
      <c r="B1619" t="s">
        <v>8</v>
      </c>
      <c r="C1619">
        <v>0</v>
      </c>
      <c r="D1619">
        <v>0.01</v>
      </c>
      <c r="E1619">
        <v>1E-4</v>
      </c>
      <c r="F1619" t="s">
        <v>6</v>
      </c>
      <c r="G1619" t="s">
        <v>5</v>
      </c>
      <c r="H1619">
        <v>1</v>
      </c>
      <c r="I1619">
        <v>20</v>
      </c>
      <c r="J1619" t="s">
        <v>10</v>
      </c>
      <c r="K1619">
        <v>57.817999999999998</v>
      </c>
      <c r="L1619">
        <v>19.600000000000001</v>
      </c>
      <c r="M1619">
        <v>57.816000000000003</v>
      </c>
      <c r="N1619">
        <v>19.039000000000001</v>
      </c>
      <c r="O1619" t="s">
        <v>2833</v>
      </c>
      <c r="P1619" t="s">
        <v>2833</v>
      </c>
      <c r="Q1619" t="s">
        <v>2833</v>
      </c>
      <c r="R1619">
        <f ca="1">RAND()*(Validation[[#This Row],[Range1_High]]-Validation[[#This Row],[Range1_Low]])+Validation[[#This Row],[Range1_Low]]</f>
        <v>4.498478768610076E-3</v>
      </c>
      <c r="S1619">
        <f>Validation[[#This Row],[Range2_High]]</f>
        <v>20</v>
      </c>
      <c r="T1619" t="str" cm="1">
        <f t="array" aca="1" ref="T1619" ca="1">RoundToTwoSigFigs(Validation[[#This Row],[Test Reading]]*Validation[[#This Row],[Mult]]+Validation[[#This Row],[Base]]) &amp;" "&amp;Validation[[#This Row],[Uncert_Units]]</f>
        <v>58 µV</v>
      </c>
      <c r="U1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V1619" t="b">
        <f ca="1">Validation[[#This Row],[Desired Result]]=Validation[[#This Row],[Result]]</f>
        <v>1</v>
      </c>
      <c r="W1619" t="b">
        <v>0</v>
      </c>
      <c r="X1619" t="b">
        <f>Validation[[#This Row],[Range1_Low]]&gt;=Validation[[#This Row],[Range1_High]]</f>
        <v>0</v>
      </c>
      <c r="Y1619" s="111" t="s">
        <v>2845</v>
      </c>
    </row>
    <row r="1620" spans="1:25" ht="16.5" thickTop="1" thickBot="1" x14ac:dyDescent="0.3">
      <c r="A1620" t="s">
        <v>55</v>
      </c>
      <c r="B1620" t="s">
        <v>8</v>
      </c>
      <c r="C1620" s="113">
        <v>100</v>
      </c>
      <c r="D1620" s="113">
        <v>1000</v>
      </c>
      <c r="E1620">
        <v>1E-4</v>
      </c>
      <c r="F1620" t="s">
        <v>6</v>
      </c>
      <c r="G1620" t="s">
        <v>4</v>
      </c>
      <c r="H1620">
        <v>50</v>
      </c>
      <c r="I1620">
        <v>100</v>
      </c>
      <c r="J1620" t="s">
        <v>10</v>
      </c>
      <c r="K1620">
        <v>23</v>
      </c>
      <c r="L1620">
        <v>3.5</v>
      </c>
      <c r="M1620">
        <v>23.116</v>
      </c>
      <c r="N1620">
        <v>3.4655999999999998</v>
      </c>
      <c r="O1620" t="s">
        <v>2833</v>
      </c>
      <c r="P1620" t="s">
        <v>2833</v>
      </c>
      <c r="Q1620" t="s">
        <v>2833</v>
      </c>
      <c r="R1620">
        <f ca="1">RAND()*(Validation[[#This Row],[Range1_High]]-Validation[[#This Row],[Range1_Low]])+Validation[[#This Row],[Range1_Low]]</f>
        <v>917.67654882528268</v>
      </c>
      <c r="S1620">
        <f>Validation[[#This Row],[Range2_High]]</f>
        <v>100</v>
      </c>
      <c r="T1620" t="str" cm="1">
        <f t="array" aca="1" ref="T1620" ca="1">RoundToTwoSigFigs(Validation[[#This Row],[Test Reading]]*Validation[[#This Row],[Mult]]+Validation[[#This Row],[Base]]) &amp;" "&amp;Validation[[#This Row],[Uncert_Units]]</f>
        <v>3200 mV</v>
      </c>
      <c r="U1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mV</v>
      </c>
      <c r="V1620" t="b">
        <f ca="1">Validation[[#This Row],[Desired Result]]=Validation[[#This Row],[Result]]</f>
        <v>1</v>
      </c>
      <c r="W1620" t="b">
        <v>1</v>
      </c>
      <c r="X1620" t="b">
        <f>Validation[[#This Row],[Range1_Low]]&gt;=Validation[[#This Row],[Range1_High]]</f>
        <v>0</v>
      </c>
      <c r="Y1620" s="111" t="s">
        <v>2843</v>
      </c>
    </row>
    <row r="1621" spans="1:25" ht="16.5" thickTop="1" thickBot="1" x14ac:dyDescent="0.3">
      <c r="A1621" t="s">
        <v>55</v>
      </c>
      <c r="B1621" t="s">
        <v>8</v>
      </c>
      <c r="C1621" s="113">
        <v>1</v>
      </c>
      <c r="D1621" s="113">
        <v>10</v>
      </c>
      <c r="E1621">
        <v>1E-3</v>
      </c>
      <c r="F1621" t="s">
        <v>6</v>
      </c>
      <c r="G1621" t="s">
        <v>4</v>
      </c>
      <c r="H1621">
        <v>0.04</v>
      </c>
      <c r="I1621">
        <v>1</v>
      </c>
      <c r="J1621" t="s">
        <v>10</v>
      </c>
      <c r="K1621">
        <v>0.59428000000000003</v>
      </c>
      <c r="L1621">
        <v>6.3506000000000007E-2</v>
      </c>
      <c r="M1621">
        <v>0.59284000000000003</v>
      </c>
      <c r="N1621">
        <v>6.3329999999999997E-2</v>
      </c>
      <c r="O1621" t="s">
        <v>2833</v>
      </c>
      <c r="P1621" t="s">
        <v>2833</v>
      </c>
      <c r="Q1621" t="s">
        <v>2833</v>
      </c>
      <c r="R1621">
        <f ca="1">RAND()*(Validation[[#This Row],[Range1_High]]-Validation[[#This Row],[Range1_Low]])+Validation[[#This Row],[Range1_Low]]</f>
        <v>1.673197947654812</v>
      </c>
      <c r="S1621">
        <f>Validation[[#This Row],[Range2_High]]</f>
        <v>1</v>
      </c>
      <c r="T1621" t="str" cm="1">
        <f t="array" aca="1" ref="T1621" ca="1">RoundToTwoSigFigs(Validation[[#This Row],[Test Reading]]*Validation[[#This Row],[Mult]]+Validation[[#This Row],[Base]]) &amp;" "&amp;Validation[[#This Row],[Uncert_Units]]</f>
        <v>0.7 mV</v>
      </c>
      <c r="U1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mV</v>
      </c>
      <c r="V1621" t="b">
        <f ca="1">Validation[[#This Row],[Desired Result]]=Validation[[#This Row],[Result]]</f>
        <v>0</v>
      </c>
      <c r="W1621" t="b">
        <v>1</v>
      </c>
      <c r="X1621" t="b">
        <f>Validation[[#This Row],[Range1_Low]]&gt;=Validation[[#This Row],[Range1_High]]</f>
        <v>0</v>
      </c>
      <c r="Y1621" s="111" t="s">
        <v>2843</v>
      </c>
    </row>
    <row r="1622" spans="1:25" ht="15.75" thickTop="1" x14ac:dyDescent="0.25">
      <c r="A1622" t="s">
        <v>54</v>
      </c>
      <c r="B1622" t="s">
        <v>8</v>
      </c>
      <c r="C1622">
        <v>0</v>
      </c>
      <c r="D1622">
        <v>3.3009999999999998E-2</v>
      </c>
      <c r="E1622">
        <v>0.01</v>
      </c>
      <c r="F1622" t="s">
        <v>6</v>
      </c>
      <c r="G1622" t="s">
        <v>5</v>
      </c>
      <c r="H1622">
        <v>50</v>
      </c>
      <c r="I1622">
        <v>100.01</v>
      </c>
      <c r="J1622" t="s">
        <v>10</v>
      </c>
      <c r="K1622">
        <v>5800.1</v>
      </c>
      <c r="L1622">
        <v>75.275000000000006</v>
      </c>
      <c r="M1622">
        <v>5800.1</v>
      </c>
      <c r="N1622">
        <v>74.549000000000007</v>
      </c>
      <c r="O1622" t="s">
        <v>2833</v>
      </c>
      <c r="P1622" t="s">
        <v>2833</v>
      </c>
      <c r="Q1622" t="s">
        <v>2833</v>
      </c>
      <c r="R1622">
        <f ca="1">RAND()*(Validation[[#This Row],[Range1_High]]-Validation[[#This Row],[Range1_Low]])+Validation[[#This Row],[Range1_Low]]</f>
        <v>9.2857102223428273E-3</v>
      </c>
      <c r="S1622">
        <f>Validation[[#This Row],[Range2_High]]</f>
        <v>100.01</v>
      </c>
      <c r="T1622" t="str" cm="1">
        <f t="array" aca="1" ref="T1622" ca="1">RoundToTwoSigFigs(Validation[[#This Row],[Test Reading]]*Validation[[#This Row],[Mult]]+Validation[[#This Row],[Base]]) &amp;" "&amp;Validation[[#This Row],[Uncert_Units]]</f>
        <v>5800 µV</v>
      </c>
      <c r="U1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622" t="b">
        <f ca="1">Validation[[#This Row],[Desired Result]]=Validation[[#This Row],[Result]]</f>
        <v>1</v>
      </c>
      <c r="W1622" t="b">
        <v>0</v>
      </c>
      <c r="X1622" t="b">
        <f>Validation[[#This Row],[Range1_Low]]&gt;=Validation[[#This Row],[Range1_High]]</f>
        <v>0</v>
      </c>
      <c r="Y1622" s="111" t="s">
        <v>2845</v>
      </c>
    </row>
    <row r="1623" spans="1:25" ht="15.75" thickBot="1" x14ac:dyDescent="0.3">
      <c r="A1623" t="s">
        <v>68</v>
      </c>
      <c r="B1623" t="s">
        <v>8</v>
      </c>
      <c r="C1623">
        <v>100</v>
      </c>
      <c r="D1623">
        <v>1020</v>
      </c>
      <c r="E1623">
        <v>100</v>
      </c>
      <c r="F1623" t="s">
        <v>6</v>
      </c>
      <c r="G1623" t="s">
        <v>4</v>
      </c>
      <c r="H1623">
        <v>0.04</v>
      </c>
      <c r="I1623">
        <v>1</v>
      </c>
      <c r="J1623" t="s">
        <v>10</v>
      </c>
      <c r="K1623">
        <v>57736</v>
      </c>
      <c r="L1623">
        <v>1.9421000000000001E-2</v>
      </c>
      <c r="M1623">
        <v>57735</v>
      </c>
      <c r="N1623">
        <v>1.8613000000000001E-2</v>
      </c>
      <c r="O1623" t="s">
        <v>2833</v>
      </c>
      <c r="P1623" t="s">
        <v>2833</v>
      </c>
      <c r="Q1623" t="s">
        <v>2833</v>
      </c>
      <c r="R1623">
        <f ca="1">RAND()*(Validation[[#This Row],[Range1_High]]-Validation[[#This Row],[Range1_Low]])+Validation[[#This Row],[Range1_Low]]</f>
        <v>655.58636565303095</v>
      </c>
      <c r="S1623">
        <f>Validation[[#This Row],[Range2_High]]</f>
        <v>1</v>
      </c>
      <c r="T1623" t="str" cm="1">
        <f t="array" aca="1" ref="T1623" ca="1">RoundToTwoSigFigs(Validation[[#This Row],[Test Reading]]*Validation[[#This Row],[Mult]]+Validation[[#This Row],[Base]]) &amp;" "&amp;Validation[[#This Row],[Uncert_Units]]</f>
        <v>58000 mV</v>
      </c>
      <c r="U1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V1623" t="b">
        <f ca="1">Validation[[#This Row],[Desired Result]]=Validation[[#This Row],[Result]]</f>
        <v>1</v>
      </c>
      <c r="W1623" t="b">
        <v>0</v>
      </c>
      <c r="X1623" t="b">
        <f>Validation[[#This Row],[Range1_Low]]&gt;=Validation[[#This Row],[Range1_High]]</f>
        <v>0</v>
      </c>
      <c r="Y1623" s="111" t="s">
        <v>2845</v>
      </c>
    </row>
    <row r="1624" spans="1:25" ht="16.5" thickTop="1" thickBot="1" x14ac:dyDescent="0.3">
      <c r="A1624" t="s">
        <v>55</v>
      </c>
      <c r="B1624" t="s">
        <v>8</v>
      </c>
      <c r="C1624" s="113">
        <v>0.01</v>
      </c>
      <c r="D1624" s="113">
        <v>0.1</v>
      </c>
      <c r="E1624">
        <v>9.9999999999999995E-8</v>
      </c>
      <c r="F1624" t="s">
        <v>6</v>
      </c>
      <c r="G1624" t="s">
        <v>5</v>
      </c>
      <c r="H1624">
        <v>4000</v>
      </c>
      <c r="I1624">
        <v>8000</v>
      </c>
      <c r="J1624" t="s">
        <v>10</v>
      </c>
      <c r="K1624">
        <v>120</v>
      </c>
      <c r="L1624">
        <v>46000</v>
      </c>
      <c r="M1624">
        <v>92.256</v>
      </c>
      <c r="N1624">
        <v>46261</v>
      </c>
      <c r="O1624" t="s">
        <v>2833</v>
      </c>
      <c r="P1624" t="s">
        <v>2833</v>
      </c>
      <c r="Q1624" t="s">
        <v>2833</v>
      </c>
      <c r="R1624">
        <f ca="1">RAND()*(Validation[[#This Row],[Range1_High]]-Validation[[#This Row],[Range1_Low]])+Validation[[#This Row],[Range1_Low]]</f>
        <v>9.494413670985008E-2</v>
      </c>
      <c r="S1624">
        <f>Validation[[#This Row],[Range2_High]]</f>
        <v>8000</v>
      </c>
      <c r="T1624" t="str" cm="1">
        <f t="array" aca="1" ref="T1624" ca="1">RoundToTwoSigFigs(Validation[[#This Row],[Test Reading]]*Validation[[#This Row],[Mult]]+Validation[[#This Row],[Base]]) &amp;" "&amp;Validation[[#This Row],[Uncert_Units]]</f>
        <v>4500 µV</v>
      </c>
      <c r="U1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µV</v>
      </c>
      <c r="V1624" t="b">
        <f ca="1">Validation[[#This Row],[Desired Result]]=Validation[[#This Row],[Result]]</f>
        <v>1</v>
      </c>
      <c r="W1624" t="b">
        <v>1</v>
      </c>
      <c r="X1624" t="b">
        <f>Validation[[#This Row],[Range1_Low]]&gt;=Validation[[#This Row],[Range1_High]]</f>
        <v>0</v>
      </c>
      <c r="Y1624" s="111" t="s">
        <v>2843</v>
      </c>
    </row>
    <row r="1625" spans="1:25" ht="16.5" thickTop="1" thickBot="1" x14ac:dyDescent="0.3">
      <c r="A1625" t="s">
        <v>54</v>
      </c>
      <c r="B1625" t="s">
        <v>8</v>
      </c>
      <c r="C1625" s="113">
        <v>3.3000000000000002E-2</v>
      </c>
      <c r="D1625" s="113">
        <v>0.33001000000000003</v>
      </c>
      <c r="E1625">
        <v>1.0000000000000001E-5</v>
      </c>
      <c r="F1625" t="s">
        <v>6</v>
      </c>
      <c r="G1625" t="s">
        <v>5</v>
      </c>
      <c r="H1625">
        <v>20</v>
      </c>
      <c r="I1625">
        <v>50.01</v>
      </c>
      <c r="J1625" t="s">
        <v>10</v>
      </c>
      <c r="K1625">
        <v>47</v>
      </c>
      <c r="L1625">
        <v>1154.8</v>
      </c>
      <c r="M1625">
        <v>46.618000000000002</v>
      </c>
      <c r="N1625">
        <v>1154.8</v>
      </c>
      <c r="O1625" t="s">
        <v>2833</v>
      </c>
      <c r="P1625" t="s">
        <v>2833</v>
      </c>
      <c r="Q1625" t="s">
        <v>2833</v>
      </c>
      <c r="R1625">
        <f ca="1">RAND()*(Validation[[#This Row],[Range1_High]]-Validation[[#This Row],[Range1_Low]])+Validation[[#This Row],[Range1_Low]]</f>
        <v>0.29885124200884616</v>
      </c>
      <c r="S1625">
        <f>Validation[[#This Row],[Range2_High]]</f>
        <v>50.01</v>
      </c>
      <c r="T1625" t="str" cm="1">
        <f t="array" aca="1" ref="T1625" ca="1">RoundToTwoSigFigs(Validation[[#This Row],[Test Reading]]*Validation[[#This Row],[Mult]]+Validation[[#This Row],[Base]]) &amp;" "&amp;Validation[[#This Row],[Uncert_Units]]</f>
        <v>390 µV</v>
      </c>
      <c r="U1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V1625" t="b">
        <f ca="1">Validation[[#This Row],[Desired Result]]=Validation[[#This Row],[Result]]</f>
        <v>1</v>
      </c>
      <c r="W1625" t="b">
        <v>1</v>
      </c>
      <c r="X1625" t="b">
        <f>Validation[[#This Row],[Range1_Low]]&gt;=Validation[[#This Row],[Range1_High]]</f>
        <v>0</v>
      </c>
      <c r="Y1625" s="111" t="s">
        <v>2843</v>
      </c>
    </row>
    <row r="1626" spans="1:25" ht="16.5" thickTop="1" thickBot="1" x14ac:dyDescent="0.3">
      <c r="A1626" t="s">
        <v>55</v>
      </c>
      <c r="B1626" t="s">
        <v>8</v>
      </c>
      <c r="C1626">
        <v>0.01</v>
      </c>
      <c r="D1626">
        <v>0.1</v>
      </c>
      <c r="E1626">
        <v>1E-3</v>
      </c>
      <c r="F1626" t="s">
        <v>6</v>
      </c>
      <c r="G1626" t="s">
        <v>5</v>
      </c>
      <c r="H1626">
        <v>8000</v>
      </c>
      <c r="I1626">
        <v>10000</v>
      </c>
      <c r="J1626" t="s">
        <v>10</v>
      </c>
      <c r="K1626">
        <v>450</v>
      </c>
      <c r="L1626">
        <v>170150</v>
      </c>
      <c r="M1626">
        <v>203.58</v>
      </c>
      <c r="N1626">
        <v>172400</v>
      </c>
      <c r="O1626" t="s">
        <v>2833</v>
      </c>
      <c r="P1626" t="s">
        <v>2833</v>
      </c>
      <c r="Q1626" t="s">
        <v>2833</v>
      </c>
      <c r="R1626">
        <f ca="1">RAND()*(Validation[[#This Row],[Range1_High]]-Validation[[#This Row],[Range1_Low]])+Validation[[#This Row],[Range1_Low]]</f>
        <v>9.55378687904712E-2</v>
      </c>
      <c r="S1626">
        <f>Validation[[#This Row],[Range2_High]]</f>
        <v>10000</v>
      </c>
      <c r="T1626" t="str" cm="1">
        <f t="array" aca="1" ref="T1626" ca="1">RoundToTwoSigFigs(Validation[[#This Row],[Test Reading]]*Validation[[#This Row],[Mult]]+Validation[[#This Row],[Base]]) &amp;" "&amp;Validation[[#This Row],[Uncert_Units]]</f>
        <v>17000 µV</v>
      </c>
      <c r="U1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µV</v>
      </c>
      <c r="V1626" t="b">
        <f ca="1">Validation[[#This Row],[Desired Result]]=Validation[[#This Row],[Result]]</f>
        <v>1</v>
      </c>
      <c r="W1626" t="b">
        <v>0</v>
      </c>
      <c r="X1626" t="b">
        <f>Validation[[#This Row],[Range1_Low]]&gt;=Validation[[#This Row],[Range1_High]]</f>
        <v>0</v>
      </c>
      <c r="Y1626" s="111" t="s">
        <v>2845</v>
      </c>
    </row>
    <row r="1627" spans="1:25" ht="16.5" thickTop="1" thickBot="1" x14ac:dyDescent="0.3">
      <c r="A1627" t="s">
        <v>55</v>
      </c>
      <c r="B1627" t="s">
        <v>8</v>
      </c>
      <c r="C1627" s="113">
        <v>1</v>
      </c>
      <c r="D1627" s="113">
        <v>10</v>
      </c>
      <c r="E1627">
        <v>1E-3</v>
      </c>
      <c r="F1627" t="s">
        <v>6</v>
      </c>
      <c r="G1627" t="s">
        <v>4</v>
      </c>
      <c r="H1627">
        <v>4000</v>
      </c>
      <c r="I1627">
        <v>8000</v>
      </c>
      <c r="J1627" t="s">
        <v>10</v>
      </c>
      <c r="K1627">
        <v>15</v>
      </c>
      <c r="L1627">
        <v>46.325000000000003</v>
      </c>
      <c r="M1627">
        <v>9.1658000000000008</v>
      </c>
      <c r="N1627">
        <v>46.576000000000001</v>
      </c>
      <c r="O1627" t="s">
        <v>2833</v>
      </c>
      <c r="P1627" t="s">
        <v>2833</v>
      </c>
      <c r="Q1627" t="s">
        <v>2833</v>
      </c>
      <c r="R1627">
        <f ca="1">RAND()*(Validation[[#This Row],[Range1_High]]-Validation[[#This Row],[Range1_Low]])+Validation[[#This Row],[Range1_Low]]</f>
        <v>5.1574539921193061</v>
      </c>
      <c r="S1627">
        <f>Validation[[#This Row],[Range2_High]]</f>
        <v>8000</v>
      </c>
      <c r="T1627" t="str" cm="1">
        <f t="array" aca="1" ref="T1627" ca="1">RoundToTwoSigFigs(Validation[[#This Row],[Test Reading]]*Validation[[#This Row],[Mult]]+Validation[[#This Row],[Base]]) &amp;" "&amp;Validation[[#This Row],[Uncert_Units]]</f>
        <v>250 mV</v>
      </c>
      <c r="U1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mV</v>
      </c>
      <c r="V1627" t="b">
        <f ca="1">Validation[[#This Row],[Desired Result]]=Validation[[#This Row],[Result]]</f>
        <v>0</v>
      </c>
      <c r="W1627" t="b">
        <v>1</v>
      </c>
      <c r="X1627" t="b">
        <f>Validation[[#This Row],[Range1_Low]]&gt;=Validation[[#This Row],[Range1_High]]</f>
        <v>0</v>
      </c>
      <c r="Y1627" s="111" t="s">
        <v>2843</v>
      </c>
    </row>
    <row r="1628" spans="1:25" ht="16.5" thickTop="1" thickBot="1" x14ac:dyDescent="0.3">
      <c r="A1628" t="s">
        <v>54</v>
      </c>
      <c r="B1628" t="s">
        <v>8</v>
      </c>
      <c r="C1628" s="113">
        <v>3.3</v>
      </c>
      <c r="D1628" s="113">
        <v>33.000999999999998</v>
      </c>
      <c r="E1628">
        <v>1E-3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2.3264999999999998</v>
      </c>
      <c r="L1628">
        <v>2.6572</v>
      </c>
      <c r="M1628">
        <v>2.3233999999999999</v>
      </c>
      <c r="N1628">
        <v>2.6573000000000002</v>
      </c>
      <c r="O1628" t="s">
        <v>2833</v>
      </c>
      <c r="P1628" t="s">
        <v>2833</v>
      </c>
      <c r="Q1628" t="s">
        <v>2833</v>
      </c>
      <c r="R1628">
        <f ca="1">RAND()*(Validation[[#This Row],[Range1_High]]-Validation[[#This Row],[Range1_Low]])+Validation[[#This Row],[Range1_Low]]</f>
        <v>27.519414886500694</v>
      </c>
      <c r="S1628">
        <f>Validation[[#This Row],[Range2_High]]</f>
        <v>100.01</v>
      </c>
      <c r="T1628" t="str" cm="1">
        <f t="array" aca="1" ref="T1628" ca="1">RoundToTwoSigFigs(Validation[[#This Row],[Test Reading]]*Validation[[#This Row],[Mult]]+Validation[[#This Row],[Base]]) &amp;" "&amp;Validation[[#This Row],[Uncert_Units]]</f>
        <v>75 mV</v>
      </c>
      <c r="U1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V1628" t="b">
        <f ca="1">Validation[[#This Row],[Desired Result]]=Validation[[#This Row],[Result]]</f>
        <v>1</v>
      </c>
      <c r="W1628" t="b">
        <v>1</v>
      </c>
      <c r="X1628" t="b">
        <f>Validation[[#This Row],[Range1_Low]]&gt;=Validation[[#This Row],[Range1_High]]</f>
        <v>0</v>
      </c>
      <c r="Y1628" s="111" t="s">
        <v>2843</v>
      </c>
    </row>
    <row r="1629" spans="1:25" ht="16.5" thickTop="1" thickBot="1" x14ac:dyDescent="0.3">
      <c r="A1629" t="s">
        <v>55</v>
      </c>
      <c r="B1629" t="s">
        <v>8</v>
      </c>
      <c r="C1629" s="113">
        <v>10</v>
      </c>
      <c r="D1629" s="113">
        <v>20</v>
      </c>
      <c r="E1629">
        <v>1.0000000000000001E-5</v>
      </c>
      <c r="F1629" t="s">
        <v>6</v>
      </c>
      <c r="G1629" t="s">
        <v>4</v>
      </c>
      <c r="H1629">
        <v>100</v>
      </c>
      <c r="I1629">
        <v>300</v>
      </c>
      <c r="J1629" t="s">
        <v>10</v>
      </c>
      <c r="K1629">
        <v>13</v>
      </c>
      <c r="L1629">
        <v>4.5999999999999996</v>
      </c>
      <c r="M1629">
        <v>11.573</v>
      </c>
      <c r="N1629">
        <v>4.6268000000000002</v>
      </c>
      <c r="O1629" t="s">
        <v>2833</v>
      </c>
      <c r="P1629" t="s">
        <v>2833</v>
      </c>
      <c r="Q1629" t="s">
        <v>2833</v>
      </c>
      <c r="R1629" s="100">
        <f ca="1">RAND()*(Validation[[#This Row],[Range1_High]]-Validation[[#This Row],[Range1_Low]])+Validation[[#This Row],[Range1_Low]]</f>
        <v>14.894854743511393</v>
      </c>
      <c r="S1629">
        <f>Validation[[#This Row],[Range2_High]]</f>
        <v>300</v>
      </c>
      <c r="T1629" t="str" cm="1">
        <f t="array" aca="1" ref="T1629" ca="1">RoundToTwoSigFigs(Validation[[#This Row],[Test Reading]]*Validation[[#This Row],[Mult]]+Validation[[#This Row],[Base]]) &amp;" "&amp;Validation[[#This Row],[Uncert_Units]]</f>
        <v>82 mV</v>
      </c>
      <c r="U1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V1629" t="b">
        <f ca="1">Validation[[#This Row],[Desired Result]]=Validation[[#This Row],[Result]]</f>
        <v>0</v>
      </c>
      <c r="W1629" t="b">
        <v>1</v>
      </c>
      <c r="X1629" t="b">
        <f>Validation[[#This Row],[Range1_Low]]&gt;=Validation[[#This Row],[Range1_High]]</f>
        <v>0</v>
      </c>
      <c r="Y1629" s="111" t="s">
        <v>2844</v>
      </c>
    </row>
    <row r="1630" spans="1:25" ht="16.5" thickTop="1" thickBot="1" x14ac:dyDescent="0.3">
      <c r="A1630" t="s">
        <v>55</v>
      </c>
      <c r="B1630" t="s">
        <v>8</v>
      </c>
      <c r="C1630" s="113">
        <v>20</v>
      </c>
      <c r="D1630" s="113">
        <v>100</v>
      </c>
      <c r="E1630">
        <v>1.0000000000000001E-5</v>
      </c>
      <c r="F1630" t="s">
        <v>6</v>
      </c>
      <c r="G1630" t="s">
        <v>4</v>
      </c>
      <c r="H1630">
        <v>1E-3</v>
      </c>
      <c r="I1630">
        <v>0.04</v>
      </c>
      <c r="J1630" t="s">
        <v>10</v>
      </c>
      <c r="K1630">
        <v>5</v>
      </c>
      <c r="L1630">
        <v>0.23</v>
      </c>
      <c r="M1630">
        <v>4.6009000000000002</v>
      </c>
      <c r="N1630">
        <v>0.23351</v>
      </c>
      <c r="O1630" t="s">
        <v>2833</v>
      </c>
      <c r="P1630" t="s">
        <v>2833</v>
      </c>
      <c r="Q1630" t="s">
        <v>2833</v>
      </c>
      <c r="R1630">
        <f ca="1">RAND()*(Validation[[#This Row],[Range1_High]]-Validation[[#This Row],[Range1_Low]])+Validation[[#This Row],[Range1_Low]]</f>
        <v>35.021213340870723</v>
      </c>
      <c r="S1630">
        <f>Validation[[#This Row],[Range2_High]]</f>
        <v>0.04</v>
      </c>
      <c r="T1630" t="str" cm="1">
        <f t="array" aca="1" ref="T1630" ca="1">RoundToTwoSigFigs(Validation[[#This Row],[Test Reading]]*Validation[[#This Row],[Mult]]+Validation[[#This Row],[Base]]) &amp;" "&amp;Validation[[#This Row],[Uncert_Units]]</f>
        <v>13 mV</v>
      </c>
      <c r="U1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V1630" t="b">
        <f ca="1">Validation[[#This Row],[Desired Result]]=Validation[[#This Row],[Result]]</f>
        <v>1</v>
      </c>
      <c r="W1630" t="b">
        <v>1</v>
      </c>
      <c r="X1630" t="b">
        <f>Validation[[#This Row],[Range1_Low]]&gt;=Validation[[#This Row],[Range1_High]]</f>
        <v>0</v>
      </c>
      <c r="Y1630" s="111" t="s">
        <v>2843</v>
      </c>
    </row>
    <row r="1631" spans="1:25" ht="16.5" thickTop="1" thickBot="1" x14ac:dyDescent="0.3">
      <c r="A1631" t="s">
        <v>54</v>
      </c>
      <c r="B1631" t="s">
        <v>8</v>
      </c>
      <c r="C1631" s="113">
        <v>3.3000000000000002E-2</v>
      </c>
      <c r="D1631" s="113">
        <v>0.33001000000000003</v>
      </c>
      <c r="E1631">
        <v>1.0000000000000001E-5</v>
      </c>
      <c r="F1631" t="s">
        <v>6</v>
      </c>
      <c r="G1631" t="s">
        <v>5</v>
      </c>
      <c r="H1631">
        <v>500</v>
      </c>
      <c r="I1631">
        <v>501</v>
      </c>
      <c r="J1631" t="s">
        <v>10</v>
      </c>
      <c r="K1631">
        <v>390</v>
      </c>
      <c r="L1631">
        <v>5779.3</v>
      </c>
      <c r="M1631">
        <v>381.8</v>
      </c>
      <c r="N1631">
        <v>5779.3</v>
      </c>
      <c r="O1631" t="s">
        <v>2833</v>
      </c>
      <c r="P1631" t="s">
        <v>2833</v>
      </c>
      <c r="Q1631" t="s">
        <v>2833</v>
      </c>
      <c r="R1631">
        <f ca="1">RAND()*(Validation[[#This Row],[Range1_High]]-Validation[[#This Row],[Range1_Low]])+Validation[[#This Row],[Range1_Low]]</f>
        <v>0.30912751976686648</v>
      </c>
      <c r="S1631">
        <f>Validation[[#This Row],[Range2_High]]</f>
        <v>501</v>
      </c>
      <c r="T1631" t="str" cm="1">
        <f t="array" aca="1" ref="T1631" ca="1">RoundToTwoSigFigs(Validation[[#This Row],[Test Reading]]*Validation[[#This Row],[Mult]]+Validation[[#This Row],[Base]]) &amp;" "&amp;Validation[[#This Row],[Uncert_Units]]</f>
        <v>2200 µV</v>
      </c>
      <c r="U1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V1631" t="b">
        <f ca="1">Validation[[#This Row],[Desired Result]]=Validation[[#This Row],[Result]]</f>
        <v>1</v>
      </c>
      <c r="W1631" t="b">
        <v>1</v>
      </c>
      <c r="X1631" t="b">
        <f>Validation[[#This Row],[Range1_Low]]&gt;=Validation[[#This Row],[Range1_High]]</f>
        <v>0</v>
      </c>
      <c r="Y1631" s="111" t="s">
        <v>2843</v>
      </c>
    </row>
    <row r="1632" spans="1:25" ht="16.5" thickTop="1" thickBot="1" x14ac:dyDescent="0.3">
      <c r="A1632" t="s">
        <v>55</v>
      </c>
      <c r="B1632" t="s">
        <v>8</v>
      </c>
      <c r="C1632">
        <v>0.1</v>
      </c>
      <c r="D1632">
        <v>1</v>
      </c>
      <c r="E1632">
        <v>1E-3</v>
      </c>
      <c r="F1632" t="s">
        <v>6</v>
      </c>
      <c r="G1632" t="s">
        <v>5</v>
      </c>
      <c r="H1632">
        <v>1</v>
      </c>
      <c r="I1632">
        <v>20</v>
      </c>
      <c r="J1632" t="s">
        <v>10</v>
      </c>
      <c r="K1632">
        <v>575.70000000000005</v>
      </c>
      <c r="L1632">
        <v>30.683</v>
      </c>
      <c r="M1632">
        <v>575.66</v>
      </c>
      <c r="N1632">
        <v>30.547999999999998</v>
      </c>
      <c r="O1632" t="s">
        <v>2833</v>
      </c>
      <c r="P1632" t="s">
        <v>2833</v>
      </c>
      <c r="Q1632" t="s">
        <v>2833</v>
      </c>
      <c r="R1632">
        <f ca="1">RAND()*(Validation[[#This Row],[Range1_High]]-Validation[[#This Row],[Range1_Low]])+Validation[[#This Row],[Range1_Low]]</f>
        <v>0.97365919524841726</v>
      </c>
      <c r="S1632">
        <f>Validation[[#This Row],[Range2_High]]</f>
        <v>20</v>
      </c>
      <c r="T1632" t="str" cm="1">
        <f t="array" aca="1" ref="T1632" ca="1">RoundToTwoSigFigs(Validation[[#This Row],[Test Reading]]*Validation[[#This Row],[Mult]]+Validation[[#This Row],[Base]]) &amp;" "&amp;Validation[[#This Row],[Uncert_Units]]</f>
        <v>610 µV</v>
      </c>
      <c r="U1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V1632" t="b">
        <f ca="1">Validation[[#This Row],[Desired Result]]=Validation[[#This Row],[Result]]</f>
        <v>0</v>
      </c>
      <c r="W1632" t="b">
        <v>1</v>
      </c>
      <c r="X1632" t="b">
        <f>Validation[[#This Row],[Range1_Low]]&gt;=Validation[[#This Row],[Range1_High]]</f>
        <v>0</v>
      </c>
      <c r="Y1632" s="111" t="s">
        <v>2845</v>
      </c>
    </row>
    <row r="1633" spans="1:25" ht="16.5" thickTop="1" thickBot="1" x14ac:dyDescent="0.3">
      <c r="A1633" t="s">
        <v>54</v>
      </c>
      <c r="B1633" t="s">
        <v>8</v>
      </c>
      <c r="C1633" s="113">
        <v>0.33</v>
      </c>
      <c r="D1633" s="113">
        <v>3.3001</v>
      </c>
      <c r="E1633">
        <v>1.0000000000000001E-5</v>
      </c>
      <c r="F1633" t="s">
        <v>6</v>
      </c>
      <c r="G1633" t="s">
        <v>4</v>
      </c>
      <c r="H1633">
        <v>0.01</v>
      </c>
      <c r="I1633">
        <v>4.5010000000000001E-2</v>
      </c>
      <c r="J1633" t="s">
        <v>10</v>
      </c>
      <c r="K1633">
        <v>0.11</v>
      </c>
      <c r="L1633">
        <v>0.56000000000000005</v>
      </c>
      <c r="M1633">
        <v>0.10391</v>
      </c>
      <c r="N1633">
        <v>0.56220999999999999</v>
      </c>
      <c r="O1633" t="s">
        <v>2833</v>
      </c>
      <c r="P1633" t="s">
        <v>2833</v>
      </c>
      <c r="Q1633" t="s">
        <v>2833</v>
      </c>
      <c r="R1633">
        <f ca="1">RAND()*(Validation[[#This Row],[Range1_High]]-Validation[[#This Row],[Range1_Low]])+Validation[[#This Row],[Range1_Low]]</f>
        <v>0.79705689325607365</v>
      </c>
      <c r="S1633">
        <f>Validation[[#This Row],[Range2_High]]</f>
        <v>4.5010000000000001E-2</v>
      </c>
      <c r="T1633" t="str" cm="1">
        <f t="array" aca="1" ref="T1633" ca="1">RoundToTwoSigFigs(Validation[[#This Row],[Test Reading]]*Validation[[#This Row],[Mult]]+Validation[[#This Row],[Base]]) &amp;" "&amp;Validation[[#This Row],[Uncert_Units]]</f>
        <v>0.56 mV</v>
      </c>
      <c r="U1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mV</v>
      </c>
      <c r="V1633" t="b">
        <f ca="1">Validation[[#This Row],[Desired Result]]=Validation[[#This Row],[Result]]</f>
        <v>1</v>
      </c>
      <c r="W1633" t="b">
        <v>1</v>
      </c>
      <c r="X1633" t="b">
        <f>Validation[[#This Row],[Range1_Low]]&gt;=Validation[[#This Row],[Range1_High]]</f>
        <v>0</v>
      </c>
      <c r="Y1633" s="111" t="s">
        <v>2843</v>
      </c>
    </row>
    <row r="1634" spans="1:25" ht="15.75" thickTop="1" x14ac:dyDescent="0.25">
      <c r="A1634" t="s">
        <v>54</v>
      </c>
      <c r="B1634" t="s">
        <v>8</v>
      </c>
      <c r="C1634">
        <v>3.3</v>
      </c>
      <c r="D1634">
        <v>33.000999999999998</v>
      </c>
      <c r="E1634">
        <v>0.1</v>
      </c>
      <c r="F1634" t="s">
        <v>6</v>
      </c>
      <c r="G1634" t="s">
        <v>4</v>
      </c>
      <c r="H1634">
        <v>20</v>
      </c>
      <c r="I1634">
        <v>50.01</v>
      </c>
      <c r="J1634" t="s">
        <v>10</v>
      </c>
      <c r="K1634">
        <v>56.883000000000003</v>
      </c>
      <c r="L1634">
        <v>0.39190000000000003</v>
      </c>
      <c r="M1634">
        <v>56.881999999999998</v>
      </c>
      <c r="N1634">
        <v>0.39182</v>
      </c>
      <c r="O1634" t="s">
        <v>2833</v>
      </c>
      <c r="P1634" t="s">
        <v>2833</v>
      </c>
      <c r="Q1634" t="s">
        <v>2833</v>
      </c>
      <c r="R1634">
        <f ca="1">RAND()*(Validation[[#This Row],[Range1_High]]-Validation[[#This Row],[Range1_Low]])+Validation[[#This Row],[Range1_Low]]</f>
        <v>9.2877947406697583</v>
      </c>
      <c r="S1634">
        <f>Validation[[#This Row],[Range2_High]]</f>
        <v>50.01</v>
      </c>
      <c r="T1634" t="str" cm="1">
        <f t="array" aca="1" ref="T1634" ca="1">RoundToTwoSigFigs(Validation[[#This Row],[Test Reading]]*Validation[[#This Row],[Mult]]+Validation[[#This Row],[Base]]) &amp;" "&amp;Validation[[#This Row],[Uncert_Units]]</f>
        <v>61 mV</v>
      </c>
      <c r="U1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V1634" t="b">
        <f ca="1">Validation[[#This Row],[Desired Result]]=Validation[[#This Row],[Result]]</f>
        <v>0</v>
      </c>
      <c r="W1634" t="b">
        <v>1</v>
      </c>
      <c r="X1634" t="b">
        <f>Validation[[#This Row],[Range1_Low]]&gt;=Validation[[#This Row],[Range1_High]]</f>
        <v>0</v>
      </c>
      <c r="Y1634" s="111" t="s">
        <v>2845</v>
      </c>
    </row>
    <row r="1635" spans="1:25" ht="15.75" thickBot="1" x14ac:dyDescent="0.3">
      <c r="A1635" t="s">
        <v>54</v>
      </c>
      <c r="B1635" t="s">
        <v>8</v>
      </c>
      <c r="C1635">
        <v>0</v>
      </c>
      <c r="D1635">
        <v>3.3009999999999998E-2</v>
      </c>
      <c r="E1635">
        <v>1E-3</v>
      </c>
      <c r="F1635" t="s">
        <v>6</v>
      </c>
      <c r="G1635" t="s">
        <v>5</v>
      </c>
      <c r="H1635">
        <v>10</v>
      </c>
      <c r="I1635">
        <v>20.010000000000002</v>
      </c>
      <c r="J1635" t="s">
        <v>10</v>
      </c>
      <c r="K1635">
        <v>580.38</v>
      </c>
      <c r="L1635">
        <v>157.54</v>
      </c>
      <c r="M1635">
        <v>580.38</v>
      </c>
      <c r="N1635">
        <v>156.33000000000001</v>
      </c>
      <c r="O1635" t="s">
        <v>2833</v>
      </c>
      <c r="P1635" t="s">
        <v>2833</v>
      </c>
      <c r="Q1635" t="s">
        <v>2833</v>
      </c>
      <c r="R1635">
        <f ca="1">RAND()*(Validation[[#This Row],[Range1_High]]-Validation[[#This Row],[Range1_Low]])+Validation[[#This Row],[Range1_Low]]</f>
        <v>2.7563539900046865E-2</v>
      </c>
      <c r="S1635">
        <f>Validation[[#This Row],[Range2_High]]</f>
        <v>20.010000000000002</v>
      </c>
      <c r="T1635" t="str" cm="1">
        <f t="array" aca="1" ref="T1635" ca="1">RoundToTwoSigFigs(Validation[[#This Row],[Test Reading]]*Validation[[#This Row],[Mult]]+Validation[[#This Row],[Base]]) &amp;" "&amp;Validation[[#This Row],[Uncert_Units]]</f>
        <v>580 µV</v>
      </c>
      <c r="U1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635" t="b">
        <f ca="1">Validation[[#This Row],[Desired Result]]=Validation[[#This Row],[Result]]</f>
        <v>1</v>
      </c>
      <c r="W1635" t="b">
        <v>0</v>
      </c>
      <c r="X1635" t="b">
        <f>Validation[[#This Row],[Range1_Low]]&gt;=Validation[[#This Row],[Range1_High]]</f>
        <v>0</v>
      </c>
      <c r="Y1635" s="111" t="s">
        <v>2845</v>
      </c>
    </row>
    <row r="1636" spans="1:25" ht="16.5" thickTop="1" thickBot="1" x14ac:dyDescent="0.3">
      <c r="A1636" t="s">
        <v>68</v>
      </c>
      <c r="B1636" t="s">
        <v>8</v>
      </c>
      <c r="C1636" s="113">
        <v>1</v>
      </c>
      <c r="D1636" s="113">
        <v>10</v>
      </c>
      <c r="E1636">
        <v>1E-4</v>
      </c>
      <c r="F1636" t="s">
        <v>6</v>
      </c>
      <c r="G1636" t="s">
        <v>4</v>
      </c>
      <c r="H1636">
        <v>2</v>
      </c>
      <c r="I1636">
        <v>20</v>
      </c>
      <c r="J1636" t="s">
        <v>10</v>
      </c>
      <c r="K1636">
        <v>8.1999999999999993</v>
      </c>
      <c r="L1636">
        <v>1.8</v>
      </c>
      <c r="M1636">
        <v>8.1347000000000005</v>
      </c>
      <c r="N1636">
        <v>1.7537</v>
      </c>
      <c r="O1636" t="s">
        <v>2833</v>
      </c>
      <c r="P1636" t="s">
        <v>2833</v>
      </c>
      <c r="Q1636" t="s">
        <v>2833</v>
      </c>
      <c r="R1636">
        <f ca="1">RAND()*(Validation[[#This Row],[Range1_High]]-Validation[[#This Row],[Range1_Low]])+Validation[[#This Row],[Range1_Low]]</f>
        <v>2.4160805831295322</v>
      </c>
      <c r="S1636">
        <f>Validation[[#This Row],[Range2_High]]</f>
        <v>20</v>
      </c>
      <c r="T1636" t="str" cm="1">
        <f t="array" aca="1" ref="T1636" ca="1">RoundToTwoSigFigs(Validation[[#This Row],[Test Reading]]*Validation[[#This Row],[Mult]]+Validation[[#This Row],[Base]]) &amp;" "&amp;Validation[[#This Row],[Uncert_Units]]</f>
        <v>13 mV</v>
      </c>
      <c r="U1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V1636" t="b">
        <f ca="1">Validation[[#This Row],[Desired Result]]=Validation[[#This Row],[Result]]</f>
        <v>1</v>
      </c>
      <c r="W1636" t="b">
        <v>1</v>
      </c>
      <c r="X1636" t="b">
        <f>Validation[[#This Row],[Range1_Low]]&gt;=Validation[[#This Row],[Range1_High]]</f>
        <v>0</v>
      </c>
      <c r="Y1636" s="111" t="s">
        <v>2843</v>
      </c>
    </row>
    <row r="1637" spans="1:25" ht="16.5" thickTop="1" thickBot="1" x14ac:dyDescent="0.3">
      <c r="A1637" t="s">
        <v>55</v>
      </c>
      <c r="B1637" t="s">
        <v>8</v>
      </c>
      <c r="C1637" s="113">
        <v>1</v>
      </c>
      <c r="D1637" s="113">
        <v>10</v>
      </c>
      <c r="E1637">
        <v>0.01</v>
      </c>
      <c r="F1637" t="s">
        <v>6</v>
      </c>
      <c r="G1637" t="s">
        <v>4</v>
      </c>
      <c r="H1637">
        <v>100</v>
      </c>
      <c r="I1637">
        <v>300</v>
      </c>
      <c r="J1637" t="s">
        <v>10</v>
      </c>
      <c r="K1637">
        <v>4.1894999999999998</v>
      </c>
      <c r="L1637">
        <v>3.2244000000000002</v>
      </c>
      <c r="M1637">
        <v>4.1679000000000004</v>
      </c>
      <c r="N1637">
        <v>3.2259000000000002</v>
      </c>
      <c r="O1637" t="s">
        <v>2833</v>
      </c>
      <c r="P1637" t="s">
        <v>2833</v>
      </c>
      <c r="Q1637" t="s">
        <v>2833</v>
      </c>
      <c r="R1637">
        <f ca="1">RAND()*(Validation[[#This Row],[Range1_High]]-Validation[[#This Row],[Range1_Low]])+Validation[[#This Row],[Range1_Low]]</f>
        <v>3.9617667460086654</v>
      </c>
      <c r="S1637">
        <f>Validation[[#This Row],[Range2_High]]</f>
        <v>300</v>
      </c>
      <c r="T1637" t="str" cm="1">
        <f t="array" aca="1" ref="T1637" ca="1">RoundToTwoSigFigs(Validation[[#This Row],[Test Reading]]*Validation[[#This Row],[Mult]]+Validation[[#This Row],[Base]]) &amp;" "&amp;Validation[[#This Row],[Uncert_Units]]</f>
        <v>17 mV</v>
      </c>
      <c r="U1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V1637" t="b">
        <f ca="1">Validation[[#This Row],[Desired Result]]=Validation[[#This Row],[Result]]</f>
        <v>1</v>
      </c>
      <c r="W1637" t="b">
        <v>1</v>
      </c>
      <c r="X1637" t="b">
        <f>Validation[[#This Row],[Range1_Low]]&gt;=Validation[[#This Row],[Range1_High]]</f>
        <v>0</v>
      </c>
      <c r="Y1637" s="111" t="s">
        <v>2843</v>
      </c>
    </row>
    <row r="1638" spans="1:25" ht="16.5" thickTop="1" thickBot="1" x14ac:dyDescent="0.3">
      <c r="A1638" t="s">
        <v>55</v>
      </c>
      <c r="B1638" t="s">
        <v>8</v>
      </c>
      <c r="C1638" s="113">
        <v>0.1</v>
      </c>
      <c r="D1638" s="113">
        <v>1</v>
      </c>
      <c r="E1638">
        <v>9.9999999999999995E-7</v>
      </c>
      <c r="F1638" t="s">
        <v>6</v>
      </c>
      <c r="G1638" t="s">
        <v>5</v>
      </c>
      <c r="H1638">
        <v>50</v>
      </c>
      <c r="I1638">
        <v>100</v>
      </c>
      <c r="J1638" t="s">
        <v>10</v>
      </c>
      <c r="K1638">
        <v>27</v>
      </c>
      <c r="L1638">
        <v>935.56</v>
      </c>
      <c r="M1638">
        <v>23.148</v>
      </c>
      <c r="N1638">
        <v>938.85</v>
      </c>
      <c r="O1638" t="s">
        <v>2833</v>
      </c>
      <c r="P1638" t="s">
        <v>2833</v>
      </c>
      <c r="Q1638" t="s">
        <v>2833</v>
      </c>
      <c r="R1638">
        <f ca="1">RAND()*(Validation[[#This Row],[Range1_High]]-Validation[[#This Row],[Range1_Low]])+Validation[[#This Row],[Range1_Low]]</f>
        <v>0.55785570445907873</v>
      </c>
      <c r="S1638">
        <f>Validation[[#This Row],[Range2_High]]</f>
        <v>100</v>
      </c>
      <c r="T1638" t="str" cm="1">
        <f t="array" aca="1" ref="T1638" ca="1">RoundToTwoSigFigs(Validation[[#This Row],[Test Reading]]*Validation[[#This Row],[Mult]]+Validation[[#This Row],[Base]]) &amp;" "&amp;Validation[[#This Row],[Uncert_Units]]</f>
        <v>550 µV</v>
      </c>
      <c r="U1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V1638" t="b">
        <f ca="1">Validation[[#This Row],[Desired Result]]=Validation[[#This Row],[Result]]</f>
        <v>0</v>
      </c>
      <c r="W1638" t="b">
        <v>1</v>
      </c>
      <c r="X1638" t="b">
        <f>Validation[[#This Row],[Range1_Low]]&gt;=Validation[[#This Row],[Range1_High]]</f>
        <v>0</v>
      </c>
      <c r="Y1638" s="111" t="s">
        <v>2843</v>
      </c>
    </row>
    <row r="1639" spans="1:25" ht="16.5" thickTop="1" thickBot="1" x14ac:dyDescent="0.3">
      <c r="A1639" t="s">
        <v>54</v>
      </c>
      <c r="B1639" t="s">
        <v>8</v>
      </c>
      <c r="C1639">
        <v>3.3</v>
      </c>
      <c r="D1639">
        <v>33.000999999999998</v>
      </c>
      <c r="E1639">
        <v>1</v>
      </c>
      <c r="F1639" t="s">
        <v>6</v>
      </c>
      <c r="G1639" t="s">
        <v>4</v>
      </c>
      <c r="H1639">
        <v>20</v>
      </c>
      <c r="I1639">
        <v>50.01</v>
      </c>
      <c r="J1639" t="s">
        <v>10</v>
      </c>
      <c r="K1639">
        <v>579.88</v>
      </c>
      <c r="L1639">
        <v>4.3222999999999998E-2</v>
      </c>
      <c r="M1639">
        <v>579.88</v>
      </c>
      <c r="N1639">
        <v>4.3181999999999998E-2</v>
      </c>
      <c r="O1639" t="s">
        <v>2833</v>
      </c>
      <c r="P1639" t="s">
        <v>2833</v>
      </c>
      <c r="Q1639" t="s">
        <v>2833</v>
      </c>
      <c r="R1639">
        <f ca="1">RAND()*(Validation[[#This Row],[Range1_High]]-Validation[[#This Row],[Range1_Low]])+Validation[[#This Row],[Range1_Low]]</f>
        <v>27.505340343528552</v>
      </c>
      <c r="S1639">
        <f>Validation[[#This Row],[Range2_High]]</f>
        <v>50.01</v>
      </c>
      <c r="T1639" t="str" cm="1">
        <f t="array" aca="1" ref="T1639" ca="1">RoundToTwoSigFigs(Validation[[#This Row],[Test Reading]]*Validation[[#This Row],[Mult]]+Validation[[#This Row],[Base]]) &amp;" "&amp;Validation[[#This Row],[Uncert_Units]]</f>
        <v>580 mV</v>
      </c>
      <c r="U1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639" t="b">
        <f ca="1">Validation[[#This Row],[Desired Result]]=Validation[[#This Row],[Result]]</f>
        <v>1</v>
      </c>
      <c r="W1639" t="b">
        <v>0</v>
      </c>
      <c r="X1639" t="b">
        <f>Validation[[#This Row],[Range1_Low]]&gt;=Validation[[#This Row],[Range1_High]]</f>
        <v>0</v>
      </c>
      <c r="Y1639" s="111" t="s">
        <v>2845</v>
      </c>
    </row>
    <row r="1640" spans="1:25" ht="16.5" thickTop="1" thickBot="1" x14ac:dyDescent="0.3">
      <c r="A1640" t="s">
        <v>54</v>
      </c>
      <c r="B1640" t="s">
        <v>8</v>
      </c>
      <c r="C1640" s="113">
        <v>33</v>
      </c>
      <c r="D1640" s="113">
        <v>330.01</v>
      </c>
      <c r="E1640">
        <v>0.1</v>
      </c>
      <c r="F1640" t="s">
        <v>6</v>
      </c>
      <c r="G1640" t="s">
        <v>4</v>
      </c>
      <c r="H1640">
        <v>10</v>
      </c>
      <c r="I1640">
        <v>20.010000000000002</v>
      </c>
      <c r="J1640" t="s">
        <v>10</v>
      </c>
      <c r="K1640">
        <v>41.651000000000003</v>
      </c>
      <c r="L1640">
        <v>0.95969000000000004</v>
      </c>
      <c r="M1640">
        <v>41.554000000000002</v>
      </c>
      <c r="N1640">
        <v>0.95984999999999998</v>
      </c>
      <c r="O1640" t="s">
        <v>2833</v>
      </c>
      <c r="P1640" t="s">
        <v>2833</v>
      </c>
      <c r="Q1640" t="s">
        <v>2833</v>
      </c>
      <c r="R1640">
        <f ca="1">RAND()*(Validation[[#This Row],[Range1_High]]-Validation[[#This Row],[Range1_Low]])+Validation[[#This Row],[Range1_Low]]</f>
        <v>304.81804058017343</v>
      </c>
      <c r="S1640">
        <f>Validation[[#This Row],[Range2_High]]</f>
        <v>20.010000000000002</v>
      </c>
      <c r="T1640" t="str" cm="1">
        <f t="array" aca="1" ref="T1640" ca="1">RoundToTwoSigFigs(Validation[[#This Row],[Test Reading]]*Validation[[#This Row],[Mult]]+Validation[[#This Row],[Base]]) &amp;" "&amp;Validation[[#This Row],[Uncert_Units]]</f>
        <v>330 mV</v>
      </c>
      <c r="U1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V1640" t="b">
        <f ca="1">Validation[[#This Row],[Desired Result]]=Validation[[#This Row],[Result]]</f>
        <v>1</v>
      </c>
      <c r="W1640" t="b">
        <v>1</v>
      </c>
      <c r="X1640" t="b">
        <f>Validation[[#This Row],[Range1_Low]]&gt;=Validation[[#This Row],[Range1_High]]</f>
        <v>0</v>
      </c>
      <c r="Y1640" s="111" t="s">
        <v>2843</v>
      </c>
    </row>
    <row r="1641" spans="1:25" ht="16.5" thickTop="1" thickBot="1" x14ac:dyDescent="0.3">
      <c r="A1641" t="s">
        <v>54</v>
      </c>
      <c r="B1641" t="s">
        <v>8</v>
      </c>
      <c r="C1641" s="113">
        <v>0.33</v>
      </c>
      <c r="D1641" s="113">
        <v>3.3001</v>
      </c>
      <c r="E1641">
        <v>1.0000000000000001E-5</v>
      </c>
      <c r="F1641" t="s">
        <v>6</v>
      </c>
      <c r="G1641" t="s">
        <v>4</v>
      </c>
      <c r="H1641">
        <v>500</v>
      </c>
      <c r="I1641">
        <v>501</v>
      </c>
      <c r="J1641" t="s">
        <v>10</v>
      </c>
      <c r="K1641">
        <v>1.1000000000000001</v>
      </c>
      <c r="L1641">
        <v>5.8</v>
      </c>
      <c r="M1641">
        <v>1.0377000000000001</v>
      </c>
      <c r="N1641">
        <v>5.7942</v>
      </c>
      <c r="O1641" t="s">
        <v>2833</v>
      </c>
      <c r="P1641" t="s">
        <v>2833</v>
      </c>
      <c r="Q1641" t="s">
        <v>2833</v>
      </c>
      <c r="R1641">
        <f ca="1">RAND()*(Validation[[#This Row],[Range1_High]]-Validation[[#This Row],[Range1_Low]])+Validation[[#This Row],[Range1_Low]]</f>
        <v>1.9538709881890901</v>
      </c>
      <c r="S1641">
        <f>Validation[[#This Row],[Range2_High]]</f>
        <v>501</v>
      </c>
      <c r="T1641" t="str" cm="1">
        <f t="array" aca="1" ref="T1641" ca="1">RoundToTwoSigFigs(Validation[[#This Row],[Test Reading]]*Validation[[#This Row],[Mult]]+Validation[[#This Row],[Base]]) &amp;" "&amp;Validation[[#This Row],[Uncert_Units]]</f>
        <v>12 mV</v>
      </c>
      <c r="U1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V1641" t="b">
        <f ca="1">Validation[[#This Row],[Desired Result]]=Validation[[#This Row],[Result]]</f>
        <v>1</v>
      </c>
      <c r="W1641" t="b">
        <v>1</v>
      </c>
      <c r="X1641" t="b">
        <f>Validation[[#This Row],[Range1_Low]]&gt;=Validation[[#This Row],[Range1_High]]</f>
        <v>0</v>
      </c>
      <c r="Y1641" s="111" t="s">
        <v>2843</v>
      </c>
    </row>
    <row r="1642" spans="1:25" ht="16.5" thickTop="1" thickBot="1" x14ac:dyDescent="0.3">
      <c r="A1642" t="s">
        <v>55</v>
      </c>
      <c r="B1642" t="s">
        <v>8</v>
      </c>
      <c r="C1642">
        <v>1</v>
      </c>
      <c r="D1642">
        <v>10</v>
      </c>
      <c r="E1642">
        <v>0.1</v>
      </c>
      <c r="F1642" t="s">
        <v>6</v>
      </c>
      <c r="G1642" t="s">
        <v>4</v>
      </c>
      <c r="H1642">
        <v>300</v>
      </c>
      <c r="I1642">
        <v>1000</v>
      </c>
      <c r="J1642" t="s">
        <v>10</v>
      </c>
      <c r="K1642">
        <v>51.131999999999998</v>
      </c>
      <c r="L1642">
        <v>8.0251999999999999</v>
      </c>
      <c r="M1642">
        <v>47.575000000000003</v>
      </c>
      <c r="N1642">
        <v>8.0258000000000003</v>
      </c>
      <c r="O1642" t="s">
        <v>2833</v>
      </c>
      <c r="P1642" t="s">
        <v>2833</v>
      </c>
      <c r="Q1642" t="s">
        <v>2833</v>
      </c>
      <c r="R1642">
        <f ca="1">RAND()*(Validation[[#This Row],[Range1_High]]-Validation[[#This Row],[Range1_Low]])+Validation[[#This Row],[Range1_Low]]</f>
        <v>3.1665296304470196</v>
      </c>
      <c r="S1642">
        <f>Validation[[#This Row],[Range2_High]]</f>
        <v>1000</v>
      </c>
      <c r="T1642" t="str" cm="1">
        <f t="array" aca="1" ref="T1642" ca="1">RoundToTwoSigFigs(Validation[[#This Row],[Test Reading]]*Validation[[#This Row],[Mult]]+Validation[[#This Row],[Base]]) &amp;" "&amp;Validation[[#This Row],[Uncert_Units]]</f>
        <v>77 mV</v>
      </c>
      <c r="U1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V1642" t="b">
        <f ca="1">Validation[[#This Row],[Desired Result]]=Validation[[#This Row],[Result]]</f>
        <v>1</v>
      </c>
      <c r="W1642" t="b">
        <v>0</v>
      </c>
      <c r="X1642" t="b">
        <f>Validation[[#This Row],[Range1_Low]]&gt;=Validation[[#This Row],[Range1_High]]</f>
        <v>0</v>
      </c>
      <c r="Y1642" s="111" t="s">
        <v>2845</v>
      </c>
    </row>
    <row r="1643" spans="1:25" ht="16.5" thickTop="1" thickBot="1" x14ac:dyDescent="0.3">
      <c r="A1643" t="s">
        <v>55</v>
      </c>
      <c r="B1643" t="s">
        <v>8</v>
      </c>
      <c r="C1643" s="113">
        <v>20</v>
      </c>
      <c r="D1643" s="113">
        <v>100</v>
      </c>
      <c r="E1643">
        <v>1E-3</v>
      </c>
      <c r="F1643" t="s">
        <v>6</v>
      </c>
      <c r="G1643" t="s">
        <v>4</v>
      </c>
      <c r="H1643">
        <v>1</v>
      </c>
      <c r="I1643">
        <v>20</v>
      </c>
      <c r="J1643" t="s">
        <v>10</v>
      </c>
      <c r="K1643">
        <v>4.9000000000000004</v>
      </c>
      <c r="L1643">
        <v>0.21</v>
      </c>
      <c r="M1643">
        <v>4.8819999999999997</v>
      </c>
      <c r="N1643">
        <v>0.20768</v>
      </c>
      <c r="O1643" t="s">
        <v>2833</v>
      </c>
      <c r="P1643" t="s">
        <v>2833</v>
      </c>
      <c r="Q1643" t="s">
        <v>2833</v>
      </c>
      <c r="R1643">
        <f ca="1">RAND()*(Validation[[#This Row],[Range1_High]]-Validation[[#This Row],[Range1_Low]])+Validation[[#This Row],[Range1_Low]]</f>
        <v>82.263739781165071</v>
      </c>
      <c r="S1643">
        <f>Validation[[#This Row],[Range2_High]]</f>
        <v>20</v>
      </c>
      <c r="T1643" t="str" cm="1">
        <f t="array" aca="1" ref="T1643" ca="1">RoundToTwoSigFigs(Validation[[#This Row],[Test Reading]]*Validation[[#This Row],[Mult]]+Validation[[#This Row],[Base]]) &amp;" "&amp;Validation[[#This Row],[Uncert_Units]]</f>
        <v>22 mV</v>
      </c>
      <c r="U1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V1643" t="b">
        <f ca="1">Validation[[#This Row],[Desired Result]]=Validation[[#This Row],[Result]]</f>
        <v>0</v>
      </c>
      <c r="W1643" t="b">
        <v>1</v>
      </c>
      <c r="X1643" t="b">
        <f>Validation[[#This Row],[Range1_Low]]&gt;=Validation[[#This Row],[Range1_High]]</f>
        <v>0</v>
      </c>
      <c r="Y1643" s="111" t="s">
        <v>2843</v>
      </c>
    </row>
    <row r="1644" spans="1:25" ht="16.5" thickTop="1" thickBot="1" x14ac:dyDescent="0.3">
      <c r="A1644" t="s">
        <v>54</v>
      </c>
      <c r="B1644" t="s">
        <v>8</v>
      </c>
      <c r="C1644" s="113">
        <v>3.3000000000000002E-2</v>
      </c>
      <c r="D1644" s="113">
        <v>0.33001000000000003</v>
      </c>
      <c r="E1644">
        <v>1.0000000000000001E-5</v>
      </c>
      <c r="F1644" t="s">
        <v>6</v>
      </c>
      <c r="G1644" t="s">
        <v>5</v>
      </c>
      <c r="H1644">
        <v>10</v>
      </c>
      <c r="I1644">
        <v>20.010000000000002</v>
      </c>
      <c r="J1644" t="s">
        <v>10</v>
      </c>
      <c r="K1644">
        <v>24</v>
      </c>
      <c r="L1644">
        <v>807.65</v>
      </c>
      <c r="M1644">
        <v>23.582999999999998</v>
      </c>
      <c r="N1644">
        <v>807.74</v>
      </c>
      <c r="O1644" t="s">
        <v>2833</v>
      </c>
      <c r="P1644" t="s">
        <v>2833</v>
      </c>
      <c r="Q1644" t="s">
        <v>2833</v>
      </c>
      <c r="R1644">
        <f ca="1">RAND()*(Validation[[#This Row],[Range1_High]]-Validation[[#This Row],[Range1_Low]])+Validation[[#This Row],[Range1_Low]]</f>
        <v>0.18560323557942038</v>
      </c>
      <c r="S1644">
        <f>Validation[[#This Row],[Range2_High]]</f>
        <v>20.010000000000002</v>
      </c>
      <c r="T1644" t="str" cm="1">
        <f t="array" aca="1" ref="T1644" ca="1">RoundToTwoSigFigs(Validation[[#This Row],[Test Reading]]*Validation[[#This Row],[Mult]]+Validation[[#This Row],[Base]]) &amp;" "&amp;Validation[[#This Row],[Uncert_Units]]</f>
        <v>170 µV</v>
      </c>
      <c r="U1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µV</v>
      </c>
      <c r="V1644" t="b">
        <f ca="1">Validation[[#This Row],[Desired Result]]=Validation[[#This Row],[Result]]</f>
        <v>0</v>
      </c>
      <c r="W1644" t="b">
        <v>1</v>
      </c>
      <c r="X1644" t="b">
        <f>Validation[[#This Row],[Range1_Low]]&gt;=Validation[[#This Row],[Range1_High]]</f>
        <v>0</v>
      </c>
      <c r="Y1644" s="111" t="s">
        <v>2843</v>
      </c>
    </row>
    <row r="1645" spans="1:25" ht="16.5" thickTop="1" thickBot="1" x14ac:dyDescent="0.3">
      <c r="A1645" t="s">
        <v>55</v>
      </c>
      <c r="B1645" t="s">
        <v>8</v>
      </c>
      <c r="C1645" s="113">
        <v>1</v>
      </c>
      <c r="D1645" s="113">
        <v>10</v>
      </c>
      <c r="E1645">
        <v>0.01</v>
      </c>
      <c r="F1645" t="s">
        <v>6</v>
      </c>
      <c r="G1645" t="s">
        <v>4</v>
      </c>
      <c r="H1645">
        <v>2000</v>
      </c>
      <c r="I1645">
        <v>4000</v>
      </c>
      <c r="J1645" t="s">
        <v>10</v>
      </c>
      <c r="K1645">
        <v>12</v>
      </c>
      <c r="L1645">
        <v>46.042000000000002</v>
      </c>
      <c r="M1645">
        <v>8.3953000000000007</v>
      </c>
      <c r="N1645">
        <v>46.298000000000002</v>
      </c>
      <c r="O1645" t="s">
        <v>2833</v>
      </c>
      <c r="P1645" t="s">
        <v>2833</v>
      </c>
      <c r="Q1645" t="s">
        <v>2833</v>
      </c>
      <c r="R1645">
        <f ca="1">RAND()*(Validation[[#This Row],[Range1_High]]-Validation[[#This Row],[Range1_Low]])+Validation[[#This Row],[Range1_Low]]</f>
        <v>6.9057561117834281</v>
      </c>
      <c r="S1645">
        <f>Validation[[#This Row],[Range2_High]]</f>
        <v>4000</v>
      </c>
      <c r="T1645" t="str" cm="1">
        <f t="array" aca="1" ref="T1645" ca="1">RoundToTwoSigFigs(Validation[[#This Row],[Test Reading]]*Validation[[#This Row],[Mult]]+Validation[[#This Row],[Base]]) &amp;" "&amp;Validation[[#This Row],[Uncert_Units]]</f>
        <v>330 mV</v>
      </c>
      <c r="U1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V1645" t="b">
        <f ca="1">Validation[[#This Row],[Desired Result]]=Validation[[#This Row],[Result]]</f>
        <v>1</v>
      </c>
      <c r="W1645" t="b">
        <v>1</v>
      </c>
      <c r="X1645" t="b">
        <f>Validation[[#This Row],[Range1_Low]]&gt;=Validation[[#This Row],[Range1_High]]</f>
        <v>0</v>
      </c>
      <c r="Y1645" s="111" t="s">
        <v>2843</v>
      </c>
    </row>
    <row r="1646" spans="1:25" ht="16.5" thickTop="1" thickBot="1" x14ac:dyDescent="0.3">
      <c r="A1646" t="s">
        <v>55</v>
      </c>
      <c r="B1646" t="s">
        <v>8</v>
      </c>
      <c r="C1646" s="113">
        <v>20</v>
      </c>
      <c r="D1646" s="113">
        <v>100</v>
      </c>
      <c r="E1646">
        <v>1.0000000000000001E-5</v>
      </c>
      <c r="F1646" t="s">
        <v>6</v>
      </c>
      <c r="G1646" t="s">
        <v>4</v>
      </c>
      <c r="H1646">
        <v>50</v>
      </c>
      <c r="I1646">
        <v>100</v>
      </c>
      <c r="J1646" t="s">
        <v>10</v>
      </c>
      <c r="K1646">
        <v>22</v>
      </c>
      <c r="L1646">
        <v>1.2</v>
      </c>
      <c r="M1646">
        <v>17.722000000000001</v>
      </c>
      <c r="N1646">
        <v>1.2358</v>
      </c>
      <c r="O1646" t="s">
        <v>2833</v>
      </c>
      <c r="P1646" t="s">
        <v>2833</v>
      </c>
      <c r="Q1646" t="s">
        <v>2833</v>
      </c>
      <c r="R1646">
        <f ca="1">RAND()*(Validation[[#This Row],[Range1_High]]-Validation[[#This Row],[Range1_Low]])+Validation[[#This Row],[Range1_Low]]</f>
        <v>42.527320835170734</v>
      </c>
      <c r="S1646">
        <f>Validation[[#This Row],[Range2_High]]</f>
        <v>100</v>
      </c>
      <c r="T1646" t="str" cm="1">
        <f t="array" aca="1" ref="T1646" ca="1">RoundToTwoSigFigs(Validation[[#This Row],[Test Reading]]*Validation[[#This Row],[Mult]]+Validation[[#This Row],[Base]]) &amp;" "&amp;Validation[[#This Row],[Uncert_Units]]</f>
        <v>73 mV</v>
      </c>
      <c r="U1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V1646" t="b">
        <f ca="1">Validation[[#This Row],[Desired Result]]=Validation[[#This Row],[Result]]</f>
        <v>0</v>
      </c>
      <c r="W1646" t="b">
        <v>1</v>
      </c>
      <c r="X1646" t="b">
        <f>Validation[[#This Row],[Range1_Low]]&gt;=Validation[[#This Row],[Range1_High]]</f>
        <v>0</v>
      </c>
      <c r="Y1646" s="111" t="s">
        <v>2843</v>
      </c>
    </row>
    <row r="1647" spans="1:25" ht="16.5" thickTop="1" thickBot="1" x14ac:dyDescent="0.3">
      <c r="A1647" t="s">
        <v>55</v>
      </c>
      <c r="B1647" t="s">
        <v>8</v>
      </c>
      <c r="C1647" s="113">
        <v>0.01</v>
      </c>
      <c r="D1647" s="113">
        <v>0.1</v>
      </c>
      <c r="E1647">
        <v>9.9999999999999995E-7</v>
      </c>
      <c r="F1647" t="s">
        <v>6</v>
      </c>
      <c r="G1647" t="s">
        <v>5</v>
      </c>
      <c r="H1647">
        <v>0.04</v>
      </c>
      <c r="I1647">
        <v>1</v>
      </c>
      <c r="J1647" t="s">
        <v>10</v>
      </c>
      <c r="K1647">
        <v>3.5</v>
      </c>
      <c r="L1647">
        <v>80.42</v>
      </c>
      <c r="M1647">
        <v>3.4847999999999999</v>
      </c>
      <c r="N1647">
        <v>80.411000000000001</v>
      </c>
      <c r="O1647" t="s">
        <v>2833</v>
      </c>
      <c r="P1647" t="s">
        <v>2833</v>
      </c>
      <c r="Q1647" t="s">
        <v>2833</v>
      </c>
      <c r="R1647">
        <f ca="1">RAND()*(Validation[[#This Row],[Range1_High]]-Validation[[#This Row],[Range1_Low]])+Validation[[#This Row],[Range1_Low]]</f>
        <v>5.1425992795409527E-2</v>
      </c>
      <c r="S1647">
        <f>Validation[[#This Row],[Range2_High]]</f>
        <v>1</v>
      </c>
      <c r="T1647" t="str" cm="1">
        <f t="array" aca="1" ref="T1647" ca="1">RoundToTwoSigFigs(Validation[[#This Row],[Test Reading]]*Validation[[#This Row],[Mult]]+Validation[[#This Row],[Base]]) &amp;" "&amp;Validation[[#This Row],[Uncert_Units]]</f>
        <v>7.6 µV</v>
      </c>
      <c r="U1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µV</v>
      </c>
      <c r="V1647" t="b">
        <f ca="1">Validation[[#This Row],[Desired Result]]=Validation[[#This Row],[Result]]</f>
        <v>1</v>
      </c>
      <c r="W1647" t="b">
        <v>1</v>
      </c>
      <c r="X1647" t="b">
        <f>Validation[[#This Row],[Range1_Low]]&gt;=Validation[[#This Row],[Range1_High]]</f>
        <v>0</v>
      </c>
      <c r="Y1647" s="111" t="s">
        <v>2843</v>
      </c>
    </row>
    <row r="1648" spans="1:25" ht="16.5" thickTop="1" thickBot="1" x14ac:dyDescent="0.3">
      <c r="A1648" t="s">
        <v>55</v>
      </c>
      <c r="B1648" t="s">
        <v>8</v>
      </c>
      <c r="C1648" s="113">
        <v>20</v>
      </c>
      <c r="D1648" s="113">
        <v>100</v>
      </c>
      <c r="E1648">
        <v>1E-4</v>
      </c>
      <c r="F1648" t="s">
        <v>6</v>
      </c>
      <c r="G1648" t="s">
        <v>4</v>
      </c>
      <c r="H1648">
        <v>50</v>
      </c>
      <c r="I1648">
        <v>100</v>
      </c>
      <c r="J1648" t="s">
        <v>10</v>
      </c>
      <c r="K1648">
        <v>22</v>
      </c>
      <c r="L1648">
        <v>1.2034</v>
      </c>
      <c r="M1648">
        <v>17.722999999999999</v>
      </c>
      <c r="N1648">
        <v>1.2358</v>
      </c>
      <c r="O1648" t="s">
        <v>2833</v>
      </c>
      <c r="P1648" t="s">
        <v>2833</v>
      </c>
      <c r="Q1648" t="s">
        <v>2833</v>
      </c>
      <c r="R1648">
        <f ca="1">RAND()*(Validation[[#This Row],[Range1_High]]-Validation[[#This Row],[Range1_Low]])+Validation[[#This Row],[Range1_Low]]</f>
        <v>86.90604782290167</v>
      </c>
      <c r="S1648">
        <f>Validation[[#This Row],[Range2_High]]</f>
        <v>100</v>
      </c>
      <c r="T1648" t="str" cm="1">
        <f t="array" aca="1" ref="T1648" ca="1">RoundToTwoSigFigs(Validation[[#This Row],[Test Reading]]*Validation[[#This Row],[Mult]]+Validation[[#This Row],[Base]]) &amp;" "&amp;Validation[[#This Row],[Uncert_Units]]</f>
        <v>130 mV</v>
      </c>
      <c r="U1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V1648" t="b">
        <f ca="1">Validation[[#This Row],[Desired Result]]=Validation[[#This Row],[Result]]</f>
        <v>0</v>
      </c>
      <c r="W1648" t="b">
        <v>1</v>
      </c>
      <c r="X1648" t="b">
        <f>Validation[[#This Row],[Range1_Low]]&gt;=Validation[[#This Row],[Range1_High]]</f>
        <v>0</v>
      </c>
      <c r="Y1648" s="111" t="s">
        <v>2843</v>
      </c>
    </row>
    <row r="1649" spans="1:25" ht="16.5" thickTop="1" thickBot="1" x14ac:dyDescent="0.3">
      <c r="A1649" t="s">
        <v>55</v>
      </c>
      <c r="B1649" t="s">
        <v>8</v>
      </c>
      <c r="C1649" s="113">
        <v>0.1</v>
      </c>
      <c r="D1649" s="113">
        <v>1</v>
      </c>
      <c r="E1649">
        <v>9.9999999999999995E-7</v>
      </c>
      <c r="F1649" t="s">
        <v>6</v>
      </c>
      <c r="G1649" t="s">
        <v>4</v>
      </c>
      <c r="H1649">
        <v>8000</v>
      </c>
      <c r="I1649">
        <v>10000</v>
      </c>
      <c r="J1649" t="s">
        <v>10</v>
      </c>
      <c r="K1649">
        <v>4.5999999999999996</v>
      </c>
      <c r="L1649">
        <v>170.12</v>
      </c>
      <c r="M1649">
        <v>1.1459999999999999</v>
      </c>
      <c r="N1649">
        <v>173.36</v>
      </c>
      <c r="O1649" t="s">
        <v>2833</v>
      </c>
      <c r="P1649" t="s">
        <v>2833</v>
      </c>
      <c r="Q1649" t="s">
        <v>2833</v>
      </c>
      <c r="R1649">
        <f ca="1">RAND()*(Validation[[#This Row],[Range1_High]]-Validation[[#This Row],[Range1_Low]])+Validation[[#This Row],[Range1_Low]]</f>
        <v>0.15066010130252633</v>
      </c>
      <c r="S1649">
        <f>Validation[[#This Row],[Range2_High]]</f>
        <v>10000</v>
      </c>
      <c r="T1649" t="str" cm="1">
        <f t="array" aca="1" ref="T1649" ca="1">RoundToTwoSigFigs(Validation[[#This Row],[Test Reading]]*Validation[[#This Row],[Mult]]+Validation[[#This Row],[Base]]) &amp;" "&amp;Validation[[#This Row],[Uncert_Units]]</f>
        <v>30 mV</v>
      </c>
      <c r="U1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V1649" t="b">
        <f ca="1">Validation[[#This Row],[Desired Result]]=Validation[[#This Row],[Result]]</f>
        <v>1</v>
      </c>
      <c r="W1649" t="b">
        <v>1</v>
      </c>
      <c r="X1649" t="b">
        <f>Validation[[#This Row],[Range1_Low]]&gt;=Validation[[#This Row],[Range1_High]]</f>
        <v>0</v>
      </c>
      <c r="Y1649" s="111" t="s">
        <v>2843</v>
      </c>
    </row>
    <row r="1650" spans="1:25" ht="16.5" thickTop="1" thickBot="1" x14ac:dyDescent="0.3">
      <c r="A1650" t="s">
        <v>54</v>
      </c>
      <c r="B1650" t="s">
        <v>8</v>
      </c>
      <c r="C1650">
        <v>0.33</v>
      </c>
      <c r="D1650">
        <v>3.3001</v>
      </c>
      <c r="E1650">
        <v>0.1</v>
      </c>
      <c r="F1650" t="s">
        <v>6</v>
      </c>
      <c r="G1650" t="s">
        <v>4</v>
      </c>
      <c r="H1650">
        <v>100</v>
      </c>
      <c r="I1650">
        <v>500</v>
      </c>
      <c r="J1650" t="s">
        <v>10</v>
      </c>
      <c r="K1650">
        <v>57.706000000000003</v>
      </c>
      <c r="L1650">
        <v>1.1207</v>
      </c>
      <c r="M1650">
        <v>57.704999999999998</v>
      </c>
      <c r="N1650">
        <v>1.1204000000000001</v>
      </c>
      <c r="O1650" t="s">
        <v>2833</v>
      </c>
      <c r="P1650" t="s">
        <v>2833</v>
      </c>
      <c r="Q1650" t="s">
        <v>2833</v>
      </c>
      <c r="R1650">
        <f ca="1">RAND()*(Validation[[#This Row],[Range1_High]]-Validation[[#This Row],[Range1_Low]])+Validation[[#This Row],[Range1_Low]]</f>
        <v>0.88886118295289229</v>
      </c>
      <c r="S1650">
        <f>Validation[[#This Row],[Range2_High]]</f>
        <v>500</v>
      </c>
      <c r="T1650" t="str" cm="1">
        <f t="array" aca="1" ref="T1650" ca="1">RoundToTwoSigFigs(Validation[[#This Row],[Test Reading]]*Validation[[#This Row],[Mult]]+Validation[[#This Row],[Base]]) &amp;" "&amp;Validation[[#This Row],[Uncert_Units]]</f>
        <v>59 mV</v>
      </c>
      <c r="U1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V1650" t="b">
        <f ca="1">Validation[[#This Row],[Desired Result]]=Validation[[#This Row],[Result]]</f>
        <v>1</v>
      </c>
      <c r="W1650" t="b">
        <v>0</v>
      </c>
      <c r="X1650" t="b">
        <f>Validation[[#This Row],[Range1_Low]]&gt;=Validation[[#This Row],[Range1_High]]</f>
        <v>0</v>
      </c>
      <c r="Y1650" s="111" t="s">
        <v>2845</v>
      </c>
    </row>
    <row r="1651" spans="1:25" ht="16.5" thickTop="1" thickBot="1" x14ac:dyDescent="0.3">
      <c r="A1651" t="s">
        <v>55</v>
      </c>
      <c r="B1651" t="s">
        <v>8</v>
      </c>
      <c r="C1651" s="113">
        <v>1</v>
      </c>
      <c r="D1651" s="113">
        <v>10</v>
      </c>
      <c r="E1651">
        <v>0.01</v>
      </c>
      <c r="F1651" t="s">
        <v>6</v>
      </c>
      <c r="G1651" t="s">
        <v>4</v>
      </c>
      <c r="H1651">
        <v>8000</v>
      </c>
      <c r="I1651">
        <v>10000</v>
      </c>
      <c r="J1651" t="s">
        <v>10</v>
      </c>
      <c r="K1651">
        <v>46</v>
      </c>
      <c r="L1651">
        <v>170.12</v>
      </c>
      <c r="M1651">
        <v>11.629</v>
      </c>
      <c r="N1651">
        <v>173.35</v>
      </c>
      <c r="O1651" t="s">
        <v>2833</v>
      </c>
      <c r="P1651" t="s">
        <v>2833</v>
      </c>
      <c r="Q1651" t="s">
        <v>2833</v>
      </c>
      <c r="R1651">
        <f ca="1">RAND()*(Validation[[#This Row],[Range1_High]]-Validation[[#This Row],[Range1_Low]])+Validation[[#This Row],[Range1_Low]]</f>
        <v>4.473158037596118</v>
      </c>
      <c r="S1651">
        <f>Validation[[#This Row],[Range2_High]]</f>
        <v>10000</v>
      </c>
      <c r="T1651" t="str" cm="1">
        <f t="array" aca="1" ref="T1651" ca="1">RoundToTwoSigFigs(Validation[[#This Row],[Test Reading]]*Validation[[#This Row],[Mult]]+Validation[[#This Row],[Base]]) &amp;" "&amp;Validation[[#This Row],[Uncert_Units]]</f>
        <v>810 mV</v>
      </c>
      <c r="U1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mV</v>
      </c>
      <c r="V1651" t="b">
        <f ca="1">Validation[[#This Row],[Desired Result]]=Validation[[#This Row],[Result]]</f>
        <v>1</v>
      </c>
      <c r="W1651" t="b">
        <v>1</v>
      </c>
      <c r="X1651" t="b">
        <f>Validation[[#This Row],[Range1_Low]]&gt;=Validation[[#This Row],[Range1_High]]</f>
        <v>0</v>
      </c>
      <c r="Y1651" s="111" t="s">
        <v>2843</v>
      </c>
    </row>
    <row r="1652" spans="1:25" ht="15.75" thickTop="1" x14ac:dyDescent="0.25">
      <c r="A1652" t="s">
        <v>55</v>
      </c>
      <c r="B1652" t="s">
        <v>8</v>
      </c>
      <c r="C1652">
        <v>0</v>
      </c>
      <c r="D1652">
        <v>0.01</v>
      </c>
      <c r="E1652">
        <v>0.1</v>
      </c>
      <c r="F1652" t="s">
        <v>6</v>
      </c>
      <c r="G1652" t="s">
        <v>5</v>
      </c>
      <c r="H1652">
        <v>1000</v>
      </c>
      <c r="I1652">
        <v>4000</v>
      </c>
      <c r="J1652" t="s">
        <v>10</v>
      </c>
      <c r="K1652">
        <v>57735</v>
      </c>
      <c r="L1652">
        <v>584.6</v>
      </c>
      <c r="M1652">
        <v>57728</v>
      </c>
      <c r="N1652">
        <v>582.75</v>
      </c>
      <c r="O1652" t="s">
        <v>2833</v>
      </c>
      <c r="P1652" t="s">
        <v>2833</v>
      </c>
      <c r="Q1652" t="s">
        <v>2833</v>
      </c>
      <c r="R1652">
        <f ca="1">RAND()*(Validation[[#This Row],[Range1_High]]-Validation[[#This Row],[Range1_Low]])+Validation[[#This Row],[Range1_Low]]</f>
        <v>8.7653359240084279E-3</v>
      </c>
      <c r="S1652">
        <f>Validation[[#This Row],[Range2_High]]</f>
        <v>4000</v>
      </c>
      <c r="T1652" t="str" cm="1">
        <f t="array" aca="1" ref="T1652" ca="1">RoundToTwoSigFigs(Validation[[#This Row],[Test Reading]]*Validation[[#This Row],[Mult]]+Validation[[#This Row],[Base]]) &amp;" "&amp;Validation[[#This Row],[Uncert_Units]]</f>
        <v>58000 µV</v>
      </c>
      <c r="U1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652" t="b">
        <f ca="1">Validation[[#This Row],[Desired Result]]=Validation[[#This Row],[Result]]</f>
        <v>1</v>
      </c>
      <c r="W1652" t="b">
        <v>0</v>
      </c>
      <c r="X1652" t="b">
        <f>Validation[[#This Row],[Range1_Low]]&gt;=Validation[[#This Row],[Range1_High]]</f>
        <v>0</v>
      </c>
      <c r="Y1652" s="111" t="s">
        <v>2845</v>
      </c>
    </row>
    <row r="1653" spans="1:25" x14ac:dyDescent="0.25">
      <c r="A1653" t="s">
        <v>54</v>
      </c>
      <c r="B1653" t="s">
        <v>8</v>
      </c>
      <c r="C1653">
        <v>3.3000000000000002E-2</v>
      </c>
      <c r="D1653">
        <v>0.33001000000000003</v>
      </c>
      <c r="E1653">
        <v>0.01</v>
      </c>
      <c r="F1653" t="s">
        <v>6</v>
      </c>
      <c r="G1653" t="s">
        <v>5</v>
      </c>
      <c r="H1653">
        <v>20</v>
      </c>
      <c r="I1653">
        <v>50.01</v>
      </c>
      <c r="J1653" t="s">
        <v>10</v>
      </c>
      <c r="K1653">
        <v>5799</v>
      </c>
      <c r="L1653">
        <v>51.02</v>
      </c>
      <c r="M1653">
        <v>5798.9</v>
      </c>
      <c r="N1653">
        <v>50.942</v>
      </c>
      <c r="O1653" t="s">
        <v>2833</v>
      </c>
      <c r="P1653" t="s">
        <v>2833</v>
      </c>
      <c r="Q1653" t="s">
        <v>2833</v>
      </c>
      <c r="R1653">
        <f ca="1">RAND()*(Validation[[#This Row],[Range1_High]]-Validation[[#This Row],[Range1_Low]])+Validation[[#This Row],[Range1_Low]]</f>
        <v>0.20228460528536976</v>
      </c>
      <c r="S1653">
        <f>Validation[[#This Row],[Range2_High]]</f>
        <v>50.01</v>
      </c>
      <c r="T1653" t="str" cm="1">
        <f t="array" aca="1" ref="T1653" ca="1">RoundToTwoSigFigs(Validation[[#This Row],[Test Reading]]*Validation[[#This Row],[Mult]]+Validation[[#This Row],[Base]]) &amp;" "&amp;Validation[[#This Row],[Uncert_Units]]</f>
        <v>5800 µV</v>
      </c>
      <c r="U1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V1653" t="b">
        <f ca="1">Validation[[#This Row],[Desired Result]]=Validation[[#This Row],[Result]]</f>
        <v>0</v>
      </c>
      <c r="W1653" t="b">
        <v>0</v>
      </c>
      <c r="X1653" t="b">
        <f>Validation[[#This Row],[Range1_Low]]&gt;=Validation[[#This Row],[Range1_High]]</f>
        <v>0</v>
      </c>
      <c r="Y1653" s="111" t="s">
        <v>2845</v>
      </c>
    </row>
    <row r="1654" spans="1:25" ht="15.75" thickBot="1" x14ac:dyDescent="0.3">
      <c r="A1654" t="s">
        <v>54</v>
      </c>
      <c r="B1654" t="s">
        <v>8</v>
      </c>
      <c r="C1654">
        <v>0</v>
      </c>
      <c r="D1654">
        <v>3.3009999999999998E-2</v>
      </c>
      <c r="E1654">
        <v>1</v>
      </c>
      <c r="F1654" t="s">
        <v>6</v>
      </c>
      <c r="G1654" t="s">
        <v>5</v>
      </c>
      <c r="H1654">
        <v>100</v>
      </c>
      <c r="I1654">
        <v>500</v>
      </c>
      <c r="J1654" t="s">
        <v>10</v>
      </c>
      <c r="K1654">
        <v>580000</v>
      </c>
      <c r="L1654">
        <v>5.5656999999999996</v>
      </c>
      <c r="M1654">
        <v>580000</v>
      </c>
      <c r="N1654">
        <v>5.2995000000000001</v>
      </c>
      <c r="O1654" t="s">
        <v>2833</v>
      </c>
      <c r="P1654" t="s">
        <v>2833</v>
      </c>
      <c r="Q1654" t="s">
        <v>2833</v>
      </c>
      <c r="R1654">
        <f ca="1">RAND()*(Validation[[#This Row],[Range1_High]]-Validation[[#This Row],[Range1_Low]])+Validation[[#This Row],[Range1_Low]]</f>
        <v>1.4886481819567379E-2</v>
      </c>
      <c r="S1654">
        <f>Validation[[#This Row],[Range2_High]]</f>
        <v>500</v>
      </c>
      <c r="T1654" t="str" cm="1">
        <f t="array" aca="1" ref="T1654" ca="1">RoundToTwoSigFigs(Validation[[#This Row],[Test Reading]]*Validation[[#This Row],[Mult]]+Validation[[#This Row],[Base]]) &amp;" "&amp;Validation[[#This Row],[Uncert_Units]]</f>
        <v>580000 µV</v>
      </c>
      <c r="U16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V1654" t="b">
        <f ca="1">Validation[[#This Row],[Desired Result]]=Validation[[#This Row],[Result]]</f>
        <v>1</v>
      </c>
      <c r="W1654" t="b">
        <v>0</v>
      </c>
      <c r="X1654" t="b">
        <f>Validation[[#This Row],[Range1_Low]]&gt;=Validation[[#This Row],[Range1_High]]</f>
        <v>0</v>
      </c>
      <c r="Y1654" s="111" t="s">
        <v>2845</v>
      </c>
    </row>
    <row r="1655" spans="1:25" ht="16.5" thickTop="1" thickBot="1" x14ac:dyDescent="0.3">
      <c r="A1655" t="s">
        <v>55</v>
      </c>
      <c r="B1655" t="s">
        <v>8</v>
      </c>
      <c r="C1655" s="113">
        <v>100</v>
      </c>
      <c r="D1655" s="113">
        <v>330</v>
      </c>
      <c r="E1655">
        <v>1E-4</v>
      </c>
      <c r="F1655" t="s">
        <v>6</v>
      </c>
      <c r="G1655" t="s">
        <v>4</v>
      </c>
      <c r="H1655">
        <v>1E-3</v>
      </c>
      <c r="I1655">
        <v>0.04</v>
      </c>
      <c r="J1655" t="s">
        <v>10</v>
      </c>
      <c r="K1655">
        <v>48</v>
      </c>
      <c r="L1655">
        <v>0.46</v>
      </c>
      <c r="M1655">
        <v>46.118000000000002</v>
      </c>
      <c r="N1655">
        <v>0.46325</v>
      </c>
      <c r="O1655" t="s">
        <v>2833</v>
      </c>
      <c r="P1655" t="s">
        <v>2833</v>
      </c>
      <c r="Q1655" t="s">
        <v>2833</v>
      </c>
      <c r="R1655">
        <f ca="1">RAND()*(Validation[[#This Row],[Range1_High]]-Validation[[#This Row],[Range1_Low]])+Validation[[#This Row],[Range1_Low]]</f>
        <v>322.87243684676673</v>
      </c>
      <c r="S1655">
        <f>Validation[[#This Row],[Range2_High]]</f>
        <v>0.04</v>
      </c>
      <c r="T1655" t="str" cm="1">
        <f t="array" aca="1" ref="T1655" ca="1">RoundToTwoSigFigs(Validation[[#This Row],[Test Reading]]*Validation[[#This Row],[Mult]]+Validation[[#This Row],[Base]]) &amp;" "&amp;Validation[[#This Row],[Uncert_Units]]</f>
        <v>200 mV</v>
      </c>
      <c r="U16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V1655" t="b">
        <f ca="1">Validation[[#This Row],[Desired Result]]=Validation[[#This Row],[Result]]</f>
        <v>0</v>
      </c>
      <c r="W1655" t="b">
        <v>1</v>
      </c>
      <c r="X1655" t="b">
        <f>Validation[[#This Row],[Range1_Low]]&gt;=Validation[[#This Row],[Range1_High]]</f>
        <v>0</v>
      </c>
      <c r="Y1655" s="111" t="s">
        <v>2843</v>
      </c>
    </row>
    <row r="1656" spans="1:25" ht="15.75" thickTop="1" x14ac:dyDescent="0.25">
      <c r="A1656" t="s">
        <v>54</v>
      </c>
      <c r="B1656" t="s">
        <v>8</v>
      </c>
      <c r="C1656">
        <v>33</v>
      </c>
      <c r="D1656">
        <v>330.01</v>
      </c>
      <c r="E1656">
        <v>10</v>
      </c>
      <c r="F1656" t="s">
        <v>6</v>
      </c>
      <c r="G1656" t="s">
        <v>4</v>
      </c>
      <c r="H1656">
        <v>10</v>
      </c>
      <c r="I1656">
        <v>20.010000000000002</v>
      </c>
      <c r="J1656" t="s">
        <v>10</v>
      </c>
      <c r="K1656">
        <v>5799</v>
      </c>
      <c r="L1656">
        <v>3.5762000000000002E-2</v>
      </c>
      <c r="M1656">
        <v>5799</v>
      </c>
      <c r="N1656">
        <v>3.5673999999999997E-2</v>
      </c>
      <c r="O1656" t="s">
        <v>2833</v>
      </c>
      <c r="P1656" t="s">
        <v>2833</v>
      </c>
      <c r="Q1656" t="s">
        <v>2833</v>
      </c>
      <c r="R1656">
        <f ca="1">RAND()*(Validation[[#This Row],[Range1_High]]-Validation[[#This Row],[Range1_Low]])+Validation[[#This Row],[Range1_Low]]</f>
        <v>293.93380005390679</v>
      </c>
      <c r="S1656">
        <f>Validation[[#This Row],[Range2_High]]</f>
        <v>20.010000000000002</v>
      </c>
      <c r="T1656" t="str" cm="1">
        <f t="array" aca="1" ref="T1656" ca="1">RoundToTwoSigFigs(Validation[[#This Row],[Test Reading]]*Validation[[#This Row],[Mult]]+Validation[[#This Row],[Base]]) &amp;" "&amp;Validation[[#This Row],[Uncert_Units]]</f>
        <v>5800 mV</v>
      </c>
      <c r="U16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1656" t="b">
        <f ca="1">Validation[[#This Row],[Desired Result]]=Validation[[#This Row],[Result]]</f>
        <v>1</v>
      </c>
      <c r="W1656" t="b">
        <v>0</v>
      </c>
      <c r="X1656" t="b">
        <f>Validation[[#This Row],[Range1_Low]]&gt;=Validation[[#This Row],[Range1_High]]</f>
        <v>0</v>
      </c>
      <c r="Y1656" s="111" t="s">
        <v>2845</v>
      </c>
    </row>
    <row r="1657" spans="1:25" x14ac:dyDescent="0.25">
      <c r="A1657" t="s">
        <v>55</v>
      </c>
      <c r="B1657" t="s">
        <v>8</v>
      </c>
      <c r="C1657">
        <v>0.01</v>
      </c>
      <c r="D1657">
        <v>0.1</v>
      </c>
      <c r="E1657">
        <v>1E-3</v>
      </c>
      <c r="F1657" t="s">
        <v>6</v>
      </c>
      <c r="G1657" t="s">
        <v>5</v>
      </c>
      <c r="H1657">
        <v>50</v>
      </c>
      <c r="I1657">
        <v>100</v>
      </c>
      <c r="J1657" t="s">
        <v>10</v>
      </c>
      <c r="K1657">
        <v>576.69000000000005</v>
      </c>
      <c r="L1657">
        <v>87.305999999999997</v>
      </c>
      <c r="M1657">
        <v>571.67999999999995</v>
      </c>
      <c r="N1657">
        <v>86.953999999999994</v>
      </c>
      <c r="O1657" t="s">
        <v>2833</v>
      </c>
      <c r="P1657" t="s">
        <v>2833</v>
      </c>
      <c r="Q1657" t="s">
        <v>2833</v>
      </c>
      <c r="R1657">
        <f ca="1">RAND()*(Validation[[#This Row],[Range1_High]]-Validation[[#This Row],[Range1_Low]])+Validation[[#This Row],[Range1_Low]]</f>
        <v>8.4614353135360615E-2</v>
      </c>
      <c r="S1657">
        <f>Validation[[#This Row],[Range2_High]]</f>
        <v>100</v>
      </c>
      <c r="T1657" t="str" cm="1">
        <f t="array" aca="1" ref="T1657" ca="1">RoundToTwoSigFigs(Validation[[#This Row],[Test Reading]]*Validation[[#This Row],[Mult]]+Validation[[#This Row],[Base]]) &amp;" "&amp;Validation[[#This Row],[Uncert_Units]]</f>
        <v>580 µV</v>
      </c>
      <c r="U16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1657" t="b">
        <f ca="1">Validation[[#This Row],[Desired Result]]=Validation[[#This Row],[Result]]</f>
        <v>1</v>
      </c>
      <c r="W1657" t="b">
        <v>0</v>
      </c>
      <c r="X1657" t="b">
        <f>Validation[[#This Row],[Range1_Low]]&gt;=Validation[[#This Row],[Range1_High]]</f>
        <v>0</v>
      </c>
      <c r="Y1657" s="111" t="s">
        <v>2845</v>
      </c>
    </row>
    <row r="1658" spans="1:25" ht="15.75" thickBot="1" x14ac:dyDescent="0.3">
      <c r="A1658" t="s">
        <v>54</v>
      </c>
      <c r="B1658" t="s">
        <v>8</v>
      </c>
      <c r="C1658">
        <v>0</v>
      </c>
      <c r="D1658">
        <v>3.3009999999999998E-2</v>
      </c>
      <c r="E1658">
        <v>1.0000000000000001E-5</v>
      </c>
      <c r="F1658" t="s">
        <v>6</v>
      </c>
      <c r="G1658" t="s">
        <v>5</v>
      </c>
      <c r="H1658">
        <v>0.01</v>
      </c>
      <c r="I1658">
        <v>4.5010000000000001E-2</v>
      </c>
      <c r="J1658" t="s">
        <v>10</v>
      </c>
      <c r="K1658">
        <v>25</v>
      </c>
      <c r="L1658">
        <v>1718.2</v>
      </c>
      <c r="M1658">
        <v>23.853999999999999</v>
      </c>
      <c r="N1658">
        <v>1717.9</v>
      </c>
      <c r="O1658" t="s">
        <v>2833</v>
      </c>
      <c r="P1658" t="s">
        <v>2833</v>
      </c>
      <c r="Q1658" t="s">
        <v>2833</v>
      </c>
      <c r="R1658">
        <f ca="1">RAND()*(Validation[[#This Row],[Range1_High]]-Validation[[#This Row],[Range1_Low]])+Validation[[#This Row],[Range1_Low]]</f>
        <v>3.8348502876196957E-3</v>
      </c>
      <c r="S1658">
        <f>Validation[[#This Row],[Range2_High]]</f>
        <v>4.5010000000000001E-2</v>
      </c>
      <c r="T1658" t="str" cm="1">
        <f t="array" aca="1" ref="T1658" ca="1">RoundToTwoSigFigs(Validation[[#This Row],[Test Reading]]*Validation[[#This Row],[Mult]]+Validation[[#This Row],[Base]]) &amp;" "&amp;Validation[[#This Row],[Uncert_Units]]</f>
        <v>32 µV</v>
      </c>
      <c r="U16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µV</v>
      </c>
      <c r="V1658" t="b">
        <f ca="1">Validation[[#This Row],[Desired Result]]=Validation[[#This Row],[Result]]</f>
        <v>1</v>
      </c>
      <c r="W1658" t="b">
        <v>0</v>
      </c>
      <c r="X1658" t="b">
        <f>Validation[[#This Row],[Range1_Low]]&gt;=Validation[[#This Row],[Range1_High]]</f>
        <v>0</v>
      </c>
      <c r="Y1658" s="111" t="s">
        <v>2845</v>
      </c>
    </row>
    <row r="1659" spans="1:25" ht="16.5" thickTop="1" thickBot="1" x14ac:dyDescent="0.3">
      <c r="A1659" t="s">
        <v>55</v>
      </c>
      <c r="B1659" t="s">
        <v>8</v>
      </c>
      <c r="C1659" s="113">
        <v>20</v>
      </c>
      <c r="D1659" s="113">
        <v>100</v>
      </c>
      <c r="E1659">
        <v>0.1</v>
      </c>
      <c r="F1659" t="s">
        <v>6</v>
      </c>
      <c r="G1659" t="s">
        <v>4</v>
      </c>
      <c r="H1659">
        <v>20</v>
      </c>
      <c r="I1659">
        <v>50</v>
      </c>
      <c r="J1659" t="s">
        <v>10</v>
      </c>
      <c r="K1659">
        <v>57.162999999999997</v>
      </c>
      <c r="L1659">
        <v>0.15068999999999999</v>
      </c>
      <c r="M1659">
        <v>57.158999999999999</v>
      </c>
      <c r="N1659">
        <v>0.15056</v>
      </c>
      <c r="O1659" t="s">
        <v>2833</v>
      </c>
      <c r="P1659" t="s">
        <v>2833</v>
      </c>
      <c r="Q1659" t="s">
        <v>2833</v>
      </c>
      <c r="R1659">
        <f ca="1">RAND()*(Validation[[#This Row],[Range1_High]]-Validation[[#This Row],[Range1_Low]])+Validation[[#This Row],[Range1_Low]]</f>
        <v>51.674908381637366</v>
      </c>
      <c r="S1659">
        <f>Validation[[#This Row],[Range2_High]]</f>
        <v>50</v>
      </c>
      <c r="T1659" t="str" cm="1">
        <f t="array" aca="1" ref="T1659" ca="1">RoundToTwoSigFigs(Validation[[#This Row],[Test Reading]]*Validation[[#This Row],[Mult]]+Validation[[#This Row],[Base]]) &amp;" "&amp;Validation[[#This Row],[Uncert_Units]]</f>
        <v>65 mV</v>
      </c>
      <c r="U16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V1659" t="b">
        <f ca="1">Validation[[#This Row],[Desired Result]]=Validation[[#This Row],[Result]]</f>
        <v>0</v>
      </c>
      <c r="W1659" t="b">
        <v>1</v>
      </c>
      <c r="X1659" t="b">
        <f>Validation[[#This Row],[Range1_Low]]&gt;=Validation[[#This Row],[Range1_High]]</f>
        <v>0</v>
      </c>
      <c r="Y1659" s="111" t="s">
        <v>2843</v>
      </c>
    </row>
    <row r="1660" spans="1:25" ht="16.5" thickTop="1" thickBot="1" x14ac:dyDescent="0.3">
      <c r="A1660" t="s">
        <v>55</v>
      </c>
      <c r="B1660" t="s">
        <v>8</v>
      </c>
      <c r="C1660" s="113">
        <v>10</v>
      </c>
      <c r="D1660" s="113">
        <v>20</v>
      </c>
      <c r="E1660">
        <v>1E-3</v>
      </c>
      <c r="F1660" t="s">
        <v>6</v>
      </c>
      <c r="G1660" t="s">
        <v>4</v>
      </c>
      <c r="H1660">
        <v>50</v>
      </c>
      <c r="I1660">
        <v>100</v>
      </c>
      <c r="J1660" t="s">
        <v>10</v>
      </c>
      <c r="K1660">
        <v>2.4</v>
      </c>
      <c r="L1660">
        <v>1.4</v>
      </c>
      <c r="M1660">
        <v>2.3921999999999999</v>
      </c>
      <c r="N1660">
        <v>1.3884000000000001</v>
      </c>
      <c r="O1660" t="s">
        <v>2833</v>
      </c>
      <c r="P1660" t="s">
        <v>2833</v>
      </c>
      <c r="Q1660" t="s">
        <v>2833</v>
      </c>
      <c r="R1660">
        <f ca="1">RAND()*(Validation[[#This Row],[Range1_High]]-Validation[[#This Row],[Range1_Low]])+Validation[[#This Row],[Range1_Low]]</f>
        <v>17.998421469661867</v>
      </c>
      <c r="S1660">
        <f>Validation[[#This Row],[Range2_High]]</f>
        <v>100</v>
      </c>
      <c r="T1660" t="str" cm="1">
        <f t="array" aca="1" ref="T1660" ca="1">RoundToTwoSigFigs(Validation[[#This Row],[Test Reading]]*Validation[[#This Row],[Mult]]+Validation[[#This Row],[Base]]) &amp;" "&amp;Validation[[#This Row],[Uncert_Units]]</f>
        <v>28 mV</v>
      </c>
      <c r="U16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V1660" t="b">
        <f ca="1">Validation[[#This Row],[Desired Result]]=Validation[[#This Row],[Result]]</f>
        <v>0</v>
      </c>
      <c r="W1660" t="b">
        <v>1</v>
      </c>
      <c r="X1660" t="b">
        <f>Validation[[#This Row],[Range1_Low]]&gt;=Validation[[#This Row],[Range1_High]]</f>
        <v>0</v>
      </c>
      <c r="Y1660" s="111" t="s">
        <v>2843</v>
      </c>
    </row>
    <row r="1661" spans="1:25" ht="16.5" thickTop="1" thickBot="1" x14ac:dyDescent="0.3">
      <c r="A1661" t="s">
        <v>54</v>
      </c>
      <c r="B1661" t="s">
        <v>8</v>
      </c>
      <c r="C1661" s="113">
        <v>0.33</v>
      </c>
      <c r="D1661" s="113">
        <v>3.3001</v>
      </c>
      <c r="E1661">
        <v>0.01</v>
      </c>
      <c r="F1661" t="s">
        <v>6</v>
      </c>
      <c r="G1661" t="s">
        <v>4</v>
      </c>
      <c r="H1661">
        <v>20</v>
      </c>
      <c r="I1661">
        <v>50.01</v>
      </c>
      <c r="J1661" t="s">
        <v>10</v>
      </c>
      <c r="K1661">
        <v>5.6886000000000001</v>
      </c>
      <c r="L1661">
        <v>0.39166000000000001</v>
      </c>
      <c r="M1661">
        <v>5.6882999999999999</v>
      </c>
      <c r="N1661">
        <v>0.39154</v>
      </c>
      <c r="O1661" t="s">
        <v>2833</v>
      </c>
      <c r="P1661" t="s">
        <v>2833</v>
      </c>
      <c r="Q1661" t="s">
        <v>2833</v>
      </c>
      <c r="R1661">
        <f ca="1">RAND()*(Validation[[#This Row],[Range1_High]]-Validation[[#This Row],[Range1_Low]])+Validation[[#This Row],[Range1_Low]]</f>
        <v>1.3576568226911712</v>
      </c>
      <c r="S1661">
        <f>Validation[[#This Row],[Range2_High]]</f>
        <v>50.01</v>
      </c>
      <c r="T1661" t="str" cm="1">
        <f t="array" aca="1" ref="T1661" ca="1">RoundToTwoSigFigs(Validation[[#This Row],[Test Reading]]*Validation[[#This Row],[Mult]]+Validation[[#This Row],[Base]]) &amp;" "&amp;Validation[[#This Row],[Uncert_Units]]</f>
        <v>6.2 mV</v>
      </c>
      <c r="U16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V1661" t="b">
        <f ca="1">Validation[[#This Row],[Desired Result]]=Validation[[#This Row],[Result]]</f>
        <v>1</v>
      </c>
      <c r="W1661" t="b">
        <v>1</v>
      </c>
      <c r="X1661" t="b">
        <f>Validation[[#This Row],[Range1_Low]]&gt;=Validation[[#This Row],[Range1_High]]</f>
        <v>0</v>
      </c>
      <c r="Y1661" s="111" t="s">
        <v>2843</v>
      </c>
    </row>
    <row r="1662" spans="1:25" ht="16.5" thickTop="1" thickBot="1" x14ac:dyDescent="0.3">
      <c r="A1662" t="s">
        <v>55</v>
      </c>
      <c r="B1662" t="s">
        <v>8</v>
      </c>
      <c r="C1662">
        <v>0</v>
      </c>
      <c r="D1662">
        <v>0.01</v>
      </c>
      <c r="E1662">
        <v>9.9999999999999995E-8</v>
      </c>
      <c r="F1662" t="s">
        <v>6</v>
      </c>
      <c r="G1662" t="s">
        <v>5</v>
      </c>
      <c r="H1662">
        <v>20</v>
      </c>
      <c r="I1662">
        <v>50</v>
      </c>
      <c r="J1662" t="s">
        <v>10</v>
      </c>
      <c r="K1662">
        <v>5.6</v>
      </c>
      <c r="L1662">
        <v>839.02</v>
      </c>
      <c r="M1662">
        <v>5.5362</v>
      </c>
      <c r="N1662">
        <v>839.03</v>
      </c>
      <c r="O1662" t="s">
        <v>2833</v>
      </c>
      <c r="P1662" t="s">
        <v>2833</v>
      </c>
      <c r="Q1662" t="s">
        <v>2833</v>
      </c>
      <c r="R1662">
        <f ca="1">RAND()*(Validation[[#This Row],[Range1_High]]-Validation[[#This Row],[Range1_Low]])+Validation[[#This Row],[Range1_Low]]</f>
        <v>7.0045380406901373E-3</v>
      </c>
      <c r="S1662">
        <f>Validation[[#This Row],[Range2_High]]</f>
        <v>50</v>
      </c>
      <c r="T1662" t="str" cm="1">
        <f t="array" aca="1" ref="T1662" ca="1">RoundToTwoSigFigs(Validation[[#This Row],[Test Reading]]*Validation[[#This Row],[Mult]]+Validation[[#This Row],[Base]]) &amp;" "&amp;Validation[[#This Row],[Uncert_Units]]</f>
        <v>11 µV</v>
      </c>
      <c r="U16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V1662" t="b">
        <f ca="1">Validation[[#This Row],[Desired Result]]=Validation[[#This Row],[Result]]</f>
        <v>1</v>
      </c>
      <c r="W1662" t="b">
        <v>0</v>
      </c>
      <c r="X1662" t="b">
        <f>Validation[[#This Row],[Range1_Low]]&gt;=Validation[[#This Row],[Range1_High]]</f>
        <v>0</v>
      </c>
      <c r="Y1662" s="111" t="s">
        <v>2845</v>
      </c>
    </row>
    <row r="1663" spans="1:25" ht="16.5" thickTop="1" thickBot="1" x14ac:dyDescent="0.3">
      <c r="A1663" t="s">
        <v>54</v>
      </c>
      <c r="B1663" t="s">
        <v>8</v>
      </c>
      <c r="C1663" s="113">
        <v>3.3000000000000002E-2</v>
      </c>
      <c r="D1663" s="113">
        <v>0.33001000000000003</v>
      </c>
      <c r="E1663">
        <v>1.0000000000000001E-5</v>
      </c>
      <c r="F1663" t="s">
        <v>6</v>
      </c>
      <c r="G1663" t="s">
        <v>5</v>
      </c>
      <c r="H1663">
        <v>0.01</v>
      </c>
      <c r="I1663">
        <v>4.5010000000000001E-2</v>
      </c>
      <c r="J1663" t="s">
        <v>10</v>
      </c>
      <c r="K1663">
        <v>33</v>
      </c>
      <c r="L1663">
        <v>550.17999999999995</v>
      </c>
      <c r="M1663">
        <v>23.663</v>
      </c>
      <c r="N1663">
        <v>576.89</v>
      </c>
      <c r="O1663" t="s">
        <v>2833</v>
      </c>
      <c r="P1663" t="s">
        <v>2833</v>
      </c>
      <c r="Q1663" t="s">
        <v>2833</v>
      </c>
      <c r="R1663">
        <f ca="1">RAND()*(Validation[[#This Row],[Range1_High]]-Validation[[#This Row],[Range1_Low]])+Validation[[#This Row],[Range1_Low]]</f>
        <v>0.14004725855129441</v>
      </c>
      <c r="S1663">
        <f>Validation[[#This Row],[Range2_High]]</f>
        <v>4.5010000000000001E-2</v>
      </c>
      <c r="T1663" t="str" cm="1">
        <f t="array" aca="1" ref="T1663" ca="1">RoundToTwoSigFigs(Validation[[#This Row],[Test Reading]]*Validation[[#This Row],[Mult]]+Validation[[#This Row],[Base]]) &amp;" "&amp;Validation[[#This Row],[Uncert_Units]]</f>
        <v>110 µV</v>
      </c>
      <c r="U16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V1663" t="b">
        <f ca="1">Validation[[#This Row],[Desired Result]]=Validation[[#This Row],[Result]]</f>
        <v>1</v>
      </c>
      <c r="W1663" t="b">
        <v>1</v>
      </c>
      <c r="X1663" t="b">
        <f>Validation[[#This Row],[Range1_Low]]&gt;=Validation[[#This Row],[Range1_High]]</f>
        <v>0</v>
      </c>
      <c r="Y1663" s="111" t="s">
        <v>2843</v>
      </c>
    </row>
    <row r="1664" spans="1:25" ht="16.5" thickTop="1" thickBot="1" x14ac:dyDescent="0.3">
      <c r="A1664" t="s">
        <v>55</v>
      </c>
      <c r="B1664" t="s">
        <v>8</v>
      </c>
      <c r="C1664">
        <v>0</v>
      </c>
      <c r="D1664">
        <v>0.01</v>
      </c>
      <c r="E1664">
        <v>9.9999999999999995E-8</v>
      </c>
      <c r="F1664" t="s">
        <v>6</v>
      </c>
      <c r="G1664" t="s">
        <v>5</v>
      </c>
      <c r="H1664">
        <v>300</v>
      </c>
      <c r="I1664">
        <v>1000</v>
      </c>
      <c r="J1664" t="s">
        <v>10</v>
      </c>
      <c r="K1664">
        <v>18</v>
      </c>
      <c r="L1664">
        <v>45496</v>
      </c>
      <c r="M1664">
        <v>12.904</v>
      </c>
      <c r="N1664">
        <v>45496</v>
      </c>
      <c r="O1664" t="s">
        <v>2833</v>
      </c>
      <c r="P1664" t="s">
        <v>2833</v>
      </c>
      <c r="Q1664" t="s">
        <v>2833</v>
      </c>
      <c r="R1664">
        <f ca="1">RAND()*(Validation[[#This Row],[Range1_High]]-Validation[[#This Row],[Range1_Low]])+Validation[[#This Row],[Range1_Low]]</f>
        <v>6.0577347873539975E-3</v>
      </c>
      <c r="S1664">
        <f>Validation[[#This Row],[Range2_High]]</f>
        <v>1000</v>
      </c>
      <c r="T1664" t="str" cm="1">
        <f t="array" aca="1" ref="T1664" ca="1">RoundToTwoSigFigs(Validation[[#This Row],[Test Reading]]*Validation[[#This Row],[Mult]]+Validation[[#This Row],[Base]]) &amp;" "&amp;Validation[[#This Row],[Uncert_Units]]</f>
        <v>290 µV</v>
      </c>
      <c r="U16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V1664" t="b">
        <f ca="1">Validation[[#This Row],[Desired Result]]=Validation[[#This Row],[Result]]</f>
        <v>1</v>
      </c>
      <c r="W1664" t="b">
        <v>1</v>
      </c>
      <c r="X1664" t="b">
        <f>Validation[[#This Row],[Range1_Low]]&gt;=Validation[[#This Row],[Range1_High]]</f>
        <v>0</v>
      </c>
      <c r="Y1664" s="111" t="s">
        <v>2845</v>
      </c>
    </row>
    <row r="1665" spans="1:25" ht="16.5" thickTop="1" thickBot="1" x14ac:dyDescent="0.3">
      <c r="A1665" t="s">
        <v>55</v>
      </c>
      <c r="B1665" t="s">
        <v>8</v>
      </c>
      <c r="C1665" s="113">
        <v>10</v>
      </c>
      <c r="D1665" s="113">
        <v>20</v>
      </c>
      <c r="E1665">
        <v>0.01</v>
      </c>
      <c r="F1665" t="s">
        <v>6</v>
      </c>
      <c r="G1665" t="s">
        <v>4</v>
      </c>
      <c r="H1665">
        <v>300</v>
      </c>
      <c r="I1665">
        <v>1000</v>
      </c>
      <c r="J1665" t="s">
        <v>10</v>
      </c>
      <c r="K1665">
        <v>19</v>
      </c>
      <c r="L1665">
        <v>17.091999999999999</v>
      </c>
      <c r="M1665">
        <v>12.516999999999999</v>
      </c>
      <c r="N1665">
        <v>17.32</v>
      </c>
      <c r="O1665" t="s">
        <v>2833</v>
      </c>
      <c r="P1665" t="s">
        <v>2833</v>
      </c>
      <c r="Q1665" t="s">
        <v>2833</v>
      </c>
      <c r="R1665">
        <f ca="1">RAND()*(Validation[[#This Row],[Range1_High]]-Validation[[#This Row],[Range1_Low]])+Validation[[#This Row],[Range1_Low]]</f>
        <v>10.368573773740977</v>
      </c>
      <c r="S1665">
        <f>Validation[[#This Row],[Range2_High]]</f>
        <v>1000</v>
      </c>
      <c r="T1665" t="str" cm="1">
        <f t="array" aca="1" ref="T1665" ca="1">RoundToTwoSigFigs(Validation[[#This Row],[Test Reading]]*Validation[[#This Row],[Mult]]+Validation[[#This Row],[Base]]) &amp;" "&amp;Validation[[#This Row],[Uncert_Units]]</f>
        <v>200 mV</v>
      </c>
      <c r="U16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V1665" t="b">
        <f ca="1">Validation[[#This Row],[Desired Result]]=Validation[[#This Row],[Result]]</f>
        <v>1</v>
      </c>
      <c r="W1665" t="b">
        <v>1</v>
      </c>
      <c r="X1665" t="b">
        <f>Validation[[#This Row],[Range1_Low]]&gt;=Validation[[#This Row],[Range1_High]]</f>
        <v>0</v>
      </c>
      <c r="Y1665" s="111" t="s">
        <v>2843</v>
      </c>
    </row>
    <row r="1666" spans="1:25" ht="16.5" thickTop="1" thickBot="1" x14ac:dyDescent="0.3">
      <c r="A1666" t="s">
        <v>55</v>
      </c>
      <c r="B1666" t="s">
        <v>8</v>
      </c>
      <c r="C1666" s="113">
        <v>0.01</v>
      </c>
      <c r="D1666" s="113">
        <v>0.1</v>
      </c>
      <c r="E1666">
        <v>1E-3</v>
      </c>
      <c r="F1666" t="s">
        <v>6</v>
      </c>
      <c r="G1666" t="s">
        <v>5</v>
      </c>
      <c r="H1666">
        <v>100</v>
      </c>
      <c r="I1666">
        <v>300</v>
      </c>
      <c r="J1666" t="s">
        <v>10</v>
      </c>
      <c r="K1666">
        <v>568.05999999999995</v>
      </c>
      <c r="L1666">
        <v>1120</v>
      </c>
      <c r="M1666">
        <v>547.01</v>
      </c>
      <c r="N1666">
        <v>1119.2</v>
      </c>
      <c r="O1666" t="s">
        <v>2833</v>
      </c>
      <c r="P1666" t="s">
        <v>2833</v>
      </c>
      <c r="Q1666" t="s">
        <v>2833</v>
      </c>
      <c r="R1666">
        <f ca="1">RAND()*(Validation[[#This Row],[Range1_High]]-Validation[[#This Row],[Range1_Low]])+Validation[[#This Row],[Range1_Low]]</f>
        <v>2.6839595094206331E-2</v>
      </c>
      <c r="S1666">
        <f>Validation[[#This Row],[Range2_High]]</f>
        <v>300</v>
      </c>
      <c r="T1666" t="str" cm="1">
        <f t="array" aca="1" ref="T1666" ca="1">RoundToTwoSigFigs(Validation[[#This Row],[Test Reading]]*Validation[[#This Row],[Mult]]+Validation[[#This Row],[Base]]) &amp;" "&amp;Validation[[#This Row],[Uncert_Units]]</f>
        <v>600 µV</v>
      </c>
      <c r="U16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V1666" t="b">
        <f ca="1">Validation[[#This Row],[Desired Result]]=Validation[[#This Row],[Result]]</f>
        <v>0</v>
      </c>
      <c r="W1666" t="b">
        <v>1</v>
      </c>
      <c r="X1666" t="b">
        <f>Validation[[#This Row],[Range1_Low]]&gt;=Validation[[#This Row],[Range1_High]]</f>
        <v>0</v>
      </c>
      <c r="Y1666" s="111" t="s">
        <v>2843</v>
      </c>
    </row>
    <row r="1667" spans="1:25" ht="16.5" thickTop="1" thickBot="1" x14ac:dyDescent="0.3">
      <c r="A1667" t="s">
        <v>55</v>
      </c>
      <c r="B1667" t="s">
        <v>8</v>
      </c>
      <c r="C1667">
        <v>0</v>
      </c>
      <c r="D1667">
        <v>0.01</v>
      </c>
      <c r="E1667">
        <v>9.9999999999999995E-8</v>
      </c>
      <c r="F1667" t="s">
        <v>6</v>
      </c>
      <c r="G1667" t="s">
        <v>5</v>
      </c>
      <c r="H1667">
        <v>1</v>
      </c>
      <c r="I1667">
        <v>20</v>
      </c>
      <c r="J1667" t="s">
        <v>10</v>
      </c>
      <c r="K1667">
        <v>3.1</v>
      </c>
      <c r="L1667">
        <v>250</v>
      </c>
      <c r="M1667">
        <v>3.0556000000000001</v>
      </c>
      <c r="N1667">
        <v>254.12</v>
      </c>
      <c r="O1667" t="s">
        <v>2833</v>
      </c>
      <c r="P1667" t="s">
        <v>2833</v>
      </c>
      <c r="Q1667" t="s">
        <v>2833</v>
      </c>
      <c r="R1667">
        <f ca="1">RAND()*(Validation[[#This Row],[Range1_High]]-Validation[[#This Row],[Range1_Low]])+Validation[[#This Row],[Range1_Low]]</f>
        <v>2.349272551791971E-3</v>
      </c>
      <c r="S1667">
        <f>Validation[[#This Row],[Range2_High]]</f>
        <v>20</v>
      </c>
      <c r="T1667" t="str" cm="1">
        <f t="array" aca="1" ref="T1667" ca="1">RoundToTwoSigFigs(Validation[[#This Row],[Test Reading]]*Validation[[#This Row],[Mult]]+Validation[[#This Row],[Base]]) &amp;" "&amp;Validation[[#This Row],[Uncert_Units]]</f>
        <v>3.7 µV</v>
      </c>
      <c r="U16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µV</v>
      </c>
      <c r="V1667" t="b">
        <f ca="1">Validation[[#This Row],[Desired Result]]=Validation[[#This Row],[Result]]</f>
        <v>0</v>
      </c>
      <c r="W1667" t="b">
        <v>1</v>
      </c>
      <c r="X1667" t="b">
        <f>Validation[[#This Row],[Range1_Low]]&gt;=Validation[[#This Row],[Range1_High]]</f>
        <v>0</v>
      </c>
      <c r="Y1667" s="111" t="s">
        <v>2845</v>
      </c>
    </row>
    <row r="1668" spans="1:25" ht="16.5" thickTop="1" thickBot="1" x14ac:dyDescent="0.3">
      <c r="A1668" t="s">
        <v>55</v>
      </c>
      <c r="B1668" t="s">
        <v>8</v>
      </c>
      <c r="C1668" s="113">
        <v>100</v>
      </c>
      <c r="D1668" s="113">
        <v>1000</v>
      </c>
      <c r="E1668">
        <v>1E-3</v>
      </c>
      <c r="F1668" t="s">
        <v>6</v>
      </c>
      <c r="G1668" t="s">
        <v>4</v>
      </c>
      <c r="H1668">
        <v>50</v>
      </c>
      <c r="I1668">
        <v>100</v>
      </c>
      <c r="J1668" t="s">
        <v>10</v>
      </c>
      <c r="K1668">
        <v>23</v>
      </c>
      <c r="L1668">
        <v>3.5</v>
      </c>
      <c r="M1668">
        <v>23.117000000000001</v>
      </c>
      <c r="N1668">
        <v>3.4655999999999998</v>
      </c>
      <c r="O1668" t="s">
        <v>2833</v>
      </c>
      <c r="P1668" t="s">
        <v>2833</v>
      </c>
      <c r="Q1668" t="s">
        <v>2833</v>
      </c>
      <c r="R1668">
        <f ca="1">RAND()*(Validation[[#This Row],[Range1_High]]-Validation[[#This Row],[Range1_Low]])+Validation[[#This Row],[Range1_Low]]</f>
        <v>136.61719473942856</v>
      </c>
      <c r="S1668">
        <f>Validation[[#This Row],[Range2_High]]</f>
        <v>100</v>
      </c>
      <c r="T1668" t="str" cm="1">
        <f t="array" aca="1" ref="T1668" ca="1">RoundToTwoSigFigs(Validation[[#This Row],[Test Reading]]*Validation[[#This Row],[Mult]]+Validation[[#This Row],[Base]]) &amp;" "&amp;Validation[[#This Row],[Uncert_Units]]</f>
        <v>500 mV</v>
      </c>
      <c r="U16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mV</v>
      </c>
      <c r="V1668" t="b">
        <f ca="1">Validation[[#This Row],[Desired Result]]=Validation[[#This Row],[Result]]</f>
        <v>1</v>
      </c>
      <c r="W1668" t="b">
        <v>1</v>
      </c>
      <c r="X1668" t="b">
        <f>Validation[[#This Row],[Range1_Low]]&gt;=Validation[[#This Row],[Range1_High]]</f>
        <v>0</v>
      </c>
      <c r="Y1668" s="111" t="s">
        <v>2843</v>
      </c>
    </row>
    <row r="1669" spans="1:25" ht="16.5" thickTop="1" thickBot="1" x14ac:dyDescent="0.3">
      <c r="A1669" t="s">
        <v>68</v>
      </c>
      <c r="B1669" t="s">
        <v>8</v>
      </c>
      <c r="C1669" s="113">
        <v>1</v>
      </c>
      <c r="D1669" s="113">
        <v>10</v>
      </c>
      <c r="E1669">
        <v>1E-3</v>
      </c>
      <c r="F1669" t="s">
        <v>6</v>
      </c>
      <c r="G1669" t="s">
        <v>4</v>
      </c>
      <c r="H1669">
        <v>0.01</v>
      </c>
      <c r="I1669">
        <v>2</v>
      </c>
      <c r="J1669" t="s">
        <v>10</v>
      </c>
      <c r="K1669">
        <v>3.5127000000000002</v>
      </c>
      <c r="L1669">
        <v>0.93464999999999998</v>
      </c>
      <c r="M1669">
        <v>3.5116000000000001</v>
      </c>
      <c r="N1669">
        <v>0.93445999999999996</v>
      </c>
      <c r="O1669" t="s">
        <v>2833</v>
      </c>
      <c r="P1669" t="s">
        <v>2833</v>
      </c>
      <c r="Q1669" t="s">
        <v>2833</v>
      </c>
      <c r="R1669">
        <f ca="1">RAND()*(Validation[[#This Row],[Range1_High]]-Validation[[#This Row],[Range1_Low]])+Validation[[#This Row],[Range1_Low]]</f>
        <v>1.5315751027077824</v>
      </c>
      <c r="S1669">
        <f>Validation[[#This Row],[Range2_High]]</f>
        <v>2</v>
      </c>
      <c r="T1669" t="str" cm="1">
        <f t="array" aca="1" ref="T1669" ca="1">RoundToTwoSigFigs(Validation[[#This Row],[Test Reading]]*Validation[[#This Row],[Mult]]+Validation[[#This Row],[Base]]) &amp;" "&amp;Validation[[#This Row],[Uncert_Units]]</f>
        <v>4.9 mV</v>
      </c>
      <c r="U16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V1669" t="b">
        <f ca="1">Validation[[#This Row],[Desired Result]]=Validation[[#This Row],[Result]]</f>
        <v>0</v>
      </c>
      <c r="W1669" t="b">
        <v>1</v>
      </c>
      <c r="X1669" t="b">
        <f>Validation[[#This Row],[Range1_Low]]&gt;=Validation[[#This Row],[Range1_High]]</f>
        <v>0</v>
      </c>
      <c r="Y1669" s="111" t="s">
        <v>2843</v>
      </c>
    </row>
    <row r="1670" spans="1:25" ht="16.5" thickTop="1" thickBot="1" x14ac:dyDescent="0.3">
      <c r="A1670" t="s">
        <v>55</v>
      </c>
      <c r="B1670" t="s">
        <v>8</v>
      </c>
      <c r="C1670" s="113">
        <v>1</v>
      </c>
      <c r="D1670" s="113">
        <v>10</v>
      </c>
      <c r="E1670">
        <v>1E-3</v>
      </c>
      <c r="F1670" t="s">
        <v>6</v>
      </c>
      <c r="G1670" t="s">
        <v>4</v>
      </c>
      <c r="H1670">
        <v>2000</v>
      </c>
      <c r="I1670">
        <v>4000</v>
      </c>
      <c r="J1670" t="s">
        <v>10</v>
      </c>
      <c r="K1670">
        <v>12</v>
      </c>
      <c r="L1670">
        <v>46.037999999999997</v>
      </c>
      <c r="M1670">
        <v>8.0602999999999998</v>
      </c>
      <c r="N1670">
        <v>46.328000000000003</v>
      </c>
      <c r="O1670" t="s">
        <v>2833</v>
      </c>
      <c r="P1670" t="s">
        <v>2833</v>
      </c>
      <c r="Q1670" t="s">
        <v>2833</v>
      </c>
      <c r="R1670">
        <f ca="1">RAND()*(Validation[[#This Row],[Range1_High]]-Validation[[#This Row],[Range1_Low]])+Validation[[#This Row],[Range1_Low]]</f>
        <v>8.4620660496614128</v>
      </c>
      <c r="S1670">
        <f>Validation[[#This Row],[Range2_High]]</f>
        <v>4000</v>
      </c>
      <c r="T1670" t="str" cm="1">
        <f t="array" aca="1" ref="T1670" ca="1">RoundToTwoSigFigs(Validation[[#This Row],[Test Reading]]*Validation[[#This Row],[Mult]]+Validation[[#This Row],[Base]]) &amp;" "&amp;Validation[[#This Row],[Uncert_Units]]</f>
        <v>400 mV</v>
      </c>
      <c r="U16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V1670" t="b">
        <f ca="1">Validation[[#This Row],[Desired Result]]=Validation[[#This Row],[Result]]</f>
        <v>1</v>
      </c>
      <c r="W1670" t="b">
        <v>1</v>
      </c>
      <c r="X1670" t="b">
        <f>Validation[[#This Row],[Range1_Low]]&gt;=Validation[[#This Row],[Range1_High]]</f>
        <v>0</v>
      </c>
      <c r="Y1670" s="111" t="s">
        <v>2843</v>
      </c>
    </row>
    <row r="1671" spans="1:25" ht="15.75" thickTop="1" x14ac:dyDescent="0.25">
      <c r="A1671" t="s">
        <v>68</v>
      </c>
      <c r="B1671" t="s">
        <v>8</v>
      </c>
      <c r="C1671">
        <v>0</v>
      </c>
      <c r="D1671">
        <v>0.1</v>
      </c>
      <c r="E1671">
        <v>1E-4</v>
      </c>
      <c r="F1671" t="s">
        <v>6</v>
      </c>
      <c r="G1671" t="s">
        <v>5</v>
      </c>
      <c r="H1671">
        <v>2</v>
      </c>
      <c r="I1671">
        <v>20</v>
      </c>
      <c r="J1671" t="s">
        <v>10</v>
      </c>
      <c r="K1671">
        <v>67.126000000000005</v>
      </c>
      <c r="L1671">
        <v>727.32</v>
      </c>
      <c r="M1671">
        <v>67.116</v>
      </c>
      <c r="N1671">
        <v>727.12</v>
      </c>
      <c r="O1671" t="s">
        <v>2833</v>
      </c>
      <c r="P1671" t="s">
        <v>2833</v>
      </c>
      <c r="Q1671" t="s">
        <v>2833</v>
      </c>
      <c r="R1671">
        <f ca="1">RAND()*(Validation[[#This Row],[Range1_High]]-Validation[[#This Row],[Range1_Low]])+Validation[[#This Row],[Range1_Low]]</f>
        <v>3.3945675780220633E-2</v>
      </c>
      <c r="S1671">
        <f>Validation[[#This Row],[Range2_High]]</f>
        <v>20</v>
      </c>
      <c r="T1671" t="str" cm="1">
        <f t="array" aca="1" ref="T1671" ca="1">RoundToTwoSigFigs(Validation[[#This Row],[Test Reading]]*Validation[[#This Row],[Mult]]+Validation[[#This Row],[Base]]) &amp;" "&amp;Validation[[#This Row],[Uncert_Units]]</f>
        <v>92 µV</v>
      </c>
      <c r="U16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µV</v>
      </c>
      <c r="V1671" t="b">
        <f ca="1">Validation[[#This Row],[Desired Result]]=Validation[[#This Row],[Result]]</f>
        <v>1</v>
      </c>
      <c r="W1671" t="b">
        <v>0</v>
      </c>
      <c r="X1671" t="b">
        <f>Validation[[#This Row],[Range1_Low]]&gt;=Validation[[#This Row],[Range1_High]]</f>
        <v>0</v>
      </c>
      <c r="Y1671" s="111" t="s">
        <v>2845</v>
      </c>
    </row>
    <row r="1672" spans="1:25" x14ac:dyDescent="0.25">
      <c r="A1672" t="s">
        <v>54</v>
      </c>
      <c r="B1672" t="s">
        <v>8</v>
      </c>
      <c r="C1672">
        <v>0</v>
      </c>
      <c r="D1672">
        <v>3.3009999999999998E-2</v>
      </c>
      <c r="E1672">
        <v>1E-4</v>
      </c>
      <c r="F1672" t="s">
        <v>6</v>
      </c>
      <c r="G1672" t="s">
        <v>5</v>
      </c>
      <c r="H1672">
        <v>500</v>
      </c>
      <c r="I1672">
        <v>501</v>
      </c>
      <c r="J1672" t="s">
        <v>10</v>
      </c>
      <c r="K1672">
        <v>91.463999999999999</v>
      </c>
      <c r="L1672">
        <v>11024</v>
      </c>
      <c r="M1672">
        <v>91.322000000000003</v>
      </c>
      <c r="N1672">
        <v>11026</v>
      </c>
      <c r="O1672" t="s">
        <v>2833</v>
      </c>
      <c r="P1672" t="s">
        <v>2833</v>
      </c>
      <c r="Q1672" t="s">
        <v>2833</v>
      </c>
      <c r="R1672">
        <f ca="1">RAND()*(Validation[[#This Row],[Range1_High]]-Validation[[#This Row],[Range1_Low]])+Validation[[#This Row],[Range1_Low]]</f>
        <v>2.8881024218605326E-2</v>
      </c>
      <c r="S1672">
        <f>Validation[[#This Row],[Range2_High]]</f>
        <v>501</v>
      </c>
      <c r="T1672" t="str" cm="1">
        <f t="array" aca="1" ref="T1672" ca="1">RoundToTwoSigFigs(Validation[[#This Row],[Test Reading]]*Validation[[#This Row],[Mult]]+Validation[[#This Row],[Base]]) &amp;" "&amp;Validation[[#This Row],[Uncert_Units]]</f>
        <v>410 µV</v>
      </c>
      <c r="U16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V1672" t="b">
        <f ca="1">Validation[[#This Row],[Desired Result]]=Validation[[#This Row],[Result]]</f>
        <v>1</v>
      </c>
      <c r="W1672" t="b">
        <v>0</v>
      </c>
      <c r="X1672" t="b">
        <f>Validation[[#This Row],[Range1_Low]]&gt;=Validation[[#This Row],[Range1_High]]</f>
        <v>0</v>
      </c>
      <c r="Y1672" s="111" t="s">
        <v>2845</v>
      </c>
    </row>
    <row r="1673" spans="1:25" ht="15.75" thickBot="1" x14ac:dyDescent="0.3">
      <c r="A1673" t="s">
        <v>54</v>
      </c>
      <c r="B1673" t="s">
        <v>8</v>
      </c>
      <c r="C1673">
        <v>0</v>
      </c>
      <c r="D1673">
        <v>3.3009999999999998E-2</v>
      </c>
      <c r="E1673">
        <v>1E-4</v>
      </c>
      <c r="F1673" t="s">
        <v>6</v>
      </c>
      <c r="G1673" t="s">
        <v>5</v>
      </c>
      <c r="H1673">
        <v>10</v>
      </c>
      <c r="I1673">
        <v>20.010000000000002</v>
      </c>
      <c r="J1673" t="s">
        <v>10</v>
      </c>
      <c r="K1673">
        <v>62.01</v>
      </c>
      <c r="L1673">
        <v>1125.5</v>
      </c>
      <c r="M1673">
        <v>61.999000000000002</v>
      </c>
      <c r="N1673">
        <v>1123.8</v>
      </c>
      <c r="O1673" t="s">
        <v>2833</v>
      </c>
      <c r="P1673" t="s">
        <v>2833</v>
      </c>
      <c r="Q1673" t="s">
        <v>2833</v>
      </c>
      <c r="R1673">
        <f ca="1">RAND()*(Validation[[#This Row],[Range1_High]]-Validation[[#This Row],[Range1_Low]])+Validation[[#This Row],[Range1_Low]]</f>
        <v>9.5554646443694047E-3</v>
      </c>
      <c r="S1673">
        <f>Validation[[#This Row],[Range2_High]]</f>
        <v>20.010000000000002</v>
      </c>
      <c r="T1673" t="str" cm="1">
        <f t="array" aca="1" ref="T1673" ca="1">RoundToTwoSigFigs(Validation[[#This Row],[Test Reading]]*Validation[[#This Row],[Mult]]+Validation[[#This Row],[Base]]) &amp;" "&amp;Validation[[#This Row],[Uncert_Units]]</f>
        <v>73 µV</v>
      </c>
      <c r="U16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V1673" t="b">
        <f ca="1">Validation[[#This Row],[Desired Result]]=Validation[[#This Row],[Result]]</f>
        <v>1</v>
      </c>
      <c r="W1673" t="b">
        <v>0</v>
      </c>
      <c r="X1673" t="b">
        <f>Validation[[#This Row],[Range1_Low]]&gt;=Validation[[#This Row],[Range1_High]]</f>
        <v>0</v>
      </c>
      <c r="Y1673" s="111" t="s">
        <v>2845</v>
      </c>
    </row>
    <row r="1674" spans="1:25" ht="16.5" thickTop="1" thickBot="1" x14ac:dyDescent="0.3">
      <c r="A1674" t="s">
        <v>55</v>
      </c>
      <c r="B1674" t="s">
        <v>8</v>
      </c>
      <c r="C1674" s="113">
        <v>0.1</v>
      </c>
      <c r="D1674" s="113">
        <v>1</v>
      </c>
      <c r="E1674">
        <v>1E-4</v>
      </c>
      <c r="F1674" t="s">
        <v>6</v>
      </c>
      <c r="G1674" t="s">
        <v>5</v>
      </c>
      <c r="H1674">
        <v>100</v>
      </c>
      <c r="I1674">
        <v>300</v>
      </c>
      <c r="J1674" t="s">
        <v>10</v>
      </c>
      <c r="K1674">
        <v>120</v>
      </c>
      <c r="L1674">
        <v>3500</v>
      </c>
      <c r="M1674">
        <v>120.41</v>
      </c>
      <c r="N1674">
        <v>3459.8</v>
      </c>
      <c r="O1674" t="s">
        <v>2833</v>
      </c>
      <c r="P1674" t="s">
        <v>2833</v>
      </c>
      <c r="Q1674" t="s">
        <v>2833</v>
      </c>
      <c r="R1674">
        <f ca="1">RAND()*(Validation[[#This Row],[Range1_High]]-Validation[[#This Row],[Range1_Low]])+Validation[[#This Row],[Range1_Low]]</f>
        <v>0.45686483763309771</v>
      </c>
      <c r="S1674">
        <f>Validation[[#This Row],[Range2_High]]</f>
        <v>300</v>
      </c>
      <c r="T1674" t="str" cm="1">
        <f t="array" aca="1" ref="T1674" ca="1">RoundToTwoSigFigs(Validation[[#This Row],[Test Reading]]*Validation[[#This Row],[Mult]]+Validation[[#This Row],[Base]]) &amp;" "&amp;Validation[[#This Row],[Uncert_Units]]</f>
        <v>1700 µV</v>
      </c>
      <c r="U16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5600 µV</v>
      </c>
      <c r="V1674" t="b">
        <f ca="1">Validation[[#This Row],[Desired Result]]=Validation[[#This Row],[Result]]</f>
        <v>0</v>
      </c>
      <c r="W1674" t="b">
        <v>1</v>
      </c>
      <c r="X1674" t="b">
        <f>Validation[[#This Row],[Range1_Low]]&gt;=Validation[[#This Row],[Range1_High]]</f>
        <v>0</v>
      </c>
      <c r="Y1674" s="111" t="s">
        <v>2843</v>
      </c>
    </row>
    <row r="1675" spans="1:25" ht="16.5" thickTop="1" thickBot="1" x14ac:dyDescent="0.3">
      <c r="A1675" t="s">
        <v>55</v>
      </c>
      <c r="B1675" t="s">
        <v>8</v>
      </c>
      <c r="C1675" s="113">
        <v>1</v>
      </c>
      <c r="D1675" s="113">
        <v>10</v>
      </c>
      <c r="E1675">
        <v>0.01</v>
      </c>
      <c r="F1675" t="s">
        <v>6</v>
      </c>
      <c r="G1675" t="s">
        <v>4</v>
      </c>
      <c r="H1675">
        <v>1000</v>
      </c>
      <c r="I1675">
        <v>2000</v>
      </c>
      <c r="J1675" t="s">
        <v>10</v>
      </c>
      <c r="K1675">
        <v>6.1</v>
      </c>
      <c r="L1675">
        <v>17.167000000000002</v>
      </c>
      <c r="M1675">
        <v>2.0914999999999999</v>
      </c>
      <c r="N1675">
        <v>17.401</v>
      </c>
      <c r="O1675" t="s">
        <v>2833</v>
      </c>
      <c r="P1675" t="s">
        <v>2833</v>
      </c>
      <c r="Q1675" t="s">
        <v>2833</v>
      </c>
      <c r="R1675">
        <f ca="1">RAND()*(Validation[[#This Row],[Range1_High]]-Validation[[#This Row],[Range1_Low]])+Validation[[#This Row],[Range1_Low]]</f>
        <v>5.1338993760166982</v>
      </c>
      <c r="S1675">
        <f>Validation[[#This Row],[Range2_High]]</f>
        <v>2000</v>
      </c>
      <c r="T1675" t="str" cm="1">
        <f t="array" aca="1" ref="T1675" ca="1">RoundToTwoSigFigs(Validation[[#This Row],[Test Reading]]*Validation[[#This Row],[Mult]]+Validation[[#This Row],[Base]]) &amp;" "&amp;Validation[[#This Row],[Uncert_Units]]</f>
        <v>94 mV</v>
      </c>
      <c r="U16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mV</v>
      </c>
      <c r="V1675" t="b">
        <f ca="1">Validation[[#This Row],[Desired Result]]=Validation[[#This Row],[Result]]</f>
        <v>1</v>
      </c>
      <c r="W1675" t="b">
        <v>1</v>
      </c>
      <c r="X1675" t="b">
        <f>Validation[[#This Row],[Range1_Low]]&gt;=Validation[[#This Row],[Range1_High]]</f>
        <v>0</v>
      </c>
      <c r="Y1675" s="111" t="s">
        <v>2843</v>
      </c>
    </row>
    <row r="1676" spans="1:25" ht="16.5" thickTop="1" thickBot="1" x14ac:dyDescent="0.3">
      <c r="A1676" t="s">
        <v>54</v>
      </c>
      <c r="B1676" t="s">
        <v>8</v>
      </c>
      <c r="C1676" s="113">
        <v>33</v>
      </c>
      <c r="D1676" s="113">
        <v>330.01</v>
      </c>
      <c r="E1676">
        <v>0.01</v>
      </c>
      <c r="F1676" t="s">
        <v>6</v>
      </c>
      <c r="G1676" t="s">
        <v>4</v>
      </c>
      <c r="H1676">
        <v>50</v>
      </c>
      <c r="I1676">
        <v>100</v>
      </c>
      <c r="J1676" t="s">
        <v>10</v>
      </c>
      <c r="K1676">
        <v>92.063000000000002</v>
      </c>
      <c r="L1676">
        <v>2.7852999999999999</v>
      </c>
      <c r="M1676">
        <v>92.033000000000001</v>
      </c>
      <c r="N1676">
        <v>2.7854000000000001</v>
      </c>
      <c r="O1676" t="s">
        <v>2833</v>
      </c>
      <c r="P1676" t="s">
        <v>2833</v>
      </c>
      <c r="Q1676" t="s">
        <v>2833</v>
      </c>
      <c r="R1676">
        <f ca="1">RAND()*(Validation[[#This Row],[Range1_High]]-Validation[[#This Row],[Range1_Low]])+Validation[[#This Row],[Range1_Low]]</f>
        <v>114.886042023462</v>
      </c>
      <c r="S1676">
        <f>Validation[[#This Row],[Range2_High]]</f>
        <v>100</v>
      </c>
      <c r="T1676" t="str" cm="1">
        <f t="array" aca="1" ref="T1676" ca="1">RoundToTwoSigFigs(Validation[[#This Row],[Test Reading]]*Validation[[#This Row],[Mult]]+Validation[[#This Row],[Base]]) &amp;" "&amp;Validation[[#This Row],[Uncert_Units]]</f>
        <v>410 mV</v>
      </c>
      <c r="U16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V1676" t="b">
        <f ca="1">Validation[[#This Row],[Desired Result]]=Validation[[#This Row],[Result]]</f>
        <v>1</v>
      </c>
      <c r="W1676" t="b">
        <v>1</v>
      </c>
      <c r="X1676" t="b">
        <f>Validation[[#This Row],[Range1_Low]]&gt;=Validation[[#This Row],[Range1_High]]</f>
        <v>0</v>
      </c>
      <c r="Y1676" s="111" t="s">
        <v>2843</v>
      </c>
    </row>
    <row r="1677" spans="1:25" ht="16.5" thickTop="1" thickBot="1" x14ac:dyDescent="0.3">
      <c r="A1677" t="s">
        <v>68</v>
      </c>
      <c r="B1677" t="s">
        <v>8</v>
      </c>
      <c r="C1677" s="113">
        <v>0.1</v>
      </c>
      <c r="D1677" s="113">
        <v>1</v>
      </c>
      <c r="E1677">
        <v>1E-3</v>
      </c>
      <c r="F1677" t="s">
        <v>6</v>
      </c>
      <c r="G1677" t="s">
        <v>5</v>
      </c>
      <c r="H1677">
        <v>0.01</v>
      </c>
      <c r="I1677">
        <v>2</v>
      </c>
      <c r="J1677" t="s">
        <v>10</v>
      </c>
      <c r="K1677">
        <v>650.74</v>
      </c>
      <c r="L1677">
        <v>757.68</v>
      </c>
      <c r="M1677">
        <v>650.66</v>
      </c>
      <c r="N1677">
        <v>757.46</v>
      </c>
      <c r="O1677" t="s">
        <v>2833</v>
      </c>
      <c r="P1677" t="s">
        <v>2833</v>
      </c>
      <c r="Q1677" t="s">
        <v>2833</v>
      </c>
      <c r="R1677">
        <f ca="1">RAND()*(Validation[[#This Row],[Range1_High]]-Validation[[#This Row],[Range1_Low]])+Validation[[#This Row],[Range1_Low]]</f>
        <v>0.90398009586871886</v>
      </c>
      <c r="S1677">
        <f>Validation[[#This Row],[Range2_High]]</f>
        <v>2</v>
      </c>
      <c r="T1677" t="str" cm="1">
        <f t="array" aca="1" ref="T1677" ca="1">RoundToTwoSigFigs(Validation[[#This Row],[Test Reading]]*Validation[[#This Row],[Mult]]+Validation[[#This Row],[Base]]) &amp;" "&amp;Validation[[#This Row],[Uncert_Units]]</f>
        <v>1300 µV</v>
      </c>
      <c r="U16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V1677" t="b">
        <f ca="1">Validation[[#This Row],[Desired Result]]=Validation[[#This Row],[Result]]</f>
        <v>0</v>
      </c>
      <c r="W1677" t="b">
        <v>1</v>
      </c>
      <c r="X1677" t="b">
        <f>Validation[[#This Row],[Range1_Low]]&gt;=Validation[[#This Row],[Range1_High]]</f>
        <v>0</v>
      </c>
      <c r="Y1677" s="111" t="s">
        <v>2843</v>
      </c>
    </row>
    <row r="1678" spans="1:25" ht="16.5" thickTop="1" thickBot="1" x14ac:dyDescent="0.3">
      <c r="A1678" t="s">
        <v>54</v>
      </c>
      <c r="B1678" t="s">
        <v>8</v>
      </c>
      <c r="C1678" s="113">
        <v>330</v>
      </c>
      <c r="D1678" s="113">
        <v>1020.01</v>
      </c>
      <c r="E1678">
        <v>1E-3</v>
      </c>
      <c r="F1678" t="s">
        <v>6</v>
      </c>
      <c r="G1678" t="s">
        <v>4</v>
      </c>
      <c r="H1678">
        <v>1</v>
      </c>
      <c r="I1678">
        <v>5.01</v>
      </c>
      <c r="J1678" t="s">
        <v>10</v>
      </c>
      <c r="K1678">
        <v>28</v>
      </c>
      <c r="L1678">
        <v>0.92</v>
      </c>
      <c r="M1678">
        <v>23.262</v>
      </c>
      <c r="N1678">
        <v>0.92437000000000002</v>
      </c>
      <c r="O1678" t="s">
        <v>2833</v>
      </c>
      <c r="P1678" t="s">
        <v>2833</v>
      </c>
      <c r="Q1678" t="s">
        <v>2833</v>
      </c>
      <c r="R1678">
        <f ca="1">RAND()*(Validation[[#This Row],[Range1_High]]-Validation[[#This Row],[Range1_Low]])+Validation[[#This Row],[Range1_Low]]</f>
        <v>669.31856391780718</v>
      </c>
      <c r="S1678">
        <f>Validation[[#This Row],[Range2_High]]</f>
        <v>5.01</v>
      </c>
      <c r="T1678" t="str" cm="1">
        <f t="array" aca="1" ref="T1678" ca="1">RoundToTwoSigFigs(Validation[[#This Row],[Test Reading]]*Validation[[#This Row],[Mult]]+Validation[[#This Row],[Base]]) &amp;" "&amp;Validation[[#This Row],[Uncert_Units]]</f>
        <v>640 mV</v>
      </c>
      <c r="U16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V1678" t="b">
        <f ca="1">Validation[[#This Row],[Desired Result]]=Validation[[#This Row],[Result]]</f>
        <v>1</v>
      </c>
      <c r="W1678" t="b">
        <v>1</v>
      </c>
      <c r="X1678" t="b">
        <f>Validation[[#This Row],[Range1_Low]]&gt;=Validation[[#This Row],[Range1_High]]</f>
        <v>0</v>
      </c>
      <c r="Y1678" s="111" t="s">
        <v>2843</v>
      </c>
    </row>
    <row r="1679" spans="1:25" ht="16.5" thickTop="1" thickBot="1" x14ac:dyDescent="0.3">
      <c r="A1679" t="s">
        <v>54</v>
      </c>
      <c r="B1679" t="s">
        <v>8</v>
      </c>
      <c r="C1679" s="113">
        <v>330</v>
      </c>
      <c r="D1679" s="113">
        <v>1020.01</v>
      </c>
      <c r="E1679">
        <v>10</v>
      </c>
      <c r="F1679" t="s">
        <v>6</v>
      </c>
      <c r="G1679" t="s">
        <v>4</v>
      </c>
      <c r="H1679">
        <v>5</v>
      </c>
      <c r="I1679">
        <v>10.01</v>
      </c>
      <c r="J1679" t="s">
        <v>10</v>
      </c>
      <c r="K1679">
        <v>57997</v>
      </c>
      <c r="L1679">
        <v>1.3152E-2</v>
      </c>
      <c r="M1679">
        <v>57997</v>
      </c>
      <c r="N1679">
        <v>1.2997999999999999E-2</v>
      </c>
      <c r="O1679" t="s">
        <v>2833</v>
      </c>
      <c r="P1679" t="s">
        <v>2833</v>
      </c>
      <c r="Q1679" t="s">
        <v>2833</v>
      </c>
      <c r="R1679">
        <f ca="1">RAND()*(Validation[[#This Row],[Range1_High]]-Validation[[#This Row],[Range1_Low]])+Validation[[#This Row],[Range1_Low]]</f>
        <v>377.6033578116195</v>
      </c>
      <c r="S1679">
        <f>Validation[[#This Row],[Range2_High]]</f>
        <v>10.01</v>
      </c>
      <c r="T1679" t="str" cm="1">
        <f t="array" aca="1" ref="T1679" ca="1">RoundToTwoSigFigs(Validation[[#This Row],[Test Reading]]*Validation[[#This Row],[Mult]]+Validation[[#This Row],[Base]]) &amp;" "&amp;Validation[[#This Row],[Uncert_Units]]</f>
        <v>58000 mV</v>
      </c>
      <c r="U16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V1679" t="b">
        <f ca="1">Validation[[#This Row],[Desired Result]]=Validation[[#This Row],[Result]]</f>
        <v>1</v>
      </c>
      <c r="W1679" t="b">
        <v>1</v>
      </c>
      <c r="X1679" t="b">
        <f>Validation[[#This Row],[Range1_Low]]&gt;=Validation[[#This Row],[Range1_High]]</f>
        <v>0</v>
      </c>
      <c r="Y1679" s="111" t="s">
        <v>2843</v>
      </c>
    </row>
    <row r="1680" spans="1:25" ht="16.5" thickTop="1" thickBot="1" x14ac:dyDescent="0.3">
      <c r="A1680" t="s">
        <v>55</v>
      </c>
      <c r="B1680" t="s">
        <v>8</v>
      </c>
      <c r="C1680" s="113">
        <v>0.01</v>
      </c>
      <c r="D1680" s="113">
        <v>0.1</v>
      </c>
      <c r="E1680">
        <v>1E-8</v>
      </c>
      <c r="F1680" t="s">
        <v>6</v>
      </c>
      <c r="G1680" t="s">
        <v>5</v>
      </c>
      <c r="H1680">
        <v>1E-3</v>
      </c>
      <c r="I1680">
        <v>0.04</v>
      </c>
      <c r="J1680" t="s">
        <v>10</v>
      </c>
      <c r="K1680">
        <v>5.4</v>
      </c>
      <c r="L1680">
        <v>83</v>
      </c>
      <c r="M1680">
        <v>5.3159999999999998</v>
      </c>
      <c r="N1680">
        <v>83.165000000000006</v>
      </c>
      <c r="O1680" t="s">
        <v>2833</v>
      </c>
      <c r="P1680" t="s">
        <v>2833</v>
      </c>
      <c r="Q1680" t="s">
        <v>2833</v>
      </c>
      <c r="R1680">
        <f ca="1">RAND()*(Validation[[#This Row],[Range1_High]]-Validation[[#This Row],[Range1_Low]])+Validation[[#This Row],[Range1_Low]]</f>
        <v>2.0605386521340436E-2</v>
      </c>
      <c r="S1680">
        <f>Validation[[#This Row],[Range2_High]]</f>
        <v>0.04</v>
      </c>
      <c r="T1680" t="str" cm="1">
        <f t="array" aca="1" ref="T1680" ca="1">RoundToTwoSigFigs(Validation[[#This Row],[Test Reading]]*Validation[[#This Row],[Mult]]+Validation[[#This Row],[Base]]) &amp;" "&amp;Validation[[#This Row],[Uncert_Units]]</f>
        <v>7.1 µV</v>
      </c>
      <c r="U16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µV</v>
      </c>
      <c r="V1680" t="b">
        <f ca="1">Validation[[#This Row],[Desired Result]]=Validation[[#This Row],[Result]]</f>
        <v>0</v>
      </c>
      <c r="W1680" t="b">
        <v>1</v>
      </c>
      <c r="X1680" t="b">
        <f>Validation[[#This Row],[Range1_Low]]&gt;=Validation[[#This Row],[Range1_High]]</f>
        <v>0</v>
      </c>
      <c r="Y1680" s="111" t="s">
        <v>2843</v>
      </c>
    </row>
    <row r="1681" spans="1:25" ht="16.5" thickTop="1" thickBot="1" x14ac:dyDescent="0.3">
      <c r="A1681" t="s">
        <v>54</v>
      </c>
      <c r="B1681" t="s">
        <v>8</v>
      </c>
      <c r="C1681" s="113">
        <v>3.3000000000000002E-2</v>
      </c>
      <c r="D1681" s="113">
        <v>0.33001000000000003</v>
      </c>
      <c r="E1681">
        <v>1.0000000000000001E-5</v>
      </c>
      <c r="F1681" t="s">
        <v>6</v>
      </c>
      <c r="G1681" t="s">
        <v>5</v>
      </c>
      <c r="H1681">
        <v>100</v>
      </c>
      <c r="I1681">
        <v>500</v>
      </c>
      <c r="J1681" t="s">
        <v>10</v>
      </c>
      <c r="K1681">
        <v>390</v>
      </c>
      <c r="L1681">
        <v>5779.3</v>
      </c>
      <c r="M1681">
        <v>381.8</v>
      </c>
      <c r="N1681">
        <v>5779.3</v>
      </c>
      <c r="O1681" t="s">
        <v>2833</v>
      </c>
      <c r="P1681" t="s">
        <v>2833</v>
      </c>
      <c r="Q1681" t="s">
        <v>2833</v>
      </c>
      <c r="R1681">
        <f ca="1">RAND()*(Validation[[#This Row],[Range1_High]]-Validation[[#This Row],[Range1_Low]])+Validation[[#This Row],[Range1_Low]]</f>
        <v>0.31419872130261872</v>
      </c>
      <c r="S1681">
        <f>Validation[[#This Row],[Range2_High]]</f>
        <v>500</v>
      </c>
      <c r="T1681" t="str" cm="1">
        <f t="array" aca="1" ref="T1681" ca="1">RoundToTwoSigFigs(Validation[[#This Row],[Test Reading]]*Validation[[#This Row],[Mult]]+Validation[[#This Row],[Base]]) &amp;" "&amp;Validation[[#This Row],[Uncert_Units]]</f>
        <v>2200 µV</v>
      </c>
      <c r="U16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V1681" t="b">
        <f ca="1">Validation[[#This Row],[Desired Result]]=Validation[[#This Row],[Result]]</f>
        <v>1</v>
      </c>
      <c r="W1681" t="b">
        <v>1</v>
      </c>
      <c r="X1681" t="b">
        <f>Validation[[#This Row],[Range1_Low]]&gt;=Validation[[#This Row],[Range1_High]]</f>
        <v>0</v>
      </c>
      <c r="Y1681" s="111" t="s">
        <v>2843</v>
      </c>
    </row>
    <row r="1682" spans="1:25" ht="16.5" thickTop="1" thickBot="1" x14ac:dyDescent="0.3">
      <c r="A1682" t="s">
        <v>55</v>
      </c>
      <c r="B1682" t="s">
        <v>8</v>
      </c>
      <c r="C1682">
        <v>0</v>
      </c>
      <c r="D1682">
        <v>0.01</v>
      </c>
      <c r="E1682">
        <v>9.9999999999999995E-7</v>
      </c>
      <c r="F1682" t="s">
        <v>6</v>
      </c>
      <c r="G1682" t="s">
        <v>5</v>
      </c>
      <c r="H1682">
        <v>20</v>
      </c>
      <c r="I1682">
        <v>50</v>
      </c>
      <c r="J1682" t="s">
        <v>10</v>
      </c>
      <c r="K1682">
        <v>5.6</v>
      </c>
      <c r="L1682">
        <v>837.24</v>
      </c>
      <c r="M1682">
        <v>5.5655999999999999</v>
      </c>
      <c r="N1682">
        <v>837.27</v>
      </c>
      <c r="O1682" t="s">
        <v>2833</v>
      </c>
      <c r="P1682" t="s">
        <v>2833</v>
      </c>
      <c r="Q1682" t="s">
        <v>2833</v>
      </c>
      <c r="R1682">
        <f ca="1">RAND()*(Validation[[#This Row],[Range1_High]]-Validation[[#This Row],[Range1_Low]])+Validation[[#This Row],[Range1_Low]]</f>
        <v>6.8574681785318172E-3</v>
      </c>
      <c r="S1682">
        <f>Validation[[#This Row],[Range2_High]]</f>
        <v>50</v>
      </c>
      <c r="T1682" t="str" cm="1">
        <f t="array" aca="1" ref="T1682" ca="1">RoundToTwoSigFigs(Validation[[#This Row],[Test Reading]]*Validation[[#This Row],[Mult]]+Validation[[#This Row],[Base]]) &amp;" "&amp;Validation[[#This Row],[Uncert_Units]]</f>
        <v>11 µV</v>
      </c>
      <c r="U16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V1682" t="b">
        <f ca="1">Validation[[#This Row],[Desired Result]]=Validation[[#This Row],[Result]]</f>
        <v>1</v>
      </c>
      <c r="W1682" t="b">
        <v>1</v>
      </c>
      <c r="X1682" t="b">
        <f>Validation[[#This Row],[Range1_Low]]&gt;=Validation[[#This Row],[Range1_High]]</f>
        <v>0</v>
      </c>
      <c r="Y1682" s="111" t="s">
        <v>2845</v>
      </c>
    </row>
    <row r="1683" spans="1:25" ht="16.5" thickTop="1" thickBot="1" x14ac:dyDescent="0.3">
      <c r="A1683" t="s">
        <v>55</v>
      </c>
      <c r="B1683" t="s">
        <v>8</v>
      </c>
      <c r="C1683" s="113">
        <v>0.01</v>
      </c>
      <c r="D1683" s="113">
        <v>0.1</v>
      </c>
      <c r="E1683">
        <v>9.9999999999999995E-8</v>
      </c>
      <c r="F1683" t="s">
        <v>6</v>
      </c>
      <c r="G1683" t="s">
        <v>5</v>
      </c>
      <c r="H1683">
        <v>1</v>
      </c>
      <c r="I1683">
        <v>20</v>
      </c>
      <c r="J1683" t="s">
        <v>10</v>
      </c>
      <c r="K1683">
        <v>3.4</v>
      </c>
      <c r="L1683">
        <v>157.72</v>
      </c>
      <c r="M1683">
        <v>3.3552</v>
      </c>
      <c r="N1683">
        <v>157.72</v>
      </c>
      <c r="O1683" t="s">
        <v>2833</v>
      </c>
      <c r="P1683" t="s">
        <v>2833</v>
      </c>
      <c r="Q1683" t="s">
        <v>2833</v>
      </c>
      <c r="R1683">
        <f ca="1">RAND()*(Validation[[#This Row],[Range1_High]]-Validation[[#This Row],[Range1_Low]])+Validation[[#This Row],[Range1_Low]]</f>
        <v>8.8848299584718265E-2</v>
      </c>
      <c r="S1683">
        <f>Validation[[#This Row],[Range2_High]]</f>
        <v>20</v>
      </c>
      <c r="T1683" t="str" cm="1">
        <f t="array" aca="1" ref="T1683" ca="1">RoundToTwoSigFigs(Validation[[#This Row],[Test Reading]]*Validation[[#This Row],[Mult]]+Validation[[#This Row],[Base]]) &amp;" "&amp;Validation[[#This Row],[Uncert_Units]]</f>
        <v>17 µV</v>
      </c>
      <c r="U16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µV</v>
      </c>
      <c r="V1683" t="b">
        <f ca="1">Validation[[#This Row],[Desired Result]]=Validation[[#This Row],[Result]]</f>
        <v>0</v>
      </c>
      <c r="W1683" t="b">
        <v>1</v>
      </c>
      <c r="X1683" t="b">
        <f>Validation[[#This Row],[Range1_Low]]&gt;=Validation[[#This Row],[Range1_High]]</f>
        <v>0</v>
      </c>
      <c r="Y1683" s="111" t="s">
        <v>2843</v>
      </c>
    </row>
    <row r="1684" spans="1:25" ht="16.5" thickTop="1" thickBot="1" x14ac:dyDescent="0.3">
      <c r="A1684" t="s">
        <v>55</v>
      </c>
      <c r="B1684" t="s">
        <v>8</v>
      </c>
      <c r="C1684" s="113">
        <v>10</v>
      </c>
      <c r="D1684" s="113">
        <v>20</v>
      </c>
      <c r="E1684">
        <v>1E-4</v>
      </c>
      <c r="F1684" t="s">
        <v>6</v>
      </c>
      <c r="G1684" t="s">
        <v>4</v>
      </c>
      <c r="H1684">
        <v>0.04</v>
      </c>
      <c r="I1684">
        <v>1</v>
      </c>
      <c r="J1684" t="s">
        <v>10</v>
      </c>
      <c r="K1684">
        <v>2.4</v>
      </c>
      <c r="L1684">
        <v>0.23</v>
      </c>
      <c r="M1684">
        <v>2.2985000000000002</v>
      </c>
      <c r="N1684">
        <v>0.23305000000000001</v>
      </c>
      <c r="O1684" t="s">
        <v>2833</v>
      </c>
      <c r="P1684" t="s">
        <v>2833</v>
      </c>
      <c r="Q1684" t="s">
        <v>2833</v>
      </c>
      <c r="R1684">
        <f ca="1">RAND()*(Validation[[#This Row],[Range1_High]]-Validation[[#This Row],[Range1_Low]])+Validation[[#This Row],[Range1_Low]]</f>
        <v>17.500497248384988</v>
      </c>
      <c r="S1684">
        <f>Validation[[#This Row],[Range2_High]]</f>
        <v>1</v>
      </c>
      <c r="T1684" t="str" cm="1">
        <f t="array" aca="1" ref="T1684" ca="1">RoundToTwoSigFigs(Validation[[#This Row],[Test Reading]]*Validation[[#This Row],[Mult]]+Validation[[#This Row],[Base]]) &amp;" "&amp;Validation[[#This Row],[Uncert_Units]]</f>
        <v>6.4 mV</v>
      </c>
      <c r="U16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mV</v>
      </c>
      <c r="V1684" t="b">
        <f ca="1">Validation[[#This Row],[Desired Result]]=Validation[[#This Row],[Result]]</f>
        <v>1</v>
      </c>
      <c r="W1684" t="b">
        <v>1</v>
      </c>
      <c r="X1684" t="b">
        <f>Validation[[#This Row],[Range1_Low]]&gt;=Validation[[#This Row],[Range1_High]]</f>
        <v>0</v>
      </c>
      <c r="Y1684" s="111" t="s">
        <v>2843</v>
      </c>
    </row>
    <row r="1685" spans="1:25" ht="16.5" thickTop="1" thickBot="1" x14ac:dyDescent="0.3">
      <c r="A1685" t="s">
        <v>55</v>
      </c>
      <c r="B1685" t="s">
        <v>8</v>
      </c>
      <c r="C1685" s="113">
        <v>0.1</v>
      </c>
      <c r="D1685" s="113">
        <v>1</v>
      </c>
      <c r="E1685">
        <v>1.0000000000000001E-5</v>
      </c>
      <c r="F1685" t="s">
        <v>6</v>
      </c>
      <c r="G1685" t="s">
        <v>4</v>
      </c>
      <c r="H1685">
        <v>2000</v>
      </c>
      <c r="I1685">
        <v>4000</v>
      </c>
      <c r="J1685" t="s">
        <v>10</v>
      </c>
      <c r="K1685">
        <v>1.2</v>
      </c>
      <c r="L1685">
        <v>46.029000000000003</v>
      </c>
      <c r="M1685">
        <v>0.80073000000000005</v>
      </c>
      <c r="N1685">
        <v>46.326000000000001</v>
      </c>
      <c r="O1685" t="s">
        <v>2833</v>
      </c>
      <c r="P1685" t="s">
        <v>2833</v>
      </c>
      <c r="Q1685" t="s">
        <v>2833</v>
      </c>
      <c r="R1685">
        <f ca="1">RAND()*(Validation[[#This Row],[Range1_High]]-Validation[[#This Row],[Range1_Low]])+Validation[[#This Row],[Range1_Low]]</f>
        <v>0.4458761870890996</v>
      </c>
      <c r="S1685">
        <f>Validation[[#This Row],[Range2_High]]</f>
        <v>4000</v>
      </c>
      <c r="T1685" t="str" cm="1">
        <f t="array" aca="1" ref="T1685" ca="1">RoundToTwoSigFigs(Validation[[#This Row],[Test Reading]]*Validation[[#This Row],[Mult]]+Validation[[#This Row],[Base]]) &amp;" "&amp;Validation[[#This Row],[Uncert_Units]]</f>
        <v>22 mV</v>
      </c>
      <c r="U16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V1685" t="b">
        <f ca="1">Validation[[#This Row],[Desired Result]]=Validation[[#This Row],[Result]]</f>
        <v>1</v>
      </c>
      <c r="W1685" t="b">
        <v>1</v>
      </c>
      <c r="X1685" t="b">
        <f>Validation[[#This Row],[Range1_Low]]&gt;=Validation[[#This Row],[Range1_High]]</f>
        <v>0</v>
      </c>
      <c r="Y1685" s="111" t="s">
        <v>2843</v>
      </c>
    </row>
    <row r="1686" spans="1:25" ht="16.5" thickTop="1" thickBot="1" x14ac:dyDescent="0.3">
      <c r="A1686" t="s">
        <v>55</v>
      </c>
      <c r="B1686" t="s">
        <v>8</v>
      </c>
      <c r="C1686" s="113">
        <v>0.01</v>
      </c>
      <c r="D1686" s="113">
        <v>0.1</v>
      </c>
      <c r="E1686">
        <v>1E-4</v>
      </c>
      <c r="F1686" t="s">
        <v>6</v>
      </c>
      <c r="G1686" t="s">
        <v>5</v>
      </c>
      <c r="H1686">
        <v>50</v>
      </c>
      <c r="I1686">
        <v>100</v>
      </c>
      <c r="J1686" t="s">
        <v>10</v>
      </c>
      <c r="K1686">
        <v>53.811999999999998</v>
      </c>
      <c r="L1686">
        <v>587.62</v>
      </c>
      <c r="M1686">
        <v>53.787999999999997</v>
      </c>
      <c r="N1686">
        <v>587.29999999999995</v>
      </c>
      <c r="O1686" t="s">
        <v>2833</v>
      </c>
      <c r="P1686" t="s">
        <v>2833</v>
      </c>
      <c r="Q1686" t="s">
        <v>2833</v>
      </c>
      <c r="R1686">
        <f ca="1">RAND()*(Validation[[#This Row],[Range1_High]]-Validation[[#This Row],[Range1_Low]])+Validation[[#This Row],[Range1_Low]]</f>
        <v>5.1925792559917354E-2</v>
      </c>
      <c r="S1686">
        <f>Validation[[#This Row],[Range2_High]]</f>
        <v>100</v>
      </c>
      <c r="T1686" t="str" cm="1">
        <f t="array" aca="1" ref="T1686" ca="1">RoundToTwoSigFigs(Validation[[#This Row],[Test Reading]]*Validation[[#This Row],[Mult]]+Validation[[#This Row],[Base]]) &amp;" "&amp;Validation[[#This Row],[Uncert_Units]]</f>
        <v>84 µV</v>
      </c>
      <c r="U16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µV</v>
      </c>
      <c r="V1686" t="b">
        <f ca="1">Validation[[#This Row],[Desired Result]]=Validation[[#This Row],[Result]]</f>
        <v>1</v>
      </c>
      <c r="W1686" t="b">
        <v>1</v>
      </c>
      <c r="X1686" t="b">
        <f>Validation[[#This Row],[Range1_Low]]&gt;=Validation[[#This Row],[Range1_High]]</f>
        <v>0</v>
      </c>
      <c r="Y1686" s="111" t="s">
        <v>2843</v>
      </c>
    </row>
    <row r="1687" spans="1:25" ht="16.5" thickTop="1" thickBot="1" x14ac:dyDescent="0.3">
      <c r="A1687" t="s">
        <v>68</v>
      </c>
      <c r="B1687" t="s">
        <v>8</v>
      </c>
      <c r="C1687" s="113">
        <v>0.1</v>
      </c>
      <c r="D1687" s="113">
        <v>1</v>
      </c>
      <c r="E1687">
        <v>1.0000000000000001E-5</v>
      </c>
      <c r="F1687" t="s">
        <v>6</v>
      </c>
      <c r="G1687" t="s">
        <v>5</v>
      </c>
      <c r="H1687">
        <v>0.01</v>
      </c>
      <c r="I1687">
        <v>2</v>
      </c>
      <c r="J1687" t="s">
        <v>10</v>
      </c>
      <c r="K1687">
        <v>350</v>
      </c>
      <c r="L1687">
        <v>940</v>
      </c>
      <c r="M1687">
        <v>347.15</v>
      </c>
      <c r="N1687">
        <v>937.18</v>
      </c>
      <c r="O1687" t="s">
        <v>2833</v>
      </c>
      <c r="P1687" t="s">
        <v>2833</v>
      </c>
      <c r="Q1687" t="s">
        <v>2833</v>
      </c>
      <c r="R1687">
        <f ca="1">RAND()*(Validation[[#This Row],[Range1_High]]-Validation[[#This Row],[Range1_Low]])+Validation[[#This Row],[Range1_Low]]</f>
        <v>0.11088403875488746</v>
      </c>
      <c r="S1687">
        <f>Validation[[#This Row],[Range2_High]]</f>
        <v>2</v>
      </c>
      <c r="T1687" t="str" cm="1">
        <f t="array" aca="1" ref="T1687" ca="1">RoundToTwoSigFigs(Validation[[#This Row],[Test Reading]]*Validation[[#This Row],[Mult]]+Validation[[#This Row],[Base]]) &amp;" "&amp;Validation[[#This Row],[Uncert_Units]]</f>
        <v>450 µV</v>
      </c>
      <c r="U16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V1687" t="b">
        <f ca="1">Validation[[#This Row],[Desired Result]]=Validation[[#This Row],[Result]]</f>
        <v>0</v>
      </c>
      <c r="W1687" t="b">
        <v>1</v>
      </c>
      <c r="X1687" t="b">
        <f>Validation[[#This Row],[Range1_Low]]&gt;=Validation[[#This Row],[Range1_High]]</f>
        <v>0</v>
      </c>
      <c r="Y1687" s="111" t="s">
        <v>2843</v>
      </c>
    </row>
    <row r="1688" spans="1:25" ht="16.5" thickTop="1" thickBot="1" x14ac:dyDescent="0.3">
      <c r="A1688" t="s">
        <v>55</v>
      </c>
      <c r="B1688" t="s">
        <v>8</v>
      </c>
      <c r="C1688" s="113">
        <v>0.01</v>
      </c>
      <c r="D1688" s="113">
        <v>0.1</v>
      </c>
      <c r="E1688">
        <v>1E-8</v>
      </c>
      <c r="F1688" t="s">
        <v>6</v>
      </c>
      <c r="G1688" t="s">
        <v>5</v>
      </c>
      <c r="H1688">
        <v>1000</v>
      </c>
      <c r="I1688">
        <v>2000</v>
      </c>
      <c r="J1688" t="s">
        <v>10</v>
      </c>
      <c r="K1688">
        <v>53</v>
      </c>
      <c r="L1688">
        <v>17000</v>
      </c>
      <c r="M1688">
        <v>11.488</v>
      </c>
      <c r="N1688">
        <v>17414</v>
      </c>
      <c r="O1688" t="s">
        <v>2833</v>
      </c>
      <c r="P1688" t="s">
        <v>2833</v>
      </c>
      <c r="Q1688" t="s">
        <v>2833</v>
      </c>
      <c r="R1688">
        <f ca="1">RAND()*(Validation[[#This Row],[Range1_High]]-Validation[[#This Row],[Range1_Low]])+Validation[[#This Row],[Range1_Low]]</f>
        <v>1.3179357239507939E-2</v>
      </c>
      <c r="S1688">
        <f>Validation[[#This Row],[Range2_High]]</f>
        <v>2000</v>
      </c>
      <c r="T1688" t="str" cm="1">
        <f t="array" aca="1" ref="T1688" ca="1">RoundToTwoSigFigs(Validation[[#This Row],[Test Reading]]*Validation[[#This Row],[Mult]]+Validation[[#This Row],[Base]]) &amp;" "&amp;Validation[[#This Row],[Uncert_Units]]</f>
        <v>280 µV</v>
      </c>
      <c r="U16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V1688" t="b">
        <f ca="1">Validation[[#This Row],[Desired Result]]=Validation[[#This Row],[Result]]</f>
        <v>1</v>
      </c>
      <c r="W1688" t="b">
        <v>1</v>
      </c>
      <c r="X1688" t="b">
        <f>Validation[[#This Row],[Range1_Low]]&gt;=Validation[[#This Row],[Range1_High]]</f>
        <v>0</v>
      </c>
      <c r="Y1688" s="111" t="s">
        <v>2843</v>
      </c>
    </row>
    <row r="1689" spans="1:25" ht="16.5" thickTop="1" thickBot="1" x14ac:dyDescent="0.3">
      <c r="A1689" t="s">
        <v>54</v>
      </c>
      <c r="B1689" t="s">
        <v>8</v>
      </c>
      <c r="C1689" s="113">
        <v>0.33</v>
      </c>
      <c r="D1689" s="113">
        <v>3.3001</v>
      </c>
      <c r="E1689">
        <v>1E-3</v>
      </c>
      <c r="F1689" t="s">
        <v>6</v>
      </c>
      <c r="G1689" t="s">
        <v>4</v>
      </c>
      <c r="H1689">
        <v>0.01</v>
      </c>
      <c r="I1689">
        <v>4.5010000000000001E-2</v>
      </c>
      <c r="J1689" t="s">
        <v>10</v>
      </c>
      <c r="K1689">
        <v>0.48274</v>
      </c>
      <c r="L1689">
        <v>0.46448</v>
      </c>
      <c r="M1689">
        <v>0.4824</v>
      </c>
      <c r="N1689">
        <v>0.46450000000000002</v>
      </c>
      <c r="O1689" t="s">
        <v>2833</v>
      </c>
      <c r="P1689" t="s">
        <v>2833</v>
      </c>
      <c r="Q1689" t="s">
        <v>2833</v>
      </c>
      <c r="R1689">
        <f ca="1">RAND()*(Validation[[#This Row],[Range1_High]]-Validation[[#This Row],[Range1_Low]])+Validation[[#This Row],[Range1_Low]]</f>
        <v>2.2533585660307462</v>
      </c>
      <c r="S1689">
        <f>Validation[[#This Row],[Range2_High]]</f>
        <v>4.5010000000000001E-2</v>
      </c>
      <c r="T1689" t="str" cm="1">
        <f t="array" aca="1" ref="T1689" ca="1">RoundToTwoSigFigs(Validation[[#This Row],[Test Reading]]*Validation[[#This Row],[Mult]]+Validation[[#This Row],[Base]]) &amp;" "&amp;Validation[[#This Row],[Uncert_Units]]</f>
        <v>1.5 mV</v>
      </c>
      <c r="U16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V1689" t="b">
        <f ca="1">Validation[[#This Row],[Desired Result]]=Validation[[#This Row],[Result]]</f>
        <v>1</v>
      </c>
      <c r="W1689" t="b">
        <v>1</v>
      </c>
      <c r="X1689" t="b">
        <f>Validation[[#This Row],[Range1_Low]]&gt;=Validation[[#This Row],[Range1_High]]</f>
        <v>0</v>
      </c>
      <c r="Y1689" s="111" t="s">
        <v>2843</v>
      </c>
    </row>
    <row r="1690" spans="1:25" ht="15.75" thickTop="1" x14ac:dyDescent="0.25">
      <c r="A1690" t="s">
        <v>55</v>
      </c>
      <c r="B1690" t="s">
        <v>8</v>
      </c>
      <c r="C1690">
        <v>100</v>
      </c>
      <c r="D1690">
        <v>1000</v>
      </c>
      <c r="E1690">
        <v>1</v>
      </c>
      <c r="F1690" t="s">
        <v>6</v>
      </c>
      <c r="G1690" t="s">
        <v>4</v>
      </c>
      <c r="H1690">
        <v>1</v>
      </c>
      <c r="I1690">
        <v>20</v>
      </c>
      <c r="J1690" t="s">
        <v>10</v>
      </c>
      <c r="K1690">
        <v>547.47</v>
      </c>
      <c r="L1690">
        <v>0.37317</v>
      </c>
      <c r="M1690">
        <v>547.4</v>
      </c>
      <c r="N1690">
        <v>0.37309999999999999</v>
      </c>
      <c r="O1690" t="s">
        <v>2833</v>
      </c>
      <c r="P1690" t="s">
        <v>2833</v>
      </c>
      <c r="Q1690" t="s">
        <v>2833</v>
      </c>
      <c r="R1690">
        <f ca="1">RAND()*(Validation[[#This Row],[Range1_High]]-Validation[[#This Row],[Range1_Low]])+Validation[[#This Row],[Range1_Low]]</f>
        <v>511.39995549186472</v>
      </c>
      <c r="S1690">
        <f>Validation[[#This Row],[Range2_High]]</f>
        <v>20</v>
      </c>
      <c r="T1690" t="str" cm="1">
        <f t="array" aca="1" ref="T1690" ca="1">RoundToTwoSigFigs(Validation[[#This Row],[Test Reading]]*Validation[[#This Row],[Mult]]+Validation[[#This Row],[Base]]) &amp;" "&amp;Validation[[#This Row],[Uncert_Units]]</f>
        <v>740 mV</v>
      </c>
      <c r="U16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V1690" t="b">
        <f ca="1">Validation[[#This Row],[Desired Result]]=Validation[[#This Row],[Result]]</f>
        <v>0</v>
      </c>
      <c r="W1690" t="b">
        <v>1</v>
      </c>
      <c r="X1690" t="b">
        <f>Validation[[#This Row],[Range1_Low]]&gt;=Validation[[#This Row],[Range1_High]]</f>
        <v>0</v>
      </c>
      <c r="Y1690" s="111" t="s">
        <v>2845</v>
      </c>
    </row>
    <row r="1691" spans="1:25" ht="15.75" thickBot="1" x14ac:dyDescent="0.3">
      <c r="A1691" t="s">
        <v>55</v>
      </c>
      <c r="B1691" t="s">
        <v>8</v>
      </c>
      <c r="C1691">
        <v>0.1</v>
      </c>
      <c r="D1691">
        <v>1</v>
      </c>
      <c r="E1691">
        <v>0.01</v>
      </c>
      <c r="F1691" t="s">
        <v>6</v>
      </c>
      <c r="G1691" t="s">
        <v>5</v>
      </c>
      <c r="H1691">
        <v>50</v>
      </c>
      <c r="I1691">
        <v>100</v>
      </c>
      <c r="J1691" t="s">
        <v>10</v>
      </c>
      <c r="K1691">
        <v>5766.2</v>
      </c>
      <c r="L1691">
        <v>87.391999999999996</v>
      </c>
      <c r="M1691">
        <v>5715.5</v>
      </c>
      <c r="N1691">
        <v>87.123000000000005</v>
      </c>
      <c r="O1691" t="s">
        <v>2833</v>
      </c>
      <c r="P1691" t="s">
        <v>2833</v>
      </c>
      <c r="Q1691" t="s">
        <v>2833</v>
      </c>
      <c r="R1691">
        <f ca="1">RAND()*(Validation[[#This Row],[Range1_High]]-Validation[[#This Row],[Range1_Low]])+Validation[[#This Row],[Range1_Low]]</f>
        <v>0.1097794602112835</v>
      </c>
      <c r="S1691">
        <f>Validation[[#This Row],[Range2_High]]</f>
        <v>100</v>
      </c>
      <c r="T1691" t="str" cm="1">
        <f t="array" aca="1" ref="T1691" ca="1">RoundToTwoSigFigs(Validation[[#This Row],[Test Reading]]*Validation[[#This Row],[Mult]]+Validation[[#This Row],[Base]]) &amp;" "&amp;Validation[[#This Row],[Uncert_Units]]</f>
        <v>5800 µV</v>
      </c>
      <c r="U16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1691" t="b">
        <f ca="1">Validation[[#This Row],[Desired Result]]=Validation[[#This Row],[Result]]</f>
        <v>1</v>
      </c>
      <c r="W1691" t="b">
        <v>0</v>
      </c>
      <c r="X1691" t="b">
        <f>Validation[[#This Row],[Range1_Low]]&gt;=Validation[[#This Row],[Range1_High]]</f>
        <v>0</v>
      </c>
      <c r="Y1691" s="111" t="s">
        <v>2845</v>
      </c>
    </row>
    <row r="1692" spans="1:25" ht="16.5" thickTop="1" thickBot="1" x14ac:dyDescent="0.3">
      <c r="A1692" t="s">
        <v>54</v>
      </c>
      <c r="B1692" t="s">
        <v>8</v>
      </c>
      <c r="C1692" s="113">
        <v>3.3</v>
      </c>
      <c r="D1692" s="113">
        <v>33.000999999999998</v>
      </c>
      <c r="E1692">
        <v>1E-3</v>
      </c>
      <c r="F1692" t="s">
        <v>6</v>
      </c>
      <c r="G1692" t="s">
        <v>4</v>
      </c>
      <c r="H1692">
        <v>500</v>
      </c>
      <c r="I1692">
        <v>501</v>
      </c>
      <c r="J1692" t="s">
        <v>10</v>
      </c>
      <c r="K1692">
        <v>13</v>
      </c>
      <c r="L1692">
        <v>4.5999999999999996</v>
      </c>
      <c r="M1692">
        <v>2.3500999999999999</v>
      </c>
      <c r="N1692">
        <v>2.6989999999999998</v>
      </c>
      <c r="O1692" t="s">
        <v>2833</v>
      </c>
      <c r="P1692" t="s">
        <v>2833</v>
      </c>
      <c r="Q1692" t="s">
        <v>2833</v>
      </c>
      <c r="R1692">
        <f ca="1">RAND()*(Validation[[#This Row],[Range1_High]]-Validation[[#This Row],[Range1_Low]])+Validation[[#This Row],[Range1_Low]]</f>
        <v>29.063876821975338</v>
      </c>
      <c r="S1692">
        <f>Validation[[#This Row],[Range2_High]]</f>
        <v>501</v>
      </c>
      <c r="T1692" t="str" cm="1">
        <f t="array" aca="1" ref="T1692" ca="1">RoundToTwoSigFigs(Validation[[#This Row],[Test Reading]]*Validation[[#This Row],[Mult]]+Validation[[#This Row],[Base]]) &amp;" "&amp;Validation[[#This Row],[Uncert_Units]]</f>
        <v>150 mV</v>
      </c>
      <c r="U16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V1692" t="b">
        <f ca="1">Validation[[#This Row],[Desired Result]]=Validation[[#This Row],[Result]]</f>
        <v>1</v>
      </c>
      <c r="W1692" t="b">
        <v>1</v>
      </c>
      <c r="X1692" t="b">
        <f>Validation[[#This Row],[Range1_Low]]&gt;=Validation[[#This Row],[Range1_High]]</f>
        <v>0</v>
      </c>
      <c r="Y1692" s="111" t="s">
        <v>2843</v>
      </c>
    </row>
    <row r="1693" spans="1:25" ht="16.5" thickTop="1" thickBot="1" x14ac:dyDescent="0.3">
      <c r="A1693" t="s">
        <v>55</v>
      </c>
      <c r="B1693" t="s">
        <v>8</v>
      </c>
      <c r="C1693" s="113">
        <v>1</v>
      </c>
      <c r="D1693" s="113">
        <v>10</v>
      </c>
      <c r="E1693">
        <v>1E-4</v>
      </c>
      <c r="F1693" t="s">
        <v>6</v>
      </c>
      <c r="G1693" t="s">
        <v>4</v>
      </c>
      <c r="H1693">
        <v>1000</v>
      </c>
      <c r="I1693">
        <v>2000</v>
      </c>
      <c r="J1693" t="s">
        <v>10</v>
      </c>
      <c r="K1693">
        <v>6.1</v>
      </c>
      <c r="L1693">
        <v>17.155999999999999</v>
      </c>
      <c r="M1693">
        <v>1.1337999999999999</v>
      </c>
      <c r="N1693">
        <v>17.486999999999998</v>
      </c>
      <c r="O1693" t="s">
        <v>2833</v>
      </c>
      <c r="P1693" t="s">
        <v>2833</v>
      </c>
      <c r="Q1693" t="s">
        <v>2833</v>
      </c>
      <c r="R1693">
        <f ca="1">RAND()*(Validation[[#This Row],[Range1_High]]-Validation[[#This Row],[Range1_Low]])+Validation[[#This Row],[Range1_Low]]</f>
        <v>3.5337336168178175</v>
      </c>
      <c r="S1693">
        <f>Validation[[#This Row],[Range2_High]]</f>
        <v>2000</v>
      </c>
      <c r="T1693" t="str" cm="1">
        <f t="array" aca="1" ref="T1693" ca="1">RoundToTwoSigFigs(Validation[[#This Row],[Test Reading]]*Validation[[#This Row],[Mult]]+Validation[[#This Row],[Base]]) &amp;" "&amp;Validation[[#This Row],[Uncert_Units]]</f>
        <v>67 mV</v>
      </c>
      <c r="U16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V1693" t="b">
        <f ca="1">Validation[[#This Row],[Desired Result]]=Validation[[#This Row],[Result]]</f>
        <v>0</v>
      </c>
      <c r="W1693" t="b">
        <v>1</v>
      </c>
      <c r="X1693" t="b">
        <f>Validation[[#This Row],[Range1_Low]]&gt;=Validation[[#This Row],[Range1_High]]</f>
        <v>0</v>
      </c>
      <c r="Y1693" s="111" t="s">
        <v>2843</v>
      </c>
    </row>
    <row r="1694" spans="1:25" ht="15.75" thickTop="1" x14ac:dyDescent="0.25">
      <c r="A1694" t="s">
        <v>55</v>
      </c>
      <c r="B1694" t="s">
        <v>8</v>
      </c>
      <c r="C1694">
        <v>0.01</v>
      </c>
      <c r="D1694">
        <v>0.1</v>
      </c>
      <c r="E1694">
        <v>1E-4</v>
      </c>
      <c r="F1694" t="s">
        <v>6</v>
      </c>
      <c r="G1694" t="s">
        <v>5</v>
      </c>
      <c r="H1694">
        <v>1</v>
      </c>
      <c r="I1694">
        <v>20</v>
      </c>
      <c r="J1694" t="s">
        <v>10</v>
      </c>
      <c r="K1694">
        <v>57.628</v>
      </c>
      <c r="L1694">
        <v>32.01</v>
      </c>
      <c r="M1694">
        <v>57.625999999999998</v>
      </c>
      <c r="N1694">
        <v>31.951000000000001</v>
      </c>
      <c r="O1694" t="s">
        <v>2833</v>
      </c>
      <c r="P1694" t="s">
        <v>2833</v>
      </c>
      <c r="Q1694" t="s">
        <v>2833</v>
      </c>
      <c r="R1694">
        <f ca="1">RAND()*(Validation[[#This Row],[Range1_High]]-Validation[[#This Row],[Range1_Low]])+Validation[[#This Row],[Range1_Low]]</f>
        <v>5.8677957697976339E-2</v>
      </c>
      <c r="S1694">
        <f>Validation[[#This Row],[Range2_High]]</f>
        <v>20</v>
      </c>
      <c r="T1694" t="str" cm="1">
        <f t="array" aca="1" ref="T1694" ca="1">RoundToTwoSigFigs(Validation[[#This Row],[Test Reading]]*Validation[[#This Row],[Mult]]+Validation[[#This Row],[Base]]) &amp;" "&amp;Validation[[#This Row],[Uncert_Units]]</f>
        <v>60 µV</v>
      </c>
      <c r="U16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V1694" t="b">
        <f ca="1">Validation[[#This Row],[Desired Result]]=Validation[[#This Row],[Result]]</f>
        <v>0</v>
      </c>
      <c r="W1694" t="b">
        <v>1</v>
      </c>
      <c r="X1694" t="b">
        <f>Validation[[#This Row],[Range1_Low]]&gt;=Validation[[#This Row],[Range1_High]]</f>
        <v>0</v>
      </c>
      <c r="Y1694" s="111" t="s">
        <v>2845</v>
      </c>
    </row>
    <row r="1695" spans="1:25" ht="15.75" thickBot="1" x14ac:dyDescent="0.3">
      <c r="A1695" t="s">
        <v>54</v>
      </c>
      <c r="B1695" t="s">
        <v>8</v>
      </c>
      <c r="C1695">
        <v>3.3</v>
      </c>
      <c r="D1695">
        <v>33.000999999999998</v>
      </c>
      <c r="E1695">
        <v>1</v>
      </c>
      <c r="F1695" t="s">
        <v>6</v>
      </c>
      <c r="G1695" t="s">
        <v>4</v>
      </c>
      <c r="H1695">
        <v>4.4999999999999998E-2</v>
      </c>
      <c r="I1695">
        <v>10.00001</v>
      </c>
      <c r="J1695" t="s">
        <v>10</v>
      </c>
      <c r="K1695">
        <v>579.99</v>
      </c>
      <c r="L1695">
        <v>4.2218999999999998E-3</v>
      </c>
      <c r="M1695">
        <v>579.99</v>
      </c>
      <c r="N1695">
        <v>4.2034000000000004E-3</v>
      </c>
      <c r="O1695" t="s">
        <v>2833</v>
      </c>
      <c r="P1695" t="s">
        <v>2833</v>
      </c>
      <c r="Q1695" t="s">
        <v>2833</v>
      </c>
      <c r="R1695">
        <f ca="1">RAND()*(Validation[[#This Row],[Range1_High]]-Validation[[#This Row],[Range1_Low]])+Validation[[#This Row],[Range1_Low]]</f>
        <v>4.2796066007780187</v>
      </c>
      <c r="S1695">
        <f>Validation[[#This Row],[Range2_High]]</f>
        <v>10.00001</v>
      </c>
      <c r="T1695" t="str" cm="1">
        <f t="array" aca="1" ref="T1695" ca="1">RoundToTwoSigFigs(Validation[[#This Row],[Test Reading]]*Validation[[#This Row],[Mult]]+Validation[[#This Row],[Base]]) &amp;" "&amp;Validation[[#This Row],[Uncert_Units]]</f>
        <v>580 mV</v>
      </c>
      <c r="U16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1695" t="b">
        <f ca="1">Validation[[#This Row],[Desired Result]]=Validation[[#This Row],[Result]]</f>
        <v>1</v>
      </c>
      <c r="W1695" t="b">
        <v>0</v>
      </c>
      <c r="X1695" t="b">
        <f>Validation[[#This Row],[Range1_Low]]&gt;=Validation[[#This Row],[Range1_High]]</f>
        <v>0</v>
      </c>
      <c r="Y1695" s="111" t="s">
        <v>2845</v>
      </c>
    </row>
    <row r="1696" spans="1:25" ht="16.5" thickTop="1" thickBot="1" x14ac:dyDescent="0.3">
      <c r="A1696" t="s">
        <v>55</v>
      </c>
      <c r="B1696" t="s">
        <v>8</v>
      </c>
      <c r="C1696" s="113">
        <v>0.1</v>
      </c>
      <c r="D1696" s="113">
        <v>1</v>
      </c>
      <c r="E1696">
        <v>9.9999999999999995E-8</v>
      </c>
      <c r="F1696" t="s">
        <v>6</v>
      </c>
      <c r="G1696" t="s">
        <v>4</v>
      </c>
      <c r="H1696">
        <v>8000</v>
      </c>
      <c r="I1696">
        <v>10000</v>
      </c>
      <c r="J1696" t="s">
        <v>10</v>
      </c>
      <c r="K1696">
        <v>4.5999999999999996</v>
      </c>
      <c r="L1696">
        <v>170</v>
      </c>
      <c r="M1696">
        <v>1.1459999999999999</v>
      </c>
      <c r="N1696">
        <v>173.36</v>
      </c>
      <c r="O1696" t="s">
        <v>2833</v>
      </c>
      <c r="P1696" t="s">
        <v>2833</v>
      </c>
      <c r="Q1696" t="s">
        <v>2833</v>
      </c>
      <c r="R1696">
        <f ca="1">RAND()*(Validation[[#This Row],[Range1_High]]-Validation[[#This Row],[Range1_Low]])+Validation[[#This Row],[Range1_Low]]</f>
        <v>0.55480009572198996</v>
      </c>
      <c r="S1696">
        <f>Validation[[#This Row],[Range2_High]]</f>
        <v>10000</v>
      </c>
      <c r="T1696" t="str" cm="1">
        <f t="array" aca="1" ref="T1696" ca="1">RoundToTwoSigFigs(Validation[[#This Row],[Test Reading]]*Validation[[#This Row],[Mult]]+Validation[[#This Row],[Base]]) &amp;" "&amp;Validation[[#This Row],[Uncert_Units]]</f>
        <v>99 mV</v>
      </c>
      <c r="U16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mV</v>
      </c>
      <c r="V1696" t="b">
        <f ca="1">Validation[[#This Row],[Desired Result]]=Validation[[#This Row],[Result]]</f>
        <v>1</v>
      </c>
      <c r="W1696" t="b">
        <v>1</v>
      </c>
      <c r="X1696" t="b">
        <f>Validation[[#This Row],[Range1_Low]]&gt;=Validation[[#This Row],[Range1_High]]</f>
        <v>0</v>
      </c>
      <c r="Y1696" s="111" t="s">
        <v>2843</v>
      </c>
    </row>
    <row r="1697" spans="1:25" ht="16.5" thickTop="1" thickBot="1" x14ac:dyDescent="0.3">
      <c r="A1697" t="s">
        <v>54</v>
      </c>
      <c r="B1697" t="s">
        <v>8</v>
      </c>
      <c r="C1697">
        <v>0</v>
      </c>
      <c r="D1697">
        <v>3.3009999999999998E-2</v>
      </c>
      <c r="E1697">
        <v>1.0000000000000001E-5</v>
      </c>
      <c r="F1697" t="s">
        <v>6</v>
      </c>
      <c r="G1697" t="s">
        <v>5</v>
      </c>
      <c r="H1697">
        <v>500</v>
      </c>
      <c r="I1697">
        <v>501</v>
      </c>
      <c r="J1697" t="s">
        <v>10</v>
      </c>
      <c r="K1697">
        <v>89</v>
      </c>
      <c r="L1697">
        <v>11468</v>
      </c>
      <c r="M1697">
        <v>73.063000000000002</v>
      </c>
      <c r="N1697">
        <v>11468</v>
      </c>
      <c r="O1697" t="s">
        <v>2833</v>
      </c>
      <c r="P1697" t="s">
        <v>2833</v>
      </c>
      <c r="Q1697" t="s">
        <v>2833</v>
      </c>
      <c r="R1697">
        <f ca="1">RAND()*(Validation[[#This Row],[Range1_High]]-Validation[[#This Row],[Range1_Low]])+Validation[[#This Row],[Range1_Low]]</f>
        <v>1.954661179300398E-2</v>
      </c>
      <c r="S1697">
        <f>Validation[[#This Row],[Range2_High]]</f>
        <v>501</v>
      </c>
      <c r="T1697" t="str" cm="1">
        <f t="array" aca="1" ref="T1697" ca="1">RoundToTwoSigFigs(Validation[[#This Row],[Test Reading]]*Validation[[#This Row],[Mult]]+Validation[[#This Row],[Base]]) &amp;" "&amp;Validation[[#This Row],[Uncert_Units]]</f>
        <v>310 µV</v>
      </c>
      <c r="U16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V1697" t="b">
        <f ca="1">Validation[[#This Row],[Desired Result]]=Validation[[#This Row],[Result]]</f>
        <v>1</v>
      </c>
      <c r="W1697" t="b">
        <v>0</v>
      </c>
      <c r="X1697" t="b">
        <f>Validation[[#This Row],[Range1_Low]]&gt;=Validation[[#This Row],[Range1_High]]</f>
        <v>0</v>
      </c>
      <c r="Y1697" s="111" t="s">
        <v>2845</v>
      </c>
    </row>
    <row r="1698" spans="1:25" ht="16.5" thickTop="1" thickBot="1" x14ac:dyDescent="0.3">
      <c r="A1698" t="s">
        <v>55</v>
      </c>
      <c r="B1698" t="s">
        <v>8</v>
      </c>
      <c r="C1698" s="113">
        <v>1</v>
      </c>
      <c r="D1698" s="113">
        <v>10</v>
      </c>
      <c r="E1698">
        <v>1.0000000000000001E-5</v>
      </c>
      <c r="F1698" t="s">
        <v>6</v>
      </c>
      <c r="G1698" t="s">
        <v>4</v>
      </c>
      <c r="H1698">
        <v>1</v>
      </c>
      <c r="I1698">
        <v>20</v>
      </c>
      <c r="J1698" t="s">
        <v>10</v>
      </c>
      <c r="K1698">
        <v>0.28000000000000003</v>
      </c>
      <c r="L1698">
        <v>0.16134000000000001</v>
      </c>
      <c r="M1698">
        <v>0.22836999999999999</v>
      </c>
      <c r="N1698">
        <v>0.16434000000000001</v>
      </c>
      <c r="O1698" t="s">
        <v>2833</v>
      </c>
      <c r="P1698" t="s">
        <v>2833</v>
      </c>
      <c r="Q1698" t="s">
        <v>2833</v>
      </c>
      <c r="R1698">
        <f ca="1">RAND()*(Validation[[#This Row],[Range1_High]]-Validation[[#This Row],[Range1_Low]])+Validation[[#This Row],[Range1_Low]]</f>
        <v>6.2595703951781045</v>
      </c>
      <c r="S1698">
        <f>Validation[[#This Row],[Range2_High]]</f>
        <v>20</v>
      </c>
      <c r="T1698" t="str" cm="1">
        <f t="array" aca="1" ref="T1698" ca="1">RoundToTwoSigFigs(Validation[[#This Row],[Test Reading]]*Validation[[#This Row],[Mult]]+Validation[[#This Row],[Base]]) &amp;" "&amp;Validation[[#This Row],[Uncert_Units]]</f>
        <v>1.3 mV</v>
      </c>
      <c r="U16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V1698" t="b">
        <f ca="1">Validation[[#This Row],[Desired Result]]=Validation[[#This Row],[Result]]</f>
        <v>1</v>
      </c>
      <c r="W1698" t="b">
        <v>1</v>
      </c>
      <c r="X1698" t="b">
        <f>Validation[[#This Row],[Range1_Low]]&gt;=Validation[[#This Row],[Range1_High]]</f>
        <v>0</v>
      </c>
      <c r="Y1698" s="111" t="s">
        <v>2843</v>
      </c>
    </row>
    <row r="1699" spans="1:25" ht="16.5" thickTop="1" thickBot="1" x14ac:dyDescent="0.3">
      <c r="A1699" t="s">
        <v>55</v>
      </c>
      <c r="B1699" t="s">
        <v>8</v>
      </c>
      <c r="C1699">
        <v>10</v>
      </c>
      <c r="D1699">
        <v>20</v>
      </c>
      <c r="E1699">
        <v>0.1</v>
      </c>
      <c r="F1699" t="s">
        <v>6</v>
      </c>
      <c r="G1699" t="s">
        <v>4</v>
      </c>
      <c r="H1699">
        <v>0.04</v>
      </c>
      <c r="I1699">
        <v>1</v>
      </c>
      <c r="J1699" t="s">
        <v>10</v>
      </c>
      <c r="K1699">
        <v>57.686999999999998</v>
      </c>
      <c r="L1699">
        <v>2.3591000000000001E-2</v>
      </c>
      <c r="M1699">
        <v>57.688000000000002</v>
      </c>
      <c r="N1699">
        <v>2.3266999999999999E-2</v>
      </c>
      <c r="O1699" t="s">
        <v>2833</v>
      </c>
      <c r="P1699" t="s">
        <v>2833</v>
      </c>
      <c r="Q1699" t="s">
        <v>2833</v>
      </c>
      <c r="R1699">
        <f ca="1">RAND()*(Validation[[#This Row],[Range1_High]]-Validation[[#This Row],[Range1_Low]])+Validation[[#This Row],[Range1_Low]]</f>
        <v>12.808203043438814</v>
      </c>
      <c r="S1699">
        <f>Validation[[#This Row],[Range2_High]]</f>
        <v>1</v>
      </c>
      <c r="T1699" t="str" cm="1">
        <f t="array" aca="1" ref="T1699" ca="1">RoundToTwoSigFigs(Validation[[#This Row],[Test Reading]]*Validation[[#This Row],[Mult]]+Validation[[#This Row],[Base]]) &amp;" "&amp;Validation[[#This Row],[Uncert_Units]]</f>
        <v>58 mV</v>
      </c>
      <c r="U16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1699" t="b">
        <f ca="1">Validation[[#This Row],[Desired Result]]=Validation[[#This Row],[Result]]</f>
        <v>1</v>
      </c>
      <c r="W1699" t="b">
        <v>0</v>
      </c>
      <c r="X1699" t="b">
        <f>Validation[[#This Row],[Range1_Low]]&gt;=Validation[[#This Row],[Range1_High]]</f>
        <v>0</v>
      </c>
      <c r="Y1699" s="111" t="s">
        <v>2845</v>
      </c>
    </row>
    <row r="1700" spans="1:25" ht="16.5" thickTop="1" thickBot="1" x14ac:dyDescent="0.3">
      <c r="A1700" t="s">
        <v>55</v>
      </c>
      <c r="B1700" t="s">
        <v>8</v>
      </c>
      <c r="C1700" s="113">
        <v>0.01</v>
      </c>
      <c r="D1700" s="113">
        <v>0.1</v>
      </c>
      <c r="E1700">
        <v>9.9999999999999995E-8</v>
      </c>
      <c r="F1700" t="s">
        <v>6</v>
      </c>
      <c r="G1700" t="s">
        <v>5</v>
      </c>
      <c r="H1700">
        <v>2000</v>
      </c>
      <c r="I1700">
        <v>4000</v>
      </c>
      <c r="J1700" t="s">
        <v>10</v>
      </c>
      <c r="K1700">
        <v>110</v>
      </c>
      <c r="L1700">
        <v>46000</v>
      </c>
      <c r="M1700">
        <v>80.778000000000006</v>
      </c>
      <c r="N1700">
        <v>46223</v>
      </c>
      <c r="O1700" t="s">
        <v>2833</v>
      </c>
      <c r="P1700" t="s">
        <v>2833</v>
      </c>
      <c r="Q1700" t="s">
        <v>2833</v>
      </c>
      <c r="R1700">
        <f ca="1">RAND()*(Validation[[#This Row],[Range1_High]]-Validation[[#This Row],[Range1_Low]])+Validation[[#This Row],[Range1_Low]]</f>
        <v>6.8472635661462958E-2</v>
      </c>
      <c r="S1700">
        <f>Validation[[#This Row],[Range2_High]]</f>
        <v>4000</v>
      </c>
      <c r="T1700" t="str" cm="1">
        <f t="array" aca="1" ref="T1700" ca="1">RoundToTwoSigFigs(Validation[[#This Row],[Test Reading]]*Validation[[#This Row],[Mult]]+Validation[[#This Row],[Base]]) &amp;" "&amp;Validation[[#This Row],[Uncert_Units]]</f>
        <v>3300 µV</v>
      </c>
      <c r="U17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µV</v>
      </c>
      <c r="V1700" t="b">
        <f ca="1">Validation[[#This Row],[Desired Result]]=Validation[[#This Row],[Result]]</f>
        <v>1</v>
      </c>
      <c r="W1700" t="b">
        <v>1</v>
      </c>
      <c r="X1700" t="b">
        <f>Validation[[#This Row],[Range1_Low]]&gt;=Validation[[#This Row],[Range1_High]]</f>
        <v>0</v>
      </c>
      <c r="Y1700" s="111" t="s">
        <v>2843</v>
      </c>
    </row>
    <row r="1701" spans="1:25" ht="16.5" thickTop="1" thickBot="1" x14ac:dyDescent="0.3">
      <c r="A1701" t="s">
        <v>55</v>
      </c>
      <c r="B1701" t="s">
        <v>8</v>
      </c>
      <c r="C1701" s="113">
        <v>0.1</v>
      </c>
      <c r="D1701" s="113">
        <v>1</v>
      </c>
      <c r="E1701">
        <v>1E-4</v>
      </c>
      <c r="F1701" t="s">
        <v>6</v>
      </c>
      <c r="G1701" t="s">
        <v>5</v>
      </c>
      <c r="H1701">
        <v>1E-3</v>
      </c>
      <c r="I1701">
        <v>0.04</v>
      </c>
      <c r="J1701" t="s">
        <v>10</v>
      </c>
      <c r="K1701">
        <v>72.742999999999995</v>
      </c>
      <c r="L1701">
        <v>66.872</v>
      </c>
      <c r="M1701">
        <v>66.849000000000004</v>
      </c>
      <c r="N1701">
        <v>66.849000000000004</v>
      </c>
      <c r="O1701" t="s">
        <v>2833</v>
      </c>
      <c r="P1701" t="s">
        <v>2833</v>
      </c>
      <c r="Q1701" t="s">
        <v>2833</v>
      </c>
      <c r="R1701">
        <f ca="1">RAND()*(Validation[[#This Row],[Range1_High]]-Validation[[#This Row],[Range1_Low]])+Validation[[#This Row],[Range1_Low]]</f>
        <v>0.72348542702486884</v>
      </c>
      <c r="S1701">
        <f>Validation[[#This Row],[Range2_High]]</f>
        <v>0.04</v>
      </c>
      <c r="T1701" t="str" cm="1">
        <f t="array" aca="1" ref="T1701" ca="1">RoundToTwoSigFigs(Validation[[#This Row],[Test Reading]]*Validation[[#This Row],[Mult]]+Validation[[#This Row],[Base]]) &amp;" "&amp;Validation[[#This Row],[Uncert_Units]]</f>
        <v>120 µV</v>
      </c>
      <c r="U17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V1701" t="b">
        <f ca="1">Validation[[#This Row],[Desired Result]]=Validation[[#This Row],[Result]]</f>
        <v>0</v>
      </c>
      <c r="W1701" t="b">
        <v>1</v>
      </c>
      <c r="X1701" t="b">
        <f>Validation[[#This Row],[Range1_Low]]&gt;=Validation[[#This Row],[Range1_High]]</f>
        <v>0</v>
      </c>
      <c r="Y1701" s="111" t="s">
        <v>2843</v>
      </c>
    </row>
    <row r="1702" spans="1:25" ht="16.5" thickTop="1" thickBot="1" x14ac:dyDescent="0.3">
      <c r="A1702" t="s">
        <v>54</v>
      </c>
      <c r="B1702" t="s">
        <v>8</v>
      </c>
      <c r="C1702">
        <v>0</v>
      </c>
      <c r="D1702">
        <v>3.3009999999999998E-2</v>
      </c>
      <c r="E1702">
        <v>0.1</v>
      </c>
      <c r="F1702" t="s">
        <v>6</v>
      </c>
      <c r="G1702" t="s">
        <v>5</v>
      </c>
      <c r="H1702">
        <v>0.01</v>
      </c>
      <c r="I1702">
        <v>4.5010000000000001E-2</v>
      </c>
      <c r="J1702" t="s">
        <v>10</v>
      </c>
      <c r="K1702">
        <v>58000</v>
      </c>
      <c r="L1702">
        <v>1.7665</v>
      </c>
      <c r="M1702">
        <v>58000</v>
      </c>
      <c r="N1702">
        <v>1.5714999999999999</v>
      </c>
      <c r="O1702" t="s">
        <v>2833</v>
      </c>
      <c r="P1702" t="s">
        <v>2833</v>
      </c>
      <c r="Q1702" t="s">
        <v>2833</v>
      </c>
      <c r="R1702">
        <f ca="1">RAND()*(Validation[[#This Row],[Range1_High]]-Validation[[#This Row],[Range1_Low]])+Validation[[#This Row],[Range1_Low]]</f>
        <v>1.8408538352699382E-2</v>
      </c>
      <c r="S1702">
        <f>Validation[[#This Row],[Range2_High]]</f>
        <v>4.5010000000000001E-2</v>
      </c>
      <c r="T1702" t="str" cm="1">
        <f t="array" aca="1" ref="T1702" ca="1">RoundToTwoSigFigs(Validation[[#This Row],[Test Reading]]*Validation[[#This Row],[Mult]]+Validation[[#This Row],[Base]]) &amp;" "&amp;Validation[[#This Row],[Uncert_Units]]</f>
        <v>58000 µV</v>
      </c>
      <c r="U17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702" t="b">
        <f ca="1">Validation[[#This Row],[Desired Result]]=Validation[[#This Row],[Result]]</f>
        <v>1</v>
      </c>
      <c r="W1702" t="b">
        <v>0</v>
      </c>
      <c r="X1702" t="b">
        <f>Validation[[#This Row],[Range1_Low]]&gt;=Validation[[#This Row],[Range1_High]]</f>
        <v>0</v>
      </c>
      <c r="Y1702" s="111" t="s">
        <v>2845</v>
      </c>
    </row>
    <row r="1703" spans="1:25" ht="16.5" thickTop="1" thickBot="1" x14ac:dyDescent="0.3">
      <c r="A1703" t="s">
        <v>55</v>
      </c>
      <c r="B1703" t="s">
        <v>8</v>
      </c>
      <c r="C1703" s="113">
        <v>330</v>
      </c>
      <c r="D1703" s="113">
        <v>1000</v>
      </c>
      <c r="E1703">
        <v>1</v>
      </c>
      <c r="F1703" t="s">
        <v>6</v>
      </c>
      <c r="G1703" t="s">
        <v>4</v>
      </c>
      <c r="H1703">
        <v>0.04</v>
      </c>
      <c r="I1703">
        <v>1</v>
      </c>
      <c r="J1703" t="s">
        <v>10</v>
      </c>
      <c r="K1703">
        <v>562.27</v>
      </c>
      <c r="L1703">
        <v>0.1928</v>
      </c>
      <c r="M1703">
        <v>562.23</v>
      </c>
      <c r="N1703">
        <v>0.19273999999999999</v>
      </c>
      <c r="O1703" t="s">
        <v>2833</v>
      </c>
      <c r="P1703" t="s">
        <v>2833</v>
      </c>
      <c r="Q1703" t="s">
        <v>2833</v>
      </c>
      <c r="R1703">
        <f ca="1">RAND()*(Validation[[#This Row],[Range1_High]]-Validation[[#This Row],[Range1_Low]])+Validation[[#This Row],[Range1_Low]]</f>
        <v>905.08511351470338</v>
      </c>
      <c r="S1703">
        <f>Validation[[#This Row],[Range2_High]]</f>
        <v>1</v>
      </c>
      <c r="T1703" t="str" cm="1">
        <f t="array" aca="1" ref="T1703" ca="1">RoundToTwoSigFigs(Validation[[#This Row],[Test Reading]]*Validation[[#This Row],[Mult]]+Validation[[#This Row],[Base]]) &amp;" "&amp;Validation[[#This Row],[Uncert_Units]]</f>
        <v>740 mV</v>
      </c>
      <c r="U17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mV</v>
      </c>
      <c r="V1703" t="b">
        <f ca="1">Validation[[#This Row],[Desired Result]]=Validation[[#This Row],[Result]]</f>
        <v>0</v>
      </c>
      <c r="W1703" t="b">
        <v>1</v>
      </c>
      <c r="X1703" t="b">
        <f>Validation[[#This Row],[Range1_Low]]&gt;=Validation[[#This Row],[Range1_High]]</f>
        <v>0</v>
      </c>
      <c r="Y1703" s="111" t="s">
        <v>2843</v>
      </c>
    </row>
    <row r="1704" spans="1:25" ht="15.75" thickTop="1" x14ac:dyDescent="0.25">
      <c r="A1704" t="s">
        <v>54</v>
      </c>
      <c r="B1704" t="s">
        <v>8</v>
      </c>
      <c r="C1704">
        <v>0</v>
      </c>
      <c r="D1704">
        <v>3.3009999999999998E-2</v>
      </c>
      <c r="E1704">
        <v>0.1</v>
      </c>
      <c r="F1704" t="s">
        <v>6</v>
      </c>
      <c r="G1704" t="s">
        <v>5</v>
      </c>
      <c r="H1704">
        <v>10</v>
      </c>
      <c r="I1704">
        <v>20.010000000000002</v>
      </c>
      <c r="J1704" t="s">
        <v>10</v>
      </c>
      <c r="K1704">
        <v>58000</v>
      </c>
      <c r="L1704">
        <v>1.7665</v>
      </c>
      <c r="M1704">
        <v>58000</v>
      </c>
      <c r="N1704">
        <v>1.5714999999999999</v>
      </c>
      <c r="O1704" t="s">
        <v>2833</v>
      </c>
      <c r="P1704" t="s">
        <v>2833</v>
      </c>
      <c r="Q1704" t="s">
        <v>2833</v>
      </c>
      <c r="R1704">
        <f ca="1">RAND()*(Validation[[#This Row],[Range1_High]]-Validation[[#This Row],[Range1_Low]])+Validation[[#This Row],[Range1_Low]]</f>
        <v>6.4702133012254784E-3</v>
      </c>
      <c r="S1704">
        <f>Validation[[#This Row],[Range2_High]]</f>
        <v>20.010000000000002</v>
      </c>
      <c r="T1704" t="str" cm="1">
        <f t="array" aca="1" ref="T1704" ca="1">RoundToTwoSigFigs(Validation[[#This Row],[Test Reading]]*Validation[[#This Row],[Mult]]+Validation[[#This Row],[Base]]) &amp;" "&amp;Validation[[#This Row],[Uncert_Units]]</f>
        <v>58000 µV</v>
      </c>
      <c r="U17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V1704" t="b">
        <f ca="1">Validation[[#This Row],[Desired Result]]=Validation[[#This Row],[Result]]</f>
        <v>1</v>
      </c>
      <c r="W1704" t="b">
        <v>0</v>
      </c>
      <c r="X1704" t="b">
        <f>Validation[[#This Row],[Range1_Low]]&gt;=Validation[[#This Row],[Range1_High]]</f>
        <v>0</v>
      </c>
      <c r="Y1704" s="111" t="s">
        <v>2845</v>
      </c>
    </row>
    <row r="1705" spans="1:25" ht="15.75" thickBot="1" x14ac:dyDescent="0.3">
      <c r="A1705" t="s">
        <v>55</v>
      </c>
      <c r="B1705" t="s">
        <v>8</v>
      </c>
      <c r="C1705">
        <v>0</v>
      </c>
      <c r="D1705">
        <v>0.01</v>
      </c>
      <c r="E1705">
        <v>9.9999999999999995E-7</v>
      </c>
      <c r="F1705" t="s">
        <v>6</v>
      </c>
      <c r="G1705" t="s">
        <v>5</v>
      </c>
      <c r="H1705">
        <v>1</v>
      </c>
      <c r="I1705">
        <v>20</v>
      </c>
      <c r="J1705" t="s">
        <v>10</v>
      </c>
      <c r="K1705">
        <v>3.1118999999999999</v>
      </c>
      <c r="L1705">
        <v>251.96</v>
      </c>
      <c r="M1705">
        <v>3.1095999999999999</v>
      </c>
      <c r="N1705">
        <v>251.7</v>
      </c>
      <c r="O1705" t="s">
        <v>2833</v>
      </c>
      <c r="P1705" t="s">
        <v>2833</v>
      </c>
      <c r="Q1705" t="s">
        <v>2833</v>
      </c>
      <c r="R1705">
        <f ca="1">RAND()*(Validation[[#This Row],[Range1_High]]-Validation[[#This Row],[Range1_Low]])+Validation[[#This Row],[Range1_Low]]</f>
        <v>3.7740308657983547E-3</v>
      </c>
      <c r="S1705">
        <f>Validation[[#This Row],[Range2_High]]</f>
        <v>20</v>
      </c>
      <c r="T1705" t="str" cm="1">
        <f t="array" aca="1" ref="T1705" ca="1">RoundToTwoSigFigs(Validation[[#This Row],[Test Reading]]*Validation[[#This Row],[Mult]]+Validation[[#This Row],[Base]]) &amp;" "&amp;Validation[[#This Row],[Uncert_Units]]</f>
        <v>4.1 µV</v>
      </c>
      <c r="U17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µV</v>
      </c>
      <c r="V1705" t="b">
        <f ca="1">Validation[[#This Row],[Desired Result]]=Validation[[#This Row],[Result]]</f>
        <v>1</v>
      </c>
      <c r="W1705" t="b">
        <v>0</v>
      </c>
      <c r="X1705" t="b">
        <f>Validation[[#This Row],[Range1_Low]]&gt;=Validation[[#This Row],[Range1_High]]</f>
        <v>0</v>
      </c>
      <c r="Y1705" s="111" t="s">
        <v>2845</v>
      </c>
    </row>
    <row r="1706" spans="1:25" ht="16.5" thickTop="1" thickBot="1" x14ac:dyDescent="0.3">
      <c r="A1706" t="s">
        <v>55</v>
      </c>
      <c r="B1706" t="s">
        <v>8</v>
      </c>
      <c r="C1706" s="113">
        <v>20</v>
      </c>
      <c r="D1706" s="113">
        <v>100</v>
      </c>
      <c r="E1706">
        <v>1E-3</v>
      </c>
      <c r="F1706" t="s">
        <v>6</v>
      </c>
      <c r="G1706" t="s">
        <v>4</v>
      </c>
      <c r="H1706">
        <v>0.04</v>
      </c>
      <c r="I1706">
        <v>1</v>
      </c>
      <c r="J1706" t="s">
        <v>10</v>
      </c>
      <c r="K1706">
        <v>2.7</v>
      </c>
      <c r="L1706">
        <v>0.23188</v>
      </c>
      <c r="M1706">
        <v>2.2997999999999998</v>
      </c>
      <c r="N1706">
        <v>0.23363999999999999</v>
      </c>
      <c r="O1706" t="s">
        <v>2833</v>
      </c>
      <c r="P1706" t="s">
        <v>2833</v>
      </c>
      <c r="Q1706" t="s">
        <v>2833</v>
      </c>
      <c r="R1706">
        <f ca="1">RAND()*(Validation[[#This Row],[Range1_High]]-Validation[[#This Row],[Range1_Low]])+Validation[[#This Row],[Range1_Low]]</f>
        <v>70.513062196513744</v>
      </c>
      <c r="S1706">
        <f>Validation[[#This Row],[Range2_High]]</f>
        <v>1</v>
      </c>
      <c r="T1706" t="str" cm="1">
        <f t="array" aca="1" ref="T1706" ca="1">RoundToTwoSigFigs(Validation[[#This Row],[Test Reading]]*Validation[[#This Row],[Mult]]+Validation[[#This Row],[Base]]) &amp;" "&amp;Validation[[#This Row],[Uncert_Units]]</f>
        <v>19 mV</v>
      </c>
      <c r="U17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V1706" t="b">
        <f ca="1">Validation[[#This Row],[Desired Result]]=Validation[[#This Row],[Result]]</f>
        <v>0</v>
      </c>
      <c r="W1706" t="b">
        <v>1</v>
      </c>
      <c r="X1706" t="b">
        <f>Validation[[#This Row],[Range1_Low]]&gt;=Validation[[#This Row],[Range1_High]]</f>
        <v>0</v>
      </c>
      <c r="Y1706" s="111" t="s">
        <v>2843</v>
      </c>
    </row>
    <row r="1707" spans="1:25" ht="16.5" thickTop="1" thickBot="1" x14ac:dyDescent="0.3">
      <c r="A1707" t="s">
        <v>55</v>
      </c>
      <c r="B1707" t="s">
        <v>8</v>
      </c>
      <c r="C1707" s="113">
        <v>100</v>
      </c>
      <c r="D1707" s="113">
        <v>1000</v>
      </c>
      <c r="E1707">
        <v>0.1</v>
      </c>
      <c r="F1707" t="s">
        <v>6</v>
      </c>
      <c r="G1707" t="s">
        <v>4</v>
      </c>
      <c r="H1707">
        <v>20</v>
      </c>
      <c r="I1707">
        <v>50</v>
      </c>
      <c r="J1707" t="s">
        <v>10</v>
      </c>
      <c r="K1707">
        <v>33.01</v>
      </c>
      <c r="L1707">
        <v>1.39</v>
      </c>
      <c r="M1707">
        <v>33.875</v>
      </c>
      <c r="N1707">
        <v>1.3797999999999999</v>
      </c>
      <c r="O1707" t="s">
        <v>2833</v>
      </c>
      <c r="P1707" t="s">
        <v>2833</v>
      </c>
      <c r="Q1707" t="s">
        <v>2833</v>
      </c>
      <c r="R1707" s="100">
        <f ca="1">RAND()*(Validation[[#This Row],[Range1_High]]-Validation[[#This Row],[Range1_Low]])+Validation[[#This Row],[Range1_Low]]</f>
        <v>125.90041408172263</v>
      </c>
      <c r="S1707">
        <f>Validation[[#This Row],[Range2_High]]</f>
        <v>50</v>
      </c>
      <c r="T1707" t="str" cm="1">
        <f t="array" aca="1" ref="T1707" ca="1">RoundToTwoSigFigs(Validation[[#This Row],[Test Reading]]*Validation[[#This Row],[Mult]]+Validation[[#This Row],[Base]]) &amp;" "&amp;Validation[[#This Row],[Uncert_Units]]</f>
        <v>210 mV</v>
      </c>
      <c r="U17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V1707" t="b">
        <f ca="1">Validation[[#This Row],[Desired Result]]=Validation[[#This Row],[Result]]</f>
        <v>1</v>
      </c>
      <c r="W1707" t="b">
        <v>1</v>
      </c>
      <c r="X1707" t="b">
        <f>Validation[[#This Row],[Range1_Low]]&gt;=Validation[[#This Row],[Range1_High]]</f>
        <v>0</v>
      </c>
      <c r="Y1707" s="111" t="s">
        <v>2843</v>
      </c>
    </row>
    <row r="1708" spans="1:25" ht="16.5" thickTop="1" thickBot="1" x14ac:dyDescent="0.3">
      <c r="A1708" t="s">
        <v>55</v>
      </c>
      <c r="B1708" t="s">
        <v>8</v>
      </c>
      <c r="C1708" s="113">
        <v>0.1</v>
      </c>
      <c r="D1708" s="113">
        <v>1</v>
      </c>
      <c r="E1708">
        <v>1E-4</v>
      </c>
      <c r="F1708" t="s">
        <v>6</v>
      </c>
      <c r="G1708" t="s">
        <v>5</v>
      </c>
      <c r="H1708">
        <v>20</v>
      </c>
      <c r="I1708">
        <v>50</v>
      </c>
      <c r="J1708" t="s">
        <v>10</v>
      </c>
      <c r="K1708">
        <v>49.713000000000001</v>
      </c>
      <c r="L1708">
        <v>324.48</v>
      </c>
      <c r="M1708">
        <v>49.371000000000002</v>
      </c>
      <c r="N1708">
        <v>324.63</v>
      </c>
      <c r="O1708" t="s">
        <v>2833</v>
      </c>
      <c r="P1708" t="s">
        <v>2833</v>
      </c>
      <c r="Q1708" t="s">
        <v>2833</v>
      </c>
      <c r="R1708">
        <f ca="1">RAND()*(Validation[[#This Row],[Range1_High]]-Validation[[#This Row],[Range1_Low]])+Validation[[#This Row],[Range1_Low]]</f>
        <v>0.29773725122846406</v>
      </c>
      <c r="S1708">
        <f>Validation[[#This Row],[Range2_High]]</f>
        <v>50</v>
      </c>
      <c r="T1708" t="str" cm="1">
        <f t="array" aca="1" ref="T1708" ca="1">RoundToTwoSigFigs(Validation[[#This Row],[Test Reading]]*Validation[[#This Row],[Mult]]+Validation[[#This Row],[Base]]) &amp;" "&amp;Validation[[#This Row],[Uncert_Units]]</f>
        <v>150 µV</v>
      </c>
      <c r="U17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V1708" t="b">
        <f ca="1">Validation[[#This Row],[Desired Result]]=Validation[[#This Row],[Result]]</f>
        <v>1</v>
      </c>
      <c r="W1708" t="b">
        <v>1</v>
      </c>
      <c r="X1708" t="b">
        <f>Validation[[#This Row],[Range1_Low]]&gt;=Validation[[#This Row],[Range1_High]]</f>
        <v>0</v>
      </c>
      <c r="Y1708" s="111" t="s">
        <v>2843</v>
      </c>
    </row>
    <row r="1709" spans="1:25" ht="16.5" thickTop="1" thickBot="1" x14ac:dyDescent="0.3">
      <c r="A1709" t="s">
        <v>55</v>
      </c>
      <c r="B1709" t="s">
        <v>8</v>
      </c>
      <c r="C1709">
        <v>0</v>
      </c>
      <c r="D1709">
        <v>0.01</v>
      </c>
      <c r="E1709">
        <v>1.0000000000000001E-5</v>
      </c>
      <c r="F1709" t="s">
        <v>6</v>
      </c>
      <c r="G1709" t="s">
        <v>5</v>
      </c>
      <c r="H1709">
        <v>20</v>
      </c>
      <c r="I1709">
        <v>50</v>
      </c>
      <c r="J1709" t="s">
        <v>10</v>
      </c>
      <c r="K1709">
        <v>7.9955999999999996</v>
      </c>
      <c r="L1709">
        <v>709.13</v>
      </c>
      <c r="M1709">
        <v>7.9861000000000004</v>
      </c>
      <c r="N1709">
        <v>708.96</v>
      </c>
      <c r="O1709" t="s">
        <v>2833</v>
      </c>
      <c r="P1709" t="s">
        <v>2833</v>
      </c>
      <c r="Q1709" t="s">
        <v>2833</v>
      </c>
      <c r="R1709">
        <f ca="1">RAND()*(Validation[[#This Row],[Range1_High]]-Validation[[#This Row],[Range1_Low]])+Validation[[#This Row],[Range1_Low]]</f>
        <v>7.4597680017582267E-3</v>
      </c>
      <c r="S1709">
        <f>Validation[[#This Row],[Range2_High]]</f>
        <v>50</v>
      </c>
      <c r="T1709" t="str" cm="1">
        <f t="array" aca="1" ref="T1709" ca="1">RoundToTwoSigFigs(Validation[[#This Row],[Test Reading]]*Validation[[#This Row],[Mult]]+Validation[[#This Row],[Base]]) &amp;" "&amp;Validation[[#This Row],[Uncert_Units]]</f>
        <v>13 µV</v>
      </c>
      <c r="U17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V1709" t="b">
        <f ca="1">Validation[[#This Row],[Desired Result]]=Validation[[#This Row],[Result]]</f>
        <v>1</v>
      </c>
      <c r="W1709" t="b">
        <v>1</v>
      </c>
      <c r="X1709" t="b">
        <f>Validation[[#This Row],[Range1_Low]]&gt;=Validation[[#This Row],[Range1_High]]</f>
        <v>0</v>
      </c>
      <c r="Y1709" s="111" t="s">
        <v>2845</v>
      </c>
    </row>
    <row r="1710" spans="1:25" ht="16.5" thickTop="1" thickBot="1" x14ac:dyDescent="0.3">
      <c r="A1710" t="s">
        <v>54</v>
      </c>
      <c r="B1710" t="s">
        <v>8</v>
      </c>
      <c r="C1710" s="113">
        <v>330</v>
      </c>
      <c r="D1710" s="113">
        <v>1020.01</v>
      </c>
      <c r="E1710">
        <v>0.01</v>
      </c>
      <c r="F1710" t="s">
        <v>6</v>
      </c>
      <c r="G1710" t="s">
        <v>4</v>
      </c>
      <c r="H1710">
        <v>5</v>
      </c>
      <c r="I1710">
        <v>10.01</v>
      </c>
      <c r="J1710" t="s">
        <v>10</v>
      </c>
      <c r="K1710">
        <v>64</v>
      </c>
      <c r="L1710">
        <v>1.0355000000000001</v>
      </c>
      <c r="M1710">
        <v>29.164999999999999</v>
      </c>
      <c r="N1710">
        <v>1.0355000000000001</v>
      </c>
      <c r="O1710" t="s">
        <v>2833</v>
      </c>
      <c r="P1710" t="s">
        <v>2833</v>
      </c>
      <c r="Q1710" t="s">
        <v>2833</v>
      </c>
      <c r="R1710">
        <f ca="1">RAND()*(Validation[[#This Row],[Range1_High]]-Validation[[#This Row],[Range1_Low]])+Validation[[#This Row],[Range1_Low]]</f>
        <v>432.78764692516086</v>
      </c>
      <c r="S1710">
        <f>Validation[[#This Row],[Range2_High]]</f>
        <v>10.01</v>
      </c>
      <c r="T1710" t="str" cm="1">
        <f t="array" aca="1" ref="T1710" ca="1">RoundToTwoSigFigs(Validation[[#This Row],[Test Reading]]*Validation[[#This Row],[Mult]]+Validation[[#This Row],[Base]]) &amp;" "&amp;Validation[[#This Row],[Uncert_Units]]</f>
        <v>510 mV</v>
      </c>
      <c r="U17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mV</v>
      </c>
      <c r="V1710" t="b">
        <f ca="1">Validation[[#This Row],[Desired Result]]=Validation[[#This Row],[Result]]</f>
        <v>1</v>
      </c>
      <c r="W1710" t="b">
        <v>1</v>
      </c>
      <c r="X1710" t="b">
        <f>Validation[[#This Row],[Range1_Low]]&gt;=Validation[[#This Row],[Range1_High]]</f>
        <v>0</v>
      </c>
      <c r="Y1710" s="111" t="s">
        <v>2843</v>
      </c>
    </row>
    <row r="1711" spans="1:25" ht="16.5" thickTop="1" thickBot="1" x14ac:dyDescent="0.3">
      <c r="A1711" t="s">
        <v>55</v>
      </c>
      <c r="B1711" t="s">
        <v>17</v>
      </c>
      <c r="C1711">
        <v>0</v>
      </c>
      <c r="D1711">
        <v>40</v>
      </c>
      <c r="E1711">
        <v>10</v>
      </c>
      <c r="F1711" t="s">
        <v>9</v>
      </c>
      <c r="G1711" t="s">
        <v>9</v>
      </c>
      <c r="H1711">
        <v>0</v>
      </c>
      <c r="I1711">
        <v>0</v>
      </c>
      <c r="J1711" t="s">
        <v>2833</v>
      </c>
      <c r="K1711">
        <v>5.7736000000000003E-3</v>
      </c>
      <c r="L1711">
        <v>9.9999999999999998E-13</v>
      </c>
      <c r="M1711">
        <v>5.7730999999999998E-3</v>
      </c>
      <c r="N1711">
        <v>9.9999999999999998E-13</v>
      </c>
      <c r="O1711" t="s">
        <v>2833</v>
      </c>
      <c r="P1711" t="s">
        <v>2833</v>
      </c>
      <c r="Q1711" t="s">
        <v>2833</v>
      </c>
      <c r="R1711">
        <f ca="1">RAND()*(Validation[[#This Row],[Range1_High]]-Validation[[#This Row],[Range1_Low]])+Validation[[#This Row],[Range1_Low]]</f>
        <v>20.486697100183108</v>
      </c>
      <c r="S1711">
        <f>Validation[[#This Row],[Range2_High]]</f>
        <v>0</v>
      </c>
      <c r="T1711" t="str" cm="1">
        <f t="array" aca="1" ref="T1711" ca="1">RoundToTwoSigFigs(Validation[[#This Row],[Test Reading]]*Validation[[#This Row],[Mult]]+Validation[[#This Row],[Base]]) &amp;" "&amp;Validation[[#This Row],[Uncert_Units]]</f>
        <v>0.0058 Hz</v>
      </c>
      <c r="U17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V1711" t="b">
        <f ca="1">Validation[[#This Row],[Desired Result]]=Validation[[#This Row],[Result]]</f>
        <v>1</v>
      </c>
      <c r="W1711" t="b">
        <v>0</v>
      </c>
      <c r="X1711" t="b">
        <f>Validation[[#This Row],[Range1_Low]]&gt;=Validation[[#This Row],[Range1_High]]</f>
        <v>0</v>
      </c>
      <c r="Y1711" s="111" t="s">
        <v>2845</v>
      </c>
    </row>
    <row r="1712" spans="1:25" ht="16.5" thickTop="1" thickBot="1" x14ac:dyDescent="0.3">
      <c r="A1712" t="s">
        <v>55</v>
      </c>
      <c r="B1712" t="s">
        <v>17</v>
      </c>
      <c r="C1712" s="113">
        <v>40</v>
      </c>
      <c r="D1712" s="113">
        <v>1000</v>
      </c>
      <c r="E1712">
        <v>1E-4</v>
      </c>
      <c r="F1712" t="s">
        <v>9</v>
      </c>
      <c r="G1712" t="s">
        <v>9</v>
      </c>
      <c r="H1712">
        <v>0</v>
      </c>
      <c r="I1712">
        <v>0</v>
      </c>
      <c r="J1712" t="s">
        <v>2833</v>
      </c>
      <c r="K1712">
        <v>2.8999999999999998E-7</v>
      </c>
      <c r="L1712">
        <v>1.3E-7</v>
      </c>
      <c r="M1712">
        <v>2.53E-7</v>
      </c>
      <c r="N1712">
        <v>1.2897E-7</v>
      </c>
      <c r="O1712" t="s">
        <v>2833</v>
      </c>
      <c r="P1712" t="s">
        <v>2833</v>
      </c>
      <c r="Q1712" t="s">
        <v>2833</v>
      </c>
      <c r="R1712">
        <f ca="1">RAND()*(Validation[[#This Row],[Range1_High]]-Validation[[#This Row],[Range1_Low]])+Validation[[#This Row],[Range1_Low]]</f>
        <v>308.75062895510365</v>
      </c>
      <c r="S1712">
        <f>Validation[[#This Row],[Range2_High]]</f>
        <v>0</v>
      </c>
      <c r="T1712" t="str" cm="1">
        <f t="array" aca="1" ref="T1712" ca="1">RoundToTwoSigFigs(Validation[[#This Row],[Test Reading]]*Validation[[#This Row],[Mult]]+Validation[[#This Row],[Base]]) &amp;" "&amp;Validation[[#This Row],[Uncert_Units]]</f>
        <v>0.00004 Hz</v>
      </c>
      <c r="U17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 Hz</v>
      </c>
      <c r="V1712" t="b">
        <f ca="1">Validation[[#This Row],[Desired Result]]=Validation[[#This Row],[Result]]</f>
        <v>1</v>
      </c>
      <c r="W1712" t="b">
        <v>1</v>
      </c>
      <c r="X1712" t="b">
        <f>Validation[[#This Row],[Range1_Low]]&gt;=Validation[[#This Row],[Range1_High]]</f>
        <v>0</v>
      </c>
      <c r="Y1712" s="111" t="s">
        <v>2843</v>
      </c>
    </row>
    <row r="1713" spans="1:25" ht="16.5" thickTop="1" thickBot="1" x14ac:dyDescent="0.3">
      <c r="A1713" t="s">
        <v>55</v>
      </c>
      <c r="B1713" t="s">
        <v>17</v>
      </c>
      <c r="C1713">
        <v>1000000</v>
      </c>
      <c r="D1713">
        <v>10000000</v>
      </c>
      <c r="E1713">
        <v>10000</v>
      </c>
      <c r="F1713" t="s">
        <v>9</v>
      </c>
      <c r="G1713" t="s">
        <v>9</v>
      </c>
      <c r="H1713">
        <v>0</v>
      </c>
      <c r="I1713">
        <v>0</v>
      </c>
      <c r="J1713" t="s">
        <v>2833</v>
      </c>
      <c r="K1713">
        <v>5.7843999999999998</v>
      </c>
      <c r="L1713">
        <v>1.571E-8</v>
      </c>
      <c r="M1713">
        <v>5.7843999999999998</v>
      </c>
      <c r="N1713">
        <v>1.571E-8</v>
      </c>
      <c r="O1713" t="s">
        <v>2833</v>
      </c>
      <c r="P1713" t="s">
        <v>2833</v>
      </c>
      <c r="Q1713" t="s">
        <v>2833</v>
      </c>
      <c r="R1713">
        <f ca="1">RAND()*(Validation[[#This Row],[Range1_High]]-Validation[[#This Row],[Range1_Low]])+Validation[[#This Row],[Range1_Low]]</f>
        <v>6207677.8827913236</v>
      </c>
      <c r="S1713">
        <f>Validation[[#This Row],[Range2_High]]</f>
        <v>0</v>
      </c>
      <c r="T1713" t="str" cm="1">
        <f t="array" aca="1" ref="T1713" ca="1">RoundToTwoSigFigs(Validation[[#This Row],[Test Reading]]*Validation[[#This Row],[Mult]]+Validation[[#This Row],[Base]]) &amp;" "&amp;Validation[[#This Row],[Uncert_Units]]</f>
        <v>5.9 Hz</v>
      </c>
      <c r="U17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V1713" t="b">
        <f ca="1">Validation[[#This Row],[Desired Result]]=Validation[[#This Row],[Result]]</f>
        <v>1</v>
      </c>
      <c r="W1713" t="b">
        <v>0</v>
      </c>
      <c r="X1713" t="b">
        <f>Validation[[#This Row],[Range1_Low]]&gt;=Validation[[#This Row],[Range1_High]]</f>
        <v>0</v>
      </c>
      <c r="Y1713" s="111" t="s">
        <v>2845</v>
      </c>
    </row>
    <row r="1714" spans="1:25" ht="16.5" thickTop="1" thickBot="1" x14ac:dyDescent="0.3">
      <c r="A1714" t="s">
        <v>55</v>
      </c>
      <c r="B1714" t="s">
        <v>17</v>
      </c>
      <c r="C1714" s="113">
        <v>1000000</v>
      </c>
      <c r="D1714" s="113">
        <v>10000000</v>
      </c>
      <c r="E1714">
        <v>1000</v>
      </c>
      <c r="F1714" t="s">
        <v>9</v>
      </c>
      <c r="G1714" t="s">
        <v>9</v>
      </c>
      <c r="H1714">
        <v>0</v>
      </c>
      <c r="I1714">
        <v>0</v>
      </c>
      <c r="J1714" t="s">
        <v>2833</v>
      </c>
      <c r="K1714">
        <v>0.68566000000000005</v>
      </c>
      <c r="L1714">
        <v>9.1516999999999998E-8</v>
      </c>
      <c r="M1714">
        <v>0.68564999999999998</v>
      </c>
      <c r="N1714">
        <v>9.1517999999999999E-8</v>
      </c>
      <c r="O1714" t="s">
        <v>2833</v>
      </c>
      <c r="P1714" t="s">
        <v>2833</v>
      </c>
      <c r="Q1714" t="s">
        <v>2833</v>
      </c>
      <c r="R1714">
        <f ca="1">RAND()*(Validation[[#This Row],[Range1_High]]-Validation[[#This Row],[Range1_Low]])+Validation[[#This Row],[Range1_Low]]</f>
        <v>8374066.5154250162</v>
      </c>
      <c r="S1714">
        <f>Validation[[#This Row],[Range2_High]]</f>
        <v>0</v>
      </c>
      <c r="T1714" t="str" cm="1">
        <f t="array" aca="1" ref="T1714" ca="1">RoundToTwoSigFigs(Validation[[#This Row],[Test Reading]]*Validation[[#This Row],[Mult]]+Validation[[#This Row],[Base]]) &amp;" "&amp;Validation[[#This Row],[Uncert_Units]]</f>
        <v>1.5 Hz</v>
      </c>
      <c r="U17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Hz</v>
      </c>
      <c r="V1714" t="b">
        <f ca="1">Validation[[#This Row],[Desired Result]]=Validation[[#This Row],[Result]]</f>
        <v>1</v>
      </c>
      <c r="W1714" t="b">
        <v>1</v>
      </c>
      <c r="X1714" t="b">
        <f>Validation[[#This Row],[Range1_Low]]&gt;=Validation[[#This Row],[Range1_High]]</f>
        <v>0</v>
      </c>
      <c r="Y1714" s="111" t="s">
        <v>2843</v>
      </c>
    </row>
    <row r="1715" spans="1:25" ht="16.5" thickTop="1" thickBot="1" x14ac:dyDescent="0.3">
      <c r="A1715" t="s">
        <v>55</v>
      </c>
      <c r="B1715" t="s">
        <v>17</v>
      </c>
      <c r="C1715">
        <v>0</v>
      </c>
      <c r="D1715">
        <v>40</v>
      </c>
      <c r="E1715">
        <v>1E-3</v>
      </c>
      <c r="F1715" t="s">
        <v>9</v>
      </c>
      <c r="G1715" t="s">
        <v>9</v>
      </c>
      <c r="H1715">
        <v>0</v>
      </c>
      <c r="I1715">
        <v>0</v>
      </c>
      <c r="J1715" t="s">
        <v>2833</v>
      </c>
      <c r="K1715">
        <v>2.2343999999999999E-7</v>
      </c>
      <c r="L1715">
        <v>5.9400000000000002E-10</v>
      </c>
      <c r="M1715">
        <v>2.4522999999999998E-7</v>
      </c>
      <c r="N1715">
        <v>5.7099999999999999E-10</v>
      </c>
      <c r="O1715" t="s">
        <v>2833</v>
      </c>
      <c r="P1715" t="s">
        <v>2833</v>
      </c>
      <c r="Q1715" t="s">
        <v>2833</v>
      </c>
      <c r="R1715">
        <f ca="1">RAND()*(Validation[[#This Row],[Range1_High]]-Validation[[#This Row],[Range1_Low]])+Validation[[#This Row],[Range1_Low]]</f>
        <v>27.39056806147218</v>
      </c>
      <c r="S1715">
        <f>Validation[[#This Row],[Range2_High]]</f>
        <v>0</v>
      </c>
      <c r="T1715" t="str" cm="1">
        <f t="array" aca="1" ref="T1715" ca="1">RoundToTwoSigFigs(Validation[[#This Row],[Test Reading]]*Validation[[#This Row],[Mult]]+Validation[[#This Row],[Base]]) &amp;" "&amp;Validation[[#This Row],[Uncert_Units]]</f>
        <v>0.00000024 Hz</v>
      </c>
      <c r="U17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0.00000024 Hz</v>
      </c>
      <c r="V1715" t="b">
        <f ca="1">Validation[[#This Row],[Desired Result]]=Validation[[#This Row],[Result]]</f>
        <v>1</v>
      </c>
      <c r="W1715" t="b">
        <v>0</v>
      </c>
      <c r="X1715" t="b">
        <f>Validation[[#This Row],[Range1_Low]]&gt;=Validation[[#This Row],[Range1_High]]</f>
        <v>0</v>
      </c>
      <c r="Y1715" s="111" t="s">
        <v>2845</v>
      </c>
    </row>
    <row r="1716" spans="1:25" ht="16.5" thickTop="1" thickBot="1" x14ac:dyDescent="0.3">
      <c r="A1716" t="s">
        <v>54</v>
      </c>
      <c r="B1716" t="s">
        <v>17</v>
      </c>
      <c r="C1716" s="113">
        <v>120000</v>
      </c>
      <c r="D1716" s="113">
        <v>1200010</v>
      </c>
      <c r="E1716">
        <v>10</v>
      </c>
      <c r="F1716" t="s">
        <v>9</v>
      </c>
      <c r="G1716" t="s">
        <v>9</v>
      </c>
      <c r="H1716">
        <v>0</v>
      </c>
      <c r="I1716">
        <v>0</v>
      </c>
      <c r="J1716" t="s">
        <v>2833</v>
      </c>
      <c r="K1716">
        <v>60</v>
      </c>
      <c r="L1716">
        <v>1.5999999999999999E-5</v>
      </c>
      <c r="M1716">
        <v>18.158999999999999</v>
      </c>
      <c r="N1716">
        <v>2.8435000000000001E-5</v>
      </c>
      <c r="O1716" t="s">
        <v>2833</v>
      </c>
      <c r="P1716" t="s">
        <v>2833</v>
      </c>
      <c r="Q1716" t="s">
        <v>2833</v>
      </c>
      <c r="R1716">
        <f ca="1">RAND()*(Validation[[#This Row],[Range1_High]]-Validation[[#This Row],[Range1_Low]])+Validation[[#This Row],[Range1_Low]]</f>
        <v>1047318.2459275916</v>
      </c>
      <c r="S1716">
        <f>Validation[[#This Row],[Range2_High]]</f>
        <v>0</v>
      </c>
      <c r="T1716" t="str" cm="1">
        <f t="array" aca="1" ref="T1716" ca="1">RoundToTwoSigFigs(Validation[[#This Row],[Test Reading]]*Validation[[#This Row],[Mult]]+Validation[[#This Row],[Base]]) &amp;" "&amp;Validation[[#This Row],[Uncert_Units]]</f>
        <v>77 Hz</v>
      </c>
      <c r="U17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Hz</v>
      </c>
      <c r="V1716" t="b">
        <f ca="1">Validation[[#This Row],[Desired Result]]=Validation[[#This Row],[Result]]</f>
        <v>1</v>
      </c>
      <c r="W1716" t="b">
        <v>1</v>
      </c>
      <c r="X1716" t="b">
        <f>Validation[[#This Row],[Range1_Low]]&gt;=Validation[[#This Row],[Range1_High]]</f>
        <v>0</v>
      </c>
      <c r="Y1716" s="111" t="s">
        <v>2843</v>
      </c>
    </row>
    <row r="1717" spans="1:25" ht="15.75" thickTop="1" x14ac:dyDescent="0.25">
      <c r="A1717" t="s">
        <v>68</v>
      </c>
      <c r="B1717" t="s">
        <v>17</v>
      </c>
      <c r="C1717">
        <v>1</v>
      </c>
      <c r="D1717">
        <v>100000</v>
      </c>
      <c r="E1717">
        <v>1</v>
      </c>
      <c r="F1717" t="s">
        <v>9</v>
      </c>
      <c r="G1717" t="s">
        <v>9</v>
      </c>
      <c r="H1717">
        <v>0</v>
      </c>
      <c r="I1717">
        <v>0</v>
      </c>
      <c r="J1717" t="s">
        <v>2833</v>
      </c>
      <c r="K1717">
        <v>0.87</v>
      </c>
      <c r="L1717">
        <v>1.5999999999999999E-5</v>
      </c>
      <c r="M1717">
        <v>0.81637999999999999</v>
      </c>
      <c r="N1717">
        <v>1.6364000000000001E-5</v>
      </c>
      <c r="O1717" t="s">
        <v>2833</v>
      </c>
      <c r="P1717" t="s">
        <v>2833</v>
      </c>
      <c r="Q1717" t="s">
        <v>2833</v>
      </c>
      <c r="R1717">
        <f ca="1">RAND()*(Validation[[#This Row],[Range1_High]]-Validation[[#This Row],[Range1_Low]])+Validation[[#This Row],[Range1_Low]]</f>
        <v>54841.268662920207</v>
      </c>
      <c r="S1717">
        <f>Validation[[#This Row],[Range2_High]]</f>
        <v>0</v>
      </c>
      <c r="T1717" t="str" cm="1">
        <f t="array" aca="1" ref="T1717" ca="1">RoundToTwoSigFigs(Validation[[#This Row],[Test Reading]]*Validation[[#This Row],[Mult]]+Validation[[#This Row],[Base]]) &amp;" "&amp;Validation[[#This Row],[Uncert_Units]]</f>
        <v>1.7 Hz</v>
      </c>
      <c r="U17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Hz</v>
      </c>
      <c r="V1717" t="b">
        <f ca="1">Validation[[#This Row],[Desired Result]]=Validation[[#This Row],[Result]]</f>
        <v>1</v>
      </c>
      <c r="W1717" t="b">
        <v>0</v>
      </c>
      <c r="X1717" t="b">
        <f>Validation[[#This Row],[Range1_Low]]&gt;=Validation[[#This Row],[Range1_High]]</f>
        <v>0</v>
      </c>
      <c r="Y1717" s="111" t="s">
        <v>2845</v>
      </c>
    </row>
    <row r="1718" spans="1:25" x14ac:dyDescent="0.25">
      <c r="A1718" t="s">
        <v>55</v>
      </c>
      <c r="B1718" t="s">
        <v>17</v>
      </c>
      <c r="C1718">
        <v>0</v>
      </c>
      <c r="D1718">
        <v>40</v>
      </c>
      <c r="E1718">
        <v>1E-4</v>
      </c>
      <c r="F1718" t="s">
        <v>9</v>
      </c>
      <c r="G1718" t="s">
        <v>9</v>
      </c>
      <c r="H1718">
        <v>0</v>
      </c>
      <c r="I1718">
        <v>0</v>
      </c>
      <c r="J1718" t="s">
        <v>2833</v>
      </c>
      <c r="K1718">
        <v>0</v>
      </c>
      <c r="L1718">
        <v>6E-10</v>
      </c>
      <c r="M1718">
        <v>2.9509999999999998E-9</v>
      </c>
      <c r="N1718">
        <v>5.7699999999999997E-10</v>
      </c>
      <c r="O1718" t="s">
        <v>2833</v>
      </c>
      <c r="P1718" t="s">
        <v>2833</v>
      </c>
      <c r="Q1718" t="s">
        <v>2833</v>
      </c>
      <c r="R1718">
        <f ca="1">RAND()*(Validation[[#This Row],[Range1_High]]-Validation[[#This Row],[Range1_Low]])+Validation[[#This Row],[Range1_Low]]</f>
        <v>5.4830375923821473</v>
      </c>
      <c r="S1718">
        <f>Validation[[#This Row],[Range2_High]]</f>
        <v>0</v>
      </c>
      <c r="T1718" t="str" cm="1">
        <f t="array" aca="1" ref="T1718" ca="1">RoundToTwoSigFigs(Validation[[#This Row],[Test Reading]]*Validation[[#This Row],[Mult]]+Validation[[#This Row],[Base]]) &amp;" "&amp;Validation[[#This Row],[Uncert_Units]]</f>
        <v>0.0000000033 Hz</v>
      </c>
      <c r="U17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0.0000000033 Hz</v>
      </c>
      <c r="V1718" t="b">
        <f ca="1">Validation[[#This Row],[Desired Result]]=Validation[[#This Row],[Result]]</f>
        <v>1</v>
      </c>
      <c r="W1718" t="b">
        <v>0</v>
      </c>
      <c r="X1718" t="b">
        <f>Validation[[#This Row],[Range1_Low]]&gt;=Validation[[#This Row],[Range1_High]]</f>
        <v>0</v>
      </c>
      <c r="Y1718" s="111" t="s">
        <v>2845</v>
      </c>
    </row>
    <row r="1719" spans="1:25" ht="15.75" thickBot="1" x14ac:dyDescent="0.3">
      <c r="A1719" t="s">
        <v>55</v>
      </c>
      <c r="B1719" t="s">
        <v>17</v>
      </c>
      <c r="C1719">
        <v>1000000</v>
      </c>
      <c r="D1719">
        <v>10000000</v>
      </c>
      <c r="E1719">
        <v>1</v>
      </c>
      <c r="F1719" t="s">
        <v>9</v>
      </c>
      <c r="G1719" t="s">
        <v>9</v>
      </c>
      <c r="H1719">
        <v>0</v>
      </c>
      <c r="I1719">
        <v>0</v>
      </c>
      <c r="J1719" t="s">
        <v>2833</v>
      </c>
      <c r="K1719">
        <v>4.4000000000000002E-6</v>
      </c>
      <c r="L1719">
        <v>1.3E-7</v>
      </c>
      <c r="M1719">
        <v>7.4137000000000003E-7</v>
      </c>
      <c r="N1719">
        <v>1.2921999999999999E-7</v>
      </c>
      <c r="O1719" t="s">
        <v>2833</v>
      </c>
      <c r="P1719" t="s">
        <v>2833</v>
      </c>
      <c r="Q1719" t="s">
        <v>2833</v>
      </c>
      <c r="R1719">
        <f ca="1">RAND()*(Validation[[#This Row],[Range1_High]]-Validation[[#This Row],[Range1_Low]])+Validation[[#This Row],[Range1_Low]]</f>
        <v>5374212.0322504425</v>
      </c>
      <c r="S1719">
        <f>Validation[[#This Row],[Range2_High]]</f>
        <v>0</v>
      </c>
      <c r="T1719" t="str" cm="1">
        <f t="array" aca="1" ref="T1719" ca="1">RoundToTwoSigFigs(Validation[[#This Row],[Test Reading]]*Validation[[#This Row],[Mult]]+Validation[[#This Row],[Base]]) &amp;" "&amp;Validation[[#This Row],[Uncert_Units]]</f>
        <v>0.7 Hz</v>
      </c>
      <c r="U17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Hz</v>
      </c>
      <c r="V1719" t="b">
        <f ca="1">Validation[[#This Row],[Desired Result]]=Validation[[#This Row],[Result]]</f>
        <v>1</v>
      </c>
      <c r="W1719" t="b">
        <v>0</v>
      </c>
      <c r="X1719" t="b">
        <f>Validation[[#This Row],[Range1_Low]]&gt;=Validation[[#This Row],[Range1_High]]</f>
        <v>0</v>
      </c>
      <c r="Y1719" s="111" t="s">
        <v>2845</v>
      </c>
    </row>
    <row r="1720" spans="1:25" ht="16.5" thickTop="1" thickBot="1" x14ac:dyDescent="0.3">
      <c r="A1720" t="s">
        <v>54</v>
      </c>
      <c r="B1720" t="s">
        <v>17</v>
      </c>
      <c r="C1720" s="113">
        <v>120</v>
      </c>
      <c r="D1720" s="113">
        <v>1200.01</v>
      </c>
      <c r="E1720">
        <v>0.1</v>
      </c>
      <c r="F1720" t="s">
        <v>9</v>
      </c>
      <c r="G1720" t="s">
        <v>9</v>
      </c>
      <c r="H1720">
        <v>0</v>
      </c>
      <c r="I1720">
        <v>0</v>
      </c>
      <c r="J1720" t="s">
        <v>2833</v>
      </c>
      <c r="K1720">
        <v>5.8519000000000002E-2</v>
      </c>
      <c r="L1720">
        <v>1.0244000000000001E-5</v>
      </c>
      <c r="M1720">
        <v>5.6807999999999997E-2</v>
      </c>
      <c r="N1720">
        <v>9.2701999999999998E-6</v>
      </c>
      <c r="O1720" t="s">
        <v>2833</v>
      </c>
      <c r="P1720" t="s">
        <v>2833</v>
      </c>
      <c r="Q1720" t="s">
        <v>2833</v>
      </c>
      <c r="R1720">
        <f ca="1">RAND()*(Validation[[#This Row],[Range1_High]]-Validation[[#This Row],[Range1_Low]])+Validation[[#This Row],[Range1_Low]]</f>
        <v>871.15867105993016</v>
      </c>
      <c r="S1720">
        <f>Validation[[#This Row],[Range2_High]]</f>
        <v>0</v>
      </c>
      <c r="T1720" t="str" cm="1">
        <f t="array" aca="1" ref="T1720" ca="1">RoundToTwoSigFigs(Validation[[#This Row],[Test Reading]]*Validation[[#This Row],[Mult]]+Validation[[#This Row],[Base]]) &amp;" "&amp;Validation[[#This Row],[Uncert_Units]]</f>
        <v>0.067 Hz</v>
      </c>
      <c r="U17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Hz</v>
      </c>
      <c r="V1720" t="b">
        <f ca="1">Validation[[#This Row],[Desired Result]]=Validation[[#This Row],[Result]]</f>
        <v>1</v>
      </c>
      <c r="W1720" t="b">
        <v>1</v>
      </c>
      <c r="X1720" t="b">
        <f>Validation[[#This Row],[Range1_Low]]&gt;=Validation[[#This Row],[Range1_High]]</f>
        <v>0</v>
      </c>
      <c r="Y1720" s="111" t="s">
        <v>2843</v>
      </c>
    </row>
    <row r="1721" spans="1:25" ht="16.5" thickTop="1" thickBot="1" x14ac:dyDescent="0.3">
      <c r="A1721" t="s">
        <v>54</v>
      </c>
      <c r="B1721" t="s">
        <v>17</v>
      </c>
      <c r="C1721" s="113">
        <v>1200</v>
      </c>
      <c r="D1721" s="113">
        <v>12001</v>
      </c>
      <c r="E1721">
        <v>0.1</v>
      </c>
      <c r="F1721" t="s">
        <v>9</v>
      </c>
      <c r="G1721" t="s">
        <v>9</v>
      </c>
      <c r="H1721">
        <v>0</v>
      </c>
      <c r="I1721">
        <v>0</v>
      </c>
      <c r="J1721" t="s">
        <v>2833</v>
      </c>
      <c r="K1721">
        <v>0.58496999999999999</v>
      </c>
      <c r="L1721">
        <v>9.8285999999999994E-6</v>
      </c>
      <c r="M1721">
        <v>0.56786000000000003</v>
      </c>
      <c r="N1721">
        <v>8.8367999999999998E-6</v>
      </c>
      <c r="O1721" t="s">
        <v>2833</v>
      </c>
      <c r="P1721" t="s">
        <v>2833</v>
      </c>
      <c r="Q1721" t="s">
        <v>2833</v>
      </c>
      <c r="R1721">
        <f ca="1">RAND()*(Validation[[#This Row],[Range1_High]]-Validation[[#This Row],[Range1_Low]])+Validation[[#This Row],[Range1_Low]]</f>
        <v>2463.8697018804787</v>
      </c>
      <c r="S1721">
        <f>Validation[[#This Row],[Range2_High]]</f>
        <v>0</v>
      </c>
      <c r="T1721" t="str" cm="1">
        <f t="array" aca="1" ref="T1721" ca="1">RoundToTwoSigFigs(Validation[[#This Row],[Test Reading]]*Validation[[#This Row],[Mult]]+Validation[[#This Row],[Base]]) &amp;" "&amp;Validation[[#This Row],[Uncert_Units]]</f>
        <v>0.61 Hz</v>
      </c>
      <c r="U17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Hz</v>
      </c>
      <c r="V1721" t="b">
        <f ca="1">Validation[[#This Row],[Desired Result]]=Validation[[#This Row],[Result]]</f>
        <v>1</v>
      </c>
      <c r="W1721" t="b">
        <v>1</v>
      </c>
      <c r="X1721" t="b">
        <f>Validation[[#This Row],[Range1_Low]]&gt;=Validation[[#This Row],[Range1_High]]</f>
        <v>0</v>
      </c>
      <c r="Y1721" s="111" t="s">
        <v>2843</v>
      </c>
    </row>
    <row r="1722" spans="1:25" ht="15.75" thickTop="1" x14ac:dyDescent="0.25">
      <c r="A1722" t="s">
        <v>55</v>
      </c>
      <c r="B1722" t="s">
        <v>17</v>
      </c>
      <c r="C1722">
        <v>0</v>
      </c>
      <c r="D1722">
        <v>40</v>
      </c>
      <c r="E1722">
        <v>9.9999999999999995E-7</v>
      </c>
      <c r="F1722" t="s">
        <v>9</v>
      </c>
      <c r="G1722" t="s">
        <v>9</v>
      </c>
      <c r="H1722">
        <v>0</v>
      </c>
      <c r="I1722">
        <v>0</v>
      </c>
      <c r="J1722" t="s">
        <v>2833</v>
      </c>
      <c r="K1722">
        <v>0</v>
      </c>
      <c r="L1722">
        <v>6E-10</v>
      </c>
      <c r="M1722">
        <v>1.1000000000000001E-11</v>
      </c>
      <c r="N1722">
        <v>5.7699999999999997E-10</v>
      </c>
      <c r="O1722" t="s">
        <v>2833</v>
      </c>
      <c r="P1722" t="s">
        <v>2833</v>
      </c>
      <c r="Q1722" t="s">
        <v>2833</v>
      </c>
      <c r="R1722">
        <f ca="1">RAND()*(Validation[[#This Row],[Range1_High]]-Validation[[#This Row],[Range1_Low]])+Validation[[#This Row],[Range1_Low]]</f>
        <v>7.0550635087932623</v>
      </c>
      <c r="S1722">
        <f>Validation[[#This Row],[Range2_High]]</f>
        <v>0</v>
      </c>
      <c r="T1722" t="str" cm="1">
        <f t="array" aca="1" ref="T1722" ca="1">RoundToTwoSigFigs(Validation[[#This Row],[Test Reading]]*Validation[[#This Row],[Mult]]+Validation[[#This Row],[Base]]) &amp;" "&amp;Validation[[#This Row],[Uncert_Units]]</f>
        <v>0.0000000042 Hz</v>
      </c>
      <c r="U17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0.0000000042 Hz</v>
      </c>
      <c r="V1722" t="b">
        <f ca="1">Validation[[#This Row],[Desired Result]]=Validation[[#This Row],[Result]]</f>
        <v>1</v>
      </c>
      <c r="W1722" t="b">
        <v>0</v>
      </c>
      <c r="X1722" t="b">
        <f>Validation[[#This Row],[Range1_Low]]&gt;=Validation[[#This Row],[Range1_High]]</f>
        <v>0</v>
      </c>
      <c r="Y1722" s="111" t="s">
        <v>2845</v>
      </c>
    </row>
    <row r="1723" spans="1:25" x14ac:dyDescent="0.25">
      <c r="A1723" t="s">
        <v>55</v>
      </c>
      <c r="B1723" t="s">
        <v>17</v>
      </c>
      <c r="C1723">
        <v>0</v>
      </c>
      <c r="D1723">
        <v>40</v>
      </c>
      <c r="E1723">
        <v>100</v>
      </c>
      <c r="F1723" t="s">
        <v>9</v>
      </c>
      <c r="G1723" t="s">
        <v>9</v>
      </c>
      <c r="H1723">
        <v>0</v>
      </c>
      <c r="I1723">
        <v>0</v>
      </c>
      <c r="J1723" t="s">
        <v>2833</v>
      </c>
      <c r="K1723">
        <v>5.7736000000000003E-2</v>
      </c>
      <c r="L1723">
        <v>0</v>
      </c>
      <c r="M1723">
        <v>5.7735000000000002E-2</v>
      </c>
      <c r="N1723">
        <v>0</v>
      </c>
      <c r="O1723" t="s">
        <v>2833</v>
      </c>
      <c r="P1723" t="s">
        <v>2833</v>
      </c>
      <c r="Q1723" t="s">
        <v>2833</v>
      </c>
      <c r="R1723">
        <f ca="1">RAND()*(Validation[[#This Row],[Range1_High]]-Validation[[#This Row],[Range1_Low]])+Validation[[#This Row],[Range1_Low]]</f>
        <v>15.586054183117287</v>
      </c>
      <c r="S1723">
        <f>Validation[[#This Row],[Range2_High]]</f>
        <v>0</v>
      </c>
      <c r="T1723" t="str" cm="1">
        <f t="array" aca="1" ref="T1723" ca="1">RoundToTwoSigFigs(Validation[[#This Row],[Test Reading]]*Validation[[#This Row],[Mult]]+Validation[[#This Row],[Base]]) &amp;" "&amp;Validation[[#This Row],[Uncert_Units]]</f>
        <v>0.058 Hz</v>
      </c>
      <c r="U17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V1723" t="b">
        <f ca="1">Validation[[#This Row],[Desired Result]]=Validation[[#This Row],[Result]]</f>
        <v>1</v>
      </c>
      <c r="W1723" t="b">
        <v>0</v>
      </c>
      <c r="X1723" t="b">
        <f>Validation[[#This Row],[Range1_Low]]&gt;=Validation[[#This Row],[Range1_High]]</f>
        <v>0</v>
      </c>
      <c r="Y1723" s="111" t="s">
        <v>2845</v>
      </c>
    </row>
    <row r="1724" spans="1:25" x14ac:dyDescent="0.25">
      <c r="A1724" t="s">
        <v>54</v>
      </c>
      <c r="B1724" t="s">
        <v>17</v>
      </c>
      <c r="C1724">
        <v>0</v>
      </c>
      <c r="D1724">
        <v>120.001</v>
      </c>
      <c r="E1724">
        <v>0.1</v>
      </c>
      <c r="F1724" t="s">
        <v>9</v>
      </c>
      <c r="G1724" t="s">
        <v>9</v>
      </c>
      <c r="H1724">
        <v>0</v>
      </c>
      <c r="I1724">
        <v>0</v>
      </c>
      <c r="J1724" t="s">
        <v>2833</v>
      </c>
      <c r="K1724">
        <v>5.7819000000000002E-2</v>
      </c>
      <c r="L1724">
        <v>3.3129000000000001E-6</v>
      </c>
      <c r="M1724">
        <v>5.7745999999999999E-2</v>
      </c>
      <c r="N1724">
        <v>1.4481E-6</v>
      </c>
      <c r="O1724" t="s">
        <v>2833</v>
      </c>
      <c r="P1724" t="s">
        <v>2833</v>
      </c>
      <c r="Q1724" t="s">
        <v>2833</v>
      </c>
      <c r="R1724">
        <f ca="1">RAND()*(Validation[[#This Row],[Range1_High]]-Validation[[#This Row],[Range1_Low]])+Validation[[#This Row],[Range1_Low]]</f>
        <v>109.11798255802528</v>
      </c>
      <c r="S1724">
        <f>Validation[[#This Row],[Range2_High]]</f>
        <v>0</v>
      </c>
      <c r="T1724" t="str" cm="1">
        <f t="array" aca="1" ref="T1724" ca="1">RoundToTwoSigFigs(Validation[[#This Row],[Test Reading]]*Validation[[#This Row],[Mult]]+Validation[[#This Row],[Base]]) &amp;" "&amp;Validation[[#This Row],[Uncert_Units]]</f>
        <v>0.058 Hz</v>
      </c>
      <c r="U17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V1724" t="b">
        <f ca="1">Validation[[#This Row],[Desired Result]]=Validation[[#This Row],[Result]]</f>
        <v>1</v>
      </c>
      <c r="W1724" t="b">
        <v>0</v>
      </c>
      <c r="X1724" t="b">
        <f>Validation[[#This Row],[Range1_Low]]&gt;=Validation[[#This Row],[Range1_High]]</f>
        <v>0</v>
      </c>
      <c r="Y1724" s="111" t="s">
        <v>2845</v>
      </c>
    </row>
    <row r="1725" spans="1:25" x14ac:dyDescent="0.25">
      <c r="A1725" t="s">
        <v>55</v>
      </c>
      <c r="B1725" t="s">
        <v>17</v>
      </c>
      <c r="C1725">
        <v>1000</v>
      </c>
      <c r="D1725">
        <v>10000</v>
      </c>
      <c r="E1725">
        <v>100</v>
      </c>
      <c r="F1725" t="s">
        <v>9</v>
      </c>
      <c r="G1725" t="s">
        <v>9</v>
      </c>
      <c r="H1725">
        <v>0</v>
      </c>
      <c r="I1725">
        <v>0</v>
      </c>
      <c r="J1725" t="s">
        <v>2833</v>
      </c>
      <c r="K1725">
        <v>5.7734000000000001E-2</v>
      </c>
      <c r="L1725">
        <v>1.5900000000000001E-9</v>
      </c>
      <c r="M1725">
        <v>5.772E-2</v>
      </c>
      <c r="N1725">
        <v>1.5900000000000001E-9</v>
      </c>
      <c r="O1725" t="s">
        <v>2833</v>
      </c>
      <c r="P1725" t="s">
        <v>2833</v>
      </c>
      <c r="Q1725" t="s">
        <v>2833</v>
      </c>
      <c r="R1725">
        <f ca="1">RAND()*(Validation[[#This Row],[Range1_High]]-Validation[[#This Row],[Range1_Low]])+Validation[[#This Row],[Range1_Low]]</f>
        <v>5627.0140285543357</v>
      </c>
      <c r="S1725">
        <f>Validation[[#This Row],[Range2_High]]</f>
        <v>0</v>
      </c>
      <c r="T1725" t="str" cm="1">
        <f t="array" aca="1" ref="T1725" ca="1">RoundToTwoSigFigs(Validation[[#This Row],[Test Reading]]*Validation[[#This Row],[Mult]]+Validation[[#This Row],[Base]]) &amp;" "&amp;Validation[[#This Row],[Uncert_Units]]</f>
        <v>0.058 Hz</v>
      </c>
      <c r="U17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V1725" t="b">
        <f ca="1">Validation[[#This Row],[Desired Result]]=Validation[[#This Row],[Result]]</f>
        <v>1</v>
      </c>
      <c r="W1725" t="b">
        <v>0</v>
      </c>
      <c r="X1725" t="b">
        <f>Validation[[#This Row],[Range1_Low]]&gt;=Validation[[#This Row],[Range1_High]]</f>
        <v>0</v>
      </c>
      <c r="Y1725" s="111" t="s">
        <v>2845</v>
      </c>
    </row>
    <row r="1726" spans="1:25" ht="15.75" thickBot="1" x14ac:dyDescent="0.3">
      <c r="A1726" t="s">
        <v>68</v>
      </c>
      <c r="B1726" t="s">
        <v>17</v>
      </c>
      <c r="C1726">
        <v>1</v>
      </c>
      <c r="D1726">
        <v>100000</v>
      </c>
      <c r="E1726">
        <v>100</v>
      </c>
      <c r="F1726" t="s">
        <v>9</v>
      </c>
      <c r="G1726" t="s">
        <v>9</v>
      </c>
      <c r="H1726">
        <v>0</v>
      </c>
      <c r="I1726">
        <v>0</v>
      </c>
      <c r="J1726" t="s">
        <v>2833</v>
      </c>
      <c r="K1726">
        <v>58.005000000000003</v>
      </c>
      <c r="L1726">
        <v>3.1698999999999999E-6</v>
      </c>
      <c r="M1726">
        <v>58</v>
      </c>
      <c r="N1726">
        <v>3.1064999999999998E-6</v>
      </c>
      <c r="O1726" t="s">
        <v>2833</v>
      </c>
      <c r="P1726" t="s">
        <v>2833</v>
      </c>
      <c r="Q1726" t="s">
        <v>2833</v>
      </c>
      <c r="R1726">
        <f ca="1">RAND()*(Validation[[#This Row],[Range1_High]]-Validation[[#This Row],[Range1_Low]])+Validation[[#This Row],[Range1_Low]]</f>
        <v>48448.116948396702</v>
      </c>
      <c r="S1726">
        <f>Validation[[#This Row],[Range2_High]]</f>
        <v>0</v>
      </c>
      <c r="T1726" t="str" cm="1">
        <f t="array" aca="1" ref="T1726" ca="1">RoundToTwoSigFigs(Validation[[#This Row],[Test Reading]]*Validation[[#This Row],[Mult]]+Validation[[#This Row],[Base]]) &amp;" "&amp;Validation[[#This Row],[Uncert_Units]]</f>
        <v>58 Hz</v>
      </c>
      <c r="U17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V1726" t="b">
        <f ca="1">Validation[[#This Row],[Desired Result]]=Validation[[#This Row],[Result]]</f>
        <v>1</v>
      </c>
      <c r="W1726" t="b">
        <v>0</v>
      </c>
      <c r="X1726" t="b">
        <f>Validation[[#This Row],[Range1_Low]]&gt;=Validation[[#This Row],[Range1_High]]</f>
        <v>0</v>
      </c>
      <c r="Y1726" s="111" t="s">
        <v>2845</v>
      </c>
    </row>
    <row r="1727" spans="1:25" ht="16.5" thickTop="1" thickBot="1" x14ac:dyDescent="0.3">
      <c r="A1727" t="s">
        <v>54</v>
      </c>
      <c r="B1727" t="s">
        <v>17</v>
      </c>
      <c r="C1727" s="113">
        <v>120</v>
      </c>
      <c r="D1727" s="113">
        <v>1200.01</v>
      </c>
      <c r="E1727">
        <v>0.01</v>
      </c>
      <c r="F1727" t="s">
        <v>9</v>
      </c>
      <c r="G1727" t="s">
        <v>9</v>
      </c>
      <c r="H1727">
        <v>0</v>
      </c>
      <c r="I1727">
        <v>0</v>
      </c>
      <c r="J1727" t="s">
        <v>2833</v>
      </c>
      <c r="K1727">
        <v>5.8000000000000003E-2</v>
      </c>
      <c r="L1727">
        <v>9.5000000000000005E-6</v>
      </c>
      <c r="M1727">
        <v>4.1865000000000001E-3</v>
      </c>
      <c r="N1727">
        <v>2.6727E-5</v>
      </c>
      <c r="O1727" t="s">
        <v>2833</v>
      </c>
      <c r="P1727" t="s">
        <v>2833</v>
      </c>
      <c r="Q1727" t="s">
        <v>2833</v>
      </c>
      <c r="R1727">
        <f ca="1">RAND()*(Validation[[#This Row],[Range1_High]]-Validation[[#This Row],[Range1_Low]])+Validation[[#This Row],[Range1_Low]]</f>
        <v>325.80637747800279</v>
      </c>
      <c r="S1727">
        <f>Validation[[#This Row],[Range2_High]]</f>
        <v>0</v>
      </c>
      <c r="T1727" t="str" cm="1">
        <f t="array" aca="1" ref="T1727" ca="1">RoundToTwoSigFigs(Validation[[#This Row],[Test Reading]]*Validation[[#This Row],[Mult]]+Validation[[#This Row],[Base]]) &amp;" "&amp;Validation[[#This Row],[Uncert_Units]]</f>
        <v>0.061 Hz</v>
      </c>
      <c r="U17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Hz</v>
      </c>
      <c r="V1727" t="b">
        <f ca="1">Validation[[#This Row],[Desired Result]]=Validation[[#This Row],[Result]]</f>
        <v>1</v>
      </c>
      <c r="W1727" t="b">
        <v>1</v>
      </c>
      <c r="X1727" t="b">
        <f>Validation[[#This Row],[Range1_Low]]&gt;=Validation[[#This Row],[Range1_High]]</f>
        <v>0</v>
      </c>
      <c r="Y1727" s="111" t="s">
        <v>2843</v>
      </c>
    </row>
    <row r="1728" spans="1:25" ht="16.5" thickTop="1" thickBot="1" x14ac:dyDescent="0.3">
      <c r="A1728" t="s">
        <v>54</v>
      </c>
      <c r="B1728" t="s">
        <v>17</v>
      </c>
      <c r="C1728" s="113">
        <v>1200</v>
      </c>
      <c r="D1728" s="113">
        <v>12001</v>
      </c>
      <c r="E1728">
        <v>1</v>
      </c>
      <c r="F1728" t="s">
        <v>9</v>
      </c>
      <c r="G1728" t="s">
        <v>9</v>
      </c>
      <c r="H1728">
        <v>0</v>
      </c>
      <c r="I1728">
        <v>0</v>
      </c>
      <c r="J1728" t="s">
        <v>2833</v>
      </c>
      <c r="K1728">
        <v>5.7794999999999996</v>
      </c>
      <c r="L1728">
        <v>1.5456000000000001E-6</v>
      </c>
      <c r="M1728">
        <v>5.7725</v>
      </c>
      <c r="N1728">
        <v>9.5753999999999998E-7</v>
      </c>
      <c r="O1728" t="s">
        <v>2833</v>
      </c>
      <c r="P1728" t="s">
        <v>2833</v>
      </c>
      <c r="Q1728" t="s">
        <v>2833</v>
      </c>
      <c r="R1728">
        <f ca="1">RAND()*(Validation[[#This Row],[Range1_High]]-Validation[[#This Row],[Range1_Low]])+Validation[[#This Row],[Range1_Low]]</f>
        <v>10874.741911966406</v>
      </c>
      <c r="S1728">
        <f>Validation[[#This Row],[Range2_High]]</f>
        <v>0</v>
      </c>
      <c r="T1728" t="str" cm="1">
        <f t="array" aca="1" ref="T1728" ca="1">RoundToTwoSigFigs(Validation[[#This Row],[Test Reading]]*Validation[[#This Row],[Mult]]+Validation[[#This Row],[Base]]) &amp;" "&amp;Validation[[#This Row],[Uncert_Units]]</f>
        <v>5.8 Hz</v>
      </c>
      <c r="U17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V1728" t="b">
        <f ca="1">Validation[[#This Row],[Desired Result]]=Validation[[#This Row],[Result]]</f>
        <v>1</v>
      </c>
      <c r="W1728" t="b">
        <v>1</v>
      </c>
      <c r="X1728" t="b">
        <f>Validation[[#This Row],[Range1_Low]]&gt;=Validation[[#This Row],[Range1_High]]</f>
        <v>0</v>
      </c>
      <c r="Y1728" s="111" t="s">
        <v>2843</v>
      </c>
    </row>
    <row r="1729" spans="1:25" ht="16.5" thickTop="1" thickBot="1" x14ac:dyDescent="0.3">
      <c r="A1729" t="s">
        <v>55</v>
      </c>
      <c r="B1729" t="s">
        <v>17</v>
      </c>
      <c r="C1729" s="113">
        <v>40</v>
      </c>
      <c r="D1729" s="113">
        <v>1000</v>
      </c>
      <c r="E1729">
        <v>1</v>
      </c>
      <c r="F1729" t="s">
        <v>9</v>
      </c>
      <c r="G1729" t="s">
        <v>9</v>
      </c>
      <c r="H1729">
        <v>0</v>
      </c>
      <c r="I1729">
        <v>0</v>
      </c>
      <c r="J1729" t="s">
        <v>2833</v>
      </c>
      <c r="K1729">
        <v>3.9871999999999998E-3</v>
      </c>
      <c r="L1729">
        <v>5.4141000000000004E-6</v>
      </c>
      <c r="M1729">
        <v>3.9871999999999998E-3</v>
      </c>
      <c r="N1729">
        <v>5.4141000000000004E-6</v>
      </c>
      <c r="O1729" t="s">
        <v>2833</v>
      </c>
      <c r="P1729" t="s">
        <v>2833</v>
      </c>
      <c r="Q1729" t="s">
        <v>2833</v>
      </c>
      <c r="R1729">
        <f ca="1">RAND()*(Validation[[#This Row],[Range1_High]]-Validation[[#This Row],[Range1_Low]])+Validation[[#This Row],[Range1_Low]]</f>
        <v>823.49658246921342</v>
      </c>
      <c r="S1729">
        <f>Validation[[#This Row],[Range2_High]]</f>
        <v>0</v>
      </c>
      <c r="T1729" t="str" cm="1">
        <f t="array" aca="1" ref="T1729" ca="1">RoundToTwoSigFigs(Validation[[#This Row],[Test Reading]]*Validation[[#This Row],[Mult]]+Validation[[#This Row],[Base]]) &amp;" "&amp;Validation[[#This Row],[Uncert_Units]]</f>
        <v>0.0084 Hz</v>
      </c>
      <c r="U17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0.0084 Hz</v>
      </c>
      <c r="V1729" t="b">
        <f ca="1">Validation[[#This Row],[Desired Result]]=Validation[[#This Row],[Result]]</f>
        <v>1</v>
      </c>
      <c r="W1729" t="b">
        <v>1</v>
      </c>
      <c r="X1729" t="b">
        <f>Validation[[#This Row],[Range1_Low]]&gt;=Validation[[#This Row],[Range1_High]]</f>
        <v>0</v>
      </c>
      <c r="Y1729" s="111" t="s">
        <v>2843</v>
      </c>
    </row>
    <row r="1730" spans="1:25" ht="16.5" thickTop="1" thickBot="1" x14ac:dyDescent="0.3">
      <c r="A1730" t="s">
        <v>54</v>
      </c>
      <c r="B1730" t="s">
        <v>17</v>
      </c>
      <c r="C1730">
        <v>0</v>
      </c>
      <c r="D1730">
        <v>120.001</v>
      </c>
      <c r="E1730">
        <v>1000</v>
      </c>
      <c r="F1730" t="s">
        <v>9</v>
      </c>
      <c r="G1730" t="s">
        <v>9</v>
      </c>
      <c r="H1730">
        <v>0</v>
      </c>
      <c r="I1730">
        <v>0</v>
      </c>
      <c r="J1730" t="s">
        <v>2833</v>
      </c>
      <c r="K1730">
        <v>577.36</v>
      </c>
      <c r="L1730">
        <v>4.8236000000000003E-8</v>
      </c>
      <c r="M1730">
        <v>577.36</v>
      </c>
      <c r="N1730">
        <v>1.4499999999999999E-10</v>
      </c>
      <c r="O1730" t="s">
        <v>2833</v>
      </c>
      <c r="P1730" t="s">
        <v>2833</v>
      </c>
      <c r="Q1730" t="s">
        <v>2833</v>
      </c>
      <c r="R1730">
        <f ca="1">RAND()*(Validation[[#This Row],[Range1_High]]-Validation[[#This Row],[Range1_Low]])+Validation[[#This Row],[Range1_Low]]</f>
        <v>73.069370531442971</v>
      </c>
      <c r="S1730">
        <f>Validation[[#This Row],[Range2_High]]</f>
        <v>0</v>
      </c>
      <c r="T1730" t="str" cm="1">
        <f t="array" aca="1" ref="T1730" ca="1">RoundToTwoSigFigs(Validation[[#This Row],[Test Reading]]*Validation[[#This Row],[Mult]]+Validation[[#This Row],[Base]]) &amp;" "&amp;Validation[[#This Row],[Uncert_Units]]</f>
        <v>580 Hz</v>
      </c>
      <c r="U17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V1730" t="b">
        <f ca="1">Validation[[#This Row],[Desired Result]]=Validation[[#This Row],[Result]]</f>
        <v>1</v>
      </c>
      <c r="W1730" t="b">
        <v>0</v>
      </c>
      <c r="X1730" t="b">
        <f>Validation[[#This Row],[Range1_Low]]&gt;=Validation[[#This Row],[Range1_High]]</f>
        <v>0</v>
      </c>
      <c r="Y1730" s="111" t="s">
        <v>2845</v>
      </c>
    </row>
    <row r="1731" spans="1:25" ht="16.5" thickTop="1" thickBot="1" x14ac:dyDescent="0.3">
      <c r="A1731" t="s">
        <v>55</v>
      </c>
      <c r="B1731" t="s">
        <v>17</v>
      </c>
      <c r="C1731" s="113">
        <v>40</v>
      </c>
      <c r="D1731" s="113">
        <v>1000</v>
      </c>
      <c r="E1731">
        <v>0.1</v>
      </c>
      <c r="F1731" t="s">
        <v>9</v>
      </c>
      <c r="G1731" t="s">
        <v>9</v>
      </c>
      <c r="H1731">
        <v>0</v>
      </c>
      <c r="I1731">
        <v>0</v>
      </c>
      <c r="J1731" t="s">
        <v>2833</v>
      </c>
      <c r="K1731">
        <v>3.9689E-4</v>
      </c>
      <c r="L1731">
        <v>5.5570000000000003E-7</v>
      </c>
      <c r="M1731">
        <v>3.9680999999999999E-4</v>
      </c>
      <c r="N1731">
        <v>5.5588000000000003E-7</v>
      </c>
      <c r="O1731" t="s">
        <v>2833</v>
      </c>
      <c r="P1731" t="s">
        <v>2833</v>
      </c>
      <c r="Q1731" t="s">
        <v>2833</v>
      </c>
      <c r="R1731">
        <f ca="1">RAND()*(Validation[[#This Row],[Range1_High]]-Validation[[#This Row],[Range1_Low]])+Validation[[#This Row],[Range1_Low]]</f>
        <v>877.14125772180773</v>
      </c>
      <c r="S1731">
        <f>Validation[[#This Row],[Range2_High]]</f>
        <v>0</v>
      </c>
      <c r="T1731" t="str" cm="1">
        <f t="array" aca="1" ref="T1731" ca="1">RoundToTwoSigFigs(Validation[[#This Row],[Test Reading]]*Validation[[#This Row],[Mult]]+Validation[[#This Row],[Base]]) &amp;" "&amp;Validation[[#This Row],[Uncert_Units]]</f>
        <v>0.00088 Hz</v>
      </c>
      <c r="U17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0.00088 Hz</v>
      </c>
      <c r="V1731" t="b">
        <f ca="1">Validation[[#This Row],[Desired Result]]=Validation[[#This Row],[Result]]</f>
        <v>1</v>
      </c>
      <c r="W1731" t="b">
        <v>1</v>
      </c>
      <c r="X1731" t="b">
        <f>Validation[[#This Row],[Range1_Low]]&gt;=Validation[[#This Row],[Range1_High]]</f>
        <v>0</v>
      </c>
      <c r="Y1731" s="111" t="s">
        <v>2843</v>
      </c>
    </row>
    <row r="1732" spans="1:25" ht="16.5" thickTop="1" thickBot="1" x14ac:dyDescent="0.3">
      <c r="A1732" t="s">
        <v>55</v>
      </c>
      <c r="B1732" t="s">
        <v>17</v>
      </c>
      <c r="C1732" s="113">
        <v>1000</v>
      </c>
      <c r="D1732" s="113">
        <v>10000</v>
      </c>
      <c r="E1732">
        <v>0.1</v>
      </c>
      <c r="F1732" t="s">
        <v>9</v>
      </c>
      <c r="G1732" t="s">
        <v>9</v>
      </c>
      <c r="H1732">
        <v>0</v>
      </c>
      <c r="I1732">
        <v>0</v>
      </c>
      <c r="J1732" t="s">
        <v>2833</v>
      </c>
      <c r="K1732">
        <v>1.3574000000000001E-5</v>
      </c>
      <c r="L1732">
        <v>1.2799E-7</v>
      </c>
      <c r="M1732">
        <v>1.3570999999999999E-5</v>
      </c>
      <c r="N1732">
        <v>1.2799E-7</v>
      </c>
      <c r="O1732" t="s">
        <v>2833</v>
      </c>
      <c r="P1732" t="s">
        <v>2833</v>
      </c>
      <c r="Q1732" t="s">
        <v>2833</v>
      </c>
      <c r="R1732">
        <f ca="1">RAND()*(Validation[[#This Row],[Range1_High]]-Validation[[#This Row],[Range1_Low]])+Validation[[#This Row],[Range1_Low]]</f>
        <v>2686.4121088352385</v>
      </c>
      <c r="S1732">
        <f>Validation[[#This Row],[Range2_High]]</f>
        <v>0</v>
      </c>
      <c r="T1732" t="str" cm="1">
        <f t="array" aca="1" ref="T1732" ca="1">RoundToTwoSigFigs(Validation[[#This Row],[Test Reading]]*Validation[[#This Row],[Mult]]+Validation[[#This Row],[Base]]) &amp;" "&amp;Validation[[#This Row],[Uncert_Units]]</f>
        <v>0.00036 Hz</v>
      </c>
      <c r="U17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0.00036 Hz</v>
      </c>
      <c r="V1732" t="b">
        <f ca="1">Validation[[#This Row],[Desired Result]]=Validation[[#This Row],[Result]]</f>
        <v>1</v>
      </c>
      <c r="W1732" t="b">
        <v>1</v>
      </c>
      <c r="X1732" t="b">
        <f>Validation[[#This Row],[Range1_Low]]&gt;=Validation[[#This Row],[Range1_High]]</f>
        <v>0</v>
      </c>
      <c r="Y1732" s="111" t="s">
        <v>2843</v>
      </c>
    </row>
    <row r="1733" spans="1:25" ht="16.5" thickTop="1" thickBot="1" x14ac:dyDescent="0.3">
      <c r="A1733" t="s">
        <v>55</v>
      </c>
      <c r="B1733" t="s">
        <v>17</v>
      </c>
      <c r="C1733">
        <v>10000</v>
      </c>
      <c r="D1733">
        <v>100000</v>
      </c>
      <c r="E1733">
        <v>10000</v>
      </c>
      <c r="F1733" t="s">
        <v>9</v>
      </c>
      <c r="G1733" t="s">
        <v>9</v>
      </c>
      <c r="H1733">
        <v>0</v>
      </c>
      <c r="I1733">
        <v>0</v>
      </c>
      <c r="J1733" t="s">
        <v>2833</v>
      </c>
      <c r="K1733">
        <v>5.7736000000000001</v>
      </c>
      <c r="L1733">
        <v>5.77E-3</v>
      </c>
      <c r="M1733">
        <v>5.7733999999999996</v>
      </c>
      <c r="N1733">
        <v>1.5899999999999999E-10</v>
      </c>
      <c r="O1733" t="s">
        <v>2833</v>
      </c>
      <c r="P1733" t="s">
        <v>2833</v>
      </c>
      <c r="Q1733" t="s">
        <v>2833</v>
      </c>
      <c r="R1733">
        <f ca="1">RAND()*(Validation[[#This Row],[Range1_High]]-Validation[[#This Row],[Range1_Low]])+Validation[[#This Row],[Range1_Low]]</f>
        <v>90498.923538979405</v>
      </c>
      <c r="S1733">
        <f>Validation[[#This Row],[Range2_High]]</f>
        <v>0</v>
      </c>
      <c r="T1733" t="str" cm="1">
        <f t="array" aca="1" ref="T1733" ca="1">RoundToTwoSigFigs(Validation[[#This Row],[Test Reading]]*Validation[[#This Row],[Mult]]+Validation[[#This Row],[Base]]) &amp;" "&amp;Validation[[#This Row],[Uncert_Units]]</f>
        <v>530 Hz</v>
      </c>
      <c r="U17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Hz</v>
      </c>
      <c r="V1733" t="b">
        <f ca="1">Validation[[#This Row],[Desired Result]]=Validation[[#This Row],[Result]]</f>
        <v>1</v>
      </c>
      <c r="W1733" t="b">
        <v>0</v>
      </c>
      <c r="X1733" t="b">
        <f>Validation[[#This Row],[Range1_Low]]&gt;=Validation[[#This Row],[Range1_High]]</f>
        <v>0</v>
      </c>
      <c r="Y1733" s="111" t="s">
        <v>2845</v>
      </c>
    </row>
    <row r="1734" spans="1:25" ht="16.5" thickTop="1" thickBot="1" x14ac:dyDescent="0.3">
      <c r="A1734" t="s">
        <v>55</v>
      </c>
      <c r="B1734" t="s">
        <v>17</v>
      </c>
      <c r="C1734" s="113">
        <v>100000</v>
      </c>
      <c r="D1734" s="113">
        <v>1000000</v>
      </c>
      <c r="E1734">
        <v>0.1</v>
      </c>
      <c r="F1734" t="s">
        <v>9</v>
      </c>
      <c r="G1734" t="s">
        <v>9</v>
      </c>
      <c r="H1734">
        <v>0</v>
      </c>
      <c r="I1734">
        <v>0</v>
      </c>
      <c r="J1734" t="s">
        <v>2833</v>
      </c>
      <c r="K1734">
        <v>4.4000000000000002E-7</v>
      </c>
      <c r="L1734">
        <v>1.3E-7</v>
      </c>
      <c r="M1734">
        <v>7.4099999999999995E-8</v>
      </c>
      <c r="N1734">
        <v>1.2921999999999999E-7</v>
      </c>
      <c r="O1734" t="s">
        <v>2833</v>
      </c>
      <c r="P1734" t="s">
        <v>2833</v>
      </c>
      <c r="Q1734" t="s">
        <v>2833</v>
      </c>
      <c r="R1734">
        <f ca="1">RAND()*(Validation[[#This Row],[Range1_High]]-Validation[[#This Row],[Range1_Low]])+Validation[[#This Row],[Range1_Low]]</f>
        <v>319675.94246237027</v>
      </c>
      <c r="S1734">
        <f>Validation[[#This Row],[Range2_High]]</f>
        <v>0</v>
      </c>
      <c r="T1734" t="str" cm="1">
        <f t="array" aca="1" ref="T1734" ca="1">RoundToTwoSigFigs(Validation[[#This Row],[Test Reading]]*Validation[[#This Row],[Mult]]+Validation[[#This Row],[Base]]) &amp;" "&amp;Validation[[#This Row],[Uncert_Units]]</f>
        <v>0.042 Hz</v>
      </c>
      <c r="U17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0.042 Hz</v>
      </c>
      <c r="V1734" t="b">
        <f ca="1">Validation[[#This Row],[Desired Result]]=Validation[[#This Row],[Result]]</f>
        <v>1</v>
      </c>
      <c r="W1734" t="b">
        <v>1</v>
      </c>
      <c r="X1734" t="b">
        <f>Validation[[#This Row],[Range1_Low]]&gt;=Validation[[#This Row],[Range1_High]]</f>
        <v>0</v>
      </c>
      <c r="Y1734" s="111" t="s">
        <v>2843</v>
      </c>
    </row>
    <row r="1735" spans="1:25" ht="16.5" thickTop="1" thickBot="1" x14ac:dyDescent="0.3">
      <c r="A1735" t="s">
        <v>55</v>
      </c>
      <c r="B1735" t="s">
        <v>17</v>
      </c>
      <c r="C1735" s="113">
        <v>1000</v>
      </c>
      <c r="D1735" s="113">
        <v>10000</v>
      </c>
      <c r="E1735">
        <v>1</v>
      </c>
      <c r="F1735" t="s">
        <v>9</v>
      </c>
      <c r="G1735" t="s">
        <v>9</v>
      </c>
      <c r="H1735">
        <v>0</v>
      </c>
      <c r="I1735">
        <v>0</v>
      </c>
      <c r="J1735" t="s">
        <v>2833</v>
      </c>
      <c r="K1735">
        <v>6.8566000000000005E-4</v>
      </c>
      <c r="L1735">
        <v>9.1516999999999998E-8</v>
      </c>
      <c r="M1735">
        <v>6.8565E-4</v>
      </c>
      <c r="N1735">
        <v>9.1517999999999999E-8</v>
      </c>
      <c r="O1735" t="s">
        <v>2833</v>
      </c>
      <c r="P1735" t="s">
        <v>2833</v>
      </c>
      <c r="Q1735" t="s">
        <v>2833</v>
      </c>
      <c r="R1735">
        <f ca="1">RAND()*(Validation[[#This Row],[Range1_High]]-Validation[[#This Row],[Range1_Low]])+Validation[[#This Row],[Range1_Low]]</f>
        <v>3052.0533355416992</v>
      </c>
      <c r="S1735">
        <f>Validation[[#This Row],[Range2_High]]</f>
        <v>0</v>
      </c>
      <c r="T1735" t="str" cm="1">
        <f t="array" aca="1" ref="T1735" ca="1">RoundToTwoSigFigs(Validation[[#This Row],[Test Reading]]*Validation[[#This Row],[Mult]]+Validation[[#This Row],[Base]]) &amp;" "&amp;Validation[[#This Row],[Uncert_Units]]</f>
        <v>0.00096 Hz</v>
      </c>
      <c r="U17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0.00096 Hz</v>
      </c>
      <c r="V1735" t="b">
        <f ca="1">Validation[[#This Row],[Desired Result]]=Validation[[#This Row],[Result]]</f>
        <v>1</v>
      </c>
      <c r="W1735" t="b">
        <v>1</v>
      </c>
      <c r="X1735" t="b">
        <f>Validation[[#This Row],[Range1_Low]]&gt;=Validation[[#This Row],[Range1_High]]</f>
        <v>0</v>
      </c>
      <c r="Y1735" s="111" t="s">
        <v>2843</v>
      </c>
    </row>
    <row r="1736" spans="1:25" ht="16.5" thickTop="1" thickBot="1" x14ac:dyDescent="0.3">
      <c r="A1736" t="s">
        <v>55</v>
      </c>
      <c r="B1736" t="s">
        <v>17</v>
      </c>
      <c r="C1736" s="113">
        <v>100000</v>
      </c>
      <c r="D1736" s="113">
        <v>1000000</v>
      </c>
      <c r="E1736">
        <v>100</v>
      </c>
      <c r="F1736" t="s">
        <v>9</v>
      </c>
      <c r="G1736" t="s">
        <v>9</v>
      </c>
      <c r="H1736">
        <v>0</v>
      </c>
      <c r="I1736">
        <v>0</v>
      </c>
      <c r="J1736" t="s">
        <v>2833</v>
      </c>
      <c r="K1736">
        <v>6.8566000000000002E-2</v>
      </c>
      <c r="L1736">
        <v>9.1516999999999998E-8</v>
      </c>
      <c r="M1736">
        <v>6.8565000000000001E-2</v>
      </c>
      <c r="N1736">
        <v>9.1517999999999999E-8</v>
      </c>
      <c r="O1736" t="s">
        <v>2833</v>
      </c>
      <c r="P1736" t="s">
        <v>2833</v>
      </c>
      <c r="Q1736" t="s">
        <v>2833</v>
      </c>
      <c r="R1736">
        <f ca="1">RAND()*(Validation[[#This Row],[Range1_High]]-Validation[[#This Row],[Range1_Low]])+Validation[[#This Row],[Range1_Low]]</f>
        <v>620196.94580799877</v>
      </c>
      <c r="S1736">
        <f>Validation[[#This Row],[Range2_High]]</f>
        <v>0</v>
      </c>
      <c r="T1736" t="str" cm="1">
        <f t="array" aca="1" ref="T1736" ca="1">RoundToTwoSigFigs(Validation[[#This Row],[Test Reading]]*Validation[[#This Row],[Mult]]+Validation[[#This Row],[Base]]) &amp;" "&amp;Validation[[#This Row],[Uncert_Units]]</f>
        <v>0.13 Hz</v>
      </c>
      <c r="U17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Hz</v>
      </c>
      <c r="V1736" t="b">
        <f ca="1">Validation[[#This Row],[Desired Result]]=Validation[[#This Row],[Result]]</f>
        <v>1</v>
      </c>
      <c r="W1736" t="b">
        <v>1</v>
      </c>
      <c r="X1736" t="b">
        <f>Validation[[#This Row],[Range1_Low]]&gt;=Validation[[#This Row],[Range1_High]]</f>
        <v>0</v>
      </c>
      <c r="Y1736" s="111" t="s">
        <v>2843</v>
      </c>
    </row>
    <row r="1737" spans="1:25" ht="15.75" thickTop="1" x14ac:dyDescent="0.25">
      <c r="A1737" t="s">
        <v>55</v>
      </c>
      <c r="B1737" t="s">
        <v>17</v>
      </c>
      <c r="C1737">
        <v>0</v>
      </c>
      <c r="D1737">
        <v>40</v>
      </c>
      <c r="E1737">
        <v>1000</v>
      </c>
      <c r="F1737" t="s">
        <v>9</v>
      </c>
      <c r="G1737" t="s">
        <v>9</v>
      </c>
      <c r="H1737">
        <v>0</v>
      </c>
      <c r="I1737">
        <v>0</v>
      </c>
      <c r="J1737" t="s">
        <v>2833</v>
      </c>
      <c r="K1737">
        <v>0.57735999999999998</v>
      </c>
      <c r="L1737">
        <v>0</v>
      </c>
      <c r="M1737">
        <v>0.57735000000000003</v>
      </c>
      <c r="N1737">
        <v>0</v>
      </c>
      <c r="O1737" t="s">
        <v>2833</v>
      </c>
      <c r="P1737" t="s">
        <v>2833</v>
      </c>
      <c r="Q1737" t="s">
        <v>2833</v>
      </c>
      <c r="R1737">
        <f ca="1">RAND()*(Validation[[#This Row],[Range1_High]]-Validation[[#This Row],[Range1_Low]])+Validation[[#This Row],[Range1_Low]]</f>
        <v>19.647238096230993</v>
      </c>
      <c r="S1737">
        <f>Validation[[#This Row],[Range2_High]]</f>
        <v>0</v>
      </c>
      <c r="T1737" t="str" cm="1">
        <f t="array" aca="1" ref="T1737" ca="1">RoundToTwoSigFigs(Validation[[#This Row],[Test Reading]]*Validation[[#This Row],[Mult]]+Validation[[#This Row],[Base]]) &amp;" "&amp;Validation[[#This Row],[Uncert_Units]]</f>
        <v>0.58 Hz</v>
      </c>
      <c r="U17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V1737" t="b">
        <f ca="1">Validation[[#This Row],[Desired Result]]=Validation[[#This Row],[Result]]</f>
        <v>1</v>
      </c>
      <c r="W1737" t="b">
        <v>0</v>
      </c>
      <c r="X1737" t="b">
        <f>Validation[[#This Row],[Range1_Low]]&gt;=Validation[[#This Row],[Range1_High]]</f>
        <v>0</v>
      </c>
      <c r="Y1737" s="111" t="s">
        <v>2845</v>
      </c>
    </row>
    <row r="1738" spans="1:25" ht="15.75" thickBot="1" x14ac:dyDescent="0.3">
      <c r="A1738" t="s">
        <v>54</v>
      </c>
      <c r="B1738" t="s">
        <v>17</v>
      </c>
      <c r="C1738">
        <v>2000000</v>
      </c>
      <c r="D1738">
        <v>2001000</v>
      </c>
      <c r="E1738">
        <v>100</v>
      </c>
      <c r="F1738" t="s">
        <v>9</v>
      </c>
      <c r="G1738" t="s">
        <v>10</v>
      </c>
      <c r="H1738">
        <v>0</v>
      </c>
      <c r="I1738">
        <v>0</v>
      </c>
      <c r="J1738" t="s">
        <v>2833</v>
      </c>
      <c r="K1738">
        <v>0.43</v>
      </c>
      <c r="L1738">
        <v>1.2999999999999999E-4</v>
      </c>
      <c r="M1738">
        <v>-0.35824</v>
      </c>
      <c r="N1738">
        <v>3.6326000000000002E-4</v>
      </c>
      <c r="O1738" t="s">
        <v>2833</v>
      </c>
      <c r="P1738" t="s">
        <v>2833</v>
      </c>
      <c r="Q1738" t="s">
        <v>2833</v>
      </c>
      <c r="R1738">
        <f ca="1">RAND()*(Validation[[#This Row],[Range1_High]]-Validation[[#This Row],[Range1_Low]])+Validation[[#This Row],[Range1_Low]]</f>
        <v>2000555.5066783375</v>
      </c>
      <c r="S1738">
        <f>Validation[[#This Row],[Range2_High]]</f>
        <v>0</v>
      </c>
      <c r="T1738" t="str" cm="1">
        <f t="array" aca="1" ref="T1738" ca="1">RoundToTwoSigFigs(Validation[[#This Row],[Test Reading]]*Validation[[#This Row],[Mult]]+Validation[[#This Row],[Base]]) &amp;" "&amp;Validation[[#This Row],[Uncert_Units]]</f>
        <v>260 kHz</v>
      </c>
      <c r="U17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V1738" t="b">
        <f ca="1">Validation[[#This Row],[Desired Result]]=Validation[[#This Row],[Result]]</f>
        <v>1</v>
      </c>
      <c r="W1738" t="b">
        <v>0</v>
      </c>
      <c r="X1738" t="b">
        <f>Validation[[#This Row],[Range1_Low]]&gt;=Validation[[#This Row],[Range1_High]]</f>
        <v>0</v>
      </c>
      <c r="Y1738" s="111" t="s">
        <v>2845</v>
      </c>
    </row>
    <row r="1739" spans="1:25" ht="16.5" thickTop="1" thickBot="1" x14ac:dyDescent="0.3">
      <c r="A1739" t="s">
        <v>55</v>
      </c>
      <c r="B1739" t="s">
        <v>17</v>
      </c>
      <c r="C1739" s="113">
        <v>10000</v>
      </c>
      <c r="D1739" s="113">
        <v>100000</v>
      </c>
      <c r="E1739">
        <v>10</v>
      </c>
      <c r="F1739" t="s">
        <v>9</v>
      </c>
      <c r="G1739" t="s">
        <v>9</v>
      </c>
      <c r="H1739">
        <v>0</v>
      </c>
      <c r="I1739">
        <v>0</v>
      </c>
      <c r="J1739" t="s">
        <v>2833</v>
      </c>
      <c r="K1739">
        <v>6.8566E-3</v>
      </c>
      <c r="L1739">
        <v>6.8565000000000003E-6</v>
      </c>
      <c r="M1739">
        <v>6.8564999999999997E-3</v>
      </c>
      <c r="N1739">
        <v>9.1517999999999999E-8</v>
      </c>
      <c r="O1739" t="s">
        <v>2833</v>
      </c>
      <c r="P1739" t="s">
        <v>2833</v>
      </c>
      <c r="Q1739" t="s">
        <v>2833</v>
      </c>
      <c r="R1739">
        <f ca="1">RAND()*(Validation[[#This Row],[Range1_High]]-Validation[[#This Row],[Range1_Low]])+Validation[[#This Row],[Range1_Low]]</f>
        <v>25590.669395456629</v>
      </c>
      <c r="S1739">
        <f>Validation[[#This Row],[Range2_High]]</f>
        <v>0</v>
      </c>
      <c r="T1739" t="str" cm="1">
        <f t="array" aca="1" ref="T1739" ca="1">RoundToTwoSigFigs(Validation[[#This Row],[Test Reading]]*Validation[[#This Row],[Mult]]+Validation[[#This Row],[Base]]) &amp;" "&amp;Validation[[#This Row],[Uncert_Units]]</f>
        <v>0.18 Hz</v>
      </c>
      <c r="U17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Hz</v>
      </c>
      <c r="V1739" t="b">
        <f ca="1">Validation[[#This Row],[Desired Result]]=Validation[[#This Row],[Result]]</f>
        <v>1</v>
      </c>
      <c r="W1739" t="b">
        <v>1</v>
      </c>
      <c r="X1739" t="b">
        <f>Validation[[#This Row],[Range1_Low]]&gt;=Validation[[#This Row],[Range1_High]]</f>
        <v>0</v>
      </c>
      <c r="Y1739" s="111" t="s">
        <v>2843</v>
      </c>
    </row>
    <row r="1740" spans="1:25" ht="16.5" thickTop="1" thickBot="1" x14ac:dyDescent="0.3">
      <c r="A1740" t="s">
        <v>55</v>
      </c>
      <c r="B1740" t="s">
        <v>17</v>
      </c>
      <c r="C1740" s="113">
        <v>40</v>
      </c>
      <c r="D1740" s="113">
        <v>1000</v>
      </c>
      <c r="E1740">
        <v>10</v>
      </c>
      <c r="F1740" t="s">
        <v>9</v>
      </c>
      <c r="G1740" t="s">
        <v>9</v>
      </c>
      <c r="H1740">
        <v>0</v>
      </c>
      <c r="I1740">
        <v>0</v>
      </c>
      <c r="J1740" t="s">
        <v>2833</v>
      </c>
      <c r="K1740">
        <v>5.5948999999999999E-2</v>
      </c>
      <c r="L1740">
        <v>5.41E-5</v>
      </c>
      <c r="M1740">
        <v>5.5948999999999999E-2</v>
      </c>
      <c r="N1740">
        <v>5.41E-5</v>
      </c>
      <c r="O1740" t="s">
        <v>2833</v>
      </c>
      <c r="P1740" t="s">
        <v>2833</v>
      </c>
      <c r="Q1740" t="s">
        <v>2833</v>
      </c>
      <c r="R1740">
        <f ca="1">RAND()*(Validation[[#This Row],[Range1_High]]-Validation[[#This Row],[Range1_Low]])+Validation[[#This Row],[Range1_Low]]</f>
        <v>730.00061359998551</v>
      </c>
      <c r="S1740">
        <f>Validation[[#This Row],[Range2_High]]</f>
        <v>0</v>
      </c>
      <c r="T1740" t="str" cm="1">
        <f t="array" aca="1" ref="T1740" ca="1">RoundToTwoSigFigs(Validation[[#This Row],[Test Reading]]*Validation[[#This Row],[Mult]]+Validation[[#This Row],[Base]]) &amp;" "&amp;Validation[[#This Row],[Uncert_Units]]</f>
        <v>0.095 Hz</v>
      </c>
      <c r="U17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Hz</v>
      </c>
      <c r="V1740" t="b">
        <f ca="1">Validation[[#This Row],[Desired Result]]=Validation[[#This Row],[Result]]</f>
        <v>1</v>
      </c>
      <c r="W1740" t="b">
        <v>1</v>
      </c>
      <c r="X1740" t="b">
        <f>Validation[[#This Row],[Range1_Low]]&gt;=Validation[[#This Row],[Range1_High]]</f>
        <v>0</v>
      </c>
      <c r="Y1740" s="111" t="s">
        <v>2843</v>
      </c>
    </row>
    <row r="1741" spans="1:25" ht="16.5" thickTop="1" thickBot="1" x14ac:dyDescent="0.3">
      <c r="A1741" t="s">
        <v>55</v>
      </c>
      <c r="B1741" t="s">
        <v>17</v>
      </c>
      <c r="C1741">
        <v>1000000</v>
      </c>
      <c r="D1741">
        <v>10000000</v>
      </c>
      <c r="E1741">
        <v>100000</v>
      </c>
      <c r="F1741" t="s">
        <v>9</v>
      </c>
      <c r="G1741" t="s">
        <v>9</v>
      </c>
      <c r="H1741">
        <v>0</v>
      </c>
      <c r="I1741">
        <v>0</v>
      </c>
      <c r="J1741" t="s">
        <v>2833</v>
      </c>
      <c r="K1741">
        <v>57.734000000000002</v>
      </c>
      <c r="L1741">
        <v>1.5900000000000001E-9</v>
      </c>
      <c r="M1741">
        <v>57.72</v>
      </c>
      <c r="N1741">
        <v>1.5900000000000001E-9</v>
      </c>
      <c r="O1741" t="s">
        <v>2833</v>
      </c>
      <c r="P1741" t="s">
        <v>2833</v>
      </c>
      <c r="Q1741" t="s">
        <v>2833</v>
      </c>
      <c r="R1741">
        <f ca="1">RAND()*(Validation[[#This Row],[Range1_High]]-Validation[[#This Row],[Range1_Low]])+Validation[[#This Row],[Range1_Low]]</f>
        <v>8639286.435146559</v>
      </c>
      <c r="S1741">
        <f>Validation[[#This Row],[Range2_High]]</f>
        <v>0</v>
      </c>
      <c r="T1741" t="str" cm="1">
        <f t="array" aca="1" ref="T1741" ca="1">RoundToTwoSigFigs(Validation[[#This Row],[Test Reading]]*Validation[[#This Row],[Mult]]+Validation[[#This Row],[Base]]) &amp;" "&amp;Validation[[#This Row],[Uncert_Units]]</f>
        <v>58 Hz</v>
      </c>
      <c r="U17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V1741" t="b">
        <f ca="1">Validation[[#This Row],[Desired Result]]=Validation[[#This Row],[Result]]</f>
        <v>1</v>
      </c>
      <c r="W1741" t="b">
        <v>0</v>
      </c>
      <c r="X1741" t="b">
        <f>Validation[[#This Row],[Range1_Low]]&gt;=Validation[[#This Row],[Range1_High]]</f>
        <v>0</v>
      </c>
      <c r="Y1741" s="111" t="s">
        <v>2845</v>
      </c>
    </row>
    <row r="1742" spans="1:25" ht="16.5" thickTop="1" thickBot="1" x14ac:dyDescent="0.3">
      <c r="A1742" t="s">
        <v>54</v>
      </c>
      <c r="B1742" t="s">
        <v>17</v>
      </c>
      <c r="C1742" s="113">
        <v>1200000</v>
      </c>
      <c r="D1742" s="113">
        <v>2000000</v>
      </c>
      <c r="E1742">
        <v>100</v>
      </c>
      <c r="F1742" t="s">
        <v>9</v>
      </c>
      <c r="G1742" t="s">
        <v>10</v>
      </c>
      <c r="H1742">
        <v>0</v>
      </c>
      <c r="I1742">
        <v>0</v>
      </c>
      <c r="J1742" t="s">
        <v>2833</v>
      </c>
      <c r="K1742">
        <v>0.43</v>
      </c>
      <c r="L1742">
        <v>1.2999999999999999E-4</v>
      </c>
      <c r="M1742">
        <v>-0.35824</v>
      </c>
      <c r="N1742">
        <v>3.6326000000000002E-4</v>
      </c>
      <c r="O1742" t="s">
        <v>2833</v>
      </c>
      <c r="P1742" t="s">
        <v>2833</v>
      </c>
      <c r="Q1742" t="s">
        <v>2833</v>
      </c>
      <c r="R1742">
        <f ca="1">RAND()*(Validation[[#This Row],[Range1_High]]-Validation[[#This Row],[Range1_Low]])+Validation[[#This Row],[Range1_Low]]</f>
        <v>1501606.6371817458</v>
      </c>
      <c r="S1742">
        <f>Validation[[#This Row],[Range2_High]]</f>
        <v>0</v>
      </c>
      <c r="T1742" t="str" cm="1">
        <f t="array" aca="1" ref="T1742" ca="1">RoundToTwoSigFigs(Validation[[#This Row],[Test Reading]]*Validation[[#This Row],[Mult]]+Validation[[#This Row],[Base]]) &amp;" "&amp;Validation[[#This Row],[Uncert_Units]]</f>
        <v>200 kHz</v>
      </c>
      <c r="U17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kHz</v>
      </c>
      <c r="V1742" t="b">
        <f ca="1">Validation[[#This Row],[Desired Result]]=Validation[[#This Row],[Result]]</f>
        <v>1</v>
      </c>
      <c r="W1742" t="b">
        <v>1</v>
      </c>
      <c r="X1742" t="b">
        <f>Validation[[#This Row],[Range1_Low]]&gt;=Validation[[#This Row],[Range1_High]]</f>
        <v>0</v>
      </c>
      <c r="Y1742" s="111" t="s">
        <v>2843</v>
      </c>
    </row>
    <row r="1743" spans="1:25" ht="16.5" thickTop="1" thickBot="1" x14ac:dyDescent="0.3">
      <c r="A1743" t="s">
        <v>55</v>
      </c>
      <c r="B1743" t="s">
        <v>17</v>
      </c>
      <c r="C1743" s="113">
        <v>40</v>
      </c>
      <c r="D1743" s="113">
        <v>1000</v>
      </c>
      <c r="E1743">
        <v>0.01</v>
      </c>
      <c r="F1743" t="s">
        <v>9</v>
      </c>
      <c r="G1743" t="s">
        <v>9</v>
      </c>
      <c r="H1743">
        <v>0</v>
      </c>
      <c r="I1743">
        <v>0</v>
      </c>
      <c r="J1743" t="s">
        <v>2833</v>
      </c>
      <c r="K1743">
        <v>2.6089999999999999E-5</v>
      </c>
      <c r="L1743">
        <v>1.3885E-7</v>
      </c>
      <c r="M1743">
        <v>2.5942E-5</v>
      </c>
      <c r="N1743">
        <v>1.3918000000000001E-7</v>
      </c>
      <c r="O1743" t="s">
        <v>2833</v>
      </c>
      <c r="P1743" t="s">
        <v>2833</v>
      </c>
      <c r="Q1743" t="s">
        <v>2833</v>
      </c>
      <c r="R1743">
        <f ca="1">RAND()*(Validation[[#This Row],[Range1_High]]-Validation[[#This Row],[Range1_Low]])+Validation[[#This Row],[Range1_Low]]</f>
        <v>261.80828850453395</v>
      </c>
      <c r="S1743">
        <f>Validation[[#This Row],[Range2_High]]</f>
        <v>0</v>
      </c>
      <c r="T1743" t="str" cm="1">
        <f t="array" aca="1" ref="T1743" ca="1">RoundToTwoSigFigs(Validation[[#This Row],[Test Reading]]*Validation[[#This Row],[Mult]]+Validation[[#This Row],[Base]]) &amp;" "&amp;Validation[[#This Row],[Uncert_Units]]</f>
        <v>0.000062 Hz</v>
      </c>
      <c r="U17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0.000062 Hz</v>
      </c>
      <c r="V1743" t="b">
        <f ca="1">Validation[[#This Row],[Desired Result]]=Validation[[#This Row],[Result]]</f>
        <v>1</v>
      </c>
      <c r="W1743" t="b">
        <v>1</v>
      </c>
      <c r="X1743" t="b">
        <f>Validation[[#This Row],[Range1_Low]]&gt;=Validation[[#This Row],[Range1_High]]</f>
        <v>0</v>
      </c>
      <c r="Y1743" s="111" t="s">
        <v>2843</v>
      </c>
    </row>
    <row r="1744" spans="1:25" ht="16.5" thickTop="1" thickBot="1" x14ac:dyDescent="0.3">
      <c r="A1744" t="s">
        <v>54</v>
      </c>
      <c r="B1744" t="s">
        <v>47</v>
      </c>
      <c r="C1744" s="113">
        <v>3.3E-3</v>
      </c>
      <c r="D1744" s="113">
        <v>3.3001000000000003E-2</v>
      </c>
      <c r="E1744">
        <v>1E-4</v>
      </c>
      <c r="F1744" t="s">
        <v>13</v>
      </c>
      <c r="G1744" t="s">
        <v>11</v>
      </c>
      <c r="H1744">
        <v>1</v>
      </c>
      <c r="I1744">
        <v>5.01</v>
      </c>
      <c r="J1744" t="s">
        <v>10</v>
      </c>
      <c r="K1744">
        <v>577.28</v>
      </c>
      <c r="L1744">
        <v>30.67</v>
      </c>
      <c r="M1744">
        <v>577.28</v>
      </c>
      <c r="N1744">
        <v>30.611999999999998</v>
      </c>
      <c r="O1744" t="s">
        <v>2833</v>
      </c>
      <c r="P1744" t="s">
        <v>2833</v>
      </c>
      <c r="Q1744" t="s">
        <v>2833</v>
      </c>
      <c r="R1744">
        <f ca="1">RAND()*(Validation[[#This Row],[Range1_High]]-Validation[[#This Row],[Range1_Low]])+Validation[[#This Row],[Range1_Low]]</f>
        <v>1.9817093229609888E-2</v>
      </c>
      <c r="S1744">
        <f>Validation[[#This Row],[Range2_High]]</f>
        <v>5.01</v>
      </c>
      <c r="T1744" t="str" cm="1">
        <f t="array" aca="1" ref="T1744" ca="1">RoundToTwoSigFigs(Validation[[#This Row],[Test Reading]]*Validation[[#This Row],[Mult]]+Validation[[#This Row],[Base]]) &amp;" "&amp;Validation[[#This Row],[Uncert_Units]]</f>
        <v>580 µA</v>
      </c>
      <c r="U17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744" t="b">
        <f ca="1">Validation[[#This Row],[Desired Result]]=Validation[[#This Row],[Result]]</f>
        <v>1</v>
      </c>
      <c r="W1744" t="b">
        <v>1</v>
      </c>
      <c r="X1744" t="b">
        <f>Validation[[#This Row],[Range1_Low]]&gt;=Validation[[#This Row],[Range1_High]]</f>
        <v>0</v>
      </c>
      <c r="Y1744" s="111" t="s">
        <v>2843</v>
      </c>
    </row>
    <row r="1745" spans="1:25" ht="16.5" thickTop="1" thickBot="1" x14ac:dyDescent="0.3">
      <c r="A1745" t="s">
        <v>55</v>
      </c>
      <c r="B1745" t="s">
        <v>47</v>
      </c>
      <c r="C1745" s="113">
        <v>10</v>
      </c>
      <c r="D1745" s="113">
        <v>20</v>
      </c>
      <c r="E1745">
        <v>0.01</v>
      </c>
      <c r="F1745" t="s">
        <v>13</v>
      </c>
      <c r="G1745" t="s">
        <v>12</v>
      </c>
      <c r="H1745">
        <v>1</v>
      </c>
      <c r="I1745">
        <v>5</v>
      </c>
      <c r="J1745" t="s">
        <v>10</v>
      </c>
      <c r="K1745">
        <v>0.21</v>
      </c>
      <c r="L1745">
        <v>0.94</v>
      </c>
      <c r="M1745">
        <v>3.81</v>
      </c>
      <c r="N1745">
        <v>0.57899999999999996</v>
      </c>
      <c r="O1745" t="s">
        <v>2833</v>
      </c>
      <c r="P1745" t="s">
        <v>2833</v>
      </c>
      <c r="Q1745" t="s">
        <v>2833</v>
      </c>
      <c r="R1745">
        <f ca="1">RAND()*(Validation[[#This Row],[Range1_High]]-Validation[[#This Row],[Range1_Low]])+Validation[[#This Row],[Range1_Low]]</f>
        <v>18.509635851425351</v>
      </c>
      <c r="S1745">
        <f>Validation[[#This Row],[Range2_High]]</f>
        <v>5</v>
      </c>
      <c r="T1745" t="str" cm="1">
        <f t="array" aca="1" ref="T1745" ca="1">RoundToTwoSigFigs(Validation[[#This Row],[Test Reading]]*Validation[[#This Row],[Mult]]+Validation[[#This Row],[Base]]) &amp;" "&amp;Validation[[#This Row],[Uncert_Units]]</f>
        <v>18 mA</v>
      </c>
      <c r="U17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V1745" t="b">
        <f ca="1">Validation[[#This Row],[Desired Result]]=Validation[[#This Row],[Result]]</f>
        <v>1</v>
      </c>
      <c r="W1745" t="b">
        <v>1</v>
      </c>
      <c r="X1745" t="b">
        <f>Validation[[#This Row],[Range1_Low]]&gt;=Validation[[#This Row],[Range1_High]]</f>
        <v>0</v>
      </c>
      <c r="Y1745" s="111" t="s">
        <v>2843</v>
      </c>
    </row>
    <row r="1746" spans="1:25" ht="16.5" thickTop="1" thickBot="1" x14ac:dyDescent="0.3">
      <c r="A1746" t="s">
        <v>55</v>
      </c>
      <c r="B1746" t="s">
        <v>47</v>
      </c>
      <c r="C1746" s="113">
        <v>0.1</v>
      </c>
      <c r="D1746" s="113">
        <v>1</v>
      </c>
      <c r="E1746">
        <v>1E-3</v>
      </c>
      <c r="F1746" t="s">
        <v>13</v>
      </c>
      <c r="G1746" t="s">
        <v>12</v>
      </c>
      <c r="H1746">
        <v>4.4999999999999998E-2</v>
      </c>
      <c r="I1746">
        <v>0.1</v>
      </c>
      <c r="J1746" t="s">
        <v>10</v>
      </c>
      <c r="K1746">
        <v>0.59375999999999995</v>
      </c>
      <c r="L1746">
        <v>0.70043999999999995</v>
      </c>
      <c r="M1746">
        <v>0.59214999999999995</v>
      </c>
      <c r="N1746">
        <v>0.69986000000000004</v>
      </c>
      <c r="O1746" t="s">
        <v>2833</v>
      </c>
      <c r="P1746" t="s">
        <v>2833</v>
      </c>
      <c r="Q1746" t="s">
        <v>2833</v>
      </c>
      <c r="R1746">
        <f ca="1">RAND()*(Validation[[#This Row],[Range1_High]]-Validation[[#This Row],[Range1_Low]])+Validation[[#This Row],[Range1_Low]]</f>
        <v>0.22146002166172768</v>
      </c>
      <c r="S1746">
        <f>Validation[[#This Row],[Range2_High]]</f>
        <v>0.1</v>
      </c>
      <c r="T1746" t="str" cm="1">
        <f t="array" aca="1" ref="T1746" ca="1">RoundToTwoSigFigs(Validation[[#This Row],[Test Reading]]*Validation[[#This Row],[Mult]]+Validation[[#This Row],[Base]]) &amp;" "&amp;Validation[[#This Row],[Uncert_Units]]</f>
        <v>0.75 mA</v>
      </c>
      <c r="U17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mA</v>
      </c>
      <c r="V1746" t="b">
        <f ca="1">Validation[[#This Row],[Desired Result]]=Validation[[#This Row],[Result]]</f>
        <v>1</v>
      </c>
      <c r="W1746" t="b">
        <v>1</v>
      </c>
      <c r="X1746" t="b">
        <f>Validation[[#This Row],[Range1_Low]]&gt;=Validation[[#This Row],[Range1_High]]</f>
        <v>0</v>
      </c>
      <c r="Y1746" s="111" t="s">
        <v>2843</v>
      </c>
    </row>
    <row r="1747" spans="1:25" ht="16.5" thickTop="1" thickBot="1" x14ac:dyDescent="0.3">
      <c r="A1747" t="s">
        <v>54</v>
      </c>
      <c r="B1747" t="s">
        <v>47</v>
      </c>
      <c r="C1747">
        <v>0</v>
      </c>
      <c r="D1747">
        <v>3.3000999999999999E-4</v>
      </c>
      <c r="E1747">
        <v>1E-4</v>
      </c>
      <c r="F1747" t="s">
        <v>13</v>
      </c>
      <c r="G1747" t="s">
        <v>11</v>
      </c>
      <c r="H1747">
        <v>4.4999999999999998E-2</v>
      </c>
      <c r="I1747">
        <v>1.0000100000000001</v>
      </c>
      <c r="J1747" t="s">
        <v>10</v>
      </c>
      <c r="K1747">
        <v>57.735999999999997</v>
      </c>
      <c r="L1747">
        <v>9.5875000000000004</v>
      </c>
      <c r="M1747">
        <v>57.734999999999999</v>
      </c>
      <c r="N1747">
        <v>9.3679000000000006</v>
      </c>
      <c r="O1747" t="s">
        <v>2833</v>
      </c>
      <c r="P1747" t="s">
        <v>2833</v>
      </c>
      <c r="Q1747" t="s">
        <v>2833</v>
      </c>
      <c r="R1747">
        <f ca="1">RAND()*(Validation[[#This Row],[Range1_High]]-Validation[[#This Row],[Range1_Low]])+Validation[[#This Row],[Range1_Low]]</f>
        <v>1.678968683127072E-4</v>
      </c>
      <c r="S1747">
        <f>Validation[[#This Row],[Range2_High]]</f>
        <v>1.0000100000000001</v>
      </c>
      <c r="T1747" t="str" cm="1">
        <f t="array" aca="1" ref="T1747" ca="1">RoundToTwoSigFigs(Validation[[#This Row],[Test Reading]]*Validation[[#This Row],[Mult]]+Validation[[#This Row],[Base]]) &amp;" "&amp;Validation[[#This Row],[Uncert_Units]]</f>
        <v>58 µA</v>
      </c>
      <c r="U17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747" t="b">
        <f ca="1">Validation[[#This Row],[Desired Result]]=Validation[[#This Row],[Result]]</f>
        <v>1</v>
      </c>
      <c r="W1747" t="b">
        <v>0</v>
      </c>
      <c r="X1747" t="b">
        <f>Validation[[#This Row],[Range1_Low]]&gt;=Validation[[#This Row],[Range1_High]]</f>
        <v>0</v>
      </c>
      <c r="Y1747" s="111" t="s">
        <v>2845</v>
      </c>
    </row>
    <row r="1748" spans="1:25" ht="16.5" thickTop="1" thickBot="1" x14ac:dyDescent="0.3">
      <c r="A1748" t="s">
        <v>55</v>
      </c>
      <c r="B1748" t="s">
        <v>47</v>
      </c>
      <c r="C1748" s="113">
        <v>10</v>
      </c>
      <c r="D1748" s="113">
        <v>20</v>
      </c>
      <c r="E1748">
        <v>1.0000000000000001E-5</v>
      </c>
      <c r="F1748" t="s">
        <v>13</v>
      </c>
      <c r="G1748" t="s">
        <v>12</v>
      </c>
      <c r="H1748">
        <v>1E-3</v>
      </c>
      <c r="I1748">
        <v>0.05</v>
      </c>
      <c r="J1748" t="s">
        <v>10</v>
      </c>
      <c r="K1748">
        <v>0.92</v>
      </c>
      <c r="L1748">
        <v>0.49</v>
      </c>
      <c r="M1748">
        <v>4.6374000000000004</v>
      </c>
      <c r="N1748">
        <v>8.1764000000000003E-2</v>
      </c>
      <c r="O1748" t="s">
        <v>2833</v>
      </c>
      <c r="P1748" t="s">
        <v>2833</v>
      </c>
      <c r="Q1748" t="s">
        <v>2833</v>
      </c>
      <c r="R1748">
        <f ca="1">RAND()*(Validation[[#This Row],[Range1_High]]-Validation[[#This Row],[Range1_Low]])+Validation[[#This Row],[Range1_Low]]</f>
        <v>12.214273904749582</v>
      </c>
      <c r="S1748">
        <f>Validation[[#This Row],[Range2_High]]</f>
        <v>0.05</v>
      </c>
      <c r="T1748" t="str" cm="1">
        <f t="array" aca="1" ref="T1748" ca="1">RoundToTwoSigFigs(Validation[[#This Row],[Test Reading]]*Validation[[#This Row],[Mult]]+Validation[[#This Row],[Base]]) &amp;" "&amp;Validation[[#This Row],[Uncert_Units]]</f>
        <v>6.9 mA</v>
      </c>
      <c r="U17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V1748" t="b">
        <f ca="1">Validation[[#This Row],[Desired Result]]=Validation[[#This Row],[Result]]</f>
        <v>0</v>
      </c>
      <c r="W1748" t="b">
        <v>1</v>
      </c>
      <c r="X1748" t="b">
        <f>Validation[[#This Row],[Range1_Low]]&gt;=Validation[[#This Row],[Range1_High]]</f>
        <v>0</v>
      </c>
      <c r="Y1748" s="111" t="s">
        <v>2843</v>
      </c>
    </row>
    <row r="1749" spans="1:25" ht="16.5" thickTop="1" thickBot="1" x14ac:dyDescent="0.3">
      <c r="A1749" t="s">
        <v>55</v>
      </c>
      <c r="B1749" t="s">
        <v>47</v>
      </c>
      <c r="C1749" s="113">
        <v>1</v>
      </c>
      <c r="D1749" s="113">
        <v>10</v>
      </c>
      <c r="E1749">
        <v>1E-4</v>
      </c>
      <c r="F1749" t="s">
        <v>13</v>
      </c>
      <c r="G1749" t="s">
        <v>12</v>
      </c>
      <c r="H1749">
        <v>0.05</v>
      </c>
      <c r="I1749">
        <v>1</v>
      </c>
      <c r="J1749" t="s">
        <v>10</v>
      </c>
      <c r="K1749">
        <v>0.46</v>
      </c>
      <c r="L1749">
        <v>0.16805999999999999</v>
      </c>
      <c r="M1749">
        <v>0.50268999999999997</v>
      </c>
      <c r="N1749">
        <v>0.12039</v>
      </c>
      <c r="O1749" t="s">
        <v>2833</v>
      </c>
      <c r="P1749" t="s">
        <v>2833</v>
      </c>
      <c r="Q1749" t="s">
        <v>2833</v>
      </c>
      <c r="R1749">
        <f ca="1">RAND()*(Validation[[#This Row],[Range1_High]]-Validation[[#This Row],[Range1_Low]])+Validation[[#This Row],[Range1_Low]]</f>
        <v>4.7245214697711884</v>
      </c>
      <c r="S1749">
        <f>Validation[[#This Row],[Range2_High]]</f>
        <v>1</v>
      </c>
      <c r="T1749" t="str" cm="1">
        <f t="array" aca="1" ref="T1749" ca="1">RoundToTwoSigFigs(Validation[[#This Row],[Test Reading]]*Validation[[#This Row],[Mult]]+Validation[[#This Row],[Base]]) &amp;" "&amp;Validation[[#This Row],[Uncert_Units]]</f>
        <v>1.3 mA</v>
      </c>
      <c r="U17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V1749" t="b">
        <f ca="1">Validation[[#This Row],[Desired Result]]=Validation[[#This Row],[Result]]</f>
        <v>1</v>
      </c>
      <c r="W1749" t="b">
        <v>1</v>
      </c>
      <c r="X1749" t="b">
        <f>Validation[[#This Row],[Range1_Low]]&gt;=Validation[[#This Row],[Range1_High]]</f>
        <v>0</v>
      </c>
      <c r="Y1749" s="111" t="s">
        <v>2843</v>
      </c>
    </row>
    <row r="1750" spans="1:25" ht="16.5" thickTop="1" thickBot="1" x14ac:dyDescent="0.3">
      <c r="A1750" t="s">
        <v>55</v>
      </c>
      <c r="B1750" t="s">
        <v>47</v>
      </c>
      <c r="C1750" s="113">
        <v>10</v>
      </c>
      <c r="D1750" s="113">
        <v>20</v>
      </c>
      <c r="E1750">
        <v>0.01</v>
      </c>
      <c r="F1750" t="s">
        <v>13</v>
      </c>
      <c r="G1750" t="s">
        <v>12</v>
      </c>
      <c r="H1750">
        <v>1E-3</v>
      </c>
      <c r="I1750">
        <v>0.05</v>
      </c>
      <c r="J1750" t="s">
        <v>10</v>
      </c>
      <c r="K1750">
        <v>5.1798999999999999</v>
      </c>
      <c r="L1750">
        <v>0.27700999999999998</v>
      </c>
      <c r="M1750">
        <v>7.3621999999999996</v>
      </c>
      <c r="N1750">
        <v>5.8217999999999999E-2</v>
      </c>
      <c r="O1750" t="s">
        <v>2833</v>
      </c>
      <c r="P1750" t="s">
        <v>2833</v>
      </c>
      <c r="Q1750" t="s">
        <v>2833</v>
      </c>
      <c r="R1750">
        <f ca="1">RAND()*(Validation[[#This Row],[Range1_High]]-Validation[[#This Row],[Range1_Low]])+Validation[[#This Row],[Range1_Low]]</f>
        <v>17.626005958902233</v>
      </c>
      <c r="S1750">
        <f>Validation[[#This Row],[Range2_High]]</f>
        <v>0.05</v>
      </c>
      <c r="T1750" t="str" cm="1">
        <f t="array" aca="1" ref="T1750" ca="1">RoundToTwoSigFigs(Validation[[#This Row],[Test Reading]]*Validation[[#This Row],[Mult]]+Validation[[#This Row],[Base]]) &amp;" "&amp;Validation[[#This Row],[Uncert_Units]]</f>
        <v>10 mA</v>
      </c>
      <c r="U17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V1750" t="b">
        <f ca="1">Validation[[#This Row],[Desired Result]]=Validation[[#This Row],[Result]]</f>
        <v>1</v>
      </c>
      <c r="W1750" t="b">
        <v>1</v>
      </c>
      <c r="X1750" t="b">
        <f>Validation[[#This Row],[Range1_Low]]&gt;=Validation[[#This Row],[Range1_High]]</f>
        <v>0</v>
      </c>
      <c r="Y1750" s="111" t="s">
        <v>2843</v>
      </c>
    </row>
    <row r="1751" spans="1:25" ht="16.5" thickTop="1" thickBot="1" x14ac:dyDescent="0.3">
      <c r="A1751" t="s">
        <v>55</v>
      </c>
      <c r="B1751" t="s">
        <v>47</v>
      </c>
      <c r="C1751">
        <v>1</v>
      </c>
      <c r="D1751">
        <v>10</v>
      </c>
      <c r="E1751">
        <v>0.1</v>
      </c>
      <c r="F1751" t="s">
        <v>13</v>
      </c>
      <c r="G1751" t="s">
        <v>12</v>
      </c>
      <c r="H1751">
        <v>0.05</v>
      </c>
      <c r="I1751">
        <v>1</v>
      </c>
      <c r="J1751" t="s">
        <v>10</v>
      </c>
      <c r="K1751">
        <v>57.74</v>
      </c>
      <c r="L1751">
        <v>2.428E-3</v>
      </c>
      <c r="M1751">
        <v>57.737000000000002</v>
      </c>
      <c r="N1751">
        <v>2.4282000000000001E-3</v>
      </c>
      <c r="O1751" t="s">
        <v>2833</v>
      </c>
      <c r="P1751" t="s">
        <v>2833</v>
      </c>
      <c r="Q1751" t="s">
        <v>2833</v>
      </c>
      <c r="R1751">
        <f ca="1">RAND()*(Validation[[#This Row],[Range1_High]]-Validation[[#This Row],[Range1_Low]])+Validation[[#This Row],[Range1_Low]]</f>
        <v>2.6087874139814717</v>
      </c>
      <c r="S1751">
        <f>Validation[[#This Row],[Range2_High]]</f>
        <v>1</v>
      </c>
      <c r="T1751" t="str" cm="1">
        <f t="array" aca="1" ref="T1751" ca="1">RoundToTwoSigFigs(Validation[[#This Row],[Test Reading]]*Validation[[#This Row],[Mult]]+Validation[[#This Row],[Base]]) &amp;" "&amp;Validation[[#This Row],[Uncert_Units]]</f>
        <v>58 mA</v>
      </c>
      <c r="U17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1751" t="b">
        <f ca="1">Validation[[#This Row],[Desired Result]]=Validation[[#This Row],[Result]]</f>
        <v>1</v>
      </c>
      <c r="W1751" t="b">
        <v>0</v>
      </c>
      <c r="X1751" t="b">
        <f>Validation[[#This Row],[Range1_Low]]&gt;=Validation[[#This Row],[Range1_High]]</f>
        <v>0</v>
      </c>
      <c r="Y1751" s="111" t="s">
        <v>2845</v>
      </c>
    </row>
    <row r="1752" spans="1:25" ht="16.5" thickTop="1" thickBot="1" x14ac:dyDescent="0.3">
      <c r="A1752" t="s">
        <v>55</v>
      </c>
      <c r="B1752" t="s">
        <v>47</v>
      </c>
      <c r="C1752" s="113">
        <v>1</v>
      </c>
      <c r="D1752" s="113">
        <v>10</v>
      </c>
      <c r="E1752">
        <v>1.0000000000000001E-5</v>
      </c>
      <c r="F1752" t="s">
        <v>13</v>
      </c>
      <c r="G1752" t="s">
        <v>12</v>
      </c>
      <c r="H1752">
        <v>1</v>
      </c>
      <c r="I1752">
        <v>5</v>
      </c>
      <c r="J1752" t="s">
        <v>10</v>
      </c>
      <c r="K1752">
        <v>1.4</v>
      </c>
      <c r="L1752">
        <v>0.66</v>
      </c>
      <c r="M1752">
        <v>1.3260000000000001</v>
      </c>
      <c r="N1752">
        <v>0.66217999999999999</v>
      </c>
      <c r="O1752" t="s">
        <v>2833</v>
      </c>
      <c r="P1752" t="s">
        <v>2833</v>
      </c>
      <c r="Q1752" t="s">
        <v>2833</v>
      </c>
      <c r="R1752">
        <f ca="1">RAND()*(Validation[[#This Row],[Range1_High]]-Validation[[#This Row],[Range1_Low]])+Validation[[#This Row],[Range1_Low]]</f>
        <v>5.873007616709824</v>
      </c>
      <c r="S1752">
        <f>Validation[[#This Row],[Range2_High]]</f>
        <v>5</v>
      </c>
      <c r="T1752" t="str" cm="1">
        <f t="array" aca="1" ref="T1752" ca="1">RoundToTwoSigFigs(Validation[[#This Row],[Test Reading]]*Validation[[#This Row],[Mult]]+Validation[[#This Row],[Base]]) &amp;" "&amp;Validation[[#This Row],[Uncert_Units]]</f>
        <v>5.3 mA</v>
      </c>
      <c r="U17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V1752" t="b">
        <f ca="1">Validation[[#This Row],[Desired Result]]=Validation[[#This Row],[Result]]</f>
        <v>1</v>
      </c>
      <c r="W1752" t="b">
        <v>1</v>
      </c>
      <c r="X1752" t="b">
        <f>Validation[[#This Row],[Range1_Low]]&gt;=Validation[[#This Row],[Range1_High]]</f>
        <v>0</v>
      </c>
      <c r="Y1752" s="111" t="s">
        <v>2843</v>
      </c>
    </row>
    <row r="1753" spans="1:25" ht="16.5" thickTop="1" thickBot="1" x14ac:dyDescent="0.3">
      <c r="A1753" t="s">
        <v>54</v>
      </c>
      <c r="B1753" t="s">
        <v>47</v>
      </c>
      <c r="C1753" s="113">
        <v>0.33</v>
      </c>
      <c r="D1753" s="113">
        <v>1.1000099999999999</v>
      </c>
      <c r="E1753">
        <v>1E-3</v>
      </c>
      <c r="F1753" t="s">
        <v>13</v>
      </c>
      <c r="G1753" t="s">
        <v>12</v>
      </c>
      <c r="H1753">
        <v>1</v>
      </c>
      <c r="I1753">
        <v>5.01</v>
      </c>
      <c r="J1753" t="s">
        <v>10</v>
      </c>
      <c r="K1753">
        <v>1.2163999999999999</v>
      </c>
      <c r="L1753">
        <v>6.8902999999999999</v>
      </c>
      <c r="M1753">
        <v>1.2155</v>
      </c>
      <c r="N1753">
        <v>6.8903999999999996</v>
      </c>
      <c r="O1753" t="s">
        <v>2833</v>
      </c>
      <c r="P1753" t="s">
        <v>2833</v>
      </c>
      <c r="Q1753" t="s">
        <v>2833</v>
      </c>
      <c r="R1753">
        <f ca="1">RAND()*(Validation[[#This Row],[Range1_High]]-Validation[[#This Row],[Range1_Low]])+Validation[[#This Row],[Range1_Low]]</f>
        <v>1.0839980633013595</v>
      </c>
      <c r="S1753">
        <f>Validation[[#This Row],[Range2_High]]</f>
        <v>5.01</v>
      </c>
      <c r="T1753" t="str" cm="1">
        <f t="array" aca="1" ref="T1753" ca="1">RoundToTwoSigFigs(Validation[[#This Row],[Test Reading]]*Validation[[#This Row],[Mult]]+Validation[[#This Row],[Base]]) &amp;" "&amp;Validation[[#This Row],[Uncert_Units]]</f>
        <v>8.7 mA</v>
      </c>
      <c r="U17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V1753" t="b">
        <f ca="1">Validation[[#This Row],[Desired Result]]=Validation[[#This Row],[Result]]</f>
        <v>1</v>
      </c>
      <c r="W1753" t="b">
        <v>1</v>
      </c>
      <c r="X1753" t="b">
        <f>Validation[[#This Row],[Range1_Low]]&gt;=Validation[[#This Row],[Range1_High]]</f>
        <v>0</v>
      </c>
      <c r="Y1753" s="111" t="s">
        <v>2843</v>
      </c>
    </row>
    <row r="1754" spans="1:25" ht="15.75" thickTop="1" x14ac:dyDescent="0.25">
      <c r="A1754" t="s">
        <v>54</v>
      </c>
      <c r="B1754" t="s">
        <v>47</v>
      </c>
      <c r="C1754">
        <v>0</v>
      </c>
      <c r="D1754">
        <v>3.3000999999999999E-4</v>
      </c>
      <c r="E1754">
        <v>1E-8</v>
      </c>
      <c r="F1754" t="s">
        <v>13</v>
      </c>
      <c r="G1754" t="s">
        <v>11</v>
      </c>
      <c r="H1754">
        <v>1</v>
      </c>
      <c r="I1754">
        <v>5.01</v>
      </c>
      <c r="J1754" t="s">
        <v>10</v>
      </c>
      <c r="K1754">
        <v>0.18</v>
      </c>
      <c r="L1754">
        <v>3500</v>
      </c>
      <c r="M1754">
        <v>0.17344000000000001</v>
      </c>
      <c r="N1754">
        <v>3463.7</v>
      </c>
      <c r="O1754" t="s">
        <v>2833</v>
      </c>
      <c r="P1754" t="s">
        <v>2833</v>
      </c>
      <c r="Q1754" t="s">
        <v>2833</v>
      </c>
      <c r="R1754">
        <f ca="1">RAND()*(Validation[[#This Row],[Range1_High]]-Validation[[#This Row],[Range1_Low]])+Validation[[#This Row],[Range1_Low]]</f>
        <v>1.511455571339436E-4</v>
      </c>
      <c r="S1754">
        <f>Validation[[#This Row],[Range2_High]]</f>
        <v>5.01</v>
      </c>
      <c r="T1754" t="str" cm="1">
        <f t="array" aca="1" ref="T1754" ca="1">RoundToTwoSigFigs(Validation[[#This Row],[Test Reading]]*Validation[[#This Row],[Mult]]+Validation[[#This Row],[Base]]) &amp;" "&amp;Validation[[#This Row],[Uncert_Units]]</f>
        <v>0.71 µA</v>
      </c>
      <c r="U17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V1754" t="b">
        <f ca="1">Validation[[#This Row],[Desired Result]]=Validation[[#This Row],[Result]]</f>
        <v>1</v>
      </c>
      <c r="W1754" t="b">
        <v>1</v>
      </c>
      <c r="X1754" t="b">
        <f>Validation[[#This Row],[Range1_Low]]&gt;=Validation[[#This Row],[Range1_High]]</f>
        <v>0</v>
      </c>
      <c r="Y1754" s="111" t="s">
        <v>2845</v>
      </c>
    </row>
    <row r="1755" spans="1:25" ht="15.75" thickBot="1" x14ac:dyDescent="0.3">
      <c r="A1755" t="s">
        <v>55</v>
      </c>
      <c r="B1755" t="s">
        <v>47</v>
      </c>
      <c r="C1755">
        <v>1E-4</v>
      </c>
      <c r="D1755">
        <v>1E-3</v>
      </c>
      <c r="E1755">
        <v>9.9999999999999995E-7</v>
      </c>
      <c r="F1755" t="s">
        <v>13</v>
      </c>
      <c r="G1755" t="s">
        <v>11</v>
      </c>
      <c r="H1755">
        <v>50</v>
      </c>
      <c r="I1755">
        <v>100</v>
      </c>
      <c r="J1755" t="s">
        <v>10</v>
      </c>
      <c r="K1755">
        <v>5.8456000000000001</v>
      </c>
      <c r="L1755">
        <v>4362.3</v>
      </c>
      <c r="M1755">
        <v>5.8320999999999996</v>
      </c>
      <c r="N1755">
        <v>4309.3</v>
      </c>
      <c r="O1755" t="s">
        <v>2833</v>
      </c>
      <c r="P1755" t="s">
        <v>2833</v>
      </c>
      <c r="Q1755" t="s">
        <v>2833</v>
      </c>
      <c r="R1755">
        <f ca="1">RAND()*(Validation[[#This Row],[Range1_High]]-Validation[[#This Row],[Range1_Low]])+Validation[[#This Row],[Range1_Low]]</f>
        <v>3.5266334633714952E-4</v>
      </c>
      <c r="S1755">
        <f>Validation[[#This Row],[Range2_High]]</f>
        <v>100</v>
      </c>
      <c r="T1755" t="str" cm="1">
        <f t="array" aca="1" ref="T1755" ca="1">RoundToTwoSigFigs(Validation[[#This Row],[Test Reading]]*Validation[[#This Row],[Mult]]+Validation[[#This Row],[Base]]) &amp;" "&amp;Validation[[#This Row],[Uncert_Units]]</f>
        <v>7.4 µA</v>
      </c>
      <c r="U17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V1755" t="b">
        <f ca="1">Validation[[#This Row],[Desired Result]]=Validation[[#This Row],[Result]]</f>
        <v>1</v>
      </c>
      <c r="W1755" t="b">
        <v>0</v>
      </c>
      <c r="X1755" t="b">
        <f>Validation[[#This Row],[Range1_Low]]&gt;=Validation[[#This Row],[Range1_High]]</f>
        <v>0</v>
      </c>
      <c r="Y1755" s="111" t="s">
        <v>2845</v>
      </c>
    </row>
    <row r="1756" spans="1:25" ht="16.5" thickTop="1" thickBot="1" x14ac:dyDescent="0.3">
      <c r="A1756" t="s">
        <v>55</v>
      </c>
      <c r="B1756" t="s">
        <v>47</v>
      </c>
      <c r="C1756" s="113">
        <v>1E-4</v>
      </c>
      <c r="D1756" s="113">
        <v>1E-3</v>
      </c>
      <c r="E1756">
        <v>9.9999999999999995E-8</v>
      </c>
      <c r="F1756" t="s">
        <v>13</v>
      </c>
      <c r="G1756" t="s">
        <v>11</v>
      </c>
      <c r="H1756">
        <v>0.1</v>
      </c>
      <c r="I1756">
        <v>5</v>
      </c>
      <c r="J1756" t="s">
        <v>10</v>
      </c>
      <c r="K1756">
        <v>0.61485999999999996</v>
      </c>
      <c r="L1756">
        <v>217.08</v>
      </c>
      <c r="M1756">
        <v>0.61453999999999998</v>
      </c>
      <c r="N1756">
        <v>214.58</v>
      </c>
      <c r="O1756" t="s">
        <v>2833</v>
      </c>
      <c r="P1756" t="s">
        <v>2833</v>
      </c>
      <c r="Q1756" t="s">
        <v>2833</v>
      </c>
      <c r="R1756">
        <f ca="1">RAND()*(Validation[[#This Row],[Range1_High]]-Validation[[#This Row],[Range1_Low]])+Validation[[#This Row],[Range1_Low]]</f>
        <v>5.3307329604953874E-4</v>
      </c>
      <c r="S1756">
        <f>Validation[[#This Row],[Range2_High]]</f>
        <v>5</v>
      </c>
      <c r="T1756" t="str" cm="1">
        <f t="array" aca="1" ref="T1756" ca="1">RoundToTwoSigFigs(Validation[[#This Row],[Test Reading]]*Validation[[#This Row],[Mult]]+Validation[[#This Row],[Base]]) &amp;" "&amp;Validation[[#This Row],[Uncert_Units]]</f>
        <v>0.73 µA</v>
      </c>
      <c r="U17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V1756" t="b">
        <f ca="1">Validation[[#This Row],[Desired Result]]=Validation[[#This Row],[Result]]</f>
        <v>0</v>
      </c>
      <c r="W1756" t="b">
        <v>1</v>
      </c>
      <c r="X1756" t="b">
        <f>Validation[[#This Row],[Range1_Low]]&gt;=Validation[[#This Row],[Range1_High]]</f>
        <v>0</v>
      </c>
      <c r="Y1756" s="111" t="s">
        <v>2843</v>
      </c>
    </row>
    <row r="1757" spans="1:25" ht="16.5" thickTop="1" thickBot="1" x14ac:dyDescent="0.3">
      <c r="A1757" t="s">
        <v>55</v>
      </c>
      <c r="B1757" t="s">
        <v>47</v>
      </c>
      <c r="C1757" s="113">
        <v>1E-4</v>
      </c>
      <c r="D1757" s="113">
        <v>1E-3</v>
      </c>
      <c r="E1757">
        <v>9.9999999999999995E-8</v>
      </c>
      <c r="F1757" t="s">
        <v>13</v>
      </c>
      <c r="G1757" t="s">
        <v>11</v>
      </c>
      <c r="H1757">
        <v>1E-3</v>
      </c>
      <c r="I1757">
        <v>0.02</v>
      </c>
      <c r="J1757" t="s">
        <v>10</v>
      </c>
      <c r="K1757">
        <v>0.45989999999999998</v>
      </c>
      <c r="L1757">
        <v>4424.7</v>
      </c>
      <c r="M1757">
        <v>0.45951999999999998</v>
      </c>
      <c r="N1757">
        <v>4424.6000000000004</v>
      </c>
      <c r="O1757" t="s">
        <v>2833</v>
      </c>
      <c r="P1757" t="s">
        <v>2833</v>
      </c>
      <c r="Q1757" t="s">
        <v>2833</v>
      </c>
      <c r="R1757">
        <f ca="1">RAND()*(Validation[[#This Row],[Range1_High]]-Validation[[#This Row],[Range1_Low]])+Validation[[#This Row],[Range1_Low]]</f>
        <v>9.2222156643063642E-4</v>
      </c>
      <c r="S1757">
        <f>Validation[[#This Row],[Range2_High]]</f>
        <v>0.02</v>
      </c>
      <c r="T1757" t="str" cm="1">
        <f t="array" aca="1" ref="T1757" ca="1">RoundToTwoSigFigs(Validation[[#This Row],[Test Reading]]*Validation[[#This Row],[Mult]]+Validation[[#This Row],[Base]]) &amp;" "&amp;Validation[[#This Row],[Uncert_Units]]</f>
        <v>4.5 µA</v>
      </c>
      <c r="U17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V1757" t="b">
        <f ca="1">Validation[[#This Row],[Desired Result]]=Validation[[#This Row],[Result]]</f>
        <v>0</v>
      </c>
      <c r="W1757" t="b">
        <v>1</v>
      </c>
      <c r="X1757" t="b">
        <f>Validation[[#This Row],[Range1_Low]]&gt;=Validation[[#This Row],[Range1_High]]</f>
        <v>0</v>
      </c>
      <c r="Y1757" s="111" t="s">
        <v>2843</v>
      </c>
    </row>
    <row r="1758" spans="1:25" ht="16.5" thickTop="1" thickBot="1" x14ac:dyDescent="0.3">
      <c r="A1758" t="s">
        <v>54</v>
      </c>
      <c r="B1758" t="s">
        <v>47</v>
      </c>
      <c r="C1758">
        <v>0</v>
      </c>
      <c r="D1758">
        <v>3.3000999999999999E-4</v>
      </c>
      <c r="E1758">
        <v>1</v>
      </c>
      <c r="F1758" t="s">
        <v>13</v>
      </c>
      <c r="G1758" t="s">
        <v>11</v>
      </c>
      <c r="H1758">
        <v>10</v>
      </c>
      <c r="I1758">
        <v>30</v>
      </c>
      <c r="J1758" t="s">
        <v>10</v>
      </c>
      <c r="K1758">
        <v>577360</v>
      </c>
      <c r="L1758">
        <v>0.13289999999999999</v>
      </c>
      <c r="M1758">
        <v>577360</v>
      </c>
      <c r="N1758">
        <v>0.12089999999999999</v>
      </c>
      <c r="O1758" t="s">
        <v>2833</v>
      </c>
      <c r="P1758" t="s">
        <v>2833</v>
      </c>
      <c r="Q1758" t="s">
        <v>2833</v>
      </c>
      <c r="R1758">
        <f ca="1">RAND()*(Validation[[#This Row],[Range1_High]]-Validation[[#This Row],[Range1_Low]])+Validation[[#This Row],[Range1_Low]]</f>
        <v>2.39730866467608E-5</v>
      </c>
      <c r="S1758">
        <f>Validation[[#This Row],[Range2_High]]</f>
        <v>30</v>
      </c>
      <c r="T1758" t="str" cm="1">
        <f t="array" aca="1" ref="T1758" ca="1">RoundToTwoSigFigs(Validation[[#This Row],[Test Reading]]*Validation[[#This Row],[Mult]]+Validation[[#This Row],[Base]]) &amp;" "&amp;Validation[[#This Row],[Uncert_Units]]</f>
        <v>580000 µA</v>
      </c>
      <c r="U17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1758" t="b">
        <f ca="1">Validation[[#This Row],[Desired Result]]=Validation[[#This Row],[Result]]</f>
        <v>1</v>
      </c>
      <c r="W1758" t="b">
        <v>0</v>
      </c>
      <c r="X1758" t="b">
        <f>Validation[[#This Row],[Range1_Low]]&gt;=Validation[[#This Row],[Range1_High]]</f>
        <v>0</v>
      </c>
      <c r="Y1758" s="111" t="s">
        <v>2845</v>
      </c>
    </row>
    <row r="1759" spans="1:25" ht="16.5" thickTop="1" thickBot="1" x14ac:dyDescent="0.3">
      <c r="A1759" t="s">
        <v>55</v>
      </c>
      <c r="B1759" t="s">
        <v>47</v>
      </c>
      <c r="C1759" s="113">
        <v>0.1</v>
      </c>
      <c r="D1759" s="113">
        <v>1</v>
      </c>
      <c r="E1759">
        <v>9.9999999999999995E-7</v>
      </c>
      <c r="F1759" t="s">
        <v>13</v>
      </c>
      <c r="G1759" t="s">
        <v>12</v>
      </c>
      <c r="H1759">
        <v>0.02</v>
      </c>
      <c r="I1759">
        <v>4.4999999999999998E-2</v>
      </c>
      <c r="J1759" t="s">
        <v>10</v>
      </c>
      <c r="K1759">
        <v>0.28000000000000003</v>
      </c>
      <c r="L1759">
        <v>1.8</v>
      </c>
      <c r="M1759">
        <v>0.23096</v>
      </c>
      <c r="N1759">
        <v>1.8475999999999999</v>
      </c>
      <c r="O1759" t="s">
        <v>2833</v>
      </c>
      <c r="P1759" t="s">
        <v>2833</v>
      </c>
      <c r="Q1759" t="s">
        <v>2833</v>
      </c>
      <c r="R1759">
        <f ca="1">RAND()*(Validation[[#This Row],[Range1_High]]-Validation[[#This Row],[Range1_Low]])+Validation[[#This Row],[Range1_Low]]</f>
        <v>0.99611466297373208</v>
      </c>
      <c r="S1759">
        <f>Validation[[#This Row],[Range2_High]]</f>
        <v>4.4999999999999998E-2</v>
      </c>
      <c r="T1759" t="str" cm="1">
        <f t="array" aca="1" ref="T1759" ca="1">RoundToTwoSigFigs(Validation[[#This Row],[Test Reading]]*Validation[[#This Row],[Mult]]+Validation[[#This Row],[Base]]) &amp;" "&amp;Validation[[#This Row],[Uncert_Units]]</f>
        <v>2.1 mA</v>
      </c>
      <c r="U17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V1759" t="b">
        <f ca="1">Validation[[#This Row],[Desired Result]]=Validation[[#This Row],[Result]]</f>
        <v>1</v>
      </c>
      <c r="W1759" t="b">
        <v>1</v>
      </c>
      <c r="X1759" t="b">
        <f>Validation[[#This Row],[Range1_Low]]&gt;=Validation[[#This Row],[Range1_High]]</f>
        <v>0</v>
      </c>
      <c r="Y1759" s="111" t="s">
        <v>2843</v>
      </c>
    </row>
    <row r="1760" spans="1:25" ht="16.5" thickTop="1" thickBot="1" x14ac:dyDescent="0.3">
      <c r="A1760" t="s">
        <v>54</v>
      </c>
      <c r="B1760" t="s">
        <v>47</v>
      </c>
      <c r="C1760" s="113">
        <v>3.3E-3</v>
      </c>
      <c r="D1760" s="113">
        <v>3.3001000000000003E-2</v>
      </c>
      <c r="E1760">
        <v>1E-4</v>
      </c>
      <c r="F1760" t="s">
        <v>13</v>
      </c>
      <c r="G1760" t="s">
        <v>11</v>
      </c>
      <c r="H1760">
        <v>10</v>
      </c>
      <c r="I1760">
        <v>30</v>
      </c>
      <c r="J1760" t="s">
        <v>10</v>
      </c>
      <c r="K1760">
        <v>575.41</v>
      </c>
      <c r="L1760">
        <v>695.3</v>
      </c>
      <c r="M1760">
        <v>575.4</v>
      </c>
      <c r="N1760">
        <v>695.06</v>
      </c>
      <c r="O1760" t="s">
        <v>2833</v>
      </c>
      <c r="P1760" t="s">
        <v>2833</v>
      </c>
      <c r="Q1760" t="s">
        <v>2833</v>
      </c>
      <c r="R1760">
        <f ca="1">RAND()*(Validation[[#This Row],[Range1_High]]-Validation[[#This Row],[Range1_Low]])+Validation[[#This Row],[Range1_Low]]</f>
        <v>1.9559751223890091E-2</v>
      </c>
      <c r="S1760">
        <f>Validation[[#This Row],[Range2_High]]</f>
        <v>30</v>
      </c>
      <c r="T1760" t="str" cm="1">
        <f t="array" aca="1" ref="T1760" ca="1">RoundToTwoSigFigs(Validation[[#This Row],[Test Reading]]*Validation[[#This Row],[Mult]]+Validation[[#This Row],[Base]]) &amp;" "&amp;Validation[[#This Row],[Uncert_Units]]</f>
        <v>590 µA</v>
      </c>
      <c r="U17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V1760" t="b">
        <f ca="1">Validation[[#This Row],[Desired Result]]=Validation[[#This Row],[Result]]</f>
        <v>1</v>
      </c>
      <c r="W1760" t="b">
        <v>1</v>
      </c>
      <c r="X1760" t="b">
        <f>Validation[[#This Row],[Range1_Low]]&gt;=Validation[[#This Row],[Range1_High]]</f>
        <v>0</v>
      </c>
      <c r="Y1760" s="111" t="s">
        <v>2843</v>
      </c>
    </row>
    <row r="1761" spans="1:25" ht="16.5" thickTop="1" thickBot="1" x14ac:dyDescent="0.3">
      <c r="A1761" t="s">
        <v>55</v>
      </c>
      <c r="B1761" t="s">
        <v>47</v>
      </c>
      <c r="C1761" s="113">
        <v>0.01</v>
      </c>
      <c r="D1761" s="113">
        <v>0.1</v>
      </c>
      <c r="E1761">
        <v>9.9999999999999995E-7</v>
      </c>
      <c r="F1761" t="s">
        <v>13</v>
      </c>
      <c r="G1761" t="s">
        <v>11</v>
      </c>
      <c r="H1761">
        <v>50</v>
      </c>
      <c r="I1761">
        <v>100</v>
      </c>
      <c r="J1761" t="s">
        <v>10</v>
      </c>
      <c r="K1761">
        <v>190</v>
      </c>
      <c r="L1761">
        <v>6538.1</v>
      </c>
      <c r="M1761">
        <v>171.63</v>
      </c>
      <c r="N1761">
        <v>6602.5</v>
      </c>
      <c r="O1761" t="s">
        <v>2833</v>
      </c>
      <c r="P1761" t="s">
        <v>2833</v>
      </c>
      <c r="Q1761" t="s">
        <v>2833</v>
      </c>
      <c r="R1761">
        <f ca="1">RAND()*(Validation[[#This Row],[Range1_High]]-Validation[[#This Row],[Range1_Low]])+Validation[[#This Row],[Range1_Low]]</f>
        <v>8.9490068088980426E-2</v>
      </c>
      <c r="S1761">
        <f>Validation[[#This Row],[Range2_High]]</f>
        <v>100</v>
      </c>
      <c r="T1761" t="str" cm="1">
        <f t="array" aca="1" ref="T1761" ca="1">RoundToTwoSigFigs(Validation[[#This Row],[Test Reading]]*Validation[[#This Row],[Mult]]+Validation[[#This Row],[Base]]) &amp;" "&amp;Validation[[#This Row],[Uncert_Units]]</f>
        <v>780 µA</v>
      </c>
      <c r="U17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µA</v>
      </c>
      <c r="V1761" t="b">
        <f ca="1">Validation[[#This Row],[Desired Result]]=Validation[[#This Row],[Result]]</f>
        <v>1</v>
      </c>
      <c r="W1761" t="b">
        <v>1</v>
      </c>
      <c r="X1761" t="b">
        <f>Validation[[#This Row],[Range1_Low]]&gt;=Validation[[#This Row],[Range1_High]]</f>
        <v>0</v>
      </c>
      <c r="Y1761" s="111" t="s">
        <v>2843</v>
      </c>
    </row>
    <row r="1762" spans="1:25" ht="16.5" thickTop="1" thickBot="1" x14ac:dyDescent="0.3">
      <c r="A1762" t="s">
        <v>55</v>
      </c>
      <c r="B1762" t="s">
        <v>47</v>
      </c>
      <c r="C1762" s="113">
        <v>1E-3</v>
      </c>
      <c r="D1762" s="113">
        <v>0.01</v>
      </c>
      <c r="E1762">
        <v>9.9999999999999995E-8</v>
      </c>
      <c r="F1762" t="s">
        <v>13</v>
      </c>
      <c r="G1762" t="s">
        <v>11</v>
      </c>
      <c r="H1762">
        <v>4.4999999999999998E-2</v>
      </c>
      <c r="I1762">
        <v>0.1</v>
      </c>
      <c r="J1762" t="s">
        <v>10</v>
      </c>
      <c r="K1762">
        <v>2.4</v>
      </c>
      <c r="L1762">
        <v>690</v>
      </c>
      <c r="M1762">
        <v>2.3107000000000002</v>
      </c>
      <c r="N1762">
        <v>693.04</v>
      </c>
      <c r="O1762" t="s">
        <v>2833</v>
      </c>
      <c r="P1762" t="s">
        <v>2833</v>
      </c>
      <c r="Q1762" t="s">
        <v>2833</v>
      </c>
      <c r="R1762">
        <f ca="1">RAND()*(Validation[[#This Row],[Range1_High]]-Validation[[#This Row],[Range1_Low]])+Validation[[#This Row],[Range1_Low]]</f>
        <v>2.1392644526717249E-3</v>
      </c>
      <c r="S1762">
        <f>Validation[[#This Row],[Range2_High]]</f>
        <v>0.1</v>
      </c>
      <c r="T1762" t="str" cm="1">
        <f t="array" aca="1" ref="T1762" ca="1">RoundToTwoSigFigs(Validation[[#This Row],[Test Reading]]*Validation[[#This Row],[Mult]]+Validation[[#This Row],[Base]]) &amp;" "&amp;Validation[[#This Row],[Uncert_Units]]</f>
        <v>3.9 µA</v>
      </c>
      <c r="U17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V1762" t="b">
        <f ca="1">Validation[[#This Row],[Desired Result]]=Validation[[#This Row],[Result]]</f>
        <v>0</v>
      </c>
      <c r="W1762" t="b">
        <v>1</v>
      </c>
      <c r="X1762" t="b">
        <f>Validation[[#This Row],[Range1_Low]]&gt;=Validation[[#This Row],[Range1_High]]</f>
        <v>0</v>
      </c>
      <c r="Y1762" s="111" t="s">
        <v>2843</v>
      </c>
    </row>
    <row r="1763" spans="1:25" ht="16.5" thickTop="1" thickBot="1" x14ac:dyDescent="0.3">
      <c r="A1763" t="s">
        <v>55</v>
      </c>
      <c r="B1763" t="s">
        <v>47</v>
      </c>
      <c r="C1763" s="113">
        <v>0.01</v>
      </c>
      <c r="D1763" s="113">
        <v>0.1</v>
      </c>
      <c r="E1763">
        <v>1.0000000000000001E-5</v>
      </c>
      <c r="F1763" t="s">
        <v>13</v>
      </c>
      <c r="G1763" t="s">
        <v>11</v>
      </c>
      <c r="H1763">
        <v>0.1</v>
      </c>
      <c r="I1763">
        <v>5</v>
      </c>
      <c r="J1763" t="s">
        <v>10</v>
      </c>
      <c r="K1763">
        <v>25</v>
      </c>
      <c r="L1763">
        <v>360.06</v>
      </c>
      <c r="M1763">
        <v>23.625</v>
      </c>
      <c r="N1763">
        <v>361.08</v>
      </c>
      <c r="O1763" t="s">
        <v>2833</v>
      </c>
      <c r="P1763" t="s">
        <v>2833</v>
      </c>
      <c r="Q1763" t="s">
        <v>2833</v>
      </c>
      <c r="R1763">
        <f ca="1">RAND()*(Validation[[#This Row],[Range1_High]]-Validation[[#This Row],[Range1_Low]])+Validation[[#This Row],[Range1_Low]]</f>
        <v>3.8837534939146233E-2</v>
      </c>
      <c r="S1763">
        <f>Validation[[#This Row],[Range2_High]]</f>
        <v>5</v>
      </c>
      <c r="T1763" t="str" cm="1">
        <f t="array" aca="1" ref="T1763" ca="1">RoundToTwoSigFigs(Validation[[#This Row],[Test Reading]]*Validation[[#This Row],[Mult]]+Validation[[#This Row],[Base]]) &amp;" "&amp;Validation[[#This Row],[Uncert_Units]]</f>
        <v>39 µA</v>
      </c>
      <c r="U17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µA</v>
      </c>
      <c r="V1763" t="b">
        <f ca="1">Validation[[#This Row],[Desired Result]]=Validation[[#This Row],[Result]]</f>
        <v>0</v>
      </c>
      <c r="W1763" t="b">
        <v>1</v>
      </c>
      <c r="X1763" t="b">
        <f>Validation[[#This Row],[Range1_Low]]&gt;=Validation[[#This Row],[Range1_High]]</f>
        <v>0</v>
      </c>
      <c r="Y1763" s="111" t="s">
        <v>2843</v>
      </c>
    </row>
    <row r="1764" spans="1:25" ht="16.5" thickTop="1" thickBot="1" x14ac:dyDescent="0.3">
      <c r="A1764" t="s">
        <v>55</v>
      </c>
      <c r="B1764" t="s">
        <v>47</v>
      </c>
      <c r="C1764" s="113">
        <v>1E-3</v>
      </c>
      <c r="D1764" s="113">
        <v>0.01</v>
      </c>
      <c r="E1764">
        <v>9.9999999999999995E-7</v>
      </c>
      <c r="F1764" t="s">
        <v>13</v>
      </c>
      <c r="G1764" t="s">
        <v>11</v>
      </c>
      <c r="H1764">
        <v>5</v>
      </c>
      <c r="I1764">
        <v>20</v>
      </c>
      <c r="J1764" t="s">
        <v>10</v>
      </c>
      <c r="K1764">
        <v>2.5</v>
      </c>
      <c r="L1764">
        <v>716.59</v>
      </c>
      <c r="M1764">
        <v>2.3512</v>
      </c>
      <c r="N1764">
        <v>717.7</v>
      </c>
      <c r="O1764" t="s">
        <v>2833</v>
      </c>
      <c r="P1764" t="s">
        <v>2833</v>
      </c>
      <c r="Q1764" t="s">
        <v>2833</v>
      </c>
      <c r="R1764">
        <f ca="1">RAND()*(Validation[[#This Row],[Range1_High]]-Validation[[#This Row],[Range1_Low]])+Validation[[#This Row],[Range1_Low]]</f>
        <v>3.709029167077417E-3</v>
      </c>
      <c r="S1764">
        <f>Validation[[#This Row],[Range2_High]]</f>
        <v>20</v>
      </c>
      <c r="T1764" t="str" cm="1">
        <f t="array" aca="1" ref="T1764" ca="1">RoundToTwoSigFigs(Validation[[#This Row],[Test Reading]]*Validation[[#This Row],[Mult]]+Validation[[#This Row],[Base]]) &amp;" "&amp;Validation[[#This Row],[Uncert_Units]]</f>
        <v>5.2 µA</v>
      </c>
      <c r="U17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V1764" t="b">
        <f ca="1">Validation[[#This Row],[Desired Result]]=Validation[[#This Row],[Result]]</f>
        <v>1</v>
      </c>
      <c r="W1764" t="b">
        <v>1</v>
      </c>
      <c r="X1764" t="b">
        <f>Validation[[#This Row],[Range1_Low]]&gt;=Validation[[#This Row],[Range1_High]]</f>
        <v>0</v>
      </c>
      <c r="Y1764" s="111" t="s">
        <v>2843</v>
      </c>
    </row>
    <row r="1765" spans="1:25" ht="15.75" thickTop="1" x14ac:dyDescent="0.25">
      <c r="A1765" t="s">
        <v>54</v>
      </c>
      <c r="B1765" t="s">
        <v>47</v>
      </c>
      <c r="C1765">
        <v>0</v>
      </c>
      <c r="D1765">
        <v>3.3000999999999999E-4</v>
      </c>
      <c r="E1765">
        <v>9.9999999999999995E-8</v>
      </c>
      <c r="F1765" t="s">
        <v>13</v>
      </c>
      <c r="G1765" t="s">
        <v>11</v>
      </c>
      <c r="H1765">
        <v>4.4999999999999998E-2</v>
      </c>
      <c r="I1765">
        <v>1.0000100000000001</v>
      </c>
      <c r="J1765" t="s">
        <v>10</v>
      </c>
      <c r="K1765">
        <v>0.14000000000000001</v>
      </c>
      <c r="L1765">
        <v>1400</v>
      </c>
      <c r="M1765">
        <v>0.12669</v>
      </c>
      <c r="N1765">
        <v>1418.5</v>
      </c>
      <c r="O1765" t="s">
        <v>2833</v>
      </c>
      <c r="P1765" t="s">
        <v>2833</v>
      </c>
      <c r="Q1765" t="s">
        <v>2833</v>
      </c>
      <c r="R1765">
        <f ca="1">RAND()*(Validation[[#This Row],[Range1_High]]-Validation[[#This Row],[Range1_Low]])+Validation[[#This Row],[Range1_Low]]</f>
        <v>3.2633553860262032E-4</v>
      </c>
      <c r="S1765">
        <f>Validation[[#This Row],[Range2_High]]</f>
        <v>1.0000100000000001</v>
      </c>
      <c r="T1765" t="str" cm="1">
        <f t="array" aca="1" ref="T1765" ca="1">RoundToTwoSigFigs(Validation[[#This Row],[Test Reading]]*Validation[[#This Row],[Mult]]+Validation[[#This Row],[Base]]) &amp;" "&amp;Validation[[#This Row],[Uncert_Units]]</f>
        <v>0.6 µA</v>
      </c>
      <c r="U17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V1765" t="b">
        <f ca="1">Validation[[#This Row],[Desired Result]]=Validation[[#This Row],[Result]]</f>
        <v>1</v>
      </c>
      <c r="W1765" t="b">
        <v>0</v>
      </c>
      <c r="X1765" t="b">
        <f>Validation[[#This Row],[Range1_Low]]&gt;=Validation[[#This Row],[Range1_High]]</f>
        <v>0</v>
      </c>
      <c r="Y1765" s="111" t="s">
        <v>2845</v>
      </c>
    </row>
    <row r="1766" spans="1:25" ht="15.75" thickBot="1" x14ac:dyDescent="0.3">
      <c r="A1766" t="s">
        <v>55</v>
      </c>
      <c r="B1766" t="s">
        <v>47</v>
      </c>
      <c r="C1766">
        <v>1E-4</v>
      </c>
      <c r="D1766">
        <v>1E-3</v>
      </c>
      <c r="E1766">
        <v>9.9999999999999995E-7</v>
      </c>
      <c r="F1766" t="s">
        <v>13</v>
      </c>
      <c r="G1766" t="s">
        <v>11</v>
      </c>
      <c r="H1766">
        <v>20</v>
      </c>
      <c r="I1766">
        <v>50</v>
      </c>
      <c r="J1766" t="s">
        <v>10</v>
      </c>
      <c r="K1766">
        <v>5.6360000000000001</v>
      </c>
      <c r="L1766">
        <v>2159.6999999999998</v>
      </c>
      <c r="M1766">
        <v>5.6349</v>
      </c>
      <c r="N1766">
        <v>2155.3000000000002</v>
      </c>
      <c r="O1766" t="s">
        <v>2833</v>
      </c>
      <c r="P1766" t="s">
        <v>2833</v>
      </c>
      <c r="Q1766" t="s">
        <v>2833</v>
      </c>
      <c r="R1766">
        <f ca="1">RAND()*(Validation[[#This Row],[Range1_High]]-Validation[[#This Row],[Range1_Low]])+Validation[[#This Row],[Range1_Low]]</f>
        <v>9.055831423126023E-4</v>
      </c>
      <c r="S1766">
        <f>Validation[[#This Row],[Range2_High]]</f>
        <v>50</v>
      </c>
      <c r="T1766" t="str" cm="1">
        <f t="array" aca="1" ref="T1766" ca="1">RoundToTwoSigFigs(Validation[[#This Row],[Test Reading]]*Validation[[#This Row],[Mult]]+Validation[[#This Row],[Base]]) &amp;" "&amp;Validation[[#This Row],[Uncert_Units]]</f>
        <v>7.6 µA</v>
      </c>
      <c r="U17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µA</v>
      </c>
      <c r="V1766" t="b">
        <f ca="1">Validation[[#This Row],[Desired Result]]=Validation[[#This Row],[Result]]</f>
        <v>0</v>
      </c>
      <c r="W1766" t="b">
        <v>1</v>
      </c>
      <c r="X1766" t="b">
        <f>Validation[[#This Row],[Range1_Low]]&gt;=Validation[[#This Row],[Range1_High]]</f>
        <v>0</v>
      </c>
      <c r="Y1766" s="111" t="s">
        <v>2845</v>
      </c>
    </row>
    <row r="1767" spans="1:25" ht="16.5" thickTop="1" thickBot="1" x14ac:dyDescent="0.3">
      <c r="A1767" t="s">
        <v>54</v>
      </c>
      <c r="B1767" t="s">
        <v>47</v>
      </c>
      <c r="C1767" s="113">
        <v>3.3E-4</v>
      </c>
      <c r="D1767" s="113">
        <v>3.3000999999999998E-3</v>
      </c>
      <c r="E1767">
        <v>9.9999999999999995E-7</v>
      </c>
      <c r="F1767" t="s">
        <v>13</v>
      </c>
      <c r="G1767" t="s">
        <v>11</v>
      </c>
      <c r="H1767">
        <v>5</v>
      </c>
      <c r="I1767">
        <v>10.01</v>
      </c>
      <c r="J1767" t="s">
        <v>10</v>
      </c>
      <c r="K1767">
        <v>0.41769000000000001</v>
      </c>
      <c r="L1767">
        <v>5779.5</v>
      </c>
      <c r="M1767">
        <v>0.4264</v>
      </c>
      <c r="N1767">
        <v>5752</v>
      </c>
      <c r="O1767" t="s">
        <v>2833</v>
      </c>
      <c r="P1767" t="s">
        <v>2833</v>
      </c>
      <c r="Q1767" t="s">
        <v>2833</v>
      </c>
      <c r="R1767">
        <f ca="1">RAND()*(Validation[[#This Row],[Range1_High]]-Validation[[#This Row],[Range1_Low]])+Validation[[#This Row],[Range1_Low]]</f>
        <v>1.2199219065243067E-3</v>
      </c>
      <c r="S1767">
        <f>Validation[[#This Row],[Range2_High]]</f>
        <v>10.01</v>
      </c>
      <c r="T1767" t="str" cm="1">
        <f t="array" aca="1" ref="T1767" ca="1">RoundToTwoSigFigs(Validation[[#This Row],[Test Reading]]*Validation[[#This Row],[Mult]]+Validation[[#This Row],[Base]]) &amp;" "&amp;Validation[[#This Row],[Uncert_Units]]</f>
        <v>7.5 µA</v>
      </c>
      <c r="U17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µA</v>
      </c>
      <c r="V1767" t="b">
        <f ca="1">Validation[[#This Row],[Desired Result]]=Validation[[#This Row],[Result]]</f>
        <v>1</v>
      </c>
      <c r="W1767" t="b">
        <v>1</v>
      </c>
      <c r="X1767" t="b">
        <f>Validation[[#This Row],[Range1_Low]]&gt;=Validation[[#This Row],[Range1_High]]</f>
        <v>0</v>
      </c>
      <c r="Y1767" s="111" t="s">
        <v>2843</v>
      </c>
    </row>
    <row r="1768" spans="1:25" ht="15.75" thickTop="1" x14ac:dyDescent="0.25">
      <c r="A1768" t="s">
        <v>54</v>
      </c>
      <c r="B1768" t="s">
        <v>47</v>
      </c>
      <c r="C1768">
        <v>3</v>
      </c>
      <c r="D1768">
        <v>11.000999999999999</v>
      </c>
      <c r="E1768">
        <v>1</v>
      </c>
      <c r="F1768" t="s">
        <v>13</v>
      </c>
      <c r="G1768" t="s">
        <v>12</v>
      </c>
      <c r="H1768">
        <v>4.4999999999999998E-2</v>
      </c>
      <c r="I1768">
        <v>0.10001</v>
      </c>
      <c r="J1768" t="s">
        <v>10</v>
      </c>
      <c r="K1768">
        <v>577.35</v>
      </c>
      <c r="L1768">
        <v>8.6937999999999998E-3</v>
      </c>
      <c r="M1768">
        <v>577.35</v>
      </c>
      <c r="N1768">
        <v>8.6087000000000004E-3</v>
      </c>
      <c r="O1768" t="s">
        <v>2833</v>
      </c>
      <c r="P1768" t="s">
        <v>2833</v>
      </c>
      <c r="Q1768" t="s">
        <v>2833</v>
      </c>
      <c r="R1768">
        <f ca="1">RAND()*(Validation[[#This Row],[Range1_High]]-Validation[[#This Row],[Range1_Low]])+Validation[[#This Row],[Range1_Low]]</f>
        <v>7.0141623465185692</v>
      </c>
      <c r="S1768">
        <f>Validation[[#This Row],[Range2_High]]</f>
        <v>0.10001</v>
      </c>
      <c r="T1768" t="str" cm="1">
        <f t="array" aca="1" ref="T1768" ca="1">RoundToTwoSigFigs(Validation[[#This Row],[Test Reading]]*Validation[[#This Row],[Mult]]+Validation[[#This Row],[Base]]) &amp;" "&amp;Validation[[#This Row],[Uncert_Units]]</f>
        <v>580 mA</v>
      </c>
      <c r="U17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1768" t="b">
        <f ca="1">Validation[[#This Row],[Desired Result]]=Validation[[#This Row],[Result]]</f>
        <v>1</v>
      </c>
      <c r="W1768" t="b">
        <v>0</v>
      </c>
      <c r="X1768" t="b">
        <f>Validation[[#This Row],[Range1_Low]]&gt;=Validation[[#This Row],[Range1_High]]</f>
        <v>0</v>
      </c>
      <c r="Y1768" s="111" t="s">
        <v>2845</v>
      </c>
    </row>
    <row r="1769" spans="1:25" x14ac:dyDescent="0.25">
      <c r="A1769" t="s">
        <v>55</v>
      </c>
      <c r="B1769" t="s">
        <v>47</v>
      </c>
      <c r="C1769">
        <v>1E-3</v>
      </c>
      <c r="D1769">
        <v>0.01</v>
      </c>
      <c r="E1769">
        <v>1.0000000000000001E-5</v>
      </c>
      <c r="F1769" t="s">
        <v>13</v>
      </c>
      <c r="G1769" t="s">
        <v>11</v>
      </c>
      <c r="H1769">
        <v>50</v>
      </c>
      <c r="I1769">
        <v>100</v>
      </c>
      <c r="J1769" t="s">
        <v>10</v>
      </c>
      <c r="K1769">
        <v>19</v>
      </c>
      <c r="L1769">
        <v>6550</v>
      </c>
      <c r="M1769">
        <v>17.919</v>
      </c>
      <c r="N1769">
        <v>6548</v>
      </c>
      <c r="O1769" t="s">
        <v>2833</v>
      </c>
      <c r="P1769" t="s">
        <v>2833</v>
      </c>
      <c r="Q1769" t="s">
        <v>2833</v>
      </c>
      <c r="R1769">
        <f ca="1">RAND()*(Validation[[#This Row],[Range1_High]]-Validation[[#This Row],[Range1_Low]])+Validation[[#This Row],[Range1_Low]]</f>
        <v>3.3410302707974964E-3</v>
      </c>
      <c r="S1769">
        <f>Validation[[#This Row],[Range2_High]]</f>
        <v>100</v>
      </c>
      <c r="T1769" t="str" cm="1">
        <f t="array" aca="1" ref="T1769" ca="1">RoundToTwoSigFigs(Validation[[#This Row],[Test Reading]]*Validation[[#This Row],[Mult]]+Validation[[#This Row],[Base]]) &amp;" "&amp;Validation[[#This Row],[Uncert_Units]]</f>
        <v>41 µA</v>
      </c>
      <c r="U17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µA</v>
      </c>
      <c r="V1769" t="b">
        <f ca="1">Validation[[#This Row],[Desired Result]]=Validation[[#This Row],[Result]]</f>
        <v>1</v>
      </c>
      <c r="W1769" t="b">
        <v>0</v>
      </c>
      <c r="X1769" t="b">
        <f>Validation[[#This Row],[Range1_Low]]&gt;=Validation[[#This Row],[Range1_High]]</f>
        <v>0</v>
      </c>
      <c r="Y1769" s="111" t="s">
        <v>2845</v>
      </c>
    </row>
    <row r="1770" spans="1:25" x14ac:dyDescent="0.25">
      <c r="A1770" t="s">
        <v>54</v>
      </c>
      <c r="B1770" t="s">
        <v>47</v>
      </c>
      <c r="C1770">
        <v>3</v>
      </c>
      <c r="D1770">
        <v>11.000999999999999</v>
      </c>
      <c r="E1770">
        <v>1</v>
      </c>
      <c r="F1770" t="s">
        <v>13</v>
      </c>
      <c r="G1770" t="s">
        <v>12</v>
      </c>
      <c r="H1770">
        <v>5</v>
      </c>
      <c r="I1770">
        <v>5.01</v>
      </c>
      <c r="J1770" t="s">
        <v>10</v>
      </c>
      <c r="K1770">
        <v>547.30999999999995</v>
      </c>
      <c r="L1770">
        <v>13.25</v>
      </c>
      <c r="M1770">
        <v>547.29999999999995</v>
      </c>
      <c r="N1770">
        <v>13.249000000000001</v>
      </c>
      <c r="O1770" t="s">
        <v>2833</v>
      </c>
      <c r="P1770" t="s">
        <v>2833</v>
      </c>
      <c r="Q1770" t="s">
        <v>2833</v>
      </c>
      <c r="R1770">
        <f ca="1">RAND()*(Validation[[#This Row],[Range1_High]]-Validation[[#This Row],[Range1_Low]])+Validation[[#This Row],[Range1_Low]]</f>
        <v>5.3533596175221048</v>
      </c>
      <c r="S1770">
        <f>Validation[[#This Row],[Range2_High]]</f>
        <v>5.01</v>
      </c>
      <c r="T1770" t="str" cm="1">
        <f t="array" aca="1" ref="T1770" ca="1">RoundToTwoSigFigs(Validation[[#This Row],[Test Reading]]*Validation[[#This Row],[Mult]]+Validation[[#This Row],[Base]]) &amp;" "&amp;Validation[[#This Row],[Uncert_Units]]</f>
        <v>620 mA</v>
      </c>
      <c r="U17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V1770" t="b">
        <f ca="1">Validation[[#This Row],[Desired Result]]=Validation[[#This Row],[Result]]</f>
        <v>1</v>
      </c>
      <c r="W1770" t="b">
        <v>0</v>
      </c>
      <c r="X1770" t="b">
        <f>Validation[[#This Row],[Range1_Low]]&gt;=Validation[[#This Row],[Range1_High]]</f>
        <v>0</v>
      </c>
      <c r="Y1770" s="111" t="s">
        <v>2845</v>
      </c>
    </row>
    <row r="1771" spans="1:25" ht="15.75" thickBot="1" x14ac:dyDescent="0.3">
      <c r="A1771" t="s">
        <v>55</v>
      </c>
      <c r="B1771" t="s">
        <v>47</v>
      </c>
      <c r="C1771">
        <v>0</v>
      </c>
      <c r="D1771">
        <v>1E-4</v>
      </c>
      <c r="E1771">
        <v>1E-3</v>
      </c>
      <c r="F1771" t="s">
        <v>13</v>
      </c>
      <c r="G1771" t="s">
        <v>11</v>
      </c>
      <c r="H1771">
        <v>0.02</v>
      </c>
      <c r="I1771">
        <v>4.4999999999999998E-2</v>
      </c>
      <c r="J1771" t="s">
        <v>10</v>
      </c>
      <c r="K1771">
        <v>577.36</v>
      </c>
      <c r="L1771">
        <v>0.50117999999999996</v>
      </c>
      <c r="M1771">
        <v>577.35</v>
      </c>
      <c r="N1771">
        <v>0.41202</v>
      </c>
      <c r="O1771" t="s">
        <v>2833</v>
      </c>
      <c r="P1771" t="s">
        <v>2833</v>
      </c>
      <c r="Q1771" t="s">
        <v>2833</v>
      </c>
      <c r="R1771">
        <f ca="1">RAND()*(Validation[[#This Row],[Range1_High]]-Validation[[#This Row],[Range1_Low]])+Validation[[#This Row],[Range1_Low]]</f>
        <v>3.0288761521772225E-5</v>
      </c>
      <c r="S1771">
        <f>Validation[[#This Row],[Range2_High]]</f>
        <v>4.4999999999999998E-2</v>
      </c>
      <c r="T1771" t="str" cm="1">
        <f t="array" aca="1" ref="T1771" ca="1">RoundToTwoSigFigs(Validation[[#This Row],[Test Reading]]*Validation[[#This Row],[Mult]]+Validation[[#This Row],[Base]]) &amp;" "&amp;Validation[[#This Row],[Uncert_Units]]</f>
        <v>580 µA</v>
      </c>
      <c r="U17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771" t="b">
        <f ca="1">Validation[[#This Row],[Desired Result]]=Validation[[#This Row],[Result]]</f>
        <v>1</v>
      </c>
      <c r="W1771" t="b">
        <v>0</v>
      </c>
      <c r="X1771" t="b">
        <f>Validation[[#This Row],[Range1_Low]]&gt;=Validation[[#This Row],[Range1_High]]</f>
        <v>0</v>
      </c>
      <c r="Y1771" s="111" t="s">
        <v>2845</v>
      </c>
    </row>
    <row r="1772" spans="1:25" ht="16.5" thickTop="1" thickBot="1" x14ac:dyDescent="0.3">
      <c r="A1772" t="s">
        <v>55</v>
      </c>
      <c r="B1772" t="s">
        <v>47</v>
      </c>
      <c r="C1772" s="113">
        <v>1E-3</v>
      </c>
      <c r="D1772" s="113">
        <v>0.01</v>
      </c>
      <c r="E1772">
        <v>1E-8</v>
      </c>
      <c r="F1772" t="s">
        <v>13</v>
      </c>
      <c r="G1772" t="s">
        <v>11</v>
      </c>
      <c r="H1772">
        <v>50</v>
      </c>
      <c r="I1772">
        <v>100</v>
      </c>
      <c r="J1772" t="s">
        <v>10</v>
      </c>
      <c r="K1772">
        <v>19</v>
      </c>
      <c r="L1772">
        <v>6500</v>
      </c>
      <c r="M1772">
        <v>17.151</v>
      </c>
      <c r="N1772">
        <v>6602.1</v>
      </c>
      <c r="O1772" t="s">
        <v>2833</v>
      </c>
      <c r="P1772" t="s">
        <v>2833</v>
      </c>
      <c r="Q1772" t="s">
        <v>2833</v>
      </c>
      <c r="R1772">
        <f ca="1">RAND()*(Validation[[#This Row],[Range1_High]]-Validation[[#This Row],[Range1_Low]])+Validation[[#This Row],[Range1_Low]]</f>
        <v>2.3845618810467116E-3</v>
      </c>
      <c r="S1772">
        <f>Validation[[#This Row],[Range2_High]]</f>
        <v>100</v>
      </c>
      <c r="T1772" t="str" cm="1">
        <f t="array" aca="1" ref="T1772" ca="1">RoundToTwoSigFigs(Validation[[#This Row],[Test Reading]]*Validation[[#This Row],[Mult]]+Validation[[#This Row],[Base]]) &amp;" "&amp;Validation[[#This Row],[Uncert_Units]]</f>
        <v>34 µA</v>
      </c>
      <c r="U17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V1772" t="b">
        <f ca="1">Validation[[#This Row],[Desired Result]]=Validation[[#This Row],[Result]]</f>
        <v>1</v>
      </c>
      <c r="W1772" t="b">
        <v>1</v>
      </c>
      <c r="X1772" t="b">
        <f>Validation[[#This Row],[Range1_Low]]&gt;=Validation[[#This Row],[Range1_High]]</f>
        <v>0</v>
      </c>
      <c r="Y1772" s="111" t="s">
        <v>2843</v>
      </c>
    </row>
    <row r="1773" spans="1:25" ht="16.5" thickTop="1" thickBot="1" x14ac:dyDescent="0.3">
      <c r="A1773" t="s">
        <v>54</v>
      </c>
      <c r="B1773" t="s">
        <v>47</v>
      </c>
      <c r="C1773">
        <v>1.1000000000000001</v>
      </c>
      <c r="D1773">
        <v>3.0009999999999999</v>
      </c>
      <c r="E1773">
        <v>0.01</v>
      </c>
      <c r="F1773" t="s">
        <v>13</v>
      </c>
      <c r="G1773" t="s">
        <v>12</v>
      </c>
      <c r="H1773">
        <v>10</v>
      </c>
      <c r="I1773">
        <v>10.01</v>
      </c>
      <c r="J1773" t="s">
        <v>10</v>
      </c>
      <c r="K1773">
        <v>6.2283999999999997</v>
      </c>
      <c r="L1773">
        <v>28.856999999999999</v>
      </c>
      <c r="M1773">
        <v>6.3663999999999996</v>
      </c>
      <c r="N1773">
        <v>28.73</v>
      </c>
      <c r="O1773" t="s">
        <v>2833</v>
      </c>
      <c r="P1773" t="s">
        <v>2833</v>
      </c>
      <c r="Q1773" t="s">
        <v>2833</v>
      </c>
      <c r="R1773">
        <f ca="1">RAND()*(Validation[[#This Row],[Range1_High]]-Validation[[#This Row],[Range1_Low]])+Validation[[#This Row],[Range1_Low]]</f>
        <v>1.6787569005749283</v>
      </c>
      <c r="S1773">
        <f>Validation[[#This Row],[Range2_High]]</f>
        <v>10.01</v>
      </c>
      <c r="T1773" t="str" cm="1">
        <f t="array" aca="1" ref="T1773" ca="1">RoundToTwoSigFigs(Validation[[#This Row],[Test Reading]]*Validation[[#This Row],[Mult]]+Validation[[#This Row],[Base]]) &amp;" "&amp;Validation[[#This Row],[Uncert_Units]]</f>
        <v>55 mA</v>
      </c>
      <c r="U17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mA</v>
      </c>
      <c r="V1773" t="b">
        <f ca="1">Validation[[#This Row],[Desired Result]]=Validation[[#This Row],[Result]]</f>
        <v>1</v>
      </c>
      <c r="W1773" t="b">
        <v>0</v>
      </c>
      <c r="X1773" t="b">
        <f>Validation[[#This Row],[Range1_Low]]&gt;=Validation[[#This Row],[Range1_High]]</f>
        <v>0</v>
      </c>
      <c r="Y1773" s="111" t="s">
        <v>2845</v>
      </c>
    </row>
    <row r="1774" spans="1:25" ht="16.5" thickTop="1" thickBot="1" x14ac:dyDescent="0.3">
      <c r="A1774" t="s">
        <v>55</v>
      </c>
      <c r="B1774" t="s">
        <v>47</v>
      </c>
      <c r="C1774" s="113">
        <v>0.1</v>
      </c>
      <c r="D1774" s="113">
        <v>1</v>
      </c>
      <c r="E1774">
        <v>1E-4</v>
      </c>
      <c r="F1774" t="s">
        <v>13</v>
      </c>
      <c r="G1774" t="s">
        <v>12</v>
      </c>
      <c r="H1774">
        <v>0.02</v>
      </c>
      <c r="I1774">
        <v>4.4999999999999998E-2</v>
      </c>
      <c r="J1774" t="s">
        <v>10</v>
      </c>
      <c r="K1774">
        <v>0.28000000000000003</v>
      </c>
      <c r="L1774">
        <v>1.8</v>
      </c>
      <c r="M1774">
        <v>0.23544999999999999</v>
      </c>
      <c r="N1774">
        <v>1.8440000000000001</v>
      </c>
      <c r="O1774" t="s">
        <v>2833</v>
      </c>
      <c r="P1774" t="s">
        <v>2833</v>
      </c>
      <c r="Q1774" t="s">
        <v>2833</v>
      </c>
      <c r="R1774">
        <f ca="1">RAND()*(Validation[[#This Row],[Range1_High]]-Validation[[#This Row],[Range1_Low]])+Validation[[#This Row],[Range1_Low]]</f>
        <v>0.24379608419471921</v>
      </c>
      <c r="S1774">
        <f>Validation[[#This Row],[Range2_High]]</f>
        <v>4.4999999999999998E-2</v>
      </c>
      <c r="T1774" t="str" cm="1">
        <f t="array" aca="1" ref="T1774" ca="1">RoundToTwoSigFigs(Validation[[#This Row],[Test Reading]]*Validation[[#This Row],[Mult]]+Validation[[#This Row],[Base]]) &amp;" "&amp;Validation[[#This Row],[Uncert_Units]]</f>
        <v>0.72 mA</v>
      </c>
      <c r="U17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mA</v>
      </c>
      <c r="V1774" t="b">
        <f ca="1">Validation[[#This Row],[Desired Result]]=Validation[[#This Row],[Result]]</f>
        <v>0</v>
      </c>
      <c r="W1774" t="b">
        <v>1</v>
      </c>
      <c r="X1774" t="b">
        <f>Validation[[#This Row],[Range1_Low]]&gt;=Validation[[#This Row],[Range1_High]]</f>
        <v>0</v>
      </c>
      <c r="Y1774" s="111" t="s">
        <v>2843</v>
      </c>
    </row>
    <row r="1775" spans="1:25" ht="16.5" thickTop="1" thickBot="1" x14ac:dyDescent="0.3">
      <c r="A1775" t="s">
        <v>54</v>
      </c>
      <c r="B1775" t="s">
        <v>47</v>
      </c>
      <c r="C1775" s="113">
        <v>3.3E-3</v>
      </c>
      <c r="D1775" s="113">
        <v>3.3001000000000003E-2</v>
      </c>
      <c r="E1775">
        <v>9.9999999999999995E-7</v>
      </c>
      <c r="F1775" t="s">
        <v>13</v>
      </c>
      <c r="G1775" t="s">
        <v>11</v>
      </c>
      <c r="H1775">
        <v>0.02</v>
      </c>
      <c r="I1775">
        <v>4.5010000000000001E-2</v>
      </c>
      <c r="J1775" t="s">
        <v>10</v>
      </c>
      <c r="K1775">
        <v>4.9169999999999998</v>
      </c>
      <c r="L1775">
        <v>977.92</v>
      </c>
      <c r="M1775">
        <v>4.9145000000000003</v>
      </c>
      <c r="N1775">
        <v>977.93</v>
      </c>
      <c r="O1775" t="s">
        <v>2833</v>
      </c>
      <c r="P1775" t="s">
        <v>2833</v>
      </c>
      <c r="Q1775" t="s">
        <v>2833</v>
      </c>
      <c r="R1775">
        <f ca="1">RAND()*(Validation[[#This Row],[Range1_High]]-Validation[[#This Row],[Range1_Low]])+Validation[[#This Row],[Range1_Low]]</f>
        <v>2.5734596244257536E-2</v>
      </c>
      <c r="S1775">
        <f>Validation[[#This Row],[Range2_High]]</f>
        <v>4.5010000000000001E-2</v>
      </c>
      <c r="T1775" t="str" cm="1">
        <f t="array" aca="1" ref="T1775" ca="1">RoundToTwoSigFigs(Validation[[#This Row],[Test Reading]]*Validation[[#This Row],[Mult]]+Validation[[#This Row],[Base]]) &amp;" "&amp;Validation[[#This Row],[Uncert_Units]]</f>
        <v>30 µA</v>
      </c>
      <c r="U17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V1775" t="b">
        <f ca="1">Validation[[#This Row],[Desired Result]]=Validation[[#This Row],[Result]]</f>
        <v>1</v>
      </c>
      <c r="W1775" t="b">
        <v>1</v>
      </c>
      <c r="X1775" t="b">
        <f>Validation[[#This Row],[Range1_Low]]&gt;=Validation[[#This Row],[Range1_High]]</f>
        <v>0</v>
      </c>
      <c r="Y1775" s="111" t="s">
        <v>2843</v>
      </c>
    </row>
    <row r="1776" spans="1:25" ht="16.5" thickTop="1" thickBot="1" x14ac:dyDescent="0.3">
      <c r="A1776" t="s">
        <v>54</v>
      </c>
      <c r="B1776" t="s">
        <v>47</v>
      </c>
      <c r="C1776">
        <v>3.3E-4</v>
      </c>
      <c r="D1776">
        <v>3.3000999999999998E-3</v>
      </c>
      <c r="E1776">
        <v>9.9999999999999995E-7</v>
      </c>
      <c r="F1776" t="s">
        <v>13</v>
      </c>
      <c r="G1776" t="s">
        <v>11</v>
      </c>
      <c r="H1776">
        <v>0.01</v>
      </c>
      <c r="I1776">
        <v>2.001E-2</v>
      </c>
      <c r="J1776" t="s">
        <v>10</v>
      </c>
      <c r="K1776">
        <v>0.35293999999999998</v>
      </c>
      <c r="L1776">
        <v>2267.3000000000002</v>
      </c>
      <c r="M1776">
        <v>0.35227000000000003</v>
      </c>
      <c r="N1776">
        <v>2267.5</v>
      </c>
      <c r="O1776" t="s">
        <v>2833</v>
      </c>
      <c r="P1776" t="s">
        <v>2833</v>
      </c>
      <c r="Q1776" t="s">
        <v>2833</v>
      </c>
      <c r="R1776">
        <f ca="1">RAND()*(Validation[[#This Row],[Range1_High]]-Validation[[#This Row],[Range1_Low]])+Validation[[#This Row],[Range1_Low]]</f>
        <v>2.6254986662903649E-3</v>
      </c>
      <c r="S1776">
        <f>Validation[[#This Row],[Range2_High]]</f>
        <v>2.001E-2</v>
      </c>
      <c r="T1776" t="str" cm="1">
        <f t="array" aca="1" ref="T1776" ca="1">RoundToTwoSigFigs(Validation[[#This Row],[Test Reading]]*Validation[[#This Row],[Mult]]+Validation[[#This Row],[Base]]) &amp;" "&amp;Validation[[#This Row],[Uncert_Units]]</f>
        <v>6.3 µA</v>
      </c>
      <c r="U17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V1776" t="b">
        <f ca="1">Validation[[#This Row],[Desired Result]]=Validation[[#This Row],[Result]]</f>
        <v>1</v>
      </c>
      <c r="W1776" t="b">
        <v>0</v>
      </c>
      <c r="X1776" t="b">
        <f>Validation[[#This Row],[Range1_Low]]&gt;=Validation[[#This Row],[Range1_High]]</f>
        <v>0</v>
      </c>
      <c r="Y1776" s="111" t="s">
        <v>2845</v>
      </c>
    </row>
    <row r="1777" spans="1:25" ht="16.5" thickTop="1" thickBot="1" x14ac:dyDescent="0.3">
      <c r="A1777" t="s">
        <v>55</v>
      </c>
      <c r="B1777" t="s">
        <v>47</v>
      </c>
      <c r="C1777" s="113">
        <v>0.1</v>
      </c>
      <c r="D1777" s="113">
        <v>1</v>
      </c>
      <c r="E1777">
        <v>1E-3</v>
      </c>
      <c r="F1777" t="s">
        <v>13</v>
      </c>
      <c r="G1777" t="s">
        <v>12</v>
      </c>
      <c r="H1777">
        <v>5</v>
      </c>
      <c r="I1777">
        <v>20</v>
      </c>
      <c r="J1777" t="s">
        <v>10</v>
      </c>
      <c r="K1777">
        <v>0.48562</v>
      </c>
      <c r="L1777">
        <v>3.3290000000000002</v>
      </c>
      <c r="M1777">
        <v>0.48418</v>
      </c>
      <c r="N1777">
        <v>3.3296999999999999</v>
      </c>
      <c r="O1777" t="s">
        <v>2833</v>
      </c>
      <c r="P1777" t="s">
        <v>2833</v>
      </c>
      <c r="Q1777" t="s">
        <v>2833</v>
      </c>
      <c r="R1777">
        <f ca="1">RAND()*(Validation[[#This Row],[Range1_High]]-Validation[[#This Row],[Range1_Low]])+Validation[[#This Row],[Range1_Low]]</f>
        <v>0.79556115600944466</v>
      </c>
      <c r="S1777">
        <f>Validation[[#This Row],[Range2_High]]</f>
        <v>20</v>
      </c>
      <c r="T1777" t="str" cm="1">
        <f t="array" aca="1" ref="T1777" ca="1">RoundToTwoSigFigs(Validation[[#This Row],[Test Reading]]*Validation[[#This Row],[Mult]]+Validation[[#This Row],[Base]]) &amp;" "&amp;Validation[[#This Row],[Uncert_Units]]</f>
        <v>3.1 mA</v>
      </c>
      <c r="U17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V1777" t="b">
        <f ca="1">Validation[[#This Row],[Desired Result]]=Validation[[#This Row],[Result]]</f>
        <v>0</v>
      </c>
      <c r="W1777" t="b">
        <v>1</v>
      </c>
      <c r="X1777" t="b">
        <f>Validation[[#This Row],[Range1_Low]]&gt;=Validation[[#This Row],[Range1_High]]</f>
        <v>0</v>
      </c>
      <c r="Y1777" s="111" t="s">
        <v>2843</v>
      </c>
    </row>
    <row r="1778" spans="1:25" ht="16.5" thickTop="1" thickBot="1" x14ac:dyDescent="0.3">
      <c r="A1778" t="s">
        <v>55</v>
      </c>
      <c r="B1778" t="s">
        <v>47</v>
      </c>
      <c r="C1778">
        <v>0</v>
      </c>
      <c r="D1778">
        <v>1E-4</v>
      </c>
      <c r="E1778">
        <v>1E-10</v>
      </c>
      <c r="F1778" t="s">
        <v>13</v>
      </c>
      <c r="G1778" t="s">
        <v>11</v>
      </c>
      <c r="H1778">
        <v>1E-3</v>
      </c>
      <c r="I1778">
        <v>0.02</v>
      </c>
      <c r="J1778" t="s">
        <v>10</v>
      </c>
      <c r="K1778">
        <v>7.6999999999999999E-2</v>
      </c>
      <c r="L1778">
        <v>4200</v>
      </c>
      <c r="M1778">
        <v>7.6632000000000006E-2</v>
      </c>
      <c r="N1778">
        <v>4198.8999999999996</v>
      </c>
      <c r="O1778" t="s">
        <v>2833</v>
      </c>
      <c r="P1778" t="s">
        <v>2833</v>
      </c>
      <c r="Q1778" t="s">
        <v>2833</v>
      </c>
      <c r="R1778">
        <f ca="1">RAND()*(Validation[[#This Row],[Range1_High]]-Validation[[#This Row],[Range1_Low]])+Validation[[#This Row],[Range1_Low]]</f>
        <v>4.9455446190684869E-7</v>
      </c>
      <c r="S1778">
        <f>Validation[[#This Row],[Range2_High]]</f>
        <v>0.02</v>
      </c>
      <c r="T1778" t="str" cm="1">
        <f t="array" aca="1" ref="T1778" ca="1">RoundToTwoSigFigs(Validation[[#This Row],[Test Reading]]*Validation[[#This Row],[Mult]]+Validation[[#This Row],[Base]]) &amp;" "&amp;Validation[[#This Row],[Uncert_Units]]</f>
        <v>0.079 µA</v>
      </c>
      <c r="U17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0.039 µA</v>
      </c>
      <c r="V1778" t="b">
        <f ca="1">Validation[[#This Row],[Desired Result]]=Validation[[#This Row],[Result]]</f>
        <v>0</v>
      </c>
      <c r="W1778" t="b">
        <v>1</v>
      </c>
      <c r="X1778" t="b">
        <f>Validation[[#This Row],[Range1_Low]]&gt;=Validation[[#This Row],[Range1_High]]</f>
        <v>0</v>
      </c>
      <c r="Y1778" s="111" t="s">
        <v>2845</v>
      </c>
    </row>
    <row r="1779" spans="1:25" ht="16.5" thickTop="1" thickBot="1" x14ac:dyDescent="0.3">
      <c r="A1779" t="s">
        <v>55</v>
      </c>
      <c r="B1779" t="s">
        <v>47</v>
      </c>
      <c r="C1779" s="113">
        <v>0.01</v>
      </c>
      <c r="D1779" s="113">
        <v>0.1</v>
      </c>
      <c r="E1779">
        <v>1E-4</v>
      </c>
      <c r="F1779" t="s">
        <v>13</v>
      </c>
      <c r="G1779" t="s">
        <v>11</v>
      </c>
      <c r="H1779">
        <v>4.4999999999999998E-2</v>
      </c>
      <c r="I1779">
        <v>0.1</v>
      </c>
      <c r="J1779" t="s">
        <v>10</v>
      </c>
      <c r="K1779">
        <v>60.335999999999999</v>
      </c>
      <c r="L1779">
        <v>490.93</v>
      </c>
      <c r="M1779">
        <v>60.226999999999997</v>
      </c>
      <c r="N1779">
        <v>488.21</v>
      </c>
      <c r="O1779" t="s">
        <v>2833</v>
      </c>
      <c r="P1779" t="s">
        <v>2833</v>
      </c>
      <c r="Q1779" t="s">
        <v>2833</v>
      </c>
      <c r="R1779">
        <f ca="1">RAND()*(Validation[[#This Row],[Range1_High]]-Validation[[#This Row],[Range1_Low]])+Validation[[#This Row],[Range1_Low]]</f>
        <v>2.3424315223266233E-2</v>
      </c>
      <c r="S1779">
        <f>Validation[[#This Row],[Range2_High]]</f>
        <v>0.1</v>
      </c>
      <c r="T1779" t="str" cm="1">
        <f t="array" aca="1" ref="T1779" ca="1">RoundToTwoSigFigs(Validation[[#This Row],[Test Reading]]*Validation[[#This Row],[Mult]]+Validation[[#This Row],[Base]]) &amp;" "&amp;Validation[[#This Row],[Uncert_Units]]</f>
        <v>72 µA</v>
      </c>
      <c r="U17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V1779" t="b">
        <f ca="1">Validation[[#This Row],[Desired Result]]=Validation[[#This Row],[Result]]</f>
        <v>0</v>
      </c>
      <c r="W1779" t="b">
        <v>1</v>
      </c>
      <c r="X1779" t="b">
        <f>Validation[[#This Row],[Range1_Low]]&gt;=Validation[[#This Row],[Range1_High]]</f>
        <v>0</v>
      </c>
      <c r="Y1779" s="111" t="s">
        <v>2843</v>
      </c>
    </row>
    <row r="1780" spans="1:25" ht="15.75" thickTop="1" x14ac:dyDescent="0.25">
      <c r="A1780" t="s">
        <v>54</v>
      </c>
      <c r="B1780" t="s">
        <v>47</v>
      </c>
      <c r="C1780">
        <v>1.1000000000000001</v>
      </c>
      <c r="D1780">
        <v>3.0009999999999999</v>
      </c>
      <c r="E1780">
        <v>0.1</v>
      </c>
      <c r="F1780" t="s">
        <v>13</v>
      </c>
      <c r="G1780" t="s">
        <v>12</v>
      </c>
      <c r="H1780">
        <v>0.01</v>
      </c>
      <c r="I1780">
        <v>4.5010000000000001E-2</v>
      </c>
      <c r="J1780" t="s">
        <v>10</v>
      </c>
      <c r="K1780">
        <v>57.613</v>
      </c>
      <c r="L1780">
        <v>0.15837999999999999</v>
      </c>
      <c r="M1780">
        <v>57.613</v>
      </c>
      <c r="N1780">
        <v>0.15706000000000001</v>
      </c>
      <c r="O1780" t="s">
        <v>2833</v>
      </c>
      <c r="P1780" t="s">
        <v>2833</v>
      </c>
      <c r="Q1780" t="s">
        <v>2833</v>
      </c>
      <c r="R1780">
        <f ca="1">RAND()*(Validation[[#This Row],[Range1_High]]-Validation[[#This Row],[Range1_Low]])+Validation[[#This Row],[Range1_Low]]</f>
        <v>2.7803283414621038</v>
      </c>
      <c r="S1780">
        <f>Validation[[#This Row],[Range2_High]]</f>
        <v>4.5010000000000001E-2</v>
      </c>
      <c r="T1780" t="str" cm="1">
        <f t="array" aca="1" ref="T1780" ca="1">RoundToTwoSigFigs(Validation[[#This Row],[Test Reading]]*Validation[[#This Row],[Mult]]+Validation[[#This Row],[Base]]) &amp;" "&amp;Validation[[#This Row],[Uncert_Units]]</f>
        <v>58 mA</v>
      </c>
      <c r="U17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1780" t="b">
        <f ca="1">Validation[[#This Row],[Desired Result]]=Validation[[#This Row],[Result]]</f>
        <v>1</v>
      </c>
      <c r="W1780" t="b">
        <v>0</v>
      </c>
      <c r="X1780" t="b">
        <f>Validation[[#This Row],[Range1_Low]]&gt;=Validation[[#This Row],[Range1_High]]</f>
        <v>0</v>
      </c>
      <c r="Y1780" s="111" t="s">
        <v>2845</v>
      </c>
    </row>
    <row r="1781" spans="1:25" x14ac:dyDescent="0.25">
      <c r="A1781" t="s">
        <v>54</v>
      </c>
      <c r="B1781" t="s">
        <v>47</v>
      </c>
      <c r="C1781">
        <v>1.1000000000000001</v>
      </c>
      <c r="D1781">
        <v>3.0009999999999999</v>
      </c>
      <c r="E1781">
        <v>1E-3</v>
      </c>
      <c r="F1781" t="s">
        <v>13</v>
      </c>
      <c r="G1781" t="s">
        <v>12</v>
      </c>
      <c r="H1781">
        <v>0.01</v>
      </c>
      <c r="I1781">
        <v>4.5010000000000001E-2</v>
      </c>
      <c r="J1781" t="s">
        <v>10</v>
      </c>
      <c r="K1781">
        <v>0.18892</v>
      </c>
      <c r="L1781">
        <v>2.077</v>
      </c>
      <c r="M1781">
        <v>0.20868</v>
      </c>
      <c r="N1781">
        <v>2.0565000000000002</v>
      </c>
      <c r="O1781" t="s">
        <v>2833</v>
      </c>
      <c r="P1781" t="s">
        <v>2833</v>
      </c>
      <c r="Q1781" t="s">
        <v>2833</v>
      </c>
      <c r="R1781">
        <f ca="1">RAND()*(Validation[[#This Row],[Range1_High]]-Validation[[#This Row],[Range1_Low]])+Validation[[#This Row],[Range1_Low]]</f>
        <v>1.7907829551791816</v>
      </c>
      <c r="S1781">
        <f>Validation[[#This Row],[Range2_High]]</f>
        <v>4.5010000000000001E-2</v>
      </c>
      <c r="T1781" t="str" cm="1">
        <f t="array" aca="1" ref="T1781" ca="1">RoundToTwoSigFigs(Validation[[#This Row],[Test Reading]]*Validation[[#This Row],[Mult]]+Validation[[#This Row],[Base]]) &amp;" "&amp;Validation[[#This Row],[Uncert_Units]]</f>
        <v>3.9 mA</v>
      </c>
      <c r="U17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V1781" t="b">
        <f ca="1">Validation[[#This Row],[Desired Result]]=Validation[[#This Row],[Result]]</f>
        <v>0</v>
      </c>
      <c r="W1781" t="b">
        <v>1</v>
      </c>
      <c r="X1781" t="b">
        <f>Validation[[#This Row],[Range1_Low]]&gt;=Validation[[#This Row],[Range1_High]]</f>
        <v>0</v>
      </c>
      <c r="Y1781" s="111" t="s">
        <v>2845</v>
      </c>
    </row>
    <row r="1782" spans="1:25" ht="15.75" thickBot="1" x14ac:dyDescent="0.3">
      <c r="A1782" t="s">
        <v>54</v>
      </c>
      <c r="B1782" t="s">
        <v>47</v>
      </c>
      <c r="C1782">
        <v>0</v>
      </c>
      <c r="D1782">
        <v>3.3000999999999999E-4</v>
      </c>
      <c r="E1782">
        <v>0.01</v>
      </c>
      <c r="F1782" t="s">
        <v>13</v>
      </c>
      <c r="G1782" t="s">
        <v>11</v>
      </c>
      <c r="H1782">
        <v>10</v>
      </c>
      <c r="I1782">
        <v>30</v>
      </c>
      <c r="J1782" t="s">
        <v>10</v>
      </c>
      <c r="K1782">
        <v>5773.6</v>
      </c>
      <c r="L1782">
        <v>12.164999999999999</v>
      </c>
      <c r="M1782">
        <v>5773.5</v>
      </c>
      <c r="N1782">
        <v>12.09</v>
      </c>
      <c r="O1782" t="s">
        <v>2833</v>
      </c>
      <c r="P1782" t="s">
        <v>2833</v>
      </c>
      <c r="Q1782" t="s">
        <v>2833</v>
      </c>
      <c r="R1782">
        <f ca="1">RAND()*(Validation[[#This Row],[Range1_High]]-Validation[[#This Row],[Range1_Low]])+Validation[[#This Row],[Range1_Low]]</f>
        <v>6.2545880459804367E-5</v>
      </c>
      <c r="S1782">
        <f>Validation[[#This Row],[Range2_High]]</f>
        <v>30</v>
      </c>
      <c r="T1782" t="str" cm="1">
        <f t="array" aca="1" ref="T1782" ca="1">RoundToTwoSigFigs(Validation[[#This Row],[Test Reading]]*Validation[[#This Row],[Mult]]+Validation[[#This Row],[Base]]) &amp;" "&amp;Validation[[#This Row],[Uncert_Units]]</f>
        <v>5800 µA</v>
      </c>
      <c r="U17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782" t="b">
        <f ca="1">Validation[[#This Row],[Desired Result]]=Validation[[#This Row],[Result]]</f>
        <v>1</v>
      </c>
      <c r="W1782" t="b">
        <v>0</v>
      </c>
      <c r="X1782" t="b">
        <f>Validation[[#This Row],[Range1_Low]]&gt;=Validation[[#This Row],[Range1_High]]</f>
        <v>0</v>
      </c>
      <c r="Y1782" s="111" t="s">
        <v>2845</v>
      </c>
    </row>
    <row r="1783" spans="1:25" ht="16.5" thickTop="1" thickBot="1" x14ac:dyDescent="0.3">
      <c r="A1783" t="s">
        <v>68</v>
      </c>
      <c r="B1783" t="s">
        <v>47</v>
      </c>
      <c r="C1783" s="113">
        <v>1E-3</v>
      </c>
      <c r="D1783" s="113">
        <v>1.04E-2</v>
      </c>
      <c r="E1783">
        <v>1.0000000000000001E-5</v>
      </c>
      <c r="F1783" t="s">
        <v>13</v>
      </c>
      <c r="G1783" t="s">
        <v>11</v>
      </c>
      <c r="H1783">
        <v>0.01</v>
      </c>
      <c r="I1783">
        <v>2</v>
      </c>
      <c r="J1783" t="s">
        <v>10</v>
      </c>
      <c r="K1783">
        <v>11.172000000000001</v>
      </c>
      <c r="L1783">
        <v>1119.7</v>
      </c>
      <c r="M1783">
        <v>11.167999999999999</v>
      </c>
      <c r="N1783">
        <v>1118.5999999999999</v>
      </c>
      <c r="O1783" t="s">
        <v>2833</v>
      </c>
      <c r="P1783" t="s">
        <v>2833</v>
      </c>
      <c r="Q1783" t="s">
        <v>2833</v>
      </c>
      <c r="R1783">
        <f ca="1">RAND()*(Validation[[#This Row],[Range1_High]]-Validation[[#This Row],[Range1_Low]])+Validation[[#This Row],[Range1_Low]]</f>
        <v>4.5363879799748749E-3</v>
      </c>
      <c r="S1783">
        <f>Validation[[#This Row],[Range2_High]]</f>
        <v>2</v>
      </c>
      <c r="T1783" t="str" cm="1">
        <f t="array" aca="1" ref="T1783" ca="1">RoundToTwoSigFigs(Validation[[#This Row],[Test Reading]]*Validation[[#This Row],[Mult]]+Validation[[#This Row],[Base]]) &amp;" "&amp;Validation[[#This Row],[Uncert_Units]]</f>
        <v>16 µA</v>
      </c>
      <c r="U17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V1783" t="b">
        <f ca="1">Validation[[#This Row],[Desired Result]]=Validation[[#This Row],[Result]]</f>
        <v>1</v>
      </c>
      <c r="W1783" t="b">
        <v>1</v>
      </c>
      <c r="X1783" t="b">
        <f>Validation[[#This Row],[Range1_Low]]&gt;=Validation[[#This Row],[Range1_High]]</f>
        <v>0</v>
      </c>
      <c r="Y1783" s="111" t="s">
        <v>2843</v>
      </c>
    </row>
    <row r="1784" spans="1:25" ht="16.5" thickTop="1" thickBot="1" x14ac:dyDescent="0.3">
      <c r="A1784" t="s">
        <v>55</v>
      </c>
      <c r="B1784" t="s">
        <v>47</v>
      </c>
      <c r="C1784" s="113">
        <v>10</v>
      </c>
      <c r="D1784" s="113">
        <v>20</v>
      </c>
      <c r="E1784">
        <v>0.01</v>
      </c>
      <c r="F1784" t="s">
        <v>13</v>
      </c>
      <c r="G1784" t="s">
        <v>12</v>
      </c>
      <c r="H1784">
        <v>0.05</v>
      </c>
      <c r="I1784">
        <v>1</v>
      </c>
      <c r="J1784" t="s">
        <v>10</v>
      </c>
      <c r="K1784">
        <v>3.3353999999999999</v>
      </c>
      <c r="L1784">
        <v>0.33323000000000003</v>
      </c>
      <c r="M1784">
        <v>6.0285000000000002</v>
      </c>
      <c r="N1784">
        <v>6.3256000000000007E-2</v>
      </c>
      <c r="O1784" t="s">
        <v>2833</v>
      </c>
      <c r="P1784" t="s">
        <v>2833</v>
      </c>
      <c r="Q1784" t="s">
        <v>2833</v>
      </c>
      <c r="R1784">
        <f ca="1">RAND()*(Validation[[#This Row],[Range1_High]]-Validation[[#This Row],[Range1_Low]])+Validation[[#This Row],[Range1_Low]]</f>
        <v>14.292117469983856</v>
      </c>
      <c r="S1784">
        <f>Validation[[#This Row],[Range2_High]]</f>
        <v>1</v>
      </c>
      <c r="T1784" t="str" cm="1">
        <f t="array" aca="1" ref="T1784" ca="1">RoundToTwoSigFigs(Validation[[#This Row],[Test Reading]]*Validation[[#This Row],[Mult]]+Validation[[#This Row],[Base]]) &amp;" "&amp;Validation[[#This Row],[Uncert_Units]]</f>
        <v>8.1 mA</v>
      </c>
      <c r="U17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V1784" t="b">
        <f ca="1">Validation[[#This Row],[Desired Result]]=Validation[[#This Row],[Result]]</f>
        <v>0</v>
      </c>
      <c r="W1784" t="b">
        <v>1</v>
      </c>
      <c r="X1784" t="b">
        <f>Validation[[#This Row],[Range1_Low]]&gt;=Validation[[#This Row],[Range1_High]]</f>
        <v>0</v>
      </c>
      <c r="Y1784" s="111" t="s">
        <v>2843</v>
      </c>
    </row>
    <row r="1785" spans="1:25" ht="16.5" thickTop="1" thickBot="1" x14ac:dyDescent="0.3">
      <c r="A1785" t="s">
        <v>55</v>
      </c>
      <c r="B1785" t="s">
        <v>47</v>
      </c>
      <c r="C1785" s="113">
        <v>0.1</v>
      </c>
      <c r="D1785" s="113">
        <v>1</v>
      </c>
      <c r="E1785">
        <v>1.0000000000000001E-5</v>
      </c>
      <c r="F1785" t="s">
        <v>13</v>
      </c>
      <c r="G1785" t="s">
        <v>12</v>
      </c>
      <c r="H1785">
        <v>0.1</v>
      </c>
      <c r="I1785">
        <v>5</v>
      </c>
      <c r="J1785" t="s">
        <v>10</v>
      </c>
      <c r="K1785">
        <v>0.24</v>
      </c>
      <c r="L1785">
        <v>1.2</v>
      </c>
      <c r="M1785">
        <v>0.2283</v>
      </c>
      <c r="N1785">
        <v>1.1854</v>
      </c>
      <c r="O1785" t="s">
        <v>2833</v>
      </c>
      <c r="P1785" t="s">
        <v>2833</v>
      </c>
      <c r="Q1785" t="s">
        <v>2833</v>
      </c>
      <c r="R1785">
        <f ca="1">RAND()*(Validation[[#This Row],[Range1_High]]-Validation[[#This Row],[Range1_Low]])+Validation[[#This Row],[Range1_Low]]</f>
        <v>0.31305530480286181</v>
      </c>
      <c r="S1785">
        <f>Validation[[#This Row],[Range2_High]]</f>
        <v>5</v>
      </c>
      <c r="T1785" t="str" cm="1">
        <f t="array" aca="1" ref="T1785" ca="1">RoundToTwoSigFigs(Validation[[#This Row],[Test Reading]]*Validation[[#This Row],[Mult]]+Validation[[#This Row],[Base]]) &amp;" "&amp;Validation[[#This Row],[Uncert_Units]]</f>
        <v>0.62 mA</v>
      </c>
      <c r="U17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mA</v>
      </c>
      <c r="V1785" t="b">
        <f ca="1">Validation[[#This Row],[Desired Result]]=Validation[[#This Row],[Result]]</f>
        <v>1</v>
      </c>
      <c r="W1785" t="b">
        <v>1</v>
      </c>
      <c r="X1785" t="b">
        <f>Validation[[#This Row],[Range1_Low]]&gt;=Validation[[#This Row],[Range1_High]]</f>
        <v>0</v>
      </c>
      <c r="Y1785" s="111" t="s">
        <v>2843</v>
      </c>
    </row>
    <row r="1786" spans="1:25" ht="16.5" thickTop="1" thickBot="1" x14ac:dyDescent="0.3">
      <c r="A1786" t="s">
        <v>55</v>
      </c>
      <c r="B1786" t="s">
        <v>47</v>
      </c>
      <c r="C1786" s="113">
        <v>0.01</v>
      </c>
      <c r="D1786" s="113">
        <v>0.1</v>
      </c>
      <c r="E1786">
        <v>9.9999999999999995E-7</v>
      </c>
      <c r="F1786" t="s">
        <v>13</v>
      </c>
      <c r="G1786" t="s">
        <v>11</v>
      </c>
      <c r="H1786">
        <v>1E-3</v>
      </c>
      <c r="I1786">
        <v>0.02</v>
      </c>
      <c r="J1786" t="s">
        <v>10</v>
      </c>
      <c r="K1786">
        <v>25</v>
      </c>
      <c r="L1786">
        <v>4600</v>
      </c>
      <c r="M1786">
        <v>23.099</v>
      </c>
      <c r="N1786">
        <v>4618.8</v>
      </c>
      <c r="O1786" t="s">
        <v>2833</v>
      </c>
      <c r="P1786" t="s">
        <v>2833</v>
      </c>
      <c r="Q1786" t="s">
        <v>2833</v>
      </c>
      <c r="R1786">
        <f ca="1">RAND()*(Validation[[#This Row],[Range1_High]]-Validation[[#This Row],[Range1_Low]])+Validation[[#This Row],[Range1_Low]]</f>
        <v>2.8627888236132305E-2</v>
      </c>
      <c r="S1786">
        <f>Validation[[#This Row],[Range2_High]]</f>
        <v>0.02</v>
      </c>
      <c r="T1786" t="str" cm="1">
        <f t="array" aca="1" ref="T1786" ca="1">RoundToTwoSigFigs(Validation[[#This Row],[Test Reading]]*Validation[[#This Row],[Mult]]+Validation[[#This Row],[Base]]) &amp;" "&amp;Validation[[#This Row],[Uncert_Units]]</f>
        <v>160 µA</v>
      </c>
      <c r="U17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V1786" t="b">
        <f ca="1">Validation[[#This Row],[Desired Result]]=Validation[[#This Row],[Result]]</f>
        <v>1</v>
      </c>
      <c r="W1786" t="b">
        <v>1</v>
      </c>
      <c r="X1786" t="b">
        <f>Validation[[#This Row],[Range1_Low]]&gt;=Validation[[#This Row],[Range1_High]]</f>
        <v>0</v>
      </c>
      <c r="Y1786" s="111" t="s">
        <v>2843</v>
      </c>
    </row>
    <row r="1787" spans="1:25" ht="16.5" thickTop="1" thickBot="1" x14ac:dyDescent="0.3">
      <c r="A1787" t="s">
        <v>55</v>
      </c>
      <c r="B1787" t="s">
        <v>47</v>
      </c>
      <c r="C1787">
        <v>0</v>
      </c>
      <c r="D1787">
        <v>1E-4</v>
      </c>
      <c r="E1787">
        <v>1.0000000000000001E-5</v>
      </c>
      <c r="F1787" t="s">
        <v>13</v>
      </c>
      <c r="G1787" t="s">
        <v>11</v>
      </c>
      <c r="H1787">
        <v>4.4999999999999998E-2</v>
      </c>
      <c r="I1787">
        <v>5</v>
      </c>
      <c r="J1787" t="s">
        <v>10</v>
      </c>
      <c r="K1787">
        <v>5.7736000000000001</v>
      </c>
      <c r="L1787">
        <v>9.7714999999999996</v>
      </c>
      <c r="M1787">
        <v>5.7728000000000002</v>
      </c>
      <c r="N1787">
        <v>9.2142999999999997</v>
      </c>
      <c r="O1787" t="s">
        <v>2833</v>
      </c>
      <c r="P1787" t="s">
        <v>2833</v>
      </c>
      <c r="Q1787" t="s">
        <v>2833</v>
      </c>
      <c r="R1787">
        <f ca="1">RAND()*(Validation[[#This Row],[Range1_High]]-Validation[[#This Row],[Range1_Low]])+Validation[[#This Row],[Range1_Low]]</f>
        <v>6.5746358670683367E-5</v>
      </c>
      <c r="S1787">
        <f>Validation[[#This Row],[Range2_High]]</f>
        <v>5</v>
      </c>
      <c r="T1787" t="str" cm="1">
        <f t="array" aca="1" ref="T1787" ca="1">RoundToTwoSigFigs(Validation[[#This Row],[Test Reading]]*Validation[[#This Row],[Mult]]+Validation[[#This Row],[Base]]) &amp;" "&amp;Validation[[#This Row],[Uncert_Units]]</f>
        <v>5.8 µA</v>
      </c>
      <c r="U17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787" t="b">
        <f ca="1">Validation[[#This Row],[Desired Result]]=Validation[[#This Row],[Result]]</f>
        <v>1</v>
      </c>
      <c r="W1787" t="b">
        <v>0</v>
      </c>
      <c r="X1787" t="b">
        <f>Validation[[#This Row],[Range1_Low]]&gt;=Validation[[#This Row],[Range1_High]]</f>
        <v>0</v>
      </c>
      <c r="Y1787" s="111" t="s">
        <v>2845</v>
      </c>
    </row>
    <row r="1788" spans="1:25" ht="16.5" thickTop="1" thickBot="1" x14ac:dyDescent="0.3">
      <c r="A1788" t="s">
        <v>54</v>
      </c>
      <c r="B1788" t="s">
        <v>47</v>
      </c>
      <c r="C1788" s="113">
        <v>3.3000000000000002E-2</v>
      </c>
      <c r="D1788" s="113">
        <v>0.33001000000000003</v>
      </c>
      <c r="E1788">
        <v>1E-4</v>
      </c>
      <c r="F1788" t="s">
        <v>13</v>
      </c>
      <c r="G1788" t="s">
        <v>12</v>
      </c>
      <c r="H1788">
        <v>0.02</v>
      </c>
      <c r="I1788">
        <v>4.5010000000000001E-2</v>
      </c>
      <c r="J1788" t="s">
        <v>10</v>
      </c>
      <c r="K1788">
        <v>4.9202999999999997E-2</v>
      </c>
      <c r="L1788">
        <v>0.97804000000000002</v>
      </c>
      <c r="M1788">
        <v>4.9192E-2</v>
      </c>
      <c r="N1788">
        <v>0.97804000000000002</v>
      </c>
      <c r="O1788" t="s">
        <v>2833</v>
      </c>
      <c r="P1788" t="s">
        <v>2833</v>
      </c>
      <c r="Q1788" t="s">
        <v>2833</v>
      </c>
      <c r="R1788">
        <f ca="1">RAND()*(Validation[[#This Row],[Range1_High]]-Validation[[#This Row],[Range1_Low]])+Validation[[#This Row],[Range1_Low]]</f>
        <v>0.30571885959741507</v>
      </c>
      <c r="S1788">
        <f>Validation[[#This Row],[Range2_High]]</f>
        <v>4.5010000000000001E-2</v>
      </c>
      <c r="T1788" t="str" cm="1">
        <f t="array" aca="1" ref="T1788" ca="1">RoundToTwoSigFigs(Validation[[#This Row],[Test Reading]]*Validation[[#This Row],[Mult]]+Validation[[#This Row],[Base]]) &amp;" "&amp;Validation[[#This Row],[Uncert_Units]]</f>
        <v>0.35 mA</v>
      </c>
      <c r="U17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mA</v>
      </c>
      <c r="V1788" t="b">
        <f ca="1">Validation[[#This Row],[Desired Result]]=Validation[[#This Row],[Result]]</f>
        <v>1</v>
      </c>
      <c r="W1788" t="b">
        <v>1</v>
      </c>
      <c r="X1788" t="b">
        <f>Validation[[#This Row],[Range1_Low]]&gt;=Validation[[#This Row],[Range1_High]]</f>
        <v>0</v>
      </c>
      <c r="Y1788" s="111" t="s">
        <v>2843</v>
      </c>
    </row>
    <row r="1789" spans="1:25" ht="16.5" thickTop="1" thickBot="1" x14ac:dyDescent="0.3">
      <c r="A1789" t="s">
        <v>55</v>
      </c>
      <c r="B1789" t="s">
        <v>47</v>
      </c>
      <c r="C1789" s="113">
        <v>0.01</v>
      </c>
      <c r="D1789" s="113">
        <v>0.1</v>
      </c>
      <c r="E1789">
        <v>9.9999999999999995E-7</v>
      </c>
      <c r="F1789" t="s">
        <v>13</v>
      </c>
      <c r="G1789" t="s">
        <v>11</v>
      </c>
      <c r="H1789">
        <v>0.1</v>
      </c>
      <c r="I1789">
        <v>5</v>
      </c>
      <c r="J1789" t="s">
        <v>10</v>
      </c>
      <c r="K1789">
        <v>25</v>
      </c>
      <c r="L1789">
        <v>355.17</v>
      </c>
      <c r="M1789">
        <v>22.960999999999999</v>
      </c>
      <c r="N1789">
        <v>364.62</v>
      </c>
      <c r="O1789" t="s">
        <v>2833</v>
      </c>
      <c r="P1789" t="s">
        <v>2833</v>
      </c>
      <c r="Q1789" t="s">
        <v>2833</v>
      </c>
      <c r="R1789">
        <f ca="1">RAND()*(Validation[[#This Row],[Range1_High]]-Validation[[#This Row],[Range1_Low]])+Validation[[#This Row],[Range1_Low]]</f>
        <v>7.3976578677410851E-2</v>
      </c>
      <c r="S1789">
        <f>Validation[[#This Row],[Range2_High]]</f>
        <v>5</v>
      </c>
      <c r="T1789" t="str" cm="1">
        <f t="array" aca="1" ref="T1789" ca="1">RoundToTwoSigFigs(Validation[[#This Row],[Test Reading]]*Validation[[#This Row],[Mult]]+Validation[[#This Row],[Base]]) &amp;" "&amp;Validation[[#This Row],[Uncert_Units]]</f>
        <v>51 µA</v>
      </c>
      <c r="U17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V1789" t="b">
        <f ca="1">Validation[[#This Row],[Desired Result]]=Validation[[#This Row],[Result]]</f>
        <v>1</v>
      </c>
      <c r="W1789" t="b">
        <v>1</v>
      </c>
      <c r="X1789" t="b">
        <f>Validation[[#This Row],[Range1_Low]]&gt;=Validation[[#This Row],[Range1_High]]</f>
        <v>0</v>
      </c>
      <c r="Y1789" s="111" t="s">
        <v>2843</v>
      </c>
    </row>
    <row r="1790" spans="1:25" ht="16.5" thickTop="1" thickBot="1" x14ac:dyDescent="0.3">
      <c r="A1790" t="s">
        <v>55</v>
      </c>
      <c r="B1790" t="s">
        <v>47</v>
      </c>
      <c r="C1790">
        <v>1</v>
      </c>
      <c r="D1790">
        <v>10</v>
      </c>
      <c r="E1790">
        <v>0.1</v>
      </c>
      <c r="F1790" t="s">
        <v>13</v>
      </c>
      <c r="G1790" t="s">
        <v>12</v>
      </c>
      <c r="H1790">
        <v>1E-3</v>
      </c>
      <c r="I1790">
        <v>0.05</v>
      </c>
      <c r="J1790" t="s">
        <v>10</v>
      </c>
      <c r="K1790">
        <v>57.741</v>
      </c>
      <c r="L1790">
        <v>1.6634E-3</v>
      </c>
      <c r="M1790">
        <v>57.738</v>
      </c>
      <c r="N1790">
        <v>1.6635E-3</v>
      </c>
      <c r="O1790" t="s">
        <v>2833</v>
      </c>
      <c r="P1790" t="s">
        <v>2833</v>
      </c>
      <c r="Q1790" t="s">
        <v>2833</v>
      </c>
      <c r="R1790">
        <f ca="1">RAND()*(Validation[[#This Row],[Range1_High]]-Validation[[#This Row],[Range1_Low]])+Validation[[#This Row],[Range1_Low]]</f>
        <v>8.3182742991837806</v>
      </c>
      <c r="S1790">
        <f>Validation[[#This Row],[Range2_High]]</f>
        <v>0.05</v>
      </c>
      <c r="T1790" t="str" cm="1">
        <f t="array" aca="1" ref="T1790" ca="1">RoundToTwoSigFigs(Validation[[#This Row],[Test Reading]]*Validation[[#This Row],[Mult]]+Validation[[#This Row],[Base]]) &amp;" "&amp;Validation[[#This Row],[Uncert_Units]]</f>
        <v>58 mA</v>
      </c>
      <c r="U17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1790" t="b">
        <f ca="1">Validation[[#This Row],[Desired Result]]=Validation[[#This Row],[Result]]</f>
        <v>1</v>
      </c>
      <c r="W1790" t="b">
        <v>0</v>
      </c>
      <c r="X1790" t="b">
        <f>Validation[[#This Row],[Range1_Low]]&gt;=Validation[[#This Row],[Range1_High]]</f>
        <v>0</v>
      </c>
      <c r="Y1790" s="111" t="s">
        <v>2845</v>
      </c>
    </row>
    <row r="1791" spans="1:25" ht="16.5" thickTop="1" thickBot="1" x14ac:dyDescent="0.3">
      <c r="A1791" t="s">
        <v>55</v>
      </c>
      <c r="B1791" t="s">
        <v>47</v>
      </c>
      <c r="C1791" s="113">
        <v>0.01</v>
      </c>
      <c r="D1791" s="113">
        <v>0.1</v>
      </c>
      <c r="E1791">
        <v>1.0000000000000001E-5</v>
      </c>
      <c r="F1791" t="s">
        <v>13</v>
      </c>
      <c r="G1791" t="s">
        <v>11</v>
      </c>
      <c r="H1791">
        <v>1E-3</v>
      </c>
      <c r="I1791">
        <v>0.02</v>
      </c>
      <c r="J1791" t="s">
        <v>10</v>
      </c>
      <c r="K1791">
        <v>25</v>
      </c>
      <c r="L1791">
        <v>4600.3999999999996</v>
      </c>
      <c r="M1791">
        <v>23.366</v>
      </c>
      <c r="N1791">
        <v>4616.5</v>
      </c>
      <c r="O1791" t="s">
        <v>2833</v>
      </c>
      <c r="P1791" t="s">
        <v>2833</v>
      </c>
      <c r="Q1791" t="s">
        <v>2833</v>
      </c>
      <c r="R1791">
        <f ca="1">RAND()*(Validation[[#This Row],[Range1_High]]-Validation[[#This Row],[Range1_Low]])+Validation[[#This Row],[Range1_Low]]</f>
        <v>9.5970981944945924E-2</v>
      </c>
      <c r="S1791">
        <f>Validation[[#This Row],[Range2_High]]</f>
        <v>0.02</v>
      </c>
      <c r="T1791" t="str" cm="1">
        <f t="array" aca="1" ref="T1791" ca="1">RoundToTwoSigFigs(Validation[[#This Row],[Test Reading]]*Validation[[#This Row],[Mult]]+Validation[[#This Row],[Base]]) &amp;" "&amp;Validation[[#This Row],[Uncert_Units]]</f>
        <v>470 µA</v>
      </c>
      <c r="U17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V1791" t="b">
        <f ca="1">Validation[[#This Row],[Desired Result]]=Validation[[#This Row],[Result]]</f>
        <v>0</v>
      </c>
      <c r="W1791" t="b">
        <v>1</v>
      </c>
      <c r="X1791" t="b">
        <f>Validation[[#This Row],[Range1_Low]]&gt;=Validation[[#This Row],[Range1_High]]</f>
        <v>0</v>
      </c>
      <c r="Y1791" s="111" t="s">
        <v>2843</v>
      </c>
    </row>
    <row r="1792" spans="1:25" ht="16.5" thickTop="1" thickBot="1" x14ac:dyDescent="0.3">
      <c r="A1792" t="s">
        <v>54</v>
      </c>
      <c r="B1792" t="s">
        <v>47</v>
      </c>
      <c r="C1792" s="113">
        <v>3.3E-4</v>
      </c>
      <c r="D1792" s="113">
        <v>3.3000999999999998E-3</v>
      </c>
      <c r="E1792">
        <v>1E-8</v>
      </c>
      <c r="F1792" t="s">
        <v>13</v>
      </c>
      <c r="G1792" t="s">
        <v>11</v>
      </c>
      <c r="H1792">
        <v>1</v>
      </c>
      <c r="I1792">
        <v>5.01</v>
      </c>
      <c r="J1792" t="s">
        <v>10</v>
      </c>
      <c r="K1792">
        <v>0.27</v>
      </c>
      <c r="L1792">
        <v>2300</v>
      </c>
      <c r="M1792">
        <v>0.23111999999999999</v>
      </c>
      <c r="N1792">
        <v>2309.6999999999998</v>
      </c>
      <c r="O1792" t="s">
        <v>2833</v>
      </c>
      <c r="P1792" t="s">
        <v>2833</v>
      </c>
      <c r="Q1792" t="s">
        <v>2833</v>
      </c>
      <c r="R1792">
        <f ca="1">RAND()*(Validation[[#This Row],[Range1_High]]-Validation[[#This Row],[Range1_Low]])+Validation[[#This Row],[Range1_Low]]</f>
        <v>1.3100506410883173E-3</v>
      </c>
      <c r="S1792">
        <f>Validation[[#This Row],[Range2_High]]</f>
        <v>5.01</v>
      </c>
      <c r="T1792" t="str" cm="1">
        <f t="array" aca="1" ref="T1792" ca="1">RoundToTwoSigFigs(Validation[[#This Row],[Test Reading]]*Validation[[#This Row],[Mult]]+Validation[[#This Row],[Base]]) &amp;" "&amp;Validation[[#This Row],[Uncert_Units]]</f>
        <v>3.3 µA</v>
      </c>
      <c r="U17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V1792" t="b">
        <f ca="1">Validation[[#This Row],[Desired Result]]=Validation[[#This Row],[Result]]</f>
        <v>1</v>
      </c>
      <c r="W1792" t="b">
        <v>1</v>
      </c>
      <c r="X1792" t="b">
        <f>Validation[[#This Row],[Range1_Low]]&gt;=Validation[[#This Row],[Range1_High]]</f>
        <v>0</v>
      </c>
      <c r="Y1792" s="111" t="s">
        <v>2843</v>
      </c>
    </row>
    <row r="1793" spans="1:25" ht="16.5" thickTop="1" thickBot="1" x14ac:dyDescent="0.3">
      <c r="A1793" t="s">
        <v>54</v>
      </c>
      <c r="B1793" t="s">
        <v>47</v>
      </c>
      <c r="C1793" s="113">
        <v>3</v>
      </c>
      <c r="D1793" s="113">
        <v>11.000999999999999</v>
      </c>
      <c r="E1793">
        <v>1E-4</v>
      </c>
      <c r="F1793" t="s">
        <v>13</v>
      </c>
      <c r="G1793" t="s">
        <v>12</v>
      </c>
      <c r="H1793">
        <v>4.4999999999999998E-2</v>
      </c>
      <c r="I1793">
        <v>0.10001</v>
      </c>
      <c r="J1793" t="s">
        <v>10</v>
      </c>
      <c r="K1793">
        <v>2.4</v>
      </c>
      <c r="L1793">
        <v>0.69</v>
      </c>
      <c r="M1793">
        <v>2.3298000000000001</v>
      </c>
      <c r="N1793">
        <v>0.69372999999999996</v>
      </c>
      <c r="O1793" t="s">
        <v>2833</v>
      </c>
      <c r="P1793" t="s">
        <v>2833</v>
      </c>
      <c r="Q1793" t="s">
        <v>2833</v>
      </c>
      <c r="R1793">
        <f ca="1">RAND()*(Validation[[#This Row],[Range1_High]]-Validation[[#This Row],[Range1_Low]])+Validation[[#This Row],[Range1_Low]]</f>
        <v>4.77341544243514</v>
      </c>
      <c r="S1793">
        <f>Validation[[#This Row],[Range2_High]]</f>
        <v>0.10001</v>
      </c>
      <c r="T1793" t="str" cm="1">
        <f t="array" aca="1" ref="T1793" ca="1">RoundToTwoSigFigs(Validation[[#This Row],[Test Reading]]*Validation[[#This Row],[Mult]]+Validation[[#This Row],[Base]]) &amp;" "&amp;Validation[[#This Row],[Uncert_Units]]</f>
        <v>5.7 mA</v>
      </c>
      <c r="U17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mA</v>
      </c>
      <c r="V1793" t="b">
        <f ca="1">Validation[[#This Row],[Desired Result]]=Validation[[#This Row],[Result]]</f>
        <v>1</v>
      </c>
      <c r="W1793" t="b">
        <v>1</v>
      </c>
      <c r="X1793" t="b">
        <f>Validation[[#This Row],[Range1_Low]]&gt;=Validation[[#This Row],[Range1_High]]</f>
        <v>0</v>
      </c>
      <c r="Y1793" s="111" t="s">
        <v>2843</v>
      </c>
    </row>
    <row r="1794" spans="1:25" ht="15.75" thickTop="1" x14ac:dyDescent="0.25">
      <c r="A1794" t="s">
        <v>55</v>
      </c>
      <c r="B1794" t="s">
        <v>47</v>
      </c>
      <c r="C1794">
        <v>0</v>
      </c>
      <c r="D1794">
        <v>1E-4</v>
      </c>
      <c r="E1794">
        <v>1.0000000000000001E-5</v>
      </c>
      <c r="F1794" t="s">
        <v>13</v>
      </c>
      <c r="G1794" t="s">
        <v>11</v>
      </c>
      <c r="H1794">
        <v>0.02</v>
      </c>
      <c r="I1794">
        <v>4.4999999999999998E-2</v>
      </c>
      <c r="J1794" t="s">
        <v>10</v>
      </c>
      <c r="K1794">
        <v>5.7733999999999996</v>
      </c>
      <c r="L1794">
        <v>39.655999999999999</v>
      </c>
      <c r="M1794">
        <v>5.77</v>
      </c>
      <c r="N1794">
        <v>39.098999999999997</v>
      </c>
      <c r="O1794" t="s">
        <v>2833</v>
      </c>
      <c r="P1794" t="s">
        <v>2833</v>
      </c>
      <c r="Q1794" t="s">
        <v>2833</v>
      </c>
      <c r="R1794">
        <f ca="1">RAND()*(Validation[[#This Row],[Range1_High]]-Validation[[#This Row],[Range1_Low]])+Validation[[#This Row],[Range1_Low]]</f>
        <v>2.112358229449074E-5</v>
      </c>
      <c r="S1794">
        <f>Validation[[#This Row],[Range2_High]]</f>
        <v>4.4999999999999998E-2</v>
      </c>
      <c r="T1794" t="str" cm="1">
        <f t="array" aca="1" ref="T1794" ca="1">RoundToTwoSigFigs(Validation[[#This Row],[Test Reading]]*Validation[[#This Row],[Mult]]+Validation[[#This Row],[Base]]) &amp;" "&amp;Validation[[#This Row],[Uncert_Units]]</f>
        <v>5.8 µA</v>
      </c>
      <c r="U17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794" t="b">
        <f ca="1">Validation[[#This Row],[Desired Result]]=Validation[[#This Row],[Result]]</f>
        <v>1</v>
      </c>
      <c r="W1794" t="b">
        <v>0</v>
      </c>
      <c r="X1794" t="b">
        <f>Validation[[#This Row],[Range1_Low]]&gt;=Validation[[#This Row],[Range1_High]]</f>
        <v>0</v>
      </c>
      <c r="Y1794" s="111" t="s">
        <v>2845</v>
      </c>
    </row>
    <row r="1795" spans="1:25" x14ac:dyDescent="0.25">
      <c r="A1795" t="s">
        <v>54</v>
      </c>
      <c r="B1795" t="s">
        <v>47</v>
      </c>
      <c r="C1795">
        <v>3.3E-4</v>
      </c>
      <c r="D1795">
        <v>3.3000999999999998E-3</v>
      </c>
      <c r="E1795">
        <v>1.0000000000000001E-5</v>
      </c>
      <c r="F1795" t="s">
        <v>13</v>
      </c>
      <c r="G1795" t="s">
        <v>11</v>
      </c>
      <c r="H1795">
        <v>1</v>
      </c>
      <c r="I1795">
        <v>5.01</v>
      </c>
      <c r="J1795" t="s">
        <v>10</v>
      </c>
      <c r="K1795">
        <v>5.4265999999999996</v>
      </c>
      <c r="L1795">
        <v>1309.3</v>
      </c>
      <c r="M1795">
        <v>5.4263000000000003</v>
      </c>
      <c r="N1795">
        <v>1309.3</v>
      </c>
      <c r="O1795" t="s">
        <v>2833</v>
      </c>
      <c r="P1795" t="s">
        <v>2833</v>
      </c>
      <c r="Q1795" t="s">
        <v>2833</v>
      </c>
      <c r="R1795">
        <f ca="1">RAND()*(Validation[[#This Row],[Range1_High]]-Validation[[#This Row],[Range1_Low]])+Validation[[#This Row],[Range1_Low]]</f>
        <v>3.2715766143061402E-3</v>
      </c>
      <c r="S1795">
        <f>Validation[[#This Row],[Range2_High]]</f>
        <v>5.01</v>
      </c>
      <c r="T1795" t="str" cm="1">
        <f t="array" aca="1" ref="T1795" ca="1">RoundToTwoSigFigs(Validation[[#This Row],[Test Reading]]*Validation[[#This Row],[Mult]]+Validation[[#This Row],[Base]]) &amp;" "&amp;Validation[[#This Row],[Uncert_Units]]</f>
        <v>9.7 µA</v>
      </c>
      <c r="U17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µA</v>
      </c>
      <c r="V1795" t="b">
        <f ca="1">Validation[[#This Row],[Desired Result]]=Validation[[#This Row],[Result]]</f>
        <v>1</v>
      </c>
      <c r="W1795" t="b">
        <v>0</v>
      </c>
      <c r="X1795" t="b">
        <f>Validation[[#This Row],[Range1_Low]]&gt;=Validation[[#This Row],[Range1_High]]</f>
        <v>0</v>
      </c>
      <c r="Y1795" s="111" t="s">
        <v>2845</v>
      </c>
    </row>
    <row r="1796" spans="1:25" x14ac:dyDescent="0.25">
      <c r="A1796" t="s">
        <v>55</v>
      </c>
      <c r="B1796" t="s">
        <v>47</v>
      </c>
      <c r="C1796">
        <v>0</v>
      </c>
      <c r="D1796">
        <v>1E-4</v>
      </c>
      <c r="E1796">
        <v>0.1</v>
      </c>
      <c r="F1796" t="s">
        <v>13</v>
      </c>
      <c r="G1796" t="s">
        <v>11</v>
      </c>
      <c r="H1796">
        <v>4.4999999999999998E-2</v>
      </c>
      <c r="I1796">
        <v>5</v>
      </c>
      <c r="J1796" t="s">
        <v>10</v>
      </c>
      <c r="K1796">
        <v>57736</v>
      </c>
      <c r="L1796">
        <v>1.874E-2</v>
      </c>
      <c r="M1796">
        <v>57736</v>
      </c>
      <c r="N1796">
        <v>4.4741E-3</v>
      </c>
      <c r="O1796" t="s">
        <v>2833</v>
      </c>
      <c r="P1796" t="s">
        <v>2833</v>
      </c>
      <c r="Q1796" t="s">
        <v>2833</v>
      </c>
      <c r="R1796">
        <f ca="1">RAND()*(Validation[[#This Row],[Range1_High]]-Validation[[#This Row],[Range1_Low]])+Validation[[#This Row],[Range1_Low]]</f>
        <v>6.3401464797241899E-5</v>
      </c>
      <c r="S1796">
        <f>Validation[[#This Row],[Range2_High]]</f>
        <v>5</v>
      </c>
      <c r="T1796" t="str" cm="1">
        <f t="array" aca="1" ref="T1796" ca="1">RoundToTwoSigFigs(Validation[[#This Row],[Test Reading]]*Validation[[#This Row],[Mult]]+Validation[[#This Row],[Base]]) &amp;" "&amp;Validation[[#This Row],[Uncert_Units]]</f>
        <v>58000 µA</v>
      </c>
      <c r="U17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1796" t="b">
        <f ca="1">Validation[[#This Row],[Desired Result]]=Validation[[#This Row],[Result]]</f>
        <v>1</v>
      </c>
      <c r="W1796" t="b">
        <v>0</v>
      </c>
      <c r="X1796" t="b">
        <f>Validation[[#This Row],[Range1_Low]]&gt;=Validation[[#This Row],[Range1_High]]</f>
        <v>0</v>
      </c>
      <c r="Y1796" s="111" t="s">
        <v>2845</v>
      </c>
    </row>
    <row r="1797" spans="1:25" ht="15.75" thickBot="1" x14ac:dyDescent="0.3">
      <c r="A1797" t="s">
        <v>54</v>
      </c>
      <c r="B1797" t="s">
        <v>47</v>
      </c>
      <c r="C1797">
        <v>0</v>
      </c>
      <c r="D1797">
        <v>3.3000999999999999E-4</v>
      </c>
      <c r="E1797">
        <v>10</v>
      </c>
      <c r="F1797" t="s">
        <v>13</v>
      </c>
      <c r="G1797" t="s">
        <v>11</v>
      </c>
      <c r="H1797">
        <v>5</v>
      </c>
      <c r="I1797">
        <v>10.01</v>
      </c>
      <c r="J1797" t="s">
        <v>10</v>
      </c>
      <c r="K1797">
        <v>5773600</v>
      </c>
      <c r="L1797">
        <v>7.8188000000000007E-3</v>
      </c>
      <c r="M1797">
        <v>5773600</v>
      </c>
      <c r="N1797">
        <v>3.0228999999999998E-3</v>
      </c>
      <c r="O1797" t="s">
        <v>2833</v>
      </c>
      <c r="P1797" t="s">
        <v>2833</v>
      </c>
      <c r="Q1797" t="s">
        <v>2833</v>
      </c>
      <c r="R1797">
        <f ca="1">RAND()*(Validation[[#This Row],[Range1_High]]-Validation[[#This Row],[Range1_Low]])+Validation[[#This Row],[Range1_Low]]</f>
        <v>1.5966650919994039E-4</v>
      </c>
      <c r="S1797">
        <f>Validation[[#This Row],[Range2_High]]</f>
        <v>10.01</v>
      </c>
      <c r="T1797" t="str" cm="1">
        <f t="array" aca="1" ref="T1797" ca="1">RoundToTwoSigFigs(Validation[[#This Row],[Test Reading]]*Validation[[#This Row],[Mult]]+Validation[[#This Row],[Base]]) &amp;" "&amp;Validation[[#This Row],[Uncert_Units]]</f>
        <v>5800000 µA</v>
      </c>
      <c r="U17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V1797" t="b">
        <f ca="1">Validation[[#This Row],[Desired Result]]=Validation[[#This Row],[Result]]</f>
        <v>1</v>
      </c>
      <c r="W1797" t="b">
        <v>0</v>
      </c>
      <c r="X1797" t="b">
        <f>Validation[[#This Row],[Range1_Low]]&gt;=Validation[[#This Row],[Range1_High]]</f>
        <v>0</v>
      </c>
      <c r="Y1797" s="111" t="s">
        <v>2845</v>
      </c>
    </row>
    <row r="1798" spans="1:25" ht="16.5" thickTop="1" thickBot="1" x14ac:dyDescent="0.3">
      <c r="A1798" t="s">
        <v>54</v>
      </c>
      <c r="B1798" t="s">
        <v>47</v>
      </c>
      <c r="C1798" s="113">
        <v>1.1000000000000001</v>
      </c>
      <c r="D1798" s="113">
        <v>3.0009999999999999</v>
      </c>
      <c r="E1798">
        <v>1.0000000000000001E-5</v>
      </c>
      <c r="F1798" t="s">
        <v>13</v>
      </c>
      <c r="G1798" t="s">
        <v>12</v>
      </c>
      <c r="H1798">
        <v>1</v>
      </c>
      <c r="I1798">
        <v>5.01</v>
      </c>
      <c r="J1798" t="s">
        <v>10</v>
      </c>
      <c r="K1798">
        <v>1.3</v>
      </c>
      <c r="L1798">
        <v>6.9</v>
      </c>
      <c r="M1798">
        <v>1.1548</v>
      </c>
      <c r="N1798">
        <v>6.9283000000000001</v>
      </c>
      <c r="O1798" t="s">
        <v>2833</v>
      </c>
      <c r="P1798" t="s">
        <v>2833</v>
      </c>
      <c r="Q1798" t="s">
        <v>2833</v>
      </c>
      <c r="R1798">
        <f ca="1">RAND()*(Validation[[#This Row],[Range1_High]]-Validation[[#This Row],[Range1_Low]])+Validation[[#This Row],[Range1_Low]]</f>
        <v>2.0792217964718986</v>
      </c>
      <c r="S1798">
        <f>Validation[[#This Row],[Range2_High]]</f>
        <v>5.01</v>
      </c>
      <c r="T1798" t="str" cm="1">
        <f t="array" aca="1" ref="T1798" ca="1">RoundToTwoSigFigs(Validation[[#This Row],[Test Reading]]*Validation[[#This Row],[Mult]]+Validation[[#This Row],[Base]]) &amp;" "&amp;Validation[[#This Row],[Uncert_Units]]</f>
        <v>16 mA</v>
      </c>
      <c r="U17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V1798" t="b">
        <f ca="1">Validation[[#This Row],[Desired Result]]=Validation[[#This Row],[Result]]</f>
        <v>1</v>
      </c>
      <c r="W1798" t="b">
        <v>1</v>
      </c>
      <c r="X1798" t="b">
        <f>Validation[[#This Row],[Range1_Low]]&gt;=Validation[[#This Row],[Range1_High]]</f>
        <v>0</v>
      </c>
      <c r="Y1798" s="111" t="s">
        <v>2843</v>
      </c>
    </row>
    <row r="1799" spans="1:25" ht="16.5" thickTop="1" thickBot="1" x14ac:dyDescent="0.3">
      <c r="A1799" t="s">
        <v>55</v>
      </c>
      <c r="B1799" t="s">
        <v>47</v>
      </c>
      <c r="C1799" s="113">
        <v>1E-3</v>
      </c>
      <c r="D1799" s="113">
        <v>0.01</v>
      </c>
      <c r="E1799">
        <v>9.9999999999999995E-7</v>
      </c>
      <c r="F1799" t="s">
        <v>13</v>
      </c>
      <c r="G1799" t="s">
        <v>11</v>
      </c>
      <c r="H1799">
        <v>0.02</v>
      </c>
      <c r="I1799">
        <v>4.4999999999999998E-2</v>
      </c>
      <c r="J1799" t="s">
        <v>10</v>
      </c>
      <c r="K1799">
        <v>2.7</v>
      </c>
      <c r="L1799">
        <v>1700</v>
      </c>
      <c r="M1799">
        <v>2.3565999999999998</v>
      </c>
      <c r="N1799">
        <v>1728.5</v>
      </c>
      <c r="O1799" t="s">
        <v>2833</v>
      </c>
      <c r="P1799" t="s">
        <v>2833</v>
      </c>
      <c r="Q1799" t="s">
        <v>2833</v>
      </c>
      <c r="R1799">
        <f ca="1">RAND()*(Validation[[#This Row],[Range1_High]]-Validation[[#This Row],[Range1_Low]])+Validation[[#This Row],[Range1_Low]]</f>
        <v>8.1011880010225905E-3</v>
      </c>
      <c r="S1799">
        <f>Validation[[#This Row],[Range2_High]]</f>
        <v>4.4999999999999998E-2</v>
      </c>
      <c r="T1799" t="str" cm="1">
        <f t="array" aca="1" ref="T1799" ca="1">RoundToTwoSigFigs(Validation[[#This Row],[Test Reading]]*Validation[[#This Row],[Mult]]+Validation[[#This Row],[Base]]) &amp;" "&amp;Validation[[#This Row],[Uncert_Units]]</f>
        <v>16 µA</v>
      </c>
      <c r="U17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µA</v>
      </c>
      <c r="V1799" t="b">
        <f ca="1">Validation[[#This Row],[Desired Result]]=Validation[[#This Row],[Result]]</f>
        <v>0</v>
      </c>
      <c r="W1799" t="b">
        <v>1</v>
      </c>
      <c r="X1799" t="b">
        <f>Validation[[#This Row],[Range1_Low]]&gt;=Validation[[#This Row],[Range1_High]]</f>
        <v>0</v>
      </c>
      <c r="Y1799" s="111" t="s">
        <v>2843</v>
      </c>
    </row>
    <row r="1800" spans="1:25" ht="16.5" thickTop="1" thickBot="1" x14ac:dyDescent="0.3">
      <c r="A1800" t="s">
        <v>54</v>
      </c>
      <c r="B1800" t="s">
        <v>47</v>
      </c>
      <c r="C1800" s="113">
        <v>1.1000000000000001</v>
      </c>
      <c r="D1800" s="113">
        <v>3.0009999999999999</v>
      </c>
      <c r="E1800">
        <v>1E-3</v>
      </c>
      <c r="F1800" t="s">
        <v>13</v>
      </c>
      <c r="G1800" t="s">
        <v>12</v>
      </c>
      <c r="H1800">
        <v>1</v>
      </c>
      <c r="I1800">
        <v>5.01</v>
      </c>
      <c r="J1800" t="s">
        <v>10</v>
      </c>
      <c r="K1800">
        <v>1.3</v>
      </c>
      <c r="L1800">
        <v>6.9</v>
      </c>
      <c r="M1800">
        <v>1.1803999999999999</v>
      </c>
      <c r="N1800">
        <v>6.9222999999999999</v>
      </c>
      <c r="O1800" t="s">
        <v>2833</v>
      </c>
      <c r="P1800" t="s">
        <v>2833</v>
      </c>
      <c r="Q1800" t="s">
        <v>2833</v>
      </c>
      <c r="R1800">
        <f ca="1">RAND()*(Validation[[#This Row],[Range1_High]]-Validation[[#This Row],[Range1_Low]])+Validation[[#This Row],[Range1_Low]]</f>
        <v>2.4500800196124457</v>
      </c>
      <c r="S1800">
        <f>Validation[[#This Row],[Range2_High]]</f>
        <v>5.01</v>
      </c>
      <c r="T1800" t="str" cm="1">
        <f t="array" aca="1" ref="T1800" ca="1">RoundToTwoSigFigs(Validation[[#This Row],[Test Reading]]*Validation[[#This Row],[Mult]]+Validation[[#This Row],[Base]]) &amp;" "&amp;Validation[[#This Row],[Uncert_Units]]</f>
        <v>18 mA</v>
      </c>
      <c r="U18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mA</v>
      </c>
      <c r="V1800" t="b">
        <f ca="1">Validation[[#This Row],[Desired Result]]=Validation[[#This Row],[Result]]</f>
        <v>0</v>
      </c>
      <c r="W1800" t="b">
        <v>1</v>
      </c>
      <c r="X1800" t="b">
        <f>Validation[[#This Row],[Range1_Low]]&gt;=Validation[[#This Row],[Range1_High]]</f>
        <v>0</v>
      </c>
      <c r="Y1800" s="111" t="s">
        <v>2843</v>
      </c>
    </row>
    <row r="1801" spans="1:25" ht="15.75" thickTop="1" x14ac:dyDescent="0.25">
      <c r="A1801" t="s">
        <v>54</v>
      </c>
      <c r="B1801" t="s">
        <v>47</v>
      </c>
      <c r="C1801">
        <v>0.33</v>
      </c>
      <c r="D1801">
        <v>1.1000099999999999</v>
      </c>
      <c r="E1801">
        <v>0.1</v>
      </c>
      <c r="F1801" t="s">
        <v>13</v>
      </c>
      <c r="G1801" t="s">
        <v>12</v>
      </c>
      <c r="H1801">
        <v>0.01</v>
      </c>
      <c r="I1801">
        <v>4.5010000000000001E-2</v>
      </c>
      <c r="J1801" t="s">
        <v>10</v>
      </c>
      <c r="K1801">
        <v>57.722000000000001</v>
      </c>
      <c r="L1801">
        <v>5.7755000000000001E-2</v>
      </c>
      <c r="M1801">
        <v>57.722000000000001</v>
      </c>
      <c r="N1801">
        <v>5.7648999999999999E-2</v>
      </c>
      <c r="O1801" t="s">
        <v>2833</v>
      </c>
      <c r="P1801" t="s">
        <v>2833</v>
      </c>
      <c r="Q1801" t="s">
        <v>2833</v>
      </c>
      <c r="R1801">
        <f ca="1">RAND()*(Validation[[#This Row],[Range1_High]]-Validation[[#This Row],[Range1_Low]])+Validation[[#This Row],[Range1_Low]]</f>
        <v>1.0373303367077391</v>
      </c>
      <c r="S1801">
        <f>Validation[[#This Row],[Range2_High]]</f>
        <v>4.5010000000000001E-2</v>
      </c>
      <c r="T1801" t="str" cm="1">
        <f t="array" aca="1" ref="T1801" ca="1">RoundToTwoSigFigs(Validation[[#This Row],[Test Reading]]*Validation[[#This Row],[Mult]]+Validation[[#This Row],[Base]]) &amp;" "&amp;Validation[[#This Row],[Uncert_Units]]</f>
        <v>58 mA</v>
      </c>
      <c r="U18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1801" t="b">
        <f ca="1">Validation[[#This Row],[Desired Result]]=Validation[[#This Row],[Result]]</f>
        <v>1</v>
      </c>
      <c r="W1801" t="b">
        <v>0</v>
      </c>
      <c r="X1801" t="b">
        <f>Validation[[#This Row],[Range1_Low]]&gt;=Validation[[#This Row],[Range1_High]]</f>
        <v>0</v>
      </c>
      <c r="Y1801" s="111" t="s">
        <v>2845</v>
      </c>
    </row>
    <row r="1802" spans="1:25" ht="15.75" thickBot="1" x14ac:dyDescent="0.3">
      <c r="A1802" t="s">
        <v>54</v>
      </c>
      <c r="B1802" t="s">
        <v>47</v>
      </c>
      <c r="C1802">
        <v>3</v>
      </c>
      <c r="D1802">
        <v>11.000999999999999</v>
      </c>
      <c r="E1802">
        <v>0.1</v>
      </c>
      <c r="F1802" t="s">
        <v>13</v>
      </c>
      <c r="G1802" t="s">
        <v>12</v>
      </c>
      <c r="H1802">
        <v>4.4999999999999998E-2</v>
      </c>
      <c r="I1802">
        <v>0.10001</v>
      </c>
      <c r="J1802" t="s">
        <v>10</v>
      </c>
      <c r="K1802">
        <v>57.646999999999998</v>
      </c>
      <c r="L1802">
        <v>8.5551000000000002E-2</v>
      </c>
      <c r="M1802">
        <v>57.646000000000001</v>
      </c>
      <c r="N1802">
        <v>8.5343000000000002E-2</v>
      </c>
      <c r="O1802" t="s">
        <v>2833</v>
      </c>
      <c r="P1802" t="s">
        <v>2833</v>
      </c>
      <c r="Q1802" t="s">
        <v>2833</v>
      </c>
      <c r="R1802">
        <f ca="1">RAND()*(Validation[[#This Row],[Range1_High]]-Validation[[#This Row],[Range1_Low]])+Validation[[#This Row],[Range1_Low]]</f>
        <v>10.358248105789004</v>
      </c>
      <c r="S1802">
        <f>Validation[[#This Row],[Range2_High]]</f>
        <v>0.10001</v>
      </c>
      <c r="T1802" t="str" cm="1">
        <f t="array" aca="1" ref="T1802" ca="1">RoundToTwoSigFigs(Validation[[#This Row],[Test Reading]]*Validation[[#This Row],[Mult]]+Validation[[#This Row],[Base]]) &amp;" "&amp;Validation[[#This Row],[Uncert_Units]]</f>
        <v>59 mA</v>
      </c>
      <c r="U18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V1802" t="b">
        <f ca="1">Validation[[#This Row],[Desired Result]]=Validation[[#This Row],[Result]]</f>
        <v>0</v>
      </c>
      <c r="W1802" t="b">
        <v>1</v>
      </c>
      <c r="X1802" t="b">
        <f>Validation[[#This Row],[Range1_Low]]&gt;=Validation[[#This Row],[Range1_High]]</f>
        <v>0</v>
      </c>
      <c r="Y1802" s="111" t="s">
        <v>2845</v>
      </c>
    </row>
    <row r="1803" spans="1:25" ht="16.5" thickTop="1" thickBot="1" x14ac:dyDescent="0.3">
      <c r="A1803" t="s">
        <v>55</v>
      </c>
      <c r="B1803" t="s">
        <v>47</v>
      </c>
      <c r="C1803" s="113">
        <v>0.01</v>
      </c>
      <c r="D1803" s="113">
        <v>0.1</v>
      </c>
      <c r="E1803">
        <v>1E-4</v>
      </c>
      <c r="F1803" t="s">
        <v>13</v>
      </c>
      <c r="G1803" t="s">
        <v>11</v>
      </c>
      <c r="H1803">
        <v>0.02</v>
      </c>
      <c r="I1803">
        <v>4.4999999999999998E-2</v>
      </c>
      <c r="J1803" t="s">
        <v>10</v>
      </c>
      <c r="K1803">
        <v>55.716000000000001</v>
      </c>
      <c r="L1803">
        <v>1491.6</v>
      </c>
      <c r="M1803">
        <v>55.6</v>
      </c>
      <c r="N1803">
        <v>1490.7</v>
      </c>
      <c r="O1803" t="s">
        <v>2833</v>
      </c>
      <c r="P1803" t="s">
        <v>2833</v>
      </c>
      <c r="Q1803" t="s">
        <v>2833</v>
      </c>
      <c r="R1803">
        <f ca="1">RAND()*(Validation[[#This Row],[Range1_High]]-Validation[[#This Row],[Range1_Low]])+Validation[[#This Row],[Range1_Low]]</f>
        <v>8.3211478584821919E-2</v>
      </c>
      <c r="S1803">
        <f>Validation[[#This Row],[Range2_High]]</f>
        <v>4.4999999999999998E-2</v>
      </c>
      <c r="T1803" t="str" cm="1">
        <f t="array" aca="1" ref="T1803" ca="1">RoundToTwoSigFigs(Validation[[#This Row],[Test Reading]]*Validation[[#This Row],[Mult]]+Validation[[#This Row],[Base]]) &amp;" "&amp;Validation[[#This Row],[Uncert_Units]]</f>
        <v>180 µA</v>
      </c>
      <c r="U18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µA</v>
      </c>
      <c r="V1803" t="b">
        <f ca="1">Validation[[#This Row],[Desired Result]]=Validation[[#This Row],[Result]]</f>
        <v>0</v>
      </c>
      <c r="W1803" t="b">
        <v>1</v>
      </c>
      <c r="X1803" t="b">
        <f>Validation[[#This Row],[Range1_Low]]&gt;=Validation[[#This Row],[Range1_High]]</f>
        <v>0</v>
      </c>
      <c r="Y1803" s="111" t="s">
        <v>2843</v>
      </c>
    </row>
    <row r="1804" spans="1:25" ht="16.5" thickTop="1" thickBot="1" x14ac:dyDescent="0.3">
      <c r="A1804" t="s">
        <v>68</v>
      </c>
      <c r="B1804" t="s">
        <v>47</v>
      </c>
      <c r="C1804" s="113">
        <v>1</v>
      </c>
      <c r="D1804" s="113">
        <v>10.4</v>
      </c>
      <c r="E1804">
        <v>0.01</v>
      </c>
      <c r="F1804" t="s">
        <v>13</v>
      </c>
      <c r="G1804" t="s">
        <v>12</v>
      </c>
      <c r="H1804">
        <v>0.01</v>
      </c>
      <c r="I1804">
        <v>2</v>
      </c>
      <c r="J1804" t="s">
        <v>10</v>
      </c>
      <c r="K1804">
        <v>18.047000000000001</v>
      </c>
      <c r="L1804">
        <v>1.3634999999999999</v>
      </c>
      <c r="M1804">
        <v>18.045000000000002</v>
      </c>
      <c r="N1804">
        <v>1.3626</v>
      </c>
      <c r="O1804" t="s">
        <v>2833</v>
      </c>
      <c r="P1804" t="s">
        <v>2833</v>
      </c>
      <c r="Q1804" t="s">
        <v>2833</v>
      </c>
      <c r="R1804">
        <f ca="1">RAND()*(Validation[[#This Row],[Range1_High]]-Validation[[#This Row],[Range1_Low]])+Validation[[#This Row],[Range1_Low]]</f>
        <v>4.7211062677253164</v>
      </c>
      <c r="S1804">
        <f>Validation[[#This Row],[Range2_High]]</f>
        <v>2</v>
      </c>
      <c r="T1804" t="str" cm="1">
        <f t="array" aca="1" ref="T1804" ca="1">RoundToTwoSigFigs(Validation[[#This Row],[Test Reading]]*Validation[[#This Row],[Mult]]+Validation[[#This Row],[Base]]) &amp;" "&amp;Validation[[#This Row],[Uncert_Units]]</f>
        <v>24 mA</v>
      </c>
      <c r="U18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V1804" t="b">
        <f ca="1">Validation[[#This Row],[Desired Result]]=Validation[[#This Row],[Result]]</f>
        <v>1</v>
      </c>
      <c r="W1804" t="b">
        <v>1</v>
      </c>
      <c r="X1804" t="b">
        <f>Validation[[#This Row],[Range1_Low]]&gt;=Validation[[#This Row],[Range1_High]]</f>
        <v>0</v>
      </c>
      <c r="Y1804" s="111" t="s">
        <v>2843</v>
      </c>
    </row>
    <row r="1805" spans="1:25" ht="15.75" thickTop="1" x14ac:dyDescent="0.25">
      <c r="A1805" t="s">
        <v>54</v>
      </c>
      <c r="B1805" t="s">
        <v>47</v>
      </c>
      <c r="C1805">
        <v>11</v>
      </c>
      <c r="D1805">
        <v>20.501000000000001</v>
      </c>
      <c r="E1805">
        <v>0.1</v>
      </c>
      <c r="F1805" t="s">
        <v>13</v>
      </c>
      <c r="G1805" t="s">
        <v>12</v>
      </c>
      <c r="H1805">
        <v>1</v>
      </c>
      <c r="I1805">
        <v>5</v>
      </c>
      <c r="J1805" t="s">
        <v>10</v>
      </c>
      <c r="K1805">
        <v>6.5765000000000002</v>
      </c>
      <c r="L1805">
        <v>34.962000000000003</v>
      </c>
      <c r="M1805">
        <v>12.385999999999999</v>
      </c>
      <c r="N1805">
        <v>34.433</v>
      </c>
      <c r="O1805" t="s">
        <v>2833</v>
      </c>
      <c r="P1805" t="s">
        <v>2833</v>
      </c>
      <c r="Q1805" t="s">
        <v>2833</v>
      </c>
      <c r="R1805">
        <f ca="1">RAND()*(Validation[[#This Row],[Range1_High]]-Validation[[#This Row],[Range1_Low]])+Validation[[#This Row],[Range1_Low]]</f>
        <v>17.682433321965462</v>
      </c>
      <c r="S1805">
        <f>Validation[[#This Row],[Range2_High]]</f>
        <v>5</v>
      </c>
      <c r="T1805" t="str" cm="1">
        <f t="array" aca="1" ref="T1805" ca="1">RoundToTwoSigFigs(Validation[[#This Row],[Test Reading]]*Validation[[#This Row],[Mult]]+Validation[[#This Row],[Base]]) &amp;" "&amp;Validation[[#This Row],[Uncert_Units]]</f>
        <v>620 mA</v>
      </c>
      <c r="U18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V1805" t="b">
        <f ca="1">Validation[[#This Row],[Desired Result]]=Validation[[#This Row],[Result]]</f>
        <v>1</v>
      </c>
      <c r="W1805" t="b">
        <v>0</v>
      </c>
      <c r="X1805" t="b">
        <f>Validation[[#This Row],[Range1_Low]]&gt;=Validation[[#This Row],[Range1_High]]</f>
        <v>0</v>
      </c>
      <c r="Y1805" s="111" t="s">
        <v>2845</v>
      </c>
    </row>
    <row r="1806" spans="1:25" x14ac:dyDescent="0.25">
      <c r="A1806" t="s">
        <v>54</v>
      </c>
      <c r="B1806" t="s">
        <v>47</v>
      </c>
      <c r="C1806">
        <v>0</v>
      </c>
      <c r="D1806">
        <v>3.3000999999999999E-4</v>
      </c>
      <c r="E1806">
        <v>10</v>
      </c>
      <c r="F1806" t="s">
        <v>13</v>
      </c>
      <c r="G1806" t="s">
        <v>11</v>
      </c>
      <c r="H1806">
        <v>0.01</v>
      </c>
      <c r="I1806">
        <v>2.001E-2</v>
      </c>
      <c r="J1806" t="s">
        <v>10</v>
      </c>
      <c r="K1806">
        <v>5802600</v>
      </c>
      <c r="L1806">
        <v>-87896000</v>
      </c>
      <c r="M1806">
        <v>5800000</v>
      </c>
      <c r="N1806">
        <v>-87896000</v>
      </c>
      <c r="O1806" t="s">
        <v>2833</v>
      </c>
      <c r="P1806" t="s">
        <v>2833</v>
      </c>
      <c r="Q1806" t="s">
        <v>2833</v>
      </c>
      <c r="R1806">
        <f ca="1">RAND()*(Validation[[#This Row],[Range1_High]]-Validation[[#This Row],[Range1_Low]])+Validation[[#This Row],[Range1_Low]]</f>
        <v>6.7290336737973968E-6</v>
      </c>
      <c r="S1806">
        <f>Validation[[#This Row],[Range2_High]]</f>
        <v>2.001E-2</v>
      </c>
      <c r="T1806" t="str" cm="1">
        <f t="array" aca="1" ref="T1806" ca="1">RoundToTwoSigFigs(Validation[[#This Row],[Test Reading]]*Validation[[#This Row],[Mult]]+Validation[[#This Row],[Base]]) &amp;" "&amp;Validation[[#This Row],[Uncert_Units]]</f>
        <v>5800000 µA</v>
      </c>
      <c r="U18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V1806" t="b">
        <f ca="1">Validation[[#This Row],[Desired Result]]=Validation[[#This Row],[Result]]</f>
        <v>1</v>
      </c>
      <c r="W1806" t="b">
        <v>0</v>
      </c>
      <c r="X1806" t="b">
        <f>Validation[[#This Row],[Range1_Low]]&gt;=Validation[[#This Row],[Range1_High]]</f>
        <v>0</v>
      </c>
      <c r="Y1806" s="111" t="s">
        <v>2845</v>
      </c>
    </row>
    <row r="1807" spans="1:25" x14ac:dyDescent="0.25">
      <c r="A1807" t="s">
        <v>54</v>
      </c>
      <c r="B1807" t="s">
        <v>47</v>
      </c>
      <c r="C1807">
        <v>0</v>
      </c>
      <c r="D1807">
        <v>3.3000999999999999E-4</v>
      </c>
      <c r="E1807">
        <v>0.01</v>
      </c>
      <c r="F1807" t="s">
        <v>13</v>
      </c>
      <c r="G1807" t="s">
        <v>11</v>
      </c>
      <c r="H1807">
        <v>1</v>
      </c>
      <c r="I1807">
        <v>5.01</v>
      </c>
      <c r="J1807" t="s">
        <v>10</v>
      </c>
      <c r="K1807">
        <v>5773.6</v>
      </c>
      <c r="L1807">
        <v>0.51217999999999997</v>
      </c>
      <c r="M1807">
        <v>5773.6</v>
      </c>
      <c r="N1807">
        <v>0.47704999999999997</v>
      </c>
      <c r="O1807" t="s">
        <v>2833</v>
      </c>
      <c r="P1807" t="s">
        <v>2833</v>
      </c>
      <c r="Q1807" t="s">
        <v>2833</v>
      </c>
      <c r="R1807">
        <f ca="1">RAND()*(Validation[[#This Row],[Range1_High]]-Validation[[#This Row],[Range1_Low]])+Validation[[#This Row],[Range1_Low]]</f>
        <v>3.2212200948076084E-4</v>
      </c>
      <c r="S1807">
        <f>Validation[[#This Row],[Range2_High]]</f>
        <v>5.01</v>
      </c>
      <c r="T1807" t="str" cm="1">
        <f t="array" aca="1" ref="T1807" ca="1">RoundToTwoSigFigs(Validation[[#This Row],[Test Reading]]*Validation[[#This Row],[Mult]]+Validation[[#This Row],[Base]]) &amp;" "&amp;Validation[[#This Row],[Uncert_Units]]</f>
        <v>5800 µA</v>
      </c>
      <c r="U18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807" t="b">
        <f ca="1">Validation[[#This Row],[Desired Result]]=Validation[[#This Row],[Result]]</f>
        <v>1</v>
      </c>
      <c r="W1807" t="b">
        <v>0</v>
      </c>
      <c r="X1807" t="b">
        <f>Validation[[#This Row],[Range1_Low]]&gt;=Validation[[#This Row],[Range1_High]]</f>
        <v>0</v>
      </c>
      <c r="Y1807" s="111" t="s">
        <v>2845</v>
      </c>
    </row>
    <row r="1808" spans="1:25" ht="15.75" thickBot="1" x14ac:dyDescent="0.3">
      <c r="A1808" t="s">
        <v>55</v>
      </c>
      <c r="B1808" t="s">
        <v>47</v>
      </c>
      <c r="C1808">
        <v>0</v>
      </c>
      <c r="D1808">
        <v>1E-4</v>
      </c>
      <c r="E1808">
        <v>9.9999999999999995E-8</v>
      </c>
      <c r="F1808" t="s">
        <v>13</v>
      </c>
      <c r="G1808" t="s">
        <v>11</v>
      </c>
      <c r="H1808">
        <v>1E-3</v>
      </c>
      <c r="I1808">
        <v>0.02</v>
      </c>
      <c r="J1808" t="s">
        <v>10</v>
      </c>
      <c r="K1808">
        <v>9.5325999999999994E-2</v>
      </c>
      <c r="L1808">
        <v>4045.9</v>
      </c>
      <c r="M1808">
        <v>9.5287999999999998E-2</v>
      </c>
      <c r="N1808">
        <v>4045.8</v>
      </c>
      <c r="O1808" t="s">
        <v>2833</v>
      </c>
      <c r="P1808" t="s">
        <v>2833</v>
      </c>
      <c r="Q1808" t="s">
        <v>2833</v>
      </c>
      <c r="R1808">
        <f ca="1">RAND()*(Validation[[#This Row],[Range1_High]]-Validation[[#This Row],[Range1_Low]])+Validation[[#This Row],[Range1_Low]]</f>
        <v>6.7571088730634448E-6</v>
      </c>
      <c r="S1808">
        <f>Validation[[#This Row],[Range2_High]]</f>
        <v>0.02</v>
      </c>
      <c r="T1808" t="str" cm="1">
        <f t="array" aca="1" ref="T1808" ca="1">RoundToTwoSigFigs(Validation[[#This Row],[Test Reading]]*Validation[[#This Row],[Mult]]+Validation[[#This Row],[Base]]) &amp;" "&amp;Validation[[#This Row],[Uncert_Units]]</f>
        <v>0.12 µA</v>
      </c>
      <c r="U18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V1808" t="b">
        <f ca="1">Validation[[#This Row],[Desired Result]]=Validation[[#This Row],[Result]]</f>
        <v>1</v>
      </c>
      <c r="W1808" t="b">
        <v>0</v>
      </c>
      <c r="X1808" t="b">
        <f>Validation[[#This Row],[Range1_Low]]&gt;=Validation[[#This Row],[Range1_High]]</f>
        <v>0</v>
      </c>
      <c r="Y1808" s="111" t="s">
        <v>2845</v>
      </c>
    </row>
    <row r="1809" spans="1:25" ht="16.5" thickTop="1" thickBot="1" x14ac:dyDescent="0.3">
      <c r="A1809" t="s">
        <v>54</v>
      </c>
      <c r="B1809" t="s">
        <v>47</v>
      </c>
      <c r="C1809" s="113">
        <v>3.3E-4</v>
      </c>
      <c r="D1809" s="113">
        <v>3.3000999999999998E-3</v>
      </c>
      <c r="E1809">
        <v>9.9999999999999995E-8</v>
      </c>
      <c r="F1809" t="s">
        <v>13</v>
      </c>
      <c r="G1809" t="s">
        <v>11</v>
      </c>
      <c r="H1809">
        <v>30</v>
      </c>
      <c r="I1809">
        <v>30.1</v>
      </c>
      <c r="J1809" t="s">
        <v>10</v>
      </c>
      <c r="K1809">
        <v>0.7</v>
      </c>
      <c r="L1809">
        <v>12000</v>
      </c>
      <c r="M1809">
        <v>0.69338999999999995</v>
      </c>
      <c r="N1809">
        <v>11547</v>
      </c>
      <c r="O1809" t="s">
        <v>2833</v>
      </c>
      <c r="P1809" t="s">
        <v>2833</v>
      </c>
      <c r="Q1809" t="s">
        <v>2833</v>
      </c>
      <c r="R1809">
        <f ca="1">RAND()*(Validation[[#This Row],[Range1_High]]-Validation[[#This Row],[Range1_Low]])+Validation[[#This Row],[Range1_Low]]</f>
        <v>1.0023721024247645E-3</v>
      </c>
      <c r="S1809">
        <f>Validation[[#This Row],[Range2_High]]</f>
        <v>30.1</v>
      </c>
      <c r="T1809" t="str" cm="1">
        <f t="array" aca="1" ref="T1809" ca="1">RoundToTwoSigFigs(Validation[[#This Row],[Test Reading]]*Validation[[#This Row],[Mult]]+Validation[[#This Row],[Base]]) &amp;" "&amp;Validation[[#This Row],[Uncert_Units]]</f>
        <v>13 µA</v>
      </c>
      <c r="U18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V1809" t="b">
        <f ca="1">Validation[[#This Row],[Desired Result]]=Validation[[#This Row],[Result]]</f>
        <v>1</v>
      </c>
      <c r="W1809" t="b">
        <v>1</v>
      </c>
      <c r="X1809" t="b">
        <f>Validation[[#This Row],[Range1_Low]]&gt;=Validation[[#This Row],[Range1_High]]</f>
        <v>0</v>
      </c>
      <c r="Y1809" s="111" t="s">
        <v>2843</v>
      </c>
    </row>
    <row r="1810" spans="1:25" ht="16.5" thickTop="1" thickBot="1" x14ac:dyDescent="0.3">
      <c r="A1810" t="s">
        <v>54</v>
      </c>
      <c r="B1810" t="s">
        <v>47</v>
      </c>
      <c r="C1810" s="113">
        <v>11</v>
      </c>
      <c r="D1810" s="113">
        <v>20.501000000000001</v>
      </c>
      <c r="E1810">
        <v>0.01</v>
      </c>
      <c r="F1810" t="s">
        <v>13</v>
      </c>
      <c r="G1810" t="s">
        <v>12</v>
      </c>
      <c r="H1810">
        <v>4.4999999999999998E-2</v>
      </c>
      <c r="I1810">
        <v>0.10001</v>
      </c>
      <c r="J1810" t="s">
        <v>10</v>
      </c>
      <c r="K1810">
        <v>6.9249000000000001</v>
      </c>
      <c r="L1810">
        <v>1.3567</v>
      </c>
      <c r="M1810">
        <v>6.9028</v>
      </c>
      <c r="N1810">
        <v>1.3548</v>
      </c>
      <c r="O1810" t="s">
        <v>2833</v>
      </c>
      <c r="P1810" t="s">
        <v>2833</v>
      </c>
      <c r="Q1810" t="s">
        <v>2833</v>
      </c>
      <c r="R1810">
        <f ca="1">RAND()*(Validation[[#This Row],[Range1_High]]-Validation[[#This Row],[Range1_Low]])+Validation[[#This Row],[Range1_Low]]</f>
        <v>11.391972139054161</v>
      </c>
      <c r="S1810">
        <f>Validation[[#This Row],[Range2_High]]</f>
        <v>0.10001</v>
      </c>
      <c r="T1810" t="str" cm="1">
        <f t="array" aca="1" ref="T1810" ca="1">RoundToTwoSigFigs(Validation[[#This Row],[Test Reading]]*Validation[[#This Row],[Mult]]+Validation[[#This Row],[Base]]) &amp;" "&amp;Validation[[#This Row],[Uncert_Units]]</f>
        <v>22 mA</v>
      </c>
      <c r="U18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V1810" t="b">
        <f ca="1">Validation[[#This Row],[Desired Result]]=Validation[[#This Row],[Result]]</f>
        <v>1</v>
      </c>
      <c r="W1810" t="b">
        <v>1</v>
      </c>
      <c r="X1810" t="b">
        <f>Validation[[#This Row],[Range1_Low]]&gt;=Validation[[#This Row],[Range1_High]]</f>
        <v>0</v>
      </c>
      <c r="Y1810" s="111" t="s">
        <v>2843</v>
      </c>
    </row>
    <row r="1811" spans="1:25" ht="16.5" thickTop="1" thickBot="1" x14ac:dyDescent="0.3">
      <c r="A1811" t="s">
        <v>54</v>
      </c>
      <c r="B1811" t="s">
        <v>47</v>
      </c>
      <c r="C1811" s="113">
        <v>3.3E-3</v>
      </c>
      <c r="D1811" s="113">
        <v>3.3001000000000003E-2</v>
      </c>
      <c r="E1811">
        <v>1.0000000000000001E-5</v>
      </c>
      <c r="F1811" t="s">
        <v>13</v>
      </c>
      <c r="G1811" t="s">
        <v>11</v>
      </c>
      <c r="H1811">
        <v>1</v>
      </c>
      <c r="I1811">
        <v>5.01</v>
      </c>
      <c r="J1811" t="s">
        <v>10</v>
      </c>
      <c r="K1811">
        <v>57.046999999999997</v>
      </c>
      <c r="L1811">
        <v>284.47000000000003</v>
      </c>
      <c r="M1811">
        <v>57.045000000000002</v>
      </c>
      <c r="N1811">
        <v>284.35000000000002</v>
      </c>
      <c r="O1811" t="s">
        <v>2833</v>
      </c>
      <c r="P1811" t="s">
        <v>2833</v>
      </c>
      <c r="Q1811" t="s">
        <v>2833</v>
      </c>
      <c r="R1811">
        <f ca="1">RAND()*(Validation[[#This Row],[Range1_High]]-Validation[[#This Row],[Range1_Low]])+Validation[[#This Row],[Range1_Low]]</f>
        <v>2.5808557699284206E-2</v>
      </c>
      <c r="S1811">
        <f>Validation[[#This Row],[Range2_High]]</f>
        <v>5.01</v>
      </c>
      <c r="T1811" t="str" cm="1">
        <f t="array" aca="1" ref="T1811" ca="1">RoundToTwoSigFigs(Validation[[#This Row],[Test Reading]]*Validation[[#This Row],[Mult]]+Validation[[#This Row],[Base]]) &amp;" "&amp;Validation[[#This Row],[Uncert_Units]]</f>
        <v>64 µA</v>
      </c>
      <c r="U18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µA</v>
      </c>
      <c r="V1811" t="b">
        <f ca="1">Validation[[#This Row],[Desired Result]]=Validation[[#This Row],[Result]]</f>
        <v>0</v>
      </c>
      <c r="W1811" t="b">
        <v>1</v>
      </c>
      <c r="X1811" t="b">
        <f>Validation[[#This Row],[Range1_Low]]&gt;=Validation[[#This Row],[Range1_High]]</f>
        <v>0</v>
      </c>
      <c r="Y1811" s="111" t="s">
        <v>2843</v>
      </c>
    </row>
    <row r="1812" spans="1:25" ht="16.5" thickTop="1" thickBot="1" x14ac:dyDescent="0.3">
      <c r="A1812" t="s">
        <v>54</v>
      </c>
      <c r="B1812" t="s">
        <v>47</v>
      </c>
      <c r="C1812">
        <v>0.33</v>
      </c>
      <c r="D1812">
        <v>1.1000099999999999</v>
      </c>
      <c r="E1812">
        <v>0.1</v>
      </c>
      <c r="F1812" t="s">
        <v>13</v>
      </c>
      <c r="G1812" t="s">
        <v>12</v>
      </c>
      <c r="H1812">
        <v>5</v>
      </c>
      <c r="I1812">
        <v>10</v>
      </c>
      <c r="J1812" t="s">
        <v>10</v>
      </c>
      <c r="K1812">
        <v>55.816000000000003</v>
      </c>
      <c r="L1812">
        <v>11.862</v>
      </c>
      <c r="M1812">
        <v>55.814999999999998</v>
      </c>
      <c r="N1812">
        <v>11.86</v>
      </c>
      <c r="O1812" t="s">
        <v>2833</v>
      </c>
      <c r="P1812" t="s">
        <v>2833</v>
      </c>
      <c r="Q1812" t="s">
        <v>2833</v>
      </c>
      <c r="R1812">
        <f ca="1">RAND()*(Validation[[#This Row],[Range1_High]]-Validation[[#This Row],[Range1_Low]])+Validation[[#This Row],[Range1_Low]]</f>
        <v>0.38821482052480888</v>
      </c>
      <c r="S1812">
        <f>Validation[[#This Row],[Range2_High]]</f>
        <v>10</v>
      </c>
      <c r="T1812" t="str" cm="1">
        <f t="array" aca="1" ref="T1812" ca="1">RoundToTwoSigFigs(Validation[[#This Row],[Test Reading]]*Validation[[#This Row],[Mult]]+Validation[[#This Row],[Base]]) &amp;" "&amp;Validation[[#This Row],[Uncert_Units]]</f>
        <v>60 mA</v>
      </c>
      <c r="U18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V1812" t="b">
        <f ca="1">Validation[[#This Row],[Desired Result]]=Validation[[#This Row],[Result]]</f>
        <v>1</v>
      </c>
      <c r="W1812" t="b">
        <v>0</v>
      </c>
      <c r="X1812" t="b">
        <f>Validation[[#This Row],[Range1_Low]]&gt;=Validation[[#This Row],[Range1_High]]</f>
        <v>0</v>
      </c>
      <c r="Y1812" s="111" t="s">
        <v>2845</v>
      </c>
    </row>
    <row r="1813" spans="1:25" ht="16.5" thickTop="1" thickBot="1" x14ac:dyDescent="0.3">
      <c r="A1813" t="s">
        <v>54</v>
      </c>
      <c r="B1813" t="s">
        <v>47</v>
      </c>
      <c r="C1813" s="113">
        <v>0.33</v>
      </c>
      <c r="D1813" s="113">
        <v>1.1000099999999999</v>
      </c>
      <c r="E1813">
        <v>1E-4</v>
      </c>
      <c r="F1813" t="s">
        <v>13</v>
      </c>
      <c r="G1813" t="s">
        <v>12</v>
      </c>
      <c r="H1813">
        <v>4.4999999999999998E-2</v>
      </c>
      <c r="I1813">
        <v>1.0000100000000001</v>
      </c>
      <c r="J1813" t="s">
        <v>10</v>
      </c>
      <c r="K1813">
        <v>0.12267</v>
      </c>
      <c r="L1813">
        <v>0.57757999999999998</v>
      </c>
      <c r="M1813">
        <v>0.124</v>
      </c>
      <c r="N1813">
        <v>0.57333000000000001</v>
      </c>
      <c r="O1813" t="s">
        <v>2833</v>
      </c>
      <c r="P1813" t="s">
        <v>2833</v>
      </c>
      <c r="Q1813" t="s">
        <v>2833</v>
      </c>
      <c r="R1813">
        <f ca="1">RAND()*(Validation[[#This Row],[Range1_High]]-Validation[[#This Row],[Range1_Low]])+Validation[[#This Row],[Range1_Low]]</f>
        <v>0.62312651581758116</v>
      </c>
      <c r="S1813">
        <f>Validation[[#This Row],[Range2_High]]</f>
        <v>1.0000100000000001</v>
      </c>
      <c r="T1813" t="str" cm="1">
        <f t="array" aca="1" ref="T1813" ca="1">RoundToTwoSigFigs(Validation[[#This Row],[Test Reading]]*Validation[[#This Row],[Mult]]+Validation[[#This Row],[Base]]) &amp;" "&amp;Validation[[#This Row],[Uncert_Units]]</f>
        <v>0.48 mA</v>
      </c>
      <c r="U18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mA</v>
      </c>
      <c r="V1813" t="b">
        <f ca="1">Validation[[#This Row],[Desired Result]]=Validation[[#This Row],[Result]]</f>
        <v>1</v>
      </c>
      <c r="W1813" t="b">
        <v>1</v>
      </c>
      <c r="X1813" t="b">
        <f>Validation[[#This Row],[Range1_Low]]&gt;=Validation[[#This Row],[Range1_High]]</f>
        <v>0</v>
      </c>
      <c r="Y1813" s="111" t="s">
        <v>2843</v>
      </c>
    </row>
    <row r="1814" spans="1:25" ht="16.5" thickTop="1" thickBot="1" x14ac:dyDescent="0.3">
      <c r="A1814" t="s">
        <v>54</v>
      </c>
      <c r="B1814" t="s">
        <v>47</v>
      </c>
      <c r="C1814">
        <v>1.1000000000000001</v>
      </c>
      <c r="D1814">
        <v>3.0009999999999999</v>
      </c>
      <c r="E1814">
        <v>0.1</v>
      </c>
      <c r="F1814" t="s">
        <v>13</v>
      </c>
      <c r="G1814" t="s">
        <v>12</v>
      </c>
      <c r="H1814">
        <v>4.4999999999999998E-2</v>
      </c>
      <c r="I1814">
        <v>1.0000100000000001</v>
      </c>
      <c r="J1814" t="s">
        <v>10</v>
      </c>
      <c r="K1814">
        <v>57.722000000000001</v>
      </c>
      <c r="L1814">
        <v>1.9812E-2</v>
      </c>
      <c r="M1814">
        <v>57.722000000000001</v>
      </c>
      <c r="N1814">
        <v>1.8474000000000001E-2</v>
      </c>
      <c r="O1814" t="s">
        <v>2833</v>
      </c>
      <c r="P1814" t="s">
        <v>2833</v>
      </c>
      <c r="Q1814" t="s">
        <v>2833</v>
      </c>
      <c r="R1814">
        <f ca="1">RAND()*(Validation[[#This Row],[Range1_High]]-Validation[[#This Row],[Range1_Low]])+Validation[[#This Row],[Range1_Low]]</f>
        <v>2.2086294171428085</v>
      </c>
      <c r="S1814">
        <f>Validation[[#This Row],[Range2_High]]</f>
        <v>1.0000100000000001</v>
      </c>
      <c r="T1814" t="str" cm="1">
        <f t="array" aca="1" ref="T1814" ca="1">RoundToTwoSigFigs(Validation[[#This Row],[Test Reading]]*Validation[[#This Row],[Mult]]+Validation[[#This Row],[Base]]) &amp;" "&amp;Validation[[#This Row],[Uncert_Units]]</f>
        <v>58 mA</v>
      </c>
      <c r="U18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1814" t="b">
        <f ca="1">Validation[[#This Row],[Desired Result]]=Validation[[#This Row],[Result]]</f>
        <v>1</v>
      </c>
      <c r="W1814" t="b">
        <v>0</v>
      </c>
      <c r="X1814" t="b">
        <f>Validation[[#This Row],[Range1_Low]]&gt;=Validation[[#This Row],[Range1_High]]</f>
        <v>0</v>
      </c>
      <c r="Y1814" s="111" t="s">
        <v>2845</v>
      </c>
    </row>
    <row r="1815" spans="1:25" ht="16.5" thickTop="1" thickBot="1" x14ac:dyDescent="0.3">
      <c r="A1815" t="s">
        <v>55</v>
      </c>
      <c r="B1815" t="s">
        <v>47</v>
      </c>
      <c r="C1815" s="113">
        <v>1E-4</v>
      </c>
      <c r="D1815" s="113">
        <v>1E-3</v>
      </c>
      <c r="E1815">
        <v>1.0000000000000001E-9</v>
      </c>
      <c r="F1815" t="s">
        <v>13</v>
      </c>
      <c r="G1815" t="s">
        <v>11</v>
      </c>
      <c r="H1815">
        <v>4.4999999999999998E-2</v>
      </c>
      <c r="I1815">
        <v>0.1</v>
      </c>
      <c r="J1815" t="s">
        <v>10</v>
      </c>
      <c r="K1815">
        <v>0.24</v>
      </c>
      <c r="L1815">
        <v>690</v>
      </c>
      <c r="M1815">
        <v>0.23102</v>
      </c>
      <c r="N1815">
        <v>692.99</v>
      </c>
      <c r="O1815" t="s">
        <v>2833</v>
      </c>
      <c r="P1815" t="s">
        <v>2833</v>
      </c>
      <c r="Q1815" t="s">
        <v>2833</v>
      </c>
      <c r="R1815">
        <f ca="1">RAND()*(Validation[[#This Row],[Range1_High]]-Validation[[#This Row],[Range1_Low]])+Validation[[#This Row],[Range1_Low]]</f>
        <v>7.2444077092964577E-4</v>
      </c>
      <c r="S1815">
        <f>Validation[[#This Row],[Range2_High]]</f>
        <v>0.1</v>
      </c>
      <c r="T1815" t="str" cm="1">
        <f t="array" aca="1" ref="T1815" ca="1">RoundToTwoSigFigs(Validation[[#This Row],[Test Reading]]*Validation[[#This Row],[Mult]]+Validation[[#This Row],[Base]]) &amp;" "&amp;Validation[[#This Row],[Uncert_Units]]</f>
        <v>0.74 µA</v>
      </c>
      <c r="U18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µA</v>
      </c>
      <c r="V1815" t="b">
        <f ca="1">Validation[[#This Row],[Desired Result]]=Validation[[#This Row],[Result]]</f>
        <v>1</v>
      </c>
      <c r="W1815" t="b">
        <v>1</v>
      </c>
      <c r="X1815" t="b">
        <f>Validation[[#This Row],[Range1_Low]]&gt;=Validation[[#This Row],[Range1_High]]</f>
        <v>0</v>
      </c>
      <c r="Y1815" s="111" t="s">
        <v>2843</v>
      </c>
    </row>
    <row r="1816" spans="1:25" ht="16.5" thickTop="1" thickBot="1" x14ac:dyDescent="0.3">
      <c r="A1816" t="s">
        <v>55</v>
      </c>
      <c r="B1816" t="s">
        <v>47</v>
      </c>
      <c r="C1816" s="113">
        <v>1E-3</v>
      </c>
      <c r="D1816" s="113">
        <v>0.01</v>
      </c>
      <c r="E1816">
        <v>9.9999999999999995E-7</v>
      </c>
      <c r="F1816" t="s">
        <v>13</v>
      </c>
      <c r="G1816" t="s">
        <v>11</v>
      </c>
      <c r="H1816">
        <v>20</v>
      </c>
      <c r="I1816">
        <v>50</v>
      </c>
      <c r="J1816" t="s">
        <v>10</v>
      </c>
      <c r="K1816">
        <v>5.0999999999999996</v>
      </c>
      <c r="L1816">
        <v>4739.8999999999996</v>
      </c>
      <c r="M1816">
        <v>4.5921000000000003</v>
      </c>
      <c r="N1816">
        <v>4746.3</v>
      </c>
      <c r="O1816" t="s">
        <v>2833</v>
      </c>
      <c r="P1816" t="s">
        <v>2833</v>
      </c>
      <c r="Q1816" t="s">
        <v>2833</v>
      </c>
      <c r="R1816">
        <f ca="1">RAND()*(Validation[[#This Row],[Range1_High]]-Validation[[#This Row],[Range1_Low]])+Validation[[#This Row],[Range1_Low]]</f>
        <v>2.3620098860121091E-3</v>
      </c>
      <c r="S1816">
        <f>Validation[[#This Row],[Range2_High]]</f>
        <v>50</v>
      </c>
      <c r="T1816" t="str" cm="1">
        <f t="array" aca="1" ref="T1816" ca="1">RoundToTwoSigFigs(Validation[[#This Row],[Test Reading]]*Validation[[#This Row],[Mult]]+Validation[[#This Row],[Base]]) &amp;" "&amp;Validation[[#This Row],[Uncert_Units]]</f>
        <v>16 µA</v>
      </c>
      <c r="U18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V1816" t="b">
        <f ca="1">Validation[[#This Row],[Desired Result]]=Validation[[#This Row],[Result]]</f>
        <v>0</v>
      </c>
      <c r="W1816" t="b">
        <v>1</v>
      </c>
      <c r="X1816" t="b">
        <f>Validation[[#This Row],[Range1_Low]]&gt;=Validation[[#This Row],[Range1_High]]</f>
        <v>0</v>
      </c>
      <c r="Y1816" s="111" t="s">
        <v>2843</v>
      </c>
    </row>
    <row r="1817" spans="1:25" ht="16.5" thickTop="1" thickBot="1" x14ac:dyDescent="0.3">
      <c r="A1817" t="s">
        <v>54</v>
      </c>
      <c r="B1817" t="s">
        <v>47</v>
      </c>
      <c r="C1817" s="113">
        <v>0.33</v>
      </c>
      <c r="D1817" s="113">
        <v>1.1000099999999999</v>
      </c>
      <c r="E1817">
        <v>1.0000000000000001E-5</v>
      </c>
      <c r="F1817" t="s">
        <v>13</v>
      </c>
      <c r="G1817" t="s">
        <v>12</v>
      </c>
      <c r="H1817">
        <v>5</v>
      </c>
      <c r="I1817">
        <v>10</v>
      </c>
      <c r="J1817" t="s">
        <v>10</v>
      </c>
      <c r="K1817">
        <v>5.8</v>
      </c>
      <c r="L1817">
        <v>29</v>
      </c>
      <c r="M1817">
        <v>5.7733999999999996</v>
      </c>
      <c r="N1817">
        <v>28.867999999999999</v>
      </c>
      <c r="O1817" t="s">
        <v>2833</v>
      </c>
      <c r="P1817" t="s">
        <v>2833</v>
      </c>
      <c r="Q1817" t="s">
        <v>2833</v>
      </c>
      <c r="R1817">
        <f ca="1">RAND()*(Validation[[#This Row],[Range1_High]]-Validation[[#This Row],[Range1_Low]])+Validation[[#This Row],[Range1_Low]]</f>
        <v>0.36109090491522544</v>
      </c>
      <c r="S1817">
        <f>Validation[[#This Row],[Range2_High]]</f>
        <v>10</v>
      </c>
      <c r="T1817" t="str" cm="1">
        <f t="array" aca="1" ref="T1817" ca="1">RoundToTwoSigFigs(Validation[[#This Row],[Test Reading]]*Validation[[#This Row],[Mult]]+Validation[[#This Row],[Base]]) &amp;" "&amp;Validation[[#This Row],[Uncert_Units]]</f>
        <v>16 mA</v>
      </c>
      <c r="U18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V1817" t="b">
        <f ca="1">Validation[[#This Row],[Desired Result]]=Validation[[#This Row],[Result]]</f>
        <v>1</v>
      </c>
      <c r="W1817" t="b">
        <v>1</v>
      </c>
      <c r="X1817" t="b">
        <f>Validation[[#This Row],[Range1_Low]]&gt;=Validation[[#This Row],[Range1_High]]</f>
        <v>0</v>
      </c>
      <c r="Y1817" s="111" t="s">
        <v>2843</v>
      </c>
    </row>
    <row r="1818" spans="1:25" ht="16.5" thickTop="1" thickBot="1" x14ac:dyDescent="0.3">
      <c r="A1818" t="s">
        <v>55</v>
      </c>
      <c r="B1818" t="s">
        <v>47</v>
      </c>
      <c r="C1818">
        <v>1E-4</v>
      </c>
      <c r="D1818">
        <v>1E-3</v>
      </c>
      <c r="E1818">
        <v>1E-10</v>
      </c>
      <c r="F1818" t="s">
        <v>13</v>
      </c>
      <c r="G1818" t="s">
        <v>11</v>
      </c>
      <c r="H1818">
        <v>50</v>
      </c>
      <c r="I1818">
        <v>100</v>
      </c>
      <c r="J1818" t="s">
        <v>10</v>
      </c>
      <c r="K1818">
        <v>1.9</v>
      </c>
      <c r="L1818">
        <v>6500</v>
      </c>
      <c r="M1818">
        <v>1.7592000000000001</v>
      </c>
      <c r="N1818">
        <v>6558</v>
      </c>
      <c r="O1818" t="s">
        <v>2833</v>
      </c>
      <c r="P1818" t="s">
        <v>2833</v>
      </c>
      <c r="Q1818" t="s">
        <v>2833</v>
      </c>
      <c r="R1818">
        <f ca="1">RAND()*(Validation[[#This Row],[Range1_High]]-Validation[[#This Row],[Range1_Low]])+Validation[[#This Row],[Range1_Low]]</f>
        <v>8.1862321671763872E-4</v>
      </c>
      <c r="S1818">
        <f>Validation[[#This Row],[Range2_High]]</f>
        <v>100</v>
      </c>
      <c r="T1818" t="str" cm="1">
        <f t="array" aca="1" ref="T1818" ca="1">RoundToTwoSigFigs(Validation[[#This Row],[Test Reading]]*Validation[[#This Row],[Mult]]+Validation[[#This Row],[Base]]) &amp;" "&amp;Validation[[#This Row],[Uncert_Units]]</f>
        <v>7.2 µA</v>
      </c>
      <c r="U18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V1818" t="b">
        <f ca="1">Validation[[#This Row],[Desired Result]]=Validation[[#This Row],[Result]]</f>
        <v>1</v>
      </c>
      <c r="W1818" t="b">
        <v>1</v>
      </c>
      <c r="X1818" t="b">
        <f>Validation[[#This Row],[Range1_Low]]&gt;=Validation[[#This Row],[Range1_High]]</f>
        <v>0</v>
      </c>
      <c r="Y1818" s="111" t="s">
        <v>2845</v>
      </c>
    </row>
    <row r="1819" spans="1:25" ht="16.5" thickTop="1" thickBot="1" x14ac:dyDescent="0.3">
      <c r="A1819" t="s">
        <v>54</v>
      </c>
      <c r="B1819" t="s">
        <v>47</v>
      </c>
      <c r="C1819" s="113">
        <v>3.3E-3</v>
      </c>
      <c r="D1819" s="113">
        <v>3.3001000000000003E-2</v>
      </c>
      <c r="E1819">
        <v>9.9999999999999995E-7</v>
      </c>
      <c r="F1819" t="s">
        <v>13</v>
      </c>
      <c r="G1819" t="s">
        <v>11</v>
      </c>
      <c r="H1819">
        <v>4.4999999999999998E-2</v>
      </c>
      <c r="I1819">
        <v>1.0000100000000001</v>
      </c>
      <c r="J1819" t="s">
        <v>10</v>
      </c>
      <c r="K1819">
        <v>5.6395999999999997</v>
      </c>
      <c r="L1819">
        <v>392.41</v>
      </c>
      <c r="M1819">
        <v>5.6368999999999998</v>
      </c>
      <c r="N1819">
        <v>392.36</v>
      </c>
      <c r="O1819" t="s">
        <v>2833</v>
      </c>
      <c r="P1819" t="s">
        <v>2833</v>
      </c>
      <c r="Q1819" t="s">
        <v>2833</v>
      </c>
      <c r="R1819">
        <f ca="1">RAND()*(Validation[[#This Row],[Range1_High]]-Validation[[#This Row],[Range1_Low]])+Validation[[#This Row],[Range1_Low]]</f>
        <v>3.2070055075014377E-2</v>
      </c>
      <c r="S1819">
        <f>Validation[[#This Row],[Range2_High]]</f>
        <v>1.0000100000000001</v>
      </c>
      <c r="T1819" t="str" cm="1">
        <f t="array" aca="1" ref="T1819" ca="1">RoundToTwoSigFigs(Validation[[#This Row],[Test Reading]]*Validation[[#This Row],[Mult]]+Validation[[#This Row],[Base]]) &amp;" "&amp;Validation[[#This Row],[Uncert_Units]]</f>
        <v>18 µA</v>
      </c>
      <c r="U18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V1819" t="b">
        <f ca="1">Validation[[#This Row],[Desired Result]]=Validation[[#This Row],[Result]]</f>
        <v>0</v>
      </c>
      <c r="W1819" t="b">
        <v>1</v>
      </c>
      <c r="X1819" t="b">
        <f>Validation[[#This Row],[Range1_Low]]&gt;=Validation[[#This Row],[Range1_High]]</f>
        <v>0</v>
      </c>
      <c r="Y1819" s="111" t="s">
        <v>2843</v>
      </c>
    </row>
    <row r="1820" spans="1:25" ht="16.5" thickTop="1" thickBot="1" x14ac:dyDescent="0.3">
      <c r="A1820" t="s">
        <v>54</v>
      </c>
      <c r="B1820" t="s">
        <v>47</v>
      </c>
      <c r="C1820">
        <v>0</v>
      </c>
      <c r="D1820">
        <v>3.3000999999999999E-4</v>
      </c>
      <c r="E1820">
        <v>1.0000000000000001E-5</v>
      </c>
      <c r="F1820" t="s">
        <v>13</v>
      </c>
      <c r="G1820" t="s">
        <v>11</v>
      </c>
      <c r="H1820">
        <v>0.02</v>
      </c>
      <c r="I1820">
        <v>4.5010000000000001E-2</v>
      </c>
      <c r="J1820" t="s">
        <v>10</v>
      </c>
      <c r="K1820">
        <v>5.7723000000000004</v>
      </c>
      <c r="L1820">
        <v>128.02000000000001</v>
      </c>
      <c r="M1820">
        <v>5.7721999999999998</v>
      </c>
      <c r="N1820">
        <v>127.48</v>
      </c>
      <c r="O1820" t="s">
        <v>2833</v>
      </c>
      <c r="P1820" t="s">
        <v>2833</v>
      </c>
      <c r="Q1820" t="s">
        <v>2833</v>
      </c>
      <c r="R1820">
        <f ca="1">RAND()*(Validation[[#This Row],[Range1_High]]-Validation[[#This Row],[Range1_Low]])+Validation[[#This Row],[Range1_Low]]</f>
        <v>1.8558453194607088E-4</v>
      </c>
      <c r="S1820">
        <f>Validation[[#This Row],[Range2_High]]</f>
        <v>4.5010000000000001E-2</v>
      </c>
      <c r="T1820" t="str" cm="1">
        <f t="array" aca="1" ref="T1820" ca="1">RoundToTwoSigFigs(Validation[[#This Row],[Test Reading]]*Validation[[#This Row],[Mult]]+Validation[[#This Row],[Base]]) &amp;" "&amp;Validation[[#This Row],[Uncert_Units]]</f>
        <v>5.8 µA</v>
      </c>
      <c r="U18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820" t="b">
        <f ca="1">Validation[[#This Row],[Desired Result]]=Validation[[#This Row],[Result]]</f>
        <v>1</v>
      </c>
      <c r="W1820" t="b">
        <v>0</v>
      </c>
      <c r="X1820" t="b">
        <f>Validation[[#This Row],[Range1_Low]]&gt;=Validation[[#This Row],[Range1_High]]</f>
        <v>0</v>
      </c>
      <c r="Y1820" s="111" t="s">
        <v>2845</v>
      </c>
    </row>
    <row r="1821" spans="1:25" ht="16.5" thickTop="1" thickBot="1" x14ac:dyDescent="0.3">
      <c r="A1821" t="s">
        <v>54</v>
      </c>
      <c r="B1821" t="s">
        <v>47</v>
      </c>
      <c r="C1821" s="113">
        <v>3</v>
      </c>
      <c r="D1821" s="113">
        <v>11.000999999999999</v>
      </c>
      <c r="E1821">
        <v>0.01</v>
      </c>
      <c r="F1821" t="s">
        <v>13</v>
      </c>
      <c r="G1821" t="s">
        <v>12</v>
      </c>
      <c r="H1821">
        <v>4.4999999999999998E-2</v>
      </c>
      <c r="I1821">
        <v>0.10001</v>
      </c>
      <c r="J1821" t="s">
        <v>10</v>
      </c>
      <c r="K1821">
        <v>5.6643999999999997</v>
      </c>
      <c r="L1821">
        <v>0.53041000000000005</v>
      </c>
      <c r="M1821">
        <v>5.6622000000000003</v>
      </c>
      <c r="N1821">
        <v>0.53025999999999995</v>
      </c>
      <c r="O1821" t="s">
        <v>2833</v>
      </c>
      <c r="P1821" t="s">
        <v>2833</v>
      </c>
      <c r="Q1821" t="s">
        <v>2833</v>
      </c>
      <c r="R1821">
        <f ca="1">RAND()*(Validation[[#This Row],[Range1_High]]-Validation[[#This Row],[Range1_Low]])+Validation[[#This Row],[Range1_Low]]</f>
        <v>9.8642032179595081</v>
      </c>
      <c r="S1821">
        <f>Validation[[#This Row],[Range2_High]]</f>
        <v>0.10001</v>
      </c>
      <c r="T1821" t="str" cm="1">
        <f t="array" aca="1" ref="T1821" ca="1">RoundToTwoSigFigs(Validation[[#This Row],[Test Reading]]*Validation[[#This Row],[Mult]]+Validation[[#This Row],[Base]]) &amp;" "&amp;Validation[[#This Row],[Uncert_Units]]</f>
        <v>11 mA</v>
      </c>
      <c r="U18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V1821" t="b">
        <f ca="1">Validation[[#This Row],[Desired Result]]=Validation[[#This Row],[Result]]</f>
        <v>0</v>
      </c>
      <c r="W1821" t="b">
        <v>1</v>
      </c>
      <c r="X1821" t="b">
        <f>Validation[[#This Row],[Range1_Low]]&gt;=Validation[[#This Row],[Range1_High]]</f>
        <v>0</v>
      </c>
      <c r="Y1821" s="111" t="s">
        <v>2843</v>
      </c>
    </row>
    <row r="1822" spans="1:25" ht="16.5" thickTop="1" thickBot="1" x14ac:dyDescent="0.3">
      <c r="A1822" t="s">
        <v>54</v>
      </c>
      <c r="B1822" t="s">
        <v>47</v>
      </c>
      <c r="C1822" s="113">
        <v>3.3E-4</v>
      </c>
      <c r="D1822" s="113">
        <v>3.3000999999999998E-3</v>
      </c>
      <c r="E1822">
        <v>1.0000000000000001E-5</v>
      </c>
      <c r="F1822" t="s">
        <v>13</v>
      </c>
      <c r="G1822" t="s">
        <v>11</v>
      </c>
      <c r="H1822">
        <v>5</v>
      </c>
      <c r="I1822">
        <v>10.01</v>
      </c>
      <c r="J1822" t="s">
        <v>10</v>
      </c>
      <c r="K1822">
        <v>4.6372999999999998</v>
      </c>
      <c r="L1822">
        <v>4728.3</v>
      </c>
      <c r="M1822">
        <v>4.6368999999999998</v>
      </c>
      <c r="N1822">
        <v>4728.3</v>
      </c>
      <c r="O1822" t="s">
        <v>2833</v>
      </c>
      <c r="P1822" t="s">
        <v>2833</v>
      </c>
      <c r="Q1822" t="s">
        <v>2833</v>
      </c>
      <c r="R1822">
        <f ca="1">RAND()*(Validation[[#This Row],[Range1_High]]-Validation[[#This Row],[Range1_Low]])+Validation[[#This Row],[Range1_Low]]</f>
        <v>2.5373499128220306E-3</v>
      </c>
      <c r="S1822">
        <f>Validation[[#This Row],[Range2_High]]</f>
        <v>10.01</v>
      </c>
      <c r="T1822" t="str" cm="1">
        <f t="array" aca="1" ref="T1822" ca="1">RoundToTwoSigFigs(Validation[[#This Row],[Test Reading]]*Validation[[#This Row],[Mult]]+Validation[[#This Row],[Base]]) &amp;" "&amp;Validation[[#This Row],[Uncert_Units]]</f>
        <v>17 µA</v>
      </c>
      <c r="U18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V1822" t="b">
        <f ca="1">Validation[[#This Row],[Desired Result]]=Validation[[#This Row],[Result]]</f>
        <v>0</v>
      </c>
      <c r="W1822" t="b">
        <v>1</v>
      </c>
      <c r="X1822" t="b">
        <f>Validation[[#This Row],[Range1_Low]]&gt;=Validation[[#This Row],[Range1_High]]</f>
        <v>0</v>
      </c>
      <c r="Y1822" s="111" t="s">
        <v>2843</v>
      </c>
    </row>
    <row r="1823" spans="1:25" ht="16.5" thickTop="1" thickBot="1" x14ac:dyDescent="0.3">
      <c r="A1823" t="s">
        <v>55</v>
      </c>
      <c r="B1823" t="s">
        <v>47</v>
      </c>
      <c r="C1823" s="113">
        <v>0.01</v>
      </c>
      <c r="D1823" s="113">
        <v>0.1</v>
      </c>
      <c r="E1823">
        <v>1.0000000000000001E-5</v>
      </c>
      <c r="F1823" t="s">
        <v>13</v>
      </c>
      <c r="G1823" t="s">
        <v>11</v>
      </c>
      <c r="H1823">
        <v>5</v>
      </c>
      <c r="I1823">
        <v>20</v>
      </c>
      <c r="J1823" t="s">
        <v>10</v>
      </c>
      <c r="K1823">
        <v>25</v>
      </c>
      <c r="L1823">
        <v>715.16</v>
      </c>
      <c r="M1823">
        <v>23.497</v>
      </c>
      <c r="N1823">
        <v>717.59</v>
      </c>
      <c r="O1823" t="s">
        <v>2833</v>
      </c>
      <c r="P1823" t="s">
        <v>2833</v>
      </c>
      <c r="Q1823" t="s">
        <v>2833</v>
      </c>
      <c r="R1823">
        <f ca="1">RAND()*(Validation[[#This Row],[Range1_High]]-Validation[[#This Row],[Range1_Low]])+Validation[[#This Row],[Range1_Low]]</f>
        <v>8.3813690557340309E-2</v>
      </c>
      <c r="S1823">
        <f>Validation[[#This Row],[Range2_High]]</f>
        <v>20</v>
      </c>
      <c r="T1823" t="str" cm="1">
        <f t="array" aca="1" ref="T1823" ca="1">RoundToTwoSigFigs(Validation[[#This Row],[Test Reading]]*Validation[[#This Row],[Mult]]+Validation[[#This Row],[Base]]) &amp;" "&amp;Validation[[#This Row],[Uncert_Units]]</f>
        <v>85 µA</v>
      </c>
      <c r="U18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µA</v>
      </c>
      <c r="V1823" t="b">
        <f ca="1">Validation[[#This Row],[Desired Result]]=Validation[[#This Row],[Result]]</f>
        <v>1</v>
      </c>
      <c r="W1823" t="b">
        <v>1</v>
      </c>
      <c r="X1823" t="b">
        <f>Validation[[#This Row],[Range1_Low]]&gt;=Validation[[#This Row],[Range1_High]]</f>
        <v>0</v>
      </c>
      <c r="Y1823" s="111" t="s">
        <v>2843</v>
      </c>
    </row>
    <row r="1824" spans="1:25" ht="16.5" thickTop="1" thickBot="1" x14ac:dyDescent="0.3">
      <c r="A1824" t="s">
        <v>54</v>
      </c>
      <c r="B1824" t="s">
        <v>47</v>
      </c>
      <c r="C1824" s="113">
        <v>3.3E-3</v>
      </c>
      <c r="D1824" s="113">
        <v>3.3001000000000003E-2</v>
      </c>
      <c r="E1824">
        <v>1E-8</v>
      </c>
      <c r="F1824" t="s">
        <v>13</v>
      </c>
      <c r="G1824" t="s">
        <v>11</v>
      </c>
      <c r="H1824">
        <v>0.02</v>
      </c>
      <c r="I1824">
        <v>4.5010000000000001E-2</v>
      </c>
      <c r="J1824" t="s">
        <v>10</v>
      </c>
      <c r="K1824">
        <v>3.8</v>
      </c>
      <c r="L1824">
        <v>1000</v>
      </c>
      <c r="M1824">
        <v>2.2968000000000002</v>
      </c>
      <c r="N1824">
        <v>1043.5999999999999</v>
      </c>
      <c r="O1824" t="s">
        <v>2833</v>
      </c>
      <c r="P1824" t="s">
        <v>2833</v>
      </c>
      <c r="Q1824" t="s">
        <v>2833</v>
      </c>
      <c r="R1824">
        <f ca="1">RAND()*(Validation[[#This Row],[Range1_High]]-Validation[[#This Row],[Range1_Low]])+Validation[[#This Row],[Range1_Low]]</f>
        <v>1.6147821932791784E-2</v>
      </c>
      <c r="S1824">
        <f>Validation[[#This Row],[Range2_High]]</f>
        <v>4.5010000000000001E-2</v>
      </c>
      <c r="T1824" t="str" cm="1">
        <f t="array" aca="1" ref="T1824" ca="1">RoundToTwoSigFigs(Validation[[#This Row],[Test Reading]]*Validation[[#This Row],[Mult]]+Validation[[#This Row],[Base]]) &amp;" "&amp;Validation[[#This Row],[Uncert_Units]]</f>
        <v>20 µA</v>
      </c>
      <c r="U18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V1824" t="b">
        <f ca="1">Validation[[#This Row],[Desired Result]]=Validation[[#This Row],[Result]]</f>
        <v>0</v>
      </c>
      <c r="W1824" t="b">
        <v>1</v>
      </c>
      <c r="X1824" t="b">
        <f>Validation[[#This Row],[Range1_Low]]&gt;=Validation[[#This Row],[Range1_High]]</f>
        <v>0</v>
      </c>
      <c r="Y1824" s="111" t="s">
        <v>2843</v>
      </c>
    </row>
    <row r="1825" spans="1:25" ht="16.5" thickTop="1" thickBot="1" x14ac:dyDescent="0.3">
      <c r="A1825" t="s">
        <v>54</v>
      </c>
      <c r="B1825" t="s">
        <v>47</v>
      </c>
      <c r="C1825" s="113">
        <v>3.3000000000000002E-2</v>
      </c>
      <c r="D1825" s="113">
        <v>0.33001000000000003</v>
      </c>
      <c r="E1825">
        <v>1E-4</v>
      </c>
      <c r="F1825" t="s">
        <v>13</v>
      </c>
      <c r="G1825" t="s">
        <v>12</v>
      </c>
      <c r="H1825">
        <v>30</v>
      </c>
      <c r="I1825">
        <v>30.01</v>
      </c>
      <c r="J1825" t="s">
        <v>10</v>
      </c>
      <c r="K1825">
        <v>0.24</v>
      </c>
      <c r="L1825">
        <v>4.5999999999999996</v>
      </c>
      <c r="M1825">
        <v>0.23555999999999999</v>
      </c>
      <c r="N1825">
        <v>4.6105</v>
      </c>
      <c r="O1825" t="s">
        <v>2833</v>
      </c>
      <c r="P1825" t="s">
        <v>2833</v>
      </c>
      <c r="Q1825" t="s">
        <v>2833</v>
      </c>
      <c r="R1825">
        <f ca="1">RAND()*(Validation[[#This Row],[Range1_High]]-Validation[[#This Row],[Range1_Low]])+Validation[[#This Row],[Range1_Low]]</f>
        <v>9.0945454907197909E-2</v>
      </c>
      <c r="S1825">
        <f>Validation[[#This Row],[Range2_High]]</f>
        <v>30.01</v>
      </c>
      <c r="T1825" t="str" cm="1">
        <f t="array" aca="1" ref="T1825" ca="1">RoundToTwoSigFigs(Validation[[#This Row],[Test Reading]]*Validation[[#This Row],[Mult]]+Validation[[#This Row],[Base]]) &amp;" "&amp;Validation[[#This Row],[Uncert_Units]]</f>
        <v>0.66 mA</v>
      </c>
      <c r="U18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V1825" t="b">
        <f ca="1">Validation[[#This Row],[Desired Result]]=Validation[[#This Row],[Result]]</f>
        <v>1</v>
      </c>
      <c r="W1825" t="b">
        <v>1</v>
      </c>
      <c r="X1825" t="b">
        <f>Validation[[#This Row],[Range1_Low]]&gt;=Validation[[#This Row],[Range1_High]]</f>
        <v>0</v>
      </c>
      <c r="Y1825" s="111" t="s">
        <v>2843</v>
      </c>
    </row>
    <row r="1826" spans="1:25" ht="16.5" thickTop="1" thickBot="1" x14ac:dyDescent="0.3">
      <c r="A1826" t="s">
        <v>54</v>
      </c>
      <c r="B1826" t="s">
        <v>47</v>
      </c>
      <c r="C1826" s="113">
        <v>3.3E-4</v>
      </c>
      <c r="D1826" s="113">
        <v>3.3000999999999998E-3</v>
      </c>
      <c r="E1826">
        <v>1E-8</v>
      </c>
      <c r="F1826" t="s">
        <v>13</v>
      </c>
      <c r="G1826" t="s">
        <v>11</v>
      </c>
      <c r="H1826">
        <v>0.01</v>
      </c>
      <c r="I1826">
        <v>2.001E-2</v>
      </c>
      <c r="J1826" t="s">
        <v>10</v>
      </c>
      <c r="K1826">
        <v>0.23</v>
      </c>
      <c r="L1826">
        <v>2300</v>
      </c>
      <c r="M1826">
        <v>0.17326</v>
      </c>
      <c r="N1826">
        <v>2315.4</v>
      </c>
      <c r="O1826" t="s">
        <v>2833</v>
      </c>
      <c r="P1826" t="s">
        <v>2833</v>
      </c>
      <c r="Q1826" t="s">
        <v>2833</v>
      </c>
      <c r="R1826">
        <f ca="1">RAND()*(Validation[[#This Row],[Range1_High]]-Validation[[#This Row],[Range1_Low]])+Validation[[#This Row],[Range1_Low]]</f>
        <v>2.5736017548655754E-3</v>
      </c>
      <c r="S1826">
        <f>Validation[[#This Row],[Range2_High]]</f>
        <v>2.001E-2</v>
      </c>
      <c r="T1826" t="str" cm="1">
        <f t="array" aca="1" ref="T1826" ca="1">RoundToTwoSigFigs(Validation[[#This Row],[Test Reading]]*Validation[[#This Row],[Mult]]+Validation[[#This Row],[Base]]) &amp;" "&amp;Validation[[#This Row],[Uncert_Units]]</f>
        <v>6.1 µA</v>
      </c>
      <c r="U18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V1826" t="b">
        <f ca="1">Validation[[#This Row],[Desired Result]]=Validation[[#This Row],[Result]]</f>
        <v>0</v>
      </c>
      <c r="W1826" t="b">
        <v>1</v>
      </c>
      <c r="X1826" t="b">
        <f>Validation[[#This Row],[Range1_Low]]&gt;=Validation[[#This Row],[Range1_High]]</f>
        <v>0</v>
      </c>
      <c r="Y1826" s="111" t="s">
        <v>2843</v>
      </c>
    </row>
    <row r="1827" spans="1:25" ht="16.5" thickTop="1" thickBot="1" x14ac:dyDescent="0.3">
      <c r="A1827" t="s">
        <v>54</v>
      </c>
      <c r="B1827" t="s">
        <v>47</v>
      </c>
      <c r="C1827" s="113">
        <v>3.3E-3</v>
      </c>
      <c r="D1827" s="113">
        <v>3.3001000000000003E-2</v>
      </c>
      <c r="E1827">
        <v>1E-4</v>
      </c>
      <c r="F1827" t="s">
        <v>13</v>
      </c>
      <c r="G1827" t="s">
        <v>11</v>
      </c>
      <c r="H1827">
        <v>0.02</v>
      </c>
      <c r="I1827">
        <v>4.5010000000000001E-2</v>
      </c>
      <c r="J1827" t="s">
        <v>10</v>
      </c>
      <c r="K1827">
        <v>577.26</v>
      </c>
      <c r="L1827">
        <v>38.406999999999996</v>
      </c>
      <c r="M1827">
        <v>577.26</v>
      </c>
      <c r="N1827">
        <v>38.348999999999997</v>
      </c>
      <c r="O1827" t="s">
        <v>2833</v>
      </c>
      <c r="P1827" t="s">
        <v>2833</v>
      </c>
      <c r="Q1827" t="s">
        <v>2833</v>
      </c>
      <c r="R1827">
        <f ca="1">RAND()*(Validation[[#This Row],[Range1_High]]-Validation[[#This Row],[Range1_Low]])+Validation[[#This Row],[Range1_Low]]</f>
        <v>1.1732476588104758E-2</v>
      </c>
      <c r="S1827">
        <f>Validation[[#This Row],[Range2_High]]</f>
        <v>4.5010000000000001E-2</v>
      </c>
      <c r="T1827" t="str" cm="1">
        <f t="array" aca="1" ref="T1827" ca="1">RoundToTwoSigFigs(Validation[[#This Row],[Test Reading]]*Validation[[#This Row],[Mult]]+Validation[[#This Row],[Base]]) &amp;" "&amp;Validation[[#This Row],[Uncert_Units]]</f>
        <v>580 µA</v>
      </c>
      <c r="U18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827" t="b">
        <f ca="1">Validation[[#This Row],[Desired Result]]=Validation[[#This Row],[Result]]</f>
        <v>1</v>
      </c>
      <c r="W1827" t="b">
        <v>1</v>
      </c>
      <c r="X1827" t="b">
        <f>Validation[[#This Row],[Range1_Low]]&gt;=Validation[[#This Row],[Range1_High]]</f>
        <v>0</v>
      </c>
      <c r="Y1827" s="111" t="s">
        <v>2843</v>
      </c>
    </row>
    <row r="1828" spans="1:25" ht="16.5" thickTop="1" thickBot="1" x14ac:dyDescent="0.3">
      <c r="A1828" t="s">
        <v>55</v>
      </c>
      <c r="B1828" t="s">
        <v>47</v>
      </c>
      <c r="C1828" s="113">
        <v>1</v>
      </c>
      <c r="D1828" s="113">
        <v>10</v>
      </c>
      <c r="E1828">
        <v>1E-3</v>
      </c>
      <c r="F1828" t="s">
        <v>13</v>
      </c>
      <c r="G1828" t="s">
        <v>12</v>
      </c>
      <c r="H1828">
        <v>0.05</v>
      </c>
      <c r="I1828">
        <v>1</v>
      </c>
      <c r="J1828" t="s">
        <v>10</v>
      </c>
      <c r="K1828">
        <v>0.72094000000000003</v>
      </c>
      <c r="L1828">
        <v>0.14191000000000001</v>
      </c>
      <c r="M1828">
        <v>0.74419000000000002</v>
      </c>
      <c r="N1828">
        <v>0.10576000000000001</v>
      </c>
      <c r="O1828" t="s">
        <v>2833</v>
      </c>
      <c r="P1828" t="s">
        <v>2833</v>
      </c>
      <c r="Q1828" t="s">
        <v>2833</v>
      </c>
      <c r="R1828">
        <f ca="1">RAND()*(Validation[[#This Row],[Range1_High]]-Validation[[#This Row],[Range1_Low]])+Validation[[#This Row],[Range1_Low]]</f>
        <v>5.906832719392483</v>
      </c>
      <c r="S1828">
        <f>Validation[[#This Row],[Range2_High]]</f>
        <v>1</v>
      </c>
      <c r="T1828" t="str" cm="1">
        <f t="array" aca="1" ref="T1828" ca="1">RoundToTwoSigFigs(Validation[[#This Row],[Test Reading]]*Validation[[#This Row],[Mult]]+Validation[[#This Row],[Base]]) &amp;" "&amp;Validation[[#This Row],[Uncert_Units]]</f>
        <v>1.6 mA</v>
      </c>
      <c r="U18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V1828" t="b">
        <f ca="1">Validation[[#This Row],[Desired Result]]=Validation[[#This Row],[Result]]</f>
        <v>1</v>
      </c>
      <c r="W1828" t="b">
        <v>1</v>
      </c>
      <c r="X1828" t="b">
        <f>Validation[[#This Row],[Range1_Low]]&gt;=Validation[[#This Row],[Range1_High]]</f>
        <v>0</v>
      </c>
      <c r="Y1828" s="111" t="s">
        <v>2843</v>
      </c>
    </row>
    <row r="1829" spans="1:25" ht="15.75" thickTop="1" x14ac:dyDescent="0.25">
      <c r="A1829" t="s">
        <v>55</v>
      </c>
      <c r="B1829" t="s">
        <v>47</v>
      </c>
      <c r="C1829">
        <v>0</v>
      </c>
      <c r="D1829">
        <v>1E-4</v>
      </c>
      <c r="E1829">
        <v>1E-4</v>
      </c>
      <c r="F1829" t="s">
        <v>13</v>
      </c>
      <c r="G1829" t="s">
        <v>11</v>
      </c>
      <c r="H1829">
        <v>0.02</v>
      </c>
      <c r="I1829">
        <v>4.4999999999999998E-2</v>
      </c>
      <c r="J1829" t="s">
        <v>10</v>
      </c>
      <c r="K1829">
        <v>57.735999999999997</v>
      </c>
      <c r="L1829">
        <v>4.1759000000000004</v>
      </c>
      <c r="M1829">
        <v>57.731999999999999</v>
      </c>
      <c r="N1829">
        <v>3.9529999999999998</v>
      </c>
      <c r="O1829" t="s">
        <v>2833</v>
      </c>
      <c r="P1829" t="s">
        <v>2833</v>
      </c>
      <c r="Q1829" t="s">
        <v>2833</v>
      </c>
      <c r="R1829">
        <f ca="1">RAND()*(Validation[[#This Row],[Range1_High]]-Validation[[#This Row],[Range1_Low]])+Validation[[#This Row],[Range1_Low]]</f>
        <v>6.6714817501823176E-6</v>
      </c>
      <c r="S1829">
        <f>Validation[[#This Row],[Range2_High]]</f>
        <v>4.4999999999999998E-2</v>
      </c>
      <c r="T1829" t="str" cm="1">
        <f t="array" aca="1" ref="T1829" ca="1">RoundToTwoSigFigs(Validation[[#This Row],[Test Reading]]*Validation[[#This Row],[Mult]]+Validation[[#This Row],[Base]]) &amp;" "&amp;Validation[[#This Row],[Uncert_Units]]</f>
        <v>58 µA</v>
      </c>
      <c r="U18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829" t="b">
        <f ca="1">Validation[[#This Row],[Desired Result]]=Validation[[#This Row],[Result]]</f>
        <v>1</v>
      </c>
      <c r="W1829" t="b">
        <v>0</v>
      </c>
      <c r="X1829" t="b">
        <f>Validation[[#This Row],[Range1_Low]]&gt;=Validation[[#This Row],[Range1_High]]</f>
        <v>0</v>
      </c>
      <c r="Y1829" s="111" t="s">
        <v>2845</v>
      </c>
    </row>
    <row r="1830" spans="1:25" ht="15.75" thickBot="1" x14ac:dyDescent="0.3">
      <c r="A1830" t="s">
        <v>54</v>
      </c>
      <c r="B1830" t="s">
        <v>47</v>
      </c>
      <c r="C1830">
        <v>0.33</v>
      </c>
      <c r="D1830">
        <v>1.1000099999999999</v>
      </c>
      <c r="E1830">
        <v>0.01</v>
      </c>
      <c r="F1830" t="s">
        <v>13</v>
      </c>
      <c r="G1830" t="s">
        <v>12</v>
      </c>
      <c r="H1830">
        <v>0.01</v>
      </c>
      <c r="I1830">
        <v>4.5010000000000001E-2</v>
      </c>
      <c r="J1830" t="s">
        <v>10</v>
      </c>
      <c r="K1830">
        <v>5.6471</v>
      </c>
      <c r="L1830">
        <v>0.55145</v>
      </c>
      <c r="M1830">
        <v>5.6471</v>
      </c>
      <c r="N1830">
        <v>0.55120999999999998</v>
      </c>
      <c r="O1830" t="s">
        <v>2833</v>
      </c>
      <c r="P1830" t="s">
        <v>2833</v>
      </c>
      <c r="Q1830" t="s">
        <v>2833</v>
      </c>
      <c r="R1830">
        <f ca="1">RAND()*(Validation[[#This Row],[Range1_High]]-Validation[[#This Row],[Range1_Low]])+Validation[[#This Row],[Range1_Low]]</f>
        <v>0.44119239248532782</v>
      </c>
      <c r="S1830">
        <f>Validation[[#This Row],[Range2_High]]</f>
        <v>4.5010000000000001E-2</v>
      </c>
      <c r="T1830" t="str" cm="1">
        <f t="array" aca="1" ref="T1830" ca="1">RoundToTwoSigFigs(Validation[[#This Row],[Test Reading]]*Validation[[#This Row],[Mult]]+Validation[[#This Row],[Base]]) &amp;" "&amp;Validation[[#This Row],[Uncert_Units]]</f>
        <v>5.9 mA</v>
      </c>
      <c r="U18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1830" t="b">
        <f ca="1">Validation[[#This Row],[Desired Result]]=Validation[[#This Row],[Result]]</f>
        <v>0</v>
      </c>
      <c r="W1830" t="b">
        <v>1</v>
      </c>
      <c r="X1830" t="b">
        <f>Validation[[#This Row],[Range1_Low]]&gt;=Validation[[#This Row],[Range1_High]]</f>
        <v>0</v>
      </c>
      <c r="Y1830" s="111" t="s">
        <v>2845</v>
      </c>
    </row>
    <row r="1831" spans="1:25" ht="16.5" thickTop="1" thickBot="1" x14ac:dyDescent="0.3">
      <c r="A1831" t="s">
        <v>54</v>
      </c>
      <c r="B1831" t="s">
        <v>47</v>
      </c>
      <c r="C1831" s="113">
        <v>3.3E-3</v>
      </c>
      <c r="D1831" s="113">
        <v>3.3001000000000003E-2</v>
      </c>
      <c r="E1831">
        <v>9.9999999999999995E-8</v>
      </c>
      <c r="F1831" t="s">
        <v>13</v>
      </c>
      <c r="G1831" t="s">
        <v>11</v>
      </c>
      <c r="H1831">
        <v>1</v>
      </c>
      <c r="I1831">
        <v>5.01</v>
      </c>
      <c r="J1831" t="s">
        <v>10</v>
      </c>
      <c r="K1831">
        <v>2.4</v>
      </c>
      <c r="L1831">
        <v>930</v>
      </c>
      <c r="M1831">
        <v>2.3386</v>
      </c>
      <c r="N1831">
        <v>924.88</v>
      </c>
      <c r="O1831" t="s">
        <v>2833</v>
      </c>
      <c r="P1831" t="s">
        <v>2833</v>
      </c>
      <c r="Q1831" t="s">
        <v>2833</v>
      </c>
      <c r="R1831">
        <f ca="1">RAND()*(Validation[[#This Row],[Range1_High]]-Validation[[#This Row],[Range1_Low]])+Validation[[#This Row],[Range1_Low]]</f>
        <v>6.1196206580523263E-3</v>
      </c>
      <c r="S1831">
        <f>Validation[[#This Row],[Range2_High]]</f>
        <v>5.01</v>
      </c>
      <c r="T1831" t="str" cm="1">
        <f t="array" aca="1" ref="T1831" ca="1">RoundToTwoSigFigs(Validation[[#This Row],[Test Reading]]*Validation[[#This Row],[Mult]]+Validation[[#This Row],[Base]]) &amp;" "&amp;Validation[[#This Row],[Uncert_Units]]</f>
        <v>8.1 µA</v>
      </c>
      <c r="U18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V1831" t="b">
        <f ca="1">Validation[[#This Row],[Desired Result]]=Validation[[#This Row],[Result]]</f>
        <v>0</v>
      </c>
      <c r="W1831" t="b">
        <v>1</v>
      </c>
      <c r="X1831" t="b">
        <f>Validation[[#This Row],[Range1_Low]]&gt;=Validation[[#This Row],[Range1_High]]</f>
        <v>0</v>
      </c>
      <c r="Y1831" s="111" t="s">
        <v>2843</v>
      </c>
    </row>
    <row r="1832" spans="1:25" ht="16.5" thickTop="1" thickBot="1" x14ac:dyDescent="0.3">
      <c r="A1832" t="s">
        <v>55</v>
      </c>
      <c r="B1832" t="s">
        <v>47</v>
      </c>
      <c r="C1832" s="113">
        <v>1E-3</v>
      </c>
      <c r="D1832" s="113">
        <v>0.01</v>
      </c>
      <c r="E1832">
        <v>9.9999999999999995E-8</v>
      </c>
      <c r="F1832" t="s">
        <v>13</v>
      </c>
      <c r="G1832" t="s">
        <v>11</v>
      </c>
      <c r="H1832">
        <v>0.02</v>
      </c>
      <c r="I1832">
        <v>4.4999999999999998E-2</v>
      </c>
      <c r="J1832" t="s">
        <v>10</v>
      </c>
      <c r="K1832">
        <v>2.7</v>
      </c>
      <c r="L1832">
        <v>1700</v>
      </c>
      <c r="M1832">
        <v>2.3109999999999999</v>
      </c>
      <c r="N1832">
        <v>1732</v>
      </c>
      <c r="O1832" t="s">
        <v>2833</v>
      </c>
      <c r="P1832" t="s">
        <v>2833</v>
      </c>
      <c r="Q1832" t="s">
        <v>2833</v>
      </c>
      <c r="R1832">
        <f ca="1">RAND()*(Validation[[#This Row],[Range1_High]]-Validation[[#This Row],[Range1_Low]])+Validation[[#This Row],[Range1_Low]]</f>
        <v>9.6818288779311965E-3</v>
      </c>
      <c r="S1832">
        <f>Validation[[#This Row],[Range2_High]]</f>
        <v>4.4999999999999998E-2</v>
      </c>
      <c r="T1832" t="str" cm="1">
        <f t="array" aca="1" ref="T1832" ca="1">RoundToTwoSigFigs(Validation[[#This Row],[Test Reading]]*Validation[[#This Row],[Mult]]+Validation[[#This Row],[Base]]) &amp;" "&amp;Validation[[#This Row],[Uncert_Units]]</f>
        <v>19 µA</v>
      </c>
      <c r="U18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V1832" t="b">
        <f ca="1">Validation[[#This Row],[Desired Result]]=Validation[[#This Row],[Result]]</f>
        <v>1</v>
      </c>
      <c r="W1832" t="b">
        <v>1</v>
      </c>
      <c r="X1832" t="b">
        <f>Validation[[#This Row],[Range1_Low]]&gt;=Validation[[#This Row],[Range1_High]]</f>
        <v>0</v>
      </c>
      <c r="Y1832" s="111" t="s">
        <v>2843</v>
      </c>
    </row>
    <row r="1833" spans="1:25" ht="16.5" thickTop="1" thickBot="1" x14ac:dyDescent="0.3">
      <c r="A1833" t="s">
        <v>68</v>
      </c>
      <c r="B1833" t="s">
        <v>47</v>
      </c>
      <c r="C1833" s="113">
        <v>0.01</v>
      </c>
      <c r="D1833" s="113">
        <v>0.104</v>
      </c>
      <c r="E1833">
        <v>9.9999999999999995E-7</v>
      </c>
      <c r="F1833" t="s">
        <v>13</v>
      </c>
      <c r="G1833" t="s">
        <v>11</v>
      </c>
      <c r="H1833">
        <v>0.01</v>
      </c>
      <c r="I1833">
        <v>2</v>
      </c>
      <c r="J1833" t="s">
        <v>10</v>
      </c>
      <c r="K1833">
        <v>97</v>
      </c>
      <c r="L1833">
        <v>1200</v>
      </c>
      <c r="M1833">
        <v>96.53</v>
      </c>
      <c r="N1833">
        <v>1192.0999999999999</v>
      </c>
      <c r="O1833" t="s">
        <v>2833</v>
      </c>
      <c r="P1833" t="s">
        <v>2833</v>
      </c>
      <c r="Q1833" t="s">
        <v>2833</v>
      </c>
      <c r="R1833">
        <f ca="1">RAND()*(Validation[[#This Row],[Range1_High]]-Validation[[#This Row],[Range1_Low]])+Validation[[#This Row],[Range1_Low]]</f>
        <v>2.8172981587654251E-2</v>
      </c>
      <c r="S1833">
        <f>Validation[[#This Row],[Range2_High]]</f>
        <v>2</v>
      </c>
      <c r="T1833" t="str" cm="1">
        <f t="array" aca="1" ref="T1833" ca="1">RoundToTwoSigFigs(Validation[[#This Row],[Test Reading]]*Validation[[#This Row],[Mult]]+Validation[[#This Row],[Base]]) &amp;" "&amp;Validation[[#This Row],[Uncert_Units]]</f>
        <v>130 µA</v>
      </c>
      <c r="U18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V1833" t="b">
        <f ca="1">Validation[[#This Row],[Desired Result]]=Validation[[#This Row],[Result]]</f>
        <v>1</v>
      </c>
      <c r="W1833" t="b">
        <v>1</v>
      </c>
      <c r="X1833" t="b">
        <f>Validation[[#This Row],[Range1_Low]]&gt;=Validation[[#This Row],[Range1_High]]</f>
        <v>0</v>
      </c>
      <c r="Y1833" s="111" t="s">
        <v>2843</v>
      </c>
    </row>
    <row r="1834" spans="1:25" ht="16.5" thickTop="1" thickBot="1" x14ac:dyDescent="0.3">
      <c r="A1834" t="s">
        <v>55</v>
      </c>
      <c r="B1834" t="s">
        <v>47</v>
      </c>
      <c r="C1834" s="113">
        <v>1E-3</v>
      </c>
      <c r="D1834" s="113">
        <v>0.01</v>
      </c>
      <c r="E1834">
        <v>1E-8</v>
      </c>
      <c r="F1834" t="s">
        <v>13</v>
      </c>
      <c r="G1834" t="s">
        <v>11</v>
      </c>
      <c r="H1834">
        <v>4.4999999999999998E-2</v>
      </c>
      <c r="I1834">
        <v>0.1</v>
      </c>
      <c r="J1834" t="s">
        <v>10</v>
      </c>
      <c r="K1834">
        <v>2.4</v>
      </c>
      <c r="L1834">
        <v>690</v>
      </c>
      <c r="M1834">
        <v>2.3094999999999999</v>
      </c>
      <c r="N1834">
        <v>693.04</v>
      </c>
      <c r="O1834" t="s">
        <v>2833</v>
      </c>
      <c r="P1834" t="s">
        <v>2833</v>
      </c>
      <c r="Q1834" t="s">
        <v>2833</v>
      </c>
      <c r="R1834">
        <f ca="1">RAND()*(Validation[[#This Row],[Range1_High]]-Validation[[#This Row],[Range1_Low]])+Validation[[#This Row],[Range1_Low]]</f>
        <v>5.3927639479614715E-3</v>
      </c>
      <c r="S1834">
        <f>Validation[[#This Row],[Range2_High]]</f>
        <v>0.1</v>
      </c>
      <c r="T1834" t="str" cm="1">
        <f t="array" aca="1" ref="T1834" ca="1">RoundToTwoSigFigs(Validation[[#This Row],[Test Reading]]*Validation[[#This Row],[Mult]]+Validation[[#This Row],[Base]]) &amp;" "&amp;Validation[[#This Row],[Uncert_Units]]</f>
        <v>6.1 µA</v>
      </c>
      <c r="U18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V1834" t="b">
        <f ca="1">Validation[[#This Row],[Desired Result]]=Validation[[#This Row],[Result]]</f>
        <v>1</v>
      </c>
      <c r="W1834" t="b">
        <v>1</v>
      </c>
      <c r="X1834" t="b">
        <f>Validation[[#This Row],[Range1_Low]]&gt;=Validation[[#This Row],[Range1_High]]</f>
        <v>0</v>
      </c>
      <c r="Y1834" s="111" t="s">
        <v>2843</v>
      </c>
    </row>
    <row r="1835" spans="1:25" ht="16.5" thickTop="1" thickBot="1" x14ac:dyDescent="0.3">
      <c r="A1835" t="s">
        <v>55</v>
      </c>
      <c r="B1835" t="s">
        <v>47</v>
      </c>
      <c r="C1835" s="113">
        <v>0.1</v>
      </c>
      <c r="D1835" s="113">
        <v>1</v>
      </c>
      <c r="E1835">
        <v>1E-4</v>
      </c>
      <c r="F1835" t="s">
        <v>13</v>
      </c>
      <c r="G1835" t="s">
        <v>12</v>
      </c>
      <c r="H1835">
        <v>1E-3</v>
      </c>
      <c r="I1835">
        <v>0.02</v>
      </c>
      <c r="J1835" t="s">
        <v>10</v>
      </c>
      <c r="K1835">
        <v>0.25</v>
      </c>
      <c r="L1835">
        <v>4.6002999999999998</v>
      </c>
      <c r="M1835">
        <v>0.23368</v>
      </c>
      <c r="N1835">
        <v>4.6165000000000003</v>
      </c>
      <c r="O1835" t="s">
        <v>2833</v>
      </c>
      <c r="P1835" t="s">
        <v>2833</v>
      </c>
      <c r="Q1835" t="s">
        <v>2833</v>
      </c>
      <c r="R1835">
        <f ca="1">RAND()*(Validation[[#This Row],[Range1_High]]-Validation[[#This Row],[Range1_Low]])+Validation[[#This Row],[Range1_Low]]</f>
        <v>0.23456931256165117</v>
      </c>
      <c r="S1835">
        <f>Validation[[#This Row],[Range2_High]]</f>
        <v>0.02</v>
      </c>
      <c r="T1835" t="str" cm="1">
        <f t="array" aca="1" ref="T1835" ca="1">RoundToTwoSigFigs(Validation[[#This Row],[Test Reading]]*Validation[[#This Row],[Mult]]+Validation[[#This Row],[Base]]) &amp;" "&amp;Validation[[#This Row],[Uncert_Units]]</f>
        <v>1.3 mA</v>
      </c>
      <c r="U18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V1835" t="b">
        <f ca="1">Validation[[#This Row],[Desired Result]]=Validation[[#This Row],[Result]]</f>
        <v>0</v>
      </c>
      <c r="W1835" t="b">
        <v>1</v>
      </c>
      <c r="X1835" t="b">
        <f>Validation[[#This Row],[Range1_Low]]&gt;=Validation[[#This Row],[Range1_High]]</f>
        <v>0</v>
      </c>
      <c r="Y1835" s="111" t="s">
        <v>2843</v>
      </c>
    </row>
    <row r="1836" spans="1:25" ht="16.5" thickTop="1" thickBot="1" x14ac:dyDescent="0.3">
      <c r="A1836" t="s">
        <v>55</v>
      </c>
      <c r="B1836" t="s">
        <v>47</v>
      </c>
      <c r="C1836">
        <v>1E-3</v>
      </c>
      <c r="D1836">
        <v>0.01</v>
      </c>
      <c r="E1836">
        <v>1E-4</v>
      </c>
      <c r="F1836" t="s">
        <v>13</v>
      </c>
      <c r="G1836" t="s">
        <v>11</v>
      </c>
      <c r="H1836">
        <v>1E-3</v>
      </c>
      <c r="I1836">
        <v>0.02</v>
      </c>
      <c r="J1836" t="s">
        <v>10</v>
      </c>
      <c r="K1836">
        <v>56.243000000000002</v>
      </c>
      <c r="L1836">
        <v>1921.2</v>
      </c>
      <c r="M1836">
        <v>56.234999999999999</v>
      </c>
      <c r="N1836">
        <v>1917.8</v>
      </c>
      <c r="O1836" t="s">
        <v>2833</v>
      </c>
      <c r="P1836" t="s">
        <v>2833</v>
      </c>
      <c r="Q1836" t="s">
        <v>2833</v>
      </c>
      <c r="R1836">
        <f ca="1">RAND()*(Validation[[#This Row],[Range1_High]]-Validation[[#This Row],[Range1_Low]])+Validation[[#This Row],[Range1_Low]]</f>
        <v>6.0341304195414818E-3</v>
      </c>
      <c r="S1836">
        <f>Validation[[#This Row],[Range2_High]]</f>
        <v>0.02</v>
      </c>
      <c r="T1836" t="str" cm="1">
        <f t="array" aca="1" ref="T1836" ca="1">RoundToTwoSigFigs(Validation[[#This Row],[Test Reading]]*Validation[[#This Row],[Mult]]+Validation[[#This Row],[Base]]) &amp;" "&amp;Validation[[#This Row],[Uncert_Units]]</f>
        <v>68 µA</v>
      </c>
      <c r="U18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V1836" t="b">
        <f ca="1">Validation[[#This Row],[Desired Result]]=Validation[[#This Row],[Result]]</f>
        <v>0</v>
      </c>
      <c r="W1836" t="b">
        <v>1</v>
      </c>
      <c r="X1836" t="b">
        <f>Validation[[#This Row],[Range1_Low]]&gt;=Validation[[#This Row],[Range1_High]]</f>
        <v>0</v>
      </c>
      <c r="Y1836" s="111" t="s">
        <v>2845</v>
      </c>
    </row>
    <row r="1837" spans="1:25" ht="16.5" thickTop="1" thickBot="1" x14ac:dyDescent="0.3">
      <c r="A1837" t="s">
        <v>55</v>
      </c>
      <c r="B1837" t="s">
        <v>47</v>
      </c>
      <c r="C1837" s="113">
        <v>1</v>
      </c>
      <c r="D1837" s="113">
        <v>10</v>
      </c>
      <c r="E1837">
        <v>1.0000000000000001E-5</v>
      </c>
      <c r="F1837" t="s">
        <v>13</v>
      </c>
      <c r="G1837" t="s">
        <v>12</v>
      </c>
      <c r="H1837">
        <v>1E-3</v>
      </c>
      <c r="I1837">
        <v>0.05</v>
      </c>
      <c r="J1837" t="s">
        <v>10</v>
      </c>
      <c r="K1837">
        <v>0.55000000000000004</v>
      </c>
      <c r="L1837">
        <v>0.12</v>
      </c>
      <c r="M1837">
        <v>0.51998999999999995</v>
      </c>
      <c r="N1837">
        <v>9.3087000000000003E-2</v>
      </c>
      <c r="O1837" t="s">
        <v>2833</v>
      </c>
      <c r="P1837" t="s">
        <v>2833</v>
      </c>
      <c r="Q1837" t="s">
        <v>2833</v>
      </c>
      <c r="R1837">
        <f ca="1">RAND()*(Validation[[#This Row],[Range1_High]]-Validation[[#This Row],[Range1_Low]])+Validation[[#This Row],[Range1_Low]]</f>
        <v>4.9978862595345728</v>
      </c>
      <c r="S1837">
        <f>Validation[[#This Row],[Range2_High]]</f>
        <v>0.05</v>
      </c>
      <c r="T1837" t="str" cm="1">
        <f t="array" aca="1" ref="T1837" ca="1">RoundToTwoSigFigs(Validation[[#This Row],[Test Reading]]*Validation[[#This Row],[Mult]]+Validation[[#This Row],[Base]]) &amp;" "&amp;Validation[[#This Row],[Uncert_Units]]</f>
        <v>1.1 mA</v>
      </c>
      <c r="U18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V1837" t="b">
        <f ca="1">Validation[[#This Row],[Desired Result]]=Validation[[#This Row],[Result]]</f>
        <v>1</v>
      </c>
      <c r="W1837" t="b">
        <v>1</v>
      </c>
      <c r="X1837" t="b">
        <f>Validation[[#This Row],[Range1_Low]]&gt;=Validation[[#This Row],[Range1_High]]</f>
        <v>0</v>
      </c>
      <c r="Y1837" s="111" t="s">
        <v>2843</v>
      </c>
    </row>
    <row r="1838" spans="1:25" ht="15.75" thickTop="1" x14ac:dyDescent="0.25">
      <c r="A1838" t="s">
        <v>55</v>
      </c>
      <c r="B1838" t="s">
        <v>47</v>
      </c>
      <c r="C1838">
        <v>0</v>
      </c>
      <c r="D1838">
        <v>1E-4</v>
      </c>
      <c r="E1838">
        <v>1E-3</v>
      </c>
      <c r="F1838" t="s">
        <v>13</v>
      </c>
      <c r="G1838" t="s">
        <v>11</v>
      </c>
      <c r="H1838">
        <v>1E-3</v>
      </c>
      <c r="I1838">
        <v>0.02</v>
      </c>
      <c r="J1838" t="s">
        <v>10</v>
      </c>
      <c r="K1838">
        <v>577.36</v>
      </c>
      <c r="L1838">
        <v>2.1804999999999999</v>
      </c>
      <c r="M1838">
        <v>577.35</v>
      </c>
      <c r="N1838">
        <v>2.0994999999999999</v>
      </c>
      <c r="O1838" t="s">
        <v>2833</v>
      </c>
      <c r="P1838" t="s">
        <v>2833</v>
      </c>
      <c r="Q1838" t="s">
        <v>2833</v>
      </c>
      <c r="R1838">
        <f ca="1">RAND()*(Validation[[#This Row],[Range1_High]]-Validation[[#This Row],[Range1_Low]])+Validation[[#This Row],[Range1_Low]]</f>
        <v>4.6982207967516399E-6</v>
      </c>
      <c r="S1838">
        <f>Validation[[#This Row],[Range2_High]]</f>
        <v>0.02</v>
      </c>
      <c r="T1838" t="str" cm="1">
        <f t="array" aca="1" ref="T1838" ca="1">RoundToTwoSigFigs(Validation[[#This Row],[Test Reading]]*Validation[[#This Row],[Mult]]+Validation[[#This Row],[Base]]) &amp;" "&amp;Validation[[#This Row],[Uncert_Units]]</f>
        <v>580 µA</v>
      </c>
      <c r="U18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838" t="b">
        <f ca="1">Validation[[#This Row],[Desired Result]]=Validation[[#This Row],[Result]]</f>
        <v>1</v>
      </c>
      <c r="W1838" t="b">
        <v>0</v>
      </c>
      <c r="X1838" t="b">
        <f>Validation[[#This Row],[Range1_Low]]&gt;=Validation[[#This Row],[Range1_High]]</f>
        <v>0</v>
      </c>
      <c r="Y1838" s="111" t="s">
        <v>2845</v>
      </c>
    </row>
    <row r="1839" spans="1:25" ht="15.75" thickBot="1" x14ac:dyDescent="0.3">
      <c r="A1839" t="s">
        <v>55</v>
      </c>
      <c r="B1839" t="s">
        <v>47</v>
      </c>
      <c r="C1839">
        <v>0</v>
      </c>
      <c r="D1839">
        <v>1E-4</v>
      </c>
      <c r="E1839">
        <v>1E-8</v>
      </c>
      <c r="F1839" t="s">
        <v>13</v>
      </c>
      <c r="G1839" t="s">
        <v>11</v>
      </c>
      <c r="H1839">
        <v>0.02</v>
      </c>
      <c r="I1839">
        <v>4.4999999999999998E-2</v>
      </c>
      <c r="J1839" t="s">
        <v>10</v>
      </c>
      <c r="K1839">
        <v>3.7999999999999999E-2</v>
      </c>
      <c r="L1839">
        <v>1700</v>
      </c>
      <c r="M1839">
        <v>3.4998000000000001E-2</v>
      </c>
      <c r="N1839">
        <v>1729.4</v>
      </c>
      <c r="O1839" t="s">
        <v>2833</v>
      </c>
      <c r="P1839" t="s">
        <v>2833</v>
      </c>
      <c r="Q1839" t="s">
        <v>2833</v>
      </c>
      <c r="R1839">
        <f ca="1">RAND()*(Validation[[#This Row],[Range1_High]]-Validation[[#This Row],[Range1_Low]])+Validation[[#This Row],[Range1_Low]]</f>
        <v>5.2529579950633942E-5</v>
      </c>
      <c r="S1839">
        <f>Validation[[#This Row],[Range2_High]]</f>
        <v>4.4999999999999998E-2</v>
      </c>
      <c r="T1839" t="str" cm="1">
        <f t="array" aca="1" ref="T1839" ca="1">RoundToTwoSigFigs(Validation[[#This Row],[Test Reading]]*Validation[[#This Row],[Mult]]+Validation[[#This Row],[Base]]) &amp;" "&amp;Validation[[#This Row],[Uncert_Units]]</f>
        <v>0.13 µA</v>
      </c>
      <c r="U18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µA</v>
      </c>
      <c r="V1839" t="b">
        <f ca="1">Validation[[#This Row],[Desired Result]]=Validation[[#This Row],[Result]]</f>
        <v>1</v>
      </c>
      <c r="W1839" t="b">
        <v>0</v>
      </c>
      <c r="X1839" t="b">
        <f>Validation[[#This Row],[Range1_Low]]&gt;=Validation[[#This Row],[Range1_High]]</f>
        <v>0</v>
      </c>
      <c r="Y1839" s="111" t="s">
        <v>2845</v>
      </c>
    </row>
    <row r="1840" spans="1:25" ht="16.5" thickTop="1" thickBot="1" x14ac:dyDescent="0.3">
      <c r="A1840" t="s">
        <v>54</v>
      </c>
      <c r="B1840" t="s">
        <v>47</v>
      </c>
      <c r="C1840" s="113">
        <v>1.1000000000000001</v>
      </c>
      <c r="D1840" s="113">
        <v>3.0009999999999999</v>
      </c>
      <c r="E1840">
        <v>1E-4</v>
      </c>
      <c r="F1840" t="s">
        <v>13</v>
      </c>
      <c r="G1840" t="s">
        <v>12</v>
      </c>
      <c r="H1840">
        <v>4.4999999999999998E-2</v>
      </c>
      <c r="I1840">
        <v>1.0000100000000001</v>
      </c>
      <c r="J1840" t="s">
        <v>10</v>
      </c>
      <c r="K1840">
        <v>0.13</v>
      </c>
      <c r="L1840">
        <v>0.69</v>
      </c>
      <c r="M1840">
        <v>0.11867999999999999</v>
      </c>
      <c r="N1840">
        <v>0.69310000000000005</v>
      </c>
      <c r="O1840" t="s">
        <v>2833</v>
      </c>
      <c r="P1840" t="s">
        <v>2833</v>
      </c>
      <c r="Q1840" t="s">
        <v>2833</v>
      </c>
      <c r="R1840">
        <f ca="1">RAND()*(Validation[[#This Row],[Range1_High]]-Validation[[#This Row],[Range1_Low]])+Validation[[#This Row],[Range1_Low]]</f>
        <v>2.9883573518819455</v>
      </c>
      <c r="S1840">
        <f>Validation[[#This Row],[Range2_High]]</f>
        <v>1.0000100000000001</v>
      </c>
      <c r="T1840" t="str" cm="1">
        <f t="array" aca="1" ref="T1840" ca="1">RoundToTwoSigFigs(Validation[[#This Row],[Test Reading]]*Validation[[#This Row],[Mult]]+Validation[[#This Row],[Base]]) &amp;" "&amp;Validation[[#This Row],[Uncert_Units]]</f>
        <v>2.2 mA</v>
      </c>
      <c r="U18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V1840" t="b">
        <f ca="1">Validation[[#This Row],[Desired Result]]=Validation[[#This Row],[Result]]</f>
        <v>1</v>
      </c>
      <c r="W1840" t="b">
        <v>1</v>
      </c>
      <c r="X1840" t="b">
        <f>Validation[[#This Row],[Range1_Low]]&gt;=Validation[[#This Row],[Range1_High]]</f>
        <v>0</v>
      </c>
      <c r="Y1840" s="111" t="s">
        <v>2843</v>
      </c>
    </row>
    <row r="1841" spans="1:25" ht="15.75" thickTop="1" x14ac:dyDescent="0.25">
      <c r="A1841" t="s">
        <v>54</v>
      </c>
      <c r="B1841" t="s">
        <v>47</v>
      </c>
      <c r="C1841">
        <v>3.3E-4</v>
      </c>
      <c r="D1841">
        <v>3.3000999999999998E-3</v>
      </c>
      <c r="E1841">
        <v>1E-4</v>
      </c>
      <c r="F1841" t="s">
        <v>13</v>
      </c>
      <c r="G1841" t="s">
        <v>11</v>
      </c>
      <c r="H1841">
        <v>30</v>
      </c>
      <c r="I1841">
        <v>30.1</v>
      </c>
      <c r="J1841" t="s">
        <v>10</v>
      </c>
      <c r="K1841">
        <v>56.616999999999997</v>
      </c>
      <c r="L1841">
        <v>3922.7</v>
      </c>
      <c r="M1841">
        <v>56.616</v>
      </c>
      <c r="N1841">
        <v>3922.6</v>
      </c>
      <c r="O1841" t="s">
        <v>2833</v>
      </c>
      <c r="P1841" t="s">
        <v>2833</v>
      </c>
      <c r="Q1841" t="s">
        <v>2833</v>
      </c>
      <c r="R1841">
        <f ca="1">RAND()*(Validation[[#This Row],[Range1_High]]-Validation[[#This Row],[Range1_Low]])+Validation[[#This Row],[Range1_Low]]</f>
        <v>3.0105880371839862E-3</v>
      </c>
      <c r="S1841">
        <f>Validation[[#This Row],[Range2_High]]</f>
        <v>30.1</v>
      </c>
      <c r="T1841" t="str" cm="1">
        <f t="array" aca="1" ref="T1841" ca="1">RoundToTwoSigFigs(Validation[[#This Row],[Test Reading]]*Validation[[#This Row],[Mult]]+Validation[[#This Row],[Base]]) &amp;" "&amp;Validation[[#This Row],[Uncert_Units]]</f>
        <v>68 µA</v>
      </c>
      <c r="U18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µA</v>
      </c>
      <c r="V1841" t="b">
        <f ca="1">Validation[[#This Row],[Desired Result]]=Validation[[#This Row],[Result]]</f>
        <v>1</v>
      </c>
      <c r="W1841" t="b">
        <v>0</v>
      </c>
      <c r="X1841" t="b">
        <f>Validation[[#This Row],[Range1_Low]]&gt;=Validation[[#This Row],[Range1_High]]</f>
        <v>0</v>
      </c>
      <c r="Y1841" s="111" t="s">
        <v>2845</v>
      </c>
    </row>
    <row r="1842" spans="1:25" ht="15.75" thickBot="1" x14ac:dyDescent="0.3">
      <c r="A1842" t="s">
        <v>54</v>
      </c>
      <c r="B1842" t="s">
        <v>47</v>
      </c>
      <c r="C1842">
        <v>0</v>
      </c>
      <c r="D1842">
        <v>3.3000999999999999E-4</v>
      </c>
      <c r="E1842">
        <v>0.1</v>
      </c>
      <c r="F1842" t="s">
        <v>13</v>
      </c>
      <c r="G1842" t="s">
        <v>11</v>
      </c>
      <c r="H1842">
        <v>1</v>
      </c>
      <c r="I1842">
        <v>5.01</v>
      </c>
      <c r="J1842" t="s">
        <v>10</v>
      </c>
      <c r="K1842">
        <v>57736</v>
      </c>
      <c r="L1842">
        <v>6.1755999999999998E-2</v>
      </c>
      <c r="M1842">
        <v>57736</v>
      </c>
      <c r="N1842">
        <v>4.7704999999999997E-2</v>
      </c>
      <c r="O1842" t="s">
        <v>2833</v>
      </c>
      <c r="P1842" t="s">
        <v>2833</v>
      </c>
      <c r="Q1842" t="s">
        <v>2833</v>
      </c>
      <c r="R1842">
        <f ca="1">RAND()*(Validation[[#This Row],[Range1_High]]-Validation[[#This Row],[Range1_Low]])+Validation[[#This Row],[Range1_Low]]</f>
        <v>7.0303460386927103E-5</v>
      </c>
      <c r="S1842">
        <f>Validation[[#This Row],[Range2_High]]</f>
        <v>5.01</v>
      </c>
      <c r="T1842" t="str" cm="1">
        <f t="array" aca="1" ref="T1842" ca="1">RoundToTwoSigFigs(Validation[[#This Row],[Test Reading]]*Validation[[#This Row],[Mult]]+Validation[[#This Row],[Base]]) &amp;" "&amp;Validation[[#This Row],[Uncert_Units]]</f>
        <v>58000 µA</v>
      </c>
      <c r="U18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1842" t="b">
        <f ca="1">Validation[[#This Row],[Desired Result]]=Validation[[#This Row],[Result]]</f>
        <v>1</v>
      </c>
      <c r="W1842" t="b">
        <v>0</v>
      </c>
      <c r="X1842" t="b">
        <f>Validation[[#This Row],[Range1_Low]]&gt;=Validation[[#This Row],[Range1_High]]</f>
        <v>0</v>
      </c>
      <c r="Y1842" s="111" t="s">
        <v>2845</v>
      </c>
    </row>
    <row r="1843" spans="1:25" ht="16.5" thickTop="1" thickBot="1" x14ac:dyDescent="0.3">
      <c r="A1843" t="s">
        <v>54</v>
      </c>
      <c r="B1843" t="s">
        <v>47</v>
      </c>
      <c r="C1843" s="113">
        <v>3.3E-3</v>
      </c>
      <c r="D1843" s="113">
        <v>3.3001000000000003E-2</v>
      </c>
      <c r="E1843">
        <v>9.9999999999999995E-8</v>
      </c>
      <c r="F1843" t="s">
        <v>13</v>
      </c>
      <c r="G1843" t="s">
        <v>11</v>
      </c>
      <c r="H1843">
        <v>5</v>
      </c>
      <c r="I1843">
        <v>10.01</v>
      </c>
      <c r="J1843" t="s">
        <v>10</v>
      </c>
      <c r="K1843">
        <v>3.8</v>
      </c>
      <c r="L1843">
        <v>2300</v>
      </c>
      <c r="M1843">
        <v>3.4807000000000001</v>
      </c>
      <c r="N1843">
        <v>2309</v>
      </c>
      <c r="O1843" t="s">
        <v>2833</v>
      </c>
      <c r="P1843" t="s">
        <v>2833</v>
      </c>
      <c r="Q1843" t="s">
        <v>2833</v>
      </c>
      <c r="R1843">
        <f ca="1">RAND()*(Validation[[#This Row],[Range1_High]]-Validation[[#This Row],[Range1_Low]])+Validation[[#This Row],[Range1_Low]]</f>
        <v>2.4681345075160243E-2</v>
      </c>
      <c r="S1843">
        <f>Validation[[#This Row],[Range2_High]]</f>
        <v>10.01</v>
      </c>
      <c r="T1843" t="str" cm="1">
        <f t="array" aca="1" ref="T1843" ca="1">RoundToTwoSigFigs(Validation[[#This Row],[Test Reading]]*Validation[[#This Row],[Mult]]+Validation[[#This Row],[Base]]) &amp;" "&amp;Validation[[#This Row],[Uncert_Units]]</f>
        <v>61 µA</v>
      </c>
      <c r="U18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V1843" t="b">
        <f ca="1">Validation[[#This Row],[Desired Result]]=Validation[[#This Row],[Result]]</f>
        <v>1</v>
      </c>
      <c r="W1843" t="b">
        <v>1</v>
      </c>
      <c r="X1843" t="b">
        <f>Validation[[#This Row],[Range1_Low]]&gt;=Validation[[#This Row],[Range1_High]]</f>
        <v>0</v>
      </c>
      <c r="Y1843" s="111" t="s">
        <v>2843</v>
      </c>
    </row>
    <row r="1844" spans="1:25" ht="16.5" thickTop="1" thickBot="1" x14ac:dyDescent="0.3">
      <c r="A1844" t="s">
        <v>55</v>
      </c>
      <c r="B1844" t="s">
        <v>47</v>
      </c>
      <c r="C1844" s="113">
        <v>1</v>
      </c>
      <c r="D1844" s="113">
        <v>10</v>
      </c>
      <c r="E1844">
        <v>1E-3</v>
      </c>
      <c r="F1844" t="s">
        <v>13</v>
      </c>
      <c r="G1844" t="s">
        <v>12</v>
      </c>
      <c r="H1844">
        <v>1E-3</v>
      </c>
      <c r="I1844">
        <v>0.05</v>
      </c>
      <c r="J1844" t="s">
        <v>10</v>
      </c>
      <c r="K1844">
        <v>0.75909000000000004</v>
      </c>
      <c r="L1844">
        <v>9.9090999999999999E-2</v>
      </c>
      <c r="M1844">
        <v>0.76541999999999999</v>
      </c>
      <c r="N1844">
        <v>7.9774999999999999E-2</v>
      </c>
      <c r="O1844" t="s">
        <v>2833</v>
      </c>
      <c r="P1844" t="s">
        <v>2833</v>
      </c>
      <c r="Q1844" t="s">
        <v>2833</v>
      </c>
      <c r="R1844">
        <f ca="1">RAND()*(Validation[[#This Row],[Range1_High]]-Validation[[#This Row],[Range1_Low]])+Validation[[#This Row],[Range1_Low]]</f>
        <v>9.3104541324004995</v>
      </c>
      <c r="S1844">
        <f>Validation[[#This Row],[Range2_High]]</f>
        <v>0.05</v>
      </c>
      <c r="T1844" t="str" cm="1">
        <f t="array" aca="1" ref="T1844" ca="1">RoundToTwoSigFigs(Validation[[#This Row],[Test Reading]]*Validation[[#This Row],[Mult]]+Validation[[#This Row],[Base]]) &amp;" "&amp;Validation[[#This Row],[Uncert_Units]]</f>
        <v>1.7 mA</v>
      </c>
      <c r="U18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V1844" t="b">
        <f ca="1">Validation[[#This Row],[Desired Result]]=Validation[[#This Row],[Result]]</f>
        <v>0</v>
      </c>
      <c r="W1844" t="b">
        <v>1</v>
      </c>
      <c r="X1844" t="b">
        <f>Validation[[#This Row],[Range1_Low]]&gt;=Validation[[#This Row],[Range1_High]]</f>
        <v>0</v>
      </c>
      <c r="Y1844" s="111" t="s">
        <v>2843</v>
      </c>
    </row>
    <row r="1845" spans="1:25" ht="16.5" thickTop="1" thickBot="1" x14ac:dyDescent="0.3">
      <c r="A1845" t="s">
        <v>68</v>
      </c>
      <c r="B1845" t="s">
        <v>47</v>
      </c>
      <c r="C1845" s="113">
        <v>1E-4</v>
      </c>
      <c r="D1845" s="113">
        <v>1.0399999999999999E-3</v>
      </c>
      <c r="E1845">
        <v>9.9999999999999995E-7</v>
      </c>
      <c r="F1845" t="s">
        <v>13</v>
      </c>
      <c r="G1845" t="s">
        <v>11</v>
      </c>
      <c r="H1845">
        <v>0.01</v>
      </c>
      <c r="I1845">
        <v>2</v>
      </c>
      <c r="J1845" t="s">
        <v>10</v>
      </c>
      <c r="K1845">
        <v>1.1172</v>
      </c>
      <c r="L1845">
        <v>1119.7</v>
      </c>
      <c r="M1845">
        <v>1.1168</v>
      </c>
      <c r="N1845">
        <v>1118.5999999999999</v>
      </c>
      <c r="O1845" t="s">
        <v>2833</v>
      </c>
      <c r="P1845" t="s">
        <v>2833</v>
      </c>
      <c r="Q1845" t="s">
        <v>2833</v>
      </c>
      <c r="R1845">
        <f ca="1">RAND()*(Validation[[#This Row],[Range1_High]]-Validation[[#This Row],[Range1_Low]])+Validation[[#This Row],[Range1_Low]]</f>
        <v>7.0445089678004044E-4</v>
      </c>
      <c r="S1845">
        <f>Validation[[#This Row],[Range2_High]]</f>
        <v>2</v>
      </c>
      <c r="T1845" t="str" cm="1">
        <f t="array" aca="1" ref="T1845" ca="1">RoundToTwoSigFigs(Validation[[#This Row],[Test Reading]]*Validation[[#This Row],[Mult]]+Validation[[#This Row],[Base]]) &amp;" "&amp;Validation[[#This Row],[Uncert_Units]]</f>
        <v>1.9 µA</v>
      </c>
      <c r="U18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V1845" t="b">
        <f ca="1">Validation[[#This Row],[Desired Result]]=Validation[[#This Row],[Result]]</f>
        <v>1</v>
      </c>
      <c r="W1845" t="b">
        <v>1</v>
      </c>
      <c r="X1845" t="b">
        <f>Validation[[#This Row],[Range1_Low]]&gt;=Validation[[#This Row],[Range1_High]]</f>
        <v>0</v>
      </c>
      <c r="Y1845" s="111" t="s">
        <v>2843</v>
      </c>
    </row>
    <row r="1846" spans="1:25" ht="16.5" thickTop="1" thickBot="1" x14ac:dyDescent="0.3">
      <c r="A1846" t="s">
        <v>54</v>
      </c>
      <c r="B1846" t="s">
        <v>47</v>
      </c>
      <c r="C1846">
        <v>0</v>
      </c>
      <c r="D1846">
        <v>3.3000999999999999E-4</v>
      </c>
      <c r="E1846">
        <v>1E-8</v>
      </c>
      <c r="F1846" t="s">
        <v>13</v>
      </c>
      <c r="G1846" t="s">
        <v>11</v>
      </c>
      <c r="H1846">
        <v>4.4999999999999998E-2</v>
      </c>
      <c r="I1846">
        <v>1.0000100000000001</v>
      </c>
      <c r="J1846" t="s">
        <v>10</v>
      </c>
      <c r="K1846">
        <v>0.14000000000000001</v>
      </c>
      <c r="L1846">
        <v>1400</v>
      </c>
      <c r="M1846">
        <v>0.11584999999999999</v>
      </c>
      <c r="N1846">
        <v>1442.9</v>
      </c>
      <c r="O1846" t="s">
        <v>2833</v>
      </c>
      <c r="P1846" t="s">
        <v>2833</v>
      </c>
      <c r="Q1846" t="s">
        <v>2833</v>
      </c>
      <c r="R1846">
        <f ca="1">RAND()*(Validation[[#This Row],[Range1_High]]-Validation[[#This Row],[Range1_Low]])+Validation[[#This Row],[Range1_Low]]</f>
        <v>2.9819497128954537E-4</v>
      </c>
      <c r="S1846">
        <f>Validation[[#This Row],[Range2_High]]</f>
        <v>1.0000100000000001</v>
      </c>
      <c r="T1846" t="str" cm="1">
        <f t="array" aca="1" ref="T1846" ca="1">RoundToTwoSigFigs(Validation[[#This Row],[Test Reading]]*Validation[[#This Row],[Mult]]+Validation[[#This Row],[Base]]) &amp;" "&amp;Validation[[#This Row],[Uncert_Units]]</f>
        <v>0.56 µA</v>
      </c>
      <c r="U18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V1846" t="b">
        <f ca="1">Validation[[#This Row],[Desired Result]]=Validation[[#This Row],[Result]]</f>
        <v>1</v>
      </c>
      <c r="W1846" t="b">
        <v>0</v>
      </c>
      <c r="X1846" t="b">
        <f>Validation[[#This Row],[Range1_Low]]&gt;=Validation[[#This Row],[Range1_High]]</f>
        <v>0</v>
      </c>
      <c r="Y1846" s="111" t="s">
        <v>2845</v>
      </c>
    </row>
    <row r="1847" spans="1:25" ht="16.5" thickTop="1" thickBot="1" x14ac:dyDescent="0.3">
      <c r="A1847" t="s">
        <v>54</v>
      </c>
      <c r="B1847" t="s">
        <v>47</v>
      </c>
      <c r="C1847" s="113">
        <v>0.33</v>
      </c>
      <c r="D1847" s="113">
        <v>1.1000099999999999</v>
      </c>
      <c r="E1847">
        <v>1E-3</v>
      </c>
      <c r="F1847" t="s">
        <v>13</v>
      </c>
      <c r="G1847" t="s">
        <v>12</v>
      </c>
      <c r="H1847">
        <v>10</v>
      </c>
      <c r="I1847">
        <v>10.01</v>
      </c>
      <c r="J1847" t="s">
        <v>10</v>
      </c>
      <c r="K1847">
        <v>5.8</v>
      </c>
      <c r="L1847">
        <v>29</v>
      </c>
      <c r="M1847">
        <v>5.7873999999999999</v>
      </c>
      <c r="N1847">
        <v>28.859000000000002</v>
      </c>
      <c r="O1847" t="s">
        <v>2833</v>
      </c>
      <c r="P1847" t="s">
        <v>2833</v>
      </c>
      <c r="Q1847" t="s">
        <v>2833</v>
      </c>
      <c r="R1847">
        <f ca="1">RAND()*(Validation[[#This Row],[Range1_High]]-Validation[[#This Row],[Range1_Low]])+Validation[[#This Row],[Range1_Low]]</f>
        <v>1.0636942080998049</v>
      </c>
      <c r="S1847">
        <f>Validation[[#This Row],[Range2_High]]</f>
        <v>10.01</v>
      </c>
      <c r="T1847" t="str" cm="1">
        <f t="array" aca="1" ref="T1847" ca="1">RoundToTwoSigFigs(Validation[[#This Row],[Test Reading]]*Validation[[#This Row],[Mult]]+Validation[[#This Row],[Base]]) &amp;" "&amp;Validation[[#This Row],[Uncert_Units]]</f>
        <v>37 mA</v>
      </c>
      <c r="U18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V1847" t="b">
        <f ca="1">Validation[[#This Row],[Desired Result]]=Validation[[#This Row],[Result]]</f>
        <v>1</v>
      </c>
      <c r="W1847" t="b">
        <v>1</v>
      </c>
      <c r="X1847" t="b">
        <f>Validation[[#This Row],[Range1_Low]]&gt;=Validation[[#This Row],[Range1_High]]</f>
        <v>0</v>
      </c>
      <c r="Y1847" s="111" t="s">
        <v>2843</v>
      </c>
    </row>
    <row r="1848" spans="1:25" ht="16.5" thickTop="1" thickBot="1" x14ac:dyDescent="0.3">
      <c r="A1848" t="s">
        <v>54</v>
      </c>
      <c r="B1848" t="s">
        <v>47</v>
      </c>
      <c r="C1848">
        <v>3.3000000000000002E-2</v>
      </c>
      <c r="D1848">
        <v>0.33001000000000003</v>
      </c>
      <c r="E1848">
        <v>1E-3</v>
      </c>
      <c r="F1848" t="s">
        <v>13</v>
      </c>
      <c r="G1848" t="s">
        <v>12</v>
      </c>
      <c r="H1848" s="113">
        <v>1</v>
      </c>
      <c r="I1848" s="113">
        <v>5.01</v>
      </c>
      <c r="J1848" t="s">
        <v>10</v>
      </c>
      <c r="K1848">
        <v>0.56964999999999999</v>
      </c>
      <c r="L1848">
        <v>0.47367999999999999</v>
      </c>
      <c r="M1848">
        <v>0.56962999999999997</v>
      </c>
      <c r="N1848">
        <v>0.47360999999999998</v>
      </c>
      <c r="O1848" t="s">
        <v>2833</v>
      </c>
      <c r="P1848" t="s">
        <v>2833</v>
      </c>
      <c r="Q1848" t="s">
        <v>2833</v>
      </c>
      <c r="R1848">
        <f ca="1">RAND()*(Validation[[#This Row],[Range1_High]]-Validation[[#This Row],[Range1_Low]])+Validation[[#This Row],[Range1_Low]]</f>
        <v>6.4987795887353567E-2</v>
      </c>
      <c r="S1848">
        <f>Validation[[#This Row],[Range2_High]]</f>
        <v>5.01</v>
      </c>
      <c r="T1848" t="str" cm="1">
        <f t="array" aca="1" ref="T1848" ca="1">RoundToTwoSigFigs(Validation[[#This Row],[Test Reading]]*Validation[[#This Row],[Mult]]+Validation[[#This Row],[Base]]) &amp;" "&amp;Validation[[#This Row],[Uncert_Units]]</f>
        <v>0.6 mA</v>
      </c>
      <c r="U18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V1848" t="b">
        <f ca="1">Validation[[#This Row],[Desired Result]]=Validation[[#This Row],[Result]]</f>
        <v>0</v>
      </c>
      <c r="W1848" t="b">
        <v>1</v>
      </c>
      <c r="X1848" t="b">
        <f>Validation[[#This Row],[Range1_Low]]&gt;=Validation[[#This Row],[Range1_High]]</f>
        <v>0</v>
      </c>
      <c r="Y1848" s="114" t="s">
        <v>2846</v>
      </c>
    </row>
    <row r="1849" spans="1:25" ht="16.5" thickTop="1" thickBot="1" x14ac:dyDescent="0.3">
      <c r="A1849" t="s">
        <v>55</v>
      </c>
      <c r="B1849" t="s">
        <v>47</v>
      </c>
      <c r="C1849" s="113">
        <v>0.01</v>
      </c>
      <c r="D1849" s="113">
        <v>0.1</v>
      </c>
      <c r="E1849">
        <v>1E-4</v>
      </c>
      <c r="F1849" t="s">
        <v>13</v>
      </c>
      <c r="G1849" t="s">
        <v>11</v>
      </c>
      <c r="H1849">
        <v>20</v>
      </c>
      <c r="I1849">
        <v>50</v>
      </c>
      <c r="J1849" t="s">
        <v>10</v>
      </c>
      <c r="K1849">
        <v>64.007999999999996</v>
      </c>
      <c r="L1849">
        <v>4598.6000000000004</v>
      </c>
      <c r="M1849">
        <v>63.621000000000002</v>
      </c>
      <c r="N1849">
        <v>4599.3999999999996</v>
      </c>
      <c r="O1849" t="s">
        <v>2833</v>
      </c>
      <c r="P1849" t="s">
        <v>2833</v>
      </c>
      <c r="Q1849" t="s">
        <v>2833</v>
      </c>
      <c r="R1849">
        <f ca="1">RAND()*(Validation[[#This Row],[Range1_High]]-Validation[[#This Row],[Range1_Low]])+Validation[[#This Row],[Range1_Low]]</f>
        <v>8.5208554187378882E-2</v>
      </c>
      <c r="S1849">
        <f>Validation[[#This Row],[Range2_High]]</f>
        <v>50</v>
      </c>
      <c r="T1849" t="str" cm="1">
        <f t="array" aca="1" ref="T1849" ca="1">RoundToTwoSigFigs(Validation[[#This Row],[Test Reading]]*Validation[[#This Row],[Mult]]+Validation[[#This Row],[Base]]) &amp;" "&amp;Validation[[#This Row],[Uncert_Units]]</f>
        <v>460 µA</v>
      </c>
      <c r="U18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µA</v>
      </c>
      <c r="V1849" t="b">
        <f ca="1">Validation[[#This Row],[Desired Result]]=Validation[[#This Row],[Result]]</f>
        <v>0</v>
      </c>
      <c r="W1849" t="b">
        <v>1</v>
      </c>
      <c r="X1849" t="b">
        <f>Validation[[#This Row],[Range1_Low]]&gt;=Validation[[#This Row],[Range1_High]]</f>
        <v>0</v>
      </c>
      <c r="Y1849" s="111" t="s">
        <v>2843</v>
      </c>
    </row>
    <row r="1850" spans="1:25" ht="16.5" thickTop="1" thickBot="1" x14ac:dyDescent="0.3">
      <c r="A1850" t="s">
        <v>54</v>
      </c>
      <c r="B1850" t="s">
        <v>47</v>
      </c>
      <c r="C1850">
        <v>0</v>
      </c>
      <c r="D1850">
        <v>3.3000999999999999E-4</v>
      </c>
      <c r="E1850">
        <v>1</v>
      </c>
      <c r="F1850" t="s">
        <v>13</v>
      </c>
      <c r="G1850" t="s">
        <v>11</v>
      </c>
      <c r="H1850">
        <v>0.02</v>
      </c>
      <c r="I1850">
        <v>4.5010000000000001E-2</v>
      </c>
      <c r="J1850" t="s">
        <v>10</v>
      </c>
      <c r="K1850">
        <v>577360</v>
      </c>
      <c r="L1850">
        <v>6.8998000000000002E-3</v>
      </c>
      <c r="M1850">
        <v>577360</v>
      </c>
      <c r="N1850">
        <v>1.2794E-3</v>
      </c>
      <c r="O1850" t="s">
        <v>2833</v>
      </c>
      <c r="P1850" t="s">
        <v>2833</v>
      </c>
      <c r="Q1850" t="s">
        <v>2833</v>
      </c>
      <c r="R1850">
        <f ca="1">RAND()*(Validation[[#This Row],[Range1_High]]-Validation[[#This Row],[Range1_Low]])+Validation[[#This Row],[Range1_Low]]</f>
        <v>2.6663321665376725E-4</v>
      </c>
      <c r="S1850">
        <f>Validation[[#This Row],[Range2_High]]</f>
        <v>4.5010000000000001E-2</v>
      </c>
      <c r="T1850" t="str" cm="1">
        <f t="array" aca="1" ref="T1850" ca="1">RoundToTwoSigFigs(Validation[[#This Row],[Test Reading]]*Validation[[#This Row],[Mult]]+Validation[[#This Row],[Base]]) &amp;" "&amp;Validation[[#This Row],[Uncert_Units]]</f>
        <v>580000 µA</v>
      </c>
      <c r="U18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1850" t="b">
        <f ca="1">Validation[[#This Row],[Desired Result]]=Validation[[#This Row],[Result]]</f>
        <v>1</v>
      </c>
      <c r="W1850" t="b">
        <v>0</v>
      </c>
      <c r="X1850" t="b">
        <f>Validation[[#This Row],[Range1_Low]]&gt;=Validation[[#This Row],[Range1_High]]</f>
        <v>0</v>
      </c>
      <c r="Y1850" s="111" t="s">
        <v>2845</v>
      </c>
    </row>
    <row r="1851" spans="1:25" ht="16.5" thickTop="1" thickBot="1" x14ac:dyDescent="0.3">
      <c r="A1851" t="s">
        <v>68</v>
      </c>
      <c r="B1851" t="s">
        <v>47</v>
      </c>
      <c r="C1851" s="113">
        <v>1E-4</v>
      </c>
      <c r="D1851" s="113">
        <v>1.0399999999999999E-3</v>
      </c>
      <c r="E1851">
        <v>1E-8</v>
      </c>
      <c r="F1851" t="s">
        <v>13</v>
      </c>
      <c r="G1851" t="s">
        <v>11</v>
      </c>
      <c r="H1851">
        <v>0.01</v>
      </c>
      <c r="I1851">
        <v>2</v>
      </c>
      <c r="J1851" t="s">
        <v>10</v>
      </c>
      <c r="K1851">
        <v>0.97</v>
      </c>
      <c r="L1851">
        <v>1200</v>
      </c>
      <c r="M1851">
        <v>0.96530000000000005</v>
      </c>
      <c r="N1851">
        <v>1192.0999999999999</v>
      </c>
      <c r="O1851" t="s">
        <v>2833</v>
      </c>
      <c r="P1851" t="s">
        <v>2833</v>
      </c>
      <c r="Q1851" t="s">
        <v>2833</v>
      </c>
      <c r="R1851">
        <f ca="1">RAND()*(Validation[[#This Row],[Range1_High]]-Validation[[#This Row],[Range1_Low]])+Validation[[#This Row],[Range1_Low]]</f>
        <v>5.9429180700320834E-4</v>
      </c>
      <c r="S1851">
        <f>Validation[[#This Row],[Range2_High]]</f>
        <v>2</v>
      </c>
      <c r="T1851" t="str" cm="1">
        <f t="array" aca="1" ref="T1851" ca="1">RoundToTwoSigFigs(Validation[[#This Row],[Test Reading]]*Validation[[#This Row],[Mult]]+Validation[[#This Row],[Base]]) &amp;" "&amp;Validation[[#This Row],[Uncert_Units]]</f>
        <v>1.7 µA</v>
      </c>
      <c r="U18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V1851" t="b">
        <f ca="1">Validation[[#This Row],[Desired Result]]=Validation[[#This Row],[Result]]</f>
        <v>1</v>
      </c>
      <c r="W1851" t="b">
        <v>1</v>
      </c>
      <c r="X1851" t="b">
        <f>Validation[[#This Row],[Range1_Low]]&gt;=Validation[[#This Row],[Range1_High]]</f>
        <v>0</v>
      </c>
      <c r="Y1851" s="111" t="s">
        <v>2843</v>
      </c>
    </row>
    <row r="1852" spans="1:25" ht="15.75" thickTop="1" x14ac:dyDescent="0.25">
      <c r="A1852" t="s">
        <v>54</v>
      </c>
      <c r="B1852" t="s">
        <v>47</v>
      </c>
      <c r="C1852">
        <v>0</v>
      </c>
      <c r="D1852">
        <v>3.3000999999999999E-4</v>
      </c>
      <c r="E1852">
        <v>1E-3</v>
      </c>
      <c r="F1852" t="s">
        <v>13</v>
      </c>
      <c r="G1852" t="s">
        <v>11</v>
      </c>
      <c r="H1852">
        <v>1</v>
      </c>
      <c r="I1852">
        <v>5.01</v>
      </c>
      <c r="J1852" t="s">
        <v>10</v>
      </c>
      <c r="K1852">
        <v>577.36</v>
      </c>
      <c r="L1852">
        <v>4.8582999999999998</v>
      </c>
      <c r="M1852">
        <v>577.35</v>
      </c>
      <c r="N1852">
        <v>4.7705000000000002</v>
      </c>
      <c r="O1852" t="s">
        <v>2833</v>
      </c>
      <c r="P1852" t="s">
        <v>2833</v>
      </c>
      <c r="Q1852" t="s">
        <v>2833</v>
      </c>
      <c r="R1852">
        <f ca="1">RAND()*(Validation[[#This Row],[Range1_High]]-Validation[[#This Row],[Range1_Low]])+Validation[[#This Row],[Range1_Low]]</f>
        <v>2.9137901468122393E-4</v>
      </c>
      <c r="S1852">
        <f>Validation[[#This Row],[Range2_High]]</f>
        <v>5.01</v>
      </c>
      <c r="T1852" t="str" cm="1">
        <f t="array" aca="1" ref="T1852" ca="1">RoundToTwoSigFigs(Validation[[#This Row],[Test Reading]]*Validation[[#This Row],[Mult]]+Validation[[#This Row],[Base]]) &amp;" "&amp;Validation[[#This Row],[Uncert_Units]]</f>
        <v>580 µA</v>
      </c>
      <c r="U18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852" t="b">
        <f ca="1">Validation[[#This Row],[Desired Result]]=Validation[[#This Row],[Result]]</f>
        <v>1</v>
      </c>
      <c r="W1852" t="b">
        <v>0</v>
      </c>
      <c r="X1852" t="b">
        <f>Validation[[#This Row],[Range1_Low]]&gt;=Validation[[#This Row],[Range1_High]]</f>
        <v>0</v>
      </c>
      <c r="Y1852" s="111" t="s">
        <v>2845</v>
      </c>
    </row>
    <row r="1853" spans="1:25" ht="15.75" thickBot="1" x14ac:dyDescent="0.3">
      <c r="A1853" t="s">
        <v>54</v>
      </c>
      <c r="B1853" t="s">
        <v>47</v>
      </c>
      <c r="C1853">
        <v>0</v>
      </c>
      <c r="D1853">
        <v>3.3000999999999999E-4</v>
      </c>
      <c r="E1853">
        <v>1E-8</v>
      </c>
      <c r="F1853" t="s">
        <v>13</v>
      </c>
      <c r="G1853" t="s">
        <v>11</v>
      </c>
      <c r="H1853">
        <v>10</v>
      </c>
      <c r="I1853">
        <v>30</v>
      </c>
      <c r="J1853" t="s">
        <v>10</v>
      </c>
      <c r="K1853">
        <v>0.62</v>
      </c>
      <c r="L1853">
        <v>18000</v>
      </c>
      <c r="M1853">
        <v>0.46198</v>
      </c>
      <c r="N1853">
        <v>18475</v>
      </c>
      <c r="O1853" t="s">
        <v>2833</v>
      </c>
      <c r="P1853" t="s">
        <v>2833</v>
      </c>
      <c r="Q1853" t="s">
        <v>2833</v>
      </c>
      <c r="R1853">
        <f ca="1">RAND()*(Validation[[#This Row],[Range1_High]]-Validation[[#This Row],[Range1_Low]])+Validation[[#This Row],[Range1_Low]]</f>
        <v>3.2504728443281239E-4</v>
      </c>
      <c r="S1853">
        <f>Validation[[#This Row],[Range2_High]]</f>
        <v>30</v>
      </c>
      <c r="T1853" t="str" cm="1">
        <f t="array" aca="1" ref="T1853" ca="1">RoundToTwoSigFigs(Validation[[#This Row],[Test Reading]]*Validation[[#This Row],[Mult]]+Validation[[#This Row],[Base]]) &amp;" "&amp;Validation[[#This Row],[Uncert_Units]]</f>
        <v>6.5 µA</v>
      </c>
      <c r="U18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V1853" t="b">
        <f ca="1">Validation[[#This Row],[Desired Result]]=Validation[[#This Row],[Result]]</f>
        <v>1</v>
      </c>
      <c r="W1853" t="b">
        <v>0</v>
      </c>
      <c r="X1853" t="b">
        <f>Validation[[#This Row],[Range1_Low]]&gt;=Validation[[#This Row],[Range1_High]]</f>
        <v>0</v>
      </c>
      <c r="Y1853" s="111" t="s">
        <v>2845</v>
      </c>
    </row>
    <row r="1854" spans="1:25" ht="16.5" thickTop="1" thickBot="1" x14ac:dyDescent="0.3">
      <c r="A1854" t="s">
        <v>54</v>
      </c>
      <c r="B1854" t="s">
        <v>47</v>
      </c>
      <c r="C1854" s="113">
        <v>3.3E-3</v>
      </c>
      <c r="D1854" s="113">
        <v>3.3001000000000003E-2</v>
      </c>
      <c r="E1854">
        <v>1.0000000000000001E-5</v>
      </c>
      <c r="F1854" t="s">
        <v>13</v>
      </c>
      <c r="G1854" t="s">
        <v>11</v>
      </c>
      <c r="H1854">
        <v>5</v>
      </c>
      <c r="I1854">
        <v>10.01</v>
      </c>
      <c r="J1854" t="s">
        <v>10</v>
      </c>
      <c r="K1854">
        <v>54.396999999999998</v>
      </c>
      <c r="L1854">
        <v>1333.5</v>
      </c>
      <c r="M1854">
        <v>54.39</v>
      </c>
      <c r="N1854">
        <v>1333.5</v>
      </c>
      <c r="O1854" t="s">
        <v>2833</v>
      </c>
      <c r="P1854" t="s">
        <v>2833</v>
      </c>
      <c r="Q1854" t="s">
        <v>2833</v>
      </c>
      <c r="R1854">
        <f ca="1">RAND()*(Validation[[#This Row],[Range1_High]]-Validation[[#This Row],[Range1_Low]])+Validation[[#This Row],[Range1_Low]]</f>
        <v>7.9770733061189907E-3</v>
      </c>
      <c r="S1854">
        <f>Validation[[#This Row],[Range2_High]]</f>
        <v>10.01</v>
      </c>
      <c r="T1854" t="str" cm="1">
        <f t="array" aca="1" ref="T1854" ca="1">RoundToTwoSigFigs(Validation[[#This Row],[Test Reading]]*Validation[[#This Row],[Mult]]+Validation[[#This Row],[Base]]) &amp;" "&amp;Validation[[#This Row],[Uncert_Units]]</f>
        <v>65 µA</v>
      </c>
      <c r="U18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µA</v>
      </c>
      <c r="V1854" t="b">
        <f ca="1">Validation[[#This Row],[Desired Result]]=Validation[[#This Row],[Result]]</f>
        <v>0</v>
      </c>
      <c r="W1854" t="b">
        <v>1</v>
      </c>
      <c r="X1854" t="b">
        <f>Validation[[#This Row],[Range1_Low]]&gt;=Validation[[#This Row],[Range1_High]]</f>
        <v>0</v>
      </c>
      <c r="Y1854" s="111" t="s">
        <v>2843</v>
      </c>
    </row>
    <row r="1855" spans="1:25" ht="15.75" thickTop="1" x14ac:dyDescent="0.25">
      <c r="A1855" t="s">
        <v>54</v>
      </c>
      <c r="B1855" t="s">
        <v>47</v>
      </c>
      <c r="C1855">
        <v>0</v>
      </c>
      <c r="D1855">
        <v>3.3000999999999999E-4</v>
      </c>
      <c r="E1855">
        <v>9.9999999999999995E-7</v>
      </c>
      <c r="F1855" t="s">
        <v>13</v>
      </c>
      <c r="G1855" t="s">
        <v>11</v>
      </c>
      <c r="H1855">
        <v>1</v>
      </c>
      <c r="I1855">
        <v>5.01</v>
      </c>
      <c r="J1855" t="s">
        <v>10</v>
      </c>
      <c r="K1855">
        <v>0.56230999999999998</v>
      </c>
      <c r="L1855">
        <v>2652.9</v>
      </c>
      <c r="M1855">
        <v>0.56206999999999996</v>
      </c>
      <c r="N1855">
        <v>2652.8</v>
      </c>
      <c r="O1855" t="s">
        <v>2833</v>
      </c>
      <c r="P1855" t="s">
        <v>2833</v>
      </c>
      <c r="Q1855" t="s">
        <v>2833</v>
      </c>
      <c r="R1855">
        <f ca="1">RAND()*(Validation[[#This Row],[Range1_High]]-Validation[[#This Row],[Range1_Low]])+Validation[[#This Row],[Range1_Low]]</f>
        <v>1.0679610752852716E-4</v>
      </c>
      <c r="S1855">
        <f>Validation[[#This Row],[Range2_High]]</f>
        <v>5.01</v>
      </c>
      <c r="T1855" t="str" cm="1">
        <f t="array" aca="1" ref="T1855" ca="1">RoundToTwoSigFigs(Validation[[#This Row],[Test Reading]]*Validation[[#This Row],[Mult]]+Validation[[#This Row],[Base]]) &amp;" "&amp;Validation[[#This Row],[Uncert_Units]]</f>
        <v>0.85 µA</v>
      </c>
      <c r="U18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V1855" t="b">
        <f ca="1">Validation[[#This Row],[Desired Result]]=Validation[[#This Row],[Result]]</f>
        <v>0</v>
      </c>
      <c r="W1855" t="b">
        <v>1</v>
      </c>
      <c r="X1855" t="b">
        <f>Validation[[#This Row],[Range1_Low]]&gt;=Validation[[#This Row],[Range1_High]]</f>
        <v>0</v>
      </c>
      <c r="Y1855" s="111" t="s">
        <v>2845</v>
      </c>
    </row>
    <row r="1856" spans="1:25" ht="15.75" thickBot="1" x14ac:dyDescent="0.3">
      <c r="A1856" t="s">
        <v>54</v>
      </c>
      <c r="B1856" t="s">
        <v>47</v>
      </c>
      <c r="C1856">
        <v>0</v>
      </c>
      <c r="D1856">
        <v>3.3000999999999999E-4</v>
      </c>
      <c r="E1856">
        <v>1.0000000000000001E-5</v>
      </c>
      <c r="F1856" t="s">
        <v>13</v>
      </c>
      <c r="G1856" t="s">
        <v>11</v>
      </c>
      <c r="H1856">
        <v>30</v>
      </c>
      <c r="I1856">
        <v>30.1</v>
      </c>
      <c r="J1856" t="s">
        <v>10</v>
      </c>
      <c r="K1856">
        <v>5.5819999999999999</v>
      </c>
      <c r="L1856">
        <v>9564.6</v>
      </c>
      <c r="M1856">
        <v>5.5818000000000003</v>
      </c>
      <c r="N1856">
        <v>9564.1</v>
      </c>
      <c r="O1856" t="s">
        <v>2833</v>
      </c>
      <c r="P1856" t="s">
        <v>2833</v>
      </c>
      <c r="Q1856" t="s">
        <v>2833</v>
      </c>
      <c r="R1856">
        <f ca="1">RAND()*(Validation[[#This Row],[Range1_High]]-Validation[[#This Row],[Range1_Low]])+Validation[[#This Row],[Range1_Low]]</f>
        <v>2.2974743484783539E-5</v>
      </c>
      <c r="S1856">
        <f>Validation[[#This Row],[Range2_High]]</f>
        <v>30.1</v>
      </c>
      <c r="T1856" t="str" cm="1">
        <f t="array" aca="1" ref="T1856" ca="1">RoundToTwoSigFigs(Validation[[#This Row],[Test Reading]]*Validation[[#This Row],[Mult]]+Validation[[#This Row],[Base]]) &amp;" "&amp;Validation[[#This Row],[Uncert_Units]]</f>
        <v>5.8 µA</v>
      </c>
      <c r="U18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856" t="b">
        <f ca="1">Validation[[#This Row],[Desired Result]]=Validation[[#This Row],[Result]]</f>
        <v>1</v>
      </c>
      <c r="W1856" t="b">
        <v>0</v>
      </c>
      <c r="X1856" t="b">
        <f>Validation[[#This Row],[Range1_Low]]&gt;=Validation[[#This Row],[Range1_High]]</f>
        <v>0</v>
      </c>
      <c r="Y1856" s="111" t="s">
        <v>2845</v>
      </c>
    </row>
    <row r="1857" spans="1:25" ht="16.5" thickTop="1" thickBot="1" x14ac:dyDescent="0.3">
      <c r="A1857" t="s">
        <v>55</v>
      </c>
      <c r="B1857" t="s">
        <v>47</v>
      </c>
      <c r="C1857" s="113">
        <v>1E-3</v>
      </c>
      <c r="D1857" s="113">
        <v>0.01</v>
      </c>
      <c r="E1857">
        <v>9.9999999999999995E-7</v>
      </c>
      <c r="F1857" t="s">
        <v>13</v>
      </c>
      <c r="G1857" t="s">
        <v>11</v>
      </c>
      <c r="H1857">
        <v>4.4999999999999998E-2</v>
      </c>
      <c r="I1857">
        <v>0.1</v>
      </c>
      <c r="J1857" t="s">
        <v>10</v>
      </c>
      <c r="K1857">
        <v>2.4</v>
      </c>
      <c r="L1857">
        <v>690</v>
      </c>
      <c r="M1857">
        <v>2.3717000000000001</v>
      </c>
      <c r="N1857">
        <v>689.14</v>
      </c>
      <c r="O1857" t="s">
        <v>2833</v>
      </c>
      <c r="P1857" t="s">
        <v>2833</v>
      </c>
      <c r="Q1857" t="s">
        <v>2833</v>
      </c>
      <c r="R1857">
        <f ca="1">RAND()*(Validation[[#This Row],[Range1_High]]-Validation[[#This Row],[Range1_Low]])+Validation[[#This Row],[Range1_Low]]</f>
        <v>2.0568642023114769E-3</v>
      </c>
      <c r="S1857">
        <f>Validation[[#This Row],[Range2_High]]</f>
        <v>0.1</v>
      </c>
      <c r="T1857" t="str" cm="1">
        <f t="array" aca="1" ref="T1857" ca="1">RoundToTwoSigFigs(Validation[[#This Row],[Test Reading]]*Validation[[#This Row],[Mult]]+Validation[[#This Row],[Base]]) &amp;" "&amp;Validation[[#This Row],[Uncert_Units]]</f>
        <v>3.8 µA</v>
      </c>
      <c r="U18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V1857" t="b">
        <f ca="1">Validation[[#This Row],[Desired Result]]=Validation[[#This Row],[Result]]</f>
        <v>1</v>
      </c>
      <c r="W1857" t="b">
        <v>1</v>
      </c>
      <c r="X1857" t="b">
        <f>Validation[[#This Row],[Range1_Low]]&gt;=Validation[[#This Row],[Range1_High]]</f>
        <v>0</v>
      </c>
      <c r="Y1857" s="111" t="s">
        <v>2843</v>
      </c>
    </row>
    <row r="1858" spans="1:25" ht="16.5" thickTop="1" thickBot="1" x14ac:dyDescent="0.3">
      <c r="A1858" t="s">
        <v>54</v>
      </c>
      <c r="B1858" t="s">
        <v>47</v>
      </c>
      <c r="C1858" s="113">
        <v>3</v>
      </c>
      <c r="D1858" s="113">
        <v>11.000999999999999</v>
      </c>
      <c r="E1858">
        <v>1E-4</v>
      </c>
      <c r="F1858" t="s">
        <v>13</v>
      </c>
      <c r="G1858" t="s">
        <v>12</v>
      </c>
      <c r="H1858">
        <v>0.1</v>
      </c>
      <c r="I1858">
        <v>1.0000100000000001</v>
      </c>
      <c r="J1858" t="s">
        <v>10</v>
      </c>
      <c r="K1858">
        <v>2.4</v>
      </c>
      <c r="L1858">
        <v>1.2</v>
      </c>
      <c r="M1858">
        <v>2.3239999999999998</v>
      </c>
      <c r="N1858">
        <v>1.1553</v>
      </c>
      <c r="O1858" t="s">
        <v>2833</v>
      </c>
      <c r="P1858" t="s">
        <v>2833</v>
      </c>
      <c r="Q1858" t="s">
        <v>2833</v>
      </c>
      <c r="R1858">
        <f ca="1">RAND()*(Validation[[#This Row],[Range1_High]]-Validation[[#This Row],[Range1_Low]])+Validation[[#This Row],[Range1_Low]]</f>
        <v>10.157175164461215</v>
      </c>
      <c r="S1858">
        <f>Validation[[#This Row],[Range2_High]]</f>
        <v>1.0000100000000001</v>
      </c>
      <c r="T1858" t="str" cm="1">
        <f t="array" aca="1" ref="T1858" ca="1">RoundToTwoSigFigs(Validation[[#This Row],[Test Reading]]*Validation[[#This Row],[Mult]]+Validation[[#This Row],[Base]]) &amp;" "&amp;Validation[[#This Row],[Uncert_Units]]</f>
        <v>15 mA</v>
      </c>
      <c r="U18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V1858" t="b">
        <f ca="1">Validation[[#This Row],[Desired Result]]=Validation[[#This Row],[Result]]</f>
        <v>0</v>
      </c>
      <c r="W1858" t="b">
        <v>1</v>
      </c>
      <c r="X1858" t="b">
        <f>Validation[[#This Row],[Range1_Low]]&gt;=Validation[[#This Row],[Range1_High]]</f>
        <v>0</v>
      </c>
      <c r="Y1858" s="111" t="s">
        <v>2843</v>
      </c>
    </row>
    <row r="1859" spans="1:25" ht="15.75" thickTop="1" x14ac:dyDescent="0.25">
      <c r="A1859" t="s">
        <v>55</v>
      </c>
      <c r="B1859" t="s">
        <v>47</v>
      </c>
      <c r="C1859">
        <v>0</v>
      </c>
      <c r="D1859">
        <v>1E-4</v>
      </c>
      <c r="E1859">
        <v>9.9999999999999995E-7</v>
      </c>
      <c r="F1859" t="s">
        <v>13</v>
      </c>
      <c r="G1859" t="s">
        <v>11</v>
      </c>
      <c r="H1859">
        <v>1E-3</v>
      </c>
      <c r="I1859">
        <v>0.02</v>
      </c>
      <c r="J1859" t="s">
        <v>10</v>
      </c>
      <c r="K1859">
        <v>0.58121</v>
      </c>
      <c r="L1859">
        <v>1804</v>
      </c>
      <c r="M1859">
        <v>0.58118999999999998</v>
      </c>
      <c r="N1859">
        <v>1803.1</v>
      </c>
      <c r="O1859" t="s">
        <v>2833</v>
      </c>
      <c r="P1859" t="s">
        <v>2833</v>
      </c>
      <c r="Q1859" t="s">
        <v>2833</v>
      </c>
      <c r="R1859">
        <f ca="1">RAND()*(Validation[[#This Row],[Range1_High]]-Validation[[#This Row],[Range1_Low]])+Validation[[#This Row],[Range1_Low]]</f>
        <v>5.7093107256916013E-5</v>
      </c>
      <c r="S1859">
        <f>Validation[[#This Row],[Range2_High]]</f>
        <v>0.02</v>
      </c>
      <c r="T1859" t="str" cm="1">
        <f t="array" aca="1" ref="T1859" ca="1">RoundToTwoSigFigs(Validation[[#This Row],[Test Reading]]*Validation[[#This Row],[Mult]]+Validation[[#This Row],[Base]]) &amp;" "&amp;Validation[[#This Row],[Uncert_Units]]</f>
        <v>0.68 µA</v>
      </c>
      <c r="U18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V1859" t="b">
        <f ca="1">Validation[[#This Row],[Desired Result]]=Validation[[#This Row],[Result]]</f>
        <v>0</v>
      </c>
      <c r="W1859" t="b">
        <v>1</v>
      </c>
      <c r="X1859" t="b">
        <f>Validation[[#This Row],[Range1_Low]]&gt;=Validation[[#This Row],[Range1_High]]</f>
        <v>0</v>
      </c>
      <c r="Y1859" s="111" t="s">
        <v>2845</v>
      </c>
    </row>
    <row r="1860" spans="1:25" ht="15.75" thickBot="1" x14ac:dyDescent="0.3">
      <c r="A1860" t="s">
        <v>54</v>
      </c>
      <c r="B1860" t="s">
        <v>47</v>
      </c>
      <c r="C1860">
        <v>0</v>
      </c>
      <c r="D1860">
        <v>3.3000999999999999E-4</v>
      </c>
      <c r="E1860">
        <v>10</v>
      </c>
      <c r="F1860" t="s">
        <v>13</v>
      </c>
      <c r="G1860" t="s">
        <v>11</v>
      </c>
      <c r="H1860">
        <v>30</v>
      </c>
      <c r="I1860">
        <v>30.1</v>
      </c>
      <c r="J1860" t="s">
        <v>10</v>
      </c>
      <c r="K1860">
        <v>5773600</v>
      </c>
      <c r="L1860">
        <v>1.6888E-2</v>
      </c>
      <c r="M1860">
        <v>5773600</v>
      </c>
      <c r="N1860">
        <v>1.2089000000000001E-2</v>
      </c>
      <c r="O1860" t="s">
        <v>2833</v>
      </c>
      <c r="P1860" t="s">
        <v>2833</v>
      </c>
      <c r="Q1860" t="s">
        <v>2833</v>
      </c>
      <c r="R1860">
        <f ca="1">RAND()*(Validation[[#This Row],[Range1_High]]-Validation[[#This Row],[Range1_Low]])+Validation[[#This Row],[Range1_Low]]</f>
        <v>2.4977421583781498E-4</v>
      </c>
      <c r="S1860">
        <f>Validation[[#This Row],[Range2_High]]</f>
        <v>30.1</v>
      </c>
      <c r="T1860" t="str" cm="1">
        <f t="array" aca="1" ref="T1860" ca="1">RoundToTwoSigFigs(Validation[[#This Row],[Test Reading]]*Validation[[#This Row],[Mult]]+Validation[[#This Row],[Base]]) &amp;" "&amp;Validation[[#This Row],[Uncert_Units]]</f>
        <v>5800000 µA</v>
      </c>
      <c r="U18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V1860" t="b">
        <f ca="1">Validation[[#This Row],[Desired Result]]=Validation[[#This Row],[Result]]</f>
        <v>1</v>
      </c>
      <c r="W1860" t="b">
        <v>0</v>
      </c>
      <c r="X1860" t="b">
        <f>Validation[[#This Row],[Range1_Low]]&gt;=Validation[[#This Row],[Range1_High]]</f>
        <v>0</v>
      </c>
      <c r="Y1860" s="111" t="s">
        <v>2845</v>
      </c>
    </row>
    <row r="1861" spans="1:25" ht="16.5" thickTop="1" thickBot="1" x14ac:dyDescent="0.3">
      <c r="A1861" t="s">
        <v>55</v>
      </c>
      <c r="B1861" t="s">
        <v>47</v>
      </c>
      <c r="C1861" s="113">
        <v>0.1</v>
      </c>
      <c r="D1861" s="113">
        <v>1</v>
      </c>
      <c r="E1861">
        <v>1E-3</v>
      </c>
      <c r="F1861" t="s">
        <v>13</v>
      </c>
      <c r="G1861" t="s">
        <v>12</v>
      </c>
      <c r="H1861">
        <v>1E-3</v>
      </c>
      <c r="I1861">
        <v>0.02</v>
      </c>
      <c r="J1861" t="s">
        <v>10</v>
      </c>
      <c r="K1861">
        <v>0.46103</v>
      </c>
      <c r="L1861">
        <v>4.4237000000000002</v>
      </c>
      <c r="M1861">
        <v>0.45974999999999999</v>
      </c>
      <c r="N1861">
        <v>4.4244000000000003</v>
      </c>
      <c r="O1861" t="s">
        <v>2833</v>
      </c>
      <c r="P1861" t="s">
        <v>2833</v>
      </c>
      <c r="Q1861" t="s">
        <v>2833</v>
      </c>
      <c r="R1861">
        <f ca="1">RAND()*(Validation[[#This Row],[Range1_High]]-Validation[[#This Row],[Range1_Low]])+Validation[[#This Row],[Range1_Low]]</f>
        <v>0.69185143515557146</v>
      </c>
      <c r="S1861">
        <f>Validation[[#This Row],[Range2_High]]</f>
        <v>0.02</v>
      </c>
      <c r="T1861" t="str" cm="1">
        <f t="array" aca="1" ref="T1861" ca="1">RoundToTwoSigFigs(Validation[[#This Row],[Test Reading]]*Validation[[#This Row],[Mult]]+Validation[[#This Row],[Base]]) &amp;" "&amp;Validation[[#This Row],[Uncert_Units]]</f>
        <v>3.5 mA</v>
      </c>
      <c r="U18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mA</v>
      </c>
      <c r="V1861" t="b">
        <f ca="1">Validation[[#This Row],[Desired Result]]=Validation[[#This Row],[Result]]</f>
        <v>1</v>
      </c>
      <c r="W1861" t="b">
        <v>1</v>
      </c>
      <c r="X1861" t="b">
        <f>Validation[[#This Row],[Range1_Low]]&gt;=Validation[[#This Row],[Range1_High]]</f>
        <v>0</v>
      </c>
      <c r="Y1861" s="111" t="s">
        <v>2843</v>
      </c>
    </row>
    <row r="1862" spans="1:25" ht="16.5" thickTop="1" thickBot="1" x14ac:dyDescent="0.3">
      <c r="A1862" t="s">
        <v>68</v>
      </c>
      <c r="B1862" t="s">
        <v>47</v>
      </c>
      <c r="C1862" s="113">
        <v>0.01</v>
      </c>
      <c r="D1862" s="113">
        <v>0.104</v>
      </c>
      <c r="E1862">
        <v>1.0000000000000001E-5</v>
      </c>
      <c r="F1862" t="s">
        <v>13</v>
      </c>
      <c r="G1862" t="s">
        <v>11</v>
      </c>
      <c r="H1862">
        <v>0.01</v>
      </c>
      <c r="I1862">
        <v>2</v>
      </c>
      <c r="J1862" t="s">
        <v>10</v>
      </c>
      <c r="K1862">
        <v>97</v>
      </c>
      <c r="L1862">
        <v>1191.5</v>
      </c>
      <c r="M1862">
        <v>96.691000000000003</v>
      </c>
      <c r="N1862">
        <v>1191.3</v>
      </c>
      <c r="O1862" t="s">
        <v>2833</v>
      </c>
      <c r="P1862" t="s">
        <v>2833</v>
      </c>
      <c r="Q1862" t="s">
        <v>2833</v>
      </c>
      <c r="R1862">
        <f ca="1">RAND()*(Validation[[#This Row],[Range1_High]]-Validation[[#This Row],[Range1_Low]])+Validation[[#This Row],[Range1_Low]]</f>
        <v>7.1724434783268107E-2</v>
      </c>
      <c r="S1862">
        <f>Validation[[#This Row],[Range2_High]]</f>
        <v>2</v>
      </c>
      <c r="T1862" t="str" cm="1">
        <f t="array" aca="1" ref="T1862" ca="1">RoundToTwoSigFigs(Validation[[#This Row],[Test Reading]]*Validation[[#This Row],[Mult]]+Validation[[#This Row],[Base]]) &amp;" "&amp;Validation[[#This Row],[Uncert_Units]]</f>
        <v>180 µA</v>
      </c>
      <c r="U18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µA</v>
      </c>
      <c r="V1862" t="b">
        <f ca="1">Validation[[#This Row],[Desired Result]]=Validation[[#This Row],[Result]]</f>
        <v>1</v>
      </c>
      <c r="W1862" t="b">
        <v>1</v>
      </c>
      <c r="X1862" t="b">
        <f>Validation[[#This Row],[Range1_Low]]&gt;=Validation[[#This Row],[Range1_High]]</f>
        <v>0</v>
      </c>
      <c r="Y1862" s="111" t="s">
        <v>2843</v>
      </c>
    </row>
    <row r="1863" spans="1:25" ht="15.75" thickTop="1" x14ac:dyDescent="0.25">
      <c r="A1863" t="s">
        <v>54</v>
      </c>
      <c r="B1863" t="s">
        <v>47</v>
      </c>
      <c r="C1863">
        <v>0</v>
      </c>
      <c r="D1863">
        <v>3.3000999999999999E-4</v>
      </c>
      <c r="E1863">
        <v>0.01</v>
      </c>
      <c r="F1863" t="s">
        <v>13</v>
      </c>
      <c r="G1863" t="s">
        <v>11</v>
      </c>
      <c r="H1863">
        <v>4.4999999999999998E-2</v>
      </c>
      <c r="I1863">
        <v>1.0000100000000001</v>
      </c>
      <c r="J1863" t="s">
        <v>10</v>
      </c>
      <c r="K1863">
        <v>5773.6</v>
      </c>
      <c r="L1863">
        <v>0.12881000000000001</v>
      </c>
      <c r="M1863">
        <v>5773.6</v>
      </c>
      <c r="N1863">
        <v>9.3682000000000001E-2</v>
      </c>
      <c r="O1863" t="s">
        <v>2833</v>
      </c>
      <c r="P1863" t="s">
        <v>2833</v>
      </c>
      <c r="Q1863" t="s">
        <v>2833</v>
      </c>
      <c r="R1863">
        <f ca="1">RAND()*(Validation[[#This Row],[Range1_High]]-Validation[[#This Row],[Range1_Low]])+Validation[[#This Row],[Range1_Low]]</f>
        <v>6.037020863607585E-5</v>
      </c>
      <c r="S1863">
        <f>Validation[[#This Row],[Range2_High]]</f>
        <v>1.0000100000000001</v>
      </c>
      <c r="T1863" t="str" cm="1">
        <f t="array" aca="1" ref="T1863" ca="1">RoundToTwoSigFigs(Validation[[#This Row],[Test Reading]]*Validation[[#This Row],[Mult]]+Validation[[#This Row],[Base]]) &amp;" "&amp;Validation[[#This Row],[Uncert_Units]]</f>
        <v>5800 µA</v>
      </c>
      <c r="U18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863" t="b">
        <f ca="1">Validation[[#This Row],[Desired Result]]=Validation[[#This Row],[Result]]</f>
        <v>1</v>
      </c>
      <c r="W1863" t="b">
        <v>0</v>
      </c>
      <c r="X1863" t="b">
        <f>Validation[[#This Row],[Range1_Low]]&gt;=Validation[[#This Row],[Range1_High]]</f>
        <v>0</v>
      </c>
      <c r="Y1863" s="111" t="s">
        <v>2845</v>
      </c>
    </row>
    <row r="1864" spans="1:25" x14ac:dyDescent="0.25">
      <c r="A1864" t="s">
        <v>68</v>
      </c>
      <c r="B1864" t="s">
        <v>47</v>
      </c>
      <c r="C1864">
        <v>1E-3</v>
      </c>
      <c r="D1864">
        <v>1.04E-2</v>
      </c>
      <c r="E1864">
        <v>1E-3</v>
      </c>
      <c r="F1864" t="s">
        <v>13</v>
      </c>
      <c r="G1864" t="s">
        <v>11</v>
      </c>
      <c r="H1864">
        <v>0.01</v>
      </c>
      <c r="I1864">
        <v>2</v>
      </c>
      <c r="J1864" t="s">
        <v>10</v>
      </c>
      <c r="K1864">
        <v>579.12</v>
      </c>
      <c r="L1864">
        <v>316.08</v>
      </c>
      <c r="M1864">
        <v>579.12</v>
      </c>
      <c r="N1864">
        <v>315.2</v>
      </c>
      <c r="O1864" t="s">
        <v>2833</v>
      </c>
      <c r="P1864" t="s">
        <v>2833</v>
      </c>
      <c r="Q1864" t="s">
        <v>2833</v>
      </c>
      <c r="R1864">
        <f ca="1">RAND()*(Validation[[#This Row],[Range1_High]]-Validation[[#This Row],[Range1_Low]])+Validation[[#This Row],[Range1_Low]]</f>
        <v>1.7378375762660955E-3</v>
      </c>
      <c r="S1864">
        <f>Validation[[#This Row],[Range2_High]]</f>
        <v>2</v>
      </c>
      <c r="T1864" t="str" cm="1">
        <f t="array" aca="1" ref="T1864" ca="1">RoundToTwoSigFigs(Validation[[#This Row],[Test Reading]]*Validation[[#This Row],[Mult]]+Validation[[#This Row],[Base]]) &amp;" "&amp;Validation[[#This Row],[Uncert_Units]]</f>
        <v>580 µA</v>
      </c>
      <c r="U18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864" t="b">
        <f ca="1">Validation[[#This Row],[Desired Result]]=Validation[[#This Row],[Result]]</f>
        <v>1</v>
      </c>
      <c r="W1864" t="b">
        <v>0</v>
      </c>
      <c r="X1864" t="b">
        <f>Validation[[#This Row],[Range1_Low]]&gt;=Validation[[#This Row],[Range1_High]]</f>
        <v>0</v>
      </c>
      <c r="Y1864" s="111" t="s">
        <v>2845</v>
      </c>
    </row>
    <row r="1865" spans="1:25" x14ac:dyDescent="0.25">
      <c r="A1865" t="s">
        <v>54</v>
      </c>
      <c r="B1865" t="s">
        <v>47</v>
      </c>
      <c r="C1865">
        <v>0</v>
      </c>
      <c r="D1865">
        <v>3.3000999999999999E-4</v>
      </c>
      <c r="E1865">
        <v>1E-4</v>
      </c>
      <c r="F1865" t="s">
        <v>13</v>
      </c>
      <c r="G1865" t="s">
        <v>11</v>
      </c>
      <c r="H1865">
        <v>30</v>
      </c>
      <c r="I1865">
        <v>30.1</v>
      </c>
      <c r="J1865" t="s">
        <v>10</v>
      </c>
      <c r="K1865">
        <v>57.709000000000003</v>
      </c>
      <c r="L1865">
        <v>1205.5</v>
      </c>
      <c r="M1865">
        <v>57.709000000000003</v>
      </c>
      <c r="N1865">
        <v>1205.0999999999999</v>
      </c>
      <c r="O1865" t="s">
        <v>2833</v>
      </c>
      <c r="P1865" t="s">
        <v>2833</v>
      </c>
      <c r="Q1865" t="s">
        <v>2833</v>
      </c>
      <c r="R1865">
        <f ca="1">RAND()*(Validation[[#This Row],[Range1_High]]-Validation[[#This Row],[Range1_Low]])+Validation[[#This Row],[Range1_Low]]</f>
        <v>3.8284939765752835E-5</v>
      </c>
      <c r="S1865">
        <f>Validation[[#This Row],[Range2_High]]</f>
        <v>30.1</v>
      </c>
      <c r="T1865" t="str" cm="1">
        <f t="array" aca="1" ref="T1865" ca="1">RoundToTwoSigFigs(Validation[[#This Row],[Test Reading]]*Validation[[#This Row],[Mult]]+Validation[[#This Row],[Base]]) &amp;" "&amp;Validation[[#This Row],[Uncert_Units]]</f>
        <v>58 µA</v>
      </c>
      <c r="U18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865" t="b">
        <f ca="1">Validation[[#This Row],[Desired Result]]=Validation[[#This Row],[Result]]</f>
        <v>1</v>
      </c>
      <c r="W1865" t="b">
        <v>0</v>
      </c>
      <c r="X1865" t="b">
        <f>Validation[[#This Row],[Range1_Low]]&gt;=Validation[[#This Row],[Range1_High]]</f>
        <v>0</v>
      </c>
      <c r="Y1865" s="111" t="s">
        <v>2845</v>
      </c>
    </row>
    <row r="1866" spans="1:25" x14ac:dyDescent="0.25">
      <c r="A1866" t="s">
        <v>68</v>
      </c>
      <c r="B1866" t="s">
        <v>47</v>
      </c>
      <c r="C1866">
        <v>0.01</v>
      </c>
      <c r="D1866">
        <v>0.104</v>
      </c>
      <c r="E1866">
        <v>0.01</v>
      </c>
      <c r="F1866" t="s">
        <v>13</v>
      </c>
      <c r="G1866" t="s">
        <v>11</v>
      </c>
      <c r="H1866">
        <v>0.01</v>
      </c>
      <c r="I1866">
        <v>2</v>
      </c>
      <c r="J1866" t="s">
        <v>10</v>
      </c>
      <c r="K1866">
        <v>5791.2</v>
      </c>
      <c r="L1866">
        <v>316.08</v>
      </c>
      <c r="M1866">
        <v>5791.2</v>
      </c>
      <c r="N1866">
        <v>315.2</v>
      </c>
      <c r="O1866" t="s">
        <v>2833</v>
      </c>
      <c r="P1866" t="s">
        <v>2833</v>
      </c>
      <c r="Q1866" t="s">
        <v>2833</v>
      </c>
      <c r="R1866">
        <f ca="1">RAND()*(Validation[[#This Row],[Range1_High]]-Validation[[#This Row],[Range1_Low]])+Validation[[#This Row],[Range1_Low]]</f>
        <v>8.6460595382899783E-2</v>
      </c>
      <c r="S1866">
        <f>Validation[[#This Row],[Range2_High]]</f>
        <v>2</v>
      </c>
      <c r="T1866" t="str" cm="1">
        <f t="array" aca="1" ref="T1866" ca="1">RoundToTwoSigFigs(Validation[[#This Row],[Test Reading]]*Validation[[#This Row],[Mult]]+Validation[[#This Row],[Base]]) &amp;" "&amp;Validation[[#This Row],[Uncert_Units]]</f>
        <v>5800 µA</v>
      </c>
      <c r="U18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866" t="b">
        <f ca="1">Validation[[#This Row],[Desired Result]]=Validation[[#This Row],[Result]]</f>
        <v>1</v>
      </c>
      <c r="W1866" t="b">
        <v>0</v>
      </c>
      <c r="X1866" t="b">
        <f>Validation[[#This Row],[Range1_Low]]&gt;=Validation[[#This Row],[Range1_High]]</f>
        <v>0</v>
      </c>
      <c r="Y1866" s="111" t="s">
        <v>2845</v>
      </c>
    </row>
    <row r="1867" spans="1:25" x14ac:dyDescent="0.25">
      <c r="A1867" t="s">
        <v>55</v>
      </c>
      <c r="B1867" t="s">
        <v>47</v>
      </c>
      <c r="C1867">
        <v>0.1</v>
      </c>
      <c r="D1867">
        <v>1</v>
      </c>
      <c r="E1867">
        <v>0.01</v>
      </c>
      <c r="F1867" t="s">
        <v>13</v>
      </c>
      <c r="G1867" t="s">
        <v>12</v>
      </c>
      <c r="H1867">
        <v>5</v>
      </c>
      <c r="I1867">
        <v>20</v>
      </c>
      <c r="J1867" t="s">
        <v>10</v>
      </c>
      <c r="K1867">
        <v>5.6818</v>
      </c>
      <c r="L1867">
        <v>1.2155</v>
      </c>
      <c r="M1867">
        <v>5.6810999999999998</v>
      </c>
      <c r="N1867">
        <v>1.2145999999999999</v>
      </c>
      <c r="O1867" t="s">
        <v>2833</v>
      </c>
      <c r="P1867" t="s">
        <v>2833</v>
      </c>
      <c r="Q1867" t="s">
        <v>2833</v>
      </c>
      <c r="R1867">
        <f ca="1">RAND()*(Validation[[#This Row],[Range1_High]]-Validation[[#This Row],[Range1_Low]])+Validation[[#This Row],[Range1_Low]]</f>
        <v>0.17475384577375155</v>
      </c>
      <c r="S1867">
        <f>Validation[[#This Row],[Range2_High]]</f>
        <v>20</v>
      </c>
      <c r="T1867" t="str" cm="1">
        <f t="array" aca="1" ref="T1867" ca="1">RoundToTwoSigFigs(Validation[[#This Row],[Test Reading]]*Validation[[#This Row],[Mult]]+Validation[[#This Row],[Base]]) &amp;" "&amp;Validation[[#This Row],[Uncert_Units]]</f>
        <v>5.9 mA</v>
      </c>
      <c r="U18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mA</v>
      </c>
      <c r="V1867" t="b">
        <f ca="1">Validation[[#This Row],[Desired Result]]=Validation[[#This Row],[Result]]</f>
        <v>0</v>
      </c>
      <c r="W1867" t="b">
        <v>1</v>
      </c>
      <c r="X1867" t="b">
        <f>Validation[[#This Row],[Range1_Low]]&gt;=Validation[[#This Row],[Range1_High]]</f>
        <v>0</v>
      </c>
      <c r="Y1867" s="111" t="s">
        <v>2845</v>
      </c>
    </row>
    <row r="1868" spans="1:25" ht="15.75" thickBot="1" x14ac:dyDescent="0.3">
      <c r="A1868" t="s">
        <v>54</v>
      </c>
      <c r="B1868" t="s">
        <v>47</v>
      </c>
      <c r="C1868">
        <v>11</v>
      </c>
      <c r="D1868">
        <v>20.501000000000001</v>
      </c>
      <c r="E1868">
        <v>1</v>
      </c>
      <c r="F1868" t="s">
        <v>13</v>
      </c>
      <c r="G1868" t="s">
        <v>12</v>
      </c>
      <c r="H1868">
        <v>0.1</v>
      </c>
      <c r="I1868">
        <v>1.0000100000000001</v>
      </c>
      <c r="J1868" t="s">
        <v>10</v>
      </c>
      <c r="K1868">
        <v>579.44000000000005</v>
      </c>
      <c r="L1868">
        <v>0.10199999999999999</v>
      </c>
      <c r="M1868">
        <v>579.45000000000005</v>
      </c>
      <c r="N1868">
        <v>9.8572000000000007E-2</v>
      </c>
      <c r="O1868" t="s">
        <v>2833</v>
      </c>
      <c r="P1868" t="s">
        <v>2833</v>
      </c>
      <c r="Q1868" t="s">
        <v>2833</v>
      </c>
      <c r="R1868">
        <f ca="1">RAND()*(Validation[[#This Row],[Range1_High]]-Validation[[#This Row],[Range1_Low]])+Validation[[#This Row],[Range1_Low]]</f>
        <v>17.151396603991699</v>
      </c>
      <c r="S1868">
        <f>Validation[[#This Row],[Range2_High]]</f>
        <v>1.0000100000000001</v>
      </c>
      <c r="T1868" t="str" cm="1">
        <f t="array" aca="1" ref="T1868" ca="1">RoundToTwoSigFigs(Validation[[#This Row],[Test Reading]]*Validation[[#This Row],[Mult]]+Validation[[#This Row],[Base]]) &amp;" "&amp;Validation[[#This Row],[Uncert_Units]]</f>
        <v>580 mA</v>
      </c>
      <c r="U18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V1868" t="b">
        <f ca="1">Validation[[#This Row],[Desired Result]]=Validation[[#This Row],[Result]]</f>
        <v>0</v>
      </c>
      <c r="W1868" t="b">
        <v>1</v>
      </c>
      <c r="X1868" t="b">
        <f>Validation[[#This Row],[Range1_Low]]&gt;=Validation[[#This Row],[Range1_High]]</f>
        <v>0</v>
      </c>
      <c r="Y1868" s="111" t="s">
        <v>2845</v>
      </c>
    </row>
    <row r="1869" spans="1:25" ht="16.5" thickTop="1" thickBot="1" x14ac:dyDescent="0.3">
      <c r="A1869" t="s">
        <v>54</v>
      </c>
      <c r="B1869" t="s">
        <v>47</v>
      </c>
      <c r="C1869" s="113">
        <v>3.3000000000000002E-2</v>
      </c>
      <c r="D1869" s="113">
        <v>0.33001000000000003</v>
      </c>
      <c r="E1869">
        <v>1.0000000000000001E-5</v>
      </c>
      <c r="F1869" t="s">
        <v>13</v>
      </c>
      <c r="G1869" t="s">
        <v>12</v>
      </c>
      <c r="H1869">
        <v>5</v>
      </c>
      <c r="I1869">
        <v>10.01</v>
      </c>
      <c r="J1869" t="s">
        <v>10</v>
      </c>
      <c r="K1869">
        <v>0.12</v>
      </c>
      <c r="L1869">
        <v>2.2999999999999998</v>
      </c>
      <c r="M1869">
        <v>0.11552</v>
      </c>
      <c r="N1869">
        <v>2.3111999999999999</v>
      </c>
      <c r="O1869" t="s">
        <v>2833</v>
      </c>
      <c r="P1869" t="s">
        <v>2833</v>
      </c>
      <c r="Q1869" t="s">
        <v>2833</v>
      </c>
      <c r="R1869">
        <f ca="1">RAND()*(Validation[[#This Row],[Range1_High]]-Validation[[#This Row],[Range1_Low]])+Validation[[#This Row],[Range1_Low]]</f>
        <v>0.2085621838607174</v>
      </c>
      <c r="S1869">
        <f>Validation[[#This Row],[Range2_High]]</f>
        <v>10.01</v>
      </c>
      <c r="T1869" t="str" cm="1">
        <f t="array" aca="1" ref="T1869" ca="1">RoundToTwoSigFigs(Validation[[#This Row],[Test Reading]]*Validation[[#This Row],[Mult]]+Validation[[#This Row],[Base]]) &amp;" "&amp;Validation[[#This Row],[Uncert_Units]]</f>
        <v>0.6 mA</v>
      </c>
      <c r="U18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mA</v>
      </c>
      <c r="V1869" t="b">
        <f ca="1">Validation[[#This Row],[Desired Result]]=Validation[[#This Row],[Result]]</f>
        <v>1</v>
      </c>
      <c r="W1869" t="b">
        <v>1</v>
      </c>
      <c r="X1869" t="b">
        <f>Validation[[#This Row],[Range1_Low]]&gt;=Validation[[#This Row],[Range1_High]]</f>
        <v>0</v>
      </c>
      <c r="Y1869" s="111" t="s">
        <v>2843</v>
      </c>
    </row>
    <row r="1870" spans="1:25" ht="16.5" thickTop="1" thickBot="1" x14ac:dyDescent="0.3">
      <c r="A1870" t="s">
        <v>54</v>
      </c>
      <c r="B1870" t="s">
        <v>47</v>
      </c>
      <c r="C1870">
        <v>0</v>
      </c>
      <c r="D1870">
        <v>3.3000999999999999E-4</v>
      </c>
      <c r="E1870">
        <v>1E-3</v>
      </c>
      <c r="F1870" t="s">
        <v>13</v>
      </c>
      <c r="G1870" t="s">
        <v>11</v>
      </c>
      <c r="H1870">
        <v>4.4999999999999998E-2</v>
      </c>
      <c r="I1870">
        <v>1.0000100000000001</v>
      </c>
      <c r="J1870" t="s">
        <v>10</v>
      </c>
      <c r="K1870">
        <v>577.36</v>
      </c>
      <c r="L1870">
        <v>1.0246</v>
      </c>
      <c r="M1870">
        <v>577.36</v>
      </c>
      <c r="N1870">
        <v>0.93681999999999999</v>
      </c>
      <c r="O1870" t="s">
        <v>2833</v>
      </c>
      <c r="P1870" t="s">
        <v>2833</v>
      </c>
      <c r="Q1870" t="s">
        <v>2833</v>
      </c>
      <c r="R1870">
        <f ca="1">RAND()*(Validation[[#This Row],[Range1_High]]-Validation[[#This Row],[Range1_Low]])+Validation[[#This Row],[Range1_Low]]</f>
        <v>3.1478884641767887E-4</v>
      </c>
      <c r="S1870">
        <f>Validation[[#This Row],[Range2_High]]</f>
        <v>1.0000100000000001</v>
      </c>
      <c r="T1870" t="str" cm="1">
        <f t="array" aca="1" ref="T1870" ca="1">RoundToTwoSigFigs(Validation[[#This Row],[Test Reading]]*Validation[[#This Row],[Mult]]+Validation[[#This Row],[Base]]) &amp;" "&amp;Validation[[#This Row],[Uncert_Units]]</f>
        <v>580 µA</v>
      </c>
      <c r="U18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870" t="b">
        <f ca="1">Validation[[#This Row],[Desired Result]]=Validation[[#This Row],[Result]]</f>
        <v>1</v>
      </c>
      <c r="W1870" t="b">
        <v>0</v>
      </c>
      <c r="X1870" t="b">
        <f>Validation[[#This Row],[Range1_Low]]&gt;=Validation[[#This Row],[Range1_High]]</f>
        <v>0</v>
      </c>
      <c r="Y1870" s="111" t="s">
        <v>2845</v>
      </c>
    </row>
    <row r="1871" spans="1:25" ht="16.5" thickTop="1" thickBot="1" x14ac:dyDescent="0.3">
      <c r="A1871" t="s">
        <v>54</v>
      </c>
      <c r="B1871" t="s">
        <v>47</v>
      </c>
      <c r="C1871" s="113">
        <v>0.33</v>
      </c>
      <c r="D1871" s="113">
        <v>1.1000099999999999</v>
      </c>
      <c r="E1871">
        <v>1E-4</v>
      </c>
      <c r="F1871" t="s">
        <v>13</v>
      </c>
      <c r="G1871" t="s">
        <v>12</v>
      </c>
      <c r="H1871">
        <v>10</v>
      </c>
      <c r="I1871">
        <v>10.01</v>
      </c>
      <c r="J1871" t="s">
        <v>10</v>
      </c>
      <c r="K1871">
        <v>5.8</v>
      </c>
      <c r="L1871">
        <v>29</v>
      </c>
      <c r="M1871">
        <v>5.7742000000000004</v>
      </c>
      <c r="N1871">
        <v>28.867000000000001</v>
      </c>
      <c r="O1871" t="s">
        <v>2833</v>
      </c>
      <c r="P1871" t="s">
        <v>2833</v>
      </c>
      <c r="Q1871" t="s">
        <v>2833</v>
      </c>
      <c r="R1871">
        <f ca="1">RAND()*(Validation[[#This Row],[Range1_High]]-Validation[[#This Row],[Range1_Low]])+Validation[[#This Row],[Range1_Low]]</f>
        <v>1.0724180131835757</v>
      </c>
      <c r="S1871">
        <f>Validation[[#This Row],[Range2_High]]</f>
        <v>10.01</v>
      </c>
      <c r="T1871" t="str" cm="1">
        <f t="array" aca="1" ref="T1871" ca="1">RoundToTwoSigFigs(Validation[[#This Row],[Test Reading]]*Validation[[#This Row],[Mult]]+Validation[[#This Row],[Base]]) &amp;" "&amp;Validation[[#This Row],[Uncert_Units]]</f>
        <v>37 mA</v>
      </c>
      <c r="U18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V1871" t="b">
        <f ca="1">Validation[[#This Row],[Desired Result]]=Validation[[#This Row],[Result]]</f>
        <v>1</v>
      </c>
      <c r="W1871" t="b">
        <v>1</v>
      </c>
      <c r="X1871" t="b">
        <f>Validation[[#This Row],[Range1_Low]]&gt;=Validation[[#This Row],[Range1_High]]</f>
        <v>0</v>
      </c>
      <c r="Y1871" s="111" t="s">
        <v>2843</v>
      </c>
    </row>
    <row r="1872" spans="1:25" ht="16.5" thickTop="1" thickBot="1" x14ac:dyDescent="0.3">
      <c r="A1872" t="s">
        <v>54</v>
      </c>
      <c r="B1872" t="s">
        <v>47</v>
      </c>
      <c r="C1872">
        <v>0</v>
      </c>
      <c r="D1872">
        <v>3.3000999999999999E-4</v>
      </c>
      <c r="E1872">
        <v>9.9999999999999995E-8</v>
      </c>
      <c r="F1872" t="s">
        <v>13</v>
      </c>
      <c r="G1872" t="s">
        <v>11</v>
      </c>
      <c r="H1872">
        <v>30</v>
      </c>
      <c r="I1872">
        <v>30.1</v>
      </c>
      <c r="J1872" t="s">
        <v>10</v>
      </c>
      <c r="K1872">
        <v>0.62</v>
      </c>
      <c r="L1872">
        <v>18000</v>
      </c>
      <c r="M1872">
        <v>0.46389000000000002</v>
      </c>
      <c r="N1872">
        <v>18470</v>
      </c>
      <c r="O1872" t="s">
        <v>2833</v>
      </c>
      <c r="P1872" t="s">
        <v>2833</v>
      </c>
      <c r="Q1872" t="s">
        <v>2833</v>
      </c>
      <c r="R1872">
        <f ca="1">RAND()*(Validation[[#This Row],[Range1_High]]-Validation[[#This Row],[Range1_Low]])+Validation[[#This Row],[Range1_Low]]</f>
        <v>2.5498978020409828E-4</v>
      </c>
      <c r="S1872">
        <f>Validation[[#This Row],[Range2_High]]</f>
        <v>30.1</v>
      </c>
      <c r="T1872" t="str" cm="1">
        <f t="array" aca="1" ref="T1872" ca="1">RoundToTwoSigFigs(Validation[[#This Row],[Test Reading]]*Validation[[#This Row],[Mult]]+Validation[[#This Row],[Base]]) &amp;" "&amp;Validation[[#This Row],[Uncert_Units]]</f>
        <v>5.2 µA</v>
      </c>
      <c r="U18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V1872" t="b">
        <f ca="1">Validation[[#This Row],[Desired Result]]=Validation[[#This Row],[Result]]</f>
        <v>1</v>
      </c>
      <c r="W1872" t="b">
        <v>0</v>
      </c>
      <c r="X1872" t="b">
        <f>Validation[[#This Row],[Range1_Low]]&gt;=Validation[[#This Row],[Range1_High]]</f>
        <v>0</v>
      </c>
      <c r="Y1872" s="111" t="s">
        <v>2845</v>
      </c>
    </row>
    <row r="1873" spans="1:25" ht="16.5" thickTop="1" thickBot="1" x14ac:dyDescent="0.3">
      <c r="A1873" t="s">
        <v>54</v>
      </c>
      <c r="B1873" t="s">
        <v>47</v>
      </c>
      <c r="C1873" s="113">
        <v>3</v>
      </c>
      <c r="D1873" s="113">
        <v>11.000999999999999</v>
      </c>
      <c r="E1873">
        <v>0.01</v>
      </c>
      <c r="F1873" t="s">
        <v>13</v>
      </c>
      <c r="G1873" t="s">
        <v>12</v>
      </c>
      <c r="H1873">
        <v>5</v>
      </c>
      <c r="I1873">
        <v>5.01</v>
      </c>
      <c r="J1873" t="s">
        <v>10</v>
      </c>
      <c r="K1873">
        <v>2.5</v>
      </c>
      <c r="L1873">
        <v>35</v>
      </c>
      <c r="M1873">
        <v>2.5084</v>
      </c>
      <c r="N1873">
        <v>34.627000000000002</v>
      </c>
      <c r="O1873" t="s">
        <v>2833</v>
      </c>
      <c r="P1873" t="s">
        <v>2833</v>
      </c>
      <c r="Q1873" t="s">
        <v>2833</v>
      </c>
      <c r="R1873">
        <f ca="1">RAND()*(Validation[[#This Row],[Range1_High]]-Validation[[#This Row],[Range1_Low]])+Validation[[#This Row],[Range1_Low]]</f>
        <v>5.3823489245507785</v>
      </c>
      <c r="S1873">
        <f>Validation[[#This Row],[Range2_High]]</f>
        <v>5.01</v>
      </c>
      <c r="T1873" t="str" cm="1">
        <f t="array" aca="1" ref="T1873" ca="1">RoundToTwoSigFigs(Validation[[#This Row],[Test Reading]]*Validation[[#This Row],[Mult]]+Validation[[#This Row],[Base]]) &amp;" "&amp;Validation[[#This Row],[Uncert_Units]]</f>
        <v>190 mA</v>
      </c>
      <c r="U18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V1873" t="b">
        <f ca="1">Validation[[#This Row],[Desired Result]]=Validation[[#This Row],[Result]]</f>
        <v>1</v>
      </c>
      <c r="W1873" t="b">
        <v>1</v>
      </c>
      <c r="X1873" t="b">
        <f>Validation[[#This Row],[Range1_Low]]&gt;=Validation[[#This Row],[Range1_High]]</f>
        <v>0</v>
      </c>
      <c r="Y1873" s="111" t="s">
        <v>2843</v>
      </c>
    </row>
    <row r="1874" spans="1:25" ht="15.75" thickTop="1" x14ac:dyDescent="0.25">
      <c r="A1874" t="s">
        <v>54</v>
      </c>
      <c r="B1874" t="s">
        <v>47</v>
      </c>
      <c r="C1874">
        <v>3.3000000000000002E-2</v>
      </c>
      <c r="D1874">
        <v>0.33001000000000003</v>
      </c>
      <c r="E1874">
        <v>0.01</v>
      </c>
      <c r="F1874" t="s">
        <v>13</v>
      </c>
      <c r="G1874" t="s">
        <v>12</v>
      </c>
      <c r="H1874">
        <v>10</v>
      </c>
      <c r="I1874">
        <v>30</v>
      </c>
      <c r="J1874" t="s">
        <v>10</v>
      </c>
      <c r="K1874">
        <v>5.7587000000000002</v>
      </c>
      <c r="L1874">
        <v>0.83674000000000004</v>
      </c>
      <c r="M1874">
        <v>5.7587000000000002</v>
      </c>
      <c r="N1874">
        <v>0.83650999999999998</v>
      </c>
      <c r="O1874" t="s">
        <v>2833</v>
      </c>
      <c r="P1874" t="s">
        <v>2833</v>
      </c>
      <c r="Q1874" t="s">
        <v>2833</v>
      </c>
      <c r="R1874">
        <f ca="1">RAND()*(Validation[[#This Row],[Range1_High]]-Validation[[#This Row],[Range1_Low]])+Validation[[#This Row],[Range1_Low]]</f>
        <v>0.12886451949349886</v>
      </c>
      <c r="S1874">
        <f>Validation[[#This Row],[Range2_High]]</f>
        <v>30</v>
      </c>
      <c r="T1874" t="str" cm="1">
        <f t="array" aca="1" ref="T1874" ca="1">RoundToTwoSigFigs(Validation[[#This Row],[Test Reading]]*Validation[[#This Row],[Mult]]+Validation[[#This Row],[Base]]) &amp;" "&amp;Validation[[#This Row],[Uncert_Units]]</f>
        <v>5.9 mA</v>
      </c>
      <c r="U18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V1874" t="b">
        <f ca="1">Validation[[#This Row],[Desired Result]]=Validation[[#This Row],[Result]]</f>
        <v>1</v>
      </c>
      <c r="W1874" t="b">
        <v>0</v>
      </c>
      <c r="X1874" t="b">
        <f>Validation[[#This Row],[Range1_Low]]&gt;=Validation[[#This Row],[Range1_High]]</f>
        <v>0</v>
      </c>
      <c r="Y1874" s="111" t="s">
        <v>2845</v>
      </c>
    </row>
    <row r="1875" spans="1:25" ht="15.75" thickBot="1" x14ac:dyDescent="0.3">
      <c r="A1875" t="s">
        <v>54</v>
      </c>
      <c r="B1875" t="s">
        <v>47</v>
      </c>
      <c r="C1875">
        <v>3.3E-4</v>
      </c>
      <c r="D1875">
        <v>3.3000999999999998E-3</v>
      </c>
      <c r="E1875">
        <v>1E-4</v>
      </c>
      <c r="F1875" t="s">
        <v>13</v>
      </c>
      <c r="G1875" t="s">
        <v>11</v>
      </c>
      <c r="H1875">
        <v>10</v>
      </c>
      <c r="I1875">
        <v>30</v>
      </c>
      <c r="J1875" t="s">
        <v>10</v>
      </c>
      <c r="K1875">
        <v>56.616999999999997</v>
      </c>
      <c r="L1875">
        <v>3922.7</v>
      </c>
      <c r="M1875">
        <v>56.616</v>
      </c>
      <c r="N1875">
        <v>3922.6</v>
      </c>
      <c r="O1875" t="s">
        <v>2833</v>
      </c>
      <c r="P1875" t="s">
        <v>2833</v>
      </c>
      <c r="Q1875" t="s">
        <v>2833</v>
      </c>
      <c r="R1875">
        <f ca="1">RAND()*(Validation[[#This Row],[Range1_High]]-Validation[[#This Row],[Range1_Low]])+Validation[[#This Row],[Range1_Low]]</f>
        <v>2.3735801514474103E-3</v>
      </c>
      <c r="S1875">
        <f>Validation[[#This Row],[Range2_High]]</f>
        <v>30</v>
      </c>
      <c r="T1875" t="str" cm="1">
        <f t="array" aca="1" ref="T1875" ca="1">RoundToTwoSigFigs(Validation[[#This Row],[Test Reading]]*Validation[[#This Row],[Mult]]+Validation[[#This Row],[Base]]) &amp;" "&amp;Validation[[#This Row],[Uncert_Units]]</f>
        <v>66 µA</v>
      </c>
      <c r="U18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V1875" t="b">
        <f ca="1">Validation[[#This Row],[Desired Result]]=Validation[[#This Row],[Result]]</f>
        <v>1</v>
      </c>
      <c r="W1875" t="b">
        <v>0</v>
      </c>
      <c r="X1875" t="b">
        <f>Validation[[#This Row],[Range1_Low]]&gt;=Validation[[#This Row],[Range1_High]]</f>
        <v>0</v>
      </c>
      <c r="Y1875" s="111" t="s">
        <v>2845</v>
      </c>
    </row>
    <row r="1876" spans="1:25" ht="16.5" thickTop="1" thickBot="1" x14ac:dyDescent="0.3">
      <c r="A1876" t="s">
        <v>54</v>
      </c>
      <c r="B1876" t="s">
        <v>47</v>
      </c>
      <c r="C1876" s="113">
        <v>3.3000000000000002E-2</v>
      </c>
      <c r="D1876" s="113">
        <v>0.33001000000000003</v>
      </c>
      <c r="E1876">
        <v>1.0000000000000001E-5</v>
      </c>
      <c r="F1876" t="s">
        <v>13</v>
      </c>
      <c r="G1876" t="s">
        <v>12</v>
      </c>
      <c r="H1876">
        <v>4.4999999999999998E-2</v>
      </c>
      <c r="I1876">
        <v>1.0000100000000001</v>
      </c>
      <c r="J1876" t="s">
        <v>10</v>
      </c>
      <c r="K1876">
        <v>2.4E-2</v>
      </c>
      <c r="L1876">
        <v>0.47</v>
      </c>
      <c r="M1876">
        <v>2.3285E-2</v>
      </c>
      <c r="N1876">
        <v>0.47091</v>
      </c>
      <c r="O1876" t="s">
        <v>2833</v>
      </c>
      <c r="P1876" t="s">
        <v>2833</v>
      </c>
      <c r="Q1876" t="s">
        <v>2833</v>
      </c>
      <c r="R1876">
        <f ca="1">RAND()*(Validation[[#This Row],[Range1_High]]-Validation[[#This Row],[Range1_Low]])+Validation[[#This Row],[Range1_Low]]</f>
        <v>6.2927676434449534E-2</v>
      </c>
      <c r="S1876">
        <f>Validation[[#This Row],[Range2_High]]</f>
        <v>1.0000100000000001</v>
      </c>
      <c r="T1876" t="str" cm="1">
        <f t="array" aca="1" ref="T1876" ca="1">RoundToTwoSigFigs(Validation[[#This Row],[Test Reading]]*Validation[[#This Row],[Mult]]+Validation[[#This Row],[Base]]) &amp;" "&amp;Validation[[#This Row],[Uncert_Units]]</f>
        <v>0.054 mA</v>
      </c>
      <c r="U18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V1876" t="b">
        <f ca="1">Validation[[#This Row],[Desired Result]]=Validation[[#This Row],[Result]]</f>
        <v>0</v>
      </c>
      <c r="W1876" t="b">
        <v>1</v>
      </c>
      <c r="X1876" t="b">
        <f>Validation[[#This Row],[Range1_Low]]&gt;=Validation[[#This Row],[Range1_High]]</f>
        <v>0</v>
      </c>
      <c r="Y1876" s="111" t="s">
        <v>2843</v>
      </c>
    </row>
    <row r="1877" spans="1:25" ht="16.5" thickTop="1" thickBot="1" x14ac:dyDescent="0.3">
      <c r="A1877" t="s">
        <v>54</v>
      </c>
      <c r="B1877" t="s">
        <v>47</v>
      </c>
      <c r="C1877" s="113">
        <v>3</v>
      </c>
      <c r="D1877" s="113">
        <v>11.000999999999999</v>
      </c>
      <c r="E1877">
        <v>1E-3</v>
      </c>
      <c r="F1877" t="s">
        <v>13</v>
      </c>
      <c r="G1877" t="s">
        <v>12</v>
      </c>
      <c r="H1877">
        <v>0.1</v>
      </c>
      <c r="I1877">
        <v>1.0000100000000001</v>
      </c>
      <c r="J1877" t="s">
        <v>10</v>
      </c>
      <c r="K1877">
        <v>2.4</v>
      </c>
      <c r="L1877">
        <v>1.2</v>
      </c>
      <c r="M1877">
        <v>2.3551000000000002</v>
      </c>
      <c r="N1877">
        <v>1.1531</v>
      </c>
      <c r="O1877" t="s">
        <v>2833</v>
      </c>
      <c r="P1877" t="s">
        <v>2833</v>
      </c>
      <c r="Q1877" t="s">
        <v>2833</v>
      </c>
      <c r="R1877">
        <f ca="1">RAND()*(Validation[[#This Row],[Range1_High]]-Validation[[#This Row],[Range1_Low]])+Validation[[#This Row],[Range1_Low]]</f>
        <v>7.1659568132004701</v>
      </c>
      <c r="S1877">
        <f>Validation[[#This Row],[Range2_High]]</f>
        <v>1.0000100000000001</v>
      </c>
      <c r="T1877" t="str" cm="1">
        <f t="array" aca="1" ref="T1877" ca="1">RoundToTwoSigFigs(Validation[[#This Row],[Test Reading]]*Validation[[#This Row],[Mult]]+Validation[[#This Row],[Base]]) &amp;" "&amp;Validation[[#This Row],[Uncert_Units]]</f>
        <v>11 mA</v>
      </c>
      <c r="U18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V1877" t="b">
        <f ca="1">Validation[[#This Row],[Desired Result]]=Validation[[#This Row],[Result]]</f>
        <v>0</v>
      </c>
      <c r="W1877" t="b">
        <v>1</v>
      </c>
      <c r="X1877" t="b">
        <f>Validation[[#This Row],[Range1_Low]]&gt;=Validation[[#This Row],[Range1_High]]</f>
        <v>0</v>
      </c>
      <c r="Y1877" s="111" t="s">
        <v>2843</v>
      </c>
    </row>
    <row r="1878" spans="1:25" ht="16.5" thickTop="1" thickBot="1" x14ac:dyDescent="0.3">
      <c r="A1878" t="s">
        <v>68</v>
      </c>
      <c r="B1878" t="s">
        <v>47</v>
      </c>
      <c r="C1878">
        <v>1.0000000000000001E-5</v>
      </c>
      <c r="D1878">
        <v>1.0399999999999999E-4</v>
      </c>
      <c r="E1878">
        <v>1.0000000000000001E-5</v>
      </c>
      <c r="F1878" t="s">
        <v>13</v>
      </c>
      <c r="G1878" t="s">
        <v>11</v>
      </c>
      <c r="H1878">
        <v>0.01</v>
      </c>
      <c r="I1878">
        <v>2</v>
      </c>
      <c r="J1878" t="s">
        <v>10</v>
      </c>
      <c r="K1878">
        <v>5.8087999999999997</v>
      </c>
      <c r="L1878">
        <v>394.38</v>
      </c>
      <c r="M1878">
        <v>5.8087999999999997</v>
      </c>
      <c r="N1878">
        <v>393.5</v>
      </c>
      <c r="O1878" t="s">
        <v>2833</v>
      </c>
      <c r="P1878" t="s">
        <v>2833</v>
      </c>
      <c r="Q1878" t="s">
        <v>2833</v>
      </c>
      <c r="R1878">
        <f ca="1">RAND()*(Validation[[#This Row],[Range1_High]]-Validation[[#This Row],[Range1_Low]])+Validation[[#This Row],[Range1_Low]]</f>
        <v>2.6565331889869598E-5</v>
      </c>
      <c r="S1878">
        <f>Validation[[#This Row],[Range2_High]]</f>
        <v>2</v>
      </c>
      <c r="T1878" t="str" cm="1">
        <f t="array" aca="1" ref="T1878" ca="1">RoundToTwoSigFigs(Validation[[#This Row],[Test Reading]]*Validation[[#This Row],[Mult]]+Validation[[#This Row],[Base]]) &amp;" "&amp;Validation[[#This Row],[Uncert_Units]]</f>
        <v>5.8 µA</v>
      </c>
      <c r="U18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878" t="b">
        <f ca="1">Validation[[#This Row],[Desired Result]]=Validation[[#This Row],[Result]]</f>
        <v>1</v>
      </c>
      <c r="W1878" t="b">
        <v>0</v>
      </c>
      <c r="X1878" t="b">
        <f>Validation[[#This Row],[Range1_Low]]&gt;=Validation[[#This Row],[Range1_High]]</f>
        <v>0</v>
      </c>
      <c r="Y1878" s="111" t="s">
        <v>2845</v>
      </c>
    </row>
    <row r="1879" spans="1:25" ht="16.5" thickTop="1" thickBot="1" x14ac:dyDescent="0.3">
      <c r="A1879" t="s">
        <v>54</v>
      </c>
      <c r="B1879" t="s">
        <v>47</v>
      </c>
      <c r="C1879" s="113">
        <v>3.3E-4</v>
      </c>
      <c r="D1879" s="113">
        <v>3.3000999999999998E-3</v>
      </c>
      <c r="E1879">
        <v>1.0000000000000001E-5</v>
      </c>
      <c r="F1879" t="s">
        <v>13</v>
      </c>
      <c r="G1879" t="s">
        <v>11</v>
      </c>
      <c r="H1879">
        <v>30</v>
      </c>
      <c r="I1879">
        <v>30.1</v>
      </c>
      <c r="J1879" t="s">
        <v>10</v>
      </c>
      <c r="K1879">
        <v>3.6591999999999998</v>
      </c>
      <c r="L1879">
        <v>11103</v>
      </c>
      <c r="M1879">
        <v>3.7772999999999999</v>
      </c>
      <c r="N1879">
        <v>10742</v>
      </c>
      <c r="O1879" t="s">
        <v>2833</v>
      </c>
      <c r="P1879" t="s">
        <v>2833</v>
      </c>
      <c r="Q1879" t="s">
        <v>2833</v>
      </c>
      <c r="R1879">
        <f ca="1">RAND()*(Validation[[#This Row],[Range1_High]]-Validation[[#This Row],[Range1_Low]])+Validation[[#This Row],[Range1_Low]]</f>
        <v>2.7770395307763081E-3</v>
      </c>
      <c r="S1879">
        <f>Validation[[#This Row],[Range2_High]]</f>
        <v>30.1</v>
      </c>
      <c r="T1879" t="str" cm="1">
        <f t="array" aca="1" ref="T1879" ca="1">RoundToTwoSigFigs(Validation[[#This Row],[Test Reading]]*Validation[[#This Row],[Mult]]+Validation[[#This Row],[Base]]) &amp;" "&amp;Validation[[#This Row],[Uncert_Units]]</f>
        <v>34 µA</v>
      </c>
      <c r="U18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V1879" t="b">
        <f ca="1">Validation[[#This Row],[Desired Result]]=Validation[[#This Row],[Result]]</f>
        <v>1</v>
      </c>
      <c r="W1879" t="b">
        <v>1</v>
      </c>
      <c r="X1879" t="b">
        <f>Validation[[#This Row],[Range1_Low]]&gt;=Validation[[#This Row],[Range1_High]]</f>
        <v>0</v>
      </c>
      <c r="Y1879" s="111" t="s">
        <v>2843</v>
      </c>
    </row>
    <row r="1880" spans="1:25" ht="16.5" thickTop="1" thickBot="1" x14ac:dyDescent="0.3">
      <c r="A1880" t="s">
        <v>55</v>
      </c>
      <c r="B1880" t="s">
        <v>47</v>
      </c>
      <c r="C1880" s="113">
        <v>1E-3</v>
      </c>
      <c r="D1880" s="113">
        <v>0.01</v>
      </c>
      <c r="E1880">
        <v>9.9999999999999995E-7</v>
      </c>
      <c r="F1880" t="s">
        <v>13</v>
      </c>
      <c r="G1880" t="s">
        <v>11</v>
      </c>
      <c r="H1880">
        <v>1E-3</v>
      </c>
      <c r="I1880">
        <v>0.02</v>
      </c>
      <c r="J1880" t="s">
        <v>10</v>
      </c>
      <c r="K1880">
        <v>2.5</v>
      </c>
      <c r="L1880">
        <v>4600.7</v>
      </c>
      <c r="M1880">
        <v>2.3372999999999999</v>
      </c>
      <c r="N1880">
        <v>4616.5</v>
      </c>
      <c r="O1880" t="s">
        <v>2833</v>
      </c>
      <c r="P1880" t="s">
        <v>2833</v>
      </c>
      <c r="Q1880" t="s">
        <v>2833</v>
      </c>
      <c r="R1880">
        <f ca="1">RAND()*(Validation[[#This Row],[Range1_High]]-Validation[[#This Row],[Range1_Low]])+Validation[[#This Row],[Range1_Low]]</f>
        <v>5.2559569913925531E-3</v>
      </c>
      <c r="S1880">
        <f>Validation[[#This Row],[Range2_High]]</f>
        <v>0.02</v>
      </c>
      <c r="T1880" t="str" cm="1">
        <f t="array" aca="1" ref="T1880" ca="1">RoundToTwoSigFigs(Validation[[#This Row],[Test Reading]]*Validation[[#This Row],[Mult]]+Validation[[#This Row],[Base]]) &amp;" "&amp;Validation[[#This Row],[Uncert_Units]]</f>
        <v>27 µA</v>
      </c>
      <c r="U18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V1880" t="b">
        <f ca="1">Validation[[#This Row],[Desired Result]]=Validation[[#This Row],[Result]]</f>
        <v>0</v>
      </c>
      <c r="W1880" t="b">
        <v>1</v>
      </c>
      <c r="X1880" t="b">
        <f>Validation[[#This Row],[Range1_Low]]&gt;=Validation[[#This Row],[Range1_High]]</f>
        <v>0</v>
      </c>
      <c r="Y1880" s="111" t="s">
        <v>2843</v>
      </c>
    </row>
    <row r="1881" spans="1:25" ht="16.5" thickTop="1" thickBot="1" x14ac:dyDescent="0.3">
      <c r="A1881" t="s">
        <v>54</v>
      </c>
      <c r="B1881" t="s">
        <v>47</v>
      </c>
      <c r="C1881" s="113">
        <v>3.3E-3</v>
      </c>
      <c r="D1881" s="113">
        <v>3.3001000000000003E-2</v>
      </c>
      <c r="E1881">
        <v>1E-4</v>
      </c>
      <c r="F1881" t="s">
        <v>13</v>
      </c>
      <c r="G1881" t="s">
        <v>11</v>
      </c>
      <c r="H1881">
        <v>0.01</v>
      </c>
      <c r="I1881">
        <v>2.001E-2</v>
      </c>
      <c r="J1881" t="s">
        <v>10</v>
      </c>
      <c r="K1881">
        <v>576.95000000000005</v>
      </c>
      <c r="L1881">
        <v>144.81</v>
      </c>
      <c r="M1881">
        <v>576.95000000000005</v>
      </c>
      <c r="N1881">
        <v>144.75</v>
      </c>
      <c r="O1881" t="s">
        <v>2833</v>
      </c>
      <c r="P1881" t="s">
        <v>2833</v>
      </c>
      <c r="Q1881" t="s">
        <v>2833</v>
      </c>
      <c r="R1881">
        <f ca="1">RAND()*(Validation[[#This Row],[Range1_High]]-Validation[[#This Row],[Range1_Low]])+Validation[[#This Row],[Range1_Low]]</f>
        <v>2.6169717313048121E-2</v>
      </c>
      <c r="S1881">
        <f>Validation[[#This Row],[Range2_High]]</f>
        <v>2.001E-2</v>
      </c>
      <c r="T1881" t="str" cm="1">
        <f t="array" aca="1" ref="T1881" ca="1">RoundToTwoSigFigs(Validation[[#This Row],[Test Reading]]*Validation[[#This Row],[Mult]]+Validation[[#This Row],[Base]]) &amp;" "&amp;Validation[[#This Row],[Uncert_Units]]</f>
        <v>580 µA</v>
      </c>
      <c r="U18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881" t="b">
        <f ca="1">Validation[[#This Row],[Desired Result]]=Validation[[#This Row],[Result]]</f>
        <v>1</v>
      </c>
      <c r="W1881" t="b">
        <v>1</v>
      </c>
      <c r="X1881" t="b">
        <f>Validation[[#This Row],[Range1_Low]]&gt;=Validation[[#This Row],[Range1_High]]</f>
        <v>0</v>
      </c>
      <c r="Y1881" s="111" t="s">
        <v>2843</v>
      </c>
    </row>
    <row r="1882" spans="1:25" ht="16.5" thickTop="1" thickBot="1" x14ac:dyDescent="0.3">
      <c r="A1882" t="s">
        <v>54</v>
      </c>
      <c r="B1882" t="s">
        <v>47</v>
      </c>
      <c r="C1882">
        <v>0</v>
      </c>
      <c r="D1882">
        <v>3.3000999999999999E-4</v>
      </c>
      <c r="E1882">
        <v>9.9999999999999995E-7</v>
      </c>
      <c r="F1882" t="s">
        <v>13</v>
      </c>
      <c r="G1882" t="s">
        <v>11</v>
      </c>
      <c r="H1882">
        <v>10</v>
      </c>
      <c r="I1882">
        <v>30</v>
      </c>
      <c r="J1882" t="s">
        <v>10</v>
      </c>
      <c r="K1882">
        <v>0.62980000000000003</v>
      </c>
      <c r="L1882">
        <v>18044</v>
      </c>
      <c r="M1882">
        <v>0.62958000000000003</v>
      </c>
      <c r="N1882">
        <v>18044</v>
      </c>
      <c r="O1882" t="s">
        <v>2833</v>
      </c>
      <c r="P1882" t="s">
        <v>2833</v>
      </c>
      <c r="Q1882" t="s">
        <v>2833</v>
      </c>
      <c r="R1882">
        <f ca="1">RAND()*(Validation[[#This Row],[Range1_High]]-Validation[[#This Row],[Range1_Low]])+Validation[[#This Row],[Range1_Low]]</f>
        <v>1.0183519543880165E-4</v>
      </c>
      <c r="S1882">
        <f>Validation[[#This Row],[Range2_High]]</f>
        <v>30</v>
      </c>
      <c r="T1882" t="str" cm="1">
        <f t="array" aca="1" ref="T1882" ca="1">RoundToTwoSigFigs(Validation[[#This Row],[Test Reading]]*Validation[[#This Row],[Mult]]+Validation[[#This Row],[Base]]) &amp;" "&amp;Validation[[#This Row],[Uncert_Units]]</f>
        <v>2.5 µA</v>
      </c>
      <c r="U18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V1882" t="b">
        <f ca="1">Validation[[#This Row],[Desired Result]]=Validation[[#This Row],[Result]]</f>
        <v>1</v>
      </c>
      <c r="W1882" t="b">
        <v>0</v>
      </c>
      <c r="X1882" t="b">
        <f>Validation[[#This Row],[Range1_Low]]&gt;=Validation[[#This Row],[Range1_High]]</f>
        <v>0</v>
      </c>
      <c r="Y1882" s="111" t="s">
        <v>2845</v>
      </c>
    </row>
    <row r="1883" spans="1:25" ht="16.5" thickTop="1" thickBot="1" x14ac:dyDescent="0.3">
      <c r="A1883" t="s">
        <v>54</v>
      </c>
      <c r="B1883" t="s">
        <v>47</v>
      </c>
      <c r="C1883" s="113">
        <v>3.3E-4</v>
      </c>
      <c r="D1883" s="113">
        <v>3.3000999999999998E-3</v>
      </c>
      <c r="E1883">
        <v>1E-8</v>
      </c>
      <c r="F1883" t="s">
        <v>13</v>
      </c>
      <c r="G1883" t="s">
        <v>11</v>
      </c>
      <c r="H1883">
        <v>4.4999999999999998E-2</v>
      </c>
      <c r="I1883">
        <v>1.0000100000000001</v>
      </c>
      <c r="J1883" t="s">
        <v>10</v>
      </c>
      <c r="K1883">
        <v>0.18</v>
      </c>
      <c r="L1883">
        <v>1200</v>
      </c>
      <c r="M1883">
        <v>0.17374999999999999</v>
      </c>
      <c r="N1883">
        <v>1155.2</v>
      </c>
      <c r="O1883" t="s">
        <v>2833</v>
      </c>
      <c r="P1883" t="s">
        <v>2833</v>
      </c>
      <c r="Q1883" t="s">
        <v>2833</v>
      </c>
      <c r="R1883">
        <f ca="1">RAND()*(Validation[[#This Row],[Range1_High]]-Validation[[#This Row],[Range1_Low]])+Validation[[#This Row],[Range1_Low]]</f>
        <v>2.3329775845022105E-3</v>
      </c>
      <c r="S1883">
        <f>Validation[[#This Row],[Range2_High]]</f>
        <v>1.0000100000000001</v>
      </c>
      <c r="T1883" t="str" cm="1">
        <f t="array" aca="1" ref="T1883" ca="1">RoundToTwoSigFigs(Validation[[#This Row],[Test Reading]]*Validation[[#This Row],[Mult]]+Validation[[#This Row],[Base]]) &amp;" "&amp;Validation[[#This Row],[Uncert_Units]]</f>
        <v>3 µA</v>
      </c>
      <c r="U18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µA</v>
      </c>
      <c r="V1883" t="b">
        <f ca="1">Validation[[#This Row],[Desired Result]]=Validation[[#This Row],[Result]]</f>
        <v>0</v>
      </c>
      <c r="W1883" t="b">
        <v>1</v>
      </c>
      <c r="X1883" t="b">
        <f>Validation[[#This Row],[Range1_Low]]&gt;=Validation[[#This Row],[Range1_High]]</f>
        <v>0</v>
      </c>
      <c r="Y1883" s="111" t="s">
        <v>2843</v>
      </c>
    </row>
    <row r="1884" spans="1:25" ht="16.5" thickTop="1" thickBot="1" x14ac:dyDescent="0.3">
      <c r="A1884" t="s">
        <v>55</v>
      </c>
      <c r="B1884" t="s">
        <v>47</v>
      </c>
      <c r="C1884">
        <v>0.1</v>
      </c>
      <c r="D1884">
        <v>1</v>
      </c>
      <c r="E1884">
        <v>0.01</v>
      </c>
      <c r="F1884" t="s">
        <v>13</v>
      </c>
      <c r="G1884" t="s">
        <v>12</v>
      </c>
      <c r="H1884">
        <v>1E-3</v>
      </c>
      <c r="I1884">
        <v>0.02</v>
      </c>
      <c r="J1884" t="s">
        <v>10</v>
      </c>
      <c r="K1884">
        <v>5.6242000000000001</v>
      </c>
      <c r="L1884">
        <v>1.9178999999999999</v>
      </c>
      <c r="M1884">
        <v>5.6234999999999999</v>
      </c>
      <c r="N1884">
        <v>1.9171</v>
      </c>
      <c r="O1884" t="s">
        <v>2833</v>
      </c>
      <c r="P1884" t="s">
        <v>2833</v>
      </c>
      <c r="Q1884" t="s">
        <v>2833</v>
      </c>
      <c r="R1884">
        <f ca="1">RAND()*(Validation[[#This Row],[Range1_High]]-Validation[[#This Row],[Range1_Low]])+Validation[[#This Row],[Range1_Low]]</f>
        <v>0.62991328075540398</v>
      </c>
      <c r="S1884">
        <f>Validation[[#This Row],[Range2_High]]</f>
        <v>0.02</v>
      </c>
      <c r="T1884" t="str" cm="1">
        <f t="array" aca="1" ref="T1884" ca="1">RoundToTwoSigFigs(Validation[[#This Row],[Test Reading]]*Validation[[#This Row],[Mult]]+Validation[[#This Row],[Base]]) &amp;" "&amp;Validation[[#This Row],[Uncert_Units]]</f>
        <v>6.8 mA</v>
      </c>
      <c r="U18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V1884" t="b">
        <f ca="1">Validation[[#This Row],[Desired Result]]=Validation[[#This Row],[Result]]</f>
        <v>0</v>
      </c>
      <c r="W1884" t="b">
        <v>1</v>
      </c>
      <c r="X1884" t="b">
        <f>Validation[[#This Row],[Range1_Low]]&gt;=Validation[[#This Row],[Range1_High]]</f>
        <v>0</v>
      </c>
      <c r="Y1884" s="111" t="s">
        <v>2845</v>
      </c>
    </row>
    <row r="1885" spans="1:25" ht="16.5" thickTop="1" thickBot="1" x14ac:dyDescent="0.3">
      <c r="A1885" t="s">
        <v>54</v>
      </c>
      <c r="B1885" t="s">
        <v>47</v>
      </c>
      <c r="C1885">
        <v>0</v>
      </c>
      <c r="D1885">
        <v>3.3000999999999999E-4</v>
      </c>
      <c r="E1885">
        <v>9.9999999999999995E-7</v>
      </c>
      <c r="F1885" t="s">
        <v>13</v>
      </c>
      <c r="G1885" t="s">
        <v>11</v>
      </c>
      <c r="H1885" s="113">
        <v>0.02</v>
      </c>
      <c r="I1885" s="113">
        <v>4.5010000000000001E-2</v>
      </c>
      <c r="J1885" t="s">
        <v>10</v>
      </c>
      <c r="K1885">
        <v>0.57237000000000005</v>
      </c>
      <c r="L1885">
        <v>986.73</v>
      </c>
      <c r="M1885">
        <v>0.57213000000000003</v>
      </c>
      <c r="N1885">
        <v>986.13</v>
      </c>
      <c r="O1885" t="s">
        <v>2833</v>
      </c>
      <c r="P1885" t="s">
        <v>2833</v>
      </c>
      <c r="Q1885" t="s">
        <v>2833</v>
      </c>
      <c r="R1885">
        <f ca="1">RAND()*(Validation[[#This Row],[Range1_High]]-Validation[[#This Row],[Range1_Low]])+Validation[[#This Row],[Range1_Low]]</f>
        <v>2.3502326174026041E-4</v>
      </c>
      <c r="S1885">
        <f>Validation[[#This Row],[Range2_High]]</f>
        <v>4.5010000000000001E-2</v>
      </c>
      <c r="T1885" t="str" cm="1">
        <f t="array" aca="1" ref="T1885" ca="1">RoundToTwoSigFigs(Validation[[#This Row],[Test Reading]]*Validation[[#This Row],[Mult]]+Validation[[#This Row],[Base]]) &amp;" "&amp;Validation[[#This Row],[Uncert_Units]]</f>
        <v>0.8 µA</v>
      </c>
      <c r="U18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V1885" t="b">
        <f ca="1">Validation[[#This Row],[Desired Result]]=Validation[[#This Row],[Result]]</f>
        <v>0</v>
      </c>
      <c r="W1885" t="b">
        <v>1</v>
      </c>
      <c r="X1885" t="b">
        <f>Validation[[#This Row],[Range1_Low]]&gt;=Validation[[#This Row],[Range1_High]]</f>
        <v>0</v>
      </c>
      <c r="Y1885" s="114" t="s">
        <v>2847</v>
      </c>
    </row>
    <row r="1886" spans="1:25" ht="15.75" thickTop="1" x14ac:dyDescent="0.25">
      <c r="A1886" t="s">
        <v>68</v>
      </c>
      <c r="B1886" t="s">
        <v>47</v>
      </c>
      <c r="C1886">
        <v>1</v>
      </c>
      <c r="D1886">
        <v>10.4</v>
      </c>
      <c r="E1886">
        <v>1</v>
      </c>
      <c r="F1886" t="s">
        <v>13</v>
      </c>
      <c r="G1886" t="s">
        <v>12</v>
      </c>
      <c r="H1886">
        <v>0.01</v>
      </c>
      <c r="I1886">
        <v>2</v>
      </c>
      <c r="J1886" t="s">
        <v>10</v>
      </c>
      <c r="K1886">
        <v>579.27</v>
      </c>
      <c r="L1886">
        <v>0.34275</v>
      </c>
      <c r="M1886">
        <v>579.27</v>
      </c>
      <c r="N1886">
        <v>0.34186</v>
      </c>
      <c r="O1886" t="s">
        <v>2833</v>
      </c>
      <c r="P1886" t="s">
        <v>2833</v>
      </c>
      <c r="Q1886" t="s">
        <v>2833</v>
      </c>
      <c r="R1886">
        <f ca="1">RAND()*(Validation[[#This Row],[Range1_High]]-Validation[[#This Row],[Range1_Low]])+Validation[[#This Row],[Range1_Low]]</f>
        <v>7.4054255097298514</v>
      </c>
      <c r="S1886">
        <f>Validation[[#This Row],[Range2_High]]</f>
        <v>2</v>
      </c>
      <c r="T1886" t="str" cm="1">
        <f t="array" aca="1" ref="T1886" ca="1">RoundToTwoSigFigs(Validation[[#This Row],[Test Reading]]*Validation[[#This Row],[Mult]]+Validation[[#This Row],[Base]]) &amp;" "&amp;Validation[[#This Row],[Uncert_Units]]</f>
        <v>580 mA</v>
      </c>
      <c r="U18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1886" t="b">
        <f ca="1">Validation[[#This Row],[Desired Result]]=Validation[[#This Row],[Result]]</f>
        <v>1</v>
      </c>
      <c r="W1886" t="b">
        <v>0</v>
      </c>
      <c r="X1886" t="b">
        <f>Validation[[#This Row],[Range1_Low]]&gt;=Validation[[#This Row],[Range1_High]]</f>
        <v>0</v>
      </c>
      <c r="Y1886" s="111" t="s">
        <v>2845</v>
      </c>
    </row>
    <row r="1887" spans="1:25" x14ac:dyDescent="0.25">
      <c r="A1887" t="s">
        <v>54</v>
      </c>
      <c r="B1887" t="s">
        <v>47</v>
      </c>
      <c r="C1887">
        <v>3</v>
      </c>
      <c r="D1887">
        <v>11.000999999999999</v>
      </c>
      <c r="E1887">
        <v>1</v>
      </c>
      <c r="F1887" t="s">
        <v>13</v>
      </c>
      <c r="G1887" t="s">
        <v>12</v>
      </c>
      <c r="H1887">
        <v>1</v>
      </c>
      <c r="I1887">
        <v>5</v>
      </c>
      <c r="J1887" t="s">
        <v>10</v>
      </c>
      <c r="K1887">
        <v>547.30999999999995</v>
      </c>
      <c r="L1887">
        <v>13.25</v>
      </c>
      <c r="M1887">
        <v>547.29999999999995</v>
      </c>
      <c r="N1887">
        <v>13.249000000000001</v>
      </c>
      <c r="O1887" t="s">
        <v>2833</v>
      </c>
      <c r="P1887" t="s">
        <v>2833</v>
      </c>
      <c r="Q1887" t="s">
        <v>2833</v>
      </c>
      <c r="R1887">
        <f ca="1">RAND()*(Validation[[#This Row],[Range1_High]]-Validation[[#This Row],[Range1_Low]])+Validation[[#This Row],[Range1_Low]]</f>
        <v>4.8953447362316345</v>
      </c>
      <c r="S1887">
        <f>Validation[[#This Row],[Range2_High]]</f>
        <v>5</v>
      </c>
      <c r="T1887" t="str" cm="1">
        <f t="array" aca="1" ref="T1887" ca="1">RoundToTwoSigFigs(Validation[[#This Row],[Test Reading]]*Validation[[#This Row],[Mult]]+Validation[[#This Row],[Base]]) &amp;" "&amp;Validation[[#This Row],[Uncert_Units]]</f>
        <v>610 mA</v>
      </c>
      <c r="U18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V1887" t="b">
        <f ca="1">Validation[[#This Row],[Desired Result]]=Validation[[#This Row],[Result]]</f>
        <v>1</v>
      </c>
      <c r="W1887" t="b">
        <v>1</v>
      </c>
      <c r="X1887" t="b">
        <f>Validation[[#This Row],[Range1_Low]]&gt;=Validation[[#This Row],[Range1_High]]</f>
        <v>0</v>
      </c>
      <c r="Y1887" s="111" t="s">
        <v>2845</v>
      </c>
    </row>
    <row r="1888" spans="1:25" x14ac:dyDescent="0.25">
      <c r="A1888" t="s">
        <v>54</v>
      </c>
      <c r="B1888" t="s">
        <v>47</v>
      </c>
      <c r="C1888">
        <v>0</v>
      </c>
      <c r="D1888">
        <v>3.3000999999999999E-4</v>
      </c>
      <c r="E1888">
        <v>10</v>
      </c>
      <c r="F1888" t="s">
        <v>13</v>
      </c>
      <c r="G1888" t="s">
        <v>11</v>
      </c>
      <c r="H1888">
        <v>4.4999999999999998E-2</v>
      </c>
      <c r="I1888">
        <v>1.0000100000000001</v>
      </c>
      <c r="J1888" t="s">
        <v>10</v>
      </c>
      <c r="K1888">
        <v>5773600</v>
      </c>
      <c r="L1888">
        <v>2.3422E-3</v>
      </c>
      <c r="M1888">
        <v>5773600</v>
      </c>
      <c r="N1888">
        <v>9.5916999999999997E-5</v>
      </c>
      <c r="O1888" t="s">
        <v>2833</v>
      </c>
      <c r="P1888" t="s">
        <v>2833</v>
      </c>
      <c r="Q1888" t="s">
        <v>2833</v>
      </c>
      <c r="R1888">
        <f ca="1">RAND()*(Validation[[#This Row],[Range1_High]]-Validation[[#This Row],[Range1_Low]])+Validation[[#This Row],[Range1_Low]]</f>
        <v>1.7816843905533102E-4</v>
      </c>
      <c r="S1888">
        <f>Validation[[#This Row],[Range2_High]]</f>
        <v>1.0000100000000001</v>
      </c>
      <c r="T1888" t="str" cm="1">
        <f t="array" aca="1" ref="T1888" ca="1">RoundToTwoSigFigs(Validation[[#This Row],[Test Reading]]*Validation[[#This Row],[Mult]]+Validation[[#This Row],[Base]]) &amp;" "&amp;Validation[[#This Row],[Uncert_Units]]</f>
        <v>5800000 µA</v>
      </c>
      <c r="U18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V1888" t="b">
        <f ca="1">Validation[[#This Row],[Desired Result]]=Validation[[#This Row],[Result]]</f>
        <v>1</v>
      </c>
      <c r="W1888" t="b">
        <v>0</v>
      </c>
      <c r="X1888" t="b">
        <f>Validation[[#This Row],[Range1_Low]]&gt;=Validation[[#This Row],[Range1_High]]</f>
        <v>0</v>
      </c>
      <c r="Y1888" s="111" t="s">
        <v>2845</v>
      </c>
    </row>
    <row r="1889" spans="1:25" ht="15.75" thickBot="1" x14ac:dyDescent="0.3">
      <c r="A1889" t="s">
        <v>54</v>
      </c>
      <c r="B1889" t="s">
        <v>47</v>
      </c>
      <c r="C1889">
        <v>0</v>
      </c>
      <c r="D1889">
        <v>3.3000999999999999E-4</v>
      </c>
      <c r="E1889">
        <v>9.9999999999999995E-8</v>
      </c>
      <c r="F1889" t="s">
        <v>13</v>
      </c>
      <c r="G1889" t="s">
        <v>11</v>
      </c>
      <c r="H1889">
        <v>10</v>
      </c>
      <c r="I1889">
        <v>30</v>
      </c>
      <c r="J1889" t="s">
        <v>10</v>
      </c>
      <c r="K1889">
        <v>0.62</v>
      </c>
      <c r="L1889">
        <v>18000</v>
      </c>
      <c r="M1889">
        <v>0.46389000000000002</v>
      </c>
      <c r="N1889">
        <v>18470</v>
      </c>
      <c r="O1889" t="s">
        <v>2833</v>
      </c>
      <c r="P1889" t="s">
        <v>2833</v>
      </c>
      <c r="Q1889" t="s">
        <v>2833</v>
      </c>
      <c r="R1889">
        <f ca="1">RAND()*(Validation[[#This Row],[Range1_High]]-Validation[[#This Row],[Range1_Low]])+Validation[[#This Row],[Range1_Low]]</f>
        <v>8.1750845549531699E-5</v>
      </c>
      <c r="S1889">
        <f>Validation[[#This Row],[Range2_High]]</f>
        <v>30</v>
      </c>
      <c r="T1889" t="str" cm="1">
        <f t="array" aca="1" ref="T1889" ca="1">RoundToTwoSigFigs(Validation[[#This Row],[Test Reading]]*Validation[[#This Row],[Mult]]+Validation[[#This Row],[Base]]) &amp;" "&amp;Validation[[#This Row],[Uncert_Units]]</f>
        <v>2.1 µA</v>
      </c>
      <c r="U18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V1889" t="b">
        <f ca="1">Validation[[#This Row],[Desired Result]]=Validation[[#This Row],[Result]]</f>
        <v>1</v>
      </c>
      <c r="W1889" t="b">
        <v>1</v>
      </c>
      <c r="X1889" t="b">
        <f>Validation[[#This Row],[Range1_Low]]&gt;=Validation[[#This Row],[Range1_High]]</f>
        <v>0</v>
      </c>
      <c r="Y1889" s="111" t="s">
        <v>2845</v>
      </c>
    </row>
    <row r="1890" spans="1:25" ht="16.5" thickTop="1" thickBot="1" x14ac:dyDescent="0.3">
      <c r="A1890" t="s">
        <v>55</v>
      </c>
      <c r="B1890" t="s">
        <v>47</v>
      </c>
      <c r="C1890" s="113">
        <v>1E-3</v>
      </c>
      <c r="D1890" s="113">
        <v>0.01</v>
      </c>
      <c r="E1890">
        <v>1E-8</v>
      </c>
      <c r="F1890" t="s">
        <v>13</v>
      </c>
      <c r="G1890" t="s">
        <v>11</v>
      </c>
      <c r="H1890">
        <v>5</v>
      </c>
      <c r="I1890">
        <v>20</v>
      </c>
      <c r="J1890" t="s">
        <v>10</v>
      </c>
      <c r="K1890">
        <v>2.5</v>
      </c>
      <c r="L1890">
        <v>710</v>
      </c>
      <c r="M1890">
        <v>2.2890999999999999</v>
      </c>
      <c r="N1890">
        <v>721.65</v>
      </c>
      <c r="O1890" t="s">
        <v>2833</v>
      </c>
      <c r="P1890" t="s">
        <v>2833</v>
      </c>
      <c r="Q1890" t="s">
        <v>2833</v>
      </c>
      <c r="R1890">
        <f ca="1">RAND()*(Validation[[#This Row],[Range1_High]]-Validation[[#This Row],[Range1_Low]])+Validation[[#This Row],[Range1_Low]]</f>
        <v>2.1958910720220283E-3</v>
      </c>
      <c r="S1890">
        <f>Validation[[#This Row],[Range2_High]]</f>
        <v>20</v>
      </c>
      <c r="T1890" t="str" cm="1">
        <f t="array" aca="1" ref="T1890" ca="1">RoundToTwoSigFigs(Validation[[#This Row],[Test Reading]]*Validation[[#This Row],[Mult]]+Validation[[#This Row],[Base]]) &amp;" "&amp;Validation[[#This Row],[Uncert_Units]]</f>
        <v>4.1 µA</v>
      </c>
      <c r="U18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V1890" t="b">
        <f ca="1">Validation[[#This Row],[Desired Result]]=Validation[[#This Row],[Result]]</f>
        <v>0</v>
      </c>
      <c r="W1890" t="b">
        <v>1</v>
      </c>
      <c r="X1890" t="b">
        <f>Validation[[#This Row],[Range1_Low]]&gt;=Validation[[#This Row],[Range1_High]]</f>
        <v>0</v>
      </c>
      <c r="Y1890" s="111" t="s">
        <v>2843</v>
      </c>
    </row>
    <row r="1891" spans="1:25" ht="16.5" thickTop="1" thickBot="1" x14ac:dyDescent="0.3">
      <c r="A1891" t="s">
        <v>54</v>
      </c>
      <c r="B1891" t="s">
        <v>47</v>
      </c>
      <c r="C1891" s="113">
        <v>0.33</v>
      </c>
      <c r="D1891" s="113">
        <v>1.1000099999999999</v>
      </c>
      <c r="E1891">
        <v>1E-4</v>
      </c>
      <c r="F1891" t="s">
        <v>13</v>
      </c>
      <c r="G1891" t="s">
        <v>12</v>
      </c>
      <c r="H1891">
        <v>0.01</v>
      </c>
      <c r="I1891">
        <v>4.5010000000000001E-2</v>
      </c>
      <c r="J1891" t="s">
        <v>10</v>
      </c>
      <c r="K1891">
        <v>0.12</v>
      </c>
      <c r="L1891">
        <v>2.1</v>
      </c>
      <c r="M1891">
        <v>0.11882</v>
      </c>
      <c r="N1891">
        <v>2.0766</v>
      </c>
      <c r="O1891" t="s">
        <v>2833</v>
      </c>
      <c r="P1891" t="s">
        <v>2833</v>
      </c>
      <c r="Q1891" t="s">
        <v>2833</v>
      </c>
      <c r="R1891">
        <f ca="1">RAND()*(Validation[[#This Row],[Range1_High]]-Validation[[#This Row],[Range1_Low]])+Validation[[#This Row],[Range1_Low]]</f>
        <v>0.61057859444729501</v>
      </c>
      <c r="S1891">
        <f>Validation[[#This Row],[Range2_High]]</f>
        <v>4.5010000000000001E-2</v>
      </c>
      <c r="T1891" t="str" cm="1">
        <f t="array" aca="1" ref="T1891" ca="1">RoundToTwoSigFigs(Validation[[#This Row],[Test Reading]]*Validation[[#This Row],[Mult]]+Validation[[#This Row],[Base]]) &amp;" "&amp;Validation[[#This Row],[Uncert_Units]]</f>
        <v>1.4 mA</v>
      </c>
      <c r="U18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V1891" t="b">
        <f ca="1">Validation[[#This Row],[Desired Result]]=Validation[[#This Row],[Result]]</f>
        <v>1</v>
      </c>
      <c r="W1891" t="b">
        <v>1</v>
      </c>
      <c r="X1891" t="b">
        <f>Validation[[#This Row],[Range1_Low]]&gt;=Validation[[#This Row],[Range1_High]]</f>
        <v>0</v>
      </c>
      <c r="Y1891" s="111" t="s">
        <v>2843</v>
      </c>
    </row>
    <row r="1892" spans="1:25" ht="15.75" thickTop="1" x14ac:dyDescent="0.25">
      <c r="A1892" t="s">
        <v>54</v>
      </c>
      <c r="B1892" t="s">
        <v>47</v>
      </c>
      <c r="C1892">
        <v>0</v>
      </c>
      <c r="D1892">
        <v>3.3000999999999999E-4</v>
      </c>
      <c r="E1892">
        <v>1</v>
      </c>
      <c r="F1892" t="s">
        <v>13</v>
      </c>
      <c r="G1892" t="s">
        <v>11</v>
      </c>
      <c r="H1892">
        <v>4.4999999999999998E-2</v>
      </c>
      <c r="I1892">
        <v>1.0000100000000001</v>
      </c>
      <c r="J1892" t="s">
        <v>10</v>
      </c>
      <c r="K1892">
        <v>577360</v>
      </c>
      <c r="L1892">
        <v>6.5572E-3</v>
      </c>
      <c r="M1892">
        <v>577360</v>
      </c>
      <c r="N1892">
        <v>9.3674000000000003E-4</v>
      </c>
      <c r="O1892" t="s">
        <v>2833</v>
      </c>
      <c r="P1892" t="s">
        <v>2833</v>
      </c>
      <c r="Q1892" t="s">
        <v>2833</v>
      </c>
      <c r="R1892">
        <f ca="1">RAND()*(Validation[[#This Row],[Range1_High]]-Validation[[#This Row],[Range1_Low]])+Validation[[#This Row],[Range1_Low]]</f>
        <v>3.1191620293926866E-4</v>
      </c>
      <c r="S1892">
        <f>Validation[[#This Row],[Range2_High]]</f>
        <v>1.0000100000000001</v>
      </c>
      <c r="T1892" t="str" cm="1">
        <f t="array" aca="1" ref="T1892" ca="1">RoundToTwoSigFigs(Validation[[#This Row],[Test Reading]]*Validation[[#This Row],[Mult]]+Validation[[#This Row],[Base]]) &amp;" "&amp;Validation[[#This Row],[Uncert_Units]]</f>
        <v>580000 µA</v>
      </c>
      <c r="U18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1892" t="b">
        <f ca="1">Validation[[#This Row],[Desired Result]]=Validation[[#This Row],[Result]]</f>
        <v>1</v>
      </c>
      <c r="W1892" t="b">
        <v>0</v>
      </c>
      <c r="X1892" t="b">
        <f>Validation[[#This Row],[Range1_Low]]&gt;=Validation[[#This Row],[Range1_High]]</f>
        <v>0</v>
      </c>
      <c r="Y1892" s="111" t="s">
        <v>2845</v>
      </c>
    </row>
    <row r="1893" spans="1:25" x14ac:dyDescent="0.25">
      <c r="A1893" t="s">
        <v>54</v>
      </c>
      <c r="B1893" t="s">
        <v>47</v>
      </c>
      <c r="C1893">
        <v>1.1000000000000001</v>
      </c>
      <c r="D1893">
        <v>3.0009999999999999</v>
      </c>
      <c r="E1893">
        <v>0.01</v>
      </c>
      <c r="F1893" t="s">
        <v>13</v>
      </c>
      <c r="G1893" t="s">
        <v>12</v>
      </c>
      <c r="H1893">
        <v>0.01</v>
      </c>
      <c r="I1893">
        <v>4.5010000000000001E-2</v>
      </c>
      <c r="J1893" t="s">
        <v>10</v>
      </c>
      <c r="K1893">
        <v>4.9070999999999998</v>
      </c>
      <c r="L1893">
        <v>1.2281</v>
      </c>
      <c r="M1893">
        <v>4.9043000000000001</v>
      </c>
      <c r="N1893">
        <v>1.2264999999999999</v>
      </c>
      <c r="O1893" t="s">
        <v>2833</v>
      </c>
      <c r="P1893" t="s">
        <v>2833</v>
      </c>
      <c r="Q1893" t="s">
        <v>2833</v>
      </c>
      <c r="R1893">
        <f ca="1">RAND()*(Validation[[#This Row],[Range1_High]]-Validation[[#This Row],[Range1_Low]])+Validation[[#This Row],[Range1_Low]]</f>
        <v>2.0523403071158839</v>
      </c>
      <c r="S1893">
        <f>Validation[[#This Row],[Range2_High]]</f>
        <v>4.5010000000000001E-2</v>
      </c>
      <c r="T1893" t="str" cm="1">
        <f t="array" aca="1" ref="T1893" ca="1">RoundToTwoSigFigs(Validation[[#This Row],[Test Reading]]*Validation[[#This Row],[Mult]]+Validation[[#This Row],[Base]]) &amp;" "&amp;Validation[[#This Row],[Uncert_Units]]</f>
        <v>7.4 mA</v>
      </c>
      <c r="U18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V1893" t="b">
        <f ca="1">Validation[[#This Row],[Desired Result]]=Validation[[#This Row],[Result]]</f>
        <v>1</v>
      </c>
      <c r="W1893" t="b">
        <v>0</v>
      </c>
      <c r="X1893" t="b">
        <f>Validation[[#This Row],[Range1_Low]]&gt;=Validation[[#This Row],[Range1_High]]</f>
        <v>0</v>
      </c>
      <c r="Y1893" s="111" t="s">
        <v>2845</v>
      </c>
    </row>
    <row r="1894" spans="1:25" ht="15.75" thickBot="1" x14ac:dyDescent="0.3">
      <c r="A1894" t="s">
        <v>55</v>
      </c>
      <c r="B1894" t="s">
        <v>47</v>
      </c>
      <c r="C1894">
        <v>0</v>
      </c>
      <c r="D1894">
        <v>1E-4</v>
      </c>
      <c r="E1894">
        <v>1.0000000000000001E-9</v>
      </c>
      <c r="F1894" t="s">
        <v>13</v>
      </c>
      <c r="G1894" t="s">
        <v>11</v>
      </c>
      <c r="H1894">
        <v>4.4999999999999998E-2</v>
      </c>
      <c r="I1894">
        <v>5</v>
      </c>
      <c r="J1894" t="s">
        <v>10</v>
      </c>
      <c r="K1894">
        <v>3.6999999999999998E-2</v>
      </c>
      <c r="L1894">
        <v>701.57</v>
      </c>
      <c r="M1894">
        <v>3.5484000000000002E-2</v>
      </c>
      <c r="N1894">
        <v>705.45</v>
      </c>
      <c r="O1894" t="s">
        <v>2833</v>
      </c>
      <c r="P1894" t="s">
        <v>2833</v>
      </c>
      <c r="Q1894" t="s">
        <v>2833</v>
      </c>
      <c r="R1894">
        <f ca="1">RAND()*(Validation[[#This Row],[Range1_High]]-Validation[[#This Row],[Range1_Low]])+Validation[[#This Row],[Range1_Low]]</f>
        <v>4.0914273694775741E-5</v>
      </c>
      <c r="S1894">
        <f>Validation[[#This Row],[Range2_High]]</f>
        <v>5</v>
      </c>
      <c r="T1894" t="str" cm="1">
        <f t="array" aca="1" ref="T1894" ca="1">RoundToTwoSigFigs(Validation[[#This Row],[Test Reading]]*Validation[[#This Row],[Mult]]+Validation[[#This Row],[Base]]) &amp;" "&amp;Validation[[#This Row],[Uncert_Units]]</f>
        <v>0.066 µA</v>
      </c>
      <c r="U18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0.066 µA</v>
      </c>
      <c r="V1894" t="b">
        <f ca="1">Validation[[#This Row],[Desired Result]]=Validation[[#This Row],[Result]]</f>
        <v>1</v>
      </c>
      <c r="W1894" t="b">
        <v>1</v>
      </c>
      <c r="X1894" t="b">
        <f>Validation[[#This Row],[Range1_Low]]&gt;=Validation[[#This Row],[Range1_High]]</f>
        <v>0</v>
      </c>
      <c r="Y1894" s="111" t="s">
        <v>2845</v>
      </c>
    </row>
    <row r="1895" spans="1:25" ht="16.5" thickTop="1" thickBot="1" x14ac:dyDescent="0.3">
      <c r="A1895" t="s">
        <v>55</v>
      </c>
      <c r="B1895" t="s">
        <v>47</v>
      </c>
      <c r="C1895" s="113">
        <v>1E-4</v>
      </c>
      <c r="D1895" s="113">
        <v>1E-3</v>
      </c>
      <c r="E1895">
        <v>1E-10</v>
      </c>
      <c r="F1895" t="s">
        <v>13</v>
      </c>
      <c r="G1895" t="s">
        <v>11</v>
      </c>
      <c r="H1895">
        <v>0.1</v>
      </c>
      <c r="I1895">
        <v>5</v>
      </c>
      <c r="J1895" t="s">
        <v>10</v>
      </c>
      <c r="K1895">
        <v>0.25</v>
      </c>
      <c r="L1895">
        <v>350</v>
      </c>
      <c r="M1895">
        <v>0.23000999999999999</v>
      </c>
      <c r="N1895">
        <v>364.09</v>
      </c>
      <c r="O1895" t="s">
        <v>2833</v>
      </c>
      <c r="P1895" t="s">
        <v>2833</v>
      </c>
      <c r="Q1895" t="s">
        <v>2833</v>
      </c>
      <c r="R1895">
        <f ca="1">RAND()*(Validation[[#This Row],[Range1_High]]-Validation[[#This Row],[Range1_Low]])+Validation[[#This Row],[Range1_Low]]</f>
        <v>3.3705705824813015E-4</v>
      </c>
      <c r="S1895">
        <f>Validation[[#This Row],[Range2_High]]</f>
        <v>5</v>
      </c>
      <c r="T1895" t="str" cm="1">
        <f t="array" aca="1" ref="T1895" ca="1">RoundToTwoSigFigs(Validation[[#This Row],[Test Reading]]*Validation[[#This Row],[Mult]]+Validation[[#This Row],[Base]]) &amp;" "&amp;Validation[[#This Row],[Uncert_Units]]</f>
        <v>0.37 µA</v>
      </c>
      <c r="U18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V1895" t="b">
        <f ca="1">Validation[[#This Row],[Desired Result]]=Validation[[#This Row],[Result]]</f>
        <v>0</v>
      </c>
      <c r="W1895" t="b">
        <v>1</v>
      </c>
      <c r="X1895" t="b">
        <f>Validation[[#This Row],[Range1_Low]]&gt;=Validation[[#This Row],[Range1_High]]</f>
        <v>0</v>
      </c>
      <c r="Y1895" s="111" t="s">
        <v>2843</v>
      </c>
    </row>
    <row r="1896" spans="1:25" ht="16.5" thickTop="1" thickBot="1" x14ac:dyDescent="0.3">
      <c r="A1896" t="s">
        <v>55</v>
      </c>
      <c r="B1896" t="s">
        <v>47</v>
      </c>
      <c r="C1896" s="113">
        <v>0.01</v>
      </c>
      <c r="D1896" s="113">
        <v>0.1</v>
      </c>
      <c r="E1896">
        <v>1E-4</v>
      </c>
      <c r="F1896" t="s">
        <v>13</v>
      </c>
      <c r="G1896" t="s">
        <v>11</v>
      </c>
      <c r="H1896">
        <v>0.1</v>
      </c>
      <c r="I1896">
        <v>5</v>
      </c>
      <c r="J1896" t="s">
        <v>10</v>
      </c>
      <c r="K1896">
        <v>61.548000000000002</v>
      </c>
      <c r="L1896">
        <v>219.19</v>
      </c>
      <c r="M1896">
        <v>61.448999999999998</v>
      </c>
      <c r="N1896">
        <v>215.18</v>
      </c>
      <c r="O1896" t="s">
        <v>2833</v>
      </c>
      <c r="P1896" t="s">
        <v>2833</v>
      </c>
      <c r="Q1896" t="s">
        <v>2833</v>
      </c>
      <c r="R1896">
        <f ca="1">RAND()*(Validation[[#This Row],[Range1_High]]-Validation[[#This Row],[Range1_Low]])+Validation[[#This Row],[Range1_Low]]</f>
        <v>7.565405727546598E-2</v>
      </c>
      <c r="S1896">
        <f>Validation[[#This Row],[Range2_High]]</f>
        <v>5</v>
      </c>
      <c r="T1896" t="str" cm="1">
        <f t="array" aca="1" ref="T1896" ca="1">RoundToTwoSigFigs(Validation[[#This Row],[Test Reading]]*Validation[[#This Row],[Mult]]+Validation[[#This Row],[Base]]) &amp;" "&amp;Validation[[#This Row],[Uncert_Units]]</f>
        <v>78 µA</v>
      </c>
      <c r="U18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µA</v>
      </c>
      <c r="V1896" t="b">
        <f ca="1">Validation[[#This Row],[Desired Result]]=Validation[[#This Row],[Result]]</f>
        <v>0</v>
      </c>
      <c r="W1896" t="b">
        <v>1</v>
      </c>
      <c r="X1896" t="b">
        <f>Validation[[#This Row],[Range1_Low]]&gt;=Validation[[#This Row],[Range1_High]]</f>
        <v>0</v>
      </c>
      <c r="Y1896" s="111" t="s">
        <v>2843</v>
      </c>
    </row>
    <row r="1897" spans="1:25" ht="16.5" thickTop="1" thickBot="1" x14ac:dyDescent="0.3">
      <c r="A1897" t="s">
        <v>54</v>
      </c>
      <c r="B1897" t="s">
        <v>47</v>
      </c>
      <c r="C1897" s="113">
        <v>3</v>
      </c>
      <c r="D1897" s="113">
        <v>11.000999999999999</v>
      </c>
      <c r="E1897">
        <v>1E-3</v>
      </c>
      <c r="F1897" t="s">
        <v>13</v>
      </c>
      <c r="G1897" t="s">
        <v>12</v>
      </c>
      <c r="H1897">
        <v>1</v>
      </c>
      <c r="I1897">
        <v>5</v>
      </c>
      <c r="J1897" t="s">
        <v>10</v>
      </c>
      <c r="K1897">
        <v>2.5</v>
      </c>
      <c r="L1897">
        <v>35</v>
      </c>
      <c r="M1897">
        <v>2.3111999999999999</v>
      </c>
      <c r="N1897">
        <v>34.640999999999998</v>
      </c>
      <c r="O1897" t="s">
        <v>2833</v>
      </c>
      <c r="P1897" t="s">
        <v>2833</v>
      </c>
      <c r="Q1897" t="s">
        <v>2833</v>
      </c>
      <c r="R1897">
        <f ca="1">RAND()*(Validation[[#This Row],[Range1_High]]-Validation[[#This Row],[Range1_Low]])+Validation[[#This Row],[Range1_Low]]</f>
        <v>4.3141456695835654</v>
      </c>
      <c r="S1897">
        <f>Validation[[#This Row],[Range2_High]]</f>
        <v>5</v>
      </c>
      <c r="T1897" t="str" cm="1">
        <f t="array" aca="1" ref="T1897" ca="1">RoundToTwoSigFigs(Validation[[#This Row],[Test Reading]]*Validation[[#This Row],[Mult]]+Validation[[#This Row],[Base]]) &amp;" "&amp;Validation[[#This Row],[Uncert_Units]]</f>
        <v>150 mA</v>
      </c>
      <c r="U18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V1897" t="b">
        <f ca="1">Validation[[#This Row],[Desired Result]]=Validation[[#This Row],[Result]]</f>
        <v>1</v>
      </c>
      <c r="W1897" t="b">
        <v>1</v>
      </c>
      <c r="X1897" t="b">
        <f>Validation[[#This Row],[Range1_Low]]&gt;=Validation[[#This Row],[Range1_High]]</f>
        <v>0</v>
      </c>
      <c r="Y1897" s="111" t="s">
        <v>2843</v>
      </c>
    </row>
    <row r="1898" spans="1:25" ht="15.75" thickTop="1" x14ac:dyDescent="0.25">
      <c r="A1898" t="s">
        <v>55</v>
      </c>
      <c r="B1898" t="s">
        <v>47</v>
      </c>
      <c r="C1898">
        <v>0</v>
      </c>
      <c r="D1898">
        <v>1E-4</v>
      </c>
      <c r="E1898">
        <v>1E-4</v>
      </c>
      <c r="F1898" t="s">
        <v>13</v>
      </c>
      <c r="G1898" t="s">
        <v>11</v>
      </c>
      <c r="H1898">
        <v>1E-3</v>
      </c>
      <c r="I1898">
        <v>0.02</v>
      </c>
      <c r="J1898" t="s">
        <v>10</v>
      </c>
      <c r="K1898">
        <v>57.735999999999997</v>
      </c>
      <c r="L1898">
        <v>21.196999999999999</v>
      </c>
      <c r="M1898">
        <v>57.734000000000002</v>
      </c>
      <c r="N1898">
        <v>20.994</v>
      </c>
      <c r="O1898" t="s">
        <v>2833</v>
      </c>
      <c r="P1898" t="s">
        <v>2833</v>
      </c>
      <c r="Q1898" t="s">
        <v>2833</v>
      </c>
      <c r="R1898">
        <f ca="1">RAND()*(Validation[[#This Row],[Range1_High]]-Validation[[#This Row],[Range1_Low]])+Validation[[#This Row],[Range1_Low]]</f>
        <v>2.5959442828918079E-5</v>
      </c>
      <c r="S1898">
        <f>Validation[[#This Row],[Range2_High]]</f>
        <v>0.02</v>
      </c>
      <c r="T1898" t="str" cm="1">
        <f t="array" aca="1" ref="T1898" ca="1">RoundToTwoSigFigs(Validation[[#This Row],[Test Reading]]*Validation[[#This Row],[Mult]]+Validation[[#This Row],[Base]]) &amp;" "&amp;Validation[[#This Row],[Uncert_Units]]</f>
        <v>58 µA</v>
      </c>
      <c r="U18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898" t="b">
        <f ca="1">Validation[[#This Row],[Desired Result]]=Validation[[#This Row],[Result]]</f>
        <v>1</v>
      </c>
      <c r="W1898" t="b">
        <v>0</v>
      </c>
      <c r="X1898" t="b">
        <f>Validation[[#This Row],[Range1_Low]]&gt;=Validation[[#This Row],[Range1_High]]</f>
        <v>0</v>
      </c>
      <c r="Y1898" s="111" t="s">
        <v>2845</v>
      </c>
    </row>
    <row r="1899" spans="1:25" ht="15.75" thickBot="1" x14ac:dyDescent="0.3">
      <c r="A1899" t="s">
        <v>55</v>
      </c>
      <c r="B1899" t="s">
        <v>47</v>
      </c>
      <c r="C1899">
        <v>0</v>
      </c>
      <c r="D1899">
        <v>1E-4</v>
      </c>
      <c r="E1899">
        <v>9.9999999999999995E-7</v>
      </c>
      <c r="F1899" t="s">
        <v>13</v>
      </c>
      <c r="G1899" t="s">
        <v>11</v>
      </c>
      <c r="H1899">
        <v>4.4999999999999998E-2</v>
      </c>
      <c r="I1899">
        <v>5</v>
      </c>
      <c r="J1899" t="s">
        <v>10</v>
      </c>
      <c r="K1899">
        <v>0.57804</v>
      </c>
      <c r="L1899">
        <v>91.593000000000004</v>
      </c>
      <c r="M1899">
        <v>0.57801999999999998</v>
      </c>
      <c r="N1899">
        <v>90.227999999999994</v>
      </c>
      <c r="O1899" t="s">
        <v>2833</v>
      </c>
      <c r="P1899" t="s">
        <v>2833</v>
      </c>
      <c r="Q1899" t="s">
        <v>2833</v>
      </c>
      <c r="R1899">
        <f ca="1">RAND()*(Validation[[#This Row],[Range1_High]]-Validation[[#This Row],[Range1_Low]])+Validation[[#This Row],[Range1_Low]]</f>
        <v>9.9397663006518797E-5</v>
      </c>
      <c r="S1899">
        <f>Validation[[#This Row],[Range2_High]]</f>
        <v>5</v>
      </c>
      <c r="T1899" t="str" cm="1">
        <f t="array" aca="1" ref="T1899" ca="1">RoundToTwoSigFigs(Validation[[#This Row],[Test Reading]]*Validation[[#This Row],[Mult]]+Validation[[#This Row],[Base]]) &amp;" "&amp;Validation[[#This Row],[Uncert_Units]]</f>
        <v>0.59 µA</v>
      </c>
      <c r="U18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V1899" t="b">
        <f ca="1">Validation[[#This Row],[Desired Result]]=Validation[[#This Row],[Result]]</f>
        <v>1</v>
      </c>
      <c r="W1899" t="b">
        <v>0</v>
      </c>
      <c r="X1899" t="b">
        <f>Validation[[#This Row],[Range1_Low]]&gt;=Validation[[#This Row],[Range1_High]]</f>
        <v>0</v>
      </c>
      <c r="Y1899" s="111" t="s">
        <v>2845</v>
      </c>
    </row>
    <row r="1900" spans="1:25" ht="16.5" thickTop="1" thickBot="1" x14ac:dyDescent="0.3">
      <c r="A1900" t="s">
        <v>55</v>
      </c>
      <c r="B1900" t="s">
        <v>47</v>
      </c>
      <c r="C1900" s="113">
        <v>1E-4</v>
      </c>
      <c r="D1900" s="113">
        <v>1E-3</v>
      </c>
      <c r="E1900">
        <v>1E-8</v>
      </c>
      <c r="F1900" t="s">
        <v>13</v>
      </c>
      <c r="G1900" t="s">
        <v>11</v>
      </c>
      <c r="H1900">
        <v>4.4999999999999998E-2</v>
      </c>
      <c r="I1900">
        <v>0.1</v>
      </c>
      <c r="J1900" t="s">
        <v>10</v>
      </c>
      <c r="K1900">
        <v>0.24</v>
      </c>
      <c r="L1900">
        <v>690</v>
      </c>
      <c r="M1900">
        <v>0.23691000000000001</v>
      </c>
      <c r="N1900">
        <v>689</v>
      </c>
      <c r="O1900" t="s">
        <v>2833</v>
      </c>
      <c r="P1900" t="s">
        <v>2833</v>
      </c>
      <c r="Q1900" t="s">
        <v>2833</v>
      </c>
      <c r="R1900">
        <f ca="1">RAND()*(Validation[[#This Row],[Range1_High]]-Validation[[#This Row],[Range1_Low]])+Validation[[#This Row],[Range1_Low]]</f>
        <v>4.2320982810311686E-4</v>
      </c>
      <c r="S1900">
        <f>Validation[[#This Row],[Range2_High]]</f>
        <v>0.1</v>
      </c>
      <c r="T1900" t="str" cm="1">
        <f t="array" aca="1" ref="T1900" ca="1">RoundToTwoSigFigs(Validation[[#This Row],[Test Reading]]*Validation[[#This Row],[Mult]]+Validation[[#This Row],[Base]]) &amp;" "&amp;Validation[[#This Row],[Uncert_Units]]</f>
        <v>0.53 µA</v>
      </c>
      <c r="U19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µA</v>
      </c>
      <c r="V1900" t="b">
        <f ca="1">Validation[[#This Row],[Desired Result]]=Validation[[#This Row],[Result]]</f>
        <v>1</v>
      </c>
      <c r="W1900" t="b">
        <v>1</v>
      </c>
      <c r="X1900" t="b">
        <f>Validation[[#This Row],[Range1_Low]]&gt;=Validation[[#This Row],[Range1_High]]</f>
        <v>0</v>
      </c>
      <c r="Y1900" s="111" t="s">
        <v>2843</v>
      </c>
    </row>
    <row r="1901" spans="1:25" ht="16.5" thickTop="1" thickBot="1" x14ac:dyDescent="0.3">
      <c r="A1901" t="s">
        <v>54</v>
      </c>
      <c r="B1901" t="s">
        <v>47</v>
      </c>
      <c r="C1901" s="113">
        <v>3.3000000000000002E-2</v>
      </c>
      <c r="D1901" s="113">
        <v>0.33001000000000003</v>
      </c>
      <c r="E1901">
        <v>1E-4</v>
      </c>
      <c r="F1901" t="s">
        <v>13</v>
      </c>
      <c r="G1901" t="s">
        <v>12</v>
      </c>
      <c r="H1901">
        <v>4.4999999999999998E-2</v>
      </c>
      <c r="I1901">
        <v>1.0000100000000001</v>
      </c>
      <c r="J1901" t="s">
        <v>10</v>
      </c>
      <c r="K1901">
        <v>5.6196999999999997E-2</v>
      </c>
      <c r="L1901">
        <v>0.39853</v>
      </c>
      <c r="M1901">
        <v>5.6184999999999999E-2</v>
      </c>
      <c r="N1901">
        <v>0.39850999999999998</v>
      </c>
      <c r="O1901" t="s">
        <v>2833</v>
      </c>
      <c r="P1901" t="s">
        <v>2833</v>
      </c>
      <c r="Q1901" t="s">
        <v>2833</v>
      </c>
      <c r="R1901">
        <f ca="1">RAND()*(Validation[[#This Row],[Range1_High]]-Validation[[#This Row],[Range1_Low]])+Validation[[#This Row],[Range1_Low]]</f>
        <v>9.5297770621171271E-2</v>
      </c>
      <c r="S1901">
        <f>Validation[[#This Row],[Range2_High]]</f>
        <v>1.0000100000000001</v>
      </c>
      <c r="T1901" t="str" cm="1">
        <f t="array" aca="1" ref="T1901" ca="1">RoundToTwoSigFigs(Validation[[#This Row],[Test Reading]]*Validation[[#This Row],[Mult]]+Validation[[#This Row],[Base]]) &amp;" "&amp;Validation[[#This Row],[Uncert_Units]]</f>
        <v>0.094 mA</v>
      </c>
      <c r="U19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mA</v>
      </c>
      <c r="V1901" t="b">
        <f ca="1">Validation[[#This Row],[Desired Result]]=Validation[[#This Row],[Result]]</f>
        <v>0</v>
      </c>
      <c r="W1901" t="b">
        <v>1</v>
      </c>
      <c r="X1901" t="b">
        <f>Validation[[#This Row],[Range1_Low]]&gt;=Validation[[#This Row],[Range1_High]]</f>
        <v>0</v>
      </c>
      <c r="Y1901" s="111" t="s">
        <v>2843</v>
      </c>
    </row>
    <row r="1902" spans="1:25" ht="16.5" thickTop="1" thickBot="1" x14ac:dyDescent="0.3">
      <c r="A1902" t="s">
        <v>55</v>
      </c>
      <c r="B1902" t="s">
        <v>47</v>
      </c>
      <c r="C1902" s="113">
        <v>1E-4</v>
      </c>
      <c r="D1902" s="113">
        <v>1E-3</v>
      </c>
      <c r="E1902">
        <v>9.9999999999999995E-8</v>
      </c>
      <c r="F1902" t="s">
        <v>13</v>
      </c>
      <c r="G1902" t="s">
        <v>11</v>
      </c>
      <c r="H1902">
        <v>4.4999999999999998E-2</v>
      </c>
      <c r="I1902">
        <v>0.1</v>
      </c>
      <c r="J1902" t="s">
        <v>10</v>
      </c>
      <c r="K1902">
        <v>0.60248999999999997</v>
      </c>
      <c r="L1902">
        <v>489.7</v>
      </c>
      <c r="M1902">
        <v>0.60209999999999997</v>
      </c>
      <c r="N1902">
        <v>487.94</v>
      </c>
      <c r="O1902" t="s">
        <v>2833</v>
      </c>
      <c r="P1902" t="s">
        <v>2833</v>
      </c>
      <c r="Q1902" t="s">
        <v>2833</v>
      </c>
      <c r="R1902">
        <f ca="1">RAND()*(Validation[[#This Row],[Range1_High]]-Validation[[#This Row],[Range1_Low]])+Validation[[#This Row],[Range1_Low]]</f>
        <v>7.1737036233899762E-4</v>
      </c>
      <c r="S1902">
        <f>Validation[[#This Row],[Range2_High]]</f>
        <v>0.1</v>
      </c>
      <c r="T1902" t="str" cm="1">
        <f t="array" aca="1" ref="T1902" ca="1">RoundToTwoSigFigs(Validation[[#This Row],[Test Reading]]*Validation[[#This Row],[Mult]]+Validation[[#This Row],[Base]]) &amp;" "&amp;Validation[[#This Row],[Uncert_Units]]</f>
        <v>0.95 µA</v>
      </c>
      <c r="U19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µA</v>
      </c>
      <c r="V1902" t="b">
        <f ca="1">Validation[[#This Row],[Desired Result]]=Validation[[#This Row],[Result]]</f>
        <v>1</v>
      </c>
      <c r="W1902" t="b">
        <v>1</v>
      </c>
      <c r="X1902" t="b">
        <f>Validation[[#This Row],[Range1_Low]]&gt;=Validation[[#This Row],[Range1_High]]</f>
        <v>0</v>
      </c>
      <c r="Y1902" s="111" t="s">
        <v>2843</v>
      </c>
    </row>
    <row r="1903" spans="1:25" ht="16.5" thickTop="1" thickBot="1" x14ac:dyDescent="0.3">
      <c r="A1903" t="s">
        <v>54</v>
      </c>
      <c r="B1903" t="s">
        <v>47</v>
      </c>
      <c r="C1903" s="113">
        <v>11</v>
      </c>
      <c r="D1903" s="113">
        <v>20.501000000000001</v>
      </c>
      <c r="E1903">
        <v>0.01</v>
      </c>
      <c r="F1903" t="s">
        <v>13</v>
      </c>
      <c r="G1903" t="s">
        <v>12</v>
      </c>
      <c r="H1903">
        <v>0.1</v>
      </c>
      <c r="I1903">
        <v>1.0000100000000001</v>
      </c>
      <c r="J1903" t="s">
        <v>10</v>
      </c>
      <c r="K1903">
        <v>6.7671000000000001</v>
      </c>
      <c r="L1903">
        <v>1.7061999999999999</v>
      </c>
      <c r="M1903">
        <v>6.7465999999999999</v>
      </c>
      <c r="N1903">
        <v>1.7047000000000001</v>
      </c>
      <c r="O1903" t="s">
        <v>2833</v>
      </c>
      <c r="P1903" t="s">
        <v>2833</v>
      </c>
      <c r="Q1903" t="s">
        <v>2833</v>
      </c>
      <c r="R1903">
        <f ca="1">RAND()*(Validation[[#This Row],[Range1_High]]-Validation[[#This Row],[Range1_Low]])+Validation[[#This Row],[Range1_Low]]</f>
        <v>15.884272077981773</v>
      </c>
      <c r="S1903">
        <f>Validation[[#This Row],[Range2_High]]</f>
        <v>1.0000100000000001</v>
      </c>
      <c r="T1903" t="str" cm="1">
        <f t="array" aca="1" ref="T1903" ca="1">RoundToTwoSigFigs(Validation[[#This Row],[Test Reading]]*Validation[[#This Row],[Mult]]+Validation[[#This Row],[Base]]) &amp;" "&amp;Validation[[#This Row],[Uncert_Units]]</f>
        <v>34 mA</v>
      </c>
      <c r="U19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V1903" t="b">
        <f ca="1">Validation[[#This Row],[Desired Result]]=Validation[[#This Row],[Result]]</f>
        <v>0</v>
      </c>
      <c r="W1903" t="b">
        <v>1</v>
      </c>
      <c r="X1903" t="b">
        <f>Validation[[#This Row],[Range1_Low]]&gt;=Validation[[#This Row],[Range1_High]]</f>
        <v>0</v>
      </c>
      <c r="Y1903" s="111" t="s">
        <v>2843</v>
      </c>
    </row>
    <row r="1904" spans="1:25" ht="16.5" thickTop="1" thickBot="1" x14ac:dyDescent="0.3">
      <c r="A1904" t="s">
        <v>54</v>
      </c>
      <c r="B1904" t="s">
        <v>47</v>
      </c>
      <c r="C1904" s="113">
        <v>3.3E-3</v>
      </c>
      <c r="D1904" s="113">
        <v>3.3001000000000003E-2</v>
      </c>
      <c r="E1904">
        <v>1E-8</v>
      </c>
      <c r="F1904" t="s">
        <v>13</v>
      </c>
      <c r="G1904" t="s">
        <v>11</v>
      </c>
      <c r="H1904">
        <v>1</v>
      </c>
      <c r="I1904">
        <v>5.01</v>
      </c>
      <c r="J1904" t="s">
        <v>10</v>
      </c>
      <c r="K1904">
        <v>2.4</v>
      </c>
      <c r="L1904">
        <v>930</v>
      </c>
      <c r="M1904">
        <v>2.3048000000000002</v>
      </c>
      <c r="N1904">
        <v>925.75</v>
      </c>
      <c r="O1904" t="s">
        <v>2833</v>
      </c>
      <c r="P1904" t="s">
        <v>2833</v>
      </c>
      <c r="Q1904" t="s">
        <v>2833</v>
      </c>
      <c r="R1904">
        <f ca="1">RAND()*(Validation[[#This Row],[Range1_High]]-Validation[[#This Row],[Range1_Low]])+Validation[[#This Row],[Range1_Low]]</f>
        <v>3.1842603058652906E-2</v>
      </c>
      <c r="S1904">
        <f>Validation[[#This Row],[Range2_High]]</f>
        <v>5.01</v>
      </c>
      <c r="T1904" t="str" cm="1">
        <f t="array" aca="1" ref="T1904" ca="1">RoundToTwoSigFigs(Validation[[#This Row],[Test Reading]]*Validation[[#This Row],[Mult]]+Validation[[#This Row],[Base]]) &amp;" "&amp;Validation[[#This Row],[Uncert_Units]]</f>
        <v>32 µA</v>
      </c>
      <c r="U19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V1904" t="b">
        <f ca="1">Validation[[#This Row],[Desired Result]]=Validation[[#This Row],[Result]]</f>
        <v>1</v>
      </c>
      <c r="W1904" t="b">
        <v>1</v>
      </c>
      <c r="X1904" t="b">
        <f>Validation[[#This Row],[Range1_Low]]&gt;=Validation[[#This Row],[Range1_High]]</f>
        <v>0</v>
      </c>
      <c r="Y1904" s="111" t="s">
        <v>2843</v>
      </c>
    </row>
    <row r="1905" spans="1:25" ht="15.75" thickTop="1" x14ac:dyDescent="0.25">
      <c r="A1905" t="s">
        <v>55</v>
      </c>
      <c r="B1905" t="s">
        <v>47</v>
      </c>
      <c r="C1905">
        <v>0</v>
      </c>
      <c r="D1905">
        <v>1E-4</v>
      </c>
      <c r="E1905">
        <v>0.01</v>
      </c>
      <c r="F1905" t="s">
        <v>13</v>
      </c>
      <c r="G1905" t="s">
        <v>11</v>
      </c>
      <c r="H1905">
        <v>1E-3</v>
      </c>
      <c r="I1905">
        <v>0.02</v>
      </c>
      <c r="J1905" t="s">
        <v>10</v>
      </c>
      <c r="K1905">
        <v>5773.6</v>
      </c>
      <c r="L1905">
        <v>0.24237</v>
      </c>
      <c r="M1905">
        <v>5773.6</v>
      </c>
      <c r="N1905">
        <v>0.20995</v>
      </c>
      <c r="O1905" t="s">
        <v>2833</v>
      </c>
      <c r="P1905" t="s">
        <v>2833</v>
      </c>
      <c r="Q1905" t="s">
        <v>2833</v>
      </c>
      <c r="R1905">
        <f ca="1">RAND()*(Validation[[#This Row],[Range1_High]]-Validation[[#This Row],[Range1_Low]])+Validation[[#This Row],[Range1_Low]]</f>
        <v>1.2945254642285908E-6</v>
      </c>
      <c r="S1905">
        <f>Validation[[#This Row],[Range2_High]]</f>
        <v>0.02</v>
      </c>
      <c r="T1905" t="str" cm="1">
        <f t="array" aca="1" ref="T1905" ca="1">RoundToTwoSigFigs(Validation[[#This Row],[Test Reading]]*Validation[[#This Row],[Mult]]+Validation[[#This Row],[Base]]) &amp;" "&amp;Validation[[#This Row],[Uncert_Units]]</f>
        <v>5800 µA</v>
      </c>
      <c r="U19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V1905" t="b">
        <f ca="1">Validation[[#This Row],[Desired Result]]=Validation[[#This Row],[Result]]</f>
        <v>1</v>
      </c>
      <c r="W1905" t="b">
        <v>0</v>
      </c>
      <c r="X1905" t="b">
        <f>Validation[[#This Row],[Range1_Low]]&gt;=Validation[[#This Row],[Range1_High]]</f>
        <v>0</v>
      </c>
      <c r="Y1905" s="111" t="s">
        <v>2845</v>
      </c>
    </row>
    <row r="1906" spans="1:25" x14ac:dyDescent="0.25">
      <c r="A1906" t="s">
        <v>54</v>
      </c>
      <c r="B1906" t="s">
        <v>47</v>
      </c>
      <c r="C1906">
        <v>0</v>
      </c>
      <c r="D1906">
        <v>3.3000999999999999E-4</v>
      </c>
      <c r="E1906">
        <v>9.9999999999999995E-8</v>
      </c>
      <c r="F1906" t="s">
        <v>13</v>
      </c>
      <c r="G1906" t="s">
        <v>11</v>
      </c>
      <c r="H1906">
        <v>5</v>
      </c>
      <c r="I1906">
        <v>10.01</v>
      </c>
      <c r="J1906" t="s">
        <v>10</v>
      </c>
      <c r="K1906">
        <v>0.25</v>
      </c>
      <c r="L1906">
        <v>9200</v>
      </c>
      <c r="M1906">
        <v>0.23463000000000001</v>
      </c>
      <c r="N1906">
        <v>9228.1</v>
      </c>
      <c r="O1906" t="s">
        <v>2833</v>
      </c>
      <c r="P1906" t="s">
        <v>2833</v>
      </c>
      <c r="Q1906" t="s">
        <v>2833</v>
      </c>
      <c r="R1906">
        <f ca="1">RAND()*(Validation[[#This Row],[Range1_High]]-Validation[[#This Row],[Range1_Low]])+Validation[[#This Row],[Range1_Low]]</f>
        <v>8.7682535511918208E-5</v>
      </c>
      <c r="S1906">
        <f>Validation[[#This Row],[Range2_High]]</f>
        <v>10.01</v>
      </c>
      <c r="T1906" t="str" cm="1">
        <f t="array" aca="1" ref="T1906" ca="1">RoundToTwoSigFigs(Validation[[#This Row],[Test Reading]]*Validation[[#This Row],[Mult]]+Validation[[#This Row],[Base]]) &amp;" "&amp;Validation[[#This Row],[Uncert_Units]]</f>
        <v>1.1 µA</v>
      </c>
      <c r="U19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V1906" t="b">
        <f ca="1">Validation[[#This Row],[Desired Result]]=Validation[[#This Row],[Result]]</f>
        <v>1</v>
      </c>
      <c r="W1906" t="b">
        <v>0</v>
      </c>
      <c r="X1906" t="b">
        <f>Validation[[#This Row],[Range1_Low]]&gt;=Validation[[#This Row],[Range1_High]]</f>
        <v>0</v>
      </c>
      <c r="Y1906" s="111" t="s">
        <v>2845</v>
      </c>
    </row>
    <row r="1907" spans="1:25" ht="15.75" thickBot="1" x14ac:dyDescent="0.3">
      <c r="A1907" t="s">
        <v>54</v>
      </c>
      <c r="B1907" t="s">
        <v>47</v>
      </c>
      <c r="C1907">
        <v>3.3000000000000002E-2</v>
      </c>
      <c r="D1907">
        <v>0.33001000000000003</v>
      </c>
      <c r="E1907">
        <v>9.9999999999999995E-7</v>
      </c>
      <c r="F1907" t="s">
        <v>13</v>
      </c>
      <c r="G1907" t="s">
        <v>12</v>
      </c>
      <c r="H1907">
        <v>30</v>
      </c>
      <c r="I1907">
        <v>30.01</v>
      </c>
      <c r="J1907" t="s">
        <v>10</v>
      </c>
      <c r="K1907">
        <v>0.24</v>
      </c>
      <c r="L1907">
        <v>4.5999999999999996</v>
      </c>
      <c r="M1907">
        <v>0.23085</v>
      </c>
      <c r="N1907">
        <v>4.6219000000000001</v>
      </c>
      <c r="O1907" t="s">
        <v>2833</v>
      </c>
      <c r="P1907" t="s">
        <v>2833</v>
      </c>
      <c r="Q1907" t="s">
        <v>2833</v>
      </c>
      <c r="R1907">
        <f ca="1">RAND()*(Validation[[#This Row],[Range1_High]]-Validation[[#This Row],[Range1_Low]])+Validation[[#This Row],[Range1_Low]]</f>
        <v>0.31708094225958339</v>
      </c>
      <c r="S1907">
        <f>Validation[[#This Row],[Range2_High]]</f>
        <v>30.01</v>
      </c>
      <c r="T1907" t="str" cm="1">
        <f t="array" aca="1" ref="T1907" ca="1">RoundToTwoSigFigs(Validation[[#This Row],[Test Reading]]*Validation[[#This Row],[Mult]]+Validation[[#This Row],[Base]]) &amp;" "&amp;Validation[[#This Row],[Uncert_Units]]</f>
        <v>1.7 mA</v>
      </c>
      <c r="U19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V1907" t="b">
        <f ca="1">Validation[[#This Row],[Desired Result]]=Validation[[#This Row],[Result]]</f>
        <v>1</v>
      </c>
      <c r="W1907" t="b">
        <v>0</v>
      </c>
      <c r="X1907" t="b">
        <f>Validation[[#This Row],[Range1_Low]]&gt;=Validation[[#This Row],[Range1_High]]</f>
        <v>0</v>
      </c>
      <c r="Y1907" s="111" t="s">
        <v>2845</v>
      </c>
    </row>
    <row r="1908" spans="1:25" ht="16.5" thickTop="1" thickBot="1" x14ac:dyDescent="0.3">
      <c r="A1908" t="s">
        <v>54</v>
      </c>
      <c r="B1908" t="s">
        <v>47</v>
      </c>
      <c r="C1908" s="113">
        <v>11</v>
      </c>
      <c r="D1908" s="113">
        <v>20.501000000000001</v>
      </c>
      <c r="E1908">
        <v>0.1</v>
      </c>
      <c r="F1908" t="s">
        <v>13</v>
      </c>
      <c r="G1908" t="s">
        <v>12</v>
      </c>
      <c r="H1908">
        <v>4.4999999999999998E-2</v>
      </c>
      <c r="I1908">
        <v>0.10001</v>
      </c>
      <c r="J1908" t="s">
        <v>10</v>
      </c>
      <c r="K1908">
        <v>55.152999999999999</v>
      </c>
      <c r="L1908">
        <v>0.59996000000000005</v>
      </c>
      <c r="M1908">
        <v>55.167999999999999</v>
      </c>
      <c r="N1908">
        <v>0.59309999999999996</v>
      </c>
      <c r="O1908" t="s">
        <v>2833</v>
      </c>
      <c r="P1908" t="s">
        <v>2833</v>
      </c>
      <c r="Q1908" t="s">
        <v>2833</v>
      </c>
      <c r="R1908">
        <f ca="1">RAND()*(Validation[[#This Row],[Range1_High]]-Validation[[#This Row],[Range1_Low]])+Validation[[#This Row],[Range1_Low]]</f>
        <v>15.418439376186633</v>
      </c>
      <c r="S1908">
        <f>Validation[[#This Row],[Range2_High]]</f>
        <v>0.10001</v>
      </c>
      <c r="T1908" t="str" cm="1">
        <f t="array" aca="1" ref="T1908" ca="1">RoundToTwoSigFigs(Validation[[#This Row],[Test Reading]]*Validation[[#This Row],[Mult]]+Validation[[#This Row],[Base]]) &amp;" "&amp;Validation[[#This Row],[Uncert_Units]]</f>
        <v>64 mA</v>
      </c>
      <c r="U19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V1908" t="b">
        <f ca="1">Validation[[#This Row],[Desired Result]]=Validation[[#This Row],[Result]]</f>
        <v>1</v>
      </c>
      <c r="W1908" t="b">
        <v>1</v>
      </c>
      <c r="X1908" t="b">
        <f>Validation[[#This Row],[Range1_Low]]&gt;=Validation[[#This Row],[Range1_High]]</f>
        <v>0</v>
      </c>
      <c r="Y1908" s="111" t="s">
        <v>2843</v>
      </c>
    </row>
    <row r="1909" spans="1:25" ht="16.5" thickTop="1" thickBot="1" x14ac:dyDescent="0.3">
      <c r="A1909" t="s">
        <v>55</v>
      </c>
      <c r="B1909" t="s">
        <v>47</v>
      </c>
      <c r="C1909" s="113">
        <v>1E-4</v>
      </c>
      <c r="D1909" s="113">
        <v>1E-3</v>
      </c>
      <c r="E1909">
        <v>1E-10</v>
      </c>
      <c r="F1909" t="s">
        <v>13</v>
      </c>
      <c r="G1909" t="s">
        <v>11</v>
      </c>
      <c r="H1909">
        <v>0.02</v>
      </c>
      <c r="I1909">
        <v>4.4999999999999998E-2</v>
      </c>
      <c r="J1909" t="s">
        <v>10</v>
      </c>
      <c r="K1909">
        <v>0.27</v>
      </c>
      <c r="L1909">
        <v>1700</v>
      </c>
      <c r="M1909">
        <v>0.23094000000000001</v>
      </c>
      <c r="N1909">
        <v>1732.1</v>
      </c>
      <c r="O1909" t="s">
        <v>2833</v>
      </c>
      <c r="P1909" t="s">
        <v>2833</v>
      </c>
      <c r="Q1909" t="s">
        <v>2833</v>
      </c>
      <c r="R1909">
        <f ca="1">RAND()*(Validation[[#This Row],[Range1_High]]-Validation[[#This Row],[Range1_Low]])+Validation[[#This Row],[Range1_Low]]</f>
        <v>1.5935832752216565E-4</v>
      </c>
      <c r="S1909">
        <f>Validation[[#This Row],[Range2_High]]</f>
        <v>4.4999999999999998E-2</v>
      </c>
      <c r="T1909" t="str" cm="1">
        <f t="array" aca="1" ref="T1909" ca="1">RoundToTwoSigFigs(Validation[[#This Row],[Test Reading]]*Validation[[#This Row],[Mult]]+Validation[[#This Row],[Base]]) &amp;" "&amp;Validation[[#This Row],[Uncert_Units]]</f>
        <v>0.54 µA</v>
      </c>
      <c r="U19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µA</v>
      </c>
      <c r="V1909" t="b">
        <f ca="1">Validation[[#This Row],[Desired Result]]=Validation[[#This Row],[Result]]</f>
        <v>0</v>
      </c>
      <c r="W1909" t="b">
        <v>1</v>
      </c>
      <c r="X1909" t="b">
        <f>Validation[[#This Row],[Range1_Low]]&gt;=Validation[[#This Row],[Range1_High]]</f>
        <v>0</v>
      </c>
      <c r="Y1909" s="111" t="s">
        <v>2843</v>
      </c>
    </row>
    <row r="1910" spans="1:25" ht="16.5" thickTop="1" thickBot="1" x14ac:dyDescent="0.3">
      <c r="A1910" t="s">
        <v>55</v>
      </c>
      <c r="B1910" t="s">
        <v>47</v>
      </c>
      <c r="C1910">
        <v>10</v>
      </c>
      <c r="D1910">
        <v>20</v>
      </c>
      <c r="E1910">
        <v>0.1</v>
      </c>
      <c r="F1910" t="s">
        <v>13</v>
      </c>
      <c r="G1910" t="s">
        <v>12</v>
      </c>
      <c r="H1910">
        <v>1</v>
      </c>
      <c r="I1910">
        <v>5</v>
      </c>
      <c r="J1910" t="s">
        <v>10</v>
      </c>
      <c r="K1910">
        <v>57.017000000000003</v>
      </c>
      <c r="L1910">
        <v>0.123</v>
      </c>
      <c r="M1910">
        <v>57.014000000000003</v>
      </c>
      <c r="N1910">
        <v>0.123</v>
      </c>
      <c r="O1910" t="s">
        <v>2833</v>
      </c>
      <c r="P1910" t="s">
        <v>2833</v>
      </c>
      <c r="Q1910" t="s">
        <v>2833</v>
      </c>
      <c r="R1910">
        <f ca="1">RAND()*(Validation[[#This Row],[Range1_High]]-Validation[[#This Row],[Range1_Low]])+Validation[[#This Row],[Range1_Low]]</f>
        <v>16.576861152790428</v>
      </c>
      <c r="S1910">
        <f>Validation[[#This Row],[Range2_High]]</f>
        <v>5</v>
      </c>
      <c r="T1910" t="str" cm="1">
        <f t="array" aca="1" ref="T1910" ca="1">RoundToTwoSigFigs(Validation[[#This Row],[Test Reading]]*Validation[[#This Row],[Mult]]+Validation[[#This Row],[Base]]) &amp;" "&amp;Validation[[#This Row],[Uncert_Units]]</f>
        <v>59 mA</v>
      </c>
      <c r="U19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V1910" t="b">
        <f ca="1">Validation[[#This Row],[Desired Result]]=Validation[[#This Row],[Result]]</f>
        <v>1</v>
      </c>
      <c r="W1910" t="b">
        <v>1</v>
      </c>
      <c r="X1910" t="b">
        <f>Validation[[#This Row],[Range1_Low]]&gt;=Validation[[#This Row],[Range1_High]]</f>
        <v>0</v>
      </c>
      <c r="Y1910" s="111" t="s">
        <v>2845</v>
      </c>
    </row>
    <row r="1911" spans="1:25" ht="16.5" thickTop="1" thickBot="1" x14ac:dyDescent="0.3">
      <c r="A1911" t="s">
        <v>54</v>
      </c>
      <c r="B1911" t="s">
        <v>47</v>
      </c>
      <c r="C1911" s="113">
        <v>3.3000000000000002E-2</v>
      </c>
      <c r="D1911" s="113">
        <v>0.33001000000000003</v>
      </c>
      <c r="E1911">
        <v>9.9999999999999995E-7</v>
      </c>
      <c r="F1911" t="s">
        <v>13</v>
      </c>
      <c r="G1911" t="s">
        <v>12</v>
      </c>
      <c r="H1911">
        <v>0.01</v>
      </c>
      <c r="I1911">
        <v>2.001E-2</v>
      </c>
      <c r="J1911" t="s">
        <v>10</v>
      </c>
      <c r="K1911">
        <v>2.3E-2</v>
      </c>
      <c r="L1911">
        <v>2.1</v>
      </c>
      <c r="M1911">
        <v>2.2917E-2</v>
      </c>
      <c r="N1911">
        <v>2.0907</v>
      </c>
      <c r="O1911" t="s">
        <v>2833</v>
      </c>
      <c r="P1911" t="s">
        <v>2833</v>
      </c>
      <c r="Q1911" t="s">
        <v>2833</v>
      </c>
      <c r="R1911">
        <f ca="1">RAND()*(Validation[[#This Row],[Range1_High]]-Validation[[#This Row],[Range1_Low]])+Validation[[#This Row],[Range1_Low]]</f>
        <v>0.11753930062714155</v>
      </c>
      <c r="S1911">
        <f>Validation[[#This Row],[Range2_High]]</f>
        <v>2.001E-2</v>
      </c>
      <c r="T1911" t="str" cm="1">
        <f t="array" aca="1" ref="T1911" ca="1">RoundToTwoSigFigs(Validation[[#This Row],[Test Reading]]*Validation[[#This Row],[Mult]]+Validation[[#This Row],[Base]]) &amp;" "&amp;Validation[[#This Row],[Uncert_Units]]</f>
        <v>0.27 mA</v>
      </c>
      <c r="U19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mA</v>
      </c>
      <c r="V1911" t="b">
        <f ca="1">Validation[[#This Row],[Desired Result]]=Validation[[#This Row],[Result]]</f>
        <v>1</v>
      </c>
      <c r="W1911" t="b">
        <v>1</v>
      </c>
      <c r="X1911" t="b">
        <f>Validation[[#This Row],[Range1_Low]]&gt;=Validation[[#This Row],[Range1_High]]</f>
        <v>0</v>
      </c>
      <c r="Y1911" s="111" t="s">
        <v>2843</v>
      </c>
    </row>
    <row r="1912" spans="1:25" ht="15.75" thickTop="1" x14ac:dyDescent="0.25">
      <c r="A1912" t="s">
        <v>54</v>
      </c>
      <c r="B1912" t="s">
        <v>47</v>
      </c>
      <c r="C1912">
        <v>3.3E-4</v>
      </c>
      <c r="D1912">
        <v>3.3000999999999998E-3</v>
      </c>
      <c r="E1912">
        <v>1.0000000000000001E-5</v>
      </c>
      <c r="F1912" t="s">
        <v>13</v>
      </c>
      <c r="G1912" t="s">
        <v>11</v>
      </c>
      <c r="H1912">
        <v>4.4999999999999998E-2</v>
      </c>
      <c r="I1912">
        <v>1.0000100000000001</v>
      </c>
      <c r="J1912" t="s">
        <v>10</v>
      </c>
      <c r="K1912">
        <v>5.6654</v>
      </c>
      <c r="L1912">
        <v>409.29</v>
      </c>
      <c r="M1912">
        <v>5.6650999999999998</v>
      </c>
      <c r="N1912">
        <v>409.25</v>
      </c>
      <c r="O1912" t="s">
        <v>2833</v>
      </c>
      <c r="P1912" t="s">
        <v>2833</v>
      </c>
      <c r="Q1912" t="s">
        <v>2833</v>
      </c>
      <c r="R1912">
        <f ca="1">RAND()*(Validation[[#This Row],[Range1_High]]-Validation[[#This Row],[Range1_Low]])+Validation[[#This Row],[Range1_Low]]</f>
        <v>2.7574369712484313E-3</v>
      </c>
      <c r="S1912">
        <f>Validation[[#This Row],[Range2_High]]</f>
        <v>1.0000100000000001</v>
      </c>
      <c r="T1912" t="str" cm="1">
        <f t="array" aca="1" ref="T1912" ca="1">RoundToTwoSigFigs(Validation[[#This Row],[Test Reading]]*Validation[[#This Row],[Mult]]+Validation[[#This Row],[Base]]) &amp;" "&amp;Validation[[#This Row],[Uncert_Units]]</f>
        <v>6.8 µA</v>
      </c>
      <c r="U19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µA</v>
      </c>
      <c r="V1912" t="b">
        <f ca="1">Validation[[#This Row],[Desired Result]]=Validation[[#This Row],[Result]]</f>
        <v>0</v>
      </c>
      <c r="W1912" t="b">
        <v>1</v>
      </c>
      <c r="X1912" t="b">
        <f>Validation[[#This Row],[Range1_Low]]&gt;=Validation[[#This Row],[Range1_High]]</f>
        <v>0</v>
      </c>
      <c r="Y1912" s="111" t="s">
        <v>2845</v>
      </c>
    </row>
    <row r="1913" spans="1:25" x14ac:dyDescent="0.25">
      <c r="A1913" t="s">
        <v>54</v>
      </c>
      <c r="B1913" t="s">
        <v>47</v>
      </c>
      <c r="C1913">
        <v>0</v>
      </c>
      <c r="D1913">
        <v>3.3000999999999999E-4</v>
      </c>
      <c r="E1913">
        <v>10</v>
      </c>
      <c r="F1913" t="s">
        <v>13</v>
      </c>
      <c r="G1913" t="s">
        <v>11</v>
      </c>
      <c r="H1913">
        <v>1</v>
      </c>
      <c r="I1913">
        <v>5.01</v>
      </c>
      <c r="J1913" t="s">
        <v>10</v>
      </c>
      <c r="K1913">
        <v>5773600</v>
      </c>
      <c r="L1913">
        <v>2.7258999999999999E-3</v>
      </c>
      <c r="M1913">
        <v>5773600</v>
      </c>
      <c r="N1913">
        <v>4.7648999999999999E-4</v>
      </c>
      <c r="O1913" t="s">
        <v>2833</v>
      </c>
      <c r="P1913" t="s">
        <v>2833</v>
      </c>
      <c r="Q1913" t="s">
        <v>2833</v>
      </c>
      <c r="R1913">
        <f ca="1">RAND()*(Validation[[#This Row],[Range1_High]]-Validation[[#This Row],[Range1_Low]])+Validation[[#This Row],[Range1_Low]]</f>
        <v>1.2637375682915203E-5</v>
      </c>
      <c r="S1913">
        <f>Validation[[#This Row],[Range2_High]]</f>
        <v>5.01</v>
      </c>
      <c r="T1913" t="str" cm="1">
        <f t="array" aca="1" ref="T1913" ca="1">RoundToTwoSigFigs(Validation[[#This Row],[Test Reading]]*Validation[[#This Row],[Mult]]+Validation[[#This Row],[Base]]) &amp;" "&amp;Validation[[#This Row],[Uncert_Units]]</f>
        <v>5800000 µA</v>
      </c>
      <c r="U19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V1913" t="b">
        <f ca="1">Validation[[#This Row],[Desired Result]]=Validation[[#This Row],[Result]]</f>
        <v>1</v>
      </c>
      <c r="W1913" t="b">
        <v>0</v>
      </c>
      <c r="X1913" t="b">
        <f>Validation[[#This Row],[Range1_Low]]&gt;=Validation[[#This Row],[Range1_High]]</f>
        <v>0</v>
      </c>
      <c r="Y1913" s="111" t="s">
        <v>2845</v>
      </c>
    </row>
    <row r="1914" spans="1:25" ht="15.75" thickBot="1" x14ac:dyDescent="0.3">
      <c r="A1914" t="s">
        <v>55</v>
      </c>
      <c r="B1914" t="s">
        <v>47</v>
      </c>
      <c r="C1914">
        <v>0.01</v>
      </c>
      <c r="D1914">
        <v>0.1</v>
      </c>
      <c r="E1914">
        <v>1E-3</v>
      </c>
      <c r="F1914" t="s">
        <v>13</v>
      </c>
      <c r="G1914" t="s">
        <v>11</v>
      </c>
      <c r="H1914">
        <v>4.4999999999999998E-2</v>
      </c>
      <c r="I1914">
        <v>0.1</v>
      </c>
      <c r="J1914" t="s">
        <v>10</v>
      </c>
      <c r="K1914">
        <v>577.45000000000005</v>
      </c>
      <c r="L1914">
        <v>76.063000000000002</v>
      </c>
      <c r="M1914">
        <v>577.41</v>
      </c>
      <c r="N1914">
        <v>73.581999999999994</v>
      </c>
      <c r="O1914" t="s">
        <v>2833</v>
      </c>
      <c r="P1914" t="s">
        <v>2833</v>
      </c>
      <c r="Q1914" t="s">
        <v>2833</v>
      </c>
      <c r="R1914">
        <f ca="1">RAND()*(Validation[[#This Row],[Range1_High]]-Validation[[#This Row],[Range1_Low]])+Validation[[#This Row],[Range1_Low]]</f>
        <v>9.3530461583186411E-2</v>
      </c>
      <c r="S1914">
        <f>Validation[[#This Row],[Range2_High]]</f>
        <v>0.1</v>
      </c>
      <c r="T1914" t="str" cm="1">
        <f t="array" aca="1" ref="T1914" ca="1">RoundToTwoSigFigs(Validation[[#This Row],[Test Reading]]*Validation[[#This Row],[Mult]]+Validation[[#This Row],[Base]]) &amp;" "&amp;Validation[[#This Row],[Uncert_Units]]</f>
        <v>580 µA</v>
      </c>
      <c r="U19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914" t="b">
        <f ca="1">Validation[[#This Row],[Desired Result]]=Validation[[#This Row],[Result]]</f>
        <v>1</v>
      </c>
      <c r="W1914" t="b">
        <v>1</v>
      </c>
      <c r="X1914" t="b">
        <f>Validation[[#This Row],[Range1_Low]]&gt;=Validation[[#This Row],[Range1_High]]</f>
        <v>0</v>
      </c>
      <c r="Y1914" s="111" t="s">
        <v>2845</v>
      </c>
    </row>
    <row r="1915" spans="1:25" ht="16.5" thickTop="1" thickBot="1" x14ac:dyDescent="0.3">
      <c r="A1915" t="s">
        <v>55</v>
      </c>
      <c r="B1915" t="s">
        <v>47</v>
      </c>
      <c r="C1915" s="113">
        <v>1E-4</v>
      </c>
      <c r="D1915" s="113">
        <v>1E-3</v>
      </c>
      <c r="E1915">
        <v>1.0000000000000001E-9</v>
      </c>
      <c r="F1915" t="s">
        <v>13</v>
      </c>
      <c r="G1915" t="s">
        <v>11</v>
      </c>
      <c r="H1915">
        <v>1E-3</v>
      </c>
      <c r="I1915">
        <v>0.02</v>
      </c>
      <c r="J1915" t="s">
        <v>10</v>
      </c>
      <c r="K1915">
        <v>0.25</v>
      </c>
      <c r="L1915">
        <v>4600</v>
      </c>
      <c r="M1915">
        <v>0.23097999999999999</v>
      </c>
      <c r="N1915">
        <v>4618.8</v>
      </c>
      <c r="O1915" t="s">
        <v>2833</v>
      </c>
      <c r="P1915" t="s">
        <v>2833</v>
      </c>
      <c r="Q1915" t="s">
        <v>2833</v>
      </c>
      <c r="R1915">
        <f ca="1">RAND()*(Validation[[#This Row],[Range1_High]]-Validation[[#This Row],[Range1_Low]])+Validation[[#This Row],[Range1_Low]]</f>
        <v>5.5501625927036502E-4</v>
      </c>
      <c r="S1915">
        <f>Validation[[#This Row],[Range2_High]]</f>
        <v>0.02</v>
      </c>
      <c r="T1915" t="str" cm="1">
        <f t="array" aca="1" ref="T1915" ca="1">RoundToTwoSigFigs(Validation[[#This Row],[Test Reading]]*Validation[[#This Row],[Mult]]+Validation[[#This Row],[Base]]) &amp;" "&amp;Validation[[#This Row],[Uncert_Units]]</f>
        <v>2.8 µA</v>
      </c>
      <c r="U19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V1915" t="b">
        <f ca="1">Validation[[#This Row],[Desired Result]]=Validation[[#This Row],[Result]]</f>
        <v>0</v>
      </c>
      <c r="W1915" t="b">
        <v>1</v>
      </c>
      <c r="X1915" t="b">
        <f>Validation[[#This Row],[Range1_Low]]&gt;=Validation[[#This Row],[Range1_High]]</f>
        <v>0</v>
      </c>
      <c r="Y1915" s="111" t="s">
        <v>2843</v>
      </c>
    </row>
    <row r="1916" spans="1:25" ht="16.5" thickTop="1" thickBot="1" x14ac:dyDescent="0.3">
      <c r="A1916" t="s">
        <v>54</v>
      </c>
      <c r="B1916" t="s">
        <v>47</v>
      </c>
      <c r="C1916" s="113">
        <v>11</v>
      </c>
      <c r="D1916" s="113">
        <v>20.501000000000001</v>
      </c>
      <c r="E1916">
        <v>1E-4</v>
      </c>
      <c r="F1916" t="s">
        <v>13</v>
      </c>
      <c r="G1916" t="s">
        <v>12</v>
      </c>
      <c r="H1916">
        <v>4.4999999999999998E-2</v>
      </c>
      <c r="I1916">
        <v>0.10001</v>
      </c>
      <c r="J1916" t="s">
        <v>10</v>
      </c>
      <c r="K1916">
        <v>5.8</v>
      </c>
      <c r="L1916">
        <v>1.4</v>
      </c>
      <c r="M1916">
        <v>5.7744999999999997</v>
      </c>
      <c r="N1916">
        <v>1.3859999999999999</v>
      </c>
      <c r="O1916" t="s">
        <v>2833</v>
      </c>
      <c r="P1916" t="s">
        <v>2833</v>
      </c>
      <c r="Q1916" t="s">
        <v>2833</v>
      </c>
      <c r="R1916">
        <f ca="1">RAND()*(Validation[[#This Row],[Range1_High]]-Validation[[#This Row],[Range1_Low]])+Validation[[#This Row],[Range1_Low]]</f>
        <v>17.440792407085354</v>
      </c>
      <c r="S1916">
        <f>Validation[[#This Row],[Range2_High]]</f>
        <v>0.10001</v>
      </c>
      <c r="T1916" t="str" cm="1">
        <f t="array" aca="1" ref="T1916" ca="1">RoundToTwoSigFigs(Validation[[#This Row],[Test Reading]]*Validation[[#This Row],[Mult]]+Validation[[#This Row],[Base]]) &amp;" "&amp;Validation[[#This Row],[Uncert_Units]]</f>
        <v>30 mA</v>
      </c>
      <c r="U19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V1916" t="b">
        <f ca="1">Validation[[#This Row],[Desired Result]]=Validation[[#This Row],[Result]]</f>
        <v>1</v>
      </c>
      <c r="W1916" t="b">
        <v>1</v>
      </c>
      <c r="X1916" t="b">
        <f>Validation[[#This Row],[Range1_Low]]&gt;=Validation[[#This Row],[Range1_High]]</f>
        <v>0</v>
      </c>
      <c r="Y1916" s="111" t="s">
        <v>2843</v>
      </c>
    </row>
    <row r="1917" spans="1:25" ht="16.5" thickTop="1" thickBot="1" x14ac:dyDescent="0.3">
      <c r="A1917" t="s">
        <v>55</v>
      </c>
      <c r="B1917" t="s">
        <v>47</v>
      </c>
      <c r="C1917" s="113">
        <v>10</v>
      </c>
      <c r="D1917" s="113">
        <v>20</v>
      </c>
      <c r="E1917">
        <v>1.0000000000000001E-5</v>
      </c>
      <c r="F1917" t="s">
        <v>13</v>
      </c>
      <c r="G1917" t="s">
        <v>12</v>
      </c>
      <c r="H1917">
        <v>0.05</v>
      </c>
      <c r="I1917">
        <v>1</v>
      </c>
      <c r="J1917" t="s">
        <v>10</v>
      </c>
      <c r="K1917">
        <v>0</v>
      </c>
      <c r="L1917">
        <v>0.5</v>
      </c>
      <c r="M1917">
        <v>2.1831999999999998</v>
      </c>
      <c r="N1917">
        <v>0.11355999999999999</v>
      </c>
      <c r="O1917" t="s">
        <v>2833</v>
      </c>
      <c r="P1917" t="s">
        <v>2833</v>
      </c>
      <c r="Q1917" t="s">
        <v>2833</v>
      </c>
      <c r="R1917">
        <f ca="1">RAND()*(Validation[[#This Row],[Range1_High]]-Validation[[#This Row],[Range1_Low]])+Validation[[#This Row],[Range1_Low]]</f>
        <v>10.665574629536303</v>
      </c>
      <c r="S1917">
        <f>Validation[[#This Row],[Range2_High]]</f>
        <v>1</v>
      </c>
      <c r="T1917" t="str" cm="1">
        <f t="array" aca="1" ref="T1917" ca="1">RoundToTwoSigFigs(Validation[[#This Row],[Test Reading]]*Validation[[#This Row],[Mult]]+Validation[[#This Row],[Base]]) &amp;" "&amp;Validation[[#This Row],[Uncert_Units]]</f>
        <v>5.3 mA</v>
      </c>
      <c r="U19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V1917" t="b">
        <f ca="1">Validation[[#This Row],[Desired Result]]=Validation[[#This Row],[Result]]</f>
        <v>0</v>
      </c>
      <c r="W1917" t="b">
        <v>1</v>
      </c>
      <c r="X1917" t="b">
        <f>Validation[[#This Row],[Range1_Low]]&gt;=Validation[[#This Row],[Range1_High]]</f>
        <v>0</v>
      </c>
      <c r="Y1917" s="111" t="s">
        <v>2843</v>
      </c>
    </row>
    <row r="1918" spans="1:25" ht="16.5" thickTop="1" thickBot="1" x14ac:dyDescent="0.3">
      <c r="A1918" t="s">
        <v>54</v>
      </c>
      <c r="B1918" t="s">
        <v>47</v>
      </c>
      <c r="C1918">
        <v>0</v>
      </c>
      <c r="D1918">
        <v>3.3000999999999999E-4</v>
      </c>
      <c r="E1918">
        <v>1E-4</v>
      </c>
      <c r="F1918" t="s">
        <v>13</v>
      </c>
      <c r="G1918" t="s">
        <v>11</v>
      </c>
      <c r="H1918">
        <v>1</v>
      </c>
      <c r="I1918">
        <v>5.01</v>
      </c>
      <c r="J1918" t="s">
        <v>10</v>
      </c>
      <c r="K1918">
        <v>57.734999999999999</v>
      </c>
      <c r="L1918">
        <v>47.917999999999999</v>
      </c>
      <c r="M1918">
        <v>57.734999999999999</v>
      </c>
      <c r="N1918">
        <v>47.698999999999998</v>
      </c>
      <c r="O1918" t="s">
        <v>2833</v>
      </c>
      <c r="P1918" t="s">
        <v>2833</v>
      </c>
      <c r="Q1918" t="s">
        <v>2833</v>
      </c>
      <c r="R1918">
        <f ca="1">RAND()*(Validation[[#This Row],[Range1_High]]-Validation[[#This Row],[Range1_Low]])+Validation[[#This Row],[Range1_Low]]</f>
        <v>5.849704515506959E-5</v>
      </c>
      <c r="S1918">
        <f>Validation[[#This Row],[Range2_High]]</f>
        <v>5.01</v>
      </c>
      <c r="T1918" t="str" cm="1">
        <f t="array" aca="1" ref="T1918" ca="1">RoundToTwoSigFigs(Validation[[#This Row],[Test Reading]]*Validation[[#This Row],[Mult]]+Validation[[#This Row],[Base]]) &amp;" "&amp;Validation[[#This Row],[Uncert_Units]]</f>
        <v>58 µA</v>
      </c>
      <c r="U19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918" t="b">
        <f ca="1">Validation[[#This Row],[Desired Result]]=Validation[[#This Row],[Result]]</f>
        <v>1</v>
      </c>
      <c r="W1918" t="b">
        <v>0</v>
      </c>
      <c r="X1918" t="b">
        <f>Validation[[#This Row],[Range1_Low]]&gt;=Validation[[#This Row],[Range1_High]]</f>
        <v>0</v>
      </c>
      <c r="Y1918" s="111" t="s">
        <v>2845</v>
      </c>
    </row>
    <row r="1919" spans="1:25" ht="16.5" thickTop="1" thickBot="1" x14ac:dyDescent="0.3">
      <c r="A1919" t="s">
        <v>55</v>
      </c>
      <c r="B1919" t="s">
        <v>47</v>
      </c>
      <c r="C1919" s="113">
        <v>0.01</v>
      </c>
      <c r="D1919" s="113">
        <v>0.1</v>
      </c>
      <c r="E1919">
        <v>9.9999999999999995E-8</v>
      </c>
      <c r="F1919" t="s">
        <v>13</v>
      </c>
      <c r="G1919" t="s">
        <v>11</v>
      </c>
      <c r="H1919">
        <v>4.4999999999999998E-2</v>
      </c>
      <c r="I1919">
        <v>0.1</v>
      </c>
      <c r="J1919" t="s">
        <v>10</v>
      </c>
      <c r="K1919">
        <v>24</v>
      </c>
      <c r="L1919">
        <v>690</v>
      </c>
      <c r="M1919">
        <v>23.094000000000001</v>
      </c>
      <c r="N1919">
        <v>693.05</v>
      </c>
      <c r="O1919" t="s">
        <v>2833</v>
      </c>
      <c r="P1919" t="s">
        <v>2833</v>
      </c>
      <c r="Q1919" t="s">
        <v>2833</v>
      </c>
      <c r="R1919">
        <f ca="1">RAND()*(Validation[[#This Row],[Range1_High]]-Validation[[#This Row],[Range1_Low]])+Validation[[#This Row],[Range1_Low]]</f>
        <v>6.403479601100856E-2</v>
      </c>
      <c r="S1919">
        <f>Validation[[#This Row],[Range2_High]]</f>
        <v>0.1</v>
      </c>
      <c r="T1919" t="str" cm="1">
        <f t="array" aca="1" ref="T1919" ca="1">RoundToTwoSigFigs(Validation[[#This Row],[Test Reading]]*Validation[[#This Row],[Mult]]+Validation[[#This Row],[Base]]) &amp;" "&amp;Validation[[#This Row],[Uncert_Units]]</f>
        <v>68 µA</v>
      </c>
      <c r="U19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µA</v>
      </c>
      <c r="V1919" t="b">
        <f ca="1">Validation[[#This Row],[Desired Result]]=Validation[[#This Row],[Result]]</f>
        <v>0</v>
      </c>
      <c r="W1919" t="b">
        <v>1</v>
      </c>
      <c r="X1919" t="b">
        <f>Validation[[#This Row],[Range1_Low]]&gt;=Validation[[#This Row],[Range1_High]]</f>
        <v>0</v>
      </c>
      <c r="Y1919" s="111" t="s">
        <v>2843</v>
      </c>
    </row>
    <row r="1920" spans="1:25" ht="15.75" thickTop="1" x14ac:dyDescent="0.25">
      <c r="A1920" t="s">
        <v>68</v>
      </c>
      <c r="B1920" t="s">
        <v>47</v>
      </c>
      <c r="C1920">
        <v>1E-4</v>
      </c>
      <c r="D1920">
        <v>1.0399999999999999E-3</v>
      </c>
      <c r="E1920">
        <v>1E-4</v>
      </c>
      <c r="F1920" t="s">
        <v>13</v>
      </c>
      <c r="G1920" t="s">
        <v>11</v>
      </c>
      <c r="H1920">
        <v>0.01</v>
      </c>
      <c r="I1920">
        <v>2</v>
      </c>
      <c r="J1920" t="s">
        <v>10</v>
      </c>
      <c r="K1920">
        <v>57.911999999999999</v>
      </c>
      <c r="L1920">
        <v>316.08</v>
      </c>
      <c r="M1920">
        <v>57.911999999999999</v>
      </c>
      <c r="N1920">
        <v>315.2</v>
      </c>
      <c r="O1920" t="s">
        <v>2833</v>
      </c>
      <c r="P1920" t="s">
        <v>2833</v>
      </c>
      <c r="Q1920" t="s">
        <v>2833</v>
      </c>
      <c r="R1920">
        <f ca="1">RAND()*(Validation[[#This Row],[Range1_High]]-Validation[[#This Row],[Range1_Low]])+Validation[[#This Row],[Range1_Low]]</f>
        <v>5.1167173448833322E-4</v>
      </c>
      <c r="S1920">
        <f>Validation[[#This Row],[Range2_High]]</f>
        <v>2</v>
      </c>
      <c r="T1920" t="str" cm="1">
        <f t="array" aca="1" ref="T1920" ca="1">RoundToTwoSigFigs(Validation[[#This Row],[Test Reading]]*Validation[[#This Row],[Mult]]+Validation[[#This Row],[Base]]) &amp;" "&amp;Validation[[#This Row],[Uncert_Units]]</f>
        <v>58 µA</v>
      </c>
      <c r="U19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920" t="b">
        <f ca="1">Validation[[#This Row],[Desired Result]]=Validation[[#This Row],[Result]]</f>
        <v>1</v>
      </c>
      <c r="W1920" t="b">
        <v>0</v>
      </c>
      <c r="X1920" t="b">
        <f>Validation[[#This Row],[Range1_Low]]&gt;=Validation[[#This Row],[Range1_High]]</f>
        <v>0</v>
      </c>
      <c r="Y1920" s="111" t="s">
        <v>2845</v>
      </c>
    </row>
    <row r="1921" spans="1:25" ht="15.75" thickBot="1" x14ac:dyDescent="0.3">
      <c r="A1921" t="s">
        <v>54</v>
      </c>
      <c r="B1921" t="s">
        <v>47</v>
      </c>
      <c r="C1921">
        <v>1.1000000000000001</v>
      </c>
      <c r="D1921">
        <v>3.0009999999999999</v>
      </c>
      <c r="E1921">
        <v>0.01</v>
      </c>
      <c r="F1921" t="s">
        <v>13</v>
      </c>
      <c r="G1921" t="s">
        <v>12</v>
      </c>
      <c r="H1921">
        <v>5</v>
      </c>
      <c r="I1921">
        <v>10</v>
      </c>
      <c r="J1921" t="s">
        <v>10</v>
      </c>
      <c r="K1921">
        <v>6.2283999999999997</v>
      </c>
      <c r="L1921">
        <v>28.856999999999999</v>
      </c>
      <c r="M1921">
        <v>6.3663999999999996</v>
      </c>
      <c r="N1921">
        <v>28.73</v>
      </c>
      <c r="O1921" t="s">
        <v>2833</v>
      </c>
      <c r="P1921" t="s">
        <v>2833</v>
      </c>
      <c r="Q1921" t="s">
        <v>2833</v>
      </c>
      <c r="R1921">
        <f ca="1">RAND()*(Validation[[#This Row],[Range1_High]]-Validation[[#This Row],[Range1_Low]])+Validation[[#This Row],[Range1_Low]]</f>
        <v>1.7319836311934214</v>
      </c>
      <c r="S1921">
        <f>Validation[[#This Row],[Range2_High]]</f>
        <v>10</v>
      </c>
      <c r="T1921" t="str" cm="1">
        <f t="array" aca="1" ref="T1921" ca="1">RoundToTwoSigFigs(Validation[[#This Row],[Test Reading]]*Validation[[#This Row],[Mult]]+Validation[[#This Row],[Base]]) &amp;" "&amp;Validation[[#This Row],[Uncert_Units]]</f>
        <v>56 mA</v>
      </c>
      <c r="U19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V1921" t="b">
        <f ca="1">Validation[[#This Row],[Desired Result]]=Validation[[#This Row],[Result]]</f>
        <v>1</v>
      </c>
      <c r="W1921" t="b">
        <v>0</v>
      </c>
      <c r="X1921" t="b">
        <f>Validation[[#This Row],[Range1_Low]]&gt;=Validation[[#This Row],[Range1_High]]</f>
        <v>0</v>
      </c>
      <c r="Y1921" s="111" t="s">
        <v>2845</v>
      </c>
    </row>
    <row r="1922" spans="1:25" ht="16.5" thickTop="1" thickBot="1" x14ac:dyDescent="0.3">
      <c r="A1922" t="s">
        <v>54</v>
      </c>
      <c r="B1922" t="s">
        <v>47</v>
      </c>
      <c r="C1922" s="113">
        <v>3.3E-4</v>
      </c>
      <c r="D1922" s="113">
        <v>3.3000999999999998E-3</v>
      </c>
      <c r="E1922">
        <v>9.9999999999999995E-7</v>
      </c>
      <c r="F1922" t="s">
        <v>13</v>
      </c>
      <c r="G1922" t="s">
        <v>11</v>
      </c>
      <c r="H1922">
        <v>1</v>
      </c>
      <c r="I1922">
        <v>5.01</v>
      </c>
      <c r="J1922" t="s">
        <v>10</v>
      </c>
      <c r="K1922">
        <v>0.40200999999999998</v>
      </c>
      <c r="L1922">
        <v>2264.3000000000002</v>
      </c>
      <c r="M1922">
        <v>0.40155999999999997</v>
      </c>
      <c r="N1922">
        <v>2264.4</v>
      </c>
      <c r="O1922" t="s">
        <v>2833</v>
      </c>
      <c r="P1922" t="s">
        <v>2833</v>
      </c>
      <c r="Q1922" t="s">
        <v>2833</v>
      </c>
      <c r="R1922">
        <f ca="1">RAND()*(Validation[[#This Row],[Range1_High]]-Validation[[#This Row],[Range1_Low]])+Validation[[#This Row],[Range1_Low]]</f>
        <v>3.1316951597172831E-3</v>
      </c>
      <c r="S1922">
        <f>Validation[[#This Row],[Range2_High]]</f>
        <v>5.01</v>
      </c>
      <c r="T1922" t="str" cm="1">
        <f t="array" aca="1" ref="T1922" ca="1">RoundToTwoSigFigs(Validation[[#This Row],[Test Reading]]*Validation[[#This Row],[Mult]]+Validation[[#This Row],[Base]]) &amp;" "&amp;Validation[[#This Row],[Uncert_Units]]</f>
        <v>7.5 µA</v>
      </c>
      <c r="U19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V1922" t="b">
        <f ca="1">Validation[[#This Row],[Desired Result]]=Validation[[#This Row],[Result]]</f>
        <v>0</v>
      </c>
      <c r="W1922" t="b">
        <v>1</v>
      </c>
      <c r="X1922" t="b">
        <f>Validation[[#This Row],[Range1_Low]]&gt;=Validation[[#This Row],[Range1_High]]</f>
        <v>0</v>
      </c>
      <c r="Y1922" s="111" t="s">
        <v>2843</v>
      </c>
    </row>
    <row r="1923" spans="1:25" ht="16.5" thickTop="1" thickBot="1" x14ac:dyDescent="0.3">
      <c r="A1923" t="s">
        <v>54</v>
      </c>
      <c r="B1923" t="s">
        <v>47</v>
      </c>
      <c r="C1923" s="113">
        <v>3</v>
      </c>
      <c r="D1923" s="113">
        <v>11.000999999999999</v>
      </c>
      <c r="E1923">
        <v>1E-3</v>
      </c>
      <c r="F1923" t="s">
        <v>13</v>
      </c>
      <c r="G1923" t="s">
        <v>12</v>
      </c>
      <c r="H1923">
        <v>4.4999999999999998E-2</v>
      </c>
      <c r="I1923">
        <v>0.10001</v>
      </c>
      <c r="J1923" t="s">
        <v>10</v>
      </c>
      <c r="K1923">
        <v>2.4</v>
      </c>
      <c r="L1923">
        <v>0.69</v>
      </c>
      <c r="M1923">
        <v>2.3708999999999998</v>
      </c>
      <c r="N1923">
        <v>0.69111999999999996</v>
      </c>
      <c r="O1923" t="s">
        <v>2833</v>
      </c>
      <c r="P1923" t="s">
        <v>2833</v>
      </c>
      <c r="Q1923" t="s">
        <v>2833</v>
      </c>
      <c r="R1923">
        <f ca="1">RAND()*(Validation[[#This Row],[Range1_High]]-Validation[[#This Row],[Range1_Low]])+Validation[[#This Row],[Range1_Low]]</f>
        <v>3.8945065488233004</v>
      </c>
      <c r="S1923">
        <f>Validation[[#This Row],[Range2_High]]</f>
        <v>0.10001</v>
      </c>
      <c r="T1923" t="str" cm="1">
        <f t="array" aca="1" ref="T1923" ca="1">RoundToTwoSigFigs(Validation[[#This Row],[Test Reading]]*Validation[[#This Row],[Mult]]+Validation[[#This Row],[Base]]) &amp;" "&amp;Validation[[#This Row],[Uncert_Units]]</f>
        <v>5.1 mA</v>
      </c>
      <c r="U19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mA</v>
      </c>
      <c r="V1923" t="b">
        <f ca="1">Validation[[#This Row],[Desired Result]]=Validation[[#This Row],[Result]]</f>
        <v>1</v>
      </c>
      <c r="W1923" t="b">
        <v>1</v>
      </c>
      <c r="X1923" t="b">
        <f>Validation[[#This Row],[Range1_Low]]&gt;=Validation[[#This Row],[Range1_High]]</f>
        <v>0</v>
      </c>
      <c r="Y1923" s="111" t="s">
        <v>2843</v>
      </c>
    </row>
    <row r="1924" spans="1:25" ht="16.5" thickTop="1" thickBot="1" x14ac:dyDescent="0.3">
      <c r="A1924" t="s">
        <v>55</v>
      </c>
      <c r="B1924" t="s">
        <v>47</v>
      </c>
      <c r="C1924">
        <v>0.1</v>
      </c>
      <c r="D1924">
        <v>1</v>
      </c>
      <c r="E1924">
        <v>0.01</v>
      </c>
      <c r="F1924" t="s">
        <v>13</v>
      </c>
      <c r="G1924" t="s">
        <v>12</v>
      </c>
      <c r="H1924">
        <v>0.02</v>
      </c>
      <c r="I1924">
        <v>4.4999999999999998E-2</v>
      </c>
      <c r="J1924" t="s">
        <v>10</v>
      </c>
      <c r="K1924">
        <v>5.7507000000000001</v>
      </c>
      <c r="L1924">
        <v>0.38796999999999998</v>
      </c>
      <c r="M1924">
        <v>5.75</v>
      </c>
      <c r="N1924">
        <v>0.38675999999999999</v>
      </c>
      <c r="O1924" t="s">
        <v>2833</v>
      </c>
      <c r="P1924" t="s">
        <v>2833</v>
      </c>
      <c r="Q1924" t="s">
        <v>2833</v>
      </c>
      <c r="R1924">
        <f ca="1">RAND()*(Validation[[#This Row],[Range1_High]]-Validation[[#This Row],[Range1_Low]])+Validation[[#This Row],[Range1_Low]]</f>
        <v>0.92707489132076182</v>
      </c>
      <c r="S1924">
        <f>Validation[[#This Row],[Range2_High]]</f>
        <v>4.4999999999999998E-2</v>
      </c>
      <c r="T1924" t="str" cm="1">
        <f t="array" aca="1" ref="T1924" ca="1">RoundToTwoSigFigs(Validation[[#This Row],[Test Reading]]*Validation[[#This Row],[Mult]]+Validation[[#This Row],[Base]]) &amp;" "&amp;Validation[[#This Row],[Uncert_Units]]</f>
        <v>6.1 mA</v>
      </c>
      <c r="U19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V1924" t="b">
        <f ca="1">Validation[[#This Row],[Desired Result]]=Validation[[#This Row],[Result]]</f>
        <v>1</v>
      </c>
      <c r="W1924" t="b">
        <v>0</v>
      </c>
      <c r="X1924" t="b">
        <f>Validation[[#This Row],[Range1_Low]]&gt;=Validation[[#This Row],[Range1_High]]</f>
        <v>0</v>
      </c>
      <c r="Y1924" s="111" t="s">
        <v>2845</v>
      </c>
    </row>
    <row r="1925" spans="1:25" ht="16.5" thickTop="1" thickBot="1" x14ac:dyDescent="0.3">
      <c r="A1925" t="s">
        <v>54</v>
      </c>
      <c r="B1925" t="s">
        <v>47</v>
      </c>
      <c r="C1925" s="113">
        <v>3.3E-4</v>
      </c>
      <c r="D1925" s="113">
        <v>3.3000999999999998E-3</v>
      </c>
      <c r="E1925">
        <v>1E-8</v>
      </c>
      <c r="F1925" t="s">
        <v>13</v>
      </c>
      <c r="G1925" t="s">
        <v>11</v>
      </c>
      <c r="H1925">
        <v>10</v>
      </c>
      <c r="I1925">
        <v>30</v>
      </c>
      <c r="J1925" t="s">
        <v>10</v>
      </c>
      <c r="K1925">
        <v>0.7</v>
      </c>
      <c r="L1925">
        <v>12000</v>
      </c>
      <c r="M1925">
        <v>0.69332000000000005</v>
      </c>
      <c r="N1925">
        <v>11547</v>
      </c>
      <c r="O1925" t="s">
        <v>2833</v>
      </c>
      <c r="P1925" t="s">
        <v>2833</v>
      </c>
      <c r="Q1925" t="s">
        <v>2833</v>
      </c>
      <c r="R1925">
        <f ca="1">RAND()*(Validation[[#This Row],[Range1_High]]-Validation[[#This Row],[Range1_Low]])+Validation[[#This Row],[Range1_Low]]</f>
        <v>6.0094927350853714E-4</v>
      </c>
      <c r="S1925">
        <f>Validation[[#This Row],[Range2_High]]</f>
        <v>30</v>
      </c>
      <c r="T1925" t="str" cm="1">
        <f t="array" aca="1" ref="T1925" ca="1">RoundToTwoSigFigs(Validation[[#This Row],[Test Reading]]*Validation[[#This Row],[Mult]]+Validation[[#This Row],[Base]]) &amp;" "&amp;Validation[[#This Row],[Uncert_Units]]</f>
        <v>7.9 µA</v>
      </c>
      <c r="U19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V1925" t="b">
        <f ca="1">Validation[[#This Row],[Desired Result]]=Validation[[#This Row],[Result]]</f>
        <v>1</v>
      </c>
      <c r="W1925" t="b">
        <v>1</v>
      </c>
      <c r="X1925" t="b">
        <f>Validation[[#This Row],[Range1_Low]]&gt;=Validation[[#This Row],[Range1_High]]</f>
        <v>0</v>
      </c>
      <c r="Y1925" s="111" t="s">
        <v>2843</v>
      </c>
    </row>
    <row r="1926" spans="1:25" ht="16.5" thickTop="1" thickBot="1" x14ac:dyDescent="0.3">
      <c r="A1926" t="s">
        <v>68</v>
      </c>
      <c r="B1926" t="s">
        <v>47</v>
      </c>
      <c r="C1926" s="113">
        <v>0.1</v>
      </c>
      <c r="D1926" s="113">
        <v>1.04</v>
      </c>
      <c r="E1926">
        <v>1.0000000000000001E-5</v>
      </c>
      <c r="F1926" t="s">
        <v>13</v>
      </c>
      <c r="G1926" t="s">
        <v>12</v>
      </c>
      <c r="H1926">
        <v>0.01</v>
      </c>
      <c r="I1926">
        <v>2</v>
      </c>
      <c r="J1926" t="s">
        <v>10</v>
      </c>
      <c r="K1926">
        <v>1</v>
      </c>
      <c r="L1926">
        <v>1.5</v>
      </c>
      <c r="M1926">
        <v>0.99589000000000005</v>
      </c>
      <c r="N1926">
        <v>1.4890000000000001</v>
      </c>
      <c r="O1926" t="s">
        <v>2833</v>
      </c>
      <c r="P1926" t="s">
        <v>2833</v>
      </c>
      <c r="Q1926" t="s">
        <v>2833</v>
      </c>
      <c r="R1926">
        <f ca="1">RAND()*(Validation[[#This Row],[Range1_High]]-Validation[[#This Row],[Range1_Low]])+Validation[[#This Row],[Range1_Low]]</f>
        <v>0.95620636434189743</v>
      </c>
      <c r="S1926">
        <f>Validation[[#This Row],[Range2_High]]</f>
        <v>2</v>
      </c>
      <c r="T1926" t="str" cm="1">
        <f t="array" aca="1" ref="T1926" ca="1">RoundToTwoSigFigs(Validation[[#This Row],[Test Reading]]*Validation[[#This Row],[Mult]]+Validation[[#This Row],[Base]]) &amp;" "&amp;Validation[[#This Row],[Uncert_Units]]</f>
        <v>2.4 mA</v>
      </c>
      <c r="U19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V1926" t="b">
        <f ca="1">Validation[[#This Row],[Desired Result]]=Validation[[#This Row],[Result]]</f>
        <v>1</v>
      </c>
      <c r="W1926" t="b">
        <v>1</v>
      </c>
      <c r="X1926" t="b">
        <f>Validation[[#This Row],[Range1_Low]]&gt;=Validation[[#This Row],[Range1_High]]</f>
        <v>0</v>
      </c>
      <c r="Y1926" s="111" t="s">
        <v>2843</v>
      </c>
    </row>
    <row r="1927" spans="1:25" ht="16.5" thickTop="1" thickBot="1" x14ac:dyDescent="0.3">
      <c r="A1927" t="s">
        <v>55</v>
      </c>
      <c r="B1927" t="s">
        <v>47</v>
      </c>
      <c r="C1927">
        <v>0</v>
      </c>
      <c r="D1927">
        <v>1E-4</v>
      </c>
      <c r="E1927">
        <v>0.1</v>
      </c>
      <c r="F1927" t="s">
        <v>13</v>
      </c>
      <c r="G1927" t="s">
        <v>11</v>
      </c>
      <c r="H1927">
        <v>1E-3</v>
      </c>
      <c r="I1927">
        <v>0.02</v>
      </c>
      <c r="J1927" t="s">
        <v>10</v>
      </c>
      <c r="K1927">
        <v>57736</v>
      </c>
      <c r="L1927">
        <v>3.3964000000000001E-2</v>
      </c>
      <c r="M1927">
        <v>57736</v>
      </c>
      <c r="N1927">
        <v>2.0995E-2</v>
      </c>
      <c r="O1927" t="s">
        <v>2833</v>
      </c>
      <c r="P1927" t="s">
        <v>2833</v>
      </c>
      <c r="Q1927" t="s">
        <v>2833</v>
      </c>
      <c r="R1927">
        <f ca="1">RAND()*(Validation[[#This Row],[Range1_High]]-Validation[[#This Row],[Range1_Low]])+Validation[[#This Row],[Range1_Low]]</f>
        <v>2.2339256814881248E-5</v>
      </c>
      <c r="S1927">
        <f>Validation[[#This Row],[Range2_High]]</f>
        <v>0.02</v>
      </c>
      <c r="T1927" t="str" cm="1">
        <f t="array" aca="1" ref="T1927" ca="1">RoundToTwoSigFigs(Validation[[#This Row],[Test Reading]]*Validation[[#This Row],[Mult]]+Validation[[#This Row],[Base]]) &amp;" "&amp;Validation[[#This Row],[Uncert_Units]]</f>
        <v>58000 µA</v>
      </c>
      <c r="U19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1927" t="b">
        <f ca="1">Validation[[#This Row],[Desired Result]]=Validation[[#This Row],[Result]]</f>
        <v>1</v>
      </c>
      <c r="W1927" t="b">
        <v>0</v>
      </c>
      <c r="X1927" t="b">
        <f>Validation[[#This Row],[Range1_Low]]&gt;=Validation[[#This Row],[Range1_High]]</f>
        <v>0</v>
      </c>
      <c r="Y1927" s="111" t="s">
        <v>2845</v>
      </c>
    </row>
    <row r="1928" spans="1:25" ht="16.5" thickTop="1" thickBot="1" x14ac:dyDescent="0.3">
      <c r="A1928" t="s">
        <v>55</v>
      </c>
      <c r="B1928" t="s">
        <v>47</v>
      </c>
      <c r="C1928" s="113">
        <v>1E-4</v>
      </c>
      <c r="D1928" s="113">
        <v>1E-3</v>
      </c>
      <c r="E1928">
        <v>1E-10</v>
      </c>
      <c r="F1928" t="s">
        <v>13</v>
      </c>
      <c r="G1928" t="s">
        <v>11</v>
      </c>
      <c r="H1928">
        <v>1E-3</v>
      </c>
      <c r="I1928">
        <v>0.02</v>
      </c>
      <c r="J1928" t="s">
        <v>10</v>
      </c>
      <c r="K1928">
        <v>0.25</v>
      </c>
      <c r="L1928">
        <v>4600</v>
      </c>
      <c r="M1928">
        <v>0.23094999999999999</v>
      </c>
      <c r="N1928">
        <v>4618.8</v>
      </c>
      <c r="O1928" t="s">
        <v>2833</v>
      </c>
      <c r="P1928" t="s">
        <v>2833</v>
      </c>
      <c r="Q1928" t="s">
        <v>2833</v>
      </c>
      <c r="R1928">
        <f ca="1">RAND()*(Validation[[#This Row],[Range1_High]]-Validation[[#This Row],[Range1_Low]])+Validation[[#This Row],[Range1_Low]]</f>
        <v>2.1236658643492644E-4</v>
      </c>
      <c r="S1928">
        <f>Validation[[#This Row],[Range2_High]]</f>
        <v>0.02</v>
      </c>
      <c r="T1928" t="str" cm="1">
        <f t="array" aca="1" ref="T1928" ca="1">RoundToTwoSigFigs(Validation[[#This Row],[Test Reading]]*Validation[[#This Row],[Mult]]+Validation[[#This Row],[Base]]) &amp;" "&amp;Validation[[#This Row],[Uncert_Units]]</f>
        <v>1.2 µA</v>
      </c>
      <c r="U19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V1928" t="b">
        <f ca="1">Validation[[#This Row],[Desired Result]]=Validation[[#This Row],[Result]]</f>
        <v>1</v>
      </c>
      <c r="W1928" t="b">
        <v>1</v>
      </c>
      <c r="X1928" t="b">
        <f>Validation[[#This Row],[Range1_Low]]&gt;=Validation[[#This Row],[Range1_High]]</f>
        <v>0</v>
      </c>
      <c r="Y1928" s="111" t="s">
        <v>2843</v>
      </c>
    </row>
    <row r="1929" spans="1:25" ht="15.75" thickTop="1" x14ac:dyDescent="0.25">
      <c r="A1929" t="s">
        <v>55</v>
      </c>
      <c r="B1929" t="s">
        <v>47</v>
      </c>
      <c r="C1929">
        <v>1E-3</v>
      </c>
      <c r="D1929">
        <v>0.01</v>
      </c>
      <c r="E1929">
        <v>1E-4</v>
      </c>
      <c r="F1929" t="s">
        <v>13</v>
      </c>
      <c r="G1929" t="s">
        <v>11</v>
      </c>
      <c r="H1929">
        <v>5</v>
      </c>
      <c r="I1929">
        <v>20</v>
      </c>
      <c r="J1929" t="s">
        <v>10</v>
      </c>
      <c r="K1929">
        <v>57.744999999999997</v>
      </c>
      <c r="L1929">
        <v>83.688999999999993</v>
      </c>
      <c r="M1929">
        <v>57.738</v>
      </c>
      <c r="N1929">
        <v>78.852999999999994</v>
      </c>
      <c r="O1929" t="s">
        <v>2833</v>
      </c>
      <c r="P1929" t="s">
        <v>2833</v>
      </c>
      <c r="Q1929" t="s">
        <v>2833</v>
      </c>
      <c r="R1929">
        <f ca="1">RAND()*(Validation[[#This Row],[Range1_High]]-Validation[[#This Row],[Range1_Low]])+Validation[[#This Row],[Range1_Low]]</f>
        <v>8.2103042167045101E-3</v>
      </c>
      <c r="S1929">
        <f>Validation[[#This Row],[Range2_High]]</f>
        <v>20</v>
      </c>
      <c r="T1929" t="str" cm="1">
        <f t="array" aca="1" ref="T1929" ca="1">RoundToTwoSigFigs(Validation[[#This Row],[Test Reading]]*Validation[[#This Row],[Mult]]+Validation[[#This Row],[Base]]) &amp;" "&amp;Validation[[#This Row],[Uncert_Units]]</f>
        <v>58 µA</v>
      </c>
      <c r="U19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929" t="b">
        <f ca="1">Validation[[#This Row],[Desired Result]]=Validation[[#This Row],[Result]]</f>
        <v>1</v>
      </c>
      <c r="W1929" t="b">
        <v>0</v>
      </c>
      <c r="X1929" t="b">
        <f>Validation[[#This Row],[Range1_Low]]&gt;=Validation[[#This Row],[Range1_High]]</f>
        <v>0</v>
      </c>
      <c r="Y1929" s="111" t="s">
        <v>2845</v>
      </c>
    </row>
    <row r="1930" spans="1:25" x14ac:dyDescent="0.25">
      <c r="A1930" t="s">
        <v>54</v>
      </c>
      <c r="B1930" t="s">
        <v>47</v>
      </c>
      <c r="C1930">
        <v>0</v>
      </c>
      <c r="D1930">
        <v>3.3000999999999999E-4</v>
      </c>
      <c r="E1930">
        <v>10</v>
      </c>
      <c r="F1930" t="s">
        <v>13</v>
      </c>
      <c r="G1930" t="s">
        <v>11</v>
      </c>
      <c r="H1930">
        <v>0.02</v>
      </c>
      <c r="I1930">
        <v>4.5010000000000001E-2</v>
      </c>
      <c r="J1930" t="s">
        <v>10</v>
      </c>
      <c r="K1930">
        <v>5773600</v>
      </c>
      <c r="L1930">
        <v>2.3793999999999998E-3</v>
      </c>
      <c r="M1930">
        <v>5773600</v>
      </c>
      <c r="N1930">
        <v>1.2994999999999999E-4</v>
      </c>
      <c r="O1930" t="s">
        <v>2833</v>
      </c>
      <c r="P1930" t="s">
        <v>2833</v>
      </c>
      <c r="Q1930" t="s">
        <v>2833</v>
      </c>
      <c r="R1930">
        <f ca="1">RAND()*(Validation[[#This Row],[Range1_High]]-Validation[[#This Row],[Range1_Low]])+Validation[[#This Row],[Range1_Low]]</f>
        <v>2.033612691913503E-4</v>
      </c>
      <c r="S1930">
        <f>Validation[[#This Row],[Range2_High]]</f>
        <v>4.5010000000000001E-2</v>
      </c>
      <c r="T1930" t="str" cm="1">
        <f t="array" aca="1" ref="T1930" ca="1">RoundToTwoSigFigs(Validation[[#This Row],[Test Reading]]*Validation[[#This Row],[Mult]]+Validation[[#This Row],[Base]]) &amp;" "&amp;Validation[[#This Row],[Uncert_Units]]</f>
        <v>5800000 µA</v>
      </c>
      <c r="U19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V1930" t="b">
        <f ca="1">Validation[[#This Row],[Desired Result]]=Validation[[#This Row],[Result]]</f>
        <v>1</v>
      </c>
      <c r="W1930" t="b">
        <v>0</v>
      </c>
      <c r="X1930" t="b">
        <f>Validation[[#This Row],[Range1_Low]]&gt;=Validation[[#This Row],[Range1_High]]</f>
        <v>0</v>
      </c>
      <c r="Y1930" s="111" t="s">
        <v>2845</v>
      </c>
    </row>
    <row r="1931" spans="1:25" ht="15.75" thickBot="1" x14ac:dyDescent="0.3">
      <c r="A1931" t="s">
        <v>55</v>
      </c>
      <c r="B1931" t="s">
        <v>47</v>
      </c>
      <c r="C1931">
        <v>0.1</v>
      </c>
      <c r="D1931">
        <v>1</v>
      </c>
      <c r="E1931">
        <v>0.01</v>
      </c>
      <c r="F1931" t="s">
        <v>13</v>
      </c>
      <c r="G1931" t="s">
        <v>12</v>
      </c>
      <c r="H1931">
        <v>4.4999999999999998E-2</v>
      </c>
      <c r="I1931">
        <v>0.1</v>
      </c>
      <c r="J1931" t="s">
        <v>10</v>
      </c>
      <c r="K1931">
        <v>5.7717000000000001</v>
      </c>
      <c r="L1931">
        <v>0.11872000000000001</v>
      </c>
      <c r="M1931">
        <v>5.7709999999999999</v>
      </c>
      <c r="N1931">
        <v>0.11743000000000001</v>
      </c>
      <c r="O1931" t="s">
        <v>2833</v>
      </c>
      <c r="P1931" t="s">
        <v>2833</v>
      </c>
      <c r="Q1931" t="s">
        <v>2833</v>
      </c>
      <c r="R1931">
        <f ca="1">RAND()*(Validation[[#This Row],[Range1_High]]-Validation[[#This Row],[Range1_Low]])+Validation[[#This Row],[Range1_Low]]</f>
        <v>0.67452073880065078</v>
      </c>
      <c r="S1931">
        <f>Validation[[#This Row],[Range2_High]]</f>
        <v>0.1</v>
      </c>
      <c r="T1931" t="str" cm="1">
        <f t="array" aca="1" ref="T1931" ca="1">RoundToTwoSigFigs(Validation[[#This Row],[Test Reading]]*Validation[[#This Row],[Mult]]+Validation[[#This Row],[Base]]) &amp;" "&amp;Validation[[#This Row],[Uncert_Units]]</f>
        <v>5.9 mA</v>
      </c>
      <c r="U19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V1931" t="b">
        <f ca="1">Validation[[#This Row],[Desired Result]]=Validation[[#This Row],[Result]]</f>
        <v>1</v>
      </c>
      <c r="W1931" t="b">
        <v>1</v>
      </c>
      <c r="X1931" t="b">
        <f>Validation[[#This Row],[Range1_Low]]&gt;=Validation[[#This Row],[Range1_High]]</f>
        <v>0</v>
      </c>
      <c r="Y1931" s="111" t="s">
        <v>2845</v>
      </c>
    </row>
    <row r="1932" spans="1:25" ht="16.5" thickTop="1" thickBot="1" x14ac:dyDescent="0.3">
      <c r="A1932" t="s">
        <v>54</v>
      </c>
      <c r="B1932" t="s">
        <v>47</v>
      </c>
      <c r="C1932" s="113">
        <v>3.3E-4</v>
      </c>
      <c r="D1932" s="113">
        <v>3.3000999999999998E-3</v>
      </c>
      <c r="E1932">
        <v>9.9999999999999995E-7</v>
      </c>
      <c r="F1932" t="s">
        <v>13</v>
      </c>
      <c r="G1932" t="s">
        <v>11</v>
      </c>
      <c r="H1932">
        <v>0.02</v>
      </c>
      <c r="I1932">
        <v>4.5010000000000001E-2</v>
      </c>
      <c r="J1932" t="s">
        <v>10</v>
      </c>
      <c r="K1932">
        <v>0.41399000000000002</v>
      </c>
      <c r="L1932">
        <v>1381.1</v>
      </c>
      <c r="M1932">
        <v>0.41349000000000002</v>
      </c>
      <c r="N1932">
        <v>1381.2</v>
      </c>
      <c r="O1932" t="s">
        <v>2833</v>
      </c>
      <c r="P1932" t="s">
        <v>2833</v>
      </c>
      <c r="Q1932" t="s">
        <v>2833</v>
      </c>
      <c r="R1932">
        <f ca="1">RAND()*(Validation[[#This Row],[Range1_High]]-Validation[[#This Row],[Range1_Low]])+Validation[[#This Row],[Range1_Low]]</f>
        <v>1.4446133692160548E-3</v>
      </c>
      <c r="S1932">
        <f>Validation[[#This Row],[Range2_High]]</f>
        <v>4.5010000000000001E-2</v>
      </c>
      <c r="T1932" t="str" cm="1">
        <f t="array" aca="1" ref="T1932" ca="1">RoundToTwoSigFigs(Validation[[#This Row],[Test Reading]]*Validation[[#This Row],[Mult]]+Validation[[#This Row],[Base]]) &amp;" "&amp;Validation[[#This Row],[Uncert_Units]]</f>
        <v>2.4 µA</v>
      </c>
      <c r="U19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V1932" t="b">
        <f ca="1">Validation[[#This Row],[Desired Result]]=Validation[[#This Row],[Result]]</f>
        <v>1</v>
      </c>
      <c r="W1932" t="b">
        <v>1</v>
      </c>
      <c r="X1932" t="b">
        <f>Validation[[#This Row],[Range1_Low]]&gt;=Validation[[#This Row],[Range1_High]]</f>
        <v>0</v>
      </c>
      <c r="Y1932" s="111" t="s">
        <v>2843</v>
      </c>
    </row>
    <row r="1933" spans="1:25" ht="16.5" thickTop="1" thickBot="1" x14ac:dyDescent="0.3">
      <c r="A1933" t="s">
        <v>54</v>
      </c>
      <c r="B1933" t="s">
        <v>47</v>
      </c>
      <c r="C1933" s="113">
        <v>3</v>
      </c>
      <c r="D1933" s="113">
        <v>11.000999999999999</v>
      </c>
      <c r="E1933">
        <v>0.01</v>
      </c>
      <c r="F1933" t="s">
        <v>13</v>
      </c>
      <c r="G1933" t="s">
        <v>12</v>
      </c>
      <c r="H1933">
        <v>1</v>
      </c>
      <c r="I1933">
        <v>5</v>
      </c>
      <c r="J1933" t="s">
        <v>10</v>
      </c>
      <c r="K1933">
        <v>2.5</v>
      </c>
      <c r="L1933">
        <v>35</v>
      </c>
      <c r="M1933">
        <v>2.5084</v>
      </c>
      <c r="N1933">
        <v>34.627000000000002</v>
      </c>
      <c r="O1933" t="s">
        <v>2833</v>
      </c>
      <c r="P1933" t="s">
        <v>2833</v>
      </c>
      <c r="Q1933" t="s">
        <v>2833</v>
      </c>
      <c r="R1933">
        <f ca="1">RAND()*(Validation[[#This Row],[Range1_High]]-Validation[[#This Row],[Range1_Low]])+Validation[[#This Row],[Range1_Low]]</f>
        <v>6.3387432979358636</v>
      </c>
      <c r="S1933">
        <f>Validation[[#This Row],[Range2_High]]</f>
        <v>5</v>
      </c>
      <c r="T1933" t="str" cm="1">
        <f t="array" aca="1" ref="T1933" ca="1">RoundToTwoSigFigs(Validation[[#This Row],[Test Reading]]*Validation[[#This Row],[Mult]]+Validation[[#This Row],[Base]]) &amp;" "&amp;Validation[[#This Row],[Uncert_Units]]</f>
        <v>220 mA</v>
      </c>
      <c r="U19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V1933" t="b">
        <f ca="1">Validation[[#This Row],[Desired Result]]=Validation[[#This Row],[Result]]</f>
        <v>1</v>
      </c>
      <c r="W1933" t="b">
        <v>1</v>
      </c>
      <c r="X1933" t="b">
        <f>Validation[[#This Row],[Range1_Low]]&gt;=Validation[[#This Row],[Range1_High]]</f>
        <v>0</v>
      </c>
      <c r="Y1933" s="111" t="s">
        <v>2843</v>
      </c>
    </row>
    <row r="1934" spans="1:25" ht="16.5" thickTop="1" thickBot="1" x14ac:dyDescent="0.3">
      <c r="A1934" t="s">
        <v>54</v>
      </c>
      <c r="B1934" t="s">
        <v>47</v>
      </c>
      <c r="C1934" s="113">
        <v>1.1000000000000001</v>
      </c>
      <c r="D1934" s="113">
        <v>3.0009999999999999</v>
      </c>
      <c r="E1934">
        <v>1.0000000000000001E-5</v>
      </c>
      <c r="F1934" t="s">
        <v>13</v>
      </c>
      <c r="G1934" t="s">
        <v>12</v>
      </c>
      <c r="H1934">
        <v>4.4999999999999998E-2</v>
      </c>
      <c r="I1934">
        <v>1.0000100000000001</v>
      </c>
      <c r="J1934" t="s">
        <v>10</v>
      </c>
      <c r="K1934">
        <v>0.13</v>
      </c>
      <c r="L1934">
        <v>0.69</v>
      </c>
      <c r="M1934">
        <v>0.11619</v>
      </c>
      <c r="N1934">
        <v>0.69369000000000003</v>
      </c>
      <c r="O1934" t="s">
        <v>2833</v>
      </c>
      <c r="P1934" t="s">
        <v>2833</v>
      </c>
      <c r="Q1934" t="s">
        <v>2833</v>
      </c>
      <c r="R1934">
        <f ca="1">RAND()*(Validation[[#This Row],[Range1_High]]-Validation[[#This Row],[Range1_Low]])+Validation[[#This Row],[Range1_Low]]</f>
        <v>2.6906342960546006</v>
      </c>
      <c r="S1934">
        <f>Validation[[#This Row],[Range2_High]]</f>
        <v>1.0000100000000001</v>
      </c>
      <c r="T1934" t="str" cm="1">
        <f t="array" aca="1" ref="T1934" ca="1">RoundToTwoSigFigs(Validation[[#This Row],[Test Reading]]*Validation[[#This Row],[Mult]]+Validation[[#This Row],[Base]]) &amp;" "&amp;Validation[[#This Row],[Uncert_Units]]</f>
        <v>2 mA</v>
      </c>
      <c r="U19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mA</v>
      </c>
      <c r="V1934" t="b">
        <f ca="1">Validation[[#This Row],[Desired Result]]=Validation[[#This Row],[Result]]</f>
        <v>0</v>
      </c>
      <c r="W1934" t="b">
        <v>1</v>
      </c>
      <c r="X1934" t="b">
        <f>Validation[[#This Row],[Range1_Low]]&gt;=Validation[[#This Row],[Range1_High]]</f>
        <v>0</v>
      </c>
      <c r="Y1934" s="111" t="s">
        <v>2843</v>
      </c>
    </row>
    <row r="1935" spans="1:25" ht="16.5" thickTop="1" thickBot="1" x14ac:dyDescent="0.3">
      <c r="A1935" t="s">
        <v>54</v>
      </c>
      <c r="B1935" t="s">
        <v>47</v>
      </c>
      <c r="C1935">
        <v>11</v>
      </c>
      <c r="D1935">
        <v>20.501000000000001</v>
      </c>
      <c r="E1935">
        <v>1E-3</v>
      </c>
      <c r="F1935" t="s">
        <v>13</v>
      </c>
      <c r="G1935" t="s">
        <v>12</v>
      </c>
      <c r="H1935">
        <v>1</v>
      </c>
      <c r="I1935">
        <v>5</v>
      </c>
      <c r="J1935" t="s">
        <v>10</v>
      </c>
      <c r="K1935">
        <v>5.9</v>
      </c>
      <c r="L1935">
        <v>35</v>
      </c>
      <c r="M1935">
        <v>5.7744999999999997</v>
      </c>
      <c r="N1935">
        <v>34.640999999999998</v>
      </c>
      <c r="O1935" t="s">
        <v>2833</v>
      </c>
      <c r="P1935" t="s">
        <v>2833</v>
      </c>
      <c r="Q1935" t="s">
        <v>2833</v>
      </c>
      <c r="R1935">
        <f ca="1">RAND()*(Validation[[#This Row],[Range1_High]]-Validation[[#This Row],[Range1_Low]])+Validation[[#This Row],[Range1_Low]]</f>
        <v>13.877165216038524</v>
      </c>
      <c r="S1935">
        <f>Validation[[#This Row],[Range2_High]]</f>
        <v>5</v>
      </c>
      <c r="T1935" t="str" cm="1">
        <f t="array" aca="1" ref="T1935" ca="1">RoundToTwoSigFigs(Validation[[#This Row],[Test Reading]]*Validation[[#This Row],[Mult]]+Validation[[#This Row],[Base]]) &amp;" "&amp;Validation[[#This Row],[Uncert_Units]]</f>
        <v>490 mA</v>
      </c>
      <c r="U19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V1935" t="b">
        <f ca="1">Validation[[#This Row],[Desired Result]]=Validation[[#This Row],[Result]]</f>
        <v>1</v>
      </c>
      <c r="W1935" t="b">
        <v>0</v>
      </c>
      <c r="X1935" t="b">
        <f>Validation[[#This Row],[Range1_Low]]&gt;=Validation[[#This Row],[Range1_High]]</f>
        <v>0</v>
      </c>
      <c r="Y1935" s="111" t="s">
        <v>2845</v>
      </c>
    </row>
    <row r="1936" spans="1:25" ht="16.5" thickTop="1" thickBot="1" x14ac:dyDescent="0.3">
      <c r="A1936" t="s">
        <v>55</v>
      </c>
      <c r="B1936" t="s">
        <v>47</v>
      </c>
      <c r="C1936" s="113">
        <v>1</v>
      </c>
      <c r="D1936" s="113">
        <v>10</v>
      </c>
      <c r="E1936">
        <v>0.01</v>
      </c>
      <c r="F1936" t="s">
        <v>13</v>
      </c>
      <c r="G1936" t="s">
        <v>12</v>
      </c>
      <c r="H1936">
        <v>1</v>
      </c>
      <c r="I1936">
        <v>5</v>
      </c>
      <c r="J1936" t="s">
        <v>10</v>
      </c>
      <c r="K1936">
        <v>5.82</v>
      </c>
      <c r="L1936">
        <v>0.34986</v>
      </c>
      <c r="M1936">
        <v>5.8127000000000004</v>
      </c>
      <c r="N1936">
        <v>0.35015000000000002</v>
      </c>
      <c r="O1936" t="s">
        <v>2833</v>
      </c>
      <c r="P1936" t="s">
        <v>2833</v>
      </c>
      <c r="Q1936" t="s">
        <v>2833</v>
      </c>
      <c r="R1936">
        <f ca="1">RAND()*(Validation[[#This Row],[Range1_High]]-Validation[[#This Row],[Range1_Low]])+Validation[[#This Row],[Range1_Low]]</f>
        <v>4.5004844813571303</v>
      </c>
      <c r="S1936">
        <f>Validation[[#This Row],[Range2_High]]</f>
        <v>5</v>
      </c>
      <c r="T1936" t="str" cm="1">
        <f t="array" aca="1" ref="T1936" ca="1">RoundToTwoSigFigs(Validation[[#This Row],[Test Reading]]*Validation[[#This Row],[Mult]]+Validation[[#This Row],[Base]]) &amp;" "&amp;Validation[[#This Row],[Uncert_Units]]</f>
        <v>7.4 mA</v>
      </c>
      <c r="U19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V1936" t="b">
        <f ca="1">Validation[[#This Row],[Desired Result]]=Validation[[#This Row],[Result]]</f>
        <v>1</v>
      </c>
      <c r="W1936" t="b">
        <v>1</v>
      </c>
      <c r="X1936" t="b">
        <f>Validation[[#This Row],[Range1_Low]]&gt;=Validation[[#This Row],[Range1_High]]</f>
        <v>0</v>
      </c>
      <c r="Y1936" s="111" t="s">
        <v>2843</v>
      </c>
    </row>
    <row r="1937" spans="1:25" ht="15.75" thickTop="1" x14ac:dyDescent="0.25">
      <c r="A1937" t="s">
        <v>54</v>
      </c>
      <c r="B1937" t="s">
        <v>47</v>
      </c>
      <c r="C1937">
        <v>3.3000000000000002E-2</v>
      </c>
      <c r="D1937">
        <v>0.33001000000000003</v>
      </c>
      <c r="E1937">
        <v>0.01</v>
      </c>
      <c r="F1937" t="s">
        <v>13</v>
      </c>
      <c r="G1937" t="s">
        <v>12</v>
      </c>
      <c r="H1937">
        <v>5</v>
      </c>
      <c r="I1937">
        <v>10.01</v>
      </c>
      <c r="J1937" t="s">
        <v>10</v>
      </c>
      <c r="K1937">
        <v>5.7697000000000003</v>
      </c>
      <c r="L1937">
        <v>0.21298</v>
      </c>
      <c r="M1937">
        <v>5.7697000000000003</v>
      </c>
      <c r="N1937">
        <v>0.21288000000000001</v>
      </c>
      <c r="O1937" t="s">
        <v>2833</v>
      </c>
      <c r="P1937" t="s">
        <v>2833</v>
      </c>
      <c r="Q1937" t="s">
        <v>2833</v>
      </c>
      <c r="R1937">
        <f ca="1">RAND()*(Validation[[#This Row],[Range1_High]]-Validation[[#This Row],[Range1_Low]])+Validation[[#This Row],[Range1_Low]]</f>
        <v>6.0790656108255001E-2</v>
      </c>
      <c r="S1937">
        <f>Validation[[#This Row],[Range2_High]]</f>
        <v>10.01</v>
      </c>
      <c r="T1937" t="str" cm="1">
        <f t="array" aca="1" ref="T1937" ca="1">RoundToTwoSigFigs(Validation[[#This Row],[Test Reading]]*Validation[[#This Row],[Mult]]+Validation[[#This Row],[Base]]) &amp;" "&amp;Validation[[#This Row],[Uncert_Units]]</f>
        <v>5.8 mA</v>
      </c>
      <c r="U19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1937" t="b">
        <f ca="1">Validation[[#This Row],[Desired Result]]=Validation[[#This Row],[Result]]</f>
        <v>1</v>
      </c>
      <c r="W1937" t="b">
        <v>0</v>
      </c>
      <c r="X1937" t="b">
        <f>Validation[[#This Row],[Range1_Low]]&gt;=Validation[[#This Row],[Range1_High]]</f>
        <v>0</v>
      </c>
      <c r="Y1937" s="111" t="s">
        <v>2845</v>
      </c>
    </row>
    <row r="1938" spans="1:25" ht="15.75" thickBot="1" x14ac:dyDescent="0.3">
      <c r="A1938" t="s">
        <v>54</v>
      </c>
      <c r="B1938" t="s">
        <v>47</v>
      </c>
      <c r="C1938">
        <v>1.1000000000000001</v>
      </c>
      <c r="D1938">
        <v>3.0009999999999999</v>
      </c>
      <c r="E1938">
        <v>0.1</v>
      </c>
      <c r="F1938" t="s">
        <v>13</v>
      </c>
      <c r="G1938" t="s">
        <v>12</v>
      </c>
      <c r="H1938">
        <v>5</v>
      </c>
      <c r="I1938">
        <v>10</v>
      </c>
      <c r="J1938" t="s">
        <v>10</v>
      </c>
      <c r="K1938">
        <v>45.661999999999999</v>
      </c>
      <c r="L1938">
        <v>21.093</v>
      </c>
      <c r="M1938">
        <v>45.658999999999999</v>
      </c>
      <c r="N1938">
        <v>21.091999999999999</v>
      </c>
      <c r="O1938" t="s">
        <v>2833</v>
      </c>
      <c r="P1938" t="s">
        <v>2833</v>
      </c>
      <c r="Q1938" t="s">
        <v>2833</v>
      </c>
      <c r="R1938">
        <f ca="1">RAND()*(Validation[[#This Row],[Range1_High]]-Validation[[#This Row],[Range1_Low]])+Validation[[#This Row],[Range1_Low]]</f>
        <v>2.0576453062921596</v>
      </c>
      <c r="S1938">
        <f>Validation[[#This Row],[Range2_High]]</f>
        <v>10</v>
      </c>
      <c r="T1938" t="str" cm="1">
        <f t="array" aca="1" ref="T1938" ca="1">RoundToTwoSigFigs(Validation[[#This Row],[Test Reading]]*Validation[[#This Row],[Mult]]+Validation[[#This Row],[Base]]) &amp;" "&amp;Validation[[#This Row],[Uncert_Units]]</f>
        <v>89 mA</v>
      </c>
      <c r="U19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V1938" t="b">
        <f ca="1">Validation[[#This Row],[Desired Result]]=Validation[[#This Row],[Result]]</f>
        <v>1</v>
      </c>
      <c r="W1938" t="b">
        <v>1</v>
      </c>
      <c r="X1938" t="b">
        <f>Validation[[#This Row],[Range1_Low]]&gt;=Validation[[#This Row],[Range1_High]]</f>
        <v>0</v>
      </c>
      <c r="Y1938" s="111" t="s">
        <v>2845</v>
      </c>
    </row>
    <row r="1939" spans="1:25" ht="16.5" thickTop="1" thickBot="1" x14ac:dyDescent="0.3">
      <c r="A1939" t="s">
        <v>54</v>
      </c>
      <c r="B1939" t="s">
        <v>47</v>
      </c>
      <c r="C1939" s="113">
        <v>11</v>
      </c>
      <c r="D1939" s="113">
        <v>20.501000000000001</v>
      </c>
      <c r="E1939">
        <v>1E-3</v>
      </c>
      <c r="F1939" t="s">
        <v>13</v>
      </c>
      <c r="G1939" t="s">
        <v>12</v>
      </c>
      <c r="H1939">
        <v>0.1</v>
      </c>
      <c r="I1939">
        <v>1.0000100000000001</v>
      </c>
      <c r="J1939" t="s">
        <v>10</v>
      </c>
      <c r="K1939">
        <v>6.5</v>
      </c>
      <c r="L1939">
        <v>1.7</v>
      </c>
      <c r="M1939">
        <v>5.7851999999999997</v>
      </c>
      <c r="N1939">
        <v>1.7321</v>
      </c>
      <c r="O1939" t="s">
        <v>2833</v>
      </c>
      <c r="P1939" t="s">
        <v>2833</v>
      </c>
      <c r="Q1939" t="s">
        <v>2833</v>
      </c>
      <c r="R1939">
        <f ca="1">RAND()*(Validation[[#This Row],[Range1_High]]-Validation[[#This Row],[Range1_Low]])+Validation[[#This Row],[Range1_Low]]</f>
        <v>15.232822591913848</v>
      </c>
      <c r="S1939">
        <f>Validation[[#This Row],[Range2_High]]</f>
        <v>1.0000100000000001</v>
      </c>
      <c r="T1939" t="str" cm="1">
        <f t="array" aca="1" ref="T1939" ca="1">RoundToTwoSigFigs(Validation[[#This Row],[Test Reading]]*Validation[[#This Row],[Mult]]+Validation[[#This Row],[Base]]) &amp;" "&amp;Validation[[#This Row],[Uncert_Units]]</f>
        <v>32 mA</v>
      </c>
      <c r="U19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mA</v>
      </c>
      <c r="V1939" t="b">
        <f ca="1">Validation[[#This Row],[Desired Result]]=Validation[[#This Row],[Result]]</f>
        <v>0</v>
      </c>
      <c r="W1939" t="b">
        <v>1</v>
      </c>
      <c r="X1939" t="b">
        <f>Validation[[#This Row],[Range1_Low]]&gt;=Validation[[#This Row],[Range1_High]]</f>
        <v>0</v>
      </c>
      <c r="Y1939" s="111" t="s">
        <v>2843</v>
      </c>
    </row>
    <row r="1940" spans="1:25" ht="16.5" thickTop="1" thickBot="1" x14ac:dyDescent="0.3">
      <c r="A1940" t="s">
        <v>55</v>
      </c>
      <c r="B1940" t="s">
        <v>47</v>
      </c>
      <c r="C1940" s="113">
        <v>1E-4</v>
      </c>
      <c r="D1940" s="113">
        <v>1E-3</v>
      </c>
      <c r="E1940">
        <v>9.9999999999999995E-7</v>
      </c>
      <c r="F1940" t="s">
        <v>13</v>
      </c>
      <c r="G1940" t="s">
        <v>11</v>
      </c>
      <c r="H1940">
        <v>1E-3</v>
      </c>
      <c r="I1940">
        <v>0.02</v>
      </c>
      <c r="J1940" t="s">
        <v>10</v>
      </c>
      <c r="K1940">
        <v>5.6234999999999999</v>
      </c>
      <c r="L1940">
        <v>1918.3</v>
      </c>
      <c r="M1940">
        <v>5.6233000000000004</v>
      </c>
      <c r="N1940">
        <v>1917.2</v>
      </c>
      <c r="O1940" t="s">
        <v>2833</v>
      </c>
      <c r="P1940" t="s">
        <v>2833</v>
      </c>
      <c r="Q1940" t="s">
        <v>2833</v>
      </c>
      <c r="R1940">
        <f ca="1">RAND()*(Validation[[#This Row],[Range1_High]]-Validation[[#This Row],[Range1_Low]])+Validation[[#This Row],[Range1_Low]]</f>
        <v>8.6143272621728539E-4</v>
      </c>
      <c r="S1940">
        <f>Validation[[#This Row],[Range2_High]]</f>
        <v>0.02</v>
      </c>
      <c r="T1940" t="str" cm="1">
        <f t="array" aca="1" ref="T1940" ca="1">RoundToTwoSigFigs(Validation[[#This Row],[Test Reading]]*Validation[[#This Row],[Mult]]+Validation[[#This Row],[Base]]) &amp;" "&amp;Validation[[#This Row],[Uncert_Units]]</f>
        <v>7.3 µA</v>
      </c>
      <c r="U19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V1940" t="b">
        <f ca="1">Validation[[#This Row],[Desired Result]]=Validation[[#This Row],[Result]]</f>
        <v>1</v>
      </c>
      <c r="W1940" t="b">
        <v>1</v>
      </c>
      <c r="X1940" t="b">
        <f>Validation[[#This Row],[Range1_Low]]&gt;=Validation[[#This Row],[Range1_High]]</f>
        <v>0</v>
      </c>
      <c r="Y1940" s="111" t="s">
        <v>2843</v>
      </c>
    </row>
    <row r="1941" spans="1:25" ht="16.5" thickTop="1" thickBot="1" x14ac:dyDescent="0.3">
      <c r="A1941" t="s">
        <v>54</v>
      </c>
      <c r="B1941" t="s">
        <v>47</v>
      </c>
      <c r="C1941" s="113">
        <v>3.3E-3</v>
      </c>
      <c r="D1941" s="113">
        <v>3.3001000000000003E-2</v>
      </c>
      <c r="E1941">
        <v>1E-8</v>
      </c>
      <c r="F1941" t="s">
        <v>13</v>
      </c>
      <c r="G1941" t="s">
        <v>11</v>
      </c>
      <c r="H1941">
        <v>5</v>
      </c>
      <c r="I1941">
        <v>10.01</v>
      </c>
      <c r="J1941" t="s">
        <v>10</v>
      </c>
      <c r="K1941">
        <v>3.8</v>
      </c>
      <c r="L1941">
        <v>2300</v>
      </c>
      <c r="M1941">
        <v>3.4643999999999999</v>
      </c>
      <c r="N1941">
        <v>2309.4</v>
      </c>
      <c r="O1941" t="s">
        <v>2833</v>
      </c>
      <c r="P1941" t="s">
        <v>2833</v>
      </c>
      <c r="Q1941" t="s">
        <v>2833</v>
      </c>
      <c r="R1941">
        <f ca="1">RAND()*(Validation[[#This Row],[Range1_High]]-Validation[[#This Row],[Range1_Low]])+Validation[[#This Row],[Range1_Low]]</f>
        <v>1.510321256833096E-2</v>
      </c>
      <c r="S1941">
        <f>Validation[[#This Row],[Range2_High]]</f>
        <v>10.01</v>
      </c>
      <c r="T1941" t="str" cm="1">
        <f t="array" aca="1" ref="T1941" ca="1">RoundToTwoSigFigs(Validation[[#This Row],[Test Reading]]*Validation[[#This Row],[Mult]]+Validation[[#This Row],[Base]]) &amp;" "&amp;Validation[[#This Row],[Uncert_Units]]</f>
        <v>39 µA</v>
      </c>
      <c r="U19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V1941" t="b">
        <f ca="1">Validation[[#This Row],[Desired Result]]=Validation[[#This Row],[Result]]</f>
        <v>0</v>
      </c>
      <c r="W1941" t="b">
        <v>1</v>
      </c>
      <c r="X1941" t="b">
        <f>Validation[[#This Row],[Range1_Low]]&gt;=Validation[[#This Row],[Range1_High]]</f>
        <v>0</v>
      </c>
      <c r="Y1941" s="111" t="s">
        <v>2843</v>
      </c>
    </row>
    <row r="1942" spans="1:25" ht="16.5" thickTop="1" thickBot="1" x14ac:dyDescent="0.3">
      <c r="A1942" t="s">
        <v>55</v>
      </c>
      <c r="B1942" t="s">
        <v>47</v>
      </c>
      <c r="C1942">
        <v>1E-3</v>
      </c>
      <c r="D1942">
        <v>0.01</v>
      </c>
      <c r="E1942">
        <v>1E-4</v>
      </c>
      <c r="F1942" t="s">
        <v>13</v>
      </c>
      <c r="G1942" t="s">
        <v>11</v>
      </c>
      <c r="H1942">
        <v>0.1</v>
      </c>
      <c r="I1942">
        <v>5</v>
      </c>
      <c r="J1942" t="s">
        <v>10</v>
      </c>
      <c r="K1942">
        <v>57.777999999999999</v>
      </c>
      <c r="L1942">
        <v>33.176000000000002</v>
      </c>
      <c r="M1942">
        <v>57.771000000000001</v>
      </c>
      <c r="N1942">
        <v>28.291</v>
      </c>
      <c r="O1942" t="s">
        <v>2833</v>
      </c>
      <c r="P1942" t="s">
        <v>2833</v>
      </c>
      <c r="Q1942" t="s">
        <v>2833</v>
      </c>
      <c r="R1942">
        <f ca="1">RAND()*(Validation[[#This Row],[Range1_High]]-Validation[[#This Row],[Range1_Low]])+Validation[[#This Row],[Range1_Low]]</f>
        <v>3.3380077239250059E-3</v>
      </c>
      <c r="S1942">
        <f>Validation[[#This Row],[Range2_High]]</f>
        <v>5</v>
      </c>
      <c r="T1942" t="str" cm="1">
        <f t="array" aca="1" ref="T1942" ca="1">RoundToTwoSigFigs(Validation[[#This Row],[Test Reading]]*Validation[[#This Row],[Mult]]+Validation[[#This Row],[Base]]) &amp;" "&amp;Validation[[#This Row],[Uncert_Units]]</f>
        <v>58 µA</v>
      </c>
      <c r="U19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1942" t="b">
        <f ca="1">Validation[[#This Row],[Desired Result]]=Validation[[#This Row],[Result]]</f>
        <v>1</v>
      </c>
      <c r="W1942" t="b">
        <v>0</v>
      </c>
      <c r="X1942" t="b">
        <f>Validation[[#This Row],[Range1_Low]]&gt;=Validation[[#This Row],[Range1_High]]</f>
        <v>0</v>
      </c>
      <c r="Y1942" s="111" t="s">
        <v>2845</v>
      </c>
    </row>
    <row r="1943" spans="1:25" ht="16.5" thickTop="1" thickBot="1" x14ac:dyDescent="0.3">
      <c r="A1943" t="s">
        <v>54</v>
      </c>
      <c r="B1943" t="s">
        <v>47</v>
      </c>
      <c r="C1943">
        <v>0</v>
      </c>
      <c r="D1943">
        <v>3.3000999999999999E-4</v>
      </c>
      <c r="E1943">
        <v>1E-8</v>
      </c>
      <c r="F1943" t="s">
        <v>13</v>
      </c>
      <c r="G1943" t="s">
        <v>11</v>
      </c>
      <c r="H1943" s="113">
        <v>5</v>
      </c>
      <c r="I1943" s="113">
        <v>10.01</v>
      </c>
      <c r="J1943" t="s">
        <v>10</v>
      </c>
      <c r="K1943">
        <v>0.25</v>
      </c>
      <c r="L1943">
        <v>9200</v>
      </c>
      <c r="M1943">
        <v>0.23105999999999999</v>
      </c>
      <c r="N1943">
        <v>9237.4</v>
      </c>
      <c r="O1943" t="s">
        <v>2833</v>
      </c>
      <c r="P1943" t="s">
        <v>2833</v>
      </c>
      <c r="Q1943" t="s">
        <v>2833</v>
      </c>
      <c r="R1943">
        <f ca="1">RAND()*(Validation[[#This Row],[Range1_High]]-Validation[[#This Row],[Range1_Low]])+Validation[[#This Row],[Range1_Low]]</f>
        <v>2.8510301842355401E-4</v>
      </c>
      <c r="S1943">
        <f>Validation[[#This Row],[Range2_High]]</f>
        <v>10.01</v>
      </c>
      <c r="T1943" t="str" cm="1">
        <f t="array" aca="1" ref="T1943" ca="1">RoundToTwoSigFigs(Validation[[#This Row],[Test Reading]]*Validation[[#This Row],[Mult]]+Validation[[#This Row],[Base]]) &amp;" "&amp;Validation[[#This Row],[Uncert_Units]]</f>
        <v>2.9 µA</v>
      </c>
      <c r="U19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1943" t="b">
        <f ca="1">Validation[[#This Row],[Desired Result]]=Validation[[#This Row],[Result]]</f>
        <v>0</v>
      </c>
      <c r="W1943" t="b">
        <v>1</v>
      </c>
      <c r="X1943" t="b">
        <f>Validation[[#This Row],[Range1_Low]]&gt;=Validation[[#This Row],[Range1_High]]</f>
        <v>0</v>
      </c>
      <c r="Y1943" s="114" t="s">
        <v>2846</v>
      </c>
    </row>
    <row r="1944" spans="1:25" ht="16.5" thickTop="1" thickBot="1" x14ac:dyDescent="0.3">
      <c r="A1944" t="s">
        <v>54</v>
      </c>
      <c r="B1944" t="s">
        <v>47</v>
      </c>
      <c r="C1944">
        <v>0</v>
      </c>
      <c r="D1944">
        <v>3.3000999999999999E-4</v>
      </c>
      <c r="E1944">
        <v>1</v>
      </c>
      <c r="F1944" t="s">
        <v>13</v>
      </c>
      <c r="G1944" t="s">
        <v>11</v>
      </c>
      <c r="H1944">
        <v>5</v>
      </c>
      <c r="I1944">
        <v>10.01</v>
      </c>
      <c r="J1944" t="s">
        <v>10</v>
      </c>
      <c r="K1944">
        <v>577360</v>
      </c>
      <c r="L1944">
        <v>4.2220000000000001E-2</v>
      </c>
      <c r="M1944">
        <v>577360</v>
      </c>
      <c r="N1944">
        <v>3.0225999999999999E-2</v>
      </c>
      <c r="O1944" t="s">
        <v>2833</v>
      </c>
      <c r="P1944" t="s">
        <v>2833</v>
      </c>
      <c r="Q1944" t="s">
        <v>2833</v>
      </c>
      <c r="R1944">
        <f ca="1">RAND()*(Validation[[#This Row],[Range1_High]]-Validation[[#This Row],[Range1_Low]])+Validation[[#This Row],[Range1_Low]]</f>
        <v>2.0083604879551494E-4</v>
      </c>
      <c r="S1944">
        <f>Validation[[#This Row],[Range2_High]]</f>
        <v>10.01</v>
      </c>
      <c r="T1944" t="str" cm="1">
        <f t="array" aca="1" ref="T1944" ca="1">RoundToTwoSigFigs(Validation[[#This Row],[Test Reading]]*Validation[[#This Row],[Mult]]+Validation[[#This Row],[Base]]) &amp;" "&amp;Validation[[#This Row],[Uncert_Units]]</f>
        <v>580000 µA</v>
      </c>
      <c r="U19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V1944" t="b">
        <f ca="1">Validation[[#This Row],[Desired Result]]=Validation[[#This Row],[Result]]</f>
        <v>1</v>
      </c>
      <c r="W1944" t="b">
        <v>0</v>
      </c>
      <c r="X1944" t="b">
        <f>Validation[[#This Row],[Range1_Low]]&gt;=Validation[[#This Row],[Range1_High]]</f>
        <v>0</v>
      </c>
      <c r="Y1944" s="111" t="s">
        <v>2845</v>
      </c>
    </row>
    <row r="1945" spans="1:25" ht="16.5" thickTop="1" thickBot="1" x14ac:dyDescent="0.3">
      <c r="A1945" t="s">
        <v>55</v>
      </c>
      <c r="B1945" t="s">
        <v>47</v>
      </c>
      <c r="C1945" s="113">
        <v>0.01</v>
      </c>
      <c r="D1945" s="113">
        <v>0.1</v>
      </c>
      <c r="E1945">
        <v>9.9999999999999995E-8</v>
      </c>
      <c r="F1945" t="s">
        <v>13</v>
      </c>
      <c r="G1945" t="s">
        <v>11</v>
      </c>
      <c r="H1945">
        <v>5</v>
      </c>
      <c r="I1945">
        <v>20</v>
      </c>
      <c r="J1945" t="s">
        <v>10</v>
      </c>
      <c r="K1945">
        <v>25</v>
      </c>
      <c r="L1945">
        <v>710</v>
      </c>
      <c r="M1945">
        <v>22.890999999999998</v>
      </c>
      <c r="N1945">
        <v>721.64</v>
      </c>
      <c r="O1945" t="s">
        <v>2833</v>
      </c>
      <c r="P1945" t="s">
        <v>2833</v>
      </c>
      <c r="Q1945" t="s">
        <v>2833</v>
      </c>
      <c r="R1945">
        <f ca="1">RAND()*(Validation[[#This Row],[Range1_High]]-Validation[[#This Row],[Range1_Low]])+Validation[[#This Row],[Range1_Low]]</f>
        <v>5.6680104185852724E-2</v>
      </c>
      <c r="S1945">
        <f>Validation[[#This Row],[Range2_High]]</f>
        <v>20</v>
      </c>
      <c r="T1945" t="str" cm="1">
        <f t="array" aca="1" ref="T1945" ca="1">RoundToTwoSigFigs(Validation[[#This Row],[Test Reading]]*Validation[[#This Row],[Mult]]+Validation[[#This Row],[Base]]) &amp;" "&amp;Validation[[#This Row],[Uncert_Units]]</f>
        <v>65 µA</v>
      </c>
      <c r="U19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V1945" t="b">
        <f ca="1">Validation[[#This Row],[Desired Result]]=Validation[[#This Row],[Result]]</f>
        <v>1</v>
      </c>
      <c r="W1945" t="b">
        <v>1</v>
      </c>
      <c r="X1945" t="b">
        <f>Validation[[#This Row],[Range1_Low]]&gt;=Validation[[#This Row],[Range1_High]]</f>
        <v>0</v>
      </c>
      <c r="Y1945" s="111" t="s">
        <v>2843</v>
      </c>
    </row>
    <row r="1946" spans="1:25" ht="16.5" thickTop="1" thickBot="1" x14ac:dyDescent="0.3">
      <c r="A1946" t="s">
        <v>55</v>
      </c>
      <c r="B1946" t="s">
        <v>47</v>
      </c>
      <c r="C1946" s="113">
        <v>0.1</v>
      </c>
      <c r="D1946" s="113">
        <v>1</v>
      </c>
      <c r="E1946">
        <v>1.0000000000000001E-5</v>
      </c>
      <c r="F1946" t="s">
        <v>13</v>
      </c>
      <c r="G1946" t="s">
        <v>12</v>
      </c>
      <c r="H1946">
        <v>0.02</v>
      </c>
      <c r="I1946">
        <v>4.4999999999999998E-2</v>
      </c>
      <c r="J1946" t="s">
        <v>10</v>
      </c>
      <c r="K1946">
        <v>0.28000000000000003</v>
      </c>
      <c r="L1946">
        <v>1.8</v>
      </c>
      <c r="M1946">
        <v>0.23102</v>
      </c>
      <c r="N1946">
        <v>1.8475999999999999</v>
      </c>
      <c r="O1946" t="s">
        <v>2833</v>
      </c>
      <c r="P1946" t="s">
        <v>2833</v>
      </c>
      <c r="Q1946" t="s">
        <v>2833</v>
      </c>
      <c r="R1946">
        <f ca="1">RAND()*(Validation[[#This Row],[Range1_High]]-Validation[[#This Row],[Range1_Low]])+Validation[[#This Row],[Range1_Low]]</f>
        <v>0.46459642984851002</v>
      </c>
      <c r="S1946">
        <f>Validation[[#This Row],[Range2_High]]</f>
        <v>4.4999999999999998E-2</v>
      </c>
      <c r="T1946" t="str" cm="1">
        <f t="array" aca="1" ref="T1946" ca="1">RoundToTwoSigFigs(Validation[[#This Row],[Test Reading]]*Validation[[#This Row],[Mult]]+Validation[[#This Row],[Base]]) &amp;" "&amp;Validation[[#This Row],[Uncert_Units]]</f>
        <v>1.1 mA</v>
      </c>
      <c r="U19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V1946" t="b">
        <f ca="1">Validation[[#This Row],[Desired Result]]=Validation[[#This Row],[Result]]</f>
        <v>1</v>
      </c>
      <c r="W1946" t="b">
        <v>1</v>
      </c>
      <c r="X1946" t="b">
        <f>Validation[[#This Row],[Range1_Low]]&gt;=Validation[[#This Row],[Range1_High]]</f>
        <v>0</v>
      </c>
      <c r="Y1946" s="111" t="s">
        <v>2843</v>
      </c>
    </row>
    <row r="1947" spans="1:25" ht="16.5" thickTop="1" thickBot="1" x14ac:dyDescent="0.3">
      <c r="A1947" t="s">
        <v>55</v>
      </c>
      <c r="B1947" t="s">
        <v>47</v>
      </c>
      <c r="C1947">
        <v>1E-3</v>
      </c>
      <c r="D1947">
        <v>0.01</v>
      </c>
      <c r="E1947">
        <v>1.0000000000000001E-5</v>
      </c>
      <c r="F1947" t="s">
        <v>13</v>
      </c>
      <c r="G1947" t="s">
        <v>11</v>
      </c>
      <c r="H1947">
        <v>0.1</v>
      </c>
      <c r="I1947">
        <v>5</v>
      </c>
      <c r="J1947" t="s">
        <v>10</v>
      </c>
      <c r="K1947">
        <v>6.1658999999999997</v>
      </c>
      <c r="L1947">
        <v>223.94</v>
      </c>
      <c r="M1947">
        <v>6.1471999999999998</v>
      </c>
      <c r="N1947">
        <v>216.14</v>
      </c>
      <c r="O1947" t="s">
        <v>2833</v>
      </c>
      <c r="P1947" t="s">
        <v>2833</v>
      </c>
      <c r="Q1947" t="s">
        <v>2833</v>
      </c>
      <c r="R1947">
        <f ca="1">RAND()*(Validation[[#This Row],[Range1_High]]-Validation[[#This Row],[Range1_Low]])+Validation[[#This Row],[Range1_Low]]</f>
        <v>6.7962667213582557E-3</v>
      </c>
      <c r="S1947">
        <f>Validation[[#This Row],[Range2_High]]</f>
        <v>5</v>
      </c>
      <c r="T1947" t="str" cm="1">
        <f t="array" aca="1" ref="T1947" ca="1">RoundToTwoSigFigs(Validation[[#This Row],[Test Reading]]*Validation[[#This Row],[Mult]]+Validation[[#This Row],[Base]]) &amp;" "&amp;Validation[[#This Row],[Uncert_Units]]</f>
        <v>7.7 µA</v>
      </c>
      <c r="U19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V1947" t="b">
        <f ca="1">Validation[[#This Row],[Desired Result]]=Validation[[#This Row],[Result]]</f>
        <v>1</v>
      </c>
      <c r="W1947" t="b">
        <v>1</v>
      </c>
      <c r="X1947" t="b">
        <f>Validation[[#This Row],[Range1_Low]]&gt;=Validation[[#This Row],[Range1_High]]</f>
        <v>0</v>
      </c>
      <c r="Y1947" s="111" t="s">
        <v>2845</v>
      </c>
    </row>
    <row r="1948" spans="1:25" ht="16.5" thickTop="1" thickBot="1" x14ac:dyDescent="0.3">
      <c r="A1948" t="s">
        <v>54</v>
      </c>
      <c r="B1948" t="s">
        <v>47</v>
      </c>
      <c r="C1948" s="113">
        <v>3.3000000000000002E-2</v>
      </c>
      <c r="D1948" s="113">
        <v>0.33001000000000003</v>
      </c>
      <c r="E1948">
        <v>9.9999999999999995E-7</v>
      </c>
      <c r="F1948" t="s">
        <v>13</v>
      </c>
      <c r="G1948" t="s">
        <v>12</v>
      </c>
      <c r="H1948">
        <v>5</v>
      </c>
      <c r="I1948">
        <v>10.01</v>
      </c>
      <c r="J1948" t="s">
        <v>10</v>
      </c>
      <c r="K1948">
        <v>0.12</v>
      </c>
      <c r="L1948">
        <v>2.2999999999999998</v>
      </c>
      <c r="M1948">
        <v>0.11543</v>
      </c>
      <c r="N1948">
        <v>2.3113999999999999</v>
      </c>
      <c r="O1948" t="s">
        <v>2833</v>
      </c>
      <c r="P1948" t="s">
        <v>2833</v>
      </c>
      <c r="Q1948" t="s">
        <v>2833</v>
      </c>
      <c r="R1948">
        <f ca="1">RAND()*(Validation[[#This Row],[Range1_High]]-Validation[[#This Row],[Range1_Low]])+Validation[[#This Row],[Range1_Low]]</f>
        <v>8.428693810290605E-2</v>
      </c>
      <c r="S1948">
        <f>Validation[[#This Row],[Range2_High]]</f>
        <v>10.01</v>
      </c>
      <c r="T1948" t="str" cm="1">
        <f t="array" aca="1" ref="T1948" ca="1">RoundToTwoSigFigs(Validation[[#This Row],[Test Reading]]*Validation[[#This Row],[Mult]]+Validation[[#This Row],[Base]]) &amp;" "&amp;Validation[[#This Row],[Uncert_Units]]</f>
        <v>0.31 mA</v>
      </c>
      <c r="U19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mA</v>
      </c>
      <c r="V1948" t="b">
        <f ca="1">Validation[[#This Row],[Desired Result]]=Validation[[#This Row],[Result]]</f>
        <v>1</v>
      </c>
      <c r="W1948" t="b">
        <v>1</v>
      </c>
      <c r="X1948" t="b">
        <f>Validation[[#This Row],[Range1_Low]]&gt;=Validation[[#This Row],[Range1_High]]</f>
        <v>0</v>
      </c>
      <c r="Y1948" s="111" t="s">
        <v>2843</v>
      </c>
    </row>
    <row r="1949" spans="1:25" ht="16.5" thickTop="1" thickBot="1" x14ac:dyDescent="0.3">
      <c r="A1949" t="s">
        <v>54</v>
      </c>
      <c r="B1949" t="s">
        <v>47</v>
      </c>
      <c r="C1949" s="113">
        <v>0.33</v>
      </c>
      <c r="D1949" s="113">
        <v>1.1000099999999999</v>
      </c>
      <c r="E1949">
        <v>0.01</v>
      </c>
      <c r="F1949" t="s">
        <v>13</v>
      </c>
      <c r="G1949" t="s">
        <v>12</v>
      </c>
      <c r="H1949">
        <v>10</v>
      </c>
      <c r="I1949">
        <v>10.01</v>
      </c>
      <c r="J1949" t="s">
        <v>10</v>
      </c>
      <c r="K1949">
        <v>7.0907999999999998</v>
      </c>
      <c r="L1949">
        <v>28.073</v>
      </c>
      <c r="M1949">
        <v>7.0891000000000002</v>
      </c>
      <c r="N1949">
        <v>28.073</v>
      </c>
      <c r="O1949" t="s">
        <v>2833</v>
      </c>
      <c r="P1949" t="s">
        <v>2833</v>
      </c>
      <c r="Q1949" t="s">
        <v>2833</v>
      </c>
      <c r="R1949">
        <f ca="1">RAND()*(Validation[[#This Row],[Range1_High]]-Validation[[#This Row],[Range1_Low]])+Validation[[#This Row],[Range1_Low]]</f>
        <v>0.80217553359468341</v>
      </c>
      <c r="S1949">
        <f>Validation[[#This Row],[Range2_High]]</f>
        <v>10.01</v>
      </c>
      <c r="T1949" t="str" cm="1">
        <f t="array" aca="1" ref="T1949" ca="1">RoundToTwoSigFigs(Validation[[#This Row],[Test Reading]]*Validation[[#This Row],[Mult]]+Validation[[#This Row],[Base]]) &amp;" "&amp;Validation[[#This Row],[Uncert_Units]]</f>
        <v>30 mA</v>
      </c>
      <c r="U19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V1949" t="b">
        <f ca="1">Validation[[#This Row],[Desired Result]]=Validation[[#This Row],[Result]]</f>
        <v>1</v>
      </c>
      <c r="W1949" t="b">
        <v>1</v>
      </c>
      <c r="X1949" t="b">
        <f>Validation[[#This Row],[Range1_Low]]&gt;=Validation[[#This Row],[Range1_High]]</f>
        <v>0</v>
      </c>
      <c r="Y1949" s="111" t="s">
        <v>2843</v>
      </c>
    </row>
    <row r="1950" spans="1:25" ht="16.5" thickTop="1" thickBot="1" x14ac:dyDescent="0.3">
      <c r="A1950" t="s">
        <v>54</v>
      </c>
      <c r="B1950" t="s">
        <v>47</v>
      </c>
      <c r="C1950">
        <v>0</v>
      </c>
      <c r="D1950">
        <v>3.3000999999999999E-4</v>
      </c>
      <c r="E1950">
        <v>0.1</v>
      </c>
      <c r="F1950" t="s">
        <v>13</v>
      </c>
      <c r="G1950" t="s">
        <v>11</v>
      </c>
      <c r="H1950">
        <v>4.4999999999999998E-2</v>
      </c>
      <c r="I1950">
        <v>1.0000100000000001</v>
      </c>
      <c r="J1950" t="s">
        <v>10</v>
      </c>
      <c r="K1950">
        <v>57736</v>
      </c>
      <c r="L1950">
        <v>2.342E-2</v>
      </c>
      <c r="M1950">
        <v>57736</v>
      </c>
      <c r="N1950">
        <v>9.3682000000000001E-3</v>
      </c>
      <c r="O1950" t="s">
        <v>2833</v>
      </c>
      <c r="P1950" t="s">
        <v>2833</v>
      </c>
      <c r="Q1950" t="s">
        <v>2833</v>
      </c>
      <c r="R1950">
        <f ca="1">RAND()*(Validation[[#This Row],[Range1_High]]-Validation[[#This Row],[Range1_Low]])+Validation[[#This Row],[Range1_Low]]</f>
        <v>2.502573928924165E-4</v>
      </c>
      <c r="S1950">
        <f>Validation[[#This Row],[Range2_High]]</f>
        <v>1.0000100000000001</v>
      </c>
      <c r="T1950" t="str" cm="1">
        <f t="array" aca="1" ref="T1950" ca="1">RoundToTwoSigFigs(Validation[[#This Row],[Test Reading]]*Validation[[#This Row],[Mult]]+Validation[[#This Row],[Base]]) &amp;" "&amp;Validation[[#This Row],[Uncert_Units]]</f>
        <v>58000 µA</v>
      </c>
      <c r="U19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V1950" t="b">
        <f ca="1">Validation[[#This Row],[Desired Result]]=Validation[[#This Row],[Result]]</f>
        <v>1</v>
      </c>
      <c r="W1950" t="b">
        <v>0</v>
      </c>
      <c r="X1950" t="b">
        <f>Validation[[#This Row],[Range1_Low]]&gt;=Validation[[#This Row],[Range1_High]]</f>
        <v>0</v>
      </c>
      <c r="Y1950" s="111" t="s">
        <v>2845</v>
      </c>
    </row>
    <row r="1951" spans="1:25" ht="16.5" thickTop="1" thickBot="1" x14ac:dyDescent="0.3">
      <c r="A1951" t="s">
        <v>54</v>
      </c>
      <c r="B1951" t="s">
        <v>47</v>
      </c>
      <c r="C1951" s="113">
        <v>3.3E-3</v>
      </c>
      <c r="D1951" s="113">
        <v>3.3001000000000003E-2</v>
      </c>
      <c r="E1951">
        <v>9.9999999999999995E-8</v>
      </c>
      <c r="F1951" t="s">
        <v>13</v>
      </c>
      <c r="G1951" t="s">
        <v>11</v>
      </c>
      <c r="H1951">
        <v>4.4999999999999998E-2</v>
      </c>
      <c r="I1951">
        <v>1.0000100000000001</v>
      </c>
      <c r="J1951" t="s">
        <v>10</v>
      </c>
      <c r="K1951">
        <v>2.4</v>
      </c>
      <c r="L1951">
        <v>470</v>
      </c>
      <c r="M1951">
        <v>2.3464</v>
      </c>
      <c r="N1951">
        <v>464.49</v>
      </c>
      <c r="O1951" t="s">
        <v>2833</v>
      </c>
      <c r="P1951" t="s">
        <v>2833</v>
      </c>
      <c r="Q1951" t="s">
        <v>2833</v>
      </c>
      <c r="R1951">
        <f ca="1">RAND()*(Validation[[#This Row],[Range1_High]]-Validation[[#This Row],[Range1_Low]])+Validation[[#This Row],[Range1_Low]]</f>
        <v>1.745222858438374E-2</v>
      </c>
      <c r="S1951">
        <f>Validation[[#This Row],[Range2_High]]</f>
        <v>1.0000100000000001</v>
      </c>
      <c r="T1951" t="str" cm="1">
        <f t="array" aca="1" ref="T1951" ca="1">RoundToTwoSigFigs(Validation[[#This Row],[Test Reading]]*Validation[[#This Row],[Mult]]+Validation[[#This Row],[Base]]) &amp;" "&amp;Validation[[#This Row],[Uncert_Units]]</f>
        <v>11 µA</v>
      </c>
      <c r="U19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V1951" t="b">
        <f ca="1">Validation[[#This Row],[Desired Result]]=Validation[[#This Row],[Result]]</f>
        <v>0</v>
      </c>
      <c r="W1951" t="b">
        <v>1</v>
      </c>
      <c r="X1951" t="b">
        <f>Validation[[#This Row],[Range1_Low]]&gt;=Validation[[#This Row],[Range1_High]]</f>
        <v>0</v>
      </c>
      <c r="Y1951" s="111" t="s">
        <v>2843</v>
      </c>
    </row>
    <row r="1952" spans="1:25" ht="16.5" thickTop="1" thickBot="1" x14ac:dyDescent="0.3">
      <c r="A1952" t="s">
        <v>54</v>
      </c>
      <c r="B1952" t="s">
        <v>47</v>
      </c>
      <c r="C1952" s="113">
        <v>3.3E-3</v>
      </c>
      <c r="D1952" s="113">
        <v>3.3001000000000003E-2</v>
      </c>
      <c r="E1952">
        <v>1E-4</v>
      </c>
      <c r="F1952" t="s">
        <v>13</v>
      </c>
      <c r="G1952" t="s">
        <v>11</v>
      </c>
      <c r="H1952">
        <v>30</v>
      </c>
      <c r="I1952">
        <v>30.01</v>
      </c>
      <c r="J1952" t="s">
        <v>10</v>
      </c>
      <c r="K1952">
        <v>575.41</v>
      </c>
      <c r="L1952">
        <v>695.3</v>
      </c>
      <c r="M1952">
        <v>575.4</v>
      </c>
      <c r="N1952">
        <v>695.06</v>
      </c>
      <c r="O1952" t="s">
        <v>2833</v>
      </c>
      <c r="P1952" t="s">
        <v>2833</v>
      </c>
      <c r="Q1952" t="s">
        <v>2833</v>
      </c>
      <c r="R1952">
        <f ca="1">RAND()*(Validation[[#This Row],[Range1_High]]-Validation[[#This Row],[Range1_Low]])+Validation[[#This Row],[Range1_Low]]</f>
        <v>1.2955077683532729E-2</v>
      </c>
      <c r="S1952">
        <f>Validation[[#This Row],[Range2_High]]</f>
        <v>30.01</v>
      </c>
      <c r="T1952" t="str" cm="1">
        <f t="array" aca="1" ref="T1952" ca="1">RoundToTwoSigFigs(Validation[[#This Row],[Test Reading]]*Validation[[#This Row],[Mult]]+Validation[[#This Row],[Base]]) &amp;" "&amp;Validation[[#This Row],[Uncert_Units]]</f>
        <v>580 µA</v>
      </c>
      <c r="U19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1952" t="b">
        <f ca="1">Validation[[#This Row],[Desired Result]]=Validation[[#This Row],[Result]]</f>
        <v>1</v>
      </c>
      <c r="W1952" t="b">
        <v>1</v>
      </c>
      <c r="X1952" t="b">
        <f>Validation[[#This Row],[Range1_Low]]&gt;=Validation[[#This Row],[Range1_High]]</f>
        <v>0</v>
      </c>
      <c r="Y1952" s="111" t="s">
        <v>2843</v>
      </c>
    </row>
    <row r="1953" spans="1:25" ht="16.5" thickTop="1" thickBot="1" x14ac:dyDescent="0.3">
      <c r="A1953" t="s">
        <v>54</v>
      </c>
      <c r="B1953" t="s">
        <v>47</v>
      </c>
      <c r="C1953" s="113">
        <v>3.3000000000000002E-2</v>
      </c>
      <c r="D1953" s="113">
        <v>0.33001000000000003</v>
      </c>
      <c r="E1953">
        <v>9.9999999999999995E-7</v>
      </c>
      <c r="F1953" t="s">
        <v>13</v>
      </c>
      <c r="G1953" t="s">
        <v>12</v>
      </c>
      <c r="H1953">
        <v>4.4999999999999998E-2</v>
      </c>
      <c r="I1953">
        <v>1.0000100000000001</v>
      </c>
      <c r="J1953" t="s">
        <v>10</v>
      </c>
      <c r="K1953">
        <v>2.4E-2</v>
      </c>
      <c r="L1953">
        <v>0.47</v>
      </c>
      <c r="M1953">
        <v>2.282E-2</v>
      </c>
      <c r="N1953">
        <v>0.47204000000000002</v>
      </c>
      <c r="O1953" t="s">
        <v>2833</v>
      </c>
      <c r="P1953" t="s">
        <v>2833</v>
      </c>
      <c r="Q1953" t="s">
        <v>2833</v>
      </c>
      <c r="R1953">
        <f ca="1">RAND()*(Validation[[#This Row],[Range1_High]]-Validation[[#This Row],[Range1_Low]])+Validation[[#This Row],[Range1_Low]]</f>
        <v>0.23676796396589572</v>
      </c>
      <c r="S1953">
        <f>Validation[[#This Row],[Range2_High]]</f>
        <v>1.0000100000000001</v>
      </c>
      <c r="T1953" t="str" cm="1">
        <f t="array" aca="1" ref="T1953" ca="1">RoundToTwoSigFigs(Validation[[#This Row],[Test Reading]]*Validation[[#This Row],[Mult]]+Validation[[#This Row],[Base]]) &amp;" "&amp;Validation[[#This Row],[Uncert_Units]]</f>
        <v>0.14 mA</v>
      </c>
      <c r="U19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mA</v>
      </c>
      <c r="V1953" t="b">
        <f ca="1">Validation[[#This Row],[Desired Result]]=Validation[[#This Row],[Result]]</f>
        <v>1</v>
      </c>
      <c r="W1953" t="b">
        <v>1</v>
      </c>
      <c r="X1953" t="b">
        <f>Validation[[#This Row],[Range1_Low]]&gt;=Validation[[#This Row],[Range1_High]]</f>
        <v>0</v>
      </c>
      <c r="Y1953" s="111" t="s">
        <v>2843</v>
      </c>
    </row>
    <row r="1954" spans="1:25" ht="16.5" thickTop="1" thickBot="1" x14ac:dyDescent="0.3">
      <c r="A1954" t="s">
        <v>54</v>
      </c>
      <c r="B1954" t="s">
        <v>47</v>
      </c>
      <c r="C1954" s="113">
        <v>3</v>
      </c>
      <c r="D1954" s="113">
        <v>11.000999999999999</v>
      </c>
      <c r="E1954">
        <v>0.1</v>
      </c>
      <c r="F1954" t="s">
        <v>13</v>
      </c>
      <c r="G1954" t="s">
        <v>12</v>
      </c>
      <c r="H1954">
        <v>5</v>
      </c>
      <c r="I1954">
        <v>5.01</v>
      </c>
      <c r="J1954" t="s">
        <v>10</v>
      </c>
      <c r="K1954">
        <v>20.888000000000002</v>
      </c>
      <c r="L1954">
        <v>33.345999999999997</v>
      </c>
      <c r="M1954">
        <v>20.867000000000001</v>
      </c>
      <c r="N1954">
        <v>33.347000000000001</v>
      </c>
      <c r="O1954" t="s">
        <v>2833</v>
      </c>
      <c r="P1954" t="s">
        <v>2833</v>
      </c>
      <c r="Q1954" t="s">
        <v>2833</v>
      </c>
      <c r="R1954">
        <f ca="1">RAND()*(Validation[[#This Row],[Range1_High]]-Validation[[#This Row],[Range1_Low]])+Validation[[#This Row],[Range1_Low]]</f>
        <v>5.375055233397708</v>
      </c>
      <c r="S1954">
        <f>Validation[[#This Row],[Range2_High]]</f>
        <v>5.01</v>
      </c>
      <c r="T1954" t="str" cm="1">
        <f t="array" aca="1" ref="T1954" ca="1">RoundToTwoSigFigs(Validation[[#This Row],[Test Reading]]*Validation[[#This Row],[Mult]]+Validation[[#This Row],[Base]]) &amp;" "&amp;Validation[[#This Row],[Uncert_Units]]</f>
        <v>200 mA</v>
      </c>
      <c r="U19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V1954" t="b">
        <f ca="1">Validation[[#This Row],[Desired Result]]=Validation[[#This Row],[Result]]</f>
        <v>1</v>
      </c>
      <c r="W1954" t="b">
        <v>1</v>
      </c>
      <c r="X1954" t="b">
        <f>Validation[[#This Row],[Range1_Low]]&gt;=Validation[[#This Row],[Range1_High]]</f>
        <v>0</v>
      </c>
      <c r="Y1954" s="111" t="s">
        <v>2843</v>
      </c>
    </row>
    <row r="1955" spans="1:25" ht="16.5" thickTop="1" thickBot="1" x14ac:dyDescent="0.3">
      <c r="A1955" t="s">
        <v>54</v>
      </c>
      <c r="B1955" t="s">
        <v>47</v>
      </c>
      <c r="C1955" s="113">
        <v>3.3E-4</v>
      </c>
      <c r="D1955" s="113">
        <v>3.3000999999999998E-3</v>
      </c>
      <c r="E1955">
        <v>1E-8</v>
      </c>
      <c r="F1955" t="s">
        <v>13</v>
      </c>
      <c r="G1955" t="s">
        <v>11</v>
      </c>
      <c r="H1955">
        <v>0.02</v>
      </c>
      <c r="I1955">
        <v>4.5010000000000001E-2</v>
      </c>
      <c r="J1955" t="s">
        <v>10</v>
      </c>
      <c r="K1955">
        <v>0.32</v>
      </c>
      <c r="L1955">
        <v>1400</v>
      </c>
      <c r="M1955">
        <v>0.17327000000000001</v>
      </c>
      <c r="N1955">
        <v>1443.8</v>
      </c>
      <c r="O1955" t="s">
        <v>2833</v>
      </c>
      <c r="P1955" t="s">
        <v>2833</v>
      </c>
      <c r="Q1955" t="s">
        <v>2833</v>
      </c>
      <c r="R1955">
        <f ca="1">RAND()*(Validation[[#This Row],[Range1_High]]-Validation[[#This Row],[Range1_Low]])+Validation[[#This Row],[Range1_Low]]</f>
        <v>4.7382034646819687E-4</v>
      </c>
      <c r="S1955">
        <f>Validation[[#This Row],[Range2_High]]</f>
        <v>4.5010000000000001E-2</v>
      </c>
      <c r="T1955" t="str" cm="1">
        <f t="array" aca="1" ref="T1955" ca="1">RoundToTwoSigFigs(Validation[[#This Row],[Test Reading]]*Validation[[#This Row],[Mult]]+Validation[[#This Row],[Base]]) &amp;" "&amp;Validation[[#This Row],[Uncert_Units]]</f>
        <v>0.98 µA</v>
      </c>
      <c r="U19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µA</v>
      </c>
      <c r="V1955" t="b">
        <f ca="1">Validation[[#This Row],[Desired Result]]=Validation[[#This Row],[Result]]</f>
        <v>1</v>
      </c>
      <c r="W1955" t="b">
        <v>1</v>
      </c>
      <c r="X1955" t="b">
        <f>Validation[[#This Row],[Range1_Low]]&gt;=Validation[[#This Row],[Range1_High]]</f>
        <v>0</v>
      </c>
      <c r="Y1955" s="111" t="s">
        <v>2843</v>
      </c>
    </row>
    <row r="1956" spans="1:25" ht="15.75" thickTop="1" x14ac:dyDescent="0.25">
      <c r="A1956" t="s">
        <v>54</v>
      </c>
      <c r="B1956" t="s">
        <v>61</v>
      </c>
      <c r="C1956">
        <v>110</v>
      </c>
      <c r="D1956">
        <v>205.01</v>
      </c>
      <c r="E1956">
        <v>0.01</v>
      </c>
      <c r="F1956" t="s">
        <v>13</v>
      </c>
      <c r="G1956" t="s">
        <v>12</v>
      </c>
      <c r="H1956">
        <v>5</v>
      </c>
      <c r="I1956">
        <v>5.01</v>
      </c>
      <c r="J1956" t="s">
        <v>10</v>
      </c>
      <c r="K1956">
        <v>58</v>
      </c>
      <c r="L1956">
        <v>35</v>
      </c>
      <c r="M1956">
        <v>57.612000000000002</v>
      </c>
      <c r="N1956">
        <v>34.698999999999998</v>
      </c>
      <c r="O1956" t="s">
        <v>2833</v>
      </c>
      <c r="P1956" t="s">
        <v>157</v>
      </c>
      <c r="Q1956" t="s">
        <v>2833</v>
      </c>
      <c r="R1956">
        <f ca="1">RAND()*(Validation[[#This Row],[Range1_High]]-Validation[[#This Row],[Range1_Low]])+Validation[[#This Row],[Range1_Low]]</f>
        <v>170.9582498517093</v>
      </c>
      <c r="S1956">
        <f>Validation[[#This Row],[Range2_High]]</f>
        <v>5.01</v>
      </c>
      <c r="T1956" t="str" cm="1">
        <f t="array" aca="1" ref="T1956" ca="1">RoundToTwoSigFigs(Validation[[#This Row],[Test Reading]]*Validation[[#This Row],[Mult]]+Validation[[#This Row],[Base]]) &amp;" "&amp;Validation[[#This Row],[Uncert_Units]]</f>
        <v>6000 mA</v>
      </c>
      <c r="U19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V1956" t="b">
        <f ca="1">Validation[[#This Row],[Desired Result]]=Validation[[#This Row],[Result]]</f>
        <v>1</v>
      </c>
      <c r="W1956" t="b">
        <v>0</v>
      </c>
      <c r="X1956" t="b">
        <f>Validation[[#This Row],[Range1_Low]]&gt;=Validation[[#This Row],[Range1_High]]</f>
        <v>0</v>
      </c>
      <c r="Y1956" s="111" t="s">
        <v>2845</v>
      </c>
    </row>
    <row r="1957" spans="1:25" x14ac:dyDescent="0.25">
      <c r="A1957" t="s">
        <v>54</v>
      </c>
      <c r="B1957" t="s">
        <v>61</v>
      </c>
      <c r="C1957">
        <v>1</v>
      </c>
      <c r="D1957">
        <v>11.000999999999999</v>
      </c>
      <c r="E1957">
        <v>1</v>
      </c>
      <c r="F1957" t="s">
        <v>13</v>
      </c>
      <c r="G1957" t="s">
        <v>12</v>
      </c>
      <c r="H1957">
        <v>10</v>
      </c>
      <c r="I1957">
        <v>10.01</v>
      </c>
      <c r="J1957" t="s">
        <v>10</v>
      </c>
      <c r="K1957">
        <v>575.98</v>
      </c>
      <c r="L1957">
        <v>10.476000000000001</v>
      </c>
      <c r="M1957">
        <v>575.96</v>
      </c>
      <c r="N1957">
        <v>10.474</v>
      </c>
      <c r="O1957" t="s">
        <v>2833</v>
      </c>
      <c r="P1957" t="s">
        <v>157</v>
      </c>
      <c r="Q1957" t="s">
        <v>2833</v>
      </c>
      <c r="R1957">
        <f ca="1">RAND()*(Validation[[#This Row],[Range1_High]]-Validation[[#This Row],[Range1_Low]])+Validation[[#This Row],[Range1_Low]]</f>
        <v>8.5188290849054482</v>
      </c>
      <c r="S1957">
        <f>Validation[[#This Row],[Range2_High]]</f>
        <v>10.01</v>
      </c>
      <c r="T1957" t="str" cm="1">
        <f t="array" aca="1" ref="T1957" ca="1">RoundToTwoSigFigs(Validation[[#This Row],[Test Reading]]*Validation[[#This Row],[Mult]]+Validation[[#This Row],[Base]]) &amp;" "&amp;Validation[[#This Row],[Uncert_Units]]</f>
        <v>670 mA</v>
      </c>
      <c r="U19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V1957" t="b">
        <f ca="1">Validation[[#This Row],[Desired Result]]=Validation[[#This Row],[Result]]</f>
        <v>1</v>
      </c>
      <c r="W1957" t="b">
        <v>0</v>
      </c>
      <c r="X1957" t="b">
        <f>Validation[[#This Row],[Range1_Low]]&gt;=Validation[[#This Row],[Range1_High]]</f>
        <v>0</v>
      </c>
      <c r="Y1957" s="111" t="s">
        <v>2845</v>
      </c>
    </row>
    <row r="1958" spans="1:25" x14ac:dyDescent="0.25">
      <c r="A1958" t="s">
        <v>54</v>
      </c>
      <c r="B1958" t="s">
        <v>61</v>
      </c>
      <c r="C1958">
        <v>11</v>
      </c>
      <c r="D1958">
        <v>30.001000000000001</v>
      </c>
      <c r="E1958">
        <v>0.01</v>
      </c>
      <c r="F1958" t="s">
        <v>13</v>
      </c>
      <c r="G1958" t="s">
        <v>12</v>
      </c>
      <c r="H1958">
        <v>4.4999999999999998E-2</v>
      </c>
      <c r="I1958">
        <v>1.0000100000000001</v>
      </c>
      <c r="J1958" t="s">
        <v>10</v>
      </c>
      <c r="K1958">
        <v>1.3908</v>
      </c>
      <c r="L1958">
        <v>2.0926999999999998</v>
      </c>
      <c r="M1958">
        <v>1.3648</v>
      </c>
      <c r="N1958">
        <v>2.0928</v>
      </c>
      <c r="O1958" t="s">
        <v>2833</v>
      </c>
      <c r="P1958" t="s">
        <v>157</v>
      </c>
      <c r="Q1958" t="s">
        <v>2833</v>
      </c>
      <c r="R1958">
        <f ca="1">RAND()*(Validation[[#This Row],[Range1_High]]-Validation[[#This Row],[Range1_Low]])+Validation[[#This Row],[Range1_Low]]</f>
        <v>24.392643097313695</v>
      </c>
      <c r="S1958">
        <f>Validation[[#This Row],[Range2_High]]</f>
        <v>1.0000100000000001</v>
      </c>
      <c r="T1958" t="str" cm="1">
        <f t="array" aca="1" ref="T1958" ca="1">RoundToTwoSigFigs(Validation[[#This Row],[Test Reading]]*Validation[[#This Row],[Mult]]+Validation[[#This Row],[Base]]) &amp;" "&amp;Validation[[#This Row],[Uncert_Units]]</f>
        <v>52 mA</v>
      </c>
      <c r="U19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V1958" t="b">
        <f ca="1">Validation[[#This Row],[Desired Result]]=Validation[[#This Row],[Result]]</f>
        <v>0</v>
      </c>
      <c r="W1958" t="b">
        <v>1</v>
      </c>
      <c r="X1958" t="b">
        <f>Validation[[#This Row],[Range1_Low]]&gt;=Validation[[#This Row],[Range1_High]]</f>
        <v>0</v>
      </c>
      <c r="Y1958" s="111" t="s">
        <v>2845</v>
      </c>
    </row>
    <row r="1959" spans="1:25" x14ac:dyDescent="0.25">
      <c r="A1959" t="s">
        <v>54</v>
      </c>
      <c r="B1959" t="s">
        <v>61</v>
      </c>
      <c r="C1959">
        <v>110</v>
      </c>
      <c r="D1959">
        <v>205.01</v>
      </c>
      <c r="E1959">
        <v>100</v>
      </c>
      <c r="F1959" t="s">
        <v>13</v>
      </c>
      <c r="G1959" t="s">
        <v>12</v>
      </c>
      <c r="H1959">
        <v>1</v>
      </c>
      <c r="I1959">
        <v>5</v>
      </c>
      <c r="J1959" t="s">
        <v>10</v>
      </c>
      <c r="K1959">
        <v>57768</v>
      </c>
      <c r="L1959">
        <v>3.2888999999999999</v>
      </c>
      <c r="M1959">
        <v>57768</v>
      </c>
      <c r="N1959">
        <v>3.2877999999999998</v>
      </c>
      <c r="O1959" t="s">
        <v>2833</v>
      </c>
      <c r="P1959" t="s">
        <v>157</v>
      </c>
      <c r="Q1959" t="s">
        <v>2833</v>
      </c>
      <c r="R1959">
        <f ca="1">RAND()*(Validation[[#This Row],[Range1_High]]-Validation[[#This Row],[Range1_Low]])+Validation[[#This Row],[Range1_Low]]</f>
        <v>153.45521380104293</v>
      </c>
      <c r="S1959">
        <f>Validation[[#This Row],[Range2_High]]</f>
        <v>5</v>
      </c>
      <c r="T1959" t="str" cm="1">
        <f t="array" aca="1" ref="T1959" ca="1">RoundToTwoSigFigs(Validation[[#This Row],[Test Reading]]*Validation[[#This Row],[Mult]]+Validation[[#This Row],[Base]]) &amp;" "&amp;Validation[[#This Row],[Uncert_Units]]</f>
        <v>58000 mA</v>
      </c>
      <c r="U19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959" t="b">
        <f ca="1">Validation[[#This Row],[Desired Result]]=Validation[[#This Row],[Result]]</f>
        <v>1</v>
      </c>
      <c r="W1959" t="b">
        <v>0</v>
      </c>
      <c r="X1959" t="b">
        <f>Validation[[#This Row],[Range1_Low]]&gt;=Validation[[#This Row],[Range1_High]]</f>
        <v>0</v>
      </c>
      <c r="Y1959" s="111" t="s">
        <v>2845</v>
      </c>
    </row>
    <row r="1960" spans="1:25" ht="15.75" thickBot="1" x14ac:dyDescent="0.3">
      <c r="A1960" t="s">
        <v>54</v>
      </c>
      <c r="B1960" t="s">
        <v>61</v>
      </c>
      <c r="C1960">
        <v>11</v>
      </c>
      <c r="D1960">
        <v>30.001000000000001</v>
      </c>
      <c r="E1960">
        <v>0.01</v>
      </c>
      <c r="F1960" t="s">
        <v>13</v>
      </c>
      <c r="G1960" t="s">
        <v>12</v>
      </c>
      <c r="H1960">
        <v>5</v>
      </c>
      <c r="I1960">
        <v>10</v>
      </c>
      <c r="J1960" t="s">
        <v>10</v>
      </c>
      <c r="K1960">
        <v>58</v>
      </c>
      <c r="L1960">
        <v>29</v>
      </c>
      <c r="M1960">
        <v>57.682000000000002</v>
      </c>
      <c r="N1960">
        <v>28.934999999999999</v>
      </c>
      <c r="O1960" t="s">
        <v>2833</v>
      </c>
      <c r="P1960" t="s">
        <v>157</v>
      </c>
      <c r="Q1960" t="s">
        <v>2833</v>
      </c>
      <c r="R1960">
        <f ca="1">RAND()*(Validation[[#This Row],[Range1_High]]-Validation[[#This Row],[Range1_Low]])+Validation[[#This Row],[Range1_Low]]</f>
        <v>20.7792668148385</v>
      </c>
      <c r="S1960">
        <f>Validation[[#This Row],[Range2_High]]</f>
        <v>10</v>
      </c>
      <c r="T1960" t="str" cm="1">
        <f t="array" aca="1" ref="T1960" ca="1">RoundToTwoSigFigs(Validation[[#This Row],[Test Reading]]*Validation[[#This Row],[Mult]]+Validation[[#This Row],[Base]]) &amp;" "&amp;Validation[[#This Row],[Uncert_Units]]</f>
        <v>660 mA</v>
      </c>
      <c r="U19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V1960" t="b">
        <f ca="1">Validation[[#This Row],[Desired Result]]=Validation[[#This Row],[Result]]</f>
        <v>1</v>
      </c>
      <c r="W1960" t="b">
        <v>1</v>
      </c>
      <c r="X1960" t="b">
        <f>Validation[[#This Row],[Range1_Low]]&gt;=Validation[[#This Row],[Range1_High]]</f>
        <v>0</v>
      </c>
      <c r="Y1960" s="111" t="s">
        <v>2845</v>
      </c>
    </row>
    <row r="1961" spans="1:25" ht="16.5" thickTop="1" thickBot="1" x14ac:dyDescent="0.3">
      <c r="A1961" t="s">
        <v>54</v>
      </c>
      <c r="B1961" t="s">
        <v>61</v>
      </c>
      <c r="C1961" s="113">
        <v>30</v>
      </c>
      <c r="D1961" s="113">
        <v>110.01</v>
      </c>
      <c r="E1961">
        <v>1</v>
      </c>
      <c r="F1961" t="s">
        <v>13</v>
      </c>
      <c r="G1961" t="s">
        <v>12</v>
      </c>
      <c r="H1961">
        <v>5</v>
      </c>
      <c r="I1961">
        <v>5.01</v>
      </c>
      <c r="J1961" t="s">
        <v>10</v>
      </c>
      <c r="K1961">
        <v>210.04</v>
      </c>
      <c r="L1961">
        <v>33.396000000000001</v>
      </c>
      <c r="M1961">
        <v>210.02</v>
      </c>
      <c r="N1961">
        <v>33.395000000000003</v>
      </c>
      <c r="O1961" t="s">
        <v>2833</v>
      </c>
      <c r="P1961" t="s">
        <v>157</v>
      </c>
      <c r="Q1961" t="s">
        <v>2833</v>
      </c>
      <c r="R1961">
        <f ca="1">RAND()*(Validation[[#This Row],[Range1_High]]-Validation[[#This Row],[Range1_Low]])+Validation[[#This Row],[Range1_Low]]</f>
        <v>86.12498180655416</v>
      </c>
      <c r="S1961">
        <f>Validation[[#This Row],[Range2_High]]</f>
        <v>5.01</v>
      </c>
      <c r="T1961" t="str" cm="1">
        <f t="array" aca="1" ref="T1961" ca="1">RoundToTwoSigFigs(Validation[[#This Row],[Test Reading]]*Validation[[#This Row],[Mult]]+Validation[[#This Row],[Base]]) &amp;" "&amp;Validation[[#This Row],[Uncert_Units]]</f>
        <v>3100 mA</v>
      </c>
      <c r="U19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mA</v>
      </c>
      <c r="V1961" t="b">
        <f ca="1">Validation[[#This Row],[Desired Result]]=Validation[[#This Row],[Result]]</f>
        <v>1</v>
      </c>
      <c r="W1961" t="b">
        <v>1</v>
      </c>
      <c r="X1961" t="b">
        <f>Validation[[#This Row],[Range1_Low]]&gt;=Validation[[#This Row],[Range1_High]]</f>
        <v>0</v>
      </c>
      <c r="Y1961" s="111" t="s">
        <v>2843</v>
      </c>
    </row>
    <row r="1962" spans="1:25" ht="15.75" thickTop="1" x14ac:dyDescent="0.25">
      <c r="A1962" t="s">
        <v>54</v>
      </c>
      <c r="B1962" t="s">
        <v>61</v>
      </c>
      <c r="C1962">
        <v>30</v>
      </c>
      <c r="D1962">
        <v>110.01</v>
      </c>
      <c r="E1962">
        <v>100</v>
      </c>
      <c r="F1962" t="s">
        <v>13</v>
      </c>
      <c r="G1962" t="s">
        <v>12</v>
      </c>
      <c r="H1962">
        <v>1</v>
      </c>
      <c r="I1962">
        <v>5</v>
      </c>
      <c r="J1962" t="s">
        <v>10</v>
      </c>
      <c r="K1962">
        <v>57966</v>
      </c>
      <c r="L1962">
        <v>1.4661</v>
      </c>
      <c r="M1962">
        <v>57966</v>
      </c>
      <c r="N1962">
        <v>1.4652000000000001</v>
      </c>
      <c r="O1962" t="s">
        <v>2833</v>
      </c>
      <c r="P1962" t="s">
        <v>157</v>
      </c>
      <c r="Q1962" t="s">
        <v>2833</v>
      </c>
      <c r="R1962">
        <f ca="1">RAND()*(Validation[[#This Row],[Range1_High]]-Validation[[#This Row],[Range1_Low]])+Validation[[#This Row],[Range1_Low]]</f>
        <v>76.994897977259683</v>
      </c>
      <c r="S1962">
        <f>Validation[[#This Row],[Range2_High]]</f>
        <v>5</v>
      </c>
      <c r="T1962" t="str" cm="1">
        <f t="array" aca="1" ref="T1962" ca="1">RoundToTwoSigFigs(Validation[[#This Row],[Test Reading]]*Validation[[#This Row],[Mult]]+Validation[[#This Row],[Base]]) &amp;" "&amp;Validation[[#This Row],[Uncert_Units]]</f>
        <v>58000 mA</v>
      </c>
      <c r="U19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962" t="b">
        <f ca="1">Validation[[#This Row],[Desired Result]]=Validation[[#This Row],[Result]]</f>
        <v>1</v>
      </c>
      <c r="W1962" t="b">
        <v>0</v>
      </c>
      <c r="X1962" t="b">
        <f>Validation[[#This Row],[Range1_Low]]&gt;=Validation[[#This Row],[Range1_High]]</f>
        <v>0</v>
      </c>
      <c r="Y1962" s="111" t="s">
        <v>2845</v>
      </c>
    </row>
    <row r="1963" spans="1:25" x14ac:dyDescent="0.25">
      <c r="A1963" t="s">
        <v>54</v>
      </c>
      <c r="B1963" t="s">
        <v>61</v>
      </c>
      <c r="C1963">
        <v>11</v>
      </c>
      <c r="D1963">
        <v>30.001000000000001</v>
      </c>
      <c r="E1963">
        <v>1E-3</v>
      </c>
      <c r="F1963" t="s">
        <v>13</v>
      </c>
      <c r="G1963" t="s">
        <v>12</v>
      </c>
      <c r="H1963">
        <v>0.01</v>
      </c>
      <c r="I1963">
        <v>4.5010000000000001E-2</v>
      </c>
      <c r="J1963" t="s">
        <v>10</v>
      </c>
      <c r="K1963">
        <v>0.87</v>
      </c>
      <c r="L1963">
        <v>2.9</v>
      </c>
      <c r="M1963">
        <v>0.85389000000000004</v>
      </c>
      <c r="N1963">
        <v>2.8839000000000001</v>
      </c>
      <c r="O1963" t="s">
        <v>2833</v>
      </c>
      <c r="P1963" t="s">
        <v>157</v>
      </c>
      <c r="Q1963" t="s">
        <v>2833</v>
      </c>
      <c r="R1963">
        <f ca="1">RAND()*(Validation[[#This Row],[Range1_High]]-Validation[[#This Row],[Range1_Low]])+Validation[[#This Row],[Range1_Low]]</f>
        <v>19.347241091420898</v>
      </c>
      <c r="S1963">
        <f>Validation[[#This Row],[Range2_High]]</f>
        <v>4.5010000000000001E-2</v>
      </c>
      <c r="T1963" t="str" cm="1">
        <f t="array" aca="1" ref="T1963" ca="1">RoundToTwoSigFigs(Validation[[#This Row],[Test Reading]]*Validation[[#This Row],[Mult]]+Validation[[#This Row],[Base]]) &amp;" "&amp;Validation[[#This Row],[Uncert_Units]]</f>
        <v>57 mA</v>
      </c>
      <c r="U19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V1963" t="b">
        <f ca="1">Validation[[#This Row],[Desired Result]]=Validation[[#This Row],[Result]]</f>
        <v>1</v>
      </c>
      <c r="W1963" t="b">
        <v>0</v>
      </c>
      <c r="X1963" t="b">
        <f>Validation[[#This Row],[Range1_Low]]&gt;=Validation[[#This Row],[Range1_High]]</f>
        <v>0</v>
      </c>
      <c r="Y1963" s="111" t="s">
        <v>2845</v>
      </c>
    </row>
    <row r="1964" spans="1:25" ht="15.75" thickBot="1" x14ac:dyDescent="0.3">
      <c r="A1964" t="s">
        <v>54</v>
      </c>
      <c r="B1964" t="s">
        <v>61</v>
      </c>
      <c r="C1964">
        <v>11</v>
      </c>
      <c r="D1964">
        <v>30.001000000000001</v>
      </c>
      <c r="E1964">
        <v>10</v>
      </c>
      <c r="F1964" t="s">
        <v>13</v>
      </c>
      <c r="G1964" t="s">
        <v>12</v>
      </c>
      <c r="H1964">
        <v>10</v>
      </c>
      <c r="I1964">
        <v>10.01</v>
      </c>
      <c r="J1964" t="s">
        <v>10</v>
      </c>
      <c r="K1964">
        <v>5776.7</v>
      </c>
      <c r="L1964">
        <v>3.2241</v>
      </c>
      <c r="M1964">
        <v>5776.7</v>
      </c>
      <c r="N1964">
        <v>3.2231000000000001</v>
      </c>
      <c r="O1964" t="s">
        <v>2833</v>
      </c>
      <c r="P1964" t="s">
        <v>157</v>
      </c>
      <c r="Q1964" t="s">
        <v>2833</v>
      </c>
      <c r="R1964">
        <f ca="1">RAND()*(Validation[[#This Row],[Range1_High]]-Validation[[#This Row],[Range1_Low]])+Validation[[#This Row],[Range1_Low]]</f>
        <v>24.260934017680029</v>
      </c>
      <c r="S1964">
        <f>Validation[[#This Row],[Range2_High]]</f>
        <v>10.01</v>
      </c>
      <c r="T1964" t="str" cm="1">
        <f t="array" aca="1" ref="T1964" ca="1">RoundToTwoSigFigs(Validation[[#This Row],[Test Reading]]*Validation[[#This Row],[Mult]]+Validation[[#This Row],[Base]]) &amp;" "&amp;Validation[[#This Row],[Uncert_Units]]</f>
        <v>5900 mA</v>
      </c>
      <c r="U19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1964" t="b">
        <f ca="1">Validation[[#This Row],[Desired Result]]=Validation[[#This Row],[Result]]</f>
        <v>1</v>
      </c>
      <c r="W1964" t="b">
        <v>0</v>
      </c>
      <c r="X1964" t="b">
        <f>Validation[[#This Row],[Range1_Low]]&gt;=Validation[[#This Row],[Range1_High]]</f>
        <v>0</v>
      </c>
      <c r="Y1964" s="111" t="s">
        <v>2845</v>
      </c>
    </row>
    <row r="1965" spans="1:25" ht="16.5" thickTop="1" thickBot="1" x14ac:dyDescent="0.3">
      <c r="A1965" t="s">
        <v>54</v>
      </c>
      <c r="B1965" t="s">
        <v>61</v>
      </c>
      <c r="C1965" s="113">
        <v>110</v>
      </c>
      <c r="D1965" s="113">
        <v>205.01</v>
      </c>
      <c r="E1965">
        <v>0.1</v>
      </c>
      <c r="F1965" t="s">
        <v>13</v>
      </c>
      <c r="G1965" t="s">
        <v>12</v>
      </c>
      <c r="H1965">
        <v>0.1</v>
      </c>
      <c r="I1965">
        <v>1.0000100000000001</v>
      </c>
      <c r="J1965" t="s">
        <v>10</v>
      </c>
      <c r="K1965">
        <v>49.765000000000001</v>
      </c>
      <c r="L1965">
        <v>2.6107999999999998</v>
      </c>
      <c r="M1965">
        <v>49.649000000000001</v>
      </c>
      <c r="N1965">
        <v>2.61</v>
      </c>
      <c r="O1965" t="s">
        <v>2833</v>
      </c>
      <c r="P1965" t="s">
        <v>157</v>
      </c>
      <c r="Q1965" t="s">
        <v>2833</v>
      </c>
      <c r="R1965">
        <f ca="1">RAND()*(Validation[[#This Row],[Range1_High]]-Validation[[#This Row],[Range1_Low]])+Validation[[#This Row],[Range1_Low]]</f>
        <v>190.70060866553507</v>
      </c>
      <c r="S1965">
        <f>Validation[[#This Row],[Range2_High]]</f>
        <v>1.0000100000000001</v>
      </c>
      <c r="T1965" t="str" cm="1">
        <f t="array" aca="1" ref="T1965" ca="1">RoundToTwoSigFigs(Validation[[#This Row],[Test Reading]]*Validation[[#This Row],[Mult]]+Validation[[#This Row],[Base]]) &amp;" "&amp;Validation[[#This Row],[Uncert_Units]]</f>
        <v>550 mA</v>
      </c>
      <c r="U19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mA</v>
      </c>
      <c r="V1965" t="b">
        <f ca="1">Validation[[#This Row],[Desired Result]]=Validation[[#This Row],[Result]]</f>
        <v>1</v>
      </c>
      <c r="W1965" t="b">
        <v>1</v>
      </c>
      <c r="X1965" t="b">
        <f>Validation[[#This Row],[Range1_Low]]&gt;=Validation[[#This Row],[Range1_High]]</f>
        <v>0</v>
      </c>
      <c r="Y1965" s="111" t="s">
        <v>2843</v>
      </c>
    </row>
    <row r="1966" spans="1:25" ht="15.75" thickTop="1" x14ac:dyDescent="0.25">
      <c r="A1966" t="s">
        <v>54</v>
      </c>
      <c r="B1966" t="s">
        <v>61</v>
      </c>
      <c r="C1966">
        <v>1</v>
      </c>
      <c r="D1966">
        <v>11.000999999999999</v>
      </c>
      <c r="E1966">
        <v>0.1</v>
      </c>
      <c r="F1966" t="s">
        <v>13</v>
      </c>
      <c r="G1966" t="s">
        <v>12</v>
      </c>
      <c r="H1966">
        <v>1</v>
      </c>
      <c r="I1966">
        <v>5.01</v>
      </c>
      <c r="J1966" t="s">
        <v>10</v>
      </c>
      <c r="K1966">
        <v>56.262</v>
      </c>
      <c r="L1966">
        <v>4.6574</v>
      </c>
      <c r="M1966">
        <v>56.247999999999998</v>
      </c>
      <c r="N1966">
        <v>4.6563999999999997</v>
      </c>
      <c r="O1966" t="s">
        <v>2833</v>
      </c>
      <c r="P1966" t="s">
        <v>157</v>
      </c>
      <c r="Q1966" t="s">
        <v>2833</v>
      </c>
      <c r="R1966">
        <f ca="1">RAND()*(Validation[[#This Row],[Range1_High]]-Validation[[#This Row],[Range1_Low]])+Validation[[#This Row],[Range1_Low]]</f>
        <v>3.2698726230299395</v>
      </c>
      <c r="S1966">
        <f>Validation[[#This Row],[Range2_High]]</f>
        <v>5.01</v>
      </c>
      <c r="T1966" t="str" cm="1">
        <f t="array" aca="1" ref="T1966" ca="1">RoundToTwoSigFigs(Validation[[#This Row],[Test Reading]]*Validation[[#This Row],[Mult]]+Validation[[#This Row],[Base]]) &amp;" "&amp;Validation[[#This Row],[Uncert_Units]]</f>
        <v>71 mA</v>
      </c>
      <c r="U19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V1966" t="b">
        <f ca="1">Validation[[#This Row],[Desired Result]]=Validation[[#This Row],[Result]]</f>
        <v>1</v>
      </c>
      <c r="W1966" t="b">
        <v>0</v>
      </c>
      <c r="X1966" t="b">
        <f>Validation[[#This Row],[Range1_Low]]&gt;=Validation[[#This Row],[Range1_High]]</f>
        <v>0</v>
      </c>
      <c r="Y1966" s="111" t="s">
        <v>2845</v>
      </c>
    </row>
    <row r="1967" spans="1:25" x14ac:dyDescent="0.25">
      <c r="A1967" t="s">
        <v>54</v>
      </c>
      <c r="B1967" t="s">
        <v>61</v>
      </c>
      <c r="C1967">
        <v>1</v>
      </c>
      <c r="D1967">
        <v>11.000999999999999</v>
      </c>
      <c r="E1967">
        <v>0.01</v>
      </c>
      <c r="F1967" t="s">
        <v>13</v>
      </c>
      <c r="G1967" t="s">
        <v>12</v>
      </c>
      <c r="H1967">
        <v>10</v>
      </c>
      <c r="I1967">
        <v>10.01</v>
      </c>
      <c r="J1967" t="s">
        <v>10</v>
      </c>
      <c r="K1967">
        <v>58</v>
      </c>
      <c r="L1967">
        <v>28.914000000000001</v>
      </c>
      <c r="M1967">
        <v>57.905000000000001</v>
      </c>
      <c r="N1967">
        <v>28.914999999999999</v>
      </c>
      <c r="O1967" t="s">
        <v>2833</v>
      </c>
      <c r="P1967" t="s">
        <v>157</v>
      </c>
      <c r="Q1967" t="s">
        <v>2833</v>
      </c>
      <c r="R1967">
        <f ca="1">RAND()*(Validation[[#This Row],[Range1_High]]-Validation[[#This Row],[Range1_Low]])+Validation[[#This Row],[Range1_Low]]</f>
        <v>4.6794546291626293</v>
      </c>
      <c r="S1967">
        <f>Validation[[#This Row],[Range2_High]]</f>
        <v>10.01</v>
      </c>
      <c r="T1967" t="str" cm="1">
        <f t="array" aca="1" ref="T1967" ca="1">RoundToTwoSigFigs(Validation[[#This Row],[Test Reading]]*Validation[[#This Row],[Mult]]+Validation[[#This Row],[Base]]) &amp;" "&amp;Validation[[#This Row],[Uncert_Units]]</f>
        <v>190 mA</v>
      </c>
      <c r="U19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V1967" t="b">
        <f ca="1">Validation[[#This Row],[Desired Result]]=Validation[[#This Row],[Result]]</f>
        <v>1</v>
      </c>
      <c r="W1967" t="b">
        <v>0</v>
      </c>
      <c r="X1967" t="b">
        <f>Validation[[#This Row],[Range1_Low]]&gt;=Validation[[#This Row],[Range1_High]]</f>
        <v>0</v>
      </c>
      <c r="Y1967" s="111" t="s">
        <v>2845</v>
      </c>
    </row>
    <row r="1968" spans="1:25" ht="15.75" thickBot="1" x14ac:dyDescent="0.3">
      <c r="A1968" t="s">
        <v>54</v>
      </c>
      <c r="B1968" t="s">
        <v>61</v>
      </c>
      <c r="C1968">
        <v>11</v>
      </c>
      <c r="D1968">
        <v>30.001000000000001</v>
      </c>
      <c r="E1968">
        <v>0.1</v>
      </c>
      <c r="F1968" t="s">
        <v>13</v>
      </c>
      <c r="G1968" t="s">
        <v>12</v>
      </c>
      <c r="H1968">
        <v>1</v>
      </c>
      <c r="I1968">
        <v>5.01</v>
      </c>
      <c r="J1968" t="s">
        <v>10</v>
      </c>
      <c r="K1968">
        <v>33.826999999999998</v>
      </c>
      <c r="L1968">
        <v>6.6978</v>
      </c>
      <c r="M1968">
        <v>33.792000000000002</v>
      </c>
      <c r="N1968">
        <v>6.6978999999999997</v>
      </c>
      <c r="O1968" t="s">
        <v>2833</v>
      </c>
      <c r="P1968" t="s">
        <v>157</v>
      </c>
      <c r="Q1968" t="s">
        <v>2833</v>
      </c>
      <c r="R1968">
        <f ca="1">RAND()*(Validation[[#This Row],[Range1_High]]-Validation[[#This Row],[Range1_Low]])+Validation[[#This Row],[Range1_Low]]</f>
        <v>16.631394188703595</v>
      </c>
      <c r="S1968">
        <f>Validation[[#This Row],[Range2_High]]</f>
        <v>5.01</v>
      </c>
      <c r="T1968" t="str" cm="1">
        <f t="array" aca="1" ref="T1968" ca="1">RoundToTwoSigFigs(Validation[[#This Row],[Test Reading]]*Validation[[#This Row],[Mult]]+Validation[[#This Row],[Base]]) &amp;" "&amp;Validation[[#This Row],[Uncert_Units]]</f>
        <v>150 mA</v>
      </c>
      <c r="U19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V1968" t="b">
        <f ca="1">Validation[[#This Row],[Desired Result]]=Validation[[#This Row],[Result]]</f>
        <v>1</v>
      </c>
      <c r="W1968" t="b">
        <v>0</v>
      </c>
      <c r="X1968" t="b">
        <f>Validation[[#This Row],[Range1_Low]]&gt;=Validation[[#This Row],[Range1_High]]</f>
        <v>0</v>
      </c>
      <c r="Y1968" s="111" t="s">
        <v>2845</v>
      </c>
    </row>
    <row r="1969" spans="1:25" ht="16.5" thickTop="1" thickBot="1" x14ac:dyDescent="0.3">
      <c r="A1969" t="s">
        <v>54</v>
      </c>
      <c r="B1969" t="s">
        <v>61</v>
      </c>
      <c r="C1969" s="113">
        <v>11</v>
      </c>
      <c r="D1969" s="113">
        <v>30.001000000000001</v>
      </c>
      <c r="E1969">
        <v>10</v>
      </c>
      <c r="F1969" t="s">
        <v>13</v>
      </c>
      <c r="G1969" t="s">
        <v>12</v>
      </c>
      <c r="H1969">
        <v>0.01</v>
      </c>
      <c r="I1969">
        <v>4.5010000000000001E-2</v>
      </c>
      <c r="J1969" t="s">
        <v>10</v>
      </c>
      <c r="K1969">
        <v>5799.8</v>
      </c>
      <c r="L1969">
        <v>3.0408000000000001E-2</v>
      </c>
      <c r="M1969">
        <v>5799.8</v>
      </c>
      <c r="N1969">
        <v>2.9818999999999998E-2</v>
      </c>
      <c r="O1969" t="s">
        <v>2833</v>
      </c>
      <c r="P1969" t="s">
        <v>157</v>
      </c>
      <c r="Q1969" t="s">
        <v>2833</v>
      </c>
      <c r="R1969">
        <f ca="1">RAND()*(Validation[[#This Row],[Range1_High]]-Validation[[#This Row],[Range1_Low]])+Validation[[#This Row],[Range1_Low]]</f>
        <v>20.243140266090691</v>
      </c>
      <c r="S1969">
        <f>Validation[[#This Row],[Range2_High]]</f>
        <v>4.5010000000000001E-2</v>
      </c>
      <c r="T1969" t="str" cm="1">
        <f t="array" aca="1" ref="T1969" ca="1">RoundToTwoSigFigs(Validation[[#This Row],[Test Reading]]*Validation[[#This Row],[Mult]]+Validation[[#This Row],[Base]]) &amp;" "&amp;Validation[[#This Row],[Uncert_Units]]</f>
        <v>5800 mA</v>
      </c>
      <c r="U19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969" t="b">
        <f ca="1">Validation[[#This Row],[Desired Result]]=Validation[[#This Row],[Result]]</f>
        <v>1</v>
      </c>
      <c r="W1969" t="b">
        <v>1</v>
      </c>
      <c r="X1969" t="b">
        <f>Validation[[#This Row],[Range1_Low]]&gt;=Validation[[#This Row],[Range1_High]]</f>
        <v>0</v>
      </c>
      <c r="Y1969" s="111" t="s">
        <v>2843</v>
      </c>
    </row>
    <row r="1970" spans="1:25" ht="15.75" thickTop="1" x14ac:dyDescent="0.25">
      <c r="A1970" t="s">
        <v>54</v>
      </c>
      <c r="B1970" t="s">
        <v>61</v>
      </c>
      <c r="C1970">
        <v>11</v>
      </c>
      <c r="D1970">
        <v>30.001000000000001</v>
      </c>
      <c r="E1970">
        <v>1</v>
      </c>
      <c r="F1970" t="s">
        <v>13</v>
      </c>
      <c r="G1970" t="s">
        <v>12</v>
      </c>
      <c r="H1970">
        <v>4.4999999999999998E-2</v>
      </c>
      <c r="I1970">
        <v>1.0000100000000001</v>
      </c>
      <c r="J1970" t="s">
        <v>10</v>
      </c>
      <c r="K1970">
        <v>578.74</v>
      </c>
      <c r="L1970">
        <v>0.1605</v>
      </c>
      <c r="M1970">
        <v>578.73</v>
      </c>
      <c r="N1970">
        <v>0.15917999999999999</v>
      </c>
      <c r="O1970" t="s">
        <v>2833</v>
      </c>
      <c r="P1970" t="s">
        <v>157</v>
      </c>
      <c r="Q1970" t="s">
        <v>2833</v>
      </c>
      <c r="R1970">
        <f ca="1">RAND()*(Validation[[#This Row],[Range1_High]]-Validation[[#This Row],[Range1_Low]])+Validation[[#This Row],[Range1_Low]]</f>
        <v>23.508365738470058</v>
      </c>
      <c r="S1970">
        <f>Validation[[#This Row],[Range2_High]]</f>
        <v>1.0000100000000001</v>
      </c>
      <c r="T1970" t="str" cm="1">
        <f t="array" aca="1" ref="T1970" ca="1">RoundToTwoSigFigs(Validation[[#This Row],[Test Reading]]*Validation[[#This Row],[Mult]]+Validation[[#This Row],[Base]]) &amp;" "&amp;Validation[[#This Row],[Uncert_Units]]</f>
        <v>580 mA</v>
      </c>
      <c r="U19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V1970" t="b">
        <f ca="1">Validation[[#This Row],[Desired Result]]=Validation[[#This Row],[Result]]</f>
        <v>0</v>
      </c>
      <c r="W1970" t="b">
        <v>1</v>
      </c>
      <c r="X1970" t="b">
        <f>Validation[[#This Row],[Range1_Low]]&gt;=Validation[[#This Row],[Range1_High]]</f>
        <v>0</v>
      </c>
      <c r="Y1970" s="111" t="s">
        <v>2845</v>
      </c>
    </row>
    <row r="1971" spans="1:25" x14ac:dyDescent="0.25">
      <c r="A1971" t="s">
        <v>54</v>
      </c>
      <c r="B1971" t="s">
        <v>61</v>
      </c>
      <c r="C1971">
        <v>30</v>
      </c>
      <c r="D1971">
        <v>110.01</v>
      </c>
      <c r="E1971">
        <v>10</v>
      </c>
      <c r="F1971" t="s">
        <v>13</v>
      </c>
      <c r="G1971" t="s">
        <v>12</v>
      </c>
      <c r="H1971">
        <v>0.1</v>
      </c>
      <c r="I1971">
        <v>1.0000100000000001</v>
      </c>
      <c r="J1971" t="s">
        <v>10</v>
      </c>
      <c r="K1971">
        <v>5798.5</v>
      </c>
      <c r="L1971">
        <v>6.9560999999999998E-2</v>
      </c>
      <c r="M1971">
        <v>5798.5</v>
      </c>
      <c r="N1971">
        <v>6.8926000000000001E-2</v>
      </c>
      <c r="O1971" t="s">
        <v>2833</v>
      </c>
      <c r="P1971" t="s">
        <v>157</v>
      </c>
      <c r="Q1971" t="s">
        <v>2833</v>
      </c>
      <c r="R1971">
        <f ca="1">RAND()*(Validation[[#This Row],[Range1_High]]-Validation[[#This Row],[Range1_Low]])+Validation[[#This Row],[Range1_Low]]</f>
        <v>61.31784127401707</v>
      </c>
      <c r="S1971">
        <f>Validation[[#This Row],[Range2_High]]</f>
        <v>1.0000100000000001</v>
      </c>
      <c r="T1971" t="str" cm="1">
        <f t="array" aca="1" ref="T1971" ca="1">RoundToTwoSigFigs(Validation[[#This Row],[Test Reading]]*Validation[[#This Row],[Mult]]+Validation[[#This Row],[Base]]) &amp;" "&amp;Validation[[#This Row],[Uncert_Units]]</f>
        <v>5800 mA</v>
      </c>
      <c r="U19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V1971" t="b">
        <f ca="1">Validation[[#This Row],[Desired Result]]=Validation[[#This Row],[Result]]</f>
        <v>0</v>
      </c>
      <c r="W1971" t="b">
        <v>1</v>
      </c>
      <c r="X1971" t="b">
        <f>Validation[[#This Row],[Range1_Low]]&gt;=Validation[[#This Row],[Range1_High]]</f>
        <v>0</v>
      </c>
      <c r="Y1971" s="111" t="s">
        <v>2845</v>
      </c>
    </row>
    <row r="1972" spans="1:25" x14ac:dyDescent="0.25">
      <c r="A1972" t="s">
        <v>54</v>
      </c>
      <c r="B1972" t="s">
        <v>61</v>
      </c>
      <c r="C1972">
        <v>1</v>
      </c>
      <c r="D1972">
        <v>11.000999999999999</v>
      </c>
      <c r="E1972">
        <v>0.01</v>
      </c>
      <c r="F1972" t="s">
        <v>13</v>
      </c>
      <c r="G1972" t="s">
        <v>12</v>
      </c>
      <c r="H1972">
        <v>0.01</v>
      </c>
      <c r="I1972">
        <v>4.5010000000000001E-2</v>
      </c>
      <c r="J1972" t="s">
        <v>10</v>
      </c>
      <c r="K1972">
        <v>57.286999999999999</v>
      </c>
      <c r="L1972">
        <v>0.84058999999999995</v>
      </c>
      <c r="M1972">
        <v>57.284999999999997</v>
      </c>
      <c r="N1972">
        <v>0.83952000000000004</v>
      </c>
      <c r="O1972" t="s">
        <v>2833</v>
      </c>
      <c r="P1972" t="s">
        <v>157</v>
      </c>
      <c r="Q1972" t="s">
        <v>2833</v>
      </c>
      <c r="R1972">
        <f ca="1">RAND()*(Validation[[#This Row],[Range1_High]]-Validation[[#This Row],[Range1_Low]])+Validation[[#This Row],[Range1_Low]]</f>
        <v>7.9839977481879041</v>
      </c>
      <c r="S1972">
        <f>Validation[[#This Row],[Range2_High]]</f>
        <v>4.5010000000000001E-2</v>
      </c>
      <c r="T1972" t="str" cm="1">
        <f t="array" aca="1" ref="T1972" ca="1">RoundToTwoSigFigs(Validation[[#This Row],[Test Reading]]*Validation[[#This Row],[Mult]]+Validation[[#This Row],[Base]]) &amp;" "&amp;Validation[[#This Row],[Uncert_Units]]</f>
        <v>64 mA</v>
      </c>
      <c r="U19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V1972" t="b">
        <f ca="1">Validation[[#This Row],[Desired Result]]=Validation[[#This Row],[Result]]</f>
        <v>1</v>
      </c>
      <c r="W1972" t="b">
        <v>0</v>
      </c>
      <c r="X1972" t="b">
        <f>Validation[[#This Row],[Range1_Low]]&gt;=Validation[[#This Row],[Range1_High]]</f>
        <v>0</v>
      </c>
      <c r="Y1972" s="111" t="s">
        <v>2845</v>
      </c>
    </row>
    <row r="1973" spans="1:25" x14ac:dyDescent="0.25">
      <c r="A1973" t="s">
        <v>54</v>
      </c>
      <c r="B1973" t="s">
        <v>61</v>
      </c>
      <c r="C1973">
        <v>30</v>
      </c>
      <c r="D1973">
        <v>110.01</v>
      </c>
      <c r="E1973">
        <v>100</v>
      </c>
      <c r="F1973" t="s">
        <v>13</v>
      </c>
      <c r="G1973" t="s">
        <v>12</v>
      </c>
      <c r="H1973">
        <v>5</v>
      </c>
      <c r="I1973">
        <v>5.01</v>
      </c>
      <c r="J1973" t="s">
        <v>10</v>
      </c>
      <c r="K1973">
        <v>57966</v>
      </c>
      <c r="L1973">
        <v>1.4661</v>
      </c>
      <c r="M1973">
        <v>57966</v>
      </c>
      <c r="N1973">
        <v>1.4652000000000001</v>
      </c>
      <c r="O1973" t="s">
        <v>2833</v>
      </c>
      <c r="P1973" t="s">
        <v>157</v>
      </c>
      <c r="Q1973" t="s">
        <v>2833</v>
      </c>
      <c r="R1973">
        <f ca="1">RAND()*(Validation[[#This Row],[Range1_High]]-Validation[[#This Row],[Range1_Low]])+Validation[[#This Row],[Range1_Low]]</f>
        <v>108.27942923435477</v>
      </c>
      <c r="S1973">
        <f>Validation[[#This Row],[Range2_High]]</f>
        <v>5.01</v>
      </c>
      <c r="T1973" t="str" cm="1">
        <f t="array" aca="1" ref="T1973" ca="1">RoundToTwoSigFigs(Validation[[#This Row],[Test Reading]]*Validation[[#This Row],[Mult]]+Validation[[#This Row],[Base]]) &amp;" "&amp;Validation[[#This Row],[Uncert_Units]]</f>
        <v>58000 mA</v>
      </c>
      <c r="U19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1973" t="b">
        <f ca="1">Validation[[#This Row],[Desired Result]]=Validation[[#This Row],[Result]]</f>
        <v>1</v>
      </c>
      <c r="W1973" t="b">
        <v>0</v>
      </c>
      <c r="X1973" t="b">
        <f>Validation[[#This Row],[Range1_Low]]&gt;=Validation[[#This Row],[Range1_High]]</f>
        <v>0</v>
      </c>
      <c r="Y1973" s="111" t="s">
        <v>2845</v>
      </c>
    </row>
    <row r="1974" spans="1:25" x14ac:dyDescent="0.25">
      <c r="A1974" t="s">
        <v>54</v>
      </c>
      <c r="B1974" t="s">
        <v>61</v>
      </c>
      <c r="C1974">
        <v>11</v>
      </c>
      <c r="D1974">
        <v>30.001000000000001</v>
      </c>
      <c r="E1974">
        <v>0.1</v>
      </c>
      <c r="F1974" t="s">
        <v>13</v>
      </c>
      <c r="G1974" t="s">
        <v>12</v>
      </c>
      <c r="H1974">
        <v>10</v>
      </c>
      <c r="I1974">
        <v>10.01</v>
      </c>
      <c r="J1974" t="s">
        <v>10</v>
      </c>
      <c r="K1974">
        <v>63.353000000000002</v>
      </c>
      <c r="L1974">
        <v>28.821999999999999</v>
      </c>
      <c r="M1974">
        <v>63.613</v>
      </c>
      <c r="N1974">
        <v>28.797000000000001</v>
      </c>
      <c r="O1974" t="s">
        <v>2833</v>
      </c>
      <c r="P1974" t="s">
        <v>157</v>
      </c>
      <c r="Q1974" t="s">
        <v>2833</v>
      </c>
      <c r="R1974">
        <f ca="1">RAND()*(Validation[[#This Row],[Range1_High]]-Validation[[#This Row],[Range1_Low]])+Validation[[#This Row],[Range1_Low]]</f>
        <v>11.545342148216486</v>
      </c>
      <c r="S1974">
        <f>Validation[[#This Row],[Range2_High]]</f>
        <v>10.01</v>
      </c>
      <c r="T1974" t="str" cm="1">
        <f t="array" aca="1" ref="T1974" ca="1">RoundToTwoSigFigs(Validation[[#This Row],[Test Reading]]*Validation[[#This Row],[Mult]]+Validation[[#This Row],[Base]]) &amp;" "&amp;Validation[[#This Row],[Uncert_Units]]</f>
        <v>400 mA</v>
      </c>
      <c r="U19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V1974" t="b">
        <f ca="1">Validation[[#This Row],[Desired Result]]=Validation[[#This Row],[Result]]</f>
        <v>1</v>
      </c>
      <c r="W1974" t="b">
        <v>0</v>
      </c>
      <c r="X1974" t="b">
        <f>Validation[[#This Row],[Range1_Low]]&gt;=Validation[[#This Row],[Range1_High]]</f>
        <v>0</v>
      </c>
      <c r="Y1974" s="111" t="s">
        <v>2845</v>
      </c>
    </row>
    <row r="1975" spans="1:25" x14ac:dyDescent="0.25">
      <c r="A1975" t="s">
        <v>54</v>
      </c>
      <c r="B1975" t="s">
        <v>61</v>
      </c>
      <c r="C1975">
        <v>110</v>
      </c>
      <c r="D1975">
        <v>205.01</v>
      </c>
      <c r="E1975">
        <v>0.01</v>
      </c>
      <c r="F1975" t="s">
        <v>13</v>
      </c>
      <c r="G1975" t="s">
        <v>12</v>
      </c>
      <c r="H1975">
        <v>1</v>
      </c>
      <c r="I1975">
        <v>5</v>
      </c>
      <c r="J1975" t="s">
        <v>10</v>
      </c>
      <c r="K1975">
        <v>58</v>
      </c>
      <c r="L1975">
        <v>35</v>
      </c>
      <c r="M1975">
        <v>57.612000000000002</v>
      </c>
      <c r="N1975">
        <v>34.698999999999998</v>
      </c>
      <c r="O1975" t="s">
        <v>2833</v>
      </c>
      <c r="P1975" t="s">
        <v>157</v>
      </c>
      <c r="Q1975" t="s">
        <v>2833</v>
      </c>
      <c r="R1975">
        <f ca="1">RAND()*(Validation[[#This Row],[Range1_High]]-Validation[[#This Row],[Range1_Low]])+Validation[[#This Row],[Range1_Low]]</f>
        <v>118.47786188651702</v>
      </c>
      <c r="S1975">
        <f>Validation[[#This Row],[Range2_High]]</f>
        <v>5</v>
      </c>
      <c r="T1975" t="str" cm="1">
        <f t="array" aca="1" ref="T1975" ca="1">RoundToTwoSigFigs(Validation[[#This Row],[Test Reading]]*Validation[[#This Row],[Mult]]+Validation[[#This Row],[Base]]) &amp;" "&amp;Validation[[#This Row],[Uncert_Units]]</f>
        <v>4200 mA</v>
      </c>
      <c r="U19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mA</v>
      </c>
      <c r="V1975" t="b">
        <f ca="1">Validation[[#This Row],[Desired Result]]=Validation[[#This Row],[Result]]</f>
        <v>1</v>
      </c>
      <c r="W1975" t="b">
        <v>1</v>
      </c>
      <c r="X1975" t="b">
        <f>Validation[[#This Row],[Range1_Low]]&gt;=Validation[[#This Row],[Range1_High]]</f>
        <v>0</v>
      </c>
      <c r="Y1975" s="111" t="s">
        <v>2845</v>
      </c>
    </row>
    <row r="1976" spans="1:25" x14ac:dyDescent="0.25">
      <c r="A1976" t="s">
        <v>54</v>
      </c>
      <c r="B1976" t="s">
        <v>61</v>
      </c>
      <c r="C1976">
        <v>1</v>
      </c>
      <c r="D1976">
        <v>11.000999999999999</v>
      </c>
      <c r="E1976">
        <v>10</v>
      </c>
      <c r="F1976" t="s">
        <v>13</v>
      </c>
      <c r="G1976" t="s">
        <v>12</v>
      </c>
      <c r="H1976">
        <v>1</v>
      </c>
      <c r="I1976">
        <v>5.01</v>
      </c>
      <c r="J1976" t="s">
        <v>10</v>
      </c>
      <c r="K1976">
        <v>5800</v>
      </c>
      <c r="L1976">
        <v>6.8090999999999999E-2</v>
      </c>
      <c r="M1976">
        <v>5800</v>
      </c>
      <c r="N1976">
        <v>6.7582000000000003E-2</v>
      </c>
      <c r="O1976" t="s">
        <v>2833</v>
      </c>
      <c r="P1976" t="s">
        <v>157</v>
      </c>
      <c r="Q1976" t="s">
        <v>2833</v>
      </c>
      <c r="R1976">
        <f ca="1">RAND()*(Validation[[#This Row],[Range1_High]]-Validation[[#This Row],[Range1_Low]])+Validation[[#This Row],[Range1_Low]]</f>
        <v>4.3299547818889277</v>
      </c>
      <c r="S1976">
        <f>Validation[[#This Row],[Range2_High]]</f>
        <v>5.01</v>
      </c>
      <c r="T1976" t="str" cm="1">
        <f t="array" aca="1" ref="T1976" ca="1">RoundToTwoSigFigs(Validation[[#This Row],[Test Reading]]*Validation[[#This Row],[Mult]]+Validation[[#This Row],[Base]]) &amp;" "&amp;Validation[[#This Row],[Uncert_Units]]</f>
        <v>5800 mA</v>
      </c>
      <c r="U19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976" t="b">
        <f ca="1">Validation[[#This Row],[Desired Result]]=Validation[[#This Row],[Result]]</f>
        <v>1</v>
      </c>
      <c r="W1976" t="b">
        <v>0</v>
      </c>
      <c r="X1976" t="b">
        <f>Validation[[#This Row],[Range1_Low]]&gt;=Validation[[#This Row],[Range1_High]]</f>
        <v>0</v>
      </c>
      <c r="Y1976" s="111" t="s">
        <v>2845</v>
      </c>
    </row>
    <row r="1977" spans="1:25" ht="15.75" thickBot="1" x14ac:dyDescent="0.3">
      <c r="A1977" t="s">
        <v>54</v>
      </c>
      <c r="B1977" t="s">
        <v>61</v>
      </c>
      <c r="C1977">
        <v>110</v>
      </c>
      <c r="D1977">
        <v>205.01</v>
      </c>
      <c r="E1977">
        <v>0.1</v>
      </c>
      <c r="F1977" t="s">
        <v>13</v>
      </c>
      <c r="G1977" t="s">
        <v>12</v>
      </c>
      <c r="H1977">
        <v>5</v>
      </c>
      <c r="I1977">
        <v>5.01</v>
      </c>
      <c r="J1977" t="s">
        <v>10</v>
      </c>
      <c r="K1977">
        <v>58</v>
      </c>
      <c r="L1977">
        <v>35</v>
      </c>
      <c r="M1977">
        <v>58.262</v>
      </c>
      <c r="N1977">
        <v>34.697000000000003</v>
      </c>
      <c r="O1977" t="s">
        <v>2833</v>
      </c>
      <c r="P1977" t="s">
        <v>157</v>
      </c>
      <c r="Q1977" t="s">
        <v>2833</v>
      </c>
      <c r="R1977">
        <f ca="1">RAND()*(Validation[[#This Row],[Range1_High]]-Validation[[#This Row],[Range1_Low]])+Validation[[#This Row],[Range1_Low]]</f>
        <v>135.96789546095155</v>
      </c>
      <c r="S1977">
        <f>Validation[[#This Row],[Range2_High]]</f>
        <v>5.01</v>
      </c>
      <c r="T1977" t="str" cm="1">
        <f t="array" aca="1" ref="T1977" ca="1">RoundToTwoSigFigs(Validation[[#This Row],[Test Reading]]*Validation[[#This Row],[Mult]]+Validation[[#This Row],[Base]]) &amp;" "&amp;Validation[[#This Row],[Uncert_Units]]</f>
        <v>4800 mA</v>
      </c>
      <c r="U19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4800 mA</v>
      </c>
      <c r="V1977" t="b">
        <f ca="1">Validation[[#This Row],[Desired Result]]=Validation[[#This Row],[Result]]</f>
        <v>1</v>
      </c>
      <c r="W1977" t="b">
        <v>0</v>
      </c>
      <c r="X1977" t="b">
        <f>Validation[[#This Row],[Range1_Low]]&gt;=Validation[[#This Row],[Range1_High]]</f>
        <v>0</v>
      </c>
      <c r="Y1977" s="111" t="s">
        <v>2845</v>
      </c>
    </row>
    <row r="1978" spans="1:25" ht="16.5" thickTop="1" thickBot="1" x14ac:dyDescent="0.3">
      <c r="A1978" t="s">
        <v>54</v>
      </c>
      <c r="B1978" t="s">
        <v>61</v>
      </c>
      <c r="C1978" s="113">
        <v>110</v>
      </c>
      <c r="D1978" s="113">
        <v>205.01</v>
      </c>
      <c r="E1978">
        <v>0.01</v>
      </c>
      <c r="F1978" t="s">
        <v>13</v>
      </c>
      <c r="G1978" t="s">
        <v>12</v>
      </c>
      <c r="H1978">
        <v>0.1</v>
      </c>
      <c r="I1978">
        <v>1.0000100000000001</v>
      </c>
      <c r="J1978" t="s">
        <v>10</v>
      </c>
      <c r="K1978">
        <v>49</v>
      </c>
      <c r="L1978">
        <v>2.6</v>
      </c>
      <c r="M1978">
        <v>42.201999999999998</v>
      </c>
      <c r="N1978">
        <v>2.6324000000000001</v>
      </c>
      <c r="O1978" t="s">
        <v>2833</v>
      </c>
      <c r="P1978" t="s">
        <v>157</v>
      </c>
      <c r="Q1978" t="s">
        <v>2833</v>
      </c>
      <c r="R1978">
        <f ca="1">RAND()*(Validation[[#This Row],[Range1_High]]-Validation[[#This Row],[Range1_Low]])+Validation[[#This Row],[Range1_Low]]</f>
        <v>191.15107636605245</v>
      </c>
      <c r="S1978">
        <f>Validation[[#This Row],[Range2_High]]</f>
        <v>1.0000100000000001</v>
      </c>
      <c r="T1978" t="str" cm="1">
        <f t="array" aca="1" ref="T1978" ca="1">RoundToTwoSigFigs(Validation[[#This Row],[Test Reading]]*Validation[[#This Row],[Mult]]+Validation[[#This Row],[Base]]) &amp;" "&amp;Validation[[#This Row],[Uncert_Units]]</f>
        <v>550 mA</v>
      </c>
      <c r="U19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mA</v>
      </c>
      <c r="V1978" t="b">
        <f ca="1">Validation[[#This Row],[Desired Result]]=Validation[[#This Row],[Result]]</f>
        <v>1</v>
      </c>
      <c r="W1978" t="b">
        <v>1</v>
      </c>
      <c r="X1978" t="b">
        <f>Validation[[#This Row],[Range1_Low]]&gt;=Validation[[#This Row],[Range1_High]]</f>
        <v>0</v>
      </c>
      <c r="Y1978" s="111" t="s">
        <v>2843</v>
      </c>
    </row>
    <row r="1979" spans="1:25" ht="16.5" thickTop="1" thickBot="1" x14ac:dyDescent="0.3">
      <c r="A1979" t="s">
        <v>54</v>
      </c>
      <c r="B1979" t="s">
        <v>61</v>
      </c>
      <c r="C1979" s="113">
        <v>30</v>
      </c>
      <c r="D1979" s="113">
        <v>110.01</v>
      </c>
      <c r="E1979">
        <v>0.01</v>
      </c>
      <c r="F1979" t="s">
        <v>13</v>
      </c>
      <c r="G1979" t="s">
        <v>12</v>
      </c>
      <c r="H1979">
        <v>1</v>
      </c>
      <c r="I1979">
        <v>5</v>
      </c>
      <c r="J1979" t="s">
        <v>10</v>
      </c>
      <c r="K1979">
        <v>24</v>
      </c>
      <c r="L1979">
        <v>35</v>
      </c>
      <c r="M1979">
        <v>23.064</v>
      </c>
      <c r="N1979">
        <v>34.698999999999998</v>
      </c>
      <c r="O1979" t="s">
        <v>2833</v>
      </c>
      <c r="P1979" t="s">
        <v>157</v>
      </c>
      <c r="Q1979" t="s">
        <v>2833</v>
      </c>
      <c r="R1979">
        <f ca="1">RAND()*(Validation[[#This Row],[Range1_High]]-Validation[[#This Row],[Range1_Low]])+Validation[[#This Row],[Range1_Low]]</f>
        <v>102.86904554741331</v>
      </c>
      <c r="S1979">
        <f>Validation[[#This Row],[Range2_High]]</f>
        <v>5</v>
      </c>
      <c r="T1979" t="str" cm="1">
        <f t="array" aca="1" ref="T1979" ca="1">RoundToTwoSigFigs(Validation[[#This Row],[Test Reading]]*Validation[[#This Row],[Mult]]+Validation[[#This Row],[Base]]) &amp;" "&amp;Validation[[#This Row],[Uncert_Units]]</f>
        <v>3600 mA</v>
      </c>
      <c r="U19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mA</v>
      </c>
      <c r="V1979" t="b">
        <f ca="1">Validation[[#This Row],[Desired Result]]=Validation[[#This Row],[Result]]</f>
        <v>1</v>
      </c>
      <c r="W1979" t="b">
        <v>1</v>
      </c>
      <c r="X1979" t="b">
        <f>Validation[[#This Row],[Range1_Low]]&gt;=Validation[[#This Row],[Range1_High]]</f>
        <v>0</v>
      </c>
      <c r="Y1979" s="111" t="s">
        <v>2843</v>
      </c>
    </row>
    <row r="1980" spans="1:25" ht="16.5" thickTop="1" thickBot="1" x14ac:dyDescent="0.3">
      <c r="A1980" t="s">
        <v>54</v>
      </c>
      <c r="B1980" t="s">
        <v>61</v>
      </c>
      <c r="C1980" s="113">
        <v>30</v>
      </c>
      <c r="D1980" s="113">
        <v>110.01</v>
      </c>
      <c r="E1980">
        <v>0.01</v>
      </c>
      <c r="F1980" t="s">
        <v>13</v>
      </c>
      <c r="G1980" t="s">
        <v>12</v>
      </c>
      <c r="H1980">
        <v>0.1</v>
      </c>
      <c r="I1980">
        <v>1.0000100000000001</v>
      </c>
      <c r="J1980" t="s">
        <v>10</v>
      </c>
      <c r="K1980">
        <v>15</v>
      </c>
      <c r="L1980">
        <v>2.2999999999999998</v>
      </c>
      <c r="M1980">
        <v>14.872</v>
      </c>
      <c r="N1980">
        <v>2.2866</v>
      </c>
      <c r="O1980" t="s">
        <v>2833</v>
      </c>
      <c r="P1980" t="s">
        <v>157</v>
      </c>
      <c r="Q1980" t="s">
        <v>2833</v>
      </c>
      <c r="R1980">
        <f ca="1">RAND()*(Validation[[#This Row],[Range1_High]]-Validation[[#This Row],[Range1_Low]])+Validation[[#This Row],[Range1_Low]]</f>
        <v>101.48427927024981</v>
      </c>
      <c r="S1980">
        <f>Validation[[#This Row],[Range2_High]]</f>
        <v>1.0000100000000001</v>
      </c>
      <c r="T1980" t="str" cm="1">
        <f t="array" aca="1" ref="T1980" ca="1">RoundToTwoSigFigs(Validation[[#This Row],[Test Reading]]*Validation[[#This Row],[Mult]]+Validation[[#This Row],[Base]]) &amp;" "&amp;Validation[[#This Row],[Uncert_Units]]</f>
        <v>250 mA</v>
      </c>
      <c r="U19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mA</v>
      </c>
      <c r="V1980" t="b">
        <f ca="1">Validation[[#This Row],[Desired Result]]=Validation[[#This Row],[Result]]</f>
        <v>0</v>
      </c>
      <c r="W1980" t="b">
        <v>1</v>
      </c>
      <c r="X1980" t="b">
        <f>Validation[[#This Row],[Range1_Low]]&gt;=Validation[[#This Row],[Range1_High]]</f>
        <v>0</v>
      </c>
      <c r="Y1980" s="111" t="s">
        <v>2843</v>
      </c>
    </row>
    <row r="1981" spans="1:25" ht="15.75" thickTop="1" x14ac:dyDescent="0.25">
      <c r="A1981" t="s">
        <v>54</v>
      </c>
      <c r="B1981" t="s">
        <v>61</v>
      </c>
      <c r="C1981">
        <v>1</v>
      </c>
      <c r="D1981">
        <v>11.000999999999999</v>
      </c>
      <c r="E1981">
        <v>0.01</v>
      </c>
      <c r="F1981" t="s">
        <v>13</v>
      </c>
      <c r="G1981" t="s">
        <v>12</v>
      </c>
      <c r="H1981">
        <v>5</v>
      </c>
      <c r="I1981">
        <v>10</v>
      </c>
      <c r="J1981" t="s">
        <v>10</v>
      </c>
      <c r="K1981">
        <v>58</v>
      </c>
      <c r="L1981">
        <v>28.914000000000001</v>
      </c>
      <c r="M1981">
        <v>57.905000000000001</v>
      </c>
      <c r="N1981">
        <v>28.914999999999999</v>
      </c>
      <c r="O1981" t="s">
        <v>2833</v>
      </c>
      <c r="P1981" t="s">
        <v>157</v>
      </c>
      <c r="Q1981" t="s">
        <v>2833</v>
      </c>
      <c r="R1981">
        <f ca="1">RAND()*(Validation[[#This Row],[Range1_High]]-Validation[[#This Row],[Range1_Low]])+Validation[[#This Row],[Range1_Low]]</f>
        <v>3.3613536106747466</v>
      </c>
      <c r="S1981">
        <f>Validation[[#This Row],[Range2_High]]</f>
        <v>10</v>
      </c>
      <c r="T1981" t="str" cm="1">
        <f t="array" aca="1" ref="T1981" ca="1">RoundToTwoSigFigs(Validation[[#This Row],[Test Reading]]*Validation[[#This Row],[Mult]]+Validation[[#This Row],[Base]]) &amp;" "&amp;Validation[[#This Row],[Uncert_Units]]</f>
        <v>160 mA</v>
      </c>
      <c r="U19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V1981" t="b">
        <f ca="1">Validation[[#This Row],[Desired Result]]=Validation[[#This Row],[Result]]</f>
        <v>1</v>
      </c>
      <c r="W1981" t="b">
        <v>1</v>
      </c>
      <c r="X1981" t="b">
        <f>Validation[[#This Row],[Range1_Low]]&gt;=Validation[[#This Row],[Range1_High]]</f>
        <v>0</v>
      </c>
      <c r="Y1981" s="111" t="s">
        <v>2845</v>
      </c>
    </row>
    <row r="1982" spans="1:25" x14ac:dyDescent="0.25">
      <c r="A1982" t="s">
        <v>54</v>
      </c>
      <c r="B1982" t="s">
        <v>61</v>
      </c>
      <c r="C1982">
        <v>1</v>
      </c>
      <c r="D1982">
        <v>11.000999999999999</v>
      </c>
      <c r="E1982">
        <v>1</v>
      </c>
      <c r="F1982" t="s">
        <v>13</v>
      </c>
      <c r="G1982" t="s">
        <v>12</v>
      </c>
      <c r="H1982">
        <v>1</v>
      </c>
      <c r="I1982">
        <v>5.01</v>
      </c>
      <c r="J1982" t="s">
        <v>10</v>
      </c>
      <c r="K1982">
        <v>579.63</v>
      </c>
      <c r="L1982">
        <v>0.67288000000000003</v>
      </c>
      <c r="M1982">
        <v>579.63</v>
      </c>
      <c r="N1982">
        <v>0.67162999999999995</v>
      </c>
      <c r="O1982" t="s">
        <v>2833</v>
      </c>
      <c r="P1982" t="s">
        <v>157</v>
      </c>
      <c r="Q1982" t="s">
        <v>2833</v>
      </c>
      <c r="R1982">
        <f ca="1">RAND()*(Validation[[#This Row],[Range1_High]]-Validation[[#This Row],[Range1_Low]])+Validation[[#This Row],[Range1_Low]]</f>
        <v>7.2945690035369317</v>
      </c>
      <c r="S1982">
        <f>Validation[[#This Row],[Range2_High]]</f>
        <v>5.01</v>
      </c>
      <c r="T1982" t="str" cm="1">
        <f t="array" aca="1" ref="T1982" ca="1">RoundToTwoSigFigs(Validation[[#This Row],[Test Reading]]*Validation[[#This Row],[Mult]]+Validation[[#This Row],[Base]]) &amp;" "&amp;Validation[[#This Row],[Uncert_Units]]</f>
        <v>580 mA</v>
      </c>
      <c r="U19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1982" t="b">
        <f ca="1">Validation[[#This Row],[Desired Result]]=Validation[[#This Row],[Result]]</f>
        <v>1</v>
      </c>
      <c r="W1982" t="b">
        <v>0</v>
      </c>
      <c r="X1982" t="b">
        <f>Validation[[#This Row],[Range1_Low]]&gt;=Validation[[#This Row],[Range1_High]]</f>
        <v>0</v>
      </c>
      <c r="Y1982" s="111" t="s">
        <v>2845</v>
      </c>
    </row>
    <row r="1983" spans="1:25" ht="15.75" thickBot="1" x14ac:dyDescent="0.3">
      <c r="A1983" t="s">
        <v>54</v>
      </c>
      <c r="B1983" t="s">
        <v>61</v>
      </c>
      <c r="C1983">
        <v>110</v>
      </c>
      <c r="D1983">
        <v>205.01</v>
      </c>
      <c r="E1983">
        <v>10</v>
      </c>
      <c r="F1983" t="s">
        <v>13</v>
      </c>
      <c r="G1983" t="s">
        <v>12</v>
      </c>
      <c r="H1983">
        <v>1</v>
      </c>
      <c r="I1983">
        <v>5</v>
      </c>
      <c r="J1983" t="s">
        <v>10</v>
      </c>
      <c r="K1983">
        <v>4372.5</v>
      </c>
      <c r="L1983">
        <v>23.661999999999999</v>
      </c>
      <c r="M1983">
        <v>4372.3999999999996</v>
      </c>
      <c r="N1983">
        <v>23.661000000000001</v>
      </c>
      <c r="O1983" t="s">
        <v>2833</v>
      </c>
      <c r="P1983" t="s">
        <v>157</v>
      </c>
      <c r="Q1983" t="s">
        <v>2833</v>
      </c>
      <c r="R1983">
        <f ca="1">RAND()*(Validation[[#This Row],[Range1_High]]-Validation[[#This Row],[Range1_Low]])+Validation[[#This Row],[Range1_Low]]</f>
        <v>154.49937028719762</v>
      </c>
      <c r="S1983">
        <f>Validation[[#This Row],[Range2_High]]</f>
        <v>5</v>
      </c>
      <c r="T1983" t="str" cm="1">
        <f t="array" aca="1" ref="T1983" ca="1">RoundToTwoSigFigs(Validation[[#This Row],[Test Reading]]*Validation[[#This Row],[Mult]]+Validation[[#This Row],[Base]]) &amp;" "&amp;Validation[[#This Row],[Uncert_Units]]</f>
        <v>8000 mA</v>
      </c>
      <c r="U19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8000 mA</v>
      </c>
      <c r="V1983" t="b">
        <f ca="1">Validation[[#This Row],[Desired Result]]=Validation[[#This Row],[Result]]</f>
        <v>1</v>
      </c>
      <c r="W1983" t="b">
        <v>1</v>
      </c>
      <c r="X1983" t="b">
        <f>Validation[[#This Row],[Range1_Low]]&gt;=Validation[[#This Row],[Range1_High]]</f>
        <v>0</v>
      </c>
      <c r="Y1983" s="111" t="s">
        <v>2845</v>
      </c>
    </row>
    <row r="1984" spans="1:25" ht="16.5" thickTop="1" thickBot="1" x14ac:dyDescent="0.3">
      <c r="A1984" t="s">
        <v>54</v>
      </c>
      <c r="B1984" t="s">
        <v>61</v>
      </c>
      <c r="C1984" s="113">
        <v>30</v>
      </c>
      <c r="D1984" s="113">
        <v>110.01</v>
      </c>
      <c r="E1984">
        <v>1</v>
      </c>
      <c r="F1984" t="s">
        <v>13</v>
      </c>
      <c r="G1984" t="s">
        <v>12</v>
      </c>
      <c r="H1984">
        <v>0.1</v>
      </c>
      <c r="I1984">
        <v>1.0000100000000001</v>
      </c>
      <c r="J1984" t="s">
        <v>10</v>
      </c>
      <c r="K1984">
        <v>566.33000000000004</v>
      </c>
      <c r="L1984">
        <v>0.65491999999999995</v>
      </c>
      <c r="M1984">
        <v>566.34</v>
      </c>
      <c r="N1984">
        <v>0.65351000000000004</v>
      </c>
      <c r="O1984" t="s">
        <v>2833</v>
      </c>
      <c r="P1984" t="s">
        <v>157</v>
      </c>
      <c r="Q1984" t="s">
        <v>2833</v>
      </c>
      <c r="R1984">
        <f ca="1">RAND()*(Validation[[#This Row],[Range1_High]]-Validation[[#This Row],[Range1_Low]])+Validation[[#This Row],[Range1_Low]]</f>
        <v>54.846951894484434</v>
      </c>
      <c r="S1984">
        <f>Validation[[#This Row],[Range2_High]]</f>
        <v>1.0000100000000001</v>
      </c>
      <c r="T1984" t="str" cm="1">
        <f t="array" aca="1" ref="T1984" ca="1">RoundToTwoSigFigs(Validation[[#This Row],[Test Reading]]*Validation[[#This Row],[Mult]]+Validation[[#This Row],[Base]]) &amp;" "&amp;Validation[[#This Row],[Uncert_Units]]</f>
        <v>600 mA</v>
      </c>
      <c r="U19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V1984" t="b">
        <f ca="1">Validation[[#This Row],[Desired Result]]=Validation[[#This Row],[Result]]</f>
        <v>0</v>
      </c>
      <c r="W1984" t="b">
        <v>1</v>
      </c>
      <c r="X1984" t="b">
        <f>Validation[[#This Row],[Range1_Low]]&gt;=Validation[[#This Row],[Range1_High]]</f>
        <v>0</v>
      </c>
      <c r="Y1984" s="111" t="s">
        <v>2843</v>
      </c>
    </row>
    <row r="1985" spans="1:25" ht="15.75" thickTop="1" x14ac:dyDescent="0.25">
      <c r="A1985" t="s">
        <v>54</v>
      </c>
      <c r="B1985" t="s">
        <v>61</v>
      </c>
      <c r="C1985">
        <v>110</v>
      </c>
      <c r="D1985">
        <v>205.01</v>
      </c>
      <c r="E1985">
        <v>1</v>
      </c>
      <c r="F1985" t="s">
        <v>13</v>
      </c>
      <c r="G1985" t="s">
        <v>12</v>
      </c>
      <c r="H1985">
        <v>1</v>
      </c>
      <c r="I1985">
        <v>5</v>
      </c>
      <c r="J1985" t="s">
        <v>10</v>
      </c>
      <c r="K1985">
        <v>79.069999999999993</v>
      </c>
      <c r="L1985">
        <v>34.896999999999998</v>
      </c>
      <c r="M1985">
        <v>123.66</v>
      </c>
      <c r="N1985">
        <v>34.491</v>
      </c>
      <c r="O1985" t="s">
        <v>2833</v>
      </c>
      <c r="P1985" t="s">
        <v>157</v>
      </c>
      <c r="Q1985" t="s">
        <v>2833</v>
      </c>
      <c r="R1985">
        <f ca="1">RAND()*(Validation[[#This Row],[Range1_High]]-Validation[[#This Row],[Range1_Low]])+Validation[[#This Row],[Range1_Low]]</f>
        <v>118.59016334261901</v>
      </c>
      <c r="S1985">
        <f>Validation[[#This Row],[Range2_High]]</f>
        <v>5</v>
      </c>
      <c r="T1985" t="str" cm="1">
        <f t="array" aca="1" ref="T1985" ca="1">RoundToTwoSigFigs(Validation[[#This Row],[Test Reading]]*Validation[[#This Row],[Mult]]+Validation[[#This Row],[Base]]) &amp;" "&amp;Validation[[#This Row],[Uncert_Units]]</f>
        <v>4200 mA</v>
      </c>
      <c r="U19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mA</v>
      </c>
      <c r="V1985" t="b">
        <f ca="1">Validation[[#This Row],[Desired Result]]=Validation[[#This Row],[Result]]</f>
        <v>1</v>
      </c>
      <c r="W1985" t="b">
        <v>1</v>
      </c>
      <c r="X1985" t="b">
        <f>Validation[[#This Row],[Range1_Low]]&gt;=Validation[[#This Row],[Range1_High]]</f>
        <v>0</v>
      </c>
      <c r="Y1985" s="111" t="s">
        <v>2845</v>
      </c>
    </row>
    <row r="1986" spans="1:25" x14ac:dyDescent="0.25">
      <c r="A1986" t="s">
        <v>54</v>
      </c>
      <c r="B1986" t="s">
        <v>61</v>
      </c>
      <c r="C1986">
        <v>11</v>
      </c>
      <c r="D1986">
        <v>30.001000000000001</v>
      </c>
      <c r="E1986">
        <v>1E-3</v>
      </c>
      <c r="F1986" t="s">
        <v>13</v>
      </c>
      <c r="G1986" t="s">
        <v>12</v>
      </c>
      <c r="H1986">
        <v>5</v>
      </c>
      <c r="I1986">
        <v>10</v>
      </c>
      <c r="J1986" t="s">
        <v>10</v>
      </c>
      <c r="K1986">
        <v>58</v>
      </c>
      <c r="L1986">
        <v>29</v>
      </c>
      <c r="M1986">
        <v>57.627000000000002</v>
      </c>
      <c r="N1986">
        <v>28.936</v>
      </c>
      <c r="O1986" t="s">
        <v>2833</v>
      </c>
      <c r="P1986" t="s">
        <v>157</v>
      </c>
      <c r="Q1986" t="s">
        <v>2833</v>
      </c>
      <c r="R1986">
        <f ca="1">RAND()*(Validation[[#This Row],[Range1_High]]-Validation[[#This Row],[Range1_Low]])+Validation[[#This Row],[Range1_Low]]</f>
        <v>16.058676731019862</v>
      </c>
      <c r="S1986">
        <f>Validation[[#This Row],[Range2_High]]</f>
        <v>10</v>
      </c>
      <c r="T1986" t="str" cm="1">
        <f t="array" aca="1" ref="T1986" ca="1">RoundToTwoSigFigs(Validation[[#This Row],[Test Reading]]*Validation[[#This Row],[Mult]]+Validation[[#This Row],[Base]]) &amp;" "&amp;Validation[[#This Row],[Uncert_Units]]</f>
        <v>520 mA</v>
      </c>
      <c r="U19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V1986" t="b">
        <f ca="1">Validation[[#This Row],[Desired Result]]=Validation[[#This Row],[Result]]</f>
        <v>1</v>
      </c>
      <c r="W1986" t="b">
        <v>0</v>
      </c>
      <c r="X1986" t="b">
        <f>Validation[[#This Row],[Range1_Low]]&gt;=Validation[[#This Row],[Range1_High]]</f>
        <v>0</v>
      </c>
      <c r="Y1986" s="111" t="s">
        <v>2845</v>
      </c>
    </row>
    <row r="1987" spans="1:25" x14ac:dyDescent="0.25">
      <c r="A1987" t="s">
        <v>54</v>
      </c>
      <c r="B1987" t="s">
        <v>61</v>
      </c>
      <c r="C1987">
        <v>11</v>
      </c>
      <c r="D1987">
        <v>30.001000000000001</v>
      </c>
      <c r="E1987">
        <v>10</v>
      </c>
      <c r="F1987" t="s">
        <v>13</v>
      </c>
      <c r="G1987" t="s">
        <v>12</v>
      </c>
      <c r="H1987">
        <v>4.4999999999999998E-2</v>
      </c>
      <c r="I1987">
        <v>1.0000100000000001</v>
      </c>
      <c r="J1987" t="s">
        <v>10</v>
      </c>
      <c r="K1987">
        <v>5799.9</v>
      </c>
      <c r="L1987">
        <v>1.6507000000000001E-2</v>
      </c>
      <c r="M1987">
        <v>5799.9</v>
      </c>
      <c r="N1987">
        <v>1.5972E-2</v>
      </c>
      <c r="O1987" t="s">
        <v>2833</v>
      </c>
      <c r="P1987" t="s">
        <v>157</v>
      </c>
      <c r="Q1987" t="s">
        <v>2833</v>
      </c>
      <c r="R1987">
        <f ca="1">RAND()*(Validation[[#This Row],[Range1_High]]-Validation[[#This Row],[Range1_Low]])+Validation[[#This Row],[Range1_Low]]</f>
        <v>18.629751652587188</v>
      </c>
      <c r="S1987">
        <f>Validation[[#This Row],[Range2_High]]</f>
        <v>1.0000100000000001</v>
      </c>
      <c r="T1987" t="str" cm="1">
        <f t="array" aca="1" ref="T1987" ca="1">RoundToTwoSigFigs(Validation[[#This Row],[Test Reading]]*Validation[[#This Row],[Mult]]+Validation[[#This Row],[Base]]) &amp;" "&amp;Validation[[#This Row],[Uncert_Units]]</f>
        <v>5800 mA</v>
      </c>
      <c r="U19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987" t="b">
        <f ca="1">Validation[[#This Row],[Desired Result]]=Validation[[#This Row],[Result]]</f>
        <v>1</v>
      </c>
      <c r="W1987" t="b">
        <v>0</v>
      </c>
      <c r="X1987" t="b">
        <f>Validation[[#This Row],[Range1_Low]]&gt;=Validation[[#This Row],[Range1_High]]</f>
        <v>0</v>
      </c>
      <c r="Y1987" s="111" t="s">
        <v>2845</v>
      </c>
    </row>
    <row r="1988" spans="1:25" x14ac:dyDescent="0.25">
      <c r="A1988" t="s">
        <v>54</v>
      </c>
      <c r="B1988" t="s">
        <v>61</v>
      </c>
      <c r="C1988">
        <v>1</v>
      </c>
      <c r="D1988">
        <v>11.000999999999999</v>
      </c>
      <c r="E1988">
        <v>10</v>
      </c>
      <c r="F1988" t="s">
        <v>13</v>
      </c>
      <c r="G1988" t="s">
        <v>12</v>
      </c>
      <c r="H1988">
        <v>5</v>
      </c>
      <c r="I1988">
        <v>10</v>
      </c>
      <c r="J1988" t="s">
        <v>10</v>
      </c>
      <c r="K1988">
        <v>5799.5</v>
      </c>
      <c r="L1988">
        <v>1.1535</v>
      </c>
      <c r="M1988">
        <v>5799.5</v>
      </c>
      <c r="N1988">
        <v>1.1523000000000001</v>
      </c>
      <c r="O1988" t="s">
        <v>2833</v>
      </c>
      <c r="P1988" t="s">
        <v>157</v>
      </c>
      <c r="Q1988" t="s">
        <v>2833</v>
      </c>
      <c r="R1988">
        <f ca="1">RAND()*(Validation[[#This Row],[Range1_High]]-Validation[[#This Row],[Range1_Low]])+Validation[[#This Row],[Range1_Low]]</f>
        <v>9.2351450270841209</v>
      </c>
      <c r="S1988">
        <f>Validation[[#This Row],[Range2_High]]</f>
        <v>10</v>
      </c>
      <c r="T1988" t="str" cm="1">
        <f t="array" aca="1" ref="T1988" ca="1">RoundToTwoSigFigs(Validation[[#This Row],[Test Reading]]*Validation[[#This Row],[Mult]]+Validation[[#This Row],[Base]]) &amp;" "&amp;Validation[[#This Row],[Uncert_Units]]</f>
        <v>5800 mA</v>
      </c>
      <c r="U19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988" t="b">
        <f ca="1">Validation[[#This Row],[Desired Result]]=Validation[[#This Row],[Result]]</f>
        <v>1</v>
      </c>
      <c r="W1988" t="b">
        <v>0</v>
      </c>
      <c r="X1988" t="b">
        <f>Validation[[#This Row],[Range1_Low]]&gt;=Validation[[#This Row],[Range1_High]]</f>
        <v>0</v>
      </c>
      <c r="Y1988" s="111" t="s">
        <v>2845</v>
      </c>
    </row>
    <row r="1989" spans="1:25" x14ac:dyDescent="0.25">
      <c r="A1989" t="s">
        <v>54</v>
      </c>
      <c r="B1989" t="s">
        <v>61</v>
      </c>
      <c r="C1989">
        <v>1</v>
      </c>
      <c r="D1989">
        <v>11.000999999999999</v>
      </c>
      <c r="E1989">
        <v>0.1</v>
      </c>
      <c r="F1989" t="s">
        <v>13</v>
      </c>
      <c r="G1989" t="s">
        <v>12</v>
      </c>
      <c r="H1989">
        <v>4.4999999999999998E-2</v>
      </c>
      <c r="I1989">
        <v>1.0000100000000001</v>
      </c>
      <c r="J1989" t="s">
        <v>10</v>
      </c>
      <c r="K1989">
        <v>57.618000000000002</v>
      </c>
      <c r="L1989">
        <v>0.44323000000000001</v>
      </c>
      <c r="M1989">
        <v>57.618000000000002</v>
      </c>
      <c r="N1989">
        <v>0.44244</v>
      </c>
      <c r="O1989" t="s">
        <v>2833</v>
      </c>
      <c r="P1989" t="s">
        <v>157</v>
      </c>
      <c r="Q1989" t="s">
        <v>2833</v>
      </c>
      <c r="R1989">
        <f ca="1">RAND()*(Validation[[#This Row],[Range1_High]]-Validation[[#This Row],[Range1_Low]])+Validation[[#This Row],[Range1_Low]]</f>
        <v>6.4463768309908787</v>
      </c>
      <c r="S1989">
        <f>Validation[[#This Row],[Range2_High]]</f>
        <v>1.0000100000000001</v>
      </c>
      <c r="T1989" t="str" cm="1">
        <f t="array" aca="1" ref="T1989" ca="1">RoundToTwoSigFigs(Validation[[#This Row],[Test Reading]]*Validation[[#This Row],[Mult]]+Validation[[#This Row],[Base]]) &amp;" "&amp;Validation[[#This Row],[Uncert_Units]]</f>
        <v>60 mA</v>
      </c>
      <c r="U19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mA</v>
      </c>
      <c r="V1989" t="b">
        <f ca="1">Validation[[#This Row],[Desired Result]]=Validation[[#This Row],[Result]]</f>
        <v>0</v>
      </c>
      <c r="W1989" t="b">
        <v>1</v>
      </c>
      <c r="X1989" t="b">
        <f>Validation[[#This Row],[Range1_Low]]&gt;=Validation[[#This Row],[Range1_High]]</f>
        <v>0</v>
      </c>
      <c r="Y1989" s="111" t="s">
        <v>2845</v>
      </c>
    </row>
    <row r="1990" spans="1:25" ht="15.75" thickBot="1" x14ac:dyDescent="0.3">
      <c r="A1990" t="s">
        <v>54</v>
      </c>
      <c r="B1990" t="s">
        <v>61</v>
      </c>
      <c r="C1990">
        <v>1</v>
      </c>
      <c r="D1990">
        <v>11.000999999999999</v>
      </c>
      <c r="E1990">
        <v>0.1</v>
      </c>
      <c r="F1990" t="s">
        <v>13</v>
      </c>
      <c r="G1990" t="s">
        <v>12</v>
      </c>
      <c r="H1990">
        <v>5</v>
      </c>
      <c r="I1990">
        <v>10</v>
      </c>
      <c r="J1990" t="s">
        <v>10</v>
      </c>
      <c r="K1990">
        <v>76.668000000000006</v>
      </c>
      <c r="L1990">
        <v>27.611000000000001</v>
      </c>
      <c r="M1990">
        <v>76.638000000000005</v>
      </c>
      <c r="N1990">
        <v>27.611999999999998</v>
      </c>
      <c r="O1990" t="s">
        <v>2833</v>
      </c>
      <c r="P1990" t="s">
        <v>157</v>
      </c>
      <c r="Q1990" t="s">
        <v>2833</v>
      </c>
      <c r="R1990">
        <f ca="1">RAND()*(Validation[[#This Row],[Range1_High]]-Validation[[#This Row],[Range1_Low]])+Validation[[#This Row],[Range1_Low]]</f>
        <v>1.6626381069135632</v>
      </c>
      <c r="S1990">
        <f>Validation[[#This Row],[Range2_High]]</f>
        <v>10</v>
      </c>
      <c r="T1990" t="str" cm="1">
        <f t="array" aca="1" ref="T1990" ca="1">RoundToTwoSigFigs(Validation[[#This Row],[Test Reading]]*Validation[[#This Row],[Mult]]+Validation[[#This Row],[Base]]) &amp;" "&amp;Validation[[#This Row],[Uncert_Units]]</f>
        <v>120 mA</v>
      </c>
      <c r="U19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V1990" t="b">
        <f ca="1">Validation[[#This Row],[Desired Result]]=Validation[[#This Row],[Result]]</f>
        <v>1</v>
      </c>
      <c r="W1990" t="b">
        <v>1</v>
      </c>
      <c r="X1990" t="b">
        <f>Validation[[#This Row],[Range1_Low]]&gt;=Validation[[#This Row],[Range1_High]]</f>
        <v>0</v>
      </c>
      <c r="Y1990" s="111" t="s">
        <v>2845</v>
      </c>
    </row>
    <row r="1991" spans="1:25" ht="16.5" thickTop="1" thickBot="1" x14ac:dyDescent="0.3">
      <c r="A1991" t="s">
        <v>54</v>
      </c>
      <c r="B1991" t="s">
        <v>61</v>
      </c>
      <c r="C1991" s="113">
        <v>30</v>
      </c>
      <c r="D1991" s="113">
        <v>110.01</v>
      </c>
      <c r="E1991">
        <v>0.1</v>
      </c>
      <c r="F1991" t="s">
        <v>13</v>
      </c>
      <c r="G1991" t="s">
        <v>12</v>
      </c>
      <c r="H1991">
        <v>0.1</v>
      </c>
      <c r="I1991">
        <v>1.0000100000000001</v>
      </c>
      <c r="J1991" t="s">
        <v>10</v>
      </c>
      <c r="K1991">
        <v>37.347999999999999</v>
      </c>
      <c r="L1991">
        <v>2.1392000000000002</v>
      </c>
      <c r="M1991">
        <v>37.319000000000003</v>
      </c>
      <c r="N1991">
        <v>2.1387</v>
      </c>
      <c r="O1991" t="s">
        <v>2833</v>
      </c>
      <c r="P1991" t="s">
        <v>157</v>
      </c>
      <c r="Q1991" t="s">
        <v>2833</v>
      </c>
      <c r="R1991">
        <f ca="1">RAND()*(Validation[[#This Row],[Range1_High]]-Validation[[#This Row],[Range1_Low]])+Validation[[#This Row],[Range1_Low]]</f>
        <v>34.273397432001865</v>
      </c>
      <c r="S1991">
        <f>Validation[[#This Row],[Range2_High]]</f>
        <v>1.0000100000000001</v>
      </c>
      <c r="T1991" t="str" cm="1">
        <f t="array" aca="1" ref="T1991" ca="1">RoundToTwoSigFigs(Validation[[#This Row],[Test Reading]]*Validation[[#This Row],[Mult]]+Validation[[#This Row],[Base]]) &amp;" "&amp;Validation[[#This Row],[Uncert_Units]]</f>
        <v>110 mA</v>
      </c>
      <c r="U19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V1991" t="b">
        <f ca="1">Validation[[#This Row],[Desired Result]]=Validation[[#This Row],[Result]]</f>
        <v>1</v>
      </c>
      <c r="W1991" t="b">
        <v>1</v>
      </c>
      <c r="X1991" t="b">
        <f>Validation[[#This Row],[Range1_Low]]&gt;=Validation[[#This Row],[Range1_High]]</f>
        <v>0</v>
      </c>
      <c r="Y1991" s="111" t="s">
        <v>2843</v>
      </c>
    </row>
    <row r="1992" spans="1:25" ht="15.75" thickTop="1" x14ac:dyDescent="0.25">
      <c r="A1992" t="s">
        <v>54</v>
      </c>
      <c r="B1992" t="s">
        <v>62</v>
      </c>
      <c r="C1992">
        <v>22</v>
      </c>
      <c r="D1992">
        <v>60.000999999999998</v>
      </c>
      <c r="E1992">
        <v>0.01</v>
      </c>
      <c r="F1992" t="s">
        <v>13</v>
      </c>
      <c r="G1992" t="s">
        <v>12</v>
      </c>
      <c r="H1992">
        <v>1</v>
      </c>
      <c r="I1992">
        <v>5.01</v>
      </c>
      <c r="J1992" t="s">
        <v>10</v>
      </c>
      <c r="K1992">
        <v>2.3481999999999998</v>
      </c>
      <c r="L1992">
        <v>7.5869</v>
      </c>
      <c r="M1992">
        <v>2.3433000000000002</v>
      </c>
      <c r="N1992">
        <v>7.5869</v>
      </c>
      <c r="O1992" t="s">
        <v>2833</v>
      </c>
      <c r="P1992" t="s">
        <v>158</v>
      </c>
      <c r="Q1992" t="s">
        <v>2833</v>
      </c>
      <c r="R1992">
        <f ca="1">RAND()*(Validation[[#This Row],[Range1_High]]-Validation[[#This Row],[Range1_Low]])+Validation[[#This Row],[Range1_Low]]</f>
        <v>44.671276698645684</v>
      </c>
      <c r="S1992">
        <f>Validation[[#This Row],[Range2_High]]</f>
        <v>5.01</v>
      </c>
      <c r="T1992" t="str" cm="1">
        <f t="array" aca="1" ref="T1992" ca="1">RoundToTwoSigFigs(Validation[[#This Row],[Test Reading]]*Validation[[#This Row],[Mult]]+Validation[[#This Row],[Base]]) &amp;" "&amp;Validation[[#This Row],[Uncert_Units]]</f>
        <v>340 mA</v>
      </c>
      <c r="U19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V1992" t="b">
        <f ca="1">Validation[[#This Row],[Desired Result]]=Validation[[#This Row],[Result]]</f>
        <v>1</v>
      </c>
      <c r="W1992" t="b">
        <v>0</v>
      </c>
      <c r="X1992" t="b">
        <f>Validation[[#This Row],[Range1_Low]]&gt;=Validation[[#This Row],[Range1_High]]</f>
        <v>0</v>
      </c>
      <c r="Y1992" s="111" t="s">
        <v>2845</v>
      </c>
    </row>
    <row r="1993" spans="1:25" x14ac:dyDescent="0.25">
      <c r="A1993" t="s">
        <v>54</v>
      </c>
      <c r="B1993" t="s">
        <v>62</v>
      </c>
      <c r="C1993">
        <v>22</v>
      </c>
      <c r="D1993">
        <v>60.000999999999998</v>
      </c>
      <c r="E1993">
        <v>1</v>
      </c>
      <c r="F1993" t="s">
        <v>13</v>
      </c>
      <c r="G1993" t="s">
        <v>12</v>
      </c>
      <c r="H1993">
        <v>10</v>
      </c>
      <c r="I1993">
        <v>10.01</v>
      </c>
      <c r="J1993" t="s">
        <v>10</v>
      </c>
      <c r="K1993">
        <v>304.91000000000003</v>
      </c>
      <c r="L1993">
        <v>27.254999999999999</v>
      </c>
      <c r="M1993">
        <v>304.83999999999997</v>
      </c>
      <c r="N1993">
        <v>27.254999999999999</v>
      </c>
      <c r="O1993" t="s">
        <v>2833</v>
      </c>
      <c r="P1993" t="s">
        <v>158</v>
      </c>
      <c r="Q1993" t="s">
        <v>2833</v>
      </c>
      <c r="R1993">
        <f ca="1">RAND()*(Validation[[#This Row],[Range1_High]]-Validation[[#This Row],[Range1_Low]])+Validation[[#This Row],[Range1_Low]]</f>
        <v>28.508481920292351</v>
      </c>
      <c r="S1993">
        <f>Validation[[#This Row],[Range2_High]]</f>
        <v>10.01</v>
      </c>
      <c r="T1993" t="str" cm="1">
        <f t="array" aca="1" ref="T1993" ca="1">RoundToTwoSigFigs(Validation[[#This Row],[Test Reading]]*Validation[[#This Row],[Mult]]+Validation[[#This Row],[Base]]) &amp;" "&amp;Validation[[#This Row],[Uncert_Units]]</f>
        <v>1100 mA</v>
      </c>
      <c r="U19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V1993" t="b">
        <f ca="1">Validation[[#This Row],[Desired Result]]=Validation[[#This Row],[Result]]</f>
        <v>1</v>
      </c>
      <c r="W1993" t="b">
        <v>0</v>
      </c>
      <c r="X1993" t="b">
        <f>Validation[[#This Row],[Range1_Low]]&gt;=Validation[[#This Row],[Range1_High]]</f>
        <v>0</v>
      </c>
      <c r="Y1993" s="111" t="s">
        <v>2845</v>
      </c>
    </row>
    <row r="1994" spans="1:25" x14ac:dyDescent="0.25">
      <c r="A1994" t="s">
        <v>54</v>
      </c>
      <c r="B1994" t="s">
        <v>62</v>
      </c>
      <c r="C1994">
        <v>220</v>
      </c>
      <c r="D1994">
        <v>410.01</v>
      </c>
      <c r="E1994">
        <v>100</v>
      </c>
      <c r="F1994" t="s">
        <v>13</v>
      </c>
      <c r="G1994" t="s">
        <v>12</v>
      </c>
      <c r="H1994">
        <v>5</v>
      </c>
      <c r="I1994">
        <v>5.01</v>
      </c>
      <c r="J1994" t="s">
        <v>10</v>
      </c>
      <c r="K1994">
        <v>57090</v>
      </c>
      <c r="L1994">
        <v>6.4831000000000003</v>
      </c>
      <c r="M1994">
        <v>57090</v>
      </c>
      <c r="N1994">
        <v>6.4816000000000003</v>
      </c>
      <c r="O1994" t="s">
        <v>2833</v>
      </c>
      <c r="P1994" t="s">
        <v>158</v>
      </c>
      <c r="Q1994" t="s">
        <v>2833</v>
      </c>
      <c r="R1994">
        <f ca="1">RAND()*(Validation[[#This Row],[Range1_High]]-Validation[[#This Row],[Range1_Low]])+Validation[[#This Row],[Range1_Low]]</f>
        <v>277.18630251150648</v>
      </c>
      <c r="S1994">
        <f>Validation[[#This Row],[Range2_High]]</f>
        <v>5.01</v>
      </c>
      <c r="T1994" t="str" cm="1">
        <f t="array" aca="1" ref="T1994" ca="1">RoundToTwoSigFigs(Validation[[#This Row],[Test Reading]]*Validation[[#This Row],[Mult]]+Validation[[#This Row],[Base]]) &amp;" "&amp;Validation[[#This Row],[Uncert_Units]]</f>
        <v>59000 mA</v>
      </c>
      <c r="U19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V1994" t="b">
        <f ca="1">Validation[[#This Row],[Desired Result]]=Validation[[#This Row],[Result]]</f>
        <v>1</v>
      </c>
      <c r="W1994" t="b">
        <v>0</v>
      </c>
      <c r="X1994" t="b">
        <f>Validation[[#This Row],[Range1_Low]]&gt;=Validation[[#This Row],[Range1_High]]</f>
        <v>0</v>
      </c>
      <c r="Y1994" s="111" t="s">
        <v>2845</v>
      </c>
    </row>
    <row r="1995" spans="1:25" x14ac:dyDescent="0.25">
      <c r="A1995" t="s">
        <v>54</v>
      </c>
      <c r="B1995" t="s">
        <v>62</v>
      </c>
      <c r="C1995">
        <v>60</v>
      </c>
      <c r="D1995">
        <v>220.01</v>
      </c>
      <c r="E1995">
        <v>0.01</v>
      </c>
      <c r="F1995" t="s">
        <v>13</v>
      </c>
      <c r="G1995" t="s">
        <v>12</v>
      </c>
      <c r="H1995">
        <v>4.4999999999999998E-2</v>
      </c>
      <c r="I1995">
        <v>0.10001</v>
      </c>
      <c r="J1995" t="s">
        <v>10</v>
      </c>
      <c r="K1995">
        <v>24</v>
      </c>
      <c r="L1995">
        <v>2.1</v>
      </c>
      <c r="M1995">
        <v>23.533999999999999</v>
      </c>
      <c r="N1995">
        <v>2.0874999999999999</v>
      </c>
      <c r="O1995" t="s">
        <v>2833</v>
      </c>
      <c r="P1995" t="s">
        <v>158</v>
      </c>
      <c r="Q1995" t="s">
        <v>2833</v>
      </c>
      <c r="R1995">
        <f ca="1">RAND()*(Validation[[#This Row],[Range1_High]]-Validation[[#This Row],[Range1_Low]])+Validation[[#This Row],[Range1_Low]]</f>
        <v>130.60613639207122</v>
      </c>
      <c r="S1995">
        <f>Validation[[#This Row],[Range2_High]]</f>
        <v>0.10001</v>
      </c>
      <c r="T1995" t="str" cm="1">
        <f t="array" aca="1" ref="T1995" ca="1">RoundToTwoSigFigs(Validation[[#This Row],[Test Reading]]*Validation[[#This Row],[Mult]]+Validation[[#This Row],[Base]]) &amp;" "&amp;Validation[[#This Row],[Uncert_Units]]</f>
        <v>300 mA</v>
      </c>
      <c r="U19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V1995" t="b">
        <f ca="1">Validation[[#This Row],[Desired Result]]=Validation[[#This Row],[Result]]</f>
        <v>0</v>
      </c>
      <c r="W1995" t="b">
        <v>1</v>
      </c>
      <c r="X1995" t="b">
        <f>Validation[[#This Row],[Range1_Low]]&gt;=Validation[[#This Row],[Range1_High]]</f>
        <v>0</v>
      </c>
      <c r="Y1995" s="111" t="s">
        <v>2845</v>
      </c>
    </row>
    <row r="1996" spans="1:25" x14ac:dyDescent="0.25">
      <c r="A1996" t="s">
        <v>54</v>
      </c>
      <c r="B1996" t="s">
        <v>62</v>
      </c>
      <c r="C1996">
        <v>220</v>
      </c>
      <c r="D1996">
        <v>410.01</v>
      </c>
      <c r="E1996">
        <v>10</v>
      </c>
      <c r="F1996" t="s">
        <v>13</v>
      </c>
      <c r="G1996" t="s">
        <v>12</v>
      </c>
      <c r="H1996">
        <v>4.4999999999999998E-2</v>
      </c>
      <c r="I1996">
        <v>0.10001</v>
      </c>
      <c r="J1996" t="s">
        <v>10</v>
      </c>
      <c r="K1996">
        <v>5755.8</v>
      </c>
      <c r="L1996">
        <v>0.34672999999999998</v>
      </c>
      <c r="M1996">
        <v>5755.9</v>
      </c>
      <c r="N1996">
        <v>0.34526000000000001</v>
      </c>
      <c r="O1996" t="s">
        <v>2833</v>
      </c>
      <c r="P1996" t="s">
        <v>158</v>
      </c>
      <c r="Q1996" t="s">
        <v>2833</v>
      </c>
      <c r="R1996">
        <f ca="1">RAND()*(Validation[[#This Row],[Range1_High]]-Validation[[#This Row],[Range1_Low]])+Validation[[#This Row],[Range1_Low]]</f>
        <v>234.59835038655123</v>
      </c>
      <c r="S1996">
        <f>Validation[[#This Row],[Range2_High]]</f>
        <v>0.10001</v>
      </c>
      <c r="T1996" t="str" cm="1">
        <f t="array" aca="1" ref="T1996" ca="1">RoundToTwoSigFigs(Validation[[#This Row],[Test Reading]]*Validation[[#This Row],[Mult]]+Validation[[#This Row],[Base]]) &amp;" "&amp;Validation[[#This Row],[Uncert_Units]]</f>
        <v>5800 mA</v>
      </c>
      <c r="U19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1996" t="b">
        <f ca="1">Validation[[#This Row],[Desired Result]]=Validation[[#This Row],[Result]]</f>
        <v>1</v>
      </c>
      <c r="W1996" t="b">
        <v>0</v>
      </c>
      <c r="X1996" t="b">
        <f>Validation[[#This Row],[Range1_Low]]&gt;=Validation[[#This Row],[Range1_High]]</f>
        <v>0</v>
      </c>
      <c r="Y1996" s="111" t="s">
        <v>2845</v>
      </c>
    </row>
    <row r="1997" spans="1:25" ht="15.75" thickBot="1" x14ac:dyDescent="0.3">
      <c r="A1997" t="s">
        <v>54</v>
      </c>
      <c r="B1997" t="s">
        <v>62</v>
      </c>
      <c r="C1997">
        <v>22</v>
      </c>
      <c r="D1997">
        <v>60.000999999999998</v>
      </c>
      <c r="E1997">
        <v>10</v>
      </c>
      <c r="F1997" t="s">
        <v>13</v>
      </c>
      <c r="G1997" t="s">
        <v>12</v>
      </c>
      <c r="H1997">
        <v>5</v>
      </c>
      <c r="I1997">
        <v>10</v>
      </c>
      <c r="J1997" t="s">
        <v>10</v>
      </c>
      <c r="K1997">
        <v>5698.4</v>
      </c>
      <c r="L1997">
        <v>6.4999000000000002</v>
      </c>
      <c r="M1997">
        <v>5698.4</v>
      </c>
      <c r="N1997">
        <v>6.4988999999999999</v>
      </c>
      <c r="O1997" t="s">
        <v>2833</v>
      </c>
      <c r="P1997" t="s">
        <v>158</v>
      </c>
      <c r="Q1997" t="s">
        <v>2833</v>
      </c>
      <c r="R1997">
        <f ca="1">RAND()*(Validation[[#This Row],[Range1_High]]-Validation[[#This Row],[Range1_Low]])+Validation[[#This Row],[Range1_Low]]</f>
        <v>34.73820661513227</v>
      </c>
      <c r="S1997">
        <f>Validation[[#This Row],[Range2_High]]</f>
        <v>10</v>
      </c>
      <c r="T1997" t="str" cm="1">
        <f t="array" aca="1" ref="T1997" ca="1">RoundToTwoSigFigs(Validation[[#This Row],[Test Reading]]*Validation[[#This Row],[Mult]]+Validation[[#This Row],[Base]]) &amp;" "&amp;Validation[[#This Row],[Uncert_Units]]</f>
        <v>5900 mA</v>
      </c>
      <c r="U19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1997" t="b">
        <f ca="1">Validation[[#This Row],[Desired Result]]=Validation[[#This Row],[Result]]</f>
        <v>1</v>
      </c>
      <c r="W1997" t="b">
        <v>0</v>
      </c>
      <c r="X1997" t="b">
        <f>Validation[[#This Row],[Range1_Low]]&gt;=Validation[[#This Row],[Range1_High]]</f>
        <v>0</v>
      </c>
      <c r="Y1997" s="111" t="s">
        <v>2845</v>
      </c>
    </row>
    <row r="1998" spans="1:25" ht="16.5" thickTop="1" thickBot="1" x14ac:dyDescent="0.3">
      <c r="A1998" t="s">
        <v>54</v>
      </c>
      <c r="B1998" t="s">
        <v>62</v>
      </c>
      <c r="C1998" s="113">
        <v>60</v>
      </c>
      <c r="D1998" s="113">
        <v>220.01</v>
      </c>
      <c r="E1998">
        <v>0.1</v>
      </c>
      <c r="F1998" t="s">
        <v>13</v>
      </c>
      <c r="G1998" t="s">
        <v>12</v>
      </c>
      <c r="H1998">
        <v>5</v>
      </c>
      <c r="I1998">
        <v>5.01</v>
      </c>
      <c r="J1998" t="s">
        <v>10</v>
      </c>
      <c r="K1998">
        <v>47</v>
      </c>
      <c r="L1998">
        <v>35</v>
      </c>
      <c r="M1998">
        <v>47.146000000000001</v>
      </c>
      <c r="N1998">
        <v>34.695</v>
      </c>
      <c r="O1998" t="s">
        <v>2833</v>
      </c>
      <c r="P1998" t="s">
        <v>158</v>
      </c>
      <c r="Q1998" t="s">
        <v>2833</v>
      </c>
      <c r="R1998">
        <f ca="1">RAND()*(Validation[[#This Row],[Range1_High]]-Validation[[#This Row],[Range1_Low]])+Validation[[#This Row],[Range1_Low]]</f>
        <v>189.1242966318689</v>
      </c>
      <c r="S1998">
        <f>Validation[[#This Row],[Range2_High]]</f>
        <v>5.01</v>
      </c>
      <c r="T1998" t="str" cm="1">
        <f t="array" aca="1" ref="T1998" ca="1">RoundToTwoSigFigs(Validation[[#This Row],[Test Reading]]*Validation[[#This Row],[Mult]]+Validation[[#This Row],[Base]]) &amp;" "&amp;Validation[[#This Row],[Uncert_Units]]</f>
        <v>6700 mA</v>
      </c>
      <c r="U19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mA</v>
      </c>
      <c r="V1998" t="b">
        <f ca="1">Validation[[#This Row],[Desired Result]]=Validation[[#This Row],[Result]]</f>
        <v>1</v>
      </c>
      <c r="W1998" t="b">
        <v>1</v>
      </c>
      <c r="X1998" t="b">
        <f>Validation[[#This Row],[Range1_Low]]&gt;=Validation[[#This Row],[Range1_High]]</f>
        <v>0</v>
      </c>
      <c r="Y1998" s="111" t="s">
        <v>2843</v>
      </c>
    </row>
    <row r="1999" spans="1:25" ht="15.75" thickTop="1" x14ac:dyDescent="0.25">
      <c r="A1999" t="s">
        <v>54</v>
      </c>
      <c r="B1999" t="s">
        <v>62</v>
      </c>
      <c r="C1999">
        <v>22</v>
      </c>
      <c r="D1999">
        <v>60.000999999999998</v>
      </c>
      <c r="E1999">
        <v>1E-3</v>
      </c>
      <c r="F1999" t="s">
        <v>13</v>
      </c>
      <c r="G1999" t="s">
        <v>12</v>
      </c>
      <c r="H1999">
        <v>5</v>
      </c>
      <c r="I1999">
        <v>10</v>
      </c>
      <c r="J1999" t="s">
        <v>10</v>
      </c>
      <c r="K1999">
        <v>52</v>
      </c>
      <c r="L1999">
        <v>30</v>
      </c>
      <c r="M1999">
        <v>34.529000000000003</v>
      </c>
      <c r="N1999">
        <v>30.459</v>
      </c>
      <c r="O1999" t="s">
        <v>2833</v>
      </c>
      <c r="P1999" t="s">
        <v>158</v>
      </c>
      <c r="Q1999" t="s">
        <v>2833</v>
      </c>
      <c r="R1999">
        <f ca="1">RAND()*(Validation[[#This Row],[Range1_High]]-Validation[[#This Row],[Range1_Low]])+Validation[[#This Row],[Range1_Low]]</f>
        <v>48.358710157651572</v>
      </c>
      <c r="S1999">
        <f>Validation[[#This Row],[Range2_High]]</f>
        <v>10</v>
      </c>
      <c r="T1999" t="str" cm="1">
        <f t="array" aca="1" ref="T1999" ca="1">RoundToTwoSigFigs(Validation[[#This Row],[Test Reading]]*Validation[[#This Row],[Mult]]+Validation[[#This Row],[Base]]) &amp;" "&amp;Validation[[#This Row],[Uncert_Units]]</f>
        <v>1500 mA</v>
      </c>
      <c r="U19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V1999" t="b">
        <f ca="1">Validation[[#This Row],[Desired Result]]=Validation[[#This Row],[Result]]</f>
        <v>1</v>
      </c>
      <c r="W1999" t="b">
        <v>1</v>
      </c>
      <c r="X1999" t="b">
        <f>Validation[[#This Row],[Range1_Low]]&gt;=Validation[[#This Row],[Range1_High]]</f>
        <v>0</v>
      </c>
      <c r="Y1999" s="111" t="s">
        <v>2845</v>
      </c>
    </row>
    <row r="2000" spans="1:25" ht="15.75" thickBot="1" x14ac:dyDescent="0.3">
      <c r="A2000" t="s">
        <v>54</v>
      </c>
      <c r="B2000" t="s">
        <v>62</v>
      </c>
      <c r="C2000">
        <v>22</v>
      </c>
      <c r="D2000">
        <v>60.000999999999998</v>
      </c>
      <c r="E2000">
        <v>1</v>
      </c>
      <c r="F2000" t="s">
        <v>13</v>
      </c>
      <c r="G2000" t="s">
        <v>12</v>
      </c>
      <c r="H2000">
        <v>4.4999999999999998E-2</v>
      </c>
      <c r="I2000">
        <v>1.0000100000000001</v>
      </c>
      <c r="J2000" t="s">
        <v>10</v>
      </c>
      <c r="K2000">
        <v>574.48</v>
      </c>
      <c r="L2000">
        <v>0.32468000000000002</v>
      </c>
      <c r="M2000">
        <v>574.48</v>
      </c>
      <c r="N2000">
        <v>0.32379999999999998</v>
      </c>
      <c r="O2000" t="s">
        <v>2833</v>
      </c>
      <c r="P2000" t="s">
        <v>158</v>
      </c>
      <c r="Q2000" t="s">
        <v>2833</v>
      </c>
      <c r="R2000">
        <f ca="1">RAND()*(Validation[[#This Row],[Range1_High]]-Validation[[#This Row],[Range1_Low]])+Validation[[#This Row],[Range1_Low]]</f>
        <v>40.469363379083724</v>
      </c>
      <c r="S2000">
        <f>Validation[[#This Row],[Range2_High]]</f>
        <v>1.0000100000000001</v>
      </c>
      <c r="T2000" t="str" cm="1">
        <f t="array" aca="1" ref="T2000" ca="1">RoundToTwoSigFigs(Validation[[#This Row],[Test Reading]]*Validation[[#This Row],[Mult]]+Validation[[#This Row],[Base]]) &amp;" "&amp;Validation[[#This Row],[Uncert_Units]]</f>
        <v>590 mA</v>
      </c>
      <c r="U20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V2000" t="b">
        <f ca="1">Validation[[#This Row],[Desired Result]]=Validation[[#This Row],[Result]]</f>
        <v>0</v>
      </c>
      <c r="W2000" t="b">
        <v>1</v>
      </c>
      <c r="X2000" t="b">
        <f>Validation[[#This Row],[Range1_Low]]&gt;=Validation[[#This Row],[Range1_High]]</f>
        <v>0</v>
      </c>
      <c r="Y2000" s="111" t="s">
        <v>2845</v>
      </c>
    </row>
    <row r="2001" spans="1:25" ht="16.5" thickTop="1" thickBot="1" x14ac:dyDescent="0.3">
      <c r="A2001" t="s">
        <v>54</v>
      </c>
      <c r="B2001" t="s">
        <v>62</v>
      </c>
      <c r="C2001" s="113">
        <v>60</v>
      </c>
      <c r="D2001" s="113">
        <v>220.01</v>
      </c>
      <c r="E2001">
        <v>0.01</v>
      </c>
      <c r="F2001" t="s">
        <v>13</v>
      </c>
      <c r="G2001" t="s">
        <v>12</v>
      </c>
      <c r="H2001">
        <v>0.1</v>
      </c>
      <c r="I2001">
        <v>1.0000100000000001</v>
      </c>
      <c r="J2001" t="s">
        <v>10</v>
      </c>
      <c r="K2001">
        <v>30</v>
      </c>
      <c r="L2001">
        <v>2.2999999999999998</v>
      </c>
      <c r="M2001">
        <v>29.364000000000001</v>
      </c>
      <c r="N2001">
        <v>2.2879</v>
      </c>
      <c r="O2001" t="s">
        <v>2833</v>
      </c>
      <c r="P2001" t="s">
        <v>158</v>
      </c>
      <c r="Q2001" t="s">
        <v>2833</v>
      </c>
      <c r="R2001">
        <f ca="1">RAND()*(Validation[[#This Row],[Range1_High]]-Validation[[#This Row],[Range1_Low]])+Validation[[#This Row],[Range1_Low]]</f>
        <v>216.44721262799064</v>
      </c>
      <c r="S2001">
        <f>Validation[[#This Row],[Range2_High]]</f>
        <v>1.0000100000000001</v>
      </c>
      <c r="T2001" t="str" cm="1">
        <f t="array" aca="1" ref="T2001" ca="1">RoundToTwoSigFigs(Validation[[#This Row],[Test Reading]]*Validation[[#This Row],[Mult]]+Validation[[#This Row],[Base]]) &amp;" "&amp;Validation[[#This Row],[Uncert_Units]]</f>
        <v>530 mA</v>
      </c>
      <c r="U20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V2001" t="b">
        <f ca="1">Validation[[#This Row],[Desired Result]]=Validation[[#This Row],[Result]]</f>
        <v>1</v>
      </c>
      <c r="W2001" t="b">
        <v>1</v>
      </c>
      <c r="X2001" t="b">
        <f>Validation[[#This Row],[Range1_Low]]&gt;=Validation[[#This Row],[Range1_High]]</f>
        <v>0</v>
      </c>
      <c r="Y2001" s="111" t="s">
        <v>2843</v>
      </c>
    </row>
    <row r="2002" spans="1:25" ht="15.75" thickTop="1" x14ac:dyDescent="0.25">
      <c r="A2002" t="s">
        <v>54</v>
      </c>
      <c r="B2002" t="s">
        <v>62</v>
      </c>
      <c r="C2002">
        <v>220</v>
      </c>
      <c r="D2002">
        <v>410.01</v>
      </c>
      <c r="E2002">
        <v>100</v>
      </c>
      <c r="F2002" t="s">
        <v>13</v>
      </c>
      <c r="G2002" t="s">
        <v>12</v>
      </c>
      <c r="H2002">
        <v>1</v>
      </c>
      <c r="I2002">
        <v>5</v>
      </c>
      <c r="J2002" t="s">
        <v>10</v>
      </c>
      <c r="K2002">
        <v>57090</v>
      </c>
      <c r="L2002">
        <v>6.4831000000000003</v>
      </c>
      <c r="M2002">
        <v>57090</v>
      </c>
      <c r="N2002">
        <v>6.4816000000000003</v>
      </c>
      <c r="O2002" t="s">
        <v>2833</v>
      </c>
      <c r="P2002" t="s">
        <v>158</v>
      </c>
      <c r="Q2002" t="s">
        <v>2833</v>
      </c>
      <c r="R2002">
        <f ca="1">RAND()*(Validation[[#This Row],[Range1_High]]-Validation[[#This Row],[Range1_Low]])+Validation[[#This Row],[Range1_Low]]</f>
        <v>354.14133837038833</v>
      </c>
      <c r="S2002">
        <f>Validation[[#This Row],[Range2_High]]</f>
        <v>5</v>
      </c>
      <c r="T2002" t="str" cm="1">
        <f t="array" aca="1" ref="T2002" ca="1">RoundToTwoSigFigs(Validation[[#This Row],[Test Reading]]*Validation[[#This Row],[Mult]]+Validation[[#This Row],[Base]]) &amp;" "&amp;Validation[[#This Row],[Uncert_Units]]</f>
        <v>59000 mA</v>
      </c>
      <c r="U20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V2002" t="b">
        <f ca="1">Validation[[#This Row],[Desired Result]]=Validation[[#This Row],[Result]]</f>
        <v>1</v>
      </c>
      <c r="W2002" t="b">
        <v>1</v>
      </c>
      <c r="X2002" t="b">
        <f>Validation[[#This Row],[Range1_Low]]&gt;=Validation[[#This Row],[Range1_High]]</f>
        <v>0</v>
      </c>
      <c r="Y2002" s="111" t="s">
        <v>2845</v>
      </c>
    </row>
    <row r="2003" spans="1:25" ht="15.75" thickBot="1" x14ac:dyDescent="0.3">
      <c r="A2003" t="s">
        <v>54</v>
      </c>
      <c r="B2003" t="s">
        <v>62</v>
      </c>
      <c r="C2003">
        <v>22</v>
      </c>
      <c r="D2003">
        <v>60.000999999999998</v>
      </c>
      <c r="E2003">
        <v>10</v>
      </c>
      <c r="F2003" t="s">
        <v>13</v>
      </c>
      <c r="G2003" t="s">
        <v>12</v>
      </c>
      <c r="H2003">
        <v>4.4999999999999998E-2</v>
      </c>
      <c r="I2003">
        <v>1.0000100000000001</v>
      </c>
      <c r="J2003" t="s">
        <v>10</v>
      </c>
      <c r="K2003">
        <v>5799.4</v>
      </c>
      <c r="L2003">
        <v>3.3173000000000001E-2</v>
      </c>
      <c r="M2003">
        <v>5799.4</v>
      </c>
      <c r="N2003">
        <v>3.2808999999999998E-2</v>
      </c>
      <c r="O2003" t="s">
        <v>2833</v>
      </c>
      <c r="P2003" t="s">
        <v>158</v>
      </c>
      <c r="Q2003" t="s">
        <v>2833</v>
      </c>
      <c r="R2003">
        <f ca="1">RAND()*(Validation[[#This Row],[Range1_High]]-Validation[[#This Row],[Range1_Low]])+Validation[[#This Row],[Range1_Low]]</f>
        <v>37.183549307058641</v>
      </c>
      <c r="S2003">
        <f>Validation[[#This Row],[Range2_High]]</f>
        <v>1.0000100000000001</v>
      </c>
      <c r="T2003" t="str" cm="1">
        <f t="array" aca="1" ref="T2003" ca="1">RoundToTwoSigFigs(Validation[[#This Row],[Test Reading]]*Validation[[#This Row],[Mult]]+Validation[[#This Row],[Base]]) &amp;" "&amp;Validation[[#This Row],[Uncert_Units]]</f>
        <v>5800 mA</v>
      </c>
      <c r="U20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003" t="b">
        <f ca="1">Validation[[#This Row],[Desired Result]]=Validation[[#This Row],[Result]]</f>
        <v>1</v>
      </c>
      <c r="W2003" t="b">
        <v>0</v>
      </c>
      <c r="X2003" t="b">
        <f>Validation[[#This Row],[Range1_Low]]&gt;=Validation[[#This Row],[Range1_High]]</f>
        <v>0</v>
      </c>
      <c r="Y2003" s="111" t="s">
        <v>2845</v>
      </c>
    </row>
    <row r="2004" spans="1:25" ht="16.5" thickTop="1" thickBot="1" x14ac:dyDescent="0.3">
      <c r="A2004" t="s">
        <v>54</v>
      </c>
      <c r="B2004" t="s">
        <v>62</v>
      </c>
      <c r="C2004">
        <v>22</v>
      </c>
      <c r="D2004">
        <v>60.000999999999998</v>
      </c>
      <c r="E2004">
        <v>0.01</v>
      </c>
      <c r="F2004" t="s">
        <v>13</v>
      </c>
      <c r="G2004" t="s">
        <v>12</v>
      </c>
      <c r="H2004" s="113">
        <v>5</v>
      </c>
      <c r="I2004" s="113">
        <v>10</v>
      </c>
      <c r="J2004" t="s">
        <v>10</v>
      </c>
      <c r="K2004">
        <v>52</v>
      </c>
      <c r="L2004">
        <v>30.457999999999998</v>
      </c>
      <c r="M2004">
        <v>34.545000000000002</v>
      </c>
      <c r="N2004">
        <v>30.459</v>
      </c>
      <c r="O2004" t="s">
        <v>2833</v>
      </c>
      <c r="P2004" t="s">
        <v>158</v>
      </c>
      <c r="Q2004" t="s">
        <v>2833</v>
      </c>
      <c r="R2004">
        <f ca="1">RAND()*(Validation[[#This Row],[Range1_High]]-Validation[[#This Row],[Range1_Low]])+Validation[[#This Row],[Range1_Low]]</f>
        <v>56.753116571870777</v>
      </c>
      <c r="S2004">
        <f>Validation[[#This Row],[Range2_High]]</f>
        <v>10</v>
      </c>
      <c r="T2004" t="str" cm="1">
        <f t="array" aca="1" ref="T2004" ca="1">RoundToTwoSigFigs(Validation[[#This Row],[Test Reading]]*Validation[[#This Row],[Mult]]+Validation[[#This Row],[Base]]) &amp;" "&amp;Validation[[#This Row],[Uncert_Units]]</f>
        <v>1800 mA</v>
      </c>
      <c r="U20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V2004" t="b">
        <f ca="1">Validation[[#This Row],[Desired Result]]=Validation[[#This Row],[Result]]</f>
        <v>1</v>
      </c>
      <c r="W2004" t="b">
        <v>1</v>
      </c>
      <c r="X2004" t="b">
        <f>Validation[[#This Row],[Range1_Low]]&gt;=Validation[[#This Row],[Range1_High]]</f>
        <v>0</v>
      </c>
      <c r="Y2004" s="114" t="s">
        <v>2846</v>
      </c>
    </row>
    <row r="2005" spans="1:25" ht="16.5" thickTop="1" thickBot="1" x14ac:dyDescent="0.3">
      <c r="A2005" t="s">
        <v>54</v>
      </c>
      <c r="B2005" t="s">
        <v>62</v>
      </c>
      <c r="C2005" s="113">
        <v>60</v>
      </c>
      <c r="D2005" s="113">
        <v>220.01</v>
      </c>
      <c r="E2005">
        <v>0.1</v>
      </c>
      <c r="F2005" t="s">
        <v>13</v>
      </c>
      <c r="G2005" t="s">
        <v>12</v>
      </c>
      <c r="H2005">
        <v>4.4999999999999998E-2</v>
      </c>
      <c r="I2005">
        <v>0.10001</v>
      </c>
      <c r="J2005" t="s">
        <v>10</v>
      </c>
      <c r="K2005">
        <v>37.146000000000001</v>
      </c>
      <c r="L2005">
        <v>2.0415000000000001</v>
      </c>
      <c r="M2005">
        <v>37.093000000000004</v>
      </c>
      <c r="N2005">
        <v>2.0415000000000001</v>
      </c>
      <c r="O2005" t="s">
        <v>2833</v>
      </c>
      <c r="P2005" t="s">
        <v>158</v>
      </c>
      <c r="Q2005" t="s">
        <v>2833</v>
      </c>
      <c r="R2005">
        <f ca="1">RAND()*(Validation[[#This Row],[Range1_High]]-Validation[[#This Row],[Range1_Low]])+Validation[[#This Row],[Range1_Low]]</f>
        <v>207.50257949680744</v>
      </c>
      <c r="S2005">
        <f>Validation[[#This Row],[Range2_High]]</f>
        <v>0.10001</v>
      </c>
      <c r="T2005" t="str" cm="1">
        <f t="array" aca="1" ref="T2005" ca="1">RoundToTwoSigFigs(Validation[[#This Row],[Test Reading]]*Validation[[#This Row],[Mult]]+Validation[[#This Row],[Base]]) &amp;" "&amp;Validation[[#This Row],[Uncert_Units]]</f>
        <v>460 mA</v>
      </c>
      <c r="U20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V2005" t="b">
        <f ca="1">Validation[[#This Row],[Desired Result]]=Validation[[#This Row],[Result]]</f>
        <v>1</v>
      </c>
      <c r="W2005" t="b">
        <v>1</v>
      </c>
      <c r="X2005" t="b">
        <f>Validation[[#This Row],[Range1_Low]]&gt;=Validation[[#This Row],[Range1_High]]</f>
        <v>0</v>
      </c>
      <c r="Y2005" s="111" t="s">
        <v>2843</v>
      </c>
    </row>
    <row r="2006" spans="1:25" ht="15.75" thickTop="1" x14ac:dyDescent="0.25">
      <c r="A2006" t="s">
        <v>54</v>
      </c>
      <c r="B2006" t="s">
        <v>62</v>
      </c>
      <c r="C2006">
        <v>22</v>
      </c>
      <c r="D2006">
        <v>60.000999999999998</v>
      </c>
      <c r="E2006">
        <v>1</v>
      </c>
      <c r="F2006" t="s">
        <v>13</v>
      </c>
      <c r="G2006" t="s">
        <v>12</v>
      </c>
      <c r="H2006">
        <v>0.01</v>
      </c>
      <c r="I2006">
        <v>4.5010000000000001E-2</v>
      </c>
      <c r="J2006" t="s">
        <v>10</v>
      </c>
      <c r="K2006">
        <v>569.88</v>
      </c>
      <c r="L2006">
        <v>0.59872000000000003</v>
      </c>
      <c r="M2006">
        <v>569.88</v>
      </c>
      <c r="N2006">
        <v>0.59787000000000001</v>
      </c>
      <c r="O2006" t="s">
        <v>2833</v>
      </c>
      <c r="P2006" t="s">
        <v>158</v>
      </c>
      <c r="Q2006" t="s">
        <v>2833</v>
      </c>
      <c r="R2006">
        <f ca="1">RAND()*(Validation[[#This Row],[Range1_High]]-Validation[[#This Row],[Range1_Low]])+Validation[[#This Row],[Range1_Low]]</f>
        <v>52.586191413116993</v>
      </c>
      <c r="S2006">
        <f>Validation[[#This Row],[Range2_High]]</f>
        <v>4.5010000000000001E-2</v>
      </c>
      <c r="T2006" t="str" cm="1">
        <f t="array" aca="1" ref="T2006" ca="1">RoundToTwoSigFigs(Validation[[#This Row],[Test Reading]]*Validation[[#This Row],[Mult]]+Validation[[#This Row],[Base]]) &amp;" "&amp;Validation[[#This Row],[Uncert_Units]]</f>
        <v>600 mA</v>
      </c>
      <c r="U20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V2006" t="b">
        <f ca="1">Validation[[#This Row],[Desired Result]]=Validation[[#This Row],[Result]]</f>
        <v>1</v>
      </c>
      <c r="W2006" t="b">
        <v>0</v>
      </c>
      <c r="X2006" t="b">
        <f>Validation[[#This Row],[Range1_Low]]&gt;=Validation[[#This Row],[Range1_High]]</f>
        <v>0</v>
      </c>
      <c r="Y2006" s="111" t="s">
        <v>2845</v>
      </c>
    </row>
    <row r="2007" spans="1:25" ht="15.75" thickBot="1" x14ac:dyDescent="0.3">
      <c r="A2007" t="s">
        <v>54</v>
      </c>
      <c r="B2007" t="s">
        <v>62</v>
      </c>
      <c r="C2007">
        <v>22</v>
      </c>
      <c r="D2007">
        <v>60.000999999999998</v>
      </c>
      <c r="E2007">
        <v>10</v>
      </c>
      <c r="F2007" t="s">
        <v>13</v>
      </c>
      <c r="G2007" t="s">
        <v>12</v>
      </c>
      <c r="H2007">
        <v>0.01</v>
      </c>
      <c r="I2007">
        <v>4.5010000000000001E-2</v>
      </c>
      <c r="J2007" t="s">
        <v>10</v>
      </c>
      <c r="K2007">
        <v>5799</v>
      </c>
      <c r="L2007">
        <v>6.1619E-2</v>
      </c>
      <c r="M2007">
        <v>5799</v>
      </c>
      <c r="N2007">
        <v>6.1254999999999997E-2</v>
      </c>
      <c r="O2007" t="s">
        <v>2833</v>
      </c>
      <c r="P2007" t="s">
        <v>158</v>
      </c>
      <c r="Q2007" t="s">
        <v>2833</v>
      </c>
      <c r="R2007">
        <f ca="1">RAND()*(Validation[[#This Row],[Range1_High]]-Validation[[#This Row],[Range1_Low]])+Validation[[#This Row],[Range1_Low]]</f>
        <v>28.411087870028631</v>
      </c>
      <c r="S2007">
        <f>Validation[[#This Row],[Range2_High]]</f>
        <v>4.5010000000000001E-2</v>
      </c>
      <c r="T2007" t="str" cm="1">
        <f t="array" aca="1" ref="T2007" ca="1">RoundToTwoSigFigs(Validation[[#This Row],[Test Reading]]*Validation[[#This Row],[Mult]]+Validation[[#This Row],[Base]]) &amp;" "&amp;Validation[[#This Row],[Uncert_Units]]</f>
        <v>5800 mA</v>
      </c>
      <c r="U20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007" t="b">
        <f ca="1">Validation[[#This Row],[Desired Result]]=Validation[[#This Row],[Result]]</f>
        <v>1</v>
      </c>
      <c r="W2007" t="b">
        <v>0</v>
      </c>
      <c r="X2007" t="b">
        <f>Validation[[#This Row],[Range1_Low]]&gt;=Validation[[#This Row],[Range1_High]]</f>
        <v>0</v>
      </c>
      <c r="Y2007" s="111" t="s">
        <v>2845</v>
      </c>
    </row>
    <row r="2008" spans="1:25" ht="16.5" thickTop="1" thickBot="1" x14ac:dyDescent="0.3">
      <c r="A2008" t="s">
        <v>54</v>
      </c>
      <c r="B2008" t="s">
        <v>62</v>
      </c>
      <c r="C2008" s="113">
        <v>60</v>
      </c>
      <c r="D2008" s="113">
        <v>220.01</v>
      </c>
      <c r="E2008">
        <v>1</v>
      </c>
      <c r="F2008" t="s">
        <v>13</v>
      </c>
      <c r="G2008" t="s">
        <v>12</v>
      </c>
      <c r="H2008">
        <v>1</v>
      </c>
      <c r="I2008">
        <v>5</v>
      </c>
      <c r="J2008" t="s">
        <v>10</v>
      </c>
      <c r="K2008">
        <v>127.73</v>
      </c>
      <c r="L2008">
        <v>34.633000000000003</v>
      </c>
      <c r="M2008">
        <v>144.69999999999999</v>
      </c>
      <c r="N2008">
        <v>34.35</v>
      </c>
      <c r="O2008" t="s">
        <v>2833</v>
      </c>
      <c r="P2008" t="s">
        <v>158</v>
      </c>
      <c r="Q2008" t="s">
        <v>2833</v>
      </c>
      <c r="R2008">
        <f ca="1">RAND()*(Validation[[#This Row],[Range1_High]]-Validation[[#This Row],[Range1_Low]])+Validation[[#This Row],[Range1_Low]]</f>
        <v>108.82388182552404</v>
      </c>
      <c r="S2008">
        <f>Validation[[#This Row],[Range2_High]]</f>
        <v>5</v>
      </c>
      <c r="T2008" t="str" cm="1">
        <f t="array" aca="1" ref="T2008" ca="1">RoundToTwoSigFigs(Validation[[#This Row],[Test Reading]]*Validation[[#This Row],[Mult]]+Validation[[#This Row],[Base]]) &amp;" "&amp;Validation[[#This Row],[Uncert_Units]]</f>
        <v>3900 mA</v>
      </c>
      <c r="U20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mA</v>
      </c>
      <c r="V2008" t="b">
        <f ca="1">Validation[[#This Row],[Desired Result]]=Validation[[#This Row],[Result]]</f>
        <v>1</v>
      </c>
      <c r="W2008" t="b">
        <v>1</v>
      </c>
      <c r="X2008" t="b">
        <f>Validation[[#This Row],[Range1_Low]]&gt;=Validation[[#This Row],[Range1_High]]</f>
        <v>0</v>
      </c>
      <c r="Y2008" s="111" t="s">
        <v>2843</v>
      </c>
    </row>
    <row r="2009" spans="1:25" ht="16.5" thickTop="1" thickBot="1" x14ac:dyDescent="0.3">
      <c r="A2009" t="s">
        <v>54</v>
      </c>
      <c r="B2009" t="s">
        <v>62</v>
      </c>
      <c r="C2009" s="113">
        <v>60</v>
      </c>
      <c r="D2009" s="113">
        <v>220.01</v>
      </c>
      <c r="E2009">
        <v>0.1</v>
      </c>
      <c r="F2009" t="s">
        <v>13</v>
      </c>
      <c r="G2009" t="s">
        <v>12</v>
      </c>
      <c r="H2009">
        <v>1</v>
      </c>
      <c r="I2009">
        <v>5</v>
      </c>
      <c r="J2009" t="s">
        <v>10</v>
      </c>
      <c r="K2009">
        <v>47</v>
      </c>
      <c r="L2009">
        <v>35</v>
      </c>
      <c r="M2009">
        <v>47.146000000000001</v>
      </c>
      <c r="N2009">
        <v>34.695</v>
      </c>
      <c r="O2009" t="s">
        <v>2833</v>
      </c>
      <c r="P2009" t="s">
        <v>158</v>
      </c>
      <c r="Q2009" t="s">
        <v>2833</v>
      </c>
      <c r="R2009">
        <f ca="1">RAND()*(Validation[[#This Row],[Range1_High]]-Validation[[#This Row],[Range1_Low]])+Validation[[#This Row],[Range1_Low]]</f>
        <v>111.33614812359633</v>
      </c>
      <c r="S2009">
        <f>Validation[[#This Row],[Range2_High]]</f>
        <v>5</v>
      </c>
      <c r="T2009" t="str" cm="1">
        <f t="array" aca="1" ref="T2009" ca="1">RoundToTwoSigFigs(Validation[[#This Row],[Test Reading]]*Validation[[#This Row],[Mult]]+Validation[[#This Row],[Base]]) &amp;" "&amp;Validation[[#This Row],[Uncert_Units]]</f>
        <v>3900 mA</v>
      </c>
      <c r="U20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mA</v>
      </c>
      <c r="V2009" t="b">
        <f ca="1">Validation[[#This Row],[Desired Result]]=Validation[[#This Row],[Result]]</f>
        <v>1</v>
      </c>
      <c r="W2009" t="b">
        <v>1</v>
      </c>
      <c r="X2009" t="b">
        <f>Validation[[#This Row],[Range1_Low]]&gt;=Validation[[#This Row],[Range1_High]]</f>
        <v>0</v>
      </c>
      <c r="Y2009" s="111" t="s">
        <v>2843</v>
      </c>
    </row>
    <row r="2010" spans="1:25" ht="16.5" thickTop="1" thickBot="1" x14ac:dyDescent="0.3">
      <c r="A2010" t="s">
        <v>54</v>
      </c>
      <c r="B2010" t="s">
        <v>62</v>
      </c>
      <c r="C2010">
        <v>22</v>
      </c>
      <c r="D2010">
        <v>60.000999999999998</v>
      </c>
      <c r="E2010">
        <v>1</v>
      </c>
      <c r="F2010" t="s">
        <v>13</v>
      </c>
      <c r="G2010" t="s">
        <v>12</v>
      </c>
      <c r="H2010">
        <v>5</v>
      </c>
      <c r="I2010">
        <v>10</v>
      </c>
      <c r="J2010" t="s">
        <v>10</v>
      </c>
      <c r="K2010">
        <v>304.91000000000003</v>
      </c>
      <c r="L2010">
        <v>27.254999999999999</v>
      </c>
      <c r="M2010">
        <v>304.83999999999997</v>
      </c>
      <c r="N2010">
        <v>27.254999999999999</v>
      </c>
      <c r="O2010" t="s">
        <v>2833</v>
      </c>
      <c r="P2010" t="s">
        <v>158</v>
      </c>
      <c r="Q2010" t="s">
        <v>2833</v>
      </c>
      <c r="R2010">
        <f ca="1">RAND()*(Validation[[#This Row],[Range1_High]]-Validation[[#This Row],[Range1_Low]])+Validation[[#This Row],[Range1_Low]]</f>
        <v>32.316870337039859</v>
      </c>
      <c r="S2010">
        <f>Validation[[#This Row],[Range2_High]]</f>
        <v>10</v>
      </c>
      <c r="T2010" t="str" cm="1">
        <f t="array" aca="1" ref="T2010" ca="1">RoundToTwoSigFigs(Validation[[#This Row],[Test Reading]]*Validation[[#This Row],[Mult]]+Validation[[#This Row],[Base]]) &amp;" "&amp;Validation[[#This Row],[Uncert_Units]]</f>
        <v>1200 mA</v>
      </c>
      <c r="U20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V2010" t="b">
        <f ca="1">Validation[[#This Row],[Desired Result]]=Validation[[#This Row],[Result]]</f>
        <v>1</v>
      </c>
      <c r="W2010" t="b">
        <v>1</v>
      </c>
      <c r="X2010" t="b">
        <f>Validation[[#This Row],[Range1_Low]]&gt;=Validation[[#This Row],[Range1_High]]</f>
        <v>0</v>
      </c>
      <c r="Y2010" s="111" t="s">
        <v>2845</v>
      </c>
    </row>
    <row r="2011" spans="1:25" ht="16.5" thickTop="1" thickBot="1" x14ac:dyDescent="0.3">
      <c r="A2011" t="s">
        <v>54</v>
      </c>
      <c r="B2011" t="s">
        <v>62</v>
      </c>
      <c r="C2011" s="113">
        <v>220</v>
      </c>
      <c r="D2011" s="113">
        <v>410.01</v>
      </c>
      <c r="E2011">
        <v>0.01</v>
      </c>
      <c r="F2011" t="s">
        <v>13</v>
      </c>
      <c r="G2011" t="s">
        <v>12</v>
      </c>
      <c r="H2011">
        <v>5</v>
      </c>
      <c r="I2011">
        <v>5.01</v>
      </c>
      <c r="J2011" t="s">
        <v>10</v>
      </c>
      <c r="K2011">
        <v>120</v>
      </c>
      <c r="L2011">
        <v>35</v>
      </c>
      <c r="M2011">
        <v>115.22</v>
      </c>
      <c r="N2011">
        <v>34.698999999999998</v>
      </c>
      <c r="O2011" t="s">
        <v>2833</v>
      </c>
      <c r="P2011" t="s">
        <v>158</v>
      </c>
      <c r="Q2011" t="s">
        <v>2833</v>
      </c>
      <c r="R2011">
        <f ca="1">RAND()*(Validation[[#This Row],[Range1_High]]-Validation[[#This Row],[Range1_Low]])+Validation[[#This Row],[Range1_Low]]</f>
        <v>352.07352337601878</v>
      </c>
      <c r="S2011">
        <f>Validation[[#This Row],[Range2_High]]</f>
        <v>5.01</v>
      </c>
      <c r="T2011" t="str" cm="1">
        <f t="array" aca="1" ref="T2011" ca="1">RoundToTwoSigFigs(Validation[[#This Row],[Test Reading]]*Validation[[#This Row],[Mult]]+Validation[[#This Row],[Base]]) &amp;" "&amp;Validation[[#This Row],[Uncert_Units]]</f>
        <v>12000 mA</v>
      </c>
      <c r="U20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V2011" t="b">
        <f ca="1">Validation[[#This Row],[Desired Result]]=Validation[[#This Row],[Result]]</f>
        <v>1</v>
      </c>
      <c r="W2011" t="b">
        <v>1</v>
      </c>
      <c r="X2011" t="b">
        <f>Validation[[#This Row],[Range1_Low]]&gt;=Validation[[#This Row],[Range1_High]]</f>
        <v>0</v>
      </c>
      <c r="Y2011" s="111" t="s">
        <v>2843</v>
      </c>
    </row>
    <row r="2012" spans="1:25" ht="16.5" thickTop="1" thickBot="1" x14ac:dyDescent="0.3">
      <c r="A2012" t="s">
        <v>54</v>
      </c>
      <c r="B2012" t="s">
        <v>62</v>
      </c>
      <c r="C2012">
        <v>22</v>
      </c>
      <c r="D2012">
        <v>60.000999999999998</v>
      </c>
      <c r="E2012">
        <v>0.01</v>
      </c>
      <c r="F2012" t="s">
        <v>13</v>
      </c>
      <c r="G2012" t="s">
        <v>12</v>
      </c>
      <c r="H2012">
        <v>4.4999999999999998E-2</v>
      </c>
      <c r="I2012">
        <v>1.0000100000000001</v>
      </c>
      <c r="J2012" t="s">
        <v>10</v>
      </c>
      <c r="K2012">
        <v>15</v>
      </c>
      <c r="L2012">
        <v>2.2999999999999998</v>
      </c>
      <c r="M2012">
        <v>-4.6150000000000002</v>
      </c>
      <c r="N2012">
        <v>2.2202999999999999</v>
      </c>
      <c r="O2012" t="s">
        <v>2833</v>
      </c>
      <c r="P2012" t="s">
        <v>158</v>
      </c>
      <c r="Q2012" t="s">
        <v>2833</v>
      </c>
      <c r="R2012">
        <f ca="1">RAND()*(Validation[[#This Row],[Range1_High]]-Validation[[#This Row],[Range1_Low]])+Validation[[#This Row],[Range1_Low]]</f>
        <v>57.174633221009657</v>
      </c>
      <c r="S2012">
        <f>Validation[[#This Row],[Range2_High]]</f>
        <v>1.0000100000000001</v>
      </c>
      <c r="T2012" t="str" cm="1">
        <f t="array" aca="1" ref="T2012" ca="1">RoundToTwoSigFigs(Validation[[#This Row],[Test Reading]]*Validation[[#This Row],[Mult]]+Validation[[#This Row],[Base]]) &amp;" "&amp;Validation[[#This Row],[Uncert_Units]]</f>
        <v>150 mA</v>
      </c>
      <c r="U20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V2012" t="b">
        <f ca="1">Validation[[#This Row],[Desired Result]]=Validation[[#This Row],[Result]]</f>
        <v>0</v>
      </c>
      <c r="W2012" t="b">
        <v>1</v>
      </c>
      <c r="X2012" t="b">
        <f>Validation[[#This Row],[Range1_Low]]&gt;=Validation[[#This Row],[Range1_High]]</f>
        <v>0</v>
      </c>
      <c r="Y2012" s="111" t="s">
        <v>2845</v>
      </c>
    </row>
    <row r="2013" spans="1:25" ht="16.5" thickTop="1" thickBot="1" x14ac:dyDescent="0.3">
      <c r="A2013" t="s">
        <v>54</v>
      </c>
      <c r="B2013" t="s">
        <v>62</v>
      </c>
      <c r="C2013">
        <v>22</v>
      </c>
      <c r="D2013">
        <v>60.000999999999998</v>
      </c>
      <c r="E2013">
        <v>0.1</v>
      </c>
      <c r="F2013" t="s">
        <v>13</v>
      </c>
      <c r="G2013" t="s">
        <v>12</v>
      </c>
      <c r="H2013" s="113">
        <v>1</v>
      </c>
      <c r="I2013" s="113">
        <v>5.01</v>
      </c>
      <c r="J2013" t="s">
        <v>10</v>
      </c>
      <c r="K2013">
        <v>14.11</v>
      </c>
      <c r="L2013">
        <v>7.4272999999999998</v>
      </c>
      <c r="M2013">
        <v>14.090999999999999</v>
      </c>
      <c r="N2013">
        <v>7.4272999999999998</v>
      </c>
      <c r="O2013" t="s">
        <v>2833</v>
      </c>
      <c r="P2013" t="s">
        <v>158</v>
      </c>
      <c r="Q2013" t="s">
        <v>2833</v>
      </c>
      <c r="R2013">
        <f ca="1">RAND()*(Validation[[#This Row],[Range1_High]]-Validation[[#This Row],[Range1_Low]])+Validation[[#This Row],[Range1_Low]]</f>
        <v>53.275271677993686</v>
      </c>
      <c r="S2013">
        <f>Validation[[#This Row],[Range2_High]]</f>
        <v>5.01</v>
      </c>
      <c r="T2013" t="str" cm="1">
        <f t="array" aca="1" ref="T2013" ca="1">RoundToTwoSigFigs(Validation[[#This Row],[Test Reading]]*Validation[[#This Row],[Mult]]+Validation[[#This Row],[Base]]) &amp;" "&amp;Validation[[#This Row],[Uncert_Units]]</f>
        <v>410 mA</v>
      </c>
      <c r="U20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V2013" t="b">
        <f ca="1">Validation[[#This Row],[Desired Result]]=Validation[[#This Row],[Result]]</f>
        <v>0</v>
      </c>
      <c r="W2013" t="b">
        <v>1</v>
      </c>
      <c r="X2013" t="b">
        <f>Validation[[#This Row],[Range1_Low]]&gt;=Validation[[#This Row],[Range1_High]]</f>
        <v>0</v>
      </c>
      <c r="Y2013" s="114" t="s">
        <v>2847</v>
      </c>
    </row>
    <row r="2014" spans="1:25" ht="16.5" thickTop="1" thickBot="1" x14ac:dyDescent="0.3">
      <c r="A2014" t="s">
        <v>54</v>
      </c>
      <c r="B2014" t="s">
        <v>62</v>
      </c>
      <c r="C2014" s="113">
        <v>60</v>
      </c>
      <c r="D2014" s="113">
        <v>220.01</v>
      </c>
      <c r="E2014">
        <v>1</v>
      </c>
      <c r="F2014" t="s">
        <v>13</v>
      </c>
      <c r="G2014" t="s">
        <v>12</v>
      </c>
      <c r="H2014">
        <v>4.4999999999999998E-2</v>
      </c>
      <c r="I2014">
        <v>0.10001</v>
      </c>
      <c r="J2014" t="s">
        <v>10</v>
      </c>
      <c r="K2014">
        <v>540.32000000000005</v>
      </c>
      <c r="L2014">
        <v>0.97470999999999997</v>
      </c>
      <c r="M2014">
        <v>540.29999999999995</v>
      </c>
      <c r="N2014">
        <v>0.97416999999999998</v>
      </c>
      <c r="O2014" t="s">
        <v>2833</v>
      </c>
      <c r="P2014" t="s">
        <v>158</v>
      </c>
      <c r="Q2014" t="s">
        <v>2833</v>
      </c>
      <c r="R2014">
        <f ca="1">RAND()*(Validation[[#This Row],[Range1_High]]-Validation[[#This Row],[Range1_Low]])+Validation[[#This Row],[Range1_Low]]</f>
        <v>155.11032132382348</v>
      </c>
      <c r="S2014">
        <f>Validation[[#This Row],[Range2_High]]</f>
        <v>0.10001</v>
      </c>
      <c r="T2014" t="str" cm="1">
        <f t="array" aca="1" ref="T2014" ca="1">RoundToTwoSigFigs(Validation[[#This Row],[Test Reading]]*Validation[[#This Row],[Mult]]+Validation[[#This Row],[Base]]) &amp;" "&amp;Validation[[#This Row],[Uncert_Units]]</f>
        <v>690 mA</v>
      </c>
      <c r="U20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V2014" t="b">
        <f ca="1">Validation[[#This Row],[Desired Result]]=Validation[[#This Row],[Result]]</f>
        <v>1</v>
      </c>
      <c r="W2014" t="b">
        <v>1</v>
      </c>
      <c r="X2014" t="b">
        <f>Validation[[#This Row],[Range1_Low]]&gt;=Validation[[#This Row],[Range1_High]]</f>
        <v>0</v>
      </c>
      <c r="Y2014" s="111" t="s">
        <v>2843</v>
      </c>
    </row>
    <row r="2015" spans="1:25" ht="15.75" thickTop="1" x14ac:dyDescent="0.25">
      <c r="A2015" t="s">
        <v>54</v>
      </c>
      <c r="B2015" t="s">
        <v>62</v>
      </c>
      <c r="C2015">
        <v>60</v>
      </c>
      <c r="D2015">
        <v>220.01</v>
      </c>
      <c r="E2015">
        <v>100</v>
      </c>
      <c r="F2015" t="s">
        <v>13</v>
      </c>
      <c r="G2015" t="s">
        <v>12</v>
      </c>
      <c r="H2015">
        <v>5</v>
      </c>
      <c r="I2015">
        <v>5.01</v>
      </c>
      <c r="J2015" t="s">
        <v>10</v>
      </c>
      <c r="K2015">
        <v>57864</v>
      </c>
      <c r="L2015">
        <v>2.9205000000000001</v>
      </c>
      <c r="M2015">
        <v>57864</v>
      </c>
      <c r="N2015">
        <v>2.9201000000000001</v>
      </c>
      <c r="O2015" t="s">
        <v>2833</v>
      </c>
      <c r="P2015" t="s">
        <v>158</v>
      </c>
      <c r="Q2015" t="s">
        <v>2833</v>
      </c>
      <c r="R2015">
        <f ca="1">RAND()*(Validation[[#This Row],[Range1_High]]-Validation[[#This Row],[Range1_Low]])+Validation[[#This Row],[Range1_Low]]</f>
        <v>107.39151495640571</v>
      </c>
      <c r="S2015">
        <f>Validation[[#This Row],[Range2_High]]</f>
        <v>5.01</v>
      </c>
      <c r="T2015" t="str" cm="1">
        <f t="array" aca="1" ref="T2015" ca="1">RoundToTwoSigFigs(Validation[[#This Row],[Test Reading]]*Validation[[#This Row],[Mult]]+Validation[[#This Row],[Base]]) &amp;" "&amp;Validation[[#This Row],[Uncert_Units]]</f>
        <v>58000 mA</v>
      </c>
      <c r="U20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015" t="b">
        <f ca="1">Validation[[#This Row],[Desired Result]]=Validation[[#This Row],[Result]]</f>
        <v>1</v>
      </c>
      <c r="W2015" t="b">
        <v>0</v>
      </c>
      <c r="X2015" t="b">
        <f>Validation[[#This Row],[Range1_Low]]&gt;=Validation[[#This Row],[Range1_High]]</f>
        <v>0</v>
      </c>
      <c r="Y2015" s="111" t="s">
        <v>2845</v>
      </c>
    </row>
    <row r="2016" spans="1:25" x14ac:dyDescent="0.25">
      <c r="A2016" t="s">
        <v>54</v>
      </c>
      <c r="B2016" t="s">
        <v>62</v>
      </c>
      <c r="C2016">
        <v>220</v>
      </c>
      <c r="D2016">
        <v>410.01</v>
      </c>
      <c r="E2016">
        <v>100</v>
      </c>
      <c r="F2016" t="s">
        <v>13</v>
      </c>
      <c r="G2016" t="s">
        <v>12</v>
      </c>
      <c r="H2016">
        <v>4.4999999999999998E-2</v>
      </c>
      <c r="I2016">
        <v>0.10001</v>
      </c>
      <c r="J2016" t="s">
        <v>10</v>
      </c>
      <c r="K2016">
        <v>57996</v>
      </c>
      <c r="L2016">
        <v>3.551E-2</v>
      </c>
      <c r="M2016">
        <v>57996</v>
      </c>
      <c r="N2016">
        <v>3.4907000000000001E-2</v>
      </c>
      <c r="O2016" t="s">
        <v>2833</v>
      </c>
      <c r="P2016" t="s">
        <v>158</v>
      </c>
      <c r="Q2016" t="s">
        <v>2833</v>
      </c>
      <c r="R2016">
        <f ca="1">RAND()*(Validation[[#This Row],[Range1_High]]-Validation[[#This Row],[Range1_Low]])+Validation[[#This Row],[Range1_Low]]</f>
        <v>380.54690835947463</v>
      </c>
      <c r="S2016">
        <f>Validation[[#This Row],[Range2_High]]</f>
        <v>0.10001</v>
      </c>
      <c r="T2016" t="str" cm="1">
        <f t="array" aca="1" ref="T2016" ca="1">RoundToTwoSigFigs(Validation[[#This Row],[Test Reading]]*Validation[[#This Row],[Mult]]+Validation[[#This Row],[Base]]) &amp;" "&amp;Validation[[#This Row],[Uncert_Units]]</f>
        <v>58000 mA</v>
      </c>
      <c r="U20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016" t="b">
        <f ca="1">Validation[[#This Row],[Desired Result]]=Validation[[#This Row],[Result]]</f>
        <v>1</v>
      </c>
      <c r="W2016" t="b">
        <v>0</v>
      </c>
      <c r="X2016" t="b">
        <f>Validation[[#This Row],[Range1_Low]]&gt;=Validation[[#This Row],[Range1_High]]</f>
        <v>0</v>
      </c>
      <c r="Y2016" s="111" t="s">
        <v>2845</v>
      </c>
    </row>
    <row r="2017" spans="1:25" ht="15.75" thickBot="1" x14ac:dyDescent="0.3">
      <c r="A2017" t="s">
        <v>54</v>
      </c>
      <c r="B2017" t="s">
        <v>62</v>
      </c>
      <c r="C2017">
        <v>22</v>
      </c>
      <c r="D2017">
        <v>60.000999999999998</v>
      </c>
      <c r="E2017">
        <v>1E-3</v>
      </c>
      <c r="F2017" t="s">
        <v>13</v>
      </c>
      <c r="G2017" t="s">
        <v>12</v>
      </c>
      <c r="H2017">
        <v>4.4999999999999998E-2</v>
      </c>
      <c r="I2017">
        <v>1.0000100000000001</v>
      </c>
      <c r="J2017" t="s">
        <v>10</v>
      </c>
      <c r="K2017">
        <v>15</v>
      </c>
      <c r="L2017">
        <v>2.2999999999999998</v>
      </c>
      <c r="M2017">
        <v>-5.0780000000000003</v>
      </c>
      <c r="N2017">
        <v>2.2269999999999999</v>
      </c>
      <c r="O2017" t="s">
        <v>2833</v>
      </c>
      <c r="P2017" t="s">
        <v>158</v>
      </c>
      <c r="Q2017" t="s">
        <v>2833</v>
      </c>
      <c r="R2017">
        <f ca="1">RAND()*(Validation[[#This Row],[Range1_High]]-Validation[[#This Row],[Range1_Low]])+Validation[[#This Row],[Range1_Low]]</f>
        <v>28.340307461449893</v>
      </c>
      <c r="S2017">
        <f>Validation[[#This Row],[Range2_High]]</f>
        <v>1.0000100000000001</v>
      </c>
      <c r="T2017" t="str" cm="1">
        <f t="array" aca="1" ref="T2017" ca="1">RoundToTwoSigFigs(Validation[[#This Row],[Test Reading]]*Validation[[#This Row],[Mult]]+Validation[[#This Row],[Base]]) &amp;" "&amp;Validation[[#This Row],[Uncert_Units]]</f>
        <v>80 mA</v>
      </c>
      <c r="U20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V2017" t="b">
        <f ca="1">Validation[[#This Row],[Desired Result]]=Validation[[#This Row],[Result]]</f>
        <v>0</v>
      </c>
      <c r="W2017" t="b">
        <v>1</v>
      </c>
      <c r="X2017" t="b">
        <f>Validation[[#This Row],[Range1_Low]]&gt;=Validation[[#This Row],[Range1_High]]</f>
        <v>0</v>
      </c>
      <c r="Y2017" s="111" t="s">
        <v>2845</v>
      </c>
    </row>
    <row r="2018" spans="1:25" ht="16.5" thickTop="1" thickBot="1" x14ac:dyDescent="0.3">
      <c r="A2018" t="s">
        <v>54</v>
      </c>
      <c r="B2018" t="s">
        <v>62</v>
      </c>
      <c r="C2018" s="113">
        <v>220</v>
      </c>
      <c r="D2018" s="113">
        <v>410.01</v>
      </c>
      <c r="E2018">
        <v>0.01</v>
      </c>
      <c r="F2018" t="s">
        <v>13</v>
      </c>
      <c r="G2018" t="s">
        <v>12</v>
      </c>
      <c r="H2018">
        <v>0.1</v>
      </c>
      <c r="I2018">
        <v>1.0000100000000001</v>
      </c>
      <c r="J2018" t="s">
        <v>10</v>
      </c>
      <c r="K2018">
        <v>98</v>
      </c>
      <c r="L2018">
        <v>2.6</v>
      </c>
      <c r="M2018">
        <v>84.28</v>
      </c>
      <c r="N2018">
        <v>2.6326000000000001</v>
      </c>
      <c r="O2018" t="s">
        <v>2833</v>
      </c>
      <c r="P2018" t="s">
        <v>158</v>
      </c>
      <c r="Q2018" t="s">
        <v>2833</v>
      </c>
      <c r="R2018">
        <f ca="1">RAND()*(Validation[[#This Row],[Range1_High]]-Validation[[#This Row],[Range1_Low]])+Validation[[#This Row],[Range1_Low]]</f>
        <v>313.71792176390659</v>
      </c>
      <c r="S2018">
        <f>Validation[[#This Row],[Range2_High]]</f>
        <v>1.0000100000000001</v>
      </c>
      <c r="T2018" t="str" cm="1">
        <f t="array" aca="1" ref="T2018" ca="1">RoundToTwoSigFigs(Validation[[#This Row],[Test Reading]]*Validation[[#This Row],[Mult]]+Validation[[#This Row],[Base]]) &amp;" "&amp;Validation[[#This Row],[Uncert_Units]]</f>
        <v>910 mA</v>
      </c>
      <c r="U20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V2018" t="b">
        <f ca="1">Validation[[#This Row],[Desired Result]]=Validation[[#This Row],[Result]]</f>
        <v>1</v>
      </c>
      <c r="W2018" t="b">
        <v>1</v>
      </c>
      <c r="X2018" t="b">
        <f>Validation[[#This Row],[Range1_Low]]&gt;=Validation[[#This Row],[Range1_High]]</f>
        <v>0</v>
      </c>
      <c r="Y2018" s="111" t="s">
        <v>2843</v>
      </c>
    </row>
    <row r="2019" spans="1:25" ht="15.75" thickTop="1" x14ac:dyDescent="0.25">
      <c r="A2019" t="s">
        <v>54</v>
      </c>
      <c r="B2019" t="s">
        <v>62</v>
      </c>
      <c r="C2019">
        <v>22</v>
      </c>
      <c r="D2019">
        <v>60.000999999999998</v>
      </c>
      <c r="E2019">
        <v>0.1</v>
      </c>
      <c r="F2019" t="s">
        <v>13</v>
      </c>
      <c r="G2019" t="s">
        <v>12</v>
      </c>
      <c r="H2019">
        <v>4.4999999999999998E-2</v>
      </c>
      <c r="I2019">
        <v>1.0000100000000001</v>
      </c>
      <c r="J2019" t="s">
        <v>10</v>
      </c>
      <c r="K2019">
        <v>25.632000000000001</v>
      </c>
      <c r="L2019">
        <v>2.1227999999999998</v>
      </c>
      <c r="M2019">
        <v>32.901000000000003</v>
      </c>
      <c r="N2019">
        <v>1.7903</v>
      </c>
      <c r="O2019" t="s">
        <v>2833</v>
      </c>
      <c r="P2019" t="s">
        <v>158</v>
      </c>
      <c r="Q2019" t="s">
        <v>2833</v>
      </c>
      <c r="R2019">
        <f ca="1">RAND()*(Validation[[#This Row],[Range1_High]]-Validation[[#This Row],[Range1_Low]])+Validation[[#This Row],[Range1_Low]]</f>
        <v>40.87906617700564</v>
      </c>
      <c r="S2019">
        <f>Validation[[#This Row],[Range2_High]]</f>
        <v>1.0000100000000001</v>
      </c>
      <c r="T2019" t="str" cm="1">
        <f t="array" aca="1" ref="T2019" ca="1">RoundToTwoSigFigs(Validation[[#This Row],[Test Reading]]*Validation[[#This Row],[Mult]]+Validation[[#This Row],[Base]]) &amp;" "&amp;Validation[[#This Row],[Uncert_Units]]</f>
        <v>110 mA</v>
      </c>
      <c r="U20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V2019" t="b">
        <f ca="1">Validation[[#This Row],[Desired Result]]=Validation[[#This Row],[Result]]</f>
        <v>0</v>
      </c>
      <c r="W2019" t="b">
        <v>1</v>
      </c>
      <c r="X2019" t="b">
        <f>Validation[[#This Row],[Range1_Low]]&gt;=Validation[[#This Row],[Range1_High]]</f>
        <v>0</v>
      </c>
      <c r="Y2019" s="111" t="s">
        <v>2845</v>
      </c>
    </row>
    <row r="2020" spans="1:25" ht="15.75" thickBot="1" x14ac:dyDescent="0.3">
      <c r="A2020" t="s">
        <v>54</v>
      </c>
      <c r="B2020" t="s">
        <v>62</v>
      </c>
      <c r="C2020">
        <v>22</v>
      </c>
      <c r="D2020">
        <v>60.000999999999998</v>
      </c>
      <c r="E2020">
        <v>10</v>
      </c>
      <c r="F2020" t="s">
        <v>13</v>
      </c>
      <c r="G2020" t="s">
        <v>12</v>
      </c>
      <c r="H2020">
        <v>10</v>
      </c>
      <c r="I2020">
        <v>10.01</v>
      </c>
      <c r="J2020" t="s">
        <v>10</v>
      </c>
      <c r="K2020">
        <v>5698.4</v>
      </c>
      <c r="L2020">
        <v>6.4999000000000002</v>
      </c>
      <c r="M2020">
        <v>5698.4</v>
      </c>
      <c r="N2020">
        <v>6.4988999999999999</v>
      </c>
      <c r="O2020" t="s">
        <v>2833</v>
      </c>
      <c r="P2020" t="s">
        <v>158</v>
      </c>
      <c r="Q2020" t="s">
        <v>2833</v>
      </c>
      <c r="R2020">
        <f ca="1">RAND()*(Validation[[#This Row],[Range1_High]]-Validation[[#This Row],[Range1_Low]])+Validation[[#This Row],[Range1_Low]]</f>
        <v>49.632864414604754</v>
      </c>
      <c r="S2020">
        <f>Validation[[#This Row],[Range2_High]]</f>
        <v>10.01</v>
      </c>
      <c r="T2020" t="str" cm="1">
        <f t="array" aca="1" ref="T2020" ca="1">RoundToTwoSigFigs(Validation[[#This Row],[Test Reading]]*Validation[[#This Row],[Mult]]+Validation[[#This Row],[Base]]) &amp;" "&amp;Validation[[#This Row],[Uncert_Units]]</f>
        <v>6000 mA</v>
      </c>
      <c r="U20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V2020" t="b">
        <f ca="1">Validation[[#This Row],[Desired Result]]=Validation[[#This Row],[Result]]</f>
        <v>1</v>
      </c>
      <c r="W2020" t="b">
        <v>0</v>
      </c>
      <c r="X2020" t="b">
        <f>Validation[[#This Row],[Range1_Low]]&gt;=Validation[[#This Row],[Range1_High]]</f>
        <v>0</v>
      </c>
      <c r="Y2020" s="111" t="s">
        <v>2845</v>
      </c>
    </row>
    <row r="2021" spans="1:25" ht="16.5" thickTop="1" thickBot="1" x14ac:dyDescent="0.3">
      <c r="A2021" t="s">
        <v>54</v>
      </c>
      <c r="B2021" t="s">
        <v>62</v>
      </c>
      <c r="C2021">
        <v>22</v>
      </c>
      <c r="D2021">
        <v>60.000999999999998</v>
      </c>
      <c r="E2021">
        <v>10</v>
      </c>
      <c r="F2021" t="s">
        <v>13</v>
      </c>
      <c r="G2021" t="s">
        <v>12</v>
      </c>
      <c r="H2021" s="113">
        <v>1</v>
      </c>
      <c r="I2021" s="113">
        <v>5.01</v>
      </c>
      <c r="J2021" t="s">
        <v>10</v>
      </c>
      <c r="K2021">
        <v>5793.5</v>
      </c>
      <c r="L2021">
        <v>0.40619</v>
      </c>
      <c r="M2021">
        <v>5793.5</v>
      </c>
      <c r="N2021">
        <v>0.40583000000000002</v>
      </c>
      <c r="O2021" t="s">
        <v>2833</v>
      </c>
      <c r="P2021" t="s">
        <v>158</v>
      </c>
      <c r="Q2021" t="s">
        <v>2833</v>
      </c>
      <c r="R2021">
        <f ca="1">RAND()*(Validation[[#This Row],[Range1_High]]-Validation[[#This Row],[Range1_Low]])+Validation[[#This Row],[Range1_Low]]</f>
        <v>41.513052785769361</v>
      </c>
      <c r="S2021">
        <f>Validation[[#This Row],[Range2_High]]</f>
        <v>5.01</v>
      </c>
      <c r="T2021" t="str" cm="1">
        <f t="array" aca="1" ref="T2021" ca="1">RoundToTwoSigFigs(Validation[[#This Row],[Test Reading]]*Validation[[#This Row],[Mult]]+Validation[[#This Row],[Base]]) &amp;" "&amp;Validation[[#This Row],[Uncert_Units]]</f>
        <v>5800 mA</v>
      </c>
      <c r="U20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V2021" t="b">
        <f ca="1">Validation[[#This Row],[Desired Result]]=Validation[[#This Row],[Result]]</f>
        <v>0</v>
      </c>
      <c r="W2021" t="b">
        <v>1</v>
      </c>
      <c r="X2021" t="b">
        <f>Validation[[#This Row],[Range1_Low]]&gt;=Validation[[#This Row],[Range1_High]]</f>
        <v>0</v>
      </c>
      <c r="Y2021" s="114" t="s">
        <v>2847</v>
      </c>
    </row>
    <row r="2022" spans="1:25" ht="16.5" thickTop="1" thickBot="1" x14ac:dyDescent="0.3">
      <c r="A2022" t="s">
        <v>54</v>
      </c>
      <c r="B2022" t="s">
        <v>63</v>
      </c>
      <c r="C2022" s="113">
        <v>150</v>
      </c>
      <c r="D2022" s="113">
        <v>550.01</v>
      </c>
      <c r="E2022">
        <v>0.01</v>
      </c>
      <c r="F2022" t="s">
        <v>13</v>
      </c>
      <c r="G2022" t="s">
        <v>12</v>
      </c>
      <c r="H2022">
        <v>5</v>
      </c>
      <c r="I2022">
        <v>5.01</v>
      </c>
      <c r="J2022" t="s">
        <v>10</v>
      </c>
      <c r="K2022">
        <v>120</v>
      </c>
      <c r="L2022">
        <v>35</v>
      </c>
      <c r="M2022">
        <v>115.24</v>
      </c>
      <c r="N2022">
        <v>34.698999999999998</v>
      </c>
      <c r="O2022" t="s">
        <v>2833</v>
      </c>
      <c r="P2022" t="s">
        <v>159</v>
      </c>
      <c r="Q2022" t="s">
        <v>2833</v>
      </c>
      <c r="R2022">
        <f ca="1">RAND()*(Validation[[#This Row],[Range1_High]]-Validation[[#This Row],[Range1_Low]])+Validation[[#This Row],[Range1_Low]]</f>
        <v>363.27876481845129</v>
      </c>
      <c r="S2022">
        <f>Validation[[#This Row],[Range2_High]]</f>
        <v>5.01</v>
      </c>
      <c r="T2022" t="str" cm="1">
        <f t="array" aca="1" ref="T2022" ca="1">RoundToTwoSigFigs(Validation[[#This Row],[Test Reading]]*Validation[[#This Row],[Mult]]+Validation[[#This Row],[Base]]) &amp;" "&amp;Validation[[#This Row],[Uncert_Units]]</f>
        <v>13000 mA</v>
      </c>
      <c r="U20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V2022" t="b">
        <f ca="1">Validation[[#This Row],[Desired Result]]=Validation[[#This Row],[Result]]</f>
        <v>1</v>
      </c>
      <c r="W2022" t="b">
        <v>1</v>
      </c>
      <c r="X2022" t="b">
        <f>Validation[[#This Row],[Range1_Low]]&gt;=Validation[[#This Row],[Range1_High]]</f>
        <v>0</v>
      </c>
      <c r="Y2022" s="111" t="s">
        <v>2843</v>
      </c>
    </row>
    <row r="2023" spans="1:25" ht="15.75" thickTop="1" x14ac:dyDescent="0.25">
      <c r="A2023" t="s">
        <v>54</v>
      </c>
      <c r="B2023" t="s">
        <v>63</v>
      </c>
      <c r="C2023">
        <v>55</v>
      </c>
      <c r="D2023">
        <v>150.01</v>
      </c>
      <c r="E2023">
        <v>100</v>
      </c>
      <c r="F2023" t="s">
        <v>13</v>
      </c>
      <c r="G2023" t="s">
        <v>12</v>
      </c>
      <c r="H2023">
        <v>4.4999999999999998E-2</v>
      </c>
      <c r="I2023">
        <v>0.1</v>
      </c>
      <c r="J2023" t="s">
        <v>10</v>
      </c>
      <c r="K2023">
        <v>58000</v>
      </c>
      <c r="L2023">
        <v>8.1364000000000002E-3</v>
      </c>
      <c r="M2023">
        <v>57996</v>
      </c>
      <c r="N2023">
        <v>7.9862000000000006E-3</v>
      </c>
      <c r="O2023" t="s">
        <v>2833</v>
      </c>
      <c r="P2023" t="s">
        <v>159</v>
      </c>
      <c r="Q2023" t="s">
        <v>2833</v>
      </c>
      <c r="R2023">
        <f ca="1">RAND()*(Validation[[#This Row],[Range1_High]]-Validation[[#This Row],[Range1_Low]])+Validation[[#This Row],[Range1_Low]]</f>
        <v>138.26033236092258</v>
      </c>
      <c r="S2023">
        <f>Validation[[#This Row],[Range2_High]]</f>
        <v>0.1</v>
      </c>
      <c r="T2023" t="str" cm="1">
        <f t="array" aca="1" ref="T2023" ca="1">RoundToTwoSigFigs(Validation[[#This Row],[Test Reading]]*Validation[[#This Row],[Mult]]+Validation[[#This Row],[Base]]) &amp;" "&amp;Validation[[#This Row],[Uncert_Units]]</f>
        <v>58000 mA</v>
      </c>
      <c r="U20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023" t="b">
        <f ca="1">Validation[[#This Row],[Desired Result]]=Validation[[#This Row],[Result]]</f>
        <v>1</v>
      </c>
      <c r="W2023" t="b">
        <v>0</v>
      </c>
      <c r="X2023" t="b">
        <f>Validation[[#This Row],[Range1_Low]]&gt;=Validation[[#This Row],[Range1_High]]</f>
        <v>0</v>
      </c>
      <c r="Y2023" s="111" t="s">
        <v>2845</v>
      </c>
    </row>
    <row r="2024" spans="1:25" ht="15.75" thickBot="1" x14ac:dyDescent="0.3">
      <c r="A2024" t="s">
        <v>54</v>
      </c>
      <c r="B2024" t="s">
        <v>63</v>
      </c>
      <c r="C2024">
        <v>55</v>
      </c>
      <c r="D2024">
        <v>150.01</v>
      </c>
      <c r="E2024">
        <v>0.1</v>
      </c>
      <c r="F2024" t="s">
        <v>13</v>
      </c>
      <c r="G2024" t="s">
        <v>12</v>
      </c>
      <c r="H2024">
        <v>1</v>
      </c>
      <c r="I2024">
        <v>5.01</v>
      </c>
      <c r="J2024" t="s">
        <v>10</v>
      </c>
      <c r="K2024">
        <v>60.896000000000001</v>
      </c>
      <c r="L2024">
        <v>7.1858000000000004</v>
      </c>
      <c r="M2024">
        <v>60.843000000000004</v>
      </c>
      <c r="N2024">
        <v>7.1859000000000002</v>
      </c>
      <c r="O2024" t="s">
        <v>2833</v>
      </c>
      <c r="P2024" t="s">
        <v>159</v>
      </c>
      <c r="Q2024" t="s">
        <v>2833</v>
      </c>
      <c r="R2024">
        <f ca="1">RAND()*(Validation[[#This Row],[Range1_High]]-Validation[[#This Row],[Range1_Low]])+Validation[[#This Row],[Range1_Low]]</f>
        <v>59.685517278387408</v>
      </c>
      <c r="S2024">
        <f>Validation[[#This Row],[Range2_High]]</f>
        <v>5.01</v>
      </c>
      <c r="T2024" t="str" cm="1">
        <f t="array" aca="1" ref="T2024" ca="1">RoundToTwoSigFigs(Validation[[#This Row],[Test Reading]]*Validation[[#This Row],[Mult]]+Validation[[#This Row],[Base]]) &amp;" "&amp;Validation[[#This Row],[Uncert_Units]]</f>
        <v>490 mA</v>
      </c>
      <c r="U20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V2024" t="b">
        <f ca="1">Validation[[#This Row],[Desired Result]]=Validation[[#This Row],[Result]]</f>
        <v>1</v>
      </c>
      <c r="W2024" t="b">
        <v>0</v>
      </c>
      <c r="X2024" t="b">
        <f>Validation[[#This Row],[Range1_Low]]&gt;=Validation[[#This Row],[Range1_High]]</f>
        <v>0</v>
      </c>
      <c r="Y2024" s="111" t="s">
        <v>2845</v>
      </c>
    </row>
    <row r="2025" spans="1:25" ht="16.5" thickTop="1" thickBot="1" x14ac:dyDescent="0.3">
      <c r="A2025" t="s">
        <v>54</v>
      </c>
      <c r="B2025" t="s">
        <v>63</v>
      </c>
      <c r="C2025" s="113">
        <v>150</v>
      </c>
      <c r="D2025" s="113">
        <v>550.01</v>
      </c>
      <c r="E2025">
        <v>1</v>
      </c>
      <c r="F2025" t="s">
        <v>13</v>
      </c>
      <c r="G2025" t="s">
        <v>12</v>
      </c>
      <c r="H2025">
        <v>0.1</v>
      </c>
      <c r="I2025">
        <v>1.0000100000000001</v>
      </c>
      <c r="J2025" t="s">
        <v>10</v>
      </c>
      <c r="K2025">
        <v>437.31</v>
      </c>
      <c r="L2025">
        <v>1.8466</v>
      </c>
      <c r="M2025">
        <v>437.03</v>
      </c>
      <c r="N2025">
        <v>1.8463000000000001</v>
      </c>
      <c r="O2025" t="s">
        <v>2833</v>
      </c>
      <c r="P2025" t="s">
        <v>159</v>
      </c>
      <c r="Q2025" t="s">
        <v>2833</v>
      </c>
      <c r="R2025">
        <f ca="1">RAND()*(Validation[[#This Row],[Range1_High]]-Validation[[#This Row],[Range1_Low]])+Validation[[#This Row],[Range1_Low]]</f>
        <v>418.96009459287751</v>
      </c>
      <c r="S2025">
        <f>Validation[[#This Row],[Range2_High]]</f>
        <v>1.0000100000000001</v>
      </c>
      <c r="T2025" t="str" cm="1">
        <f t="array" aca="1" ref="T2025" ca="1">RoundToTwoSigFigs(Validation[[#This Row],[Test Reading]]*Validation[[#This Row],[Mult]]+Validation[[#This Row],[Base]]) &amp;" "&amp;Validation[[#This Row],[Uncert_Units]]</f>
        <v>1200 mA</v>
      </c>
      <c r="U20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V2025" t="b">
        <f ca="1">Validation[[#This Row],[Desired Result]]=Validation[[#This Row],[Result]]</f>
        <v>1</v>
      </c>
      <c r="W2025" t="b">
        <v>1</v>
      </c>
      <c r="X2025" t="b">
        <f>Validation[[#This Row],[Range1_Low]]&gt;=Validation[[#This Row],[Range1_High]]</f>
        <v>0</v>
      </c>
      <c r="Y2025" s="111" t="s">
        <v>2843</v>
      </c>
    </row>
    <row r="2026" spans="1:25" ht="16.5" thickTop="1" thickBot="1" x14ac:dyDescent="0.3">
      <c r="A2026" t="s">
        <v>54</v>
      </c>
      <c r="B2026" t="s">
        <v>63</v>
      </c>
      <c r="C2026" s="113">
        <v>150</v>
      </c>
      <c r="D2026" s="113">
        <v>550.01</v>
      </c>
      <c r="E2026">
        <v>1</v>
      </c>
      <c r="F2026" t="s">
        <v>13</v>
      </c>
      <c r="G2026" t="s">
        <v>12</v>
      </c>
      <c r="H2026">
        <v>5</v>
      </c>
      <c r="I2026">
        <v>5.01</v>
      </c>
      <c r="J2026" t="s">
        <v>10</v>
      </c>
      <c r="K2026">
        <v>120</v>
      </c>
      <c r="L2026">
        <v>35</v>
      </c>
      <c r="M2026">
        <v>155.32</v>
      </c>
      <c r="N2026">
        <v>34.642000000000003</v>
      </c>
      <c r="O2026" t="s">
        <v>2833</v>
      </c>
      <c r="P2026" t="s">
        <v>159</v>
      </c>
      <c r="Q2026" t="s">
        <v>2833</v>
      </c>
      <c r="R2026">
        <f ca="1">RAND()*(Validation[[#This Row],[Range1_High]]-Validation[[#This Row],[Range1_Low]])+Validation[[#This Row],[Range1_Low]]</f>
        <v>377.93149385738434</v>
      </c>
      <c r="S2026">
        <f>Validation[[#This Row],[Range2_High]]</f>
        <v>5.01</v>
      </c>
      <c r="T2026" t="str" cm="1">
        <f t="array" aca="1" ref="T2026" ca="1">RoundToTwoSigFigs(Validation[[#This Row],[Test Reading]]*Validation[[#This Row],[Mult]]+Validation[[#This Row],[Base]]) &amp;" "&amp;Validation[[#This Row],[Uncert_Units]]</f>
        <v>13000 mA</v>
      </c>
      <c r="U20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V2026" t="b">
        <f ca="1">Validation[[#This Row],[Desired Result]]=Validation[[#This Row],[Result]]</f>
        <v>1</v>
      </c>
      <c r="W2026" t="b">
        <v>1</v>
      </c>
      <c r="X2026" t="b">
        <f>Validation[[#This Row],[Range1_Low]]&gt;=Validation[[#This Row],[Range1_High]]</f>
        <v>0</v>
      </c>
      <c r="Y2026" s="111" t="s">
        <v>2843</v>
      </c>
    </row>
    <row r="2027" spans="1:25" ht="15.75" thickTop="1" x14ac:dyDescent="0.25">
      <c r="A2027" t="s">
        <v>54</v>
      </c>
      <c r="B2027" t="s">
        <v>63</v>
      </c>
      <c r="C2027">
        <v>55</v>
      </c>
      <c r="D2027">
        <v>150.01</v>
      </c>
      <c r="E2027">
        <v>10</v>
      </c>
      <c r="F2027" t="s">
        <v>13</v>
      </c>
      <c r="G2027" t="s">
        <v>12</v>
      </c>
      <c r="H2027">
        <v>1</v>
      </c>
      <c r="I2027">
        <v>5.01</v>
      </c>
      <c r="J2027" t="s">
        <v>10</v>
      </c>
      <c r="K2027">
        <v>5763.9</v>
      </c>
      <c r="L2027">
        <v>0.97779000000000005</v>
      </c>
      <c r="M2027">
        <v>5763.9</v>
      </c>
      <c r="N2027">
        <v>0.97714999999999996</v>
      </c>
      <c r="O2027" t="s">
        <v>2833</v>
      </c>
      <c r="P2027" t="s">
        <v>159</v>
      </c>
      <c r="Q2027" t="s">
        <v>2833</v>
      </c>
      <c r="R2027">
        <f ca="1">RAND()*(Validation[[#This Row],[Range1_High]]-Validation[[#This Row],[Range1_Low]])+Validation[[#This Row],[Range1_Low]]</f>
        <v>93.618211659312891</v>
      </c>
      <c r="S2027">
        <f>Validation[[#This Row],[Range2_High]]</f>
        <v>5.01</v>
      </c>
      <c r="T2027" t="str" cm="1">
        <f t="array" aca="1" ref="T2027" ca="1">RoundToTwoSigFigs(Validation[[#This Row],[Test Reading]]*Validation[[#This Row],[Mult]]+Validation[[#This Row],[Base]]) &amp;" "&amp;Validation[[#This Row],[Uncert_Units]]</f>
        <v>5900 mA</v>
      </c>
      <c r="U20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V2027" t="b">
        <f ca="1">Validation[[#This Row],[Desired Result]]=Validation[[#This Row],[Result]]</f>
        <v>1</v>
      </c>
      <c r="W2027" t="b">
        <v>0</v>
      </c>
      <c r="X2027" t="b">
        <f>Validation[[#This Row],[Range1_Low]]&gt;=Validation[[#This Row],[Range1_High]]</f>
        <v>0</v>
      </c>
      <c r="Y2027" s="111" t="s">
        <v>2845</v>
      </c>
    </row>
    <row r="2028" spans="1:25" x14ac:dyDescent="0.25">
      <c r="A2028" t="s">
        <v>54</v>
      </c>
      <c r="B2028" t="s">
        <v>63</v>
      </c>
      <c r="C2028">
        <v>55</v>
      </c>
      <c r="D2028">
        <v>150.01</v>
      </c>
      <c r="E2028">
        <v>0.1</v>
      </c>
      <c r="F2028" t="s">
        <v>13</v>
      </c>
      <c r="G2028" t="s">
        <v>12</v>
      </c>
      <c r="H2028">
        <v>0.01</v>
      </c>
      <c r="I2028">
        <v>4.4999999999999998E-2</v>
      </c>
      <c r="J2028" t="s">
        <v>10</v>
      </c>
      <c r="K2028">
        <v>22</v>
      </c>
      <c r="L2028">
        <v>2.8075999999999999</v>
      </c>
      <c r="M2028">
        <v>17.829000000000001</v>
      </c>
      <c r="N2028">
        <v>2.819</v>
      </c>
      <c r="O2028" t="s">
        <v>2833</v>
      </c>
      <c r="P2028" t="s">
        <v>159</v>
      </c>
      <c r="Q2028" t="s">
        <v>2833</v>
      </c>
      <c r="R2028">
        <f ca="1">RAND()*(Validation[[#This Row],[Range1_High]]-Validation[[#This Row],[Range1_Low]])+Validation[[#This Row],[Range1_Low]]</f>
        <v>90.043427020546176</v>
      </c>
      <c r="S2028">
        <f>Validation[[#This Row],[Range2_High]]</f>
        <v>4.4999999999999998E-2</v>
      </c>
      <c r="T2028" t="str" cm="1">
        <f t="array" aca="1" ref="T2028" ca="1">RoundToTwoSigFigs(Validation[[#This Row],[Test Reading]]*Validation[[#This Row],[Mult]]+Validation[[#This Row],[Base]]) &amp;" "&amp;Validation[[#This Row],[Uncert_Units]]</f>
        <v>270 mA</v>
      </c>
      <c r="U20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V2028" t="b">
        <f ca="1">Validation[[#This Row],[Desired Result]]=Validation[[#This Row],[Result]]</f>
        <v>1</v>
      </c>
      <c r="W2028" t="b">
        <v>0</v>
      </c>
      <c r="X2028" t="b">
        <f>Validation[[#This Row],[Range1_Low]]&gt;=Validation[[#This Row],[Range1_High]]</f>
        <v>0</v>
      </c>
      <c r="Y2028" s="111" t="s">
        <v>2845</v>
      </c>
    </row>
    <row r="2029" spans="1:25" x14ac:dyDescent="0.25">
      <c r="A2029" t="s">
        <v>54</v>
      </c>
      <c r="B2029" t="s">
        <v>63</v>
      </c>
      <c r="C2029">
        <v>55</v>
      </c>
      <c r="D2029">
        <v>150.01</v>
      </c>
      <c r="E2029">
        <v>1</v>
      </c>
      <c r="F2029" t="s">
        <v>13</v>
      </c>
      <c r="G2029" t="s">
        <v>12</v>
      </c>
      <c r="H2029">
        <v>0.1</v>
      </c>
      <c r="I2029">
        <v>1</v>
      </c>
      <c r="J2029" t="s">
        <v>10</v>
      </c>
      <c r="K2029">
        <v>551.36</v>
      </c>
      <c r="L2029">
        <v>0.73945000000000005</v>
      </c>
      <c r="M2029">
        <v>551.34</v>
      </c>
      <c r="N2029">
        <v>0.73870000000000002</v>
      </c>
      <c r="O2029" t="s">
        <v>2833</v>
      </c>
      <c r="P2029" t="s">
        <v>159</v>
      </c>
      <c r="Q2029" t="s">
        <v>2833</v>
      </c>
      <c r="R2029">
        <f ca="1">RAND()*(Validation[[#This Row],[Range1_High]]-Validation[[#This Row],[Range1_Low]])+Validation[[#This Row],[Range1_Low]]</f>
        <v>105.37280551595772</v>
      </c>
      <c r="S2029">
        <f>Validation[[#This Row],[Range2_High]]</f>
        <v>1</v>
      </c>
      <c r="T2029" t="str" cm="1">
        <f t="array" aca="1" ref="T2029" ca="1">RoundToTwoSigFigs(Validation[[#This Row],[Test Reading]]*Validation[[#This Row],[Mult]]+Validation[[#This Row],[Base]]) &amp;" "&amp;Validation[[#This Row],[Uncert_Units]]</f>
        <v>630 mA</v>
      </c>
      <c r="U20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V2029" t="b">
        <f ca="1">Validation[[#This Row],[Desired Result]]=Validation[[#This Row],[Result]]</f>
        <v>1</v>
      </c>
      <c r="W2029" t="b">
        <v>0</v>
      </c>
      <c r="X2029" t="b">
        <f>Validation[[#This Row],[Range1_Low]]&gt;=Validation[[#This Row],[Range1_High]]</f>
        <v>0</v>
      </c>
      <c r="Y2029" s="111" t="s">
        <v>2845</v>
      </c>
    </row>
    <row r="2030" spans="1:25" ht="15.75" thickBot="1" x14ac:dyDescent="0.3">
      <c r="A2030" t="s">
        <v>54</v>
      </c>
      <c r="B2030" t="s">
        <v>63</v>
      </c>
      <c r="C2030">
        <v>55</v>
      </c>
      <c r="D2030">
        <v>150.01</v>
      </c>
      <c r="E2030">
        <v>10</v>
      </c>
      <c r="F2030" t="s">
        <v>13</v>
      </c>
      <c r="G2030" t="s">
        <v>12</v>
      </c>
      <c r="H2030">
        <v>5</v>
      </c>
      <c r="I2030">
        <v>10</v>
      </c>
      <c r="J2030" t="s">
        <v>10</v>
      </c>
      <c r="K2030">
        <v>5330.6</v>
      </c>
      <c r="L2030">
        <v>13.938000000000001</v>
      </c>
      <c r="M2030">
        <v>5330.7</v>
      </c>
      <c r="N2030">
        <v>13.932</v>
      </c>
      <c r="O2030" t="s">
        <v>2833</v>
      </c>
      <c r="P2030" t="s">
        <v>159</v>
      </c>
      <c r="Q2030" t="s">
        <v>2833</v>
      </c>
      <c r="R2030">
        <f ca="1">RAND()*(Validation[[#This Row],[Range1_High]]-Validation[[#This Row],[Range1_Low]])+Validation[[#This Row],[Range1_Low]]</f>
        <v>74.441001004051458</v>
      </c>
      <c r="S2030">
        <f>Validation[[#This Row],[Range2_High]]</f>
        <v>10</v>
      </c>
      <c r="T2030" t="str" cm="1">
        <f t="array" aca="1" ref="T2030" ca="1">RoundToTwoSigFigs(Validation[[#This Row],[Test Reading]]*Validation[[#This Row],[Mult]]+Validation[[#This Row],[Base]]) &amp;" "&amp;Validation[[#This Row],[Uncert_Units]]</f>
        <v>6400 mA</v>
      </c>
      <c r="U20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V2030" t="b">
        <f ca="1">Validation[[#This Row],[Desired Result]]=Validation[[#This Row],[Result]]</f>
        <v>1</v>
      </c>
      <c r="W2030" t="b">
        <v>1</v>
      </c>
      <c r="X2030" t="b">
        <f>Validation[[#This Row],[Range1_Low]]&gt;=Validation[[#This Row],[Range1_High]]</f>
        <v>0</v>
      </c>
      <c r="Y2030" s="111" t="s">
        <v>2845</v>
      </c>
    </row>
    <row r="2031" spans="1:25" ht="16.5" thickTop="1" thickBot="1" x14ac:dyDescent="0.3">
      <c r="A2031" t="s">
        <v>54</v>
      </c>
      <c r="B2031" t="s">
        <v>63</v>
      </c>
      <c r="C2031" s="113">
        <v>150</v>
      </c>
      <c r="D2031" s="113">
        <v>550.01</v>
      </c>
      <c r="E2031">
        <v>0.1</v>
      </c>
      <c r="F2031" t="s">
        <v>13</v>
      </c>
      <c r="G2031" t="s">
        <v>12</v>
      </c>
      <c r="H2031">
        <v>4.4999999999999998E-2</v>
      </c>
      <c r="I2031">
        <v>0.10001</v>
      </c>
      <c r="J2031" t="s">
        <v>10</v>
      </c>
      <c r="K2031">
        <v>62.204999999999998</v>
      </c>
      <c r="L2031">
        <v>2.0941999999999998</v>
      </c>
      <c r="M2031">
        <v>64.156000000000006</v>
      </c>
      <c r="N2031">
        <v>2.0802</v>
      </c>
      <c r="O2031" t="s">
        <v>2833</v>
      </c>
      <c r="P2031" t="s">
        <v>159</v>
      </c>
      <c r="Q2031" t="s">
        <v>2833</v>
      </c>
      <c r="R2031">
        <f ca="1">RAND()*(Validation[[#This Row],[Range1_High]]-Validation[[#This Row],[Range1_Low]])+Validation[[#This Row],[Range1_Low]]</f>
        <v>278.67802927174193</v>
      </c>
      <c r="S2031">
        <f>Validation[[#This Row],[Range2_High]]</f>
        <v>0.10001</v>
      </c>
      <c r="T2031" t="str" cm="1">
        <f t="array" aca="1" ref="T2031" ca="1">RoundToTwoSigFigs(Validation[[#This Row],[Test Reading]]*Validation[[#This Row],[Mult]]+Validation[[#This Row],[Base]]) &amp;" "&amp;Validation[[#This Row],[Uncert_Units]]</f>
        <v>650 mA</v>
      </c>
      <c r="U20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V2031" t="b">
        <f ca="1">Validation[[#This Row],[Desired Result]]=Validation[[#This Row],[Result]]</f>
        <v>1</v>
      </c>
      <c r="W2031" t="b">
        <v>1</v>
      </c>
      <c r="X2031" t="b">
        <f>Validation[[#This Row],[Range1_Low]]&gt;=Validation[[#This Row],[Range1_High]]</f>
        <v>0</v>
      </c>
      <c r="Y2031" s="111" t="s">
        <v>2843</v>
      </c>
    </row>
    <row r="2032" spans="1:25" ht="15.75" thickTop="1" x14ac:dyDescent="0.25">
      <c r="A2032" t="s">
        <v>54</v>
      </c>
      <c r="B2032" t="s">
        <v>63</v>
      </c>
      <c r="C2032">
        <v>55</v>
      </c>
      <c r="D2032">
        <v>150.01</v>
      </c>
      <c r="E2032">
        <v>100</v>
      </c>
      <c r="F2032" t="s">
        <v>13</v>
      </c>
      <c r="G2032" t="s">
        <v>12</v>
      </c>
      <c r="H2032">
        <v>0.1</v>
      </c>
      <c r="I2032">
        <v>1</v>
      </c>
      <c r="J2032" t="s">
        <v>10</v>
      </c>
      <c r="K2032">
        <v>58000</v>
      </c>
      <c r="L2032">
        <v>8.1364000000000002E-3</v>
      </c>
      <c r="M2032">
        <v>57996</v>
      </c>
      <c r="N2032">
        <v>7.9862000000000006E-3</v>
      </c>
      <c r="O2032" t="s">
        <v>2833</v>
      </c>
      <c r="P2032" t="s">
        <v>159</v>
      </c>
      <c r="Q2032" t="s">
        <v>2833</v>
      </c>
      <c r="R2032">
        <f ca="1">RAND()*(Validation[[#This Row],[Range1_High]]-Validation[[#This Row],[Range1_Low]])+Validation[[#This Row],[Range1_Low]]</f>
        <v>122.45075974697578</v>
      </c>
      <c r="S2032">
        <f>Validation[[#This Row],[Range2_High]]</f>
        <v>1</v>
      </c>
      <c r="T2032" t="str" cm="1">
        <f t="array" aca="1" ref="T2032" ca="1">RoundToTwoSigFigs(Validation[[#This Row],[Test Reading]]*Validation[[#This Row],[Mult]]+Validation[[#This Row],[Base]]) &amp;" "&amp;Validation[[#This Row],[Uncert_Units]]</f>
        <v>58000 mA</v>
      </c>
      <c r="U20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032" t="b">
        <f ca="1">Validation[[#This Row],[Desired Result]]=Validation[[#This Row],[Result]]</f>
        <v>1</v>
      </c>
      <c r="W2032" t="b">
        <v>0</v>
      </c>
      <c r="X2032" t="b">
        <f>Validation[[#This Row],[Range1_Low]]&gt;=Validation[[#This Row],[Range1_High]]</f>
        <v>0</v>
      </c>
      <c r="Y2032" s="111" t="s">
        <v>2845</v>
      </c>
    </row>
    <row r="2033" spans="1:25" ht="15.75" thickBot="1" x14ac:dyDescent="0.3">
      <c r="A2033" t="s">
        <v>54</v>
      </c>
      <c r="B2033" t="s">
        <v>63</v>
      </c>
      <c r="C2033">
        <v>150</v>
      </c>
      <c r="D2033">
        <v>550.01</v>
      </c>
      <c r="E2033">
        <v>100</v>
      </c>
      <c r="F2033" t="s">
        <v>13</v>
      </c>
      <c r="G2033" t="s">
        <v>12</v>
      </c>
      <c r="H2033">
        <v>4.4999999999999998E-2</v>
      </c>
      <c r="I2033">
        <v>0.10001</v>
      </c>
      <c r="J2033" t="s">
        <v>10</v>
      </c>
      <c r="K2033">
        <v>57997</v>
      </c>
      <c r="L2033">
        <v>2.869E-2</v>
      </c>
      <c r="M2033">
        <v>57997</v>
      </c>
      <c r="N2033">
        <v>2.8410999999999999E-2</v>
      </c>
      <c r="O2033" t="s">
        <v>2833</v>
      </c>
      <c r="P2033" t="s">
        <v>159</v>
      </c>
      <c r="Q2033" t="s">
        <v>2833</v>
      </c>
      <c r="R2033">
        <f ca="1">RAND()*(Validation[[#This Row],[Range1_High]]-Validation[[#This Row],[Range1_Low]])+Validation[[#This Row],[Range1_Low]]</f>
        <v>476.63337856339223</v>
      </c>
      <c r="S2033">
        <f>Validation[[#This Row],[Range2_High]]</f>
        <v>0.10001</v>
      </c>
      <c r="T2033" t="str" cm="1">
        <f t="array" aca="1" ref="T2033" ca="1">RoundToTwoSigFigs(Validation[[#This Row],[Test Reading]]*Validation[[#This Row],[Mult]]+Validation[[#This Row],[Base]]) &amp;" "&amp;Validation[[#This Row],[Uncert_Units]]</f>
        <v>58000 mA</v>
      </c>
      <c r="U20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033" t="b">
        <f ca="1">Validation[[#This Row],[Desired Result]]=Validation[[#This Row],[Result]]</f>
        <v>1</v>
      </c>
      <c r="W2033" t="b">
        <v>0</v>
      </c>
      <c r="X2033" t="b">
        <f>Validation[[#This Row],[Range1_Low]]&gt;=Validation[[#This Row],[Range1_High]]</f>
        <v>0</v>
      </c>
      <c r="Y2033" s="111" t="s">
        <v>2845</v>
      </c>
    </row>
    <row r="2034" spans="1:25" ht="16.5" thickTop="1" thickBot="1" x14ac:dyDescent="0.3">
      <c r="A2034" t="s">
        <v>54</v>
      </c>
      <c r="B2034" t="s">
        <v>63</v>
      </c>
      <c r="C2034" s="113">
        <v>550</v>
      </c>
      <c r="D2034" s="113">
        <v>1030</v>
      </c>
      <c r="E2034">
        <v>0.01</v>
      </c>
      <c r="F2034" t="s">
        <v>13</v>
      </c>
      <c r="G2034" t="s">
        <v>12</v>
      </c>
      <c r="H2034">
        <v>1</v>
      </c>
      <c r="I2034">
        <v>1.0000100000000001</v>
      </c>
      <c r="J2034" t="s">
        <v>10</v>
      </c>
      <c r="K2034">
        <v>250</v>
      </c>
      <c r="L2034">
        <v>2.6</v>
      </c>
      <c r="M2034">
        <v>210.67</v>
      </c>
      <c r="N2034">
        <v>2.6326000000000001</v>
      </c>
      <c r="O2034" t="s">
        <v>2833</v>
      </c>
      <c r="P2034" t="s">
        <v>159</v>
      </c>
      <c r="Q2034" t="s">
        <v>2833</v>
      </c>
      <c r="R2034">
        <f ca="1">RAND()*(Validation[[#This Row],[Range1_High]]-Validation[[#This Row],[Range1_Low]])+Validation[[#This Row],[Range1_Low]]</f>
        <v>570.45674588275961</v>
      </c>
      <c r="S2034">
        <f>Validation[[#This Row],[Range2_High]]</f>
        <v>1.0000100000000001</v>
      </c>
      <c r="T2034" t="str" cm="1">
        <f t="array" aca="1" ref="T2034" ca="1">RoundToTwoSigFigs(Validation[[#This Row],[Test Reading]]*Validation[[#This Row],[Mult]]+Validation[[#This Row],[Base]]) &amp;" "&amp;Validation[[#This Row],[Uncert_Units]]</f>
        <v>1700 mA</v>
      </c>
      <c r="U20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V2034" t="b">
        <f ca="1">Validation[[#This Row],[Desired Result]]=Validation[[#This Row],[Result]]</f>
        <v>1</v>
      </c>
      <c r="W2034" t="b">
        <v>1</v>
      </c>
      <c r="X2034" t="b">
        <f>Validation[[#This Row],[Range1_Low]]&gt;=Validation[[#This Row],[Range1_High]]</f>
        <v>0</v>
      </c>
      <c r="Y2034" s="111" t="s">
        <v>2843</v>
      </c>
    </row>
    <row r="2035" spans="1:25" ht="16.5" thickTop="1" thickBot="1" x14ac:dyDescent="0.3">
      <c r="A2035" t="s">
        <v>54</v>
      </c>
      <c r="B2035" t="s">
        <v>63</v>
      </c>
      <c r="C2035">
        <v>55</v>
      </c>
      <c r="D2035">
        <v>150.01</v>
      </c>
      <c r="E2035">
        <v>1</v>
      </c>
      <c r="F2035" t="s">
        <v>13</v>
      </c>
      <c r="G2035" t="s">
        <v>12</v>
      </c>
      <c r="H2035">
        <v>5</v>
      </c>
      <c r="I2035">
        <v>10</v>
      </c>
      <c r="J2035" t="s">
        <v>10</v>
      </c>
      <c r="K2035">
        <v>405.34</v>
      </c>
      <c r="L2035">
        <v>28.398</v>
      </c>
      <c r="M2035">
        <v>405.23</v>
      </c>
      <c r="N2035">
        <v>28.396999999999998</v>
      </c>
      <c r="O2035" t="s">
        <v>2833</v>
      </c>
      <c r="P2035" t="s">
        <v>159</v>
      </c>
      <c r="Q2035" t="s">
        <v>2833</v>
      </c>
      <c r="R2035">
        <f ca="1">RAND()*(Validation[[#This Row],[Range1_High]]-Validation[[#This Row],[Range1_Low]])+Validation[[#This Row],[Range1_Low]]</f>
        <v>99.820295256709386</v>
      </c>
      <c r="S2035">
        <f>Validation[[#This Row],[Range2_High]]</f>
        <v>10</v>
      </c>
      <c r="T2035" t="str" cm="1">
        <f t="array" aca="1" ref="T2035" ca="1">RoundToTwoSigFigs(Validation[[#This Row],[Test Reading]]*Validation[[#This Row],[Mult]]+Validation[[#This Row],[Base]]) &amp;" "&amp;Validation[[#This Row],[Uncert_Units]]</f>
        <v>3200 mA</v>
      </c>
      <c r="U20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mA</v>
      </c>
      <c r="V2035" t="b">
        <f ca="1">Validation[[#This Row],[Desired Result]]=Validation[[#This Row],[Result]]</f>
        <v>1</v>
      </c>
      <c r="W2035" t="b">
        <v>1</v>
      </c>
      <c r="X2035" t="b">
        <f>Validation[[#This Row],[Range1_Low]]&gt;=Validation[[#This Row],[Range1_High]]</f>
        <v>0</v>
      </c>
      <c r="Y2035" s="111" t="s">
        <v>2845</v>
      </c>
    </row>
    <row r="2036" spans="1:25" ht="16.5" thickTop="1" thickBot="1" x14ac:dyDescent="0.3">
      <c r="A2036" t="s">
        <v>54</v>
      </c>
      <c r="B2036" t="s">
        <v>63</v>
      </c>
      <c r="C2036" s="113">
        <v>550</v>
      </c>
      <c r="D2036" s="113">
        <v>1025.01</v>
      </c>
      <c r="E2036">
        <v>0.01</v>
      </c>
      <c r="F2036" t="s">
        <v>13</v>
      </c>
      <c r="G2036" t="s">
        <v>12</v>
      </c>
      <c r="H2036">
        <v>4.4999999999999998E-2</v>
      </c>
      <c r="I2036">
        <v>0.10001</v>
      </c>
      <c r="J2036" t="s">
        <v>10</v>
      </c>
      <c r="K2036">
        <v>210</v>
      </c>
      <c r="L2036">
        <v>2.4</v>
      </c>
      <c r="M2036">
        <v>192.41</v>
      </c>
      <c r="N2036">
        <v>2.4161000000000001</v>
      </c>
      <c r="O2036" t="s">
        <v>2833</v>
      </c>
      <c r="P2036" t="s">
        <v>159</v>
      </c>
      <c r="Q2036" t="s">
        <v>2833</v>
      </c>
      <c r="R2036">
        <f ca="1">RAND()*(Validation[[#This Row],[Range1_High]]-Validation[[#This Row],[Range1_Low]])+Validation[[#This Row],[Range1_Low]]</f>
        <v>976.30658010636716</v>
      </c>
      <c r="S2036">
        <f>Validation[[#This Row],[Range2_High]]</f>
        <v>0.10001</v>
      </c>
      <c r="T2036" t="str" cm="1">
        <f t="array" aca="1" ref="T2036" ca="1">RoundToTwoSigFigs(Validation[[#This Row],[Test Reading]]*Validation[[#This Row],[Mult]]+Validation[[#This Row],[Base]]) &amp;" "&amp;Validation[[#This Row],[Uncert_Units]]</f>
        <v>2600 mA</v>
      </c>
      <c r="U20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V2036" t="b">
        <f ca="1">Validation[[#This Row],[Desired Result]]=Validation[[#This Row],[Result]]</f>
        <v>1</v>
      </c>
      <c r="W2036" t="b">
        <v>1</v>
      </c>
      <c r="X2036" t="b">
        <f>Validation[[#This Row],[Range1_Low]]&gt;=Validation[[#This Row],[Range1_High]]</f>
        <v>0</v>
      </c>
      <c r="Y2036" s="111" t="s">
        <v>2843</v>
      </c>
    </row>
    <row r="2037" spans="1:25" ht="16.5" thickTop="1" thickBot="1" x14ac:dyDescent="0.3">
      <c r="A2037" t="s">
        <v>54</v>
      </c>
      <c r="B2037" t="s">
        <v>63</v>
      </c>
      <c r="C2037">
        <v>150</v>
      </c>
      <c r="D2037">
        <v>550.01</v>
      </c>
      <c r="E2037">
        <v>10</v>
      </c>
      <c r="F2037" t="s">
        <v>13</v>
      </c>
      <c r="G2037" t="s">
        <v>12</v>
      </c>
      <c r="H2037">
        <v>4.4999999999999998E-2</v>
      </c>
      <c r="I2037">
        <v>0.10001</v>
      </c>
      <c r="J2037" t="s">
        <v>10</v>
      </c>
      <c r="K2037">
        <v>5769.8</v>
      </c>
      <c r="L2037">
        <v>0.28151999999999999</v>
      </c>
      <c r="M2037">
        <v>5769.8</v>
      </c>
      <c r="N2037">
        <v>0.28083999999999998</v>
      </c>
      <c r="O2037" t="s">
        <v>2833</v>
      </c>
      <c r="P2037" t="s">
        <v>159</v>
      </c>
      <c r="Q2037" t="s">
        <v>2833</v>
      </c>
      <c r="R2037">
        <f ca="1">RAND()*(Validation[[#This Row],[Range1_High]]-Validation[[#This Row],[Range1_Low]])+Validation[[#This Row],[Range1_Low]]</f>
        <v>262.41361464803703</v>
      </c>
      <c r="S2037">
        <f>Validation[[#This Row],[Range2_High]]</f>
        <v>0.10001</v>
      </c>
      <c r="T2037" t="str" cm="1">
        <f t="array" aca="1" ref="T2037" ca="1">RoundToTwoSigFigs(Validation[[#This Row],[Test Reading]]*Validation[[#This Row],[Mult]]+Validation[[#This Row],[Base]]) &amp;" "&amp;Validation[[#This Row],[Uncert_Units]]</f>
        <v>5800 mA</v>
      </c>
      <c r="U20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037" t="b">
        <f ca="1">Validation[[#This Row],[Desired Result]]=Validation[[#This Row],[Result]]</f>
        <v>1</v>
      </c>
      <c r="W2037" t="b">
        <v>0</v>
      </c>
      <c r="X2037" t="b">
        <f>Validation[[#This Row],[Range1_Low]]&gt;=Validation[[#This Row],[Range1_High]]</f>
        <v>0</v>
      </c>
      <c r="Y2037" s="111" t="s">
        <v>2845</v>
      </c>
    </row>
    <row r="2038" spans="1:25" ht="16.5" thickTop="1" thickBot="1" x14ac:dyDescent="0.3">
      <c r="A2038" t="s">
        <v>54</v>
      </c>
      <c r="B2038" t="s">
        <v>63</v>
      </c>
      <c r="C2038" s="113">
        <v>150</v>
      </c>
      <c r="D2038" s="113">
        <v>550.01</v>
      </c>
      <c r="E2038">
        <v>1</v>
      </c>
      <c r="F2038" t="s">
        <v>13</v>
      </c>
      <c r="G2038" t="s">
        <v>12</v>
      </c>
      <c r="H2038">
        <v>4.4999999999999998E-2</v>
      </c>
      <c r="I2038">
        <v>0.10001</v>
      </c>
      <c r="J2038" t="s">
        <v>10</v>
      </c>
      <c r="K2038">
        <v>445.36</v>
      </c>
      <c r="L2038">
        <v>1.6256999999999999</v>
      </c>
      <c r="M2038">
        <v>445.1</v>
      </c>
      <c r="N2038">
        <v>1.6253</v>
      </c>
      <c r="O2038" t="s">
        <v>2833</v>
      </c>
      <c r="P2038" t="s">
        <v>159</v>
      </c>
      <c r="Q2038" t="s">
        <v>2833</v>
      </c>
      <c r="R2038">
        <f ca="1">RAND()*(Validation[[#This Row],[Range1_High]]-Validation[[#This Row],[Range1_Low]])+Validation[[#This Row],[Range1_Low]]</f>
        <v>175.50274595844081</v>
      </c>
      <c r="S2038">
        <f>Validation[[#This Row],[Range2_High]]</f>
        <v>0.10001</v>
      </c>
      <c r="T2038" t="str" cm="1">
        <f t="array" aca="1" ref="T2038" ca="1">RoundToTwoSigFigs(Validation[[#This Row],[Test Reading]]*Validation[[#This Row],[Mult]]+Validation[[#This Row],[Base]]) &amp;" "&amp;Validation[[#This Row],[Uncert_Units]]</f>
        <v>730 mA</v>
      </c>
      <c r="U20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V2038" t="b">
        <f ca="1">Validation[[#This Row],[Desired Result]]=Validation[[#This Row],[Result]]</f>
        <v>1</v>
      </c>
      <c r="W2038" t="b">
        <v>1</v>
      </c>
      <c r="X2038" t="b">
        <f>Validation[[#This Row],[Range1_Low]]&gt;=Validation[[#This Row],[Range1_High]]</f>
        <v>0</v>
      </c>
      <c r="Y2038" s="111" t="s">
        <v>2843</v>
      </c>
    </row>
    <row r="2039" spans="1:25" ht="16.5" thickTop="1" thickBot="1" x14ac:dyDescent="0.3">
      <c r="A2039" t="s">
        <v>54</v>
      </c>
      <c r="B2039" t="s">
        <v>63</v>
      </c>
      <c r="C2039" s="113">
        <v>150</v>
      </c>
      <c r="D2039" s="113">
        <v>550.01</v>
      </c>
      <c r="E2039">
        <v>10</v>
      </c>
      <c r="F2039" t="s">
        <v>13</v>
      </c>
      <c r="G2039" t="s">
        <v>12</v>
      </c>
      <c r="H2039">
        <v>1</v>
      </c>
      <c r="I2039">
        <v>5</v>
      </c>
      <c r="J2039" t="s">
        <v>10</v>
      </c>
      <c r="K2039">
        <v>3301.1</v>
      </c>
      <c r="L2039">
        <v>30.465</v>
      </c>
      <c r="M2039">
        <v>3300.8</v>
      </c>
      <c r="N2039">
        <v>30.465</v>
      </c>
      <c r="O2039" t="s">
        <v>2833</v>
      </c>
      <c r="P2039" t="s">
        <v>159</v>
      </c>
      <c r="Q2039" t="s">
        <v>2833</v>
      </c>
      <c r="R2039">
        <f ca="1">RAND()*(Validation[[#This Row],[Range1_High]]-Validation[[#This Row],[Range1_Low]])+Validation[[#This Row],[Range1_Low]]</f>
        <v>535.29706414225677</v>
      </c>
      <c r="S2039">
        <f>Validation[[#This Row],[Range2_High]]</f>
        <v>5</v>
      </c>
      <c r="T2039" t="str" cm="1">
        <f t="array" aca="1" ref="T2039" ca="1">RoundToTwoSigFigs(Validation[[#This Row],[Test Reading]]*Validation[[#This Row],[Mult]]+Validation[[#This Row],[Base]]) &amp;" "&amp;Validation[[#This Row],[Uncert_Units]]</f>
        <v>20000 mA</v>
      </c>
      <c r="U20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mA</v>
      </c>
      <c r="V2039" t="b">
        <f ca="1">Validation[[#This Row],[Desired Result]]=Validation[[#This Row],[Result]]</f>
        <v>1</v>
      </c>
      <c r="W2039" t="b">
        <v>1</v>
      </c>
      <c r="X2039" t="b">
        <f>Validation[[#This Row],[Range1_Low]]&gt;=Validation[[#This Row],[Range1_High]]</f>
        <v>0</v>
      </c>
      <c r="Y2039" s="111" t="s">
        <v>2843</v>
      </c>
    </row>
    <row r="2040" spans="1:25" ht="16.5" thickTop="1" thickBot="1" x14ac:dyDescent="0.3">
      <c r="A2040" t="s">
        <v>54</v>
      </c>
      <c r="B2040" t="s">
        <v>63</v>
      </c>
      <c r="C2040">
        <v>55</v>
      </c>
      <c r="D2040">
        <v>150.01</v>
      </c>
      <c r="E2040">
        <v>100</v>
      </c>
      <c r="F2040" t="s">
        <v>13</v>
      </c>
      <c r="G2040" t="s">
        <v>12</v>
      </c>
      <c r="H2040">
        <v>0.01</v>
      </c>
      <c r="I2040">
        <v>4.4999999999999998E-2</v>
      </c>
      <c r="J2040" t="s">
        <v>10</v>
      </c>
      <c r="K2040">
        <v>58000</v>
      </c>
      <c r="L2040">
        <v>1.506E-2</v>
      </c>
      <c r="M2040">
        <v>57992</v>
      </c>
      <c r="N2040">
        <v>1.491E-2</v>
      </c>
      <c r="O2040" t="s">
        <v>2833</v>
      </c>
      <c r="P2040" t="s">
        <v>159</v>
      </c>
      <c r="Q2040" t="s">
        <v>2833</v>
      </c>
      <c r="R2040">
        <f ca="1">RAND()*(Validation[[#This Row],[Range1_High]]-Validation[[#This Row],[Range1_Low]])+Validation[[#This Row],[Range1_Low]]</f>
        <v>81.663912041740787</v>
      </c>
      <c r="S2040">
        <f>Validation[[#This Row],[Range2_High]]</f>
        <v>4.4999999999999998E-2</v>
      </c>
      <c r="T2040" t="str" cm="1">
        <f t="array" aca="1" ref="T2040" ca="1">RoundToTwoSigFigs(Validation[[#This Row],[Test Reading]]*Validation[[#This Row],[Mult]]+Validation[[#This Row],[Base]]) &amp;" "&amp;Validation[[#This Row],[Uncert_Units]]</f>
        <v>58000 mA</v>
      </c>
      <c r="U20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040" t="b">
        <f ca="1">Validation[[#This Row],[Desired Result]]=Validation[[#This Row],[Result]]</f>
        <v>1</v>
      </c>
      <c r="W2040" t="b">
        <v>0</v>
      </c>
      <c r="X2040" t="b">
        <f>Validation[[#This Row],[Range1_Low]]&gt;=Validation[[#This Row],[Range1_High]]</f>
        <v>0</v>
      </c>
      <c r="Y2040" s="111" t="s">
        <v>2845</v>
      </c>
    </row>
    <row r="2041" spans="1:25" ht="16.5" thickTop="1" thickBot="1" x14ac:dyDescent="0.3">
      <c r="A2041" t="s">
        <v>54</v>
      </c>
      <c r="B2041" t="s">
        <v>63</v>
      </c>
      <c r="C2041" s="113">
        <v>550</v>
      </c>
      <c r="D2041" s="113">
        <v>1030</v>
      </c>
      <c r="E2041">
        <v>1</v>
      </c>
      <c r="F2041" t="s">
        <v>13</v>
      </c>
      <c r="G2041" t="s">
        <v>12</v>
      </c>
      <c r="H2041">
        <v>1</v>
      </c>
      <c r="I2041">
        <v>1.0000100000000001</v>
      </c>
      <c r="J2041" t="s">
        <v>10</v>
      </c>
      <c r="K2041">
        <v>357.02</v>
      </c>
      <c r="L2041">
        <v>2.5468999999999999</v>
      </c>
      <c r="M2041">
        <v>356.89</v>
      </c>
      <c r="N2041">
        <v>2.5457999999999998</v>
      </c>
      <c r="O2041" t="s">
        <v>2833</v>
      </c>
      <c r="P2041" t="s">
        <v>159</v>
      </c>
      <c r="Q2041" t="s">
        <v>2833</v>
      </c>
      <c r="R2041">
        <f ca="1">RAND()*(Validation[[#This Row],[Range1_High]]-Validation[[#This Row],[Range1_Low]])+Validation[[#This Row],[Range1_Low]]</f>
        <v>621.16067445325029</v>
      </c>
      <c r="S2041">
        <f>Validation[[#This Row],[Range2_High]]</f>
        <v>1.0000100000000001</v>
      </c>
      <c r="T2041" t="str" cm="1">
        <f t="array" aca="1" ref="T2041" ca="1">RoundToTwoSigFigs(Validation[[#This Row],[Test Reading]]*Validation[[#This Row],[Mult]]+Validation[[#This Row],[Base]]) &amp;" "&amp;Validation[[#This Row],[Uncert_Units]]</f>
        <v>1900 mA</v>
      </c>
      <c r="U20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V2041" t="b">
        <f ca="1">Validation[[#This Row],[Desired Result]]=Validation[[#This Row],[Result]]</f>
        <v>1</v>
      </c>
      <c r="W2041" t="b">
        <v>1</v>
      </c>
      <c r="X2041" t="b">
        <f>Validation[[#This Row],[Range1_Low]]&gt;=Validation[[#This Row],[Range1_High]]</f>
        <v>0</v>
      </c>
      <c r="Y2041" s="111" t="s">
        <v>2843</v>
      </c>
    </row>
    <row r="2042" spans="1:25" ht="16.5" thickTop="1" thickBot="1" x14ac:dyDescent="0.3">
      <c r="A2042" t="s">
        <v>54</v>
      </c>
      <c r="B2042" t="s">
        <v>63</v>
      </c>
      <c r="C2042" s="113">
        <v>150</v>
      </c>
      <c r="D2042" s="113">
        <v>550.01</v>
      </c>
      <c r="E2042">
        <v>0.1</v>
      </c>
      <c r="F2042" t="s">
        <v>13</v>
      </c>
      <c r="G2042" t="s">
        <v>12</v>
      </c>
      <c r="H2042">
        <v>5</v>
      </c>
      <c r="I2042">
        <v>5.01</v>
      </c>
      <c r="J2042" t="s">
        <v>10</v>
      </c>
      <c r="K2042">
        <v>120</v>
      </c>
      <c r="L2042">
        <v>35</v>
      </c>
      <c r="M2042">
        <v>115.76</v>
      </c>
      <c r="N2042">
        <v>34.698</v>
      </c>
      <c r="O2042" t="s">
        <v>2833</v>
      </c>
      <c r="P2042" t="s">
        <v>159</v>
      </c>
      <c r="Q2042" t="s">
        <v>2833</v>
      </c>
      <c r="R2042">
        <f ca="1">RAND()*(Validation[[#This Row],[Range1_High]]-Validation[[#This Row],[Range1_Low]])+Validation[[#This Row],[Range1_Low]]</f>
        <v>314.94975201884836</v>
      </c>
      <c r="S2042">
        <f>Validation[[#This Row],[Range2_High]]</f>
        <v>5.01</v>
      </c>
      <c r="T2042" t="str" cm="1">
        <f t="array" aca="1" ref="T2042" ca="1">RoundToTwoSigFigs(Validation[[#This Row],[Test Reading]]*Validation[[#This Row],[Mult]]+Validation[[#This Row],[Base]]) &amp;" "&amp;Validation[[#This Row],[Uncert_Units]]</f>
        <v>11000 mA</v>
      </c>
      <c r="U20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V2042" t="b">
        <f ca="1">Validation[[#This Row],[Desired Result]]=Validation[[#This Row],[Result]]</f>
        <v>1</v>
      </c>
      <c r="W2042" t="b">
        <v>1</v>
      </c>
      <c r="X2042" t="b">
        <f>Validation[[#This Row],[Range1_Low]]&gt;=Validation[[#This Row],[Range1_High]]</f>
        <v>0</v>
      </c>
      <c r="Y2042" s="111" t="s">
        <v>2843</v>
      </c>
    </row>
    <row r="2043" spans="1:25" ht="16.5" thickTop="1" thickBot="1" x14ac:dyDescent="0.3">
      <c r="A2043" t="s">
        <v>54</v>
      </c>
      <c r="B2043" t="s">
        <v>63</v>
      </c>
      <c r="C2043" s="113">
        <v>550</v>
      </c>
      <c r="D2043" s="113">
        <v>1030</v>
      </c>
      <c r="E2043">
        <v>0.1</v>
      </c>
      <c r="F2043" t="s">
        <v>13</v>
      </c>
      <c r="G2043" t="s">
        <v>12</v>
      </c>
      <c r="H2043">
        <v>1</v>
      </c>
      <c r="I2043">
        <v>1.0000100000000001</v>
      </c>
      <c r="J2043" t="s">
        <v>10</v>
      </c>
      <c r="K2043">
        <v>250</v>
      </c>
      <c r="L2043">
        <v>2.6</v>
      </c>
      <c r="M2043">
        <v>212.17</v>
      </c>
      <c r="N2043">
        <v>2.6316999999999999</v>
      </c>
      <c r="O2043" t="s">
        <v>2833</v>
      </c>
      <c r="P2043" t="s">
        <v>159</v>
      </c>
      <c r="Q2043" t="s">
        <v>2833</v>
      </c>
      <c r="R2043">
        <f ca="1">RAND()*(Validation[[#This Row],[Range1_High]]-Validation[[#This Row],[Range1_Low]])+Validation[[#This Row],[Range1_Low]]</f>
        <v>603.6609332535869</v>
      </c>
      <c r="S2043">
        <f>Validation[[#This Row],[Range2_High]]</f>
        <v>1.0000100000000001</v>
      </c>
      <c r="T2043" t="str" cm="1">
        <f t="array" aca="1" ref="T2043" ca="1">RoundToTwoSigFigs(Validation[[#This Row],[Test Reading]]*Validation[[#This Row],[Mult]]+Validation[[#This Row],[Base]]) &amp;" "&amp;Validation[[#This Row],[Uncert_Units]]</f>
        <v>1800 mA</v>
      </c>
      <c r="U20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V2043" t="b">
        <f ca="1">Validation[[#This Row],[Desired Result]]=Validation[[#This Row],[Result]]</f>
        <v>1</v>
      </c>
      <c r="W2043" t="b">
        <v>1</v>
      </c>
      <c r="X2043" t="b">
        <f>Validation[[#This Row],[Range1_Low]]&gt;=Validation[[#This Row],[Range1_High]]</f>
        <v>0</v>
      </c>
      <c r="Y2043" s="111" t="s">
        <v>2843</v>
      </c>
    </row>
    <row r="2044" spans="1:25" ht="16.5" thickTop="1" thickBot="1" x14ac:dyDescent="0.3">
      <c r="A2044" t="s">
        <v>54</v>
      </c>
      <c r="B2044" t="s">
        <v>63</v>
      </c>
      <c r="C2044" s="113">
        <v>150</v>
      </c>
      <c r="D2044" s="113">
        <v>550.01</v>
      </c>
      <c r="E2044">
        <v>10</v>
      </c>
      <c r="F2044" t="s">
        <v>13</v>
      </c>
      <c r="G2044" t="s">
        <v>12</v>
      </c>
      <c r="H2044">
        <v>5</v>
      </c>
      <c r="I2044">
        <v>5.01</v>
      </c>
      <c r="J2044" t="s">
        <v>10</v>
      </c>
      <c r="K2044">
        <v>3301.1</v>
      </c>
      <c r="L2044">
        <v>30.465</v>
      </c>
      <c r="M2044">
        <v>3300.8</v>
      </c>
      <c r="N2044">
        <v>30.465</v>
      </c>
      <c r="O2044" t="s">
        <v>2833</v>
      </c>
      <c r="P2044" t="s">
        <v>159</v>
      </c>
      <c r="Q2044" t="s">
        <v>2833</v>
      </c>
      <c r="R2044">
        <f ca="1">RAND()*(Validation[[#This Row],[Range1_High]]-Validation[[#This Row],[Range1_Low]])+Validation[[#This Row],[Range1_Low]]</f>
        <v>407.52218271878064</v>
      </c>
      <c r="S2044">
        <f>Validation[[#This Row],[Range2_High]]</f>
        <v>5.01</v>
      </c>
      <c r="T2044" t="str" cm="1">
        <f t="array" aca="1" ref="T2044" ca="1">RoundToTwoSigFigs(Validation[[#This Row],[Test Reading]]*Validation[[#This Row],[Mult]]+Validation[[#This Row],[Base]]) &amp;" "&amp;Validation[[#This Row],[Uncert_Units]]</f>
        <v>16000 mA</v>
      </c>
      <c r="U20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mA</v>
      </c>
      <c r="V2044" t="b">
        <f ca="1">Validation[[#This Row],[Desired Result]]=Validation[[#This Row],[Result]]</f>
        <v>1</v>
      </c>
      <c r="W2044" t="b">
        <v>1</v>
      </c>
      <c r="X2044" t="b">
        <f>Validation[[#This Row],[Range1_Low]]&gt;=Validation[[#This Row],[Range1_High]]</f>
        <v>0</v>
      </c>
      <c r="Y2044" s="111" t="s">
        <v>2843</v>
      </c>
    </row>
    <row r="2045" spans="1:25" ht="16.5" thickTop="1" thickBot="1" x14ac:dyDescent="0.3">
      <c r="A2045" t="s">
        <v>54</v>
      </c>
      <c r="B2045" t="s">
        <v>63</v>
      </c>
      <c r="C2045" s="113">
        <v>550</v>
      </c>
      <c r="D2045" s="113">
        <v>1025.01</v>
      </c>
      <c r="E2045">
        <v>0.1</v>
      </c>
      <c r="F2045" t="s">
        <v>13</v>
      </c>
      <c r="G2045" t="s">
        <v>12</v>
      </c>
      <c r="H2045">
        <v>0.1</v>
      </c>
      <c r="I2045">
        <v>1</v>
      </c>
      <c r="J2045" t="s">
        <v>10</v>
      </c>
      <c r="K2045">
        <v>250</v>
      </c>
      <c r="L2045">
        <v>2.6</v>
      </c>
      <c r="M2045">
        <v>212.17</v>
      </c>
      <c r="N2045">
        <v>2.6316999999999999</v>
      </c>
      <c r="O2045" t="s">
        <v>2833</v>
      </c>
      <c r="P2045" t="s">
        <v>159</v>
      </c>
      <c r="Q2045" t="s">
        <v>2833</v>
      </c>
      <c r="R2045">
        <f ca="1">RAND()*(Validation[[#This Row],[Range1_High]]-Validation[[#This Row],[Range1_Low]])+Validation[[#This Row],[Range1_Low]]</f>
        <v>864.23209896483104</v>
      </c>
      <c r="S2045">
        <f>Validation[[#This Row],[Range2_High]]</f>
        <v>1</v>
      </c>
      <c r="T2045" t="str" cm="1">
        <f t="array" aca="1" ref="T2045" ca="1">RoundToTwoSigFigs(Validation[[#This Row],[Test Reading]]*Validation[[#This Row],[Mult]]+Validation[[#This Row],[Base]]) &amp;" "&amp;Validation[[#This Row],[Uncert_Units]]</f>
        <v>2500 mA</v>
      </c>
      <c r="U20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V2045" t="b">
        <f ca="1">Validation[[#This Row],[Desired Result]]=Validation[[#This Row],[Result]]</f>
        <v>1</v>
      </c>
      <c r="W2045" t="b">
        <v>1</v>
      </c>
      <c r="X2045" t="b">
        <f>Validation[[#This Row],[Range1_Low]]&gt;=Validation[[#This Row],[Range1_High]]</f>
        <v>0</v>
      </c>
      <c r="Y2045" s="111" t="s">
        <v>2843</v>
      </c>
    </row>
    <row r="2046" spans="1:25" ht="15.75" thickTop="1" x14ac:dyDescent="0.25">
      <c r="A2046" t="s">
        <v>54</v>
      </c>
      <c r="B2046" t="s">
        <v>63</v>
      </c>
      <c r="C2046">
        <v>150</v>
      </c>
      <c r="D2046">
        <v>550.01</v>
      </c>
      <c r="E2046">
        <v>100</v>
      </c>
      <c r="F2046" t="s">
        <v>13</v>
      </c>
      <c r="G2046" t="s">
        <v>12</v>
      </c>
      <c r="H2046">
        <v>5</v>
      </c>
      <c r="I2046">
        <v>5.01</v>
      </c>
      <c r="J2046" t="s">
        <v>10</v>
      </c>
      <c r="K2046">
        <v>57174</v>
      </c>
      <c r="L2046">
        <v>7.1298000000000004</v>
      </c>
      <c r="M2046">
        <v>57174</v>
      </c>
      <c r="N2046">
        <v>7.1292999999999997</v>
      </c>
      <c r="O2046" t="s">
        <v>2833</v>
      </c>
      <c r="P2046" t="s">
        <v>159</v>
      </c>
      <c r="Q2046" t="s">
        <v>2833</v>
      </c>
      <c r="R2046">
        <f ca="1">RAND()*(Validation[[#This Row],[Range1_High]]-Validation[[#This Row],[Range1_Low]])+Validation[[#This Row],[Range1_Low]]</f>
        <v>213.77985812301478</v>
      </c>
      <c r="S2046">
        <f>Validation[[#This Row],[Range2_High]]</f>
        <v>5.01</v>
      </c>
      <c r="T2046" t="str" cm="1">
        <f t="array" aca="1" ref="T2046" ca="1">RoundToTwoSigFigs(Validation[[#This Row],[Test Reading]]*Validation[[#This Row],[Mult]]+Validation[[#This Row],[Base]]) &amp;" "&amp;Validation[[#This Row],[Uncert_Units]]</f>
        <v>59000 mA</v>
      </c>
      <c r="U20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V2046" t="b">
        <f ca="1">Validation[[#This Row],[Desired Result]]=Validation[[#This Row],[Result]]</f>
        <v>1</v>
      </c>
      <c r="W2046" t="b">
        <v>0</v>
      </c>
      <c r="X2046" t="b">
        <f>Validation[[#This Row],[Range1_Low]]&gt;=Validation[[#This Row],[Range1_High]]</f>
        <v>0</v>
      </c>
      <c r="Y2046" s="111" t="s">
        <v>2845</v>
      </c>
    </row>
    <row r="2047" spans="1:25" ht="15.75" thickBot="1" x14ac:dyDescent="0.3">
      <c r="A2047" t="s">
        <v>54</v>
      </c>
      <c r="B2047" t="s">
        <v>63</v>
      </c>
      <c r="C2047">
        <v>55</v>
      </c>
      <c r="D2047">
        <v>150.01</v>
      </c>
      <c r="E2047">
        <v>1E-3</v>
      </c>
      <c r="F2047" t="s">
        <v>13</v>
      </c>
      <c r="G2047" t="s">
        <v>12</v>
      </c>
      <c r="H2047">
        <v>1</v>
      </c>
      <c r="I2047">
        <v>5.01</v>
      </c>
      <c r="J2047" t="s">
        <v>10</v>
      </c>
      <c r="K2047">
        <v>58</v>
      </c>
      <c r="L2047">
        <v>7.2</v>
      </c>
      <c r="M2047">
        <v>55.853000000000002</v>
      </c>
      <c r="N2047">
        <v>7.2092999999999998</v>
      </c>
      <c r="O2047" t="s">
        <v>2833</v>
      </c>
      <c r="P2047" t="s">
        <v>159</v>
      </c>
      <c r="Q2047" t="s">
        <v>2833</v>
      </c>
      <c r="R2047">
        <f ca="1">RAND()*(Validation[[#This Row],[Range1_High]]-Validation[[#This Row],[Range1_Low]])+Validation[[#This Row],[Range1_Low]]</f>
        <v>71.552058501923597</v>
      </c>
      <c r="S2047">
        <f>Validation[[#This Row],[Range2_High]]</f>
        <v>5.01</v>
      </c>
      <c r="T2047" t="str" cm="1">
        <f t="array" aca="1" ref="T2047" ca="1">RoundToTwoSigFigs(Validation[[#This Row],[Test Reading]]*Validation[[#This Row],[Mult]]+Validation[[#This Row],[Base]]) &amp;" "&amp;Validation[[#This Row],[Uncert_Units]]</f>
        <v>570 mA</v>
      </c>
      <c r="U20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mA</v>
      </c>
      <c r="V2047" t="b">
        <f ca="1">Validation[[#This Row],[Desired Result]]=Validation[[#This Row],[Result]]</f>
        <v>1</v>
      </c>
      <c r="W2047" t="b">
        <v>0</v>
      </c>
      <c r="X2047" t="b">
        <f>Validation[[#This Row],[Range1_Low]]&gt;=Validation[[#This Row],[Range1_High]]</f>
        <v>0</v>
      </c>
      <c r="Y2047" s="111" t="s">
        <v>2845</v>
      </c>
    </row>
    <row r="2048" spans="1:25" ht="16.5" thickTop="1" thickBot="1" x14ac:dyDescent="0.3">
      <c r="A2048" t="s">
        <v>54</v>
      </c>
      <c r="B2048" t="s">
        <v>14</v>
      </c>
      <c r="C2048" s="113">
        <v>1.1E-4</v>
      </c>
      <c r="D2048" s="113">
        <v>3.3000999999999999E-4</v>
      </c>
      <c r="E2048">
        <v>1.0000000000000001E-5</v>
      </c>
      <c r="F2048" t="s">
        <v>140</v>
      </c>
      <c r="G2048" t="s">
        <v>16</v>
      </c>
      <c r="H2048">
        <v>0</v>
      </c>
      <c r="I2048">
        <v>0</v>
      </c>
      <c r="J2048" t="s">
        <v>2833</v>
      </c>
      <c r="K2048">
        <v>5.7038000000000002</v>
      </c>
      <c r="L2048">
        <v>1294.4000000000001</v>
      </c>
      <c r="M2048">
        <v>5.7038000000000002</v>
      </c>
      <c r="N2048">
        <v>1293.8</v>
      </c>
      <c r="O2048" t="s">
        <v>2833</v>
      </c>
      <c r="P2048" t="s">
        <v>2833</v>
      </c>
      <c r="Q2048" t="s">
        <v>2833</v>
      </c>
      <c r="R2048">
        <f ca="1">RAND()*(Validation[[#This Row],[Range1_High]]-Validation[[#This Row],[Range1_Low]])+Validation[[#This Row],[Range1_Low]]</f>
        <v>2.7740374362231109E-4</v>
      </c>
      <c r="S2048">
        <f>Validation[[#This Row],[Range2_High]]</f>
        <v>0</v>
      </c>
      <c r="T2048" t="str" cm="1">
        <f t="array" aca="1" ref="T2048" ca="1">RoundToTwoSigFigs(Validation[[#This Row],[Test Reading]]*Validation[[#This Row],[Mult]]+Validation[[#This Row],[Base]]) &amp;" "&amp;Validation[[#This Row],[Uncert_Units]]</f>
        <v>6.1 µF</v>
      </c>
      <c r="U20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µF</v>
      </c>
      <c r="V2048" t="b">
        <f ca="1">Validation[[#This Row],[Desired Result]]=Validation[[#This Row],[Result]]</f>
        <v>1</v>
      </c>
      <c r="W2048" t="b">
        <v>1</v>
      </c>
      <c r="X2048" t="b">
        <f>Validation[[#This Row],[Range1_Low]]&gt;=Validation[[#This Row],[Range1_High]]</f>
        <v>0</v>
      </c>
      <c r="Y2048" s="111" t="s">
        <v>2843</v>
      </c>
    </row>
    <row r="2049" spans="1:25" ht="15.75" thickTop="1" x14ac:dyDescent="0.25">
      <c r="A2049" t="s">
        <v>68</v>
      </c>
      <c r="B2049" t="s">
        <v>14</v>
      </c>
      <c r="C2049">
        <v>1E-8</v>
      </c>
      <c r="D2049">
        <v>9.9999999999999995E-8</v>
      </c>
      <c r="E2049">
        <v>1E-8</v>
      </c>
      <c r="F2049" t="s">
        <v>140</v>
      </c>
      <c r="G2049" t="s">
        <v>15</v>
      </c>
      <c r="H2049">
        <v>0</v>
      </c>
      <c r="I2049">
        <v>0</v>
      </c>
      <c r="J2049" t="s">
        <v>2833</v>
      </c>
      <c r="K2049">
        <v>5.7969999999999997</v>
      </c>
      <c r="L2049">
        <v>1102800</v>
      </c>
      <c r="M2049">
        <v>5.7969999999999997</v>
      </c>
      <c r="N2049">
        <v>1093300</v>
      </c>
      <c r="O2049" t="s">
        <v>2833</v>
      </c>
      <c r="P2049" t="s">
        <v>2833</v>
      </c>
      <c r="Q2049" t="s">
        <v>2833</v>
      </c>
      <c r="R2049">
        <f ca="1">RAND()*(Validation[[#This Row],[Range1_High]]-Validation[[#This Row],[Range1_Low]])+Validation[[#This Row],[Range1_Low]]</f>
        <v>1.4285448739544118E-8</v>
      </c>
      <c r="S2049">
        <f>Validation[[#This Row],[Range2_High]]</f>
        <v>0</v>
      </c>
      <c r="T2049" t="str" cm="1">
        <f t="array" aca="1" ref="T2049" ca="1">RoundToTwoSigFigs(Validation[[#This Row],[Test Reading]]*Validation[[#This Row],[Mult]]+Validation[[#This Row],[Base]]) &amp;" "&amp;Validation[[#This Row],[Uncert_Units]]</f>
        <v>5.8 nF</v>
      </c>
      <c r="U20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V2049" t="b">
        <f ca="1">Validation[[#This Row],[Desired Result]]=Validation[[#This Row],[Result]]</f>
        <v>1</v>
      </c>
      <c r="W2049" t="b">
        <v>0</v>
      </c>
      <c r="X2049" t="b">
        <f>Validation[[#This Row],[Range1_Low]]&gt;=Validation[[#This Row],[Range1_High]]</f>
        <v>0</v>
      </c>
      <c r="Y2049" s="111" t="s">
        <v>2845</v>
      </c>
    </row>
    <row r="2050" spans="1:25" ht="15.75" thickBot="1" x14ac:dyDescent="0.3">
      <c r="A2050" t="s">
        <v>54</v>
      </c>
      <c r="B2050" t="s">
        <v>14</v>
      </c>
      <c r="C2050">
        <v>3.3000000000000002E-7</v>
      </c>
      <c r="D2050">
        <v>1.1001000000000001E-6</v>
      </c>
      <c r="E2050">
        <v>9.9999999999999995E-8</v>
      </c>
      <c r="F2050" t="s">
        <v>140</v>
      </c>
      <c r="G2050" t="s">
        <v>15</v>
      </c>
      <c r="H2050">
        <v>0</v>
      </c>
      <c r="I2050">
        <v>0</v>
      </c>
      <c r="J2050" t="s">
        <v>2833</v>
      </c>
      <c r="K2050">
        <v>57.722000000000001</v>
      </c>
      <c r="L2050">
        <v>162480</v>
      </c>
      <c r="M2050">
        <v>57.720999999999997</v>
      </c>
      <c r="N2050">
        <v>160690</v>
      </c>
      <c r="O2050" t="s">
        <v>2833</v>
      </c>
      <c r="P2050" t="s">
        <v>2833</v>
      </c>
      <c r="Q2050" t="s">
        <v>2833</v>
      </c>
      <c r="R2050">
        <f ca="1">RAND()*(Validation[[#This Row],[Range1_High]]-Validation[[#This Row],[Range1_Low]])+Validation[[#This Row],[Range1_Low]]</f>
        <v>7.7909780664442814E-7</v>
      </c>
      <c r="S2050">
        <f>Validation[[#This Row],[Range2_High]]</f>
        <v>0</v>
      </c>
      <c r="T2050" t="str" cm="1">
        <f t="array" aca="1" ref="T2050" ca="1">RoundToTwoSigFigs(Validation[[#This Row],[Test Reading]]*Validation[[#This Row],[Mult]]+Validation[[#This Row],[Base]]) &amp;" "&amp;Validation[[#This Row],[Uncert_Units]]</f>
        <v>58 nF</v>
      </c>
      <c r="U20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V2050" t="b">
        <f ca="1">Validation[[#This Row],[Desired Result]]=Validation[[#This Row],[Result]]</f>
        <v>1</v>
      </c>
      <c r="W2050" t="b">
        <v>0</v>
      </c>
      <c r="X2050" t="b">
        <f>Validation[[#This Row],[Range1_Low]]&gt;=Validation[[#This Row],[Range1_High]]</f>
        <v>0</v>
      </c>
      <c r="Y2050" s="111" t="s">
        <v>2845</v>
      </c>
    </row>
    <row r="2051" spans="1:25" ht="16.5" thickTop="1" thickBot="1" x14ac:dyDescent="0.3">
      <c r="A2051" t="s">
        <v>68</v>
      </c>
      <c r="B2051" t="s">
        <v>14</v>
      </c>
      <c r="C2051" s="113">
        <v>9.9999999999999995E-8</v>
      </c>
      <c r="D2051" s="113">
        <v>9.9999999999999995E-7</v>
      </c>
      <c r="E2051">
        <v>1E-8</v>
      </c>
      <c r="F2051" t="s">
        <v>140</v>
      </c>
      <c r="G2051" t="s">
        <v>15</v>
      </c>
      <c r="H2051">
        <v>0</v>
      </c>
      <c r="I2051">
        <v>0</v>
      </c>
      <c r="J2051" t="s">
        <v>2833</v>
      </c>
      <c r="K2051">
        <v>8.3825000000000003</v>
      </c>
      <c r="L2051">
        <v>4378300</v>
      </c>
      <c r="M2051">
        <v>8.3808000000000007</v>
      </c>
      <c r="N2051">
        <v>4368200</v>
      </c>
      <c r="O2051" t="s">
        <v>2833</v>
      </c>
      <c r="P2051" t="s">
        <v>2833</v>
      </c>
      <c r="Q2051" t="s">
        <v>2833</v>
      </c>
      <c r="R2051">
        <f ca="1">RAND()*(Validation[[#This Row],[Range1_High]]-Validation[[#This Row],[Range1_Low]])+Validation[[#This Row],[Range1_Low]]</f>
        <v>1.0559394649440761E-7</v>
      </c>
      <c r="S2051">
        <f>Validation[[#This Row],[Range2_High]]</f>
        <v>0</v>
      </c>
      <c r="T2051" t="str" cm="1">
        <f t="array" aca="1" ref="T2051" ca="1">RoundToTwoSigFigs(Validation[[#This Row],[Test Reading]]*Validation[[#This Row],[Mult]]+Validation[[#This Row],[Base]]) &amp;" "&amp;Validation[[#This Row],[Uncert_Units]]</f>
        <v>8.8 nF</v>
      </c>
      <c r="U20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nF</v>
      </c>
      <c r="V2051" t="b">
        <f ca="1">Validation[[#This Row],[Desired Result]]=Validation[[#This Row],[Result]]</f>
        <v>1</v>
      </c>
      <c r="W2051" t="b">
        <v>1</v>
      </c>
      <c r="X2051" t="b">
        <f>Validation[[#This Row],[Range1_Low]]&gt;=Validation[[#This Row],[Range1_High]]</f>
        <v>0</v>
      </c>
      <c r="Y2051" s="111" t="s">
        <v>2843</v>
      </c>
    </row>
    <row r="2052" spans="1:25" ht="16.5" thickTop="1" thickBot="1" x14ac:dyDescent="0.3">
      <c r="A2052" t="s">
        <v>54</v>
      </c>
      <c r="B2052" t="s">
        <v>14</v>
      </c>
      <c r="C2052" s="113">
        <v>3.2999999999999998E-8</v>
      </c>
      <c r="D2052" s="113">
        <v>1.1000000000000001E-7</v>
      </c>
      <c r="E2052">
        <v>1.0000000000000001E-9</v>
      </c>
      <c r="F2052" t="s">
        <v>140</v>
      </c>
      <c r="G2052" t="s">
        <v>15</v>
      </c>
      <c r="H2052">
        <v>0</v>
      </c>
      <c r="I2052">
        <v>0</v>
      </c>
      <c r="J2052" t="s">
        <v>2833</v>
      </c>
      <c r="K2052">
        <v>0.56898000000000004</v>
      </c>
      <c r="L2052">
        <v>1398000</v>
      </c>
      <c r="M2052">
        <v>0.56874000000000002</v>
      </c>
      <c r="N2052">
        <v>1390900</v>
      </c>
      <c r="O2052" t="s">
        <v>2833</v>
      </c>
      <c r="P2052" t="s">
        <v>2833</v>
      </c>
      <c r="Q2052" t="s">
        <v>2833</v>
      </c>
      <c r="R2052">
        <f ca="1">RAND()*(Validation[[#This Row],[Range1_High]]-Validation[[#This Row],[Range1_Low]])+Validation[[#This Row],[Range1_Low]]</f>
        <v>4.4288787487660421E-8</v>
      </c>
      <c r="S2052">
        <f>Validation[[#This Row],[Range2_High]]</f>
        <v>0</v>
      </c>
      <c r="T2052" t="str" cm="1">
        <f t="array" aca="1" ref="T2052" ca="1">RoundToTwoSigFigs(Validation[[#This Row],[Test Reading]]*Validation[[#This Row],[Mult]]+Validation[[#This Row],[Base]]) &amp;" "&amp;Validation[[#This Row],[Uncert_Units]]</f>
        <v>0.63 nF</v>
      </c>
      <c r="U20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nF</v>
      </c>
      <c r="V2052" t="b">
        <f ca="1">Validation[[#This Row],[Desired Result]]=Validation[[#This Row],[Result]]</f>
        <v>1</v>
      </c>
      <c r="W2052" t="b">
        <v>1</v>
      </c>
      <c r="X2052" t="b">
        <f>Validation[[#This Row],[Range1_Low]]&gt;=Validation[[#This Row],[Range1_High]]</f>
        <v>0</v>
      </c>
      <c r="Y2052" s="111" t="s">
        <v>2843</v>
      </c>
    </row>
    <row r="2053" spans="1:25" ht="16.5" thickTop="1" thickBot="1" x14ac:dyDescent="0.3">
      <c r="A2053" t="s">
        <v>54</v>
      </c>
      <c r="B2053" t="s">
        <v>14</v>
      </c>
      <c r="C2053">
        <v>3.3E-3</v>
      </c>
      <c r="D2053">
        <v>1.1001E-2</v>
      </c>
      <c r="E2053">
        <v>1E-3</v>
      </c>
      <c r="F2053" t="s">
        <v>140</v>
      </c>
      <c r="G2053" t="s">
        <v>16</v>
      </c>
      <c r="H2053">
        <v>0</v>
      </c>
      <c r="I2053">
        <v>0</v>
      </c>
      <c r="J2053" t="s">
        <v>2833</v>
      </c>
      <c r="K2053">
        <v>576.63</v>
      </c>
      <c r="L2053">
        <v>439.99</v>
      </c>
      <c r="M2053">
        <v>576.63</v>
      </c>
      <c r="N2053">
        <v>436.9</v>
      </c>
      <c r="O2053" t="s">
        <v>2833</v>
      </c>
      <c r="P2053" t="s">
        <v>2833</v>
      </c>
      <c r="Q2053" t="s">
        <v>2833</v>
      </c>
      <c r="R2053">
        <f ca="1">RAND()*(Validation[[#This Row],[Range1_High]]-Validation[[#This Row],[Range1_Low]])+Validation[[#This Row],[Range1_Low]]</f>
        <v>6.0861356256909907E-3</v>
      </c>
      <c r="S2053">
        <f>Validation[[#This Row],[Range2_High]]</f>
        <v>0</v>
      </c>
      <c r="T2053" t="str" cm="1">
        <f t="array" aca="1" ref="T2053" ca="1">RoundToTwoSigFigs(Validation[[#This Row],[Test Reading]]*Validation[[#This Row],[Mult]]+Validation[[#This Row],[Base]]) &amp;" "&amp;Validation[[#This Row],[Uncert_Units]]</f>
        <v>580 µF</v>
      </c>
      <c r="U20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V2053" t="b">
        <f ca="1">Validation[[#This Row],[Desired Result]]=Validation[[#This Row],[Result]]</f>
        <v>1</v>
      </c>
      <c r="W2053" t="b">
        <v>0</v>
      </c>
      <c r="X2053" t="b">
        <f>Validation[[#This Row],[Range1_Low]]&gt;=Validation[[#This Row],[Range1_High]]</f>
        <v>0</v>
      </c>
      <c r="Y2053" s="111" t="s">
        <v>2845</v>
      </c>
    </row>
    <row r="2054" spans="1:25" ht="16.5" thickTop="1" thickBot="1" x14ac:dyDescent="0.3">
      <c r="A2054" t="s">
        <v>54</v>
      </c>
      <c r="B2054" t="s">
        <v>14</v>
      </c>
      <c r="C2054" s="113">
        <v>3.3E-3</v>
      </c>
      <c r="D2054" s="113">
        <v>1.1001E-2</v>
      </c>
      <c r="E2054">
        <v>1.0000000000000001E-5</v>
      </c>
      <c r="F2054" t="s">
        <v>140</v>
      </c>
      <c r="G2054" t="s">
        <v>16</v>
      </c>
      <c r="H2054">
        <v>0</v>
      </c>
      <c r="I2054">
        <v>0</v>
      </c>
      <c r="J2054" t="s">
        <v>2833</v>
      </c>
      <c r="K2054">
        <v>13</v>
      </c>
      <c r="L2054">
        <v>5200</v>
      </c>
      <c r="M2054">
        <v>12.712999999999999</v>
      </c>
      <c r="N2054">
        <v>5155.6000000000004</v>
      </c>
      <c r="O2054" t="s">
        <v>2833</v>
      </c>
      <c r="P2054" t="s">
        <v>2833</v>
      </c>
      <c r="Q2054" t="s">
        <v>2833</v>
      </c>
      <c r="R2054">
        <f ca="1">RAND()*(Validation[[#This Row],[Range1_High]]-Validation[[#This Row],[Range1_Low]])+Validation[[#This Row],[Range1_Low]]</f>
        <v>9.9720788940548567E-3</v>
      </c>
      <c r="S2054">
        <f>Validation[[#This Row],[Range2_High]]</f>
        <v>0</v>
      </c>
      <c r="T2054" t="str" cm="1">
        <f t="array" aca="1" ref="T2054" ca="1">RoundToTwoSigFigs(Validation[[#This Row],[Test Reading]]*Validation[[#This Row],[Mult]]+Validation[[#This Row],[Base]]) &amp;" "&amp;Validation[[#This Row],[Uncert_Units]]</f>
        <v>65 µF</v>
      </c>
      <c r="U20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µF</v>
      </c>
      <c r="V2054" t="b">
        <f ca="1">Validation[[#This Row],[Desired Result]]=Validation[[#This Row],[Result]]</f>
        <v>1</v>
      </c>
      <c r="W2054" t="b">
        <v>1</v>
      </c>
      <c r="X2054" t="b">
        <f>Validation[[#This Row],[Range1_Low]]&gt;=Validation[[#This Row],[Range1_High]]</f>
        <v>0</v>
      </c>
      <c r="Y2054" s="111" t="s">
        <v>2843</v>
      </c>
    </row>
    <row r="2055" spans="1:25" ht="16.5" thickTop="1" thickBot="1" x14ac:dyDescent="0.3">
      <c r="A2055" t="s">
        <v>54</v>
      </c>
      <c r="B2055" t="s">
        <v>14</v>
      </c>
      <c r="C2055" s="113">
        <v>1.1000000000000001E-3</v>
      </c>
      <c r="D2055" s="113">
        <v>3.3000999999999998E-3</v>
      </c>
      <c r="E2055">
        <v>9.9999999999999995E-7</v>
      </c>
      <c r="F2055" t="s">
        <v>140</v>
      </c>
      <c r="G2055" t="s">
        <v>16</v>
      </c>
      <c r="H2055">
        <v>0</v>
      </c>
      <c r="I2055">
        <v>0</v>
      </c>
      <c r="J2055" t="s">
        <v>2833</v>
      </c>
      <c r="K2055">
        <v>3.5</v>
      </c>
      <c r="L2055">
        <v>5200</v>
      </c>
      <c r="M2055">
        <v>3.4866000000000001</v>
      </c>
      <c r="N2055">
        <v>5194.3999999999996</v>
      </c>
      <c r="O2055" t="s">
        <v>2833</v>
      </c>
      <c r="P2055" t="s">
        <v>2833</v>
      </c>
      <c r="Q2055" t="s">
        <v>2833</v>
      </c>
      <c r="R2055">
        <f ca="1">RAND()*(Validation[[#This Row],[Range1_High]]-Validation[[#This Row],[Range1_Low]])+Validation[[#This Row],[Range1_Low]]</f>
        <v>2.5740816134889608E-3</v>
      </c>
      <c r="S2055">
        <f>Validation[[#This Row],[Range2_High]]</f>
        <v>0</v>
      </c>
      <c r="T2055" t="str" cm="1">
        <f t="array" aca="1" ref="T2055" ca="1">RoundToTwoSigFigs(Validation[[#This Row],[Test Reading]]*Validation[[#This Row],[Mult]]+Validation[[#This Row],[Base]]) &amp;" "&amp;Validation[[#This Row],[Uncert_Units]]</f>
        <v>17 µF</v>
      </c>
      <c r="U20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µF</v>
      </c>
      <c r="V2055" t="b">
        <f ca="1">Validation[[#This Row],[Desired Result]]=Validation[[#This Row],[Result]]</f>
        <v>1</v>
      </c>
      <c r="W2055" t="b">
        <v>1</v>
      </c>
      <c r="X2055" t="b">
        <f>Validation[[#This Row],[Range1_Low]]&gt;=Validation[[#This Row],[Range1_High]]</f>
        <v>0</v>
      </c>
      <c r="Y2055" s="111" t="s">
        <v>2843</v>
      </c>
    </row>
    <row r="2056" spans="1:25" ht="16.5" thickTop="1" thickBot="1" x14ac:dyDescent="0.3">
      <c r="A2056" t="s">
        <v>54</v>
      </c>
      <c r="B2056" t="s">
        <v>14</v>
      </c>
      <c r="C2056" s="113">
        <v>3.3000000000000002E-9</v>
      </c>
      <c r="D2056" s="113">
        <v>1.0999999999999999E-8</v>
      </c>
      <c r="E2056">
        <v>1E-10</v>
      </c>
      <c r="F2056" t="s">
        <v>140</v>
      </c>
      <c r="G2056" t="s">
        <v>15</v>
      </c>
      <c r="H2056">
        <v>0</v>
      </c>
      <c r="I2056">
        <v>0</v>
      </c>
      <c r="J2056" t="s">
        <v>2833</v>
      </c>
      <c r="K2056">
        <v>5.6911000000000003E-2</v>
      </c>
      <c r="L2056">
        <v>1398700</v>
      </c>
      <c r="M2056">
        <v>5.6877999999999998E-2</v>
      </c>
      <c r="N2056">
        <v>1390600</v>
      </c>
      <c r="O2056" t="s">
        <v>2833</v>
      </c>
      <c r="P2056" t="s">
        <v>2833</v>
      </c>
      <c r="Q2056" t="s">
        <v>2833</v>
      </c>
      <c r="R2056">
        <f ca="1">RAND()*(Validation[[#This Row],[Range1_High]]-Validation[[#This Row],[Range1_Low]])+Validation[[#This Row],[Range1_Low]]</f>
        <v>1.020214318533851E-8</v>
      </c>
      <c r="S2056">
        <f>Validation[[#This Row],[Range2_High]]</f>
        <v>0</v>
      </c>
      <c r="T2056" t="str" cm="1">
        <f t="array" aca="1" ref="T2056" ca="1">RoundToTwoSigFigs(Validation[[#This Row],[Test Reading]]*Validation[[#This Row],[Mult]]+Validation[[#This Row],[Base]]) &amp;" "&amp;Validation[[#This Row],[Uncert_Units]]</f>
        <v>0.071 nF</v>
      </c>
      <c r="U20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0.071 nF</v>
      </c>
      <c r="V2056" t="b">
        <f ca="1">Validation[[#This Row],[Desired Result]]=Validation[[#This Row],[Result]]</f>
        <v>1</v>
      </c>
      <c r="W2056" t="b">
        <v>1</v>
      </c>
      <c r="X2056" t="b">
        <f>Validation[[#This Row],[Range1_Low]]&gt;=Validation[[#This Row],[Range1_High]]</f>
        <v>0</v>
      </c>
      <c r="Y2056" s="111" t="s">
        <v>2843</v>
      </c>
    </row>
    <row r="2057" spans="1:25" ht="16.5" thickTop="1" thickBot="1" x14ac:dyDescent="0.3">
      <c r="A2057" t="s">
        <v>54</v>
      </c>
      <c r="B2057" t="s">
        <v>14</v>
      </c>
      <c r="C2057" s="113">
        <v>3.3000000000000002E-9</v>
      </c>
      <c r="D2057" s="113">
        <v>1.0999999999999999E-8</v>
      </c>
      <c r="E2057">
        <v>9.9999999999999994E-12</v>
      </c>
      <c r="F2057" t="s">
        <v>140</v>
      </c>
      <c r="G2057" t="s">
        <v>15</v>
      </c>
      <c r="H2057">
        <v>0</v>
      </c>
      <c r="I2057">
        <v>0</v>
      </c>
      <c r="J2057" t="s">
        <v>2833</v>
      </c>
      <c r="K2057">
        <v>1.2482E-2</v>
      </c>
      <c r="L2057">
        <v>2856200</v>
      </c>
      <c r="M2057">
        <v>1.2511E-2</v>
      </c>
      <c r="N2057">
        <v>2834700</v>
      </c>
      <c r="O2057" t="s">
        <v>2833</v>
      </c>
      <c r="P2057" t="s">
        <v>2833</v>
      </c>
      <c r="Q2057" t="s">
        <v>2833</v>
      </c>
      <c r="R2057">
        <f ca="1">RAND()*(Validation[[#This Row],[Range1_High]]-Validation[[#This Row],[Range1_Low]])+Validation[[#This Row],[Range1_Low]]</f>
        <v>8.8363599588983097E-9</v>
      </c>
      <c r="S2057">
        <f>Validation[[#This Row],[Range2_High]]</f>
        <v>0</v>
      </c>
      <c r="T2057" t="str" cm="1">
        <f t="array" aca="1" ref="T2057" ca="1">RoundToTwoSigFigs(Validation[[#This Row],[Test Reading]]*Validation[[#This Row],[Mult]]+Validation[[#This Row],[Base]]) &amp;" "&amp;Validation[[#This Row],[Uncert_Units]]</f>
        <v>0.038 nF</v>
      </c>
      <c r="U20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0.038 nF</v>
      </c>
      <c r="V2057" t="b">
        <f ca="1">Validation[[#This Row],[Desired Result]]=Validation[[#This Row],[Result]]</f>
        <v>1</v>
      </c>
      <c r="W2057" t="b">
        <v>1</v>
      </c>
      <c r="X2057" t="b">
        <f>Validation[[#This Row],[Range1_Low]]&gt;=Validation[[#This Row],[Range1_High]]</f>
        <v>0</v>
      </c>
      <c r="Y2057" s="111" t="s">
        <v>2843</v>
      </c>
    </row>
    <row r="2058" spans="1:25" ht="16.5" thickTop="1" thickBot="1" x14ac:dyDescent="0.3">
      <c r="A2058" t="s">
        <v>54</v>
      </c>
      <c r="B2058" t="s">
        <v>14</v>
      </c>
      <c r="C2058" s="113">
        <v>1.1000000000000001E-3</v>
      </c>
      <c r="D2058" s="113">
        <v>3.3000999999999998E-3</v>
      </c>
      <c r="E2058">
        <v>1.0000000000000001E-5</v>
      </c>
      <c r="F2058" t="s">
        <v>140</v>
      </c>
      <c r="G2058" t="s">
        <v>16</v>
      </c>
      <c r="H2058">
        <v>0</v>
      </c>
      <c r="I2058">
        <v>0</v>
      </c>
      <c r="J2058" t="s">
        <v>2833</v>
      </c>
      <c r="K2058">
        <v>5.5761000000000003</v>
      </c>
      <c r="L2058">
        <v>4803.8999999999996</v>
      </c>
      <c r="M2058">
        <v>5.5633999999999997</v>
      </c>
      <c r="N2058">
        <v>4802.8999999999996</v>
      </c>
      <c r="O2058" t="s">
        <v>2833</v>
      </c>
      <c r="P2058" t="s">
        <v>2833</v>
      </c>
      <c r="Q2058" t="s">
        <v>2833</v>
      </c>
      <c r="R2058">
        <f ca="1">RAND()*(Validation[[#This Row],[Range1_High]]-Validation[[#This Row],[Range1_Low]])+Validation[[#This Row],[Range1_Low]]</f>
        <v>1.4900856050702486E-3</v>
      </c>
      <c r="S2058">
        <f>Validation[[#This Row],[Range2_High]]</f>
        <v>0</v>
      </c>
      <c r="T2058" t="str" cm="1">
        <f t="array" aca="1" ref="T2058" ca="1">RoundToTwoSigFigs(Validation[[#This Row],[Test Reading]]*Validation[[#This Row],[Mult]]+Validation[[#This Row],[Base]]) &amp;" "&amp;Validation[[#This Row],[Uncert_Units]]</f>
        <v>13 µF</v>
      </c>
      <c r="U20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µF</v>
      </c>
      <c r="V2058" t="b">
        <f ca="1">Validation[[#This Row],[Desired Result]]=Validation[[#This Row],[Result]]</f>
        <v>1</v>
      </c>
      <c r="W2058" t="b">
        <v>1</v>
      </c>
      <c r="X2058" t="b">
        <f>Validation[[#This Row],[Range1_Low]]&gt;=Validation[[#This Row],[Range1_High]]</f>
        <v>0</v>
      </c>
      <c r="Y2058" s="111" t="s">
        <v>2843</v>
      </c>
    </row>
    <row r="2059" spans="1:25" ht="16.5" thickTop="1" thickBot="1" x14ac:dyDescent="0.3">
      <c r="A2059" t="s">
        <v>54</v>
      </c>
      <c r="B2059" t="s">
        <v>14</v>
      </c>
      <c r="C2059" s="113">
        <v>1.1E-5</v>
      </c>
      <c r="D2059" s="113">
        <v>3.3000999999999998E-5</v>
      </c>
      <c r="E2059">
        <v>9.9999999999999995E-8</v>
      </c>
      <c r="F2059" t="s">
        <v>140</v>
      </c>
      <c r="G2059" t="s">
        <v>15</v>
      </c>
      <c r="H2059">
        <v>0</v>
      </c>
      <c r="I2059">
        <v>0</v>
      </c>
      <c r="J2059" t="s">
        <v>2833</v>
      </c>
      <c r="K2059">
        <v>56.814</v>
      </c>
      <c r="L2059">
        <v>4211300</v>
      </c>
      <c r="M2059">
        <v>56.808</v>
      </c>
      <c r="N2059">
        <v>4211000</v>
      </c>
      <c r="O2059" t="s">
        <v>2833</v>
      </c>
      <c r="P2059" t="s">
        <v>2833</v>
      </c>
      <c r="Q2059" t="s">
        <v>2833</v>
      </c>
      <c r="R2059">
        <f ca="1">RAND()*(Validation[[#This Row],[Range1_High]]-Validation[[#This Row],[Range1_Low]])+Validation[[#This Row],[Range1_Low]]</f>
        <v>2.1704637313622094E-5</v>
      </c>
      <c r="S2059">
        <f>Validation[[#This Row],[Range2_High]]</f>
        <v>0</v>
      </c>
      <c r="T2059" t="str" cm="1">
        <f t="array" aca="1" ref="T2059" ca="1">RoundToTwoSigFigs(Validation[[#This Row],[Test Reading]]*Validation[[#This Row],[Mult]]+Validation[[#This Row],[Base]]) &amp;" "&amp;Validation[[#This Row],[Uncert_Units]]</f>
        <v>150 nF</v>
      </c>
      <c r="U20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nF</v>
      </c>
      <c r="V2059" t="b">
        <f ca="1">Validation[[#This Row],[Desired Result]]=Validation[[#This Row],[Result]]</f>
        <v>1</v>
      </c>
      <c r="W2059" t="b">
        <v>1</v>
      </c>
      <c r="X2059" t="b">
        <f>Validation[[#This Row],[Range1_Low]]&gt;=Validation[[#This Row],[Range1_High]]</f>
        <v>0</v>
      </c>
      <c r="Y2059" s="111" t="s">
        <v>2843</v>
      </c>
    </row>
    <row r="2060" spans="1:25" ht="16.5" thickTop="1" thickBot="1" x14ac:dyDescent="0.3">
      <c r="A2060" t="s">
        <v>54</v>
      </c>
      <c r="B2060" t="s">
        <v>14</v>
      </c>
      <c r="C2060">
        <v>3.2999999999999998E-8</v>
      </c>
      <c r="D2060">
        <v>1.1000000000000001E-7</v>
      </c>
      <c r="E2060">
        <v>1E-10</v>
      </c>
      <c r="F2060" t="s">
        <v>140</v>
      </c>
      <c r="G2060" t="s">
        <v>15</v>
      </c>
      <c r="H2060">
        <v>0</v>
      </c>
      <c r="I2060">
        <v>0</v>
      </c>
      <c r="J2060" t="s">
        <v>2833</v>
      </c>
      <c r="K2060">
        <v>0.12459000000000001</v>
      </c>
      <c r="L2060">
        <v>2858300</v>
      </c>
      <c r="M2060">
        <v>0.125</v>
      </c>
      <c r="N2060">
        <v>2835700</v>
      </c>
      <c r="O2060" t="s">
        <v>2833</v>
      </c>
      <c r="P2060" t="s">
        <v>2833</v>
      </c>
      <c r="Q2060" t="s">
        <v>2833</v>
      </c>
      <c r="R2060">
        <f ca="1">RAND()*(Validation[[#This Row],[Range1_High]]-Validation[[#This Row],[Range1_Low]])+Validation[[#This Row],[Range1_Low]]</f>
        <v>6.7106078468953423E-8</v>
      </c>
      <c r="S2060">
        <f>Validation[[#This Row],[Range2_High]]</f>
        <v>0</v>
      </c>
      <c r="T2060" t="str" cm="1">
        <f t="array" aca="1" ref="T2060" ca="1">RoundToTwoSigFigs(Validation[[#This Row],[Test Reading]]*Validation[[#This Row],[Mult]]+Validation[[#This Row],[Base]]) &amp;" "&amp;Validation[[#This Row],[Uncert_Units]]</f>
        <v>0.32 nF</v>
      </c>
      <c r="U20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nF</v>
      </c>
      <c r="V2060" t="b">
        <f ca="1">Validation[[#This Row],[Desired Result]]=Validation[[#This Row],[Result]]</f>
        <v>1</v>
      </c>
      <c r="W2060" t="b">
        <v>0</v>
      </c>
      <c r="X2060" t="b">
        <f>Validation[[#This Row],[Range1_Low]]&gt;=Validation[[#This Row],[Range1_High]]</f>
        <v>0</v>
      </c>
      <c r="Y2060" s="111" t="s">
        <v>2845</v>
      </c>
    </row>
    <row r="2061" spans="1:25" ht="16.5" thickTop="1" thickBot="1" x14ac:dyDescent="0.3">
      <c r="A2061" t="s">
        <v>54</v>
      </c>
      <c r="B2061" t="s">
        <v>14</v>
      </c>
      <c r="C2061" s="113">
        <v>1.0999999999999999E-2</v>
      </c>
      <c r="D2061" s="113">
        <v>3.3001000000000003E-2</v>
      </c>
      <c r="E2061">
        <v>1E-3</v>
      </c>
      <c r="F2061" t="s">
        <v>140</v>
      </c>
      <c r="G2061" t="s">
        <v>16</v>
      </c>
      <c r="H2061">
        <v>0</v>
      </c>
      <c r="I2061">
        <v>0</v>
      </c>
      <c r="J2061" t="s">
        <v>2833</v>
      </c>
      <c r="K2061">
        <v>557.54999999999995</v>
      </c>
      <c r="L2061">
        <v>3119.3</v>
      </c>
      <c r="M2061">
        <v>557.52</v>
      </c>
      <c r="N2061">
        <v>3115.8</v>
      </c>
      <c r="O2061" t="s">
        <v>2833</v>
      </c>
      <c r="P2061" t="s">
        <v>2833</v>
      </c>
      <c r="Q2061" t="s">
        <v>2833</v>
      </c>
      <c r="R2061">
        <f ca="1">RAND()*(Validation[[#This Row],[Range1_High]]-Validation[[#This Row],[Range1_Low]])+Validation[[#This Row],[Range1_Low]]</f>
        <v>3.1063740127852606E-2</v>
      </c>
      <c r="S2061">
        <f>Validation[[#This Row],[Range2_High]]</f>
        <v>0</v>
      </c>
      <c r="T2061" t="str" cm="1">
        <f t="array" aca="1" ref="T2061" ca="1">RoundToTwoSigFigs(Validation[[#This Row],[Test Reading]]*Validation[[#This Row],[Mult]]+Validation[[#This Row],[Base]]) &amp;" "&amp;Validation[[#This Row],[Uncert_Units]]</f>
        <v>650 µF</v>
      </c>
      <c r="U20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µF</v>
      </c>
      <c r="V2061" t="b">
        <f ca="1">Validation[[#This Row],[Desired Result]]=Validation[[#This Row],[Result]]</f>
        <v>1</v>
      </c>
      <c r="W2061" t="b">
        <v>1</v>
      </c>
      <c r="X2061" t="b">
        <f>Validation[[#This Row],[Range1_Low]]&gt;=Validation[[#This Row],[Range1_High]]</f>
        <v>0</v>
      </c>
      <c r="Y2061" s="111" t="s">
        <v>2843</v>
      </c>
    </row>
    <row r="2062" spans="1:25" ht="16.5" thickTop="1" thickBot="1" x14ac:dyDescent="0.3">
      <c r="A2062" t="s">
        <v>54</v>
      </c>
      <c r="B2062" t="s">
        <v>14</v>
      </c>
      <c r="C2062" s="113">
        <v>3.3000000000000002E-6</v>
      </c>
      <c r="D2062" s="113">
        <v>1.1001E-5</v>
      </c>
      <c r="E2062">
        <v>9.9999999999999995E-8</v>
      </c>
      <c r="F2062" t="s">
        <v>140</v>
      </c>
      <c r="G2062" t="s">
        <v>15</v>
      </c>
      <c r="H2062">
        <v>0</v>
      </c>
      <c r="I2062">
        <v>0</v>
      </c>
      <c r="J2062" t="s">
        <v>2833</v>
      </c>
      <c r="K2062">
        <v>56.88</v>
      </c>
      <c r="L2062">
        <v>1394300</v>
      </c>
      <c r="M2062">
        <v>56.874000000000002</v>
      </c>
      <c r="N2062">
        <v>1390900</v>
      </c>
      <c r="O2062" t="s">
        <v>2833</v>
      </c>
      <c r="P2062" t="s">
        <v>2833</v>
      </c>
      <c r="Q2062" t="s">
        <v>2833</v>
      </c>
      <c r="R2062">
        <f ca="1">RAND()*(Validation[[#This Row],[Range1_High]]-Validation[[#This Row],[Range1_Low]])+Validation[[#This Row],[Range1_Low]]</f>
        <v>9.8563420247708169E-6</v>
      </c>
      <c r="S2062">
        <f>Validation[[#This Row],[Range2_High]]</f>
        <v>0</v>
      </c>
      <c r="T2062" t="str" cm="1">
        <f t="array" aca="1" ref="T2062" ca="1">RoundToTwoSigFigs(Validation[[#This Row],[Test Reading]]*Validation[[#This Row],[Mult]]+Validation[[#This Row],[Base]]) &amp;" "&amp;Validation[[#This Row],[Uncert_Units]]</f>
        <v>71 nF</v>
      </c>
      <c r="U20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nF</v>
      </c>
      <c r="V2062" t="b">
        <f ca="1">Validation[[#This Row],[Desired Result]]=Validation[[#This Row],[Result]]</f>
        <v>1</v>
      </c>
      <c r="W2062" t="b">
        <v>1</v>
      </c>
      <c r="X2062" t="b">
        <f>Validation[[#This Row],[Range1_Low]]&gt;=Validation[[#This Row],[Range1_High]]</f>
        <v>0</v>
      </c>
      <c r="Y2062" s="111" t="s">
        <v>2843</v>
      </c>
    </row>
    <row r="2063" spans="1:25" ht="16.5" thickTop="1" thickBot="1" x14ac:dyDescent="0.3">
      <c r="A2063" t="s">
        <v>54</v>
      </c>
      <c r="B2063" t="s">
        <v>14</v>
      </c>
      <c r="C2063" s="113">
        <v>1.0999999999999999E-8</v>
      </c>
      <c r="D2063" s="113">
        <v>3.2999999999999998E-8</v>
      </c>
      <c r="E2063">
        <v>9.9999999999999998E-13</v>
      </c>
      <c r="F2063" t="s">
        <v>140</v>
      </c>
      <c r="G2063" t="s">
        <v>15</v>
      </c>
      <c r="H2063">
        <v>0</v>
      </c>
      <c r="I2063">
        <v>0</v>
      </c>
      <c r="J2063" t="s">
        <v>2833</v>
      </c>
      <c r="K2063">
        <v>0.12</v>
      </c>
      <c r="L2063">
        <v>2900000</v>
      </c>
      <c r="M2063">
        <v>0.11547</v>
      </c>
      <c r="N2063">
        <v>2886700</v>
      </c>
      <c r="O2063" t="s">
        <v>2833</v>
      </c>
      <c r="P2063" t="s">
        <v>2833</v>
      </c>
      <c r="Q2063" t="s">
        <v>2833</v>
      </c>
      <c r="R2063">
        <f ca="1">RAND()*(Validation[[#This Row],[Range1_High]]-Validation[[#This Row],[Range1_Low]])+Validation[[#This Row],[Range1_Low]]</f>
        <v>2.0562830798525308E-8</v>
      </c>
      <c r="S2063">
        <f>Validation[[#This Row],[Range2_High]]</f>
        <v>0</v>
      </c>
      <c r="T2063" t="str" cm="1">
        <f t="array" aca="1" ref="T2063" ca="1">RoundToTwoSigFigs(Validation[[#This Row],[Test Reading]]*Validation[[#This Row],[Mult]]+Validation[[#This Row],[Base]]) &amp;" "&amp;Validation[[#This Row],[Uncert_Units]]</f>
        <v>0.18 nF</v>
      </c>
      <c r="U20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V2063" t="b">
        <f ca="1">Validation[[#This Row],[Desired Result]]=Validation[[#This Row],[Result]]</f>
        <v>1</v>
      </c>
      <c r="W2063" t="b">
        <v>1</v>
      </c>
      <c r="X2063" t="b">
        <f>Validation[[#This Row],[Range1_Low]]&gt;=Validation[[#This Row],[Range1_High]]</f>
        <v>0</v>
      </c>
      <c r="Y2063" s="111" t="s">
        <v>2843</v>
      </c>
    </row>
    <row r="2064" spans="1:25" ht="16.5" thickTop="1" thickBot="1" x14ac:dyDescent="0.3">
      <c r="A2064" t="s">
        <v>54</v>
      </c>
      <c r="B2064" t="s">
        <v>14</v>
      </c>
      <c r="C2064" s="113">
        <v>1.1E-4</v>
      </c>
      <c r="D2064" s="113">
        <v>3.3000999999999999E-4</v>
      </c>
      <c r="E2064">
        <v>9.9999999999999995E-8</v>
      </c>
      <c r="F2064" t="s">
        <v>140</v>
      </c>
      <c r="G2064" t="s">
        <v>16</v>
      </c>
      <c r="H2064">
        <v>0</v>
      </c>
      <c r="I2064">
        <v>0</v>
      </c>
      <c r="J2064" t="s">
        <v>2833</v>
      </c>
      <c r="K2064">
        <v>0.35</v>
      </c>
      <c r="L2064">
        <v>5200</v>
      </c>
      <c r="M2064">
        <v>0.34836</v>
      </c>
      <c r="N2064">
        <v>5195.3</v>
      </c>
      <c r="O2064" t="s">
        <v>2833</v>
      </c>
      <c r="P2064" t="s">
        <v>2833</v>
      </c>
      <c r="Q2064" t="s">
        <v>2833</v>
      </c>
      <c r="R2064">
        <f ca="1">RAND()*(Validation[[#This Row],[Range1_High]]-Validation[[#This Row],[Range1_Low]])+Validation[[#This Row],[Range1_Low]]</f>
        <v>2.2552797192003094E-4</v>
      </c>
      <c r="S2064">
        <f>Validation[[#This Row],[Range2_High]]</f>
        <v>0</v>
      </c>
      <c r="T2064" t="str" cm="1">
        <f t="array" aca="1" ref="T2064" ca="1">RoundToTwoSigFigs(Validation[[#This Row],[Test Reading]]*Validation[[#This Row],[Mult]]+Validation[[#This Row],[Base]]) &amp;" "&amp;Validation[[#This Row],[Uncert_Units]]</f>
        <v>1.5 µF</v>
      </c>
      <c r="U20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µF</v>
      </c>
      <c r="V2064" t="b">
        <f ca="1">Validation[[#This Row],[Desired Result]]=Validation[[#This Row],[Result]]</f>
        <v>1</v>
      </c>
      <c r="W2064" t="b">
        <v>1</v>
      </c>
      <c r="X2064" t="b">
        <f>Validation[[#This Row],[Range1_Low]]&gt;=Validation[[#This Row],[Range1_High]]</f>
        <v>0</v>
      </c>
      <c r="Y2064" s="111" t="s">
        <v>2843</v>
      </c>
    </row>
    <row r="2065" spans="1:25" ht="16.5" thickTop="1" thickBot="1" x14ac:dyDescent="0.3">
      <c r="A2065" t="s">
        <v>54</v>
      </c>
      <c r="B2065" t="s">
        <v>14</v>
      </c>
      <c r="C2065" s="113">
        <v>0.11</v>
      </c>
      <c r="D2065" s="113">
        <v>0.1101</v>
      </c>
      <c r="E2065">
        <v>1E-4</v>
      </c>
      <c r="F2065" t="s">
        <v>140</v>
      </c>
      <c r="G2065" t="s">
        <v>16</v>
      </c>
      <c r="H2065">
        <v>0</v>
      </c>
      <c r="I2065">
        <v>0</v>
      </c>
      <c r="J2065" t="s">
        <v>2833</v>
      </c>
      <c r="K2065">
        <v>120</v>
      </c>
      <c r="L2065">
        <v>13000</v>
      </c>
      <c r="M2065">
        <v>119.5</v>
      </c>
      <c r="N2065">
        <v>12676</v>
      </c>
      <c r="O2065" t="s">
        <v>2833</v>
      </c>
      <c r="P2065" t="s">
        <v>2833</v>
      </c>
      <c r="Q2065" t="s">
        <v>2833</v>
      </c>
      <c r="R2065">
        <f ca="1">RAND()*(Validation[[#This Row],[Range1_High]]-Validation[[#This Row],[Range1_Low]])+Validation[[#This Row],[Range1_Low]]</f>
        <v>0.110075798847994</v>
      </c>
      <c r="S2065">
        <f>Validation[[#This Row],[Range2_High]]</f>
        <v>0</v>
      </c>
      <c r="T2065" t="str" cm="1">
        <f t="array" aca="1" ref="T2065" ca="1">RoundToTwoSigFigs(Validation[[#This Row],[Test Reading]]*Validation[[#This Row],[Mult]]+Validation[[#This Row],[Base]]) &amp;" "&amp;Validation[[#This Row],[Uncert_Units]]</f>
        <v>1600 µF</v>
      </c>
      <c r="U20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V2065" t="b">
        <f ca="1">Validation[[#This Row],[Desired Result]]=Validation[[#This Row],[Result]]</f>
        <v>1</v>
      </c>
      <c r="W2065" t="b">
        <v>1</v>
      </c>
      <c r="X2065" t="b">
        <f>Validation[[#This Row],[Range1_Low]]&gt;=Validation[[#This Row],[Range1_High]]</f>
        <v>0</v>
      </c>
      <c r="Y2065" s="111" t="s">
        <v>2843</v>
      </c>
    </row>
    <row r="2066" spans="1:25" ht="15.75" thickTop="1" x14ac:dyDescent="0.25">
      <c r="A2066" t="s">
        <v>54</v>
      </c>
      <c r="B2066" t="s">
        <v>14</v>
      </c>
      <c r="C2066">
        <v>2.1999999999999999E-10</v>
      </c>
      <c r="D2066">
        <v>3.3000000000000002E-9</v>
      </c>
      <c r="E2066">
        <v>9.9999999999999994E-12</v>
      </c>
      <c r="F2066" t="s">
        <v>140</v>
      </c>
      <c r="G2066" t="s">
        <v>15</v>
      </c>
      <c r="H2066">
        <v>0</v>
      </c>
      <c r="I2066">
        <v>0</v>
      </c>
      <c r="J2066" t="s">
        <v>2833</v>
      </c>
      <c r="K2066">
        <v>1.2845000000000001E-2</v>
      </c>
      <c r="L2066">
        <v>5547800</v>
      </c>
      <c r="M2066">
        <v>1.2838E-2</v>
      </c>
      <c r="N2066">
        <v>5547800</v>
      </c>
      <c r="O2066" t="s">
        <v>2833</v>
      </c>
      <c r="P2066" t="s">
        <v>2833</v>
      </c>
      <c r="Q2066" t="s">
        <v>2833</v>
      </c>
      <c r="R2066">
        <f ca="1">RAND()*(Validation[[#This Row],[Range1_High]]-Validation[[#This Row],[Range1_Low]])+Validation[[#This Row],[Range1_Low]]</f>
        <v>2.3438518982017082E-9</v>
      </c>
      <c r="S2066">
        <f>Validation[[#This Row],[Range2_High]]</f>
        <v>0</v>
      </c>
      <c r="T2066" t="str" cm="1">
        <f t="array" aca="1" ref="T2066" ca="1">RoundToTwoSigFigs(Validation[[#This Row],[Test Reading]]*Validation[[#This Row],[Mult]]+Validation[[#This Row],[Base]]) &amp;" "&amp;Validation[[#This Row],[Uncert_Units]]</f>
        <v>0.026 nF</v>
      </c>
      <c r="U20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nF</v>
      </c>
      <c r="V2066" t="b">
        <f ca="1">Validation[[#This Row],[Desired Result]]=Validation[[#This Row],[Result]]</f>
        <v>1</v>
      </c>
      <c r="W2066" t="b">
        <v>0</v>
      </c>
      <c r="X2066" t="b">
        <f>Validation[[#This Row],[Range1_Low]]&gt;=Validation[[#This Row],[Range1_High]]</f>
        <v>0</v>
      </c>
      <c r="Y2066" s="111" t="s">
        <v>2845</v>
      </c>
    </row>
    <row r="2067" spans="1:25" ht="15.75" thickBot="1" x14ac:dyDescent="0.3">
      <c r="A2067" t="s">
        <v>54</v>
      </c>
      <c r="B2067" t="s">
        <v>14</v>
      </c>
      <c r="C2067">
        <v>3.3E-4</v>
      </c>
      <c r="D2067">
        <v>1.1000999999999999E-3</v>
      </c>
      <c r="E2067">
        <v>1E-4</v>
      </c>
      <c r="F2067" t="s">
        <v>140</v>
      </c>
      <c r="G2067" t="s">
        <v>16</v>
      </c>
      <c r="H2067">
        <v>0</v>
      </c>
      <c r="I2067">
        <v>0</v>
      </c>
      <c r="J2067" t="s">
        <v>2833</v>
      </c>
      <c r="K2067">
        <v>57.662999999999997</v>
      </c>
      <c r="L2067">
        <v>438.86</v>
      </c>
      <c r="M2067">
        <v>57.662999999999997</v>
      </c>
      <c r="N2067">
        <v>436.89</v>
      </c>
      <c r="O2067" t="s">
        <v>2833</v>
      </c>
      <c r="P2067" t="s">
        <v>2833</v>
      </c>
      <c r="Q2067" t="s">
        <v>2833</v>
      </c>
      <c r="R2067">
        <f ca="1">RAND()*(Validation[[#This Row],[Range1_High]]-Validation[[#This Row],[Range1_Low]])+Validation[[#This Row],[Range1_Low]]</f>
        <v>8.9841791549699699E-4</v>
      </c>
      <c r="S2067">
        <f>Validation[[#This Row],[Range2_High]]</f>
        <v>0</v>
      </c>
      <c r="T2067" t="str" cm="1">
        <f t="array" aca="1" ref="T2067" ca="1">RoundToTwoSigFigs(Validation[[#This Row],[Test Reading]]*Validation[[#This Row],[Mult]]+Validation[[#This Row],[Base]]) &amp;" "&amp;Validation[[#This Row],[Uncert_Units]]</f>
        <v>58 µF</v>
      </c>
      <c r="U20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V2067" t="b">
        <f ca="1">Validation[[#This Row],[Desired Result]]=Validation[[#This Row],[Result]]</f>
        <v>1</v>
      </c>
      <c r="W2067" t="b">
        <v>0</v>
      </c>
      <c r="X2067" t="b">
        <f>Validation[[#This Row],[Range1_Low]]&gt;=Validation[[#This Row],[Range1_High]]</f>
        <v>0</v>
      </c>
      <c r="Y2067" s="111" t="s">
        <v>2845</v>
      </c>
    </row>
    <row r="2068" spans="1:25" ht="16.5" thickTop="1" thickBot="1" x14ac:dyDescent="0.3">
      <c r="A2068" t="s">
        <v>54</v>
      </c>
      <c r="B2068" t="s">
        <v>14</v>
      </c>
      <c r="C2068" s="113">
        <v>1.0999999999999999E-8</v>
      </c>
      <c r="D2068" s="113">
        <v>3.2999999999999998E-8</v>
      </c>
      <c r="E2068">
        <v>9.9999999999999994E-12</v>
      </c>
      <c r="F2068" t="s">
        <v>140</v>
      </c>
      <c r="G2068" t="s">
        <v>15</v>
      </c>
      <c r="H2068">
        <v>0</v>
      </c>
      <c r="I2068">
        <v>0</v>
      </c>
      <c r="J2068" t="s">
        <v>2833</v>
      </c>
      <c r="K2068">
        <v>0.12</v>
      </c>
      <c r="L2068">
        <v>2900000</v>
      </c>
      <c r="M2068">
        <v>0.11561</v>
      </c>
      <c r="N2068">
        <v>2885200</v>
      </c>
      <c r="O2068" t="s">
        <v>2833</v>
      </c>
      <c r="P2068" t="s">
        <v>2833</v>
      </c>
      <c r="Q2068" t="s">
        <v>2833</v>
      </c>
      <c r="R2068">
        <f ca="1">RAND()*(Validation[[#This Row],[Range1_High]]-Validation[[#This Row],[Range1_Low]])+Validation[[#This Row],[Range1_Low]]</f>
        <v>1.9490558213263597E-8</v>
      </c>
      <c r="S2068">
        <f>Validation[[#This Row],[Range2_High]]</f>
        <v>0</v>
      </c>
      <c r="T2068" t="str" cm="1">
        <f t="array" aca="1" ref="T2068" ca="1">RoundToTwoSigFigs(Validation[[#This Row],[Test Reading]]*Validation[[#This Row],[Mult]]+Validation[[#This Row],[Base]]) &amp;" "&amp;Validation[[#This Row],[Uncert_Units]]</f>
        <v>0.18 nF</v>
      </c>
      <c r="U20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V2068" t="b">
        <f ca="1">Validation[[#This Row],[Desired Result]]=Validation[[#This Row],[Result]]</f>
        <v>1</v>
      </c>
      <c r="W2068" t="b">
        <v>1</v>
      </c>
      <c r="X2068" t="b">
        <f>Validation[[#This Row],[Range1_Low]]&gt;=Validation[[#This Row],[Range1_High]]</f>
        <v>0</v>
      </c>
      <c r="Y2068" s="111" t="s">
        <v>2843</v>
      </c>
    </row>
    <row r="2069" spans="1:25" ht="16.5" thickTop="1" thickBot="1" x14ac:dyDescent="0.3">
      <c r="A2069" t="s">
        <v>68</v>
      </c>
      <c r="B2069" t="s">
        <v>14</v>
      </c>
      <c r="C2069">
        <v>1.0000000000000001E-9</v>
      </c>
      <c r="D2069">
        <v>1E-8</v>
      </c>
      <c r="E2069">
        <v>1E-10</v>
      </c>
      <c r="F2069" t="s">
        <v>140</v>
      </c>
      <c r="G2069" t="s">
        <v>15</v>
      </c>
      <c r="H2069">
        <v>0</v>
      </c>
      <c r="I2069">
        <v>0</v>
      </c>
      <c r="J2069" t="s">
        <v>2833</v>
      </c>
      <c r="K2069">
        <v>6.6424999999999998E-2</v>
      </c>
      <c r="L2069">
        <v>5023200</v>
      </c>
      <c r="M2069">
        <v>6.6402000000000003E-2</v>
      </c>
      <c r="N2069">
        <v>5012600</v>
      </c>
      <c r="O2069" t="s">
        <v>2833</v>
      </c>
      <c r="P2069" t="s">
        <v>2833</v>
      </c>
      <c r="Q2069" t="s">
        <v>2833</v>
      </c>
      <c r="R2069">
        <f ca="1">RAND()*(Validation[[#This Row],[Range1_High]]-Validation[[#This Row],[Range1_Low]])+Validation[[#This Row],[Range1_Low]]</f>
        <v>3.8733880270197891E-9</v>
      </c>
      <c r="S2069">
        <f>Validation[[#This Row],[Range2_High]]</f>
        <v>0</v>
      </c>
      <c r="T2069" t="str" cm="1">
        <f t="array" aca="1" ref="T2069" ca="1">RoundToTwoSigFigs(Validation[[#This Row],[Test Reading]]*Validation[[#This Row],[Mult]]+Validation[[#This Row],[Base]]) &amp;" "&amp;Validation[[#This Row],[Uncert_Units]]</f>
        <v>0.086 nF</v>
      </c>
      <c r="U20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nF</v>
      </c>
      <c r="V2069" t="b">
        <f ca="1">Validation[[#This Row],[Desired Result]]=Validation[[#This Row],[Result]]</f>
        <v>1</v>
      </c>
      <c r="W2069" t="b">
        <v>0</v>
      </c>
      <c r="X2069" t="b">
        <f>Validation[[#This Row],[Range1_Low]]&gt;=Validation[[#This Row],[Range1_High]]</f>
        <v>0</v>
      </c>
      <c r="Y2069" s="111" t="s">
        <v>2845</v>
      </c>
    </row>
    <row r="2070" spans="1:25" ht="16.5" thickTop="1" thickBot="1" x14ac:dyDescent="0.3">
      <c r="A2070" t="s">
        <v>54</v>
      </c>
      <c r="B2070" t="s">
        <v>14</v>
      </c>
      <c r="C2070" s="113">
        <v>1.1000000000000001E-6</v>
      </c>
      <c r="D2070" s="113">
        <v>3.3001E-6</v>
      </c>
      <c r="E2070">
        <v>1E-10</v>
      </c>
      <c r="F2070" t="s">
        <v>140</v>
      </c>
      <c r="G2070" t="s">
        <v>15</v>
      </c>
      <c r="H2070">
        <v>0</v>
      </c>
      <c r="I2070">
        <v>0</v>
      </c>
      <c r="J2070" t="s">
        <v>2833</v>
      </c>
      <c r="K2070">
        <v>3.5</v>
      </c>
      <c r="L2070">
        <v>2900000</v>
      </c>
      <c r="M2070">
        <v>3.4649000000000001</v>
      </c>
      <c r="N2070">
        <v>2886700</v>
      </c>
      <c r="O2070" t="s">
        <v>2833</v>
      </c>
      <c r="P2070" t="s">
        <v>2833</v>
      </c>
      <c r="Q2070" t="s">
        <v>2833</v>
      </c>
      <c r="R2070">
        <f ca="1">RAND()*(Validation[[#This Row],[Range1_High]]-Validation[[#This Row],[Range1_Low]])+Validation[[#This Row],[Range1_Low]]</f>
        <v>1.4501273331271391E-6</v>
      </c>
      <c r="S2070">
        <f>Validation[[#This Row],[Range2_High]]</f>
        <v>0</v>
      </c>
      <c r="T2070" t="str" cm="1">
        <f t="array" aca="1" ref="T2070" ca="1">RoundToTwoSigFigs(Validation[[#This Row],[Test Reading]]*Validation[[#This Row],[Mult]]+Validation[[#This Row],[Base]]) &amp;" "&amp;Validation[[#This Row],[Uncert_Units]]</f>
        <v>7.7 nF</v>
      </c>
      <c r="U20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nF</v>
      </c>
      <c r="V2070" t="b">
        <f ca="1">Validation[[#This Row],[Desired Result]]=Validation[[#This Row],[Result]]</f>
        <v>1</v>
      </c>
      <c r="W2070" t="b">
        <v>1</v>
      </c>
      <c r="X2070" t="b">
        <f>Validation[[#This Row],[Range1_Low]]&gt;=Validation[[#This Row],[Range1_High]]</f>
        <v>0</v>
      </c>
      <c r="Y2070" s="111" t="s">
        <v>2843</v>
      </c>
    </row>
    <row r="2071" spans="1:25" ht="16.5" thickTop="1" thickBot="1" x14ac:dyDescent="0.3">
      <c r="A2071" t="s">
        <v>54</v>
      </c>
      <c r="B2071" t="s">
        <v>14</v>
      </c>
      <c r="C2071" s="113">
        <v>3.3000000000000002E-6</v>
      </c>
      <c r="D2071" s="113">
        <v>1.1001E-5</v>
      </c>
      <c r="E2071">
        <v>1.0000000000000001E-9</v>
      </c>
      <c r="F2071" t="s">
        <v>140</v>
      </c>
      <c r="G2071" t="s">
        <v>15</v>
      </c>
      <c r="H2071">
        <v>0</v>
      </c>
      <c r="I2071">
        <v>0</v>
      </c>
      <c r="J2071" t="s">
        <v>2833</v>
      </c>
      <c r="K2071">
        <v>12</v>
      </c>
      <c r="L2071">
        <v>2900000</v>
      </c>
      <c r="M2071">
        <v>11.566000000000001</v>
      </c>
      <c r="N2071">
        <v>2886200</v>
      </c>
      <c r="O2071" t="s">
        <v>2833</v>
      </c>
      <c r="P2071" t="s">
        <v>2833</v>
      </c>
      <c r="Q2071" t="s">
        <v>2833</v>
      </c>
      <c r="R2071">
        <f ca="1">RAND()*(Validation[[#This Row],[Range1_High]]-Validation[[#This Row],[Range1_Low]])+Validation[[#This Row],[Range1_Low]]</f>
        <v>9.0695310876598056E-6</v>
      </c>
      <c r="S2071">
        <f>Validation[[#This Row],[Range2_High]]</f>
        <v>0</v>
      </c>
      <c r="T2071" t="str" cm="1">
        <f t="array" aca="1" ref="T2071" ca="1">RoundToTwoSigFigs(Validation[[#This Row],[Test Reading]]*Validation[[#This Row],[Mult]]+Validation[[#This Row],[Base]]) &amp;" "&amp;Validation[[#This Row],[Uncert_Units]]</f>
        <v>38 nF</v>
      </c>
      <c r="U20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nF</v>
      </c>
      <c r="V2071" t="b">
        <f ca="1">Validation[[#This Row],[Desired Result]]=Validation[[#This Row],[Result]]</f>
        <v>1</v>
      </c>
      <c r="W2071" t="b">
        <v>1</v>
      </c>
      <c r="X2071" t="b">
        <f>Validation[[#This Row],[Range1_Low]]&gt;=Validation[[#This Row],[Range1_High]]</f>
        <v>0</v>
      </c>
      <c r="Y2071" s="111" t="s">
        <v>2843</v>
      </c>
    </row>
    <row r="2072" spans="1:25" ht="16.5" thickTop="1" thickBot="1" x14ac:dyDescent="0.3">
      <c r="A2072" t="s">
        <v>68</v>
      </c>
      <c r="B2072" t="s">
        <v>14</v>
      </c>
      <c r="C2072" s="113">
        <v>1E-8</v>
      </c>
      <c r="D2072" s="113">
        <v>9.9999999999999995E-8</v>
      </c>
      <c r="E2072">
        <v>1E-10</v>
      </c>
      <c r="F2072" t="s">
        <v>140</v>
      </c>
      <c r="G2072" t="s">
        <v>15</v>
      </c>
      <c r="H2072">
        <v>0</v>
      </c>
      <c r="I2072">
        <v>0</v>
      </c>
      <c r="J2072" t="s">
        <v>2833</v>
      </c>
      <c r="K2072">
        <v>0.5</v>
      </c>
      <c r="L2072">
        <v>5788200</v>
      </c>
      <c r="M2072">
        <v>0.49306</v>
      </c>
      <c r="N2072">
        <v>5785500</v>
      </c>
      <c r="O2072" t="s">
        <v>2833</v>
      </c>
      <c r="P2072" t="s">
        <v>2833</v>
      </c>
      <c r="Q2072" t="s">
        <v>2833</v>
      </c>
      <c r="R2072">
        <f ca="1">RAND()*(Validation[[#This Row],[Range1_High]]-Validation[[#This Row],[Range1_Low]])+Validation[[#This Row],[Range1_Low]]</f>
        <v>3.7311438818266302E-8</v>
      </c>
      <c r="S2072">
        <f>Validation[[#This Row],[Range2_High]]</f>
        <v>0</v>
      </c>
      <c r="T2072" t="str" cm="1">
        <f t="array" aca="1" ref="T2072" ca="1">RoundToTwoSigFigs(Validation[[#This Row],[Test Reading]]*Validation[[#This Row],[Mult]]+Validation[[#This Row],[Base]]) &amp;" "&amp;Validation[[#This Row],[Uncert_Units]]</f>
        <v>0.72 nF</v>
      </c>
      <c r="U20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nF</v>
      </c>
      <c r="V2072" t="b">
        <f ca="1">Validation[[#This Row],[Desired Result]]=Validation[[#This Row],[Result]]</f>
        <v>1</v>
      </c>
      <c r="W2072" t="b">
        <v>1</v>
      </c>
      <c r="X2072" t="b">
        <f>Validation[[#This Row],[Range1_Low]]&gt;=Validation[[#This Row],[Range1_High]]</f>
        <v>0</v>
      </c>
      <c r="Y2072" s="111" t="s">
        <v>2843</v>
      </c>
    </row>
    <row r="2073" spans="1:25" ht="15.75" thickTop="1" x14ac:dyDescent="0.25">
      <c r="A2073" t="s">
        <v>68</v>
      </c>
      <c r="B2073" t="s">
        <v>14</v>
      </c>
      <c r="C2073">
        <v>1.0000000000000001E-9</v>
      </c>
      <c r="D2073">
        <v>1E-8</v>
      </c>
      <c r="E2073">
        <v>9.9999999999999994E-12</v>
      </c>
      <c r="F2073" t="s">
        <v>140</v>
      </c>
      <c r="G2073" t="s">
        <v>15</v>
      </c>
      <c r="H2073">
        <v>0</v>
      </c>
      <c r="I2073">
        <v>0</v>
      </c>
      <c r="J2073" t="s">
        <v>2833</v>
      </c>
      <c r="K2073">
        <v>3.5999999999999997E-2</v>
      </c>
      <c r="L2073">
        <v>6536700</v>
      </c>
      <c r="M2073">
        <v>3.5893000000000001E-2</v>
      </c>
      <c r="N2073">
        <v>6534200</v>
      </c>
      <c r="O2073" t="s">
        <v>2833</v>
      </c>
      <c r="P2073" t="s">
        <v>2833</v>
      </c>
      <c r="Q2073" t="s">
        <v>2833</v>
      </c>
      <c r="R2073">
        <f ca="1">RAND()*(Validation[[#This Row],[Range1_High]]-Validation[[#This Row],[Range1_Low]])+Validation[[#This Row],[Range1_Low]]</f>
        <v>6.378250697078871E-9</v>
      </c>
      <c r="S2073">
        <f>Validation[[#This Row],[Range2_High]]</f>
        <v>0</v>
      </c>
      <c r="T2073" t="str" cm="1">
        <f t="array" aca="1" ref="T2073" ca="1">RoundToTwoSigFigs(Validation[[#This Row],[Test Reading]]*Validation[[#This Row],[Mult]]+Validation[[#This Row],[Base]]) &amp;" "&amp;Validation[[#This Row],[Uncert_Units]]</f>
        <v>0.078 nF</v>
      </c>
      <c r="U20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0.078 nF</v>
      </c>
      <c r="V2073" t="b">
        <f ca="1">Validation[[#This Row],[Desired Result]]=Validation[[#This Row],[Result]]</f>
        <v>1</v>
      </c>
      <c r="W2073" t="b">
        <v>0</v>
      </c>
      <c r="X2073" t="b">
        <f>Validation[[#This Row],[Range1_Low]]&gt;=Validation[[#This Row],[Range1_High]]</f>
        <v>0</v>
      </c>
      <c r="Y2073" s="111" t="s">
        <v>2845</v>
      </c>
    </row>
    <row r="2074" spans="1:25" x14ac:dyDescent="0.25">
      <c r="A2074" t="s">
        <v>54</v>
      </c>
      <c r="B2074" t="s">
        <v>14</v>
      </c>
      <c r="C2074">
        <v>3.2999999999999998E-8</v>
      </c>
      <c r="D2074">
        <v>1.1000000000000001E-7</v>
      </c>
      <c r="E2074">
        <v>9.9999999999999994E-12</v>
      </c>
      <c r="F2074" t="s">
        <v>140</v>
      </c>
      <c r="G2074" t="s">
        <v>15</v>
      </c>
      <c r="H2074">
        <v>0</v>
      </c>
      <c r="I2074">
        <v>0</v>
      </c>
      <c r="J2074" t="s">
        <v>2833</v>
      </c>
      <c r="K2074">
        <v>0.12</v>
      </c>
      <c r="L2074">
        <v>2900000</v>
      </c>
      <c r="M2074">
        <v>0.11565</v>
      </c>
      <c r="N2074">
        <v>2886200</v>
      </c>
      <c r="O2074" t="s">
        <v>2833</v>
      </c>
      <c r="P2074" t="s">
        <v>2833</v>
      </c>
      <c r="Q2074" t="s">
        <v>2833</v>
      </c>
      <c r="R2074">
        <f ca="1">RAND()*(Validation[[#This Row],[Range1_High]]-Validation[[#This Row],[Range1_Low]])+Validation[[#This Row],[Range1_Low]]</f>
        <v>6.3903902459378237E-8</v>
      </c>
      <c r="S2074">
        <f>Validation[[#This Row],[Range2_High]]</f>
        <v>0</v>
      </c>
      <c r="T2074" t="str" cm="1">
        <f t="array" aca="1" ref="T2074" ca="1">RoundToTwoSigFigs(Validation[[#This Row],[Test Reading]]*Validation[[#This Row],[Mult]]+Validation[[#This Row],[Base]]) &amp;" "&amp;Validation[[#This Row],[Uncert_Units]]</f>
        <v>0.31 nF</v>
      </c>
      <c r="U20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nF</v>
      </c>
      <c r="V2074" t="b">
        <f ca="1">Validation[[#This Row],[Desired Result]]=Validation[[#This Row],[Result]]</f>
        <v>1</v>
      </c>
      <c r="W2074" t="b">
        <v>0</v>
      </c>
      <c r="X2074" t="b">
        <f>Validation[[#This Row],[Range1_Low]]&gt;=Validation[[#This Row],[Range1_High]]</f>
        <v>0</v>
      </c>
      <c r="Y2074" s="111" t="s">
        <v>2845</v>
      </c>
    </row>
    <row r="2075" spans="1:25" ht="15.75" thickBot="1" x14ac:dyDescent="0.3">
      <c r="A2075" t="s">
        <v>68</v>
      </c>
      <c r="B2075" t="s">
        <v>14</v>
      </c>
      <c r="C2075">
        <v>1.0000000000000001E-9</v>
      </c>
      <c r="D2075">
        <v>1E-8</v>
      </c>
      <c r="E2075">
        <v>1.0000000000000001E-9</v>
      </c>
      <c r="F2075" t="s">
        <v>140</v>
      </c>
      <c r="G2075" t="s">
        <v>15</v>
      </c>
      <c r="H2075">
        <v>0</v>
      </c>
      <c r="I2075">
        <v>0</v>
      </c>
      <c r="J2075" t="s">
        <v>2833</v>
      </c>
      <c r="K2075">
        <v>0.57862999999999998</v>
      </c>
      <c r="L2075">
        <v>1104800</v>
      </c>
      <c r="M2075">
        <v>0.57862999999999998</v>
      </c>
      <c r="N2075">
        <v>1095300</v>
      </c>
      <c r="O2075" t="s">
        <v>2833</v>
      </c>
      <c r="P2075" t="s">
        <v>2833</v>
      </c>
      <c r="Q2075" t="s">
        <v>2833</v>
      </c>
      <c r="R2075">
        <f ca="1">RAND()*(Validation[[#This Row],[Range1_High]]-Validation[[#This Row],[Range1_Low]])+Validation[[#This Row],[Range1_Low]]</f>
        <v>2.8638201273099773E-9</v>
      </c>
      <c r="S2075">
        <f>Validation[[#This Row],[Range2_High]]</f>
        <v>0</v>
      </c>
      <c r="T2075" t="str" cm="1">
        <f t="array" aca="1" ref="T2075" ca="1">RoundToTwoSigFigs(Validation[[#This Row],[Test Reading]]*Validation[[#This Row],[Mult]]+Validation[[#This Row],[Base]]) &amp;" "&amp;Validation[[#This Row],[Uncert_Units]]</f>
        <v>0.58 nF</v>
      </c>
      <c r="U20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V2075" t="b">
        <f ca="1">Validation[[#This Row],[Desired Result]]=Validation[[#This Row],[Result]]</f>
        <v>1</v>
      </c>
      <c r="W2075" t="b">
        <v>0</v>
      </c>
      <c r="X2075" t="b">
        <f>Validation[[#This Row],[Range1_Low]]&gt;=Validation[[#This Row],[Range1_High]]</f>
        <v>0</v>
      </c>
      <c r="Y2075" s="111" t="s">
        <v>2845</v>
      </c>
    </row>
    <row r="2076" spans="1:25" ht="16.5" thickTop="1" thickBot="1" x14ac:dyDescent="0.3">
      <c r="A2076" t="s">
        <v>54</v>
      </c>
      <c r="B2076" t="s">
        <v>14</v>
      </c>
      <c r="C2076" s="113">
        <v>1.1E-4</v>
      </c>
      <c r="D2076" s="113">
        <v>3.3000999999999999E-4</v>
      </c>
      <c r="E2076">
        <v>9.9999999999999995E-7</v>
      </c>
      <c r="F2076" t="s">
        <v>140</v>
      </c>
      <c r="G2076" t="s">
        <v>16</v>
      </c>
      <c r="H2076">
        <v>0</v>
      </c>
      <c r="I2076">
        <v>0</v>
      </c>
      <c r="J2076" t="s">
        <v>2833</v>
      </c>
      <c r="K2076">
        <v>0.55623</v>
      </c>
      <c r="L2076">
        <v>4803.8</v>
      </c>
      <c r="M2076">
        <v>0.55608000000000002</v>
      </c>
      <c r="N2076">
        <v>4803.7</v>
      </c>
      <c r="O2076" t="s">
        <v>2833</v>
      </c>
      <c r="P2076" t="s">
        <v>2833</v>
      </c>
      <c r="Q2076" t="s">
        <v>2833</v>
      </c>
      <c r="R2076">
        <f ca="1">RAND()*(Validation[[#This Row],[Range1_High]]-Validation[[#This Row],[Range1_Low]])+Validation[[#This Row],[Range1_Low]]</f>
        <v>1.2801247716153082E-4</v>
      </c>
      <c r="S2076">
        <f>Validation[[#This Row],[Range2_High]]</f>
        <v>0</v>
      </c>
      <c r="T2076" t="str" cm="1">
        <f t="array" aca="1" ref="T2076" ca="1">RoundToTwoSigFigs(Validation[[#This Row],[Test Reading]]*Validation[[#This Row],[Mult]]+Validation[[#This Row],[Base]]) &amp;" "&amp;Validation[[#This Row],[Uncert_Units]]</f>
        <v>1.2 µF</v>
      </c>
      <c r="U20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µF</v>
      </c>
      <c r="V2076" t="b">
        <f ca="1">Validation[[#This Row],[Desired Result]]=Validation[[#This Row],[Result]]</f>
        <v>1</v>
      </c>
      <c r="W2076" t="b">
        <v>1</v>
      </c>
      <c r="X2076" t="b">
        <f>Validation[[#This Row],[Range1_Low]]&gt;=Validation[[#This Row],[Range1_High]]</f>
        <v>0</v>
      </c>
      <c r="Y2076" s="111" t="s">
        <v>2843</v>
      </c>
    </row>
    <row r="2077" spans="1:25" ht="16.5" thickTop="1" thickBot="1" x14ac:dyDescent="0.3">
      <c r="A2077" t="s">
        <v>54</v>
      </c>
      <c r="B2077" t="s">
        <v>14</v>
      </c>
      <c r="C2077" s="113">
        <v>0.11</v>
      </c>
      <c r="D2077" s="113">
        <v>0.1101</v>
      </c>
      <c r="E2077">
        <v>0.01</v>
      </c>
      <c r="F2077" t="s">
        <v>140</v>
      </c>
      <c r="G2077" t="s">
        <v>16</v>
      </c>
      <c r="H2077">
        <v>0</v>
      </c>
      <c r="I2077">
        <v>0</v>
      </c>
      <c r="J2077" t="s">
        <v>2833</v>
      </c>
      <c r="K2077">
        <v>5725.6</v>
      </c>
      <c r="L2077">
        <v>2215.6</v>
      </c>
      <c r="M2077">
        <v>5725.3</v>
      </c>
      <c r="N2077">
        <v>2210.1</v>
      </c>
      <c r="O2077" t="s">
        <v>2833</v>
      </c>
      <c r="P2077" t="s">
        <v>2833</v>
      </c>
      <c r="Q2077" t="s">
        <v>2833</v>
      </c>
      <c r="R2077">
        <f ca="1">RAND()*(Validation[[#This Row],[Range1_High]]-Validation[[#This Row],[Range1_Low]])+Validation[[#This Row],[Range1_Low]]</f>
        <v>0.11009358585451964</v>
      </c>
      <c r="S2077">
        <f>Validation[[#This Row],[Range2_High]]</f>
        <v>0</v>
      </c>
      <c r="T2077" t="str" cm="1">
        <f t="array" aca="1" ref="T2077" ca="1">RoundToTwoSigFigs(Validation[[#This Row],[Test Reading]]*Validation[[#This Row],[Mult]]+Validation[[#This Row],[Base]]) &amp;" "&amp;Validation[[#This Row],[Uncert_Units]]</f>
        <v>6000 µF</v>
      </c>
      <c r="U20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</v>
      </c>
      <c r="V2077" t="b">
        <f ca="1">Validation[[#This Row],[Desired Result]]=Validation[[#This Row],[Result]]</f>
        <v>1</v>
      </c>
      <c r="W2077" t="b">
        <v>1</v>
      </c>
      <c r="X2077" t="b">
        <f>Validation[[#This Row],[Range1_Low]]&gt;=Validation[[#This Row],[Range1_High]]</f>
        <v>0</v>
      </c>
      <c r="Y2077" s="111" t="s">
        <v>2843</v>
      </c>
    </row>
    <row r="2078" spans="1:25" ht="16.5" thickTop="1" thickBot="1" x14ac:dyDescent="0.3">
      <c r="A2078" t="s">
        <v>54</v>
      </c>
      <c r="B2078" t="s">
        <v>14</v>
      </c>
      <c r="C2078" s="113">
        <v>1.1000000000000001E-7</v>
      </c>
      <c r="D2078" s="113">
        <v>3.3000000000000002E-7</v>
      </c>
      <c r="E2078">
        <v>9.9999999999999994E-12</v>
      </c>
      <c r="F2078" t="s">
        <v>140</v>
      </c>
      <c r="G2078" t="s">
        <v>15</v>
      </c>
      <c r="H2078">
        <v>0</v>
      </c>
      <c r="I2078">
        <v>0</v>
      </c>
      <c r="J2078" t="s">
        <v>2833</v>
      </c>
      <c r="K2078">
        <v>0.35</v>
      </c>
      <c r="L2078">
        <v>2900000</v>
      </c>
      <c r="M2078">
        <v>0.34649000000000002</v>
      </c>
      <c r="N2078">
        <v>2886700</v>
      </c>
      <c r="O2078" t="s">
        <v>2833</v>
      </c>
      <c r="P2078" t="s">
        <v>2833</v>
      </c>
      <c r="Q2078" t="s">
        <v>2833</v>
      </c>
      <c r="R2078">
        <f ca="1">RAND()*(Validation[[#This Row],[Range1_High]]-Validation[[#This Row],[Range1_Low]])+Validation[[#This Row],[Range1_Low]]</f>
        <v>1.2555745584401714E-7</v>
      </c>
      <c r="S2078">
        <f>Validation[[#This Row],[Range2_High]]</f>
        <v>0</v>
      </c>
      <c r="T2078" t="str" cm="1">
        <f t="array" aca="1" ref="T2078" ca="1">RoundToTwoSigFigs(Validation[[#This Row],[Test Reading]]*Validation[[#This Row],[Mult]]+Validation[[#This Row],[Base]]) &amp;" "&amp;Validation[[#This Row],[Uncert_Units]]</f>
        <v>0.71 nF</v>
      </c>
      <c r="U20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nF</v>
      </c>
      <c r="V2078" t="b">
        <f ca="1">Validation[[#This Row],[Desired Result]]=Validation[[#This Row],[Result]]</f>
        <v>1</v>
      </c>
      <c r="W2078" t="b">
        <v>1</v>
      </c>
      <c r="X2078" t="b">
        <f>Validation[[#This Row],[Range1_Low]]&gt;=Validation[[#This Row],[Range1_High]]</f>
        <v>0</v>
      </c>
      <c r="Y2078" s="111" t="s">
        <v>2843</v>
      </c>
    </row>
    <row r="2079" spans="1:25" ht="16.5" thickTop="1" thickBot="1" x14ac:dyDescent="0.3">
      <c r="A2079" t="s">
        <v>54</v>
      </c>
      <c r="B2079" t="s">
        <v>14</v>
      </c>
      <c r="C2079" s="113">
        <v>1.1000000000000001E-7</v>
      </c>
      <c r="D2079" s="113">
        <v>3.3000000000000002E-7</v>
      </c>
      <c r="E2079">
        <v>1.0000000000000001E-9</v>
      </c>
      <c r="F2079" t="s">
        <v>140</v>
      </c>
      <c r="G2079" t="s">
        <v>15</v>
      </c>
      <c r="H2079">
        <v>0</v>
      </c>
      <c r="I2079">
        <v>0</v>
      </c>
      <c r="J2079" t="s">
        <v>2833</v>
      </c>
      <c r="K2079">
        <v>0.60931000000000002</v>
      </c>
      <c r="L2079">
        <v>2463100</v>
      </c>
      <c r="M2079">
        <v>0.60906000000000005</v>
      </c>
      <c r="N2079">
        <v>2462300</v>
      </c>
      <c r="O2079" t="s">
        <v>2833</v>
      </c>
      <c r="P2079" t="s">
        <v>2833</v>
      </c>
      <c r="Q2079" t="s">
        <v>2833</v>
      </c>
      <c r="R2079">
        <f ca="1">RAND()*(Validation[[#This Row],[Range1_High]]-Validation[[#This Row],[Range1_Low]])+Validation[[#This Row],[Range1_Low]]</f>
        <v>3.0988983843796895E-7</v>
      </c>
      <c r="S2079">
        <f>Validation[[#This Row],[Range2_High]]</f>
        <v>0</v>
      </c>
      <c r="T2079" t="str" cm="1">
        <f t="array" aca="1" ref="T2079" ca="1">RoundToTwoSigFigs(Validation[[#This Row],[Test Reading]]*Validation[[#This Row],[Mult]]+Validation[[#This Row],[Base]]) &amp;" "&amp;Validation[[#This Row],[Uncert_Units]]</f>
        <v>1.4 nF</v>
      </c>
      <c r="U20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nF</v>
      </c>
      <c r="V2079" t="b">
        <f ca="1">Validation[[#This Row],[Desired Result]]=Validation[[#This Row],[Result]]</f>
        <v>1</v>
      </c>
      <c r="W2079" t="b">
        <v>1</v>
      </c>
      <c r="X2079" t="b">
        <f>Validation[[#This Row],[Range1_Low]]&gt;=Validation[[#This Row],[Range1_High]]</f>
        <v>0</v>
      </c>
      <c r="Y2079" s="111" t="s">
        <v>2843</v>
      </c>
    </row>
    <row r="2080" spans="1:25" ht="16.5" thickTop="1" thickBot="1" x14ac:dyDescent="0.3">
      <c r="A2080" t="s">
        <v>54</v>
      </c>
      <c r="B2080" t="s">
        <v>14</v>
      </c>
      <c r="C2080" s="113">
        <v>1.0999999999999999E-8</v>
      </c>
      <c r="D2080" s="113">
        <v>3.2999999999999998E-8</v>
      </c>
      <c r="E2080">
        <v>1E-10</v>
      </c>
      <c r="F2080" t="s">
        <v>140</v>
      </c>
      <c r="G2080" t="s">
        <v>15</v>
      </c>
      <c r="H2080">
        <v>0</v>
      </c>
      <c r="I2080">
        <v>0</v>
      </c>
      <c r="J2080" t="s">
        <v>2833</v>
      </c>
      <c r="K2080">
        <v>0.12801000000000001</v>
      </c>
      <c r="L2080">
        <v>2745100</v>
      </c>
      <c r="M2080">
        <v>0.12797</v>
      </c>
      <c r="N2080">
        <v>2743500</v>
      </c>
      <c r="O2080" t="s">
        <v>2833</v>
      </c>
      <c r="P2080" t="s">
        <v>2833</v>
      </c>
      <c r="Q2080" t="s">
        <v>2833</v>
      </c>
      <c r="R2080">
        <f ca="1">RAND()*(Validation[[#This Row],[Range1_High]]-Validation[[#This Row],[Range1_Low]])+Validation[[#This Row],[Range1_Low]]</f>
        <v>3.0078205900878616E-8</v>
      </c>
      <c r="S2080">
        <f>Validation[[#This Row],[Range2_High]]</f>
        <v>0</v>
      </c>
      <c r="T2080" t="str" cm="1">
        <f t="array" aca="1" ref="T2080" ca="1">RoundToTwoSigFigs(Validation[[#This Row],[Test Reading]]*Validation[[#This Row],[Mult]]+Validation[[#This Row],[Base]]) &amp;" "&amp;Validation[[#This Row],[Uncert_Units]]</f>
        <v>0.21 nF</v>
      </c>
      <c r="U20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V2080" t="b">
        <f ca="1">Validation[[#This Row],[Desired Result]]=Validation[[#This Row],[Result]]</f>
        <v>1</v>
      </c>
      <c r="W2080" t="b">
        <v>1</v>
      </c>
      <c r="X2080" t="b">
        <f>Validation[[#This Row],[Range1_Low]]&gt;=Validation[[#This Row],[Range1_High]]</f>
        <v>0</v>
      </c>
      <c r="Y2080" s="111" t="s">
        <v>2843</v>
      </c>
    </row>
    <row r="2081" spans="1:25" ht="16.5" thickTop="1" thickBot="1" x14ac:dyDescent="0.3">
      <c r="A2081" t="s">
        <v>54</v>
      </c>
      <c r="B2081" t="s">
        <v>14</v>
      </c>
      <c r="C2081" s="113">
        <v>1.1000000000000001E-6</v>
      </c>
      <c r="D2081" s="113">
        <v>3.3001E-6</v>
      </c>
      <c r="E2081">
        <v>1.0000000000000001E-9</v>
      </c>
      <c r="F2081" t="s">
        <v>140</v>
      </c>
      <c r="G2081" t="s">
        <v>15</v>
      </c>
      <c r="H2081">
        <v>0</v>
      </c>
      <c r="I2081">
        <v>0</v>
      </c>
      <c r="J2081" t="s">
        <v>2833</v>
      </c>
      <c r="K2081">
        <v>3.5</v>
      </c>
      <c r="L2081">
        <v>2900000</v>
      </c>
      <c r="M2081">
        <v>3.4958</v>
      </c>
      <c r="N2081">
        <v>2881200</v>
      </c>
      <c r="O2081" t="s">
        <v>2833</v>
      </c>
      <c r="P2081" t="s">
        <v>2833</v>
      </c>
      <c r="Q2081" t="s">
        <v>2833</v>
      </c>
      <c r="R2081">
        <f ca="1">RAND()*(Validation[[#This Row],[Range1_High]]-Validation[[#This Row],[Range1_Low]])+Validation[[#This Row],[Range1_Low]]</f>
        <v>2.9691090067154446E-6</v>
      </c>
      <c r="S2081">
        <f>Validation[[#This Row],[Range2_High]]</f>
        <v>0</v>
      </c>
      <c r="T2081" t="str" cm="1">
        <f t="array" aca="1" ref="T2081" ca="1">RoundToTwoSigFigs(Validation[[#This Row],[Test Reading]]*Validation[[#This Row],[Mult]]+Validation[[#This Row],[Base]]) &amp;" "&amp;Validation[[#This Row],[Uncert_Units]]</f>
        <v>12 nF</v>
      </c>
      <c r="U20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nF</v>
      </c>
      <c r="V2081" t="b">
        <f ca="1">Validation[[#This Row],[Desired Result]]=Validation[[#This Row],[Result]]</f>
        <v>1</v>
      </c>
      <c r="W2081" t="b">
        <v>1</v>
      </c>
      <c r="X2081" t="b">
        <f>Validation[[#This Row],[Range1_Low]]&gt;=Validation[[#This Row],[Range1_High]]</f>
        <v>0</v>
      </c>
      <c r="Y2081" s="111" t="s">
        <v>2843</v>
      </c>
    </row>
    <row r="2082" spans="1:25" ht="16.5" thickTop="1" thickBot="1" x14ac:dyDescent="0.3">
      <c r="A2082" t="s">
        <v>54</v>
      </c>
      <c r="B2082" t="s">
        <v>14</v>
      </c>
      <c r="C2082" s="113">
        <v>3.3000000000000002E-2</v>
      </c>
      <c r="D2082" s="113">
        <v>0.11001</v>
      </c>
      <c r="E2082">
        <v>1.0000000000000001E-5</v>
      </c>
      <c r="F2082" t="s">
        <v>140</v>
      </c>
      <c r="G2082" t="s">
        <v>64</v>
      </c>
      <c r="H2082">
        <v>0</v>
      </c>
      <c r="I2082">
        <v>0</v>
      </c>
      <c r="J2082" t="s">
        <v>2833</v>
      </c>
      <c r="K2082">
        <v>120</v>
      </c>
      <c r="L2082">
        <v>13000</v>
      </c>
      <c r="M2082">
        <v>115.63</v>
      </c>
      <c r="N2082">
        <v>12701</v>
      </c>
      <c r="O2082" t="s">
        <v>2833</v>
      </c>
      <c r="P2082" t="s">
        <v>2833</v>
      </c>
      <c r="Q2082" t="s">
        <v>2833</v>
      </c>
      <c r="R2082">
        <f ca="1">RAND()*(Validation[[#This Row],[Range1_High]]-Validation[[#This Row],[Range1_Low]])+Validation[[#This Row],[Range1_Low]]</f>
        <v>6.8543919550930088E-2</v>
      </c>
      <c r="S2082">
        <f>Validation[[#This Row],[Range2_High]]</f>
        <v>0</v>
      </c>
      <c r="T2082" t="str" cm="1">
        <f t="array" aca="1" ref="T2082" ca="1">RoundToTwoSigFigs(Validation[[#This Row],[Test Reading]]*Validation[[#This Row],[Mult]]+Validation[[#This Row],[Base]]) &amp;" "&amp;Validation[[#This Row],[Uncert_Units]]</f>
        <v>1000 µF*</v>
      </c>
      <c r="U20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µF*</v>
      </c>
      <c r="V2082" t="b">
        <f ca="1">Validation[[#This Row],[Desired Result]]=Validation[[#This Row],[Result]]</f>
        <v>1</v>
      </c>
      <c r="W2082" t="b">
        <v>1</v>
      </c>
      <c r="X2082" t="b">
        <f>Validation[[#This Row],[Range1_Low]]&gt;=Validation[[#This Row],[Range1_High]]</f>
        <v>0</v>
      </c>
      <c r="Y2082" s="111" t="s">
        <v>2843</v>
      </c>
    </row>
    <row r="2083" spans="1:25" ht="16.5" thickTop="1" thickBot="1" x14ac:dyDescent="0.3">
      <c r="A2083" t="s">
        <v>54</v>
      </c>
      <c r="B2083" t="s">
        <v>14</v>
      </c>
      <c r="C2083">
        <v>3.3000000000000002E-6</v>
      </c>
      <c r="D2083">
        <v>1.1001E-5</v>
      </c>
      <c r="E2083">
        <v>9.9999999999999995E-7</v>
      </c>
      <c r="F2083" t="s">
        <v>140</v>
      </c>
      <c r="G2083" t="s">
        <v>15</v>
      </c>
      <c r="H2083">
        <v>0</v>
      </c>
      <c r="I2083">
        <v>0</v>
      </c>
      <c r="J2083" t="s">
        <v>2833</v>
      </c>
      <c r="K2083">
        <v>577.21</v>
      </c>
      <c r="L2083">
        <v>162540</v>
      </c>
      <c r="M2083">
        <v>577.21</v>
      </c>
      <c r="N2083">
        <v>160690</v>
      </c>
      <c r="O2083" t="s">
        <v>2833</v>
      </c>
      <c r="P2083" t="s">
        <v>2833</v>
      </c>
      <c r="Q2083" t="s">
        <v>2833</v>
      </c>
      <c r="R2083">
        <f ca="1">RAND()*(Validation[[#This Row],[Range1_High]]-Validation[[#This Row],[Range1_Low]])+Validation[[#This Row],[Range1_Low]]</f>
        <v>3.4439524272165367E-6</v>
      </c>
      <c r="S2083">
        <f>Validation[[#This Row],[Range2_High]]</f>
        <v>0</v>
      </c>
      <c r="T2083" t="str" cm="1">
        <f t="array" aca="1" ref="T2083" ca="1">RoundToTwoSigFigs(Validation[[#This Row],[Test Reading]]*Validation[[#This Row],[Mult]]+Validation[[#This Row],[Base]]) &amp;" "&amp;Validation[[#This Row],[Uncert_Units]]</f>
        <v>580 nF</v>
      </c>
      <c r="U20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V2083" t="b">
        <f ca="1">Validation[[#This Row],[Desired Result]]=Validation[[#This Row],[Result]]</f>
        <v>1</v>
      </c>
      <c r="W2083" t="b">
        <v>0</v>
      </c>
      <c r="X2083" t="b">
        <f>Validation[[#This Row],[Range1_Low]]&gt;=Validation[[#This Row],[Range1_High]]</f>
        <v>0</v>
      </c>
      <c r="Y2083" s="111" t="s">
        <v>2845</v>
      </c>
    </row>
    <row r="2084" spans="1:25" ht="16.5" thickTop="1" thickBot="1" x14ac:dyDescent="0.3">
      <c r="A2084" t="s">
        <v>68</v>
      </c>
      <c r="B2084" t="s">
        <v>14</v>
      </c>
      <c r="C2084" s="113">
        <v>9.9999999999999995E-8</v>
      </c>
      <c r="D2084" s="113">
        <v>9.9999999999999995E-7</v>
      </c>
      <c r="E2084">
        <v>1.0000000000000001E-9</v>
      </c>
      <c r="F2084" t="s">
        <v>140</v>
      </c>
      <c r="G2084" t="s">
        <v>15</v>
      </c>
      <c r="H2084">
        <v>0</v>
      </c>
      <c r="I2084">
        <v>0</v>
      </c>
      <c r="J2084" t="s">
        <v>2833</v>
      </c>
      <c r="K2084">
        <v>6.2</v>
      </c>
      <c r="L2084">
        <v>5201100</v>
      </c>
      <c r="M2084">
        <v>6.1698000000000004</v>
      </c>
      <c r="N2084">
        <v>5198400</v>
      </c>
      <c r="O2084" t="s">
        <v>2833</v>
      </c>
      <c r="P2084" t="s">
        <v>2833</v>
      </c>
      <c r="Q2084" t="s">
        <v>2833</v>
      </c>
      <c r="R2084">
        <f ca="1">RAND()*(Validation[[#This Row],[Range1_High]]-Validation[[#This Row],[Range1_Low]])+Validation[[#This Row],[Range1_Low]]</f>
        <v>2.7618556388660753E-7</v>
      </c>
      <c r="S2084">
        <f>Validation[[#This Row],[Range2_High]]</f>
        <v>0</v>
      </c>
      <c r="T2084" t="str" cm="1">
        <f t="array" aca="1" ref="T2084" ca="1">RoundToTwoSigFigs(Validation[[#This Row],[Test Reading]]*Validation[[#This Row],[Mult]]+Validation[[#This Row],[Base]]) &amp;" "&amp;Validation[[#This Row],[Uncert_Units]]</f>
        <v>7.6 nF</v>
      </c>
      <c r="U20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nF</v>
      </c>
      <c r="V2084" t="b">
        <f ca="1">Validation[[#This Row],[Desired Result]]=Validation[[#This Row],[Result]]</f>
        <v>1</v>
      </c>
      <c r="W2084" t="b">
        <v>1</v>
      </c>
      <c r="X2084" t="b">
        <f>Validation[[#This Row],[Range1_Low]]&gt;=Validation[[#This Row],[Range1_High]]</f>
        <v>0</v>
      </c>
      <c r="Y2084" s="111" t="s">
        <v>2843</v>
      </c>
    </row>
    <row r="2085" spans="1:25" ht="15.75" thickTop="1" x14ac:dyDescent="0.25">
      <c r="A2085" t="s">
        <v>54</v>
      </c>
      <c r="B2085" t="s">
        <v>14</v>
      </c>
      <c r="C2085">
        <v>3.2999999999999998E-8</v>
      </c>
      <c r="D2085">
        <v>1.1000000000000001E-7</v>
      </c>
      <c r="E2085">
        <v>1E-8</v>
      </c>
      <c r="F2085" t="s">
        <v>140</v>
      </c>
      <c r="G2085" t="s">
        <v>15</v>
      </c>
      <c r="H2085">
        <v>0</v>
      </c>
      <c r="I2085">
        <v>0</v>
      </c>
      <c r="J2085" t="s">
        <v>2833</v>
      </c>
      <c r="K2085">
        <v>5.7721999999999998</v>
      </c>
      <c r="L2085">
        <v>164700</v>
      </c>
      <c r="M2085">
        <v>5.7721</v>
      </c>
      <c r="N2085">
        <v>160690</v>
      </c>
      <c r="O2085" t="s">
        <v>2833</v>
      </c>
      <c r="P2085" t="s">
        <v>2833</v>
      </c>
      <c r="Q2085" t="s">
        <v>2833</v>
      </c>
      <c r="R2085">
        <f ca="1">RAND()*(Validation[[#This Row],[Range1_High]]-Validation[[#This Row],[Range1_Low]])+Validation[[#This Row],[Range1_Low]]</f>
        <v>5.6153514002358131E-8</v>
      </c>
      <c r="S2085">
        <f>Validation[[#This Row],[Range2_High]]</f>
        <v>0</v>
      </c>
      <c r="T2085" t="str" cm="1">
        <f t="array" aca="1" ref="T2085" ca="1">RoundToTwoSigFigs(Validation[[#This Row],[Test Reading]]*Validation[[#This Row],[Mult]]+Validation[[#This Row],[Base]]) &amp;" "&amp;Validation[[#This Row],[Uncert_Units]]</f>
        <v>5.8 nF</v>
      </c>
      <c r="U20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V2085" t="b">
        <f ca="1">Validation[[#This Row],[Desired Result]]=Validation[[#This Row],[Result]]</f>
        <v>1</v>
      </c>
      <c r="W2085" t="b">
        <v>0</v>
      </c>
      <c r="X2085" t="b">
        <f>Validation[[#This Row],[Range1_Low]]&gt;=Validation[[#This Row],[Range1_High]]</f>
        <v>0</v>
      </c>
      <c r="Y2085" s="111" t="s">
        <v>2845</v>
      </c>
    </row>
    <row r="2086" spans="1:25" ht="15.75" thickBot="1" x14ac:dyDescent="0.3">
      <c r="A2086" t="s">
        <v>54</v>
      </c>
      <c r="B2086" t="s">
        <v>14</v>
      </c>
      <c r="C2086">
        <v>1.0999999999999999E-8</v>
      </c>
      <c r="D2086">
        <v>3.2999999999999998E-8</v>
      </c>
      <c r="E2086">
        <v>1E-8</v>
      </c>
      <c r="F2086" t="s">
        <v>140</v>
      </c>
      <c r="G2086" t="s">
        <v>15</v>
      </c>
      <c r="H2086">
        <v>0</v>
      </c>
      <c r="I2086">
        <v>0</v>
      </c>
      <c r="J2086" t="s">
        <v>2833</v>
      </c>
      <c r="K2086">
        <v>5.7744999999999997</v>
      </c>
      <c r="L2086">
        <v>853270</v>
      </c>
      <c r="M2086">
        <v>5.7744</v>
      </c>
      <c r="N2086">
        <v>89445</v>
      </c>
      <c r="O2086" t="s">
        <v>2833</v>
      </c>
      <c r="P2086" t="s">
        <v>2833</v>
      </c>
      <c r="Q2086" t="s">
        <v>2833</v>
      </c>
      <c r="R2086">
        <f ca="1">RAND()*(Validation[[#This Row],[Range1_High]]-Validation[[#This Row],[Range1_Low]])+Validation[[#This Row],[Range1_Low]]</f>
        <v>2.5196804553805951E-8</v>
      </c>
      <c r="S2086">
        <f>Validation[[#This Row],[Range2_High]]</f>
        <v>0</v>
      </c>
      <c r="T2086" t="str" cm="1">
        <f t="array" aca="1" ref="T2086" ca="1">RoundToTwoSigFigs(Validation[[#This Row],[Test Reading]]*Validation[[#This Row],[Mult]]+Validation[[#This Row],[Base]]) &amp;" "&amp;Validation[[#This Row],[Uncert_Units]]</f>
        <v>5.8 nF</v>
      </c>
      <c r="U20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V2086" t="b">
        <f ca="1">Validation[[#This Row],[Desired Result]]=Validation[[#This Row],[Result]]</f>
        <v>1</v>
      </c>
      <c r="W2086" t="b">
        <v>0</v>
      </c>
      <c r="X2086" t="b">
        <f>Validation[[#This Row],[Range1_Low]]&gt;=Validation[[#This Row],[Range1_High]]</f>
        <v>0</v>
      </c>
      <c r="Y2086" s="111" t="s">
        <v>2845</v>
      </c>
    </row>
    <row r="2087" spans="1:25" ht="16.5" thickTop="1" thickBot="1" x14ac:dyDescent="0.3">
      <c r="A2087" t="s">
        <v>68</v>
      </c>
      <c r="B2087" t="s">
        <v>14</v>
      </c>
      <c r="C2087" s="113">
        <v>1E-8</v>
      </c>
      <c r="D2087" s="113">
        <v>9.9999999999999995E-8</v>
      </c>
      <c r="E2087">
        <v>9.9999999999999994E-12</v>
      </c>
      <c r="F2087" t="s">
        <v>140</v>
      </c>
      <c r="G2087" t="s">
        <v>15</v>
      </c>
      <c r="H2087">
        <v>0</v>
      </c>
      <c r="I2087">
        <v>0</v>
      </c>
      <c r="J2087" t="s">
        <v>2833</v>
      </c>
      <c r="K2087">
        <v>0.5</v>
      </c>
      <c r="L2087">
        <v>5800000</v>
      </c>
      <c r="M2087">
        <v>0.48988999999999999</v>
      </c>
      <c r="N2087">
        <v>5801600</v>
      </c>
      <c r="O2087" t="s">
        <v>2833</v>
      </c>
      <c r="P2087" t="s">
        <v>2833</v>
      </c>
      <c r="Q2087" t="s">
        <v>2833</v>
      </c>
      <c r="R2087">
        <f ca="1">RAND()*(Validation[[#This Row],[Range1_High]]-Validation[[#This Row],[Range1_Low]])+Validation[[#This Row],[Range1_Low]]</f>
        <v>1.496678147814951E-8</v>
      </c>
      <c r="S2087">
        <f>Validation[[#This Row],[Range2_High]]</f>
        <v>0</v>
      </c>
      <c r="T2087" t="str" cm="1">
        <f t="array" aca="1" ref="T2087" ca="1">RoundToTwoSigFigs(Validation[[#This Row],[Test Reading]]*Validation[[#This Row],[Mult]]+Validation[[#This Row],[Base]]) &amp;" "&amp;Validation[[#This Row],[Uncert_Units]]</f>
        <v>0.59 nF</v>
      </c>
      <c r="U20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nF</v>
      </c>
      <c r="V2087" t="b">
        <f ca="1">Validation[[#This Row],[Desired Result]]=Validation[[#This Row],[Result]]</f>
        <v>1</v>
      </c>
      <c r="W2087" t="b">
        <v>1</v>
      </c>
      <c r="X2087" t="b">
        <f>Validation[[#This Row],[Range1_Low]]&gt;=Validation[[#This Row],[Range1_High]]</f>
        <v>0</v>
      </c>
      <c r="Y2087" s="111" t="s">
        <v>2843</v>
      </c>
    </row>
    <row r="2088" spans="1:25" ht="16.5" thickTop="1" thickBot="1" x14ac:dyDescent="0.3">
      <c r="A2088" t="s">
        <v>54</v>
      </c>
      <c r="B2088" t="s">
        <v>14</v>
      </c>
      <c r="C2088" s="113">
        <v>3.3000000000000002E-6</v>
      </c>
      <c r="D2088" s="113">
        <v>1.1001E-5</v>
      </c>
      <c r="E2088">
        <v>1E-8</v>
      </c>
      <c r="F2088" t="s">
        <v>140</v>
      </c>
      <c r="G2088" t="s">
        <v>15</v>
      </c>
      <c r="H2088">
        <v>0</v>
      </c>
      <c r="I2088">
        <v>0</v>
      </c>
      <c r="J2088" t="s">
        <v>2833</v>
      </c>
      <c r="K2088">
        <v>12.429</v>
      </c>
      <c r="L2088">
        <v>2861100</v>
      </c>
      <c r="M2088">
        <v>12.500999999999999</v>
      </c>
      <c r="N2088">
        <v>2835600</v>
      </c>
      <c r="O2088" t="s">
        <v>2833</v>
      </c>
      <c r="P2088" t="s">
        <v>2833</v>
      </c>
      <c r="Q2088" t="s">
        <v>2833</v>
      </c>
      <c r="R2088">
        <f ca="1">RAND()*(Validation[[#This Row],[Range1_High]]-Validation[[#This Row],[Range1_Low]])+Validation[[#This Row],[Range1_Low]]</f>
        <v>7.8668119323499079E-6</v>
      </c>
      <c r="S2088">
        <f>Validation[[#This Row],[Range2_High]]</f>
        <v>0</v>
      </c>
      <c r="T2088" t="str" cm="1">
        <f t="array" aca="1" ref="T2088" ca="1">RoundToTwoSigFigs(Validation[[#This Row],[Test Reading]]*Validation[[#This Row],[Mult]]+Validation[[#This Row],[Base]]) &amp;" "&amp;Validation[[#This Row],[Uncert_Units]]</f>
        <v>35 nF</v>
      </c>
      <c r="U20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nF</v>
      </c>
      <c r="V2088" t="b">
        <f ca="1">Validation[[#This Row],[Desired Result]]=Validation[[#This Row],[Result]]</f>
        <v>1</v>
      </c>
      <c r="W2088" t="b">
        <v>1</v>
      </c>
      <c r="X2088" t="b">
        <f>Validation[[#This Row],[Range1_Low]]&gt;=Validation[[#This Row],[Range1_High]]</f>
        <v>0</v>
      </c>
      <c r="Y2088" s="111" t="s">
        <v>2843</v>
      </c>
    </row>
    <row r="2089" spans="1:25" ht="16.5" thickTop="1" thickBot="1" x14ac:dyDescent="0.3">
      <c r="A2089" t="s">
        <v>54</v>
      </c>
      <c r="B2089" t="s">
        <v>14</v>
      </c>
      <c r="C2089" s="113">
        <v>0.11</v>
      </c>
      <c r="D2089" s="113">
        <v>0.1101</v>
      </c>
      <c r="E2089">
        <v>1E-3</v>
      </c>
      <c r="F2089" t="s">
        <v>140</v>
      </c>
      <c r="G2089" t="s">
        <v>16</v>
      </c>
      <c r="H2089">
        <v>0</v>
      </c>
      <c r="I2089">
        <v>0</v>
      </c>
      <c r="J2089" t="s">
        <v>2833</v>
      </c>
      <c r="K2089">
        <v>430.99</v>
      </c>
      <c r="L2089">
        <v>10809</v>
      </c>
      <c r="M2089">
        <v>430.28</v>
      </c>
      <c r="N2089">
        <v>10808</v>
      </c>
      <c r="O2089" t="s">
        <v>2833</v>
      </c>
      <c r="P2089" t="s">
        <v>2833</v>
      </c>
      <c r="Q2089" t="s">
        <v>2833</v>
      </c>
      <c r="R2089">
        <f ca="1">RAND()*(Validation[[#This Row],[Range1_High]]-Validation[[#This Row],[Range1_Low]])+Validation[[#This Row],[Range1_Low]]</f>
        <v>0.11002689185105122</v>
      </c>
      <c r="S2089">
        <f>Validation[[#This Row],[Range2_High]]</f>
        <v>0</v>
      </c>
      <c r="T2089" t="str" cm="1">
        <f t="array" aca="1" ref="T2089" ca="1">RoundToTwoSigFigs(Validation[[#This Row],[Test Reading]]*Validation[[#This Row],[Mult]]+Validation[[#This Row],[Base]]) &amp;" "&amp;Validation[[#This Row],[Uncert_Units]]</f>
        <v>1600 µF</v>
      </c>
      <c r="U20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V2089" t="b">
        <f ca="1">Validation[[#This Row],[Desired Result]]=Validation[[#This Row],[Result]]</f>
        <v>1</v>
      </c>
      <c r="W2089" t="b">
        <v>1</v>
      </c>
      <c r="X2089" t="b">
        <f>Validation[[#This Row],[Range1_Low]]&gt;=Validation[[#This Row],[Range1_High]]</f>
        <v>0</v>
      </c>
      <c r="Y2089" s="111" t="s">
        <v>2843</v>
      </c>
    </row>
    <row r="2090" spans="1:25" ht="16.5" thickTop="1" thickBot="1" x14ac:dyDescent="0.3">
      <c r="A2090" t="s">
        <v>54</v>
      </c>
      <c r="B2090" t="s">
        <v>14</v>
      </c>
      <c r="C2090" s="113">
        <v>3.3E-4</v>
      </c>
      <c r="D2090" s="113">
        <v>1.1000999999999999E-3</v>
      </c>
      <c r="E2090">
        <v>1.0000000000000001E-5</v>
      </c>
      <c r="F2090" t="s">
        <v>140</v>
      </c>
      <c r="G2090" t="s">
        <v>16</v>
      </c>
      <c r="H2090">
        <v>0</v>
      </c>
      <c r="I2090">
        <v>0</v>
      </c>
      <c r="J2090" t="s">
        <v>2833</v>
      </c>
      <c r="K2090">
        <v>5.3658000000000001</v>
      </c>
      <c r="L2090">
        <v>3286.5</v>
      </c>
      <c r="M2090">
        <v>5.3640999999999996</v>
      </c>
      <c r="N2090">
        <v>3284.2</v>
      </c>
      <c r="O2090" t="s">
        <v>2833</v>
      </c>
      <c r="P2090" t="s">
        <v>2833</v>
      </c>
      <c r="Q2090" t="s">
        <v>2833</v>
      </c>
      <c r="R2090">
        <f ca="1">RAND()*(Validation[[#This Row],[Range1_High]]-Validation[[#This Row],[Range1_Low]])+Validation[[#This Row],[Range1_Low]]</f>
        <v>8.0789861101450227E-4</v>
      </c>
      <c r="S2090">
        <f>Validation[[#This Row],[Range2_High]]</f>
        <v>0</v>
      </c>
      <c r="T2090" t="str" cm="1">
        <f t="array" aca="1" ref="T2090" ca="1">RoundToTwoSigFigs(Validation[[#This Row],[Test Reading]]*Validation[[#This Row],[Mult]]+Validation[[#This Row],[Base]]) &amp;" "&amp;Validation[[#This Row],[Uncert_Units]]</f>
        <v>8 µF</v>
      </c>
      <c r="U20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µF</v>
      </c>
      <c r="V2090" t="b">
        <f ca="1">Validation[[#This Row],[Desired Result]]=Validation[[#This Row],[Result]]</f>
        <v>1</v>
      </c>
      <c r="W2090" t="b">
        <v>1</v>
      </c>
      <c r="X2090" t="b">
        <f>Validation[[#This Row],[Range1_Low]]&gt;=Validation[[#This Row],[Range1_High]]</f>
        <v>0</v>
      </c>
      <c r="Y2090" s="111" t="s">
        <v>2843</v>
      </c>
    </row>
    <row r="2091" spans="1:25" ht="16.5" thickTop="1" thickBot="1" x14ac:dyDescent="0.3">
      <c r="A2091" t="s">
        <v>68</v>
      </c>
      <c r="B2091" t="s">
        <v>14</v>
      </c>
      <c r="C2091">
        <v>1E-8</v>
      </c>
      <c r="D2091">
        <v>9.9999999999999995E-8</v>
      </c>
      <c r="E2091">
        <v>9.9999999999999995E-8</v>
      </c>
      <c r="F2091" t="s">
        <v>140</v>
      </c>
      <c r="G2091" t="s">
        <v>15</v>
      </c>
      <c r="H2091">
        <v>0</v>
      </c>
      <c r="I2091">
        <v>0</v>
      </c>
      <c r="J2091" t="s">
        <v>2833</v>
      </c>
      <c r="K2091">
        <v>57.904000000000003</v>
      </c>
      <c r="L2091">
        <v>3024300</v>
      </c>
      <c r="M2091">
        <v>57.904000000000003</v>
      </c>
      <c r="N2091">
        <v>3020400</v>
      </c>
      <c r="O2091" t="s">
        <v>2833</v>
      </c>
      <c r="P2091" t="s">
        <v>2833</v>
      </c>
      <c r="Q2091" t="s">
        <v>2833</v>
      </c>
      <c r="R2091">
        <f ca="1">RAND()*(Validation[[#This Row],[Range1_High]]-Validation[[#This Row],[Range1_Low]])+Validation[[#This Row],[Range1_Low]]</f>
        <v>6.5615263380642098E-8</v>
      </c>
      <c r="S2091">
        <f>Validation[[#This Row],[Range2_High]]</f>
        <v>0</v>
      </c>
      <c r="T2091" t="str" cm="1">
        <f t="array" aca="1" ref="T2091" ca="1">RoundToTwoSigFigs(Validation[[#This Row],[Test Reading]]*Validation[[#This Row],[Mult]]+Validation[[#This Row],[Base]]) &amp;" "&amp;Validation[[#This Row],[Uncert_Units]]</f>
        <v>58 nF</v>
      </c>
      <c r="U20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V2091" t="b">
        <f ca="1">Validation[[#This Row],[Desired Result]]=Validation[[#This Row],[Result]]</f>
        <v>1</v>
      </c>
      <c r="W2091" t="b">
        <v>0</v>
      </c>
      <c r="X2091" t="b">
        <f>Validation[[#This Row],[Range1_Low]]&gt;=Validation[[#This Row],[Range1_High]]</f>
        <v>0</v>
      </c>
      <c r="Y2091" s="111" t="s">
        <v>2845</v>
      </c>
    </row>
    <row r="2092" spans="1:25" ht="16.5" thickTop="1" thickBot="1" x14ac:dyDescent="0.3">
      <c r="A2092" t="s">
        <v>54</v>
      </c>
      <c r="B2092" t="s">
        <v>14</v>
      </c>
      <c r="C2092" s="113">
        <v>3.3000000000000003E-5</v>
      </c>
      <c r="D2092" s="113">
        <v>1.1001E-4</v>
      </c>
      <c r="E2092">
        <v>9.9999999999999995E-8</v>
      </c>
      <c r="F2092" t="s">
        <v>140</v>
      </c>
      <c r="G2092" t="s">
        <v>15</v>
      </c>
      <c r="H2092">
        <v>0</v>
      </c>
      <c r="I2092">
        <v>0</v>
      </c>
      <c r="J2092" t="s">
        <v>2833</v>
      </c>
      <c r="K2092">
        <v>121.85</v>
      </c>
      <c r="L2092">
        <v>5183200</v>
      </c>
      <c r="M2092">
        <v>122.72</v>
      </c>
      <c r="N2092">
        <v>5152800</v>
      </c>
      <c r="O2092" t="s">
        <v>2833</v>
      </c>
      <c r="P2092" t="s">
        <v>2833</v>
      </c>
      <c r="Q2092" t="s">
        <v>2833</v>
      </c>
      <c r="R2092">
        <f ca="1">RAND()*(Validation[[#This Row],[Range1_High]]-Validation[[#This Row],[Range1_Low]])+Validation[[#This Row],[Range1_Low]]</f>
        <v>6.9672203420901034E-5</v>
      </c>
      <c r="S2092">
        <f>Validation[[#This Row],[Range2_High]]</f>
        <v>0</v>
      </c>
      <c r="T2092" t="str" cm="1">
        <f t="array" aca="1" ref="T2092" ca="1">RoundToTwoSigFigs(Validation[[#This Row],[Test Reading]]*Validation[[#This Row],[Mult]]+Validation[[#This Row],[Base]]) &amp;" "&amp;Validation[[#This Row],[Uncert_Units]]</f>
        <v>480 nF</v>
      </c>
      <c r="U20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nF</v>
      </c>
      <c r="V2092" t="b">
        <f ca="1">Validation[[#This Row],[Desired Result]]=Validation[[#This Row],[Result]]</f>
        <v>1</v>
      </c>
      <c r="W2092" t="b">
        <v>1</v>
      </c>
      <c r="X2092" t="b">
        <f>Validation[[#This Row],[Range1_Low]]&gt;=Validation[[#This Row],[Range1_High]]</f>
        <v>0</v>
      </c>
      <c r="Y2092" s="111" t="s">
        <v>2843</v>
      </c>
    </row>
    <row r="2093" spans="1:25" ht="16.5" thickTop="1" thickBot="1" x14ac:dyDescent="0.3">
      <c r="A2093" t="s">
        <v>54</v>
      </c>
      <c r="B2093" t="s">
        <v>14</v>
      </c>
      <c r="C2093" s="113">
        <v>1.0999999999999999E-2</v>
      </c>
      <c r="D2093" s="113">
        <v>3.3001000000000003E-2</v>
      </c>
      <c r="E2093">
        <v>1.0000000000000001E-5</v>
      </c>
      <c r="F2093" t="s">
        <v>140</v>
      </c>
      <c r="G2093" t="s">
        <v>16</v>
      </c>
      <c r="H2093">
        <v>0</v>
      </c>
      <c r="I2093">
        <v>0</v>
      </c>
      <c r="J2093" t="s">
        <v>2833</v>
      </c>
      <c r="K2093">
        <v>35</v>
      </c>
      <c r="L2093">
        <v>8700</v>
      </c>
      <c r="M2093">
        <v>34.805999999999997</v>
      </c>
      <c r="N2093">
        <v>8658.5</v>
      </c>
      <c r="O2093" t="s">
        <v>2833</v>
      </c>
      <c r="P2093" t="s">
        <v>2833</v>
      </c>
      <c r="Q2093" t="s">
        <v>2833</v>
      </c>
      <c r="R2093">
        <f ca="1">RAND()*(Validation[[#This Row],[Range1_High]]-Validation[[#This Row],[Range1_Low]])+Validation[[#This Row],[Range1_Low]]</f>
        <v>2.6959228138799158E-2</v>
      </c>
      <c r="S2093">
        <f>Validation[[#This Row],[Range2_High]]</f>
        <v>0</v>
      </c>
      <c r="T2093" t="str" cm="1">
        <f t="array" aca="1" ref="T2093" ca="1">RoundToTwoSigFigs(Validation[[#This Row],[Test Reading]]*Validation[[#This Row],[Mult]]+Validation[[#This Row],[Base]]) &amp;" "&amp;Validation[[#This Row],[Uncert_Units]]</f>
        <v>270 µF</v>
      </c>
      <c r="U20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µF</v>
      </c>
      <c r="V2093" t="b">
        <f ca="1">Validation[[#This Row],[Desired Result]]=Validation[[#This Row],[Result]]</f>
        <v>1</v>
      </c>
      <c r="W2093" t="b">
        <v>1</v>
      </c>
      <c r="X2093" t="b">
        <f>Validation[[#This Row],[Range1_Low]]&gt;=Validation[[#This Row],[Range1_High]]</f>
        <v>0</v>
      </c>
      <c r="Y2093" s="111" t="s">
        <v>2843</v>
      </c>
    </row>
    <row r="2094" spans="1:25" ht="16.5" thickTop="1" thickBot="1" x14ac:dyDescent="0.3">
      <c r="A2094" t="s">
        <v>54</v>
      </c>
      <c r="B2094" t="s">
        <v>14</v>
      </c>
      <c r="C2094" s="113">
        <v>0.11</v>
      </c>
      <c r="D2094" s="113">
        <v>0.1101</v>
      </c>
      <c r="E2094">
        <v>1.0000000000000001E-5</v>
      </c>
      <c r="F2094" t="s">
        <v>140</v>
      </c>
      <c r="G2094" t="s">
        <v>16</v>
      </c>
      <c r="H2094">
        <v>0</v>
      </c>
      <c r="I2094">
        <v>0</v>
      </c>
      <c r="J2094" t="s">
        <v>2833</v>
      </c>
      <c r="K2094">
        <v>120</v>
      </c>
      <c r="L2094">
        <v>13000</v>
      </c>
      <c r="M2094">
        <v>115.63</v>
      </c>
      <c r="N2094">
        <v>12701</v>
      </c>
      <c r="O2094" t="s">
        <v>2833</v>
      </c>
      <c r="P2094" t="s">
        <v>2833</v>
      </c>
      <c r="Q2094" t="s">
        <v>2833</v>
      </c>
      <c r="R2094">
        <f ca="1">RAND()*(Validation[[#This Row],[Range1_High]]-Validation[[#This Row],[Range1_Low]])+Validation[[#This Row],[Range1_Low]]</f>
        <v>0.11008201006250591</v>
      </c>
      <c r="S2094">
        <f>Validation[[#This Row],[Range2_High]]</f>
        <v>0</v>
      </c>
      <c r="T2094" t="str" cm="1">
        <f t="array" aca="1" ref="T2094" ca="1">RoundToTwoSigFigs(Validation[[#This Row],[Test Reading]]*Validation[[#This Row],[Mult]]+Validation[[#This Row],[Base]]) &amp;" "&amp;Validation[[#This Row],[Uncert_Units]]</f>
        <v>1600 µF</v>
      </c>
      <c r="U20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V2094" t="b">
        <f ca="1">Validation[[#This Row],[Desired Result]]=Validation[[#This Row],[Result]]</f>
        <v>1</v>
      </c>
      <c r="W2094" t="b">
        <v>1</v>
      </c>
      <c r="X2094" t="b">
        <f>Validation[[#This Row],[Range1_Low]]&gt;=Validation[[#This Row],[Range1_High]]</f>
        <v>0</v>
      </c>
      <c r="Y2094" s="111" t="s">
        <v>2843</v>
      </c>
    </row>
    <row r="2095" spans="1:25" ht="16.5" thickTop="1" thickBot="1" x14ac:dyDescent="0.3">
      <c r="A2095" t="s">
        <v>54</v>
      </c>
      <c r="B2095" t="s">
        <v>14</v>
      </c>
      <c r="C2095">
        <v>1.1E-5</v>
      </c>
      <c r="D2095">
        <v>3.3000999999999998E-5</v>
      </c>
      <c r="E2095">
        <v>9.9999999999999995E-7</v>
      </c>
      <c r="F2095" t="s">
        <v>140</v>
      </c>
      <c r="G2095" t="s">
        <v>15</v>
      </c>
      <c r="H2095">
        <v>0</v>
      </c>
      <c r="I2095">
        <v>0</v>
      </c>
      <c r="J2095" t="s">
        <v>2833</v>
      </c>
      <c r="K2095">
        <v>572.02</v>
      </c>
      <c r="L2095">
        <v>1057800</v>
      </c>
      <c r="M2095">
        <v>572.02</v>
      </c>
      <c r="N2095">
        <v>1057200</v>
      </c>
      <c r="O2095" t="s">
        <v>2833</v>
      </c>
      <c r="P2095" t="s">
        <v>2833</v>
      </c>
      <c r="Q2095" t="s">
        <v>2833</v>
      </c>
      <c r="R2095">
        <f ca="1">RAND()*(Validation[[#This Row],[Range1_High]]-Validation[[#This Row],[Range1_Low]])+Validation[[#This Row],[Range1_Low]]</f>
        <v>1.8669815134080758E-5</v>
      </c>
      <c r="S2095">
        <f>Validation[[#This Row],[Range2_High]]</f>
        <v>0</v>
      </c>
      <c r="T2095" t="str" cm="1">
        <f t="array" aca="1" ref="T2095" ca="1">RoundToTwoSigFigs(Validation[[#This Row],[Test Reading]]*Validation[[#This Row],[Mult]]+Validation[[#This Row],[Base]]) &amp;" "&amp;Validation[[#This Row],[Uncert_Units]]</f>
        <v>590 nF</v>
      </c>
      <c r="U20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V2095" t="b">
        <f ca="1">Validation[[#This Row],[Desired Result]]=Validation[[#This Row],[Result]]</f>
        <v>1</v>
      </c>
      <c r="W2095" t="b">
        <v>0</v>
      </c>
      <c r="X2095" t="b">
        <f>Validation[[#This Row],[Range1_Low]]&gt;=Validation[[#This Row],[Range1_High]]</f>
        <v>0</v>
      </c>
      <c r="Y2095" s="111" t="s">
        <v>2845</v>
      </c>
    </row>
    <row r="2096" spans="1:25" ht="16.5" thickTop="1" thickBot="1" x14ac:dyDescent="0.3">
      <c r="A2096" t="s">
        <v>54</v>
      </c>
      <c r="B2096" t="s">
        <v>14</v>
      </c>
      <c r="C2096" s="113">
        <v>3.3000000000000002E-7</v>
      </c>
      <c r="D2096" s="113">
        <v>1.1000000000000001E-6</v>
      </c>
      <c r="E2096">
        <v>1.0000000000000001E-9</v>
      </c>
      <c r="F2096" t="s">
        <v>140</v>
      </c>
      <c r="G2096" t="s">
        <v>15</v>
      </c>
      <c r="H2096">
        <v>0</v>
      </c>
      <c r="I2096">
        <v>0</v>
      </c>
      <c r="J2096" t="s">
        <v>2833</v>
      </c>
      <c r="K2096">
        <v>1.2438</v>
      </c>
      <c r="L2096">
        <v>2860200</v>
      </c>
      <c r="M2096">
        <v>1.2501</v>
      </c>
      <c r="N2096">
        <v>2835600</v>
      </c>
      <c r="O2096" t="s">
        <v>2833</v>
      </c>
      <c r="P2096" t="s">
        <v>2833</v>
      </c>
      <c r="Q2096" t="s">
        <v>2833</v>
      </c>
      <c r="R2096">
        <f ca="1">RAND()*(Validation[[#This Row],[Range1_High]]-Validation[[#This Row],[Range1_Low]])+Validation[[#This Row],[Range1_Low]]</f>
        <v>4.1363262241474038E-7</v>
      </c>
      <c r="S2096">
        <f>Validation[[#This Row],[Range2_High]]</f>
        <v>0</v>
      </c>
      <c r="T2096" t="str" cm="1">
        <f t="array" aca="1" ref="T2096" ca="1">RoundToTwoSigFigs(Validation[[#This Row],[Test Reading]]*Validation[[#This Row],[Mult]]+Validation[[#This Row],[Base]]) &amp;" "&amp;Validation[[#This Row],[Uncert_Units]]</f>
        <v>2.4 nF</v>
      </c>
      <c r="U20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nF</v>
      </c>
      <c r="V2096" t="b">
        <f ca="1">Validation[[#This Row],[Desired Result]]=Validation[[#This Row],[Result]]</f>
        <v>1</v>
      </c>
      <c r="W2096" t="b">
        <v>1</v>
      </c>
      <c r="X2096" t="b">
        <f>Validation[[#This Row],[Range1_Low]]&gt;=Validation[[#This Row],[Range1_High]]</f>
        <v>0</v>
      </c>
      <c r="Y2096" s="111" t="s">
        <v>2843</v>
      </c>
    </row>
    <row r="2097" spans="1:25" ht="16.5" thickTop="1" thickBot="1" x14ac:dyDescent="0.3">
      <c r="A2097" t="s">
        <v>54</v>
      </c>
      <c r="B2097" t="s">
        <v>91</v>
      </c>
      <c r="C2097">
        <v>-250</v>
      </c>
      <c r="D2097">
        <v>-99.9</v>
      </c>
      <c r="E2097">
        <v>1</v>
      </c>
      <c r="F2097" t="s">
        <v>23</v>
      </c>
      <c r="G2097" t="s">
        <v>23</v>
      </c>
      <c r="H2097">
        <v>0</v>
      </c>
      <c r="I2097">
        <v>0</v>
      </c>
      <c r="J2097" t="s">
        <v>2833</v>
      </c>
      <c r="K2097">
        <v>0.82286180799999997</v>
      </c>
      <c r="L2097">
        <v>0</v>
      </c>
      <c r="M2097">
        <v>0.81816661899999998</v>
      </c>
      <c r="N2097">
        <v>0</v>
      </c>
      <c r="O2097" t="s">
        <v>2833</v>
      </c>
      <c r="P2097" t="s">
        <v>2833</v>
      </c>
      <c r="Q2097" t="s">
        <v>160</v>
      </c>
      <c r="R2097">
        <f ca="1">RAND()*(Validation[[#This Row],[Range1_High]]-Validation[[#This Row],[Range1_Low]])+Validation[[#This Row],[Range1_Low]]</f>
        <v>-127.14607364362185</v>
      </c>
      <c r="S2097">
        <f>Validation[[#This Row],[Range2_High]]</f>
        <v>0</v>
      </c>
      <c r="T2097" t="str" cm="1">
        <f t="array" aca="1" ref="T2097" ca="1">RoundToTwoSigFigs(Validation[[#This Row],[Test Reading]]*Validation[[#This Row],[Mult]]+Validation[[#This Row],[Base]]) &amp;" "&amp;Validation[[#This Row],[Uncert_Units]]</f>
        <v>0.82 °C</v>
      </c>
      <c r="U20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V2097" t="b">
        <f ca="1">Validation[[#This Row],[Desired Result]]=Validation[[#This Row],[Result]]</f>
        <v>1</v>
      </c>
      <c r="W2097" t="b">
        <v>0</v>
      </c>
      <c r="X2097" t="b">
        <f>Validation[[#This Row],[Range1_Low]]&gt;=Validation[[#This Row],[Range1_High]]</f>
        <v>0</v>
      </c>
      <c r="Y2097" s="111" t="s">
        <v>2845</v>
      </c>
    </row>
    <row r="2098" spans="1:25" ht="16.5" thickTop="1" thickBot="1" x14ac:dyDescent="0.3">
      <c r="A2098" t="s">
        <v>54</v>
      </c>
      <c r="B2098" t="s">
        <v>91</v>
      </c>
      <c r="C2098" s="113">
        <v>-25</v>
      </c>
      <c r="D2098" s="113">
        <v>350.1</v>
      </c>
      <c r="E2098">
        <v>0.1</v>
      </c>
      <c r="F2098" t="s">
        <v>23</v>
      </c>
      <c r="G2098" t="s">
        <v>23</v>
      </c>
      <c r="H2098">
        <v>0</v>
      </c>
      <c r="I2098">
        <v>0</v>
      </c>
      <c r="J2098" t="s">
        <v>2833</v>
      </c>
      <c r="K2098">
        <v>0.17588372099999999</v>
      </c>
      <c r="L2098">
        <v>0</v>
      </c>
      <c r="M2098">
        <v>0.17481572500000001</v>
      </c>
      <c r="N2098">
        <v>0</v>
      </c>
      <c r="O2098" t="s">
        <v>2833</v>
      </c>
      <c r="P2098" t="s">
        <v>2833</v>
      </c>
      <c r="Q2098" t="s">
        <v>160</v>
      </c>
      <c r="R2098">
        <f ca="1">RAND()*(Validation[[#This Row],[Range1_High]]-Validation[[#This Row],[Range1_Low]])+Validation[[#This Row],[Range1_Low]]</f>
        <v>28.7828304105021</v>
      </c>
      <c r="S2098">
        <f>Validation[[#This Row],[Range2_High]]</f>
        <v>0</v>
      </c>
      <c r="T2098" t="str" cm="1">
        <f t="array" aca="1" ref="T2098" ca="1">RoundToTwoSigFigs(Validation[[#This Row],[Test Reading]]*Validation[[#This Row],[Mult]]+Validation[[#This Row],[Base]]) &amp;" "&amp;Validation[[#This Row],[Uncert_Units]]</f>
        <v>0.18 °C</v>
      </c>
      <c r="U20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V2098" t="b">
        <f ca="1">Validation[[#This Row],[Desired Result]]=Validation[[#This Row],[Result]]</f>
        <v>1</v>
      </c>
      <c r="W2098" t="b">
        <v>1</v>
      </c>
      <c r="X2098" t="b">
        <f>Validation[[#This Row],[Range1_Low]]&gt;=Validation[[#This Row],[Range1_High]]</f>
        <v>0</v>
      </c>
      <c r="Y2098" s="111" t="s">
        <v>2843</v>
      </c>
    </row>
    <row r="2099" spans="1:25" ht="15.75" thickTop="1" x14ac:dyDescent="0.25">
      <c r="A2099" t="s">
        <v>54</v>
      </c>
      <c r="B2099" t="s">
        <v>91</v>
      </c>
      <c r="C2099">
        <v>-250</v>
      </c>
      <c r="D2099">
        <v>-99.9</v>
      </c>
      <c r="E2099">
        <v>0.1</v>
      </c>
      <c r="F2099" t="s">
        <v>23</v>
      </c>
      <c r="G2099" t="s">
        <v>23</v>
      </c>
      <c r="H2099">
        <v>0</v>
      </c>
      <c r="I2099">
        <v>0</v>
      </c>
      <c r="J2099" t="s">
        <v>2833</v>
      </c>
      <c r="K2099">
        <v>0.58422842399999997</v>
      </c>
      <c r="L2099">
        <v>0</v>
      </c>
      <c r="M2099">
        <v>0.58257756299999996</v>
      </c>
      <c r="N2099">
        <v>0</v>
      </c>
      <c r="O2099" t="s">
        <v>2833</v>
      </c>
      <c r="P2099" t="s">
        <v>2833</v>
      </c>
      <c r="Q2099" t="s">
        <v>160</v>
      </c>
      <c r="R2099">
        <f ca="1">RAND()*(Validation[[#This Row],[Range1_High]]-Validation[[#This Row],[Range1_Low]])+Validation[[#This Row],[Range1_Low]]</f>
        <v>-241.42757585811142</v>
      </c>
      <c r="S2099">
        <f>Validation[[#This Row],[Range2_High]]</f>
        <v>0</v>
      </c>
      <c r="T2099" t="str" cm="1">
        <f t="array" aca="1" ref="T2099" ca="1">RoundToTwoSigFigs(Validation[[#This Row],[Test Reading]]*Validation[[#This Row],[Mult]]+Validation[[#This Row],[Base]]) &amp;" "&amp;Validation[[#This Row],[Uncert_Units]]</f>
        <v>0.58 °C</v>
      </c>
      <c r="U20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099" t="b">
        <f ca="1">Validation[[#This Row],[Desired Result]]=Validation[[#This Row],[Result]]</f>
        <v>1</v>
      </c>
      <c r="W2099" t="b">
        <v>0</v>
      </c>
      <c r="X2099" t="b">
        <f>Validation[[#This Row],[Range1_Low]]&gt;=Validation[[#This Row],[Range1_High]]</f>
        <v>0</v>
      </c>
      <c r="Y2099" s="111" t="s">
        <v>2845</v>
      </c>
    </row>
    <row r="2100" spans="1:25" x14ac:dyDescent="0.25">
      <c r="A2100" t="s">
        <v>55</v>
      </c>
      <c r="B2100" t="s">
        <v>91</v>
      </c>
      <c r="C2100">
        <v>149.001</v>
      </c>
      <c r="D2100">
        <v>593</v>
      </c>
      <c r="E2100">
        <v>1</v>
      </c>
      <c r="F2100" t="s">
        <v>23</v>
      </c>
      <c r="G2100" t="s">
        <v>23</v>
      </c>
      <c r="H2100">
        <v>0</v>
      </c>
      <c r="I2100">
        <v>0</v>
      </c>
      <c r="J2100" t="s">
        <v>2833</v>
      </c>
      <c r="K2100">
        <v>0.57915561400000004</v>
      </c>
      <c r="L2100">
        <v>0</v>
      </c>
      <c r="M2100">
        <v>0.57841604499999999</v>
      </c>
      <c r="N2100">
        <v>0</v>
      </c>
      <c r="O2100" t="s">
        <v>2833</v>
      </c>
      <c r="P2100" t="s">
        <v>2833</v>
      </c>
      <c r="Q2100" t="s">
        <v>160</v>
      </c>
      <c r="R2100">
        <f ca="1">RAND()*(Validation[[#This Row],[Range1_High]]-Validation[[#This Row],[Range1_Low]])+Validation[[#This Row],[Range1_Low]]</f>
        <v>562.30587535343329</v>
      </c>
      <c r="S2100">
        <f>Validation[[#This Row],[Range2_High]]</f>
        <v>0</v>
      </c>
      <c r="T2100" t="str" cm="1">
        <f t="array" aca="1" ref="T2100" ca="1">RoundToTwoSigFigs(Validation[[#This Row],[Test Reading]]*Validation[[#This Row],[Mult]]+Validation[[#This Row],[Base]]) &amp;" "&amp;Validation[[#This Row],[Uncert_Units]]</f>
        <v>0.58 °C</v>
      </c>
      <c r="U2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00" t="b">
        <f ca="1">Validation[[#This Row],[Desired Result]]=Validation[[#This Row],[Result]]</f>
        <v>1</v>
      </c>
      <c r="W2100" t="b">
        <v>0</v>
      </c>
      <c r="X2100" t="b">
        <f>Validation[[#This Row],[Range1_Low]]&gt;=Validation[[#This Row],[Range1_High]]</f>
        <v>0</v>
      </c>
      <c r="Y2100" s="111" t="s">
        <v>2845</v>
      </c>
    </row>
    <row r="2101" spans="1:25" ht="15.75" thickBot="1" x14ac:dyDescent="0.3">
      <c r="A2101" t="s">
        <v>54</v>
      </c>
      <c r="B2101" t="s">
        <v>91</v>
      </c>
      <c r="C2101">
        <v>1000</v>
      </c>
      <c r="D2101">
        <v>1000.1</v>
      </c>
      <c r="E2101">
        <v>1</v>
      </c>
      <c r="F2101" t="s">
        <v>23</v>
      </c>
      <c r="G2101" t="s">
        <v>23</v>
      </c>
      <c r="H2101">
        <v>0</v>
      </c>
      <c r="I2101">
        <v>0</v>
      </c>
      <c r="J2101" t="s">
        <v>2833</v>
      </c>
      <c r="K2101">
        <v>0.62773495000000001</v>
      </c>
      <c r="L2101">
        <v>0</v>
      </c>
      <c r="M2101">
        <v>0.62705268000000003</v>
      </c>
      <c r="N2101">
        <v>0</v>
      </c>
      <c r="O2101" t="s">
        <v>2833</v>
      </c>
      <c r="P2101" t="s">
        <v>2833</v>
      </c>
      <c r="Q2101" t="s">
        <v>160</v>
      </c>
      <c r="R2101">
        <f ca="1">RAND()*(Validation[[#This Row],[Range1_High]]-Validation[[#This Row],[Range1_Low]])+Validation[[#This Row],[Range1_Low]]</f>
        <v>1000.021043195776</v>
      </c>
      <c r="S2101">
        <f>Validation[[#This Row],[Range2_High]]</f>
        <v>0</v>
      </c>
      <c r="T2101" t="str" cm="1">
        <f t="array" aca="1" ref="T2101" ca="1">RoundToTwoSigFigs(Validation[[#This Row],[Test Reading]]*Validation[[#This Row],[Mult]]+Validation[[#This Row],[Base]]) &amp;" "&amp;Validation[[#This Row],[Uncert_Units]]</f>
        <v>0.63 °C</v>
      </c>
      <c r="U2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V2101" t="b">
        <f ca="1">Validation[[#This Row],[Desired Result]]=Validation[[#This Row],[Result]]</f>
        <v>1</v>
      </c>
      <c r="W2101" t="b">
        <v>0</v>
      </c>
      <c r="X2101" t="b">
        <f>Validation[[#This Row],[Range1_Low]]&gt;=Validation[[#This Row],[Range1_High]]</f>
        <v>0</v>
      </c>
      <c r="Y2101" s="111" t="s">
        <v>2845</v>
      </c>
    </row>
    <row r="2102" spans="1:25" ht="16.5" thickTop="1" thickBot="1" x14ac:dyDescent="0.3">
      <c r="A2102" t="s">
        <v>54</v>
      </c>
      <c r="B2102" t="s">
        <v>91</v>
      </c>
      <c r="C2102" s="113">
        <v>650</v>
      </c>
      <c r="D2102" s="113">
        <v>1000</v>
      </c>
      <c r="E2102">
        <v>0.1</v>
      </c>
      <c r="F2102" t="s">
        <v>23</v>
      </c>
      <c r="G2102" t="s">
        <v>23</v>
      </c>
      <c r="H2102">
        <v>0</v>
      </c>
      <c r="I2102">
        <v>0</v>
      </c>
      <c r="J2102" t="s">
        <v>2833</v>
      </c>
      <c r="K2102">
        <v>0.25181161499999999</v>
      </c>
      <c r="L2102">
        <v>0</v>
      </c>
      <c r="M2102">
        <v>0.25138628299999999</v>
      </c>
      <c r="N2102">
        <v>0</v>
      </c>
      <c r="O2102" t="s">
        <v>2833</v>
      </c>
      <c r="P2102" t="s">
        <v>2833</v>
      </c>
      <c r="Q2102" t="s">
        <v>160</v>
      </c>
      <c r="R2102">
        <f ca="1">RAND()*(Validation[[#This Row],[Range1_High]]-Validation[[#This Row],[Range1_Low]])+Validation[[#This Row],[Range1_Low]]</f>
        <v>945.48379150210519</v>
      </c>
      <c r="S2102">
        <f>Validation[[#This Row],[Range2_High]]</f>
        <v>0</v>
      </c>
      <c r="T2102" t="str" cm="1">
        <f t="array" aca="1" ref="T2102" ca="1">RoundToTwoSigFigs(Validation[[#This Row],[Test Reading]]*Validation[[#This Row],[Mult]]+Validation[[#This Row],[Base]]) &amp;" "&amp;Validation[[#This Row],[Uncert_Units]]</f>
        <v>0.25 °C</v>
      </c>
      <c r="U2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V2102" t="b">
        <f ca="1">Validation[[#This Row],[Desired Result]]=Validation[[#This Row],[Result]]</f>
        <v>1</v>
      </c>
      <c r="W2102" t="b">
        <v>1</v>
      </c>
      <c r="X2102" t="b">
        <f>Validation[[#This Row],[Range1_Low]]&gt;=Validation[[#This Row],[Range1_High]]</f>
        <v>0</v>
      </c>
      <c r="Y2102" s="111" t="s">
        <v>2843</v>
      </c>
    </row>
    <row r="2103" spans="1:25" ht="16.5" thickTop="1" thickBot="1" x14ac:dyDescent="0.3">
      <c r="A2103" t="s">
        <v>55</v>
      </c>
      <c r="B2103" t="s">
        <v>91</v>
      </c>
      <c r="C2103">
        <v>593.00099999999998</v>
      </c>
      <c r="D2103">
        <v>1000</v>
      </c>
      <c r="E2103">
        <v>1</v>
      </c>
      <c r="F2103" t="s">
        <v>23</v>
      </c>
      <c r="G2103" t="s">
        <v>23</v>
      </c>
      <c r="H2103">
        <v>0</v>
      </c>
      <c r="I2103">
        <v>0</v>
      </c>
      <c r="J2103" t="s">
        <v>2833</v>
      </c>
      <c r="K2103">
        <v>0.57944755199999998</v>
      </c>
      <c r="L2103">
        <v>0</v>
      </c>
      <c r="M2103">
        <v>0.57870835600000003</v>
      </c>
      <c r="N2103">
        <v>0</v>
      </c>
      <c r="O2103" t="s">
        <v>2833</v>
      </c>
      <c r="P2103" t="s">
        <v>2833</v>
      </c>
      <c r="Q2103" t="s">
        <v>160</v>
      </c>
      <c r="R2103">
        <f ca="1">RAND()*(Validation[[#This Row],[Range1_High]]-Validation[[#This Row],[Range1_Low]])+Validation[[#This Row],[Range1_Low]]</f>
        <v>811.45182521052459</v>
      </c>
      <c r="S2103">
        <f>Validation[[#This Row],[Range2_High]]</f>
        <v>0</v>
      </c>
      <c r="T2103" t="str" cm="1">
        <f t="array" aca="1" ref="T2103" ca="1">RoundToTwoSigFigs(Validation[[#This Row],[Test Reading]]*Validation[[#This Row],[Mult]]+Validation[[#This Row],[Base]]) &amp;" "&amp;Validation[[#This Row],[Uncert_Units]]</f>
        <v>0.58 °C</v>
      </c>
      <c r="U2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03" t="b">
        <f ca="1">Validation[[#This Row],[Desired Result]]=Validation[[#This Row],[Result]]</f>
        <v>1</v>
      </c>
      <c r="W2103" t="b">
        <v>0</v>
      </c>
      <c r="X2103" t="b">
        <f>Validation[[#This Row],[Range1_Low]]&gt;=Validation[[#This Row],[Range1_High]]</f>
        <v>0</v>
      </c>
      <c r="Y2103" s="111" t="s">
        <v>2845</v>
      </c>
    </row>
    <row r="2104" spans="1:25" ht="16.5" thickTop="1" thickBot="1" x14ac:dyDescent="0.3">
      <c r="A2104" t="s">
        <v>54</v>
      </c>
      <c r="B2104" t="s">
        <v>91</v>
      </c>
      <c r="C2104" s="113">
        <v>-100</v>
      </c>
      <c r="D2104" s="113">
        <v>-24.9</v>
      </c>
      <c r="E2104">
        <v>0.1</v>
      </c>
      <c r="F2104" t="s">
        <v>23</v>
      </c>
      <c r="G2104" t="s">
        <v>23</v>
      </c>
      <c r="H2104">
        <v>0</v>
      </c>
      <c r="I2104">
        <v>0</v>
      </c>
      <c r="J2104" t="s">
        <v>2833</v>
      </c>
      <c r="K2104">
        <v>0.198592928</v>
      </c>
      <c r="L2104">
        <v>0</v>
      </c>
      <c r="M2104">
        <v>0.19764767999999999</v>
      </c>
      <c r="N2104">
        <v>0</v>
      </c>
      <c r="O2104" t="s">
        <v>2833</v>
      </c>
      <c r="P2104" t="s">
        <v>2833</v>
      </c>
      <c r="Q2104" t="s">
        <v>160</v>
      </c>
      <c r="R2104">
        <f ca="1">RAND()*(Validation[[#This Row],[Range1_High]]-Validation[[#This Row],[Range1_Low]])+Validation[[#This Row],[Range1_Low]]</f>
        <v>-72.880529188654037</v>
      </c>
      <c r="S2104">
        <f>Validation[[#This Row],[Range2_High]]</f>
        <v>0</v>
      </c>
      <c r="T2104" t="str" cm="1">
        <f t="array" aca="1" ref="T2104" ca="1">RoundToTwoSigFigs(Validation[[#This Row],[Test Reading]]*Validation[[#This Row],[Mult]]+Validation[[#This Row],[Base]]) &amp;" "&amp;Validation[[#This Row],[Uncert_Units]]</f>
        <v>0.2 °C</v>
      </c>
      <c r="U2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V2104" t="b">
        <f ca="1">Validation[[#This Row],[Desired Result]]=Validation[[#This Row],[Result]]</f>
        <v>1</v>
      </c>
      <c r="W2104" t="b">
        <v>1</v>
      </c>
      <c r="X2104" t="b">
        <f>Validation[[#This Row],[Range1_Low]]&gt;=Validation[[#This Row],[Range1_High]]</f>
        <v>0</v>
      </c>
      <c r="Y2104" s="111" t="s">
        <v>2843</v>
      </c>
    </row>
    <row r="2105" spans="1:25" ht="16.5" thickTop="1" thickBot="1" x14ac:dyDescent="0.3">
      <c r="A2105" t="s">
        <v>54</v>
      </c>
      <c r="B2105" t="s">
        <v>91</v>
      </c>
      <c r="C2105" s="113">
        <v>-25</v>
      </c>
      <c r="D2105" s="113">
        <v>350.1</v>
      </c>
      <c r="E2105">
        <v>1</v>
      </c>
      <c r="F2105" t="s">
        <v>23</v>
      </c>
      <c r="G2105" t="s">
        <v>23</v>
      </c>
      <c r="H2105">
        <v>0</v>
      </c>
      <c r="I2105">
        <v>0</v>
      </c>
      <c r="J2105" t="s">
        <v>2833</v>
      </c>
      <c r="K2105">
        <v>0.60171315400000003</v>
      </c>
      <c r="L2105">
        <v>0</v>
      </c>
      <c r="M2105">
        <v>0.60046693299999998</v>
      </c>
      <c r="N2105">
        <v>0</v>
      </c>
      <c r="O2105" t="s">
        <v>2833</v>
      </c>
      <c r="P2105" t="s">
        <v>2833</v>
      </c>
      <c r="Q2105" t="s">
        <v>160</v>
      </c>
      <c r="R2105">
        <f ca="1">RAND()*(Validation[[#This Row],[Range1_High]]-Validation[[#This Row],[Range1_Low]])+Validation[[#This Row],[Range1_Low]]</f>
        <v>280.26592830955332</v>
      </c>
      <c r="S2105">
        <f>Validation[[#This Row],[Range2_High]]</f>
        <v>0</v>
      </c>
      <c r="T2105" t="str" cm="1">
        <f t="array" aca="1" ref="T2105" ca="1">RoundToTwoSigFigs(Validation[[#This Row],[Test Reading]]*Validation[[#This Row],[Mult]]+Validation[[#This Row],[Base]]) &amp;" "&amp;Validation[[#This Row],[Uncert_Units]]</f>
        <v>0.6 °C</v>
      </c>
      <c r="U2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2105" t="b">
        <f ca="1">Validation[[#This Row],[Desired Result]]=Validation[[#This Row],[Result]]</f>
        <v>1</v>
      </c>
      <c r="W2105" t="b">
        <v>1</v>
      </c>
      <c r="X2105" t="b">
        <f>Validation[[#This Row],[Range1_Low]]&gt;=Validation[[#This Row],[Range1_High]]</f>
        <v>0</v>
      </c>
      <c r="Y2105" s="111" t="s">
        <v>2843</v>
      </c>
    </row>
    <row r="2106" spans="1:25" ht="16.5" thickTop="1" thickBot="1" x14ac:dyDescent="0.3">
      <c r="A2106" t="s">
        <v>54</v>
      </c>
      <c r="B2106" t="s">
        <v>91</v>
      </c>
      <c r="C2106" s="113">
        <v>-100</v>
      </c>
      <c r="D2106" s="113">
        <v>-24.9</v>
      </c>
      <c r="E2106">
        <v>1</v>
      </c>
      <c r="F2106" t="s">
        <v>23</v>
      </c>
      <c r="G2106" t="s">
        <v>23</v>
      </c>
      <c r="H2106">
        <v>0</v>
      </c>
      <c r="I2106">
        <v>0</v>
      </c>
      <c r="J2106" t="s">
        <v>2833</v>
      </c>
      <c r="K2106">
        <v>0.60873868600000003</v>
      </c>
      <c r="L2106">
        <v>0</v>
      </c>
      <c r="M2106">
        <v>0.60750687699999995</v>
      </c>
      <c r="N2106">
        <v>0</v>
      </c>
      <c r="O2106" t="s">
        <v>2833</v>
      </c>
      <c r="P2106" t="s">
        <v>2833</v>
      </c>
      <c r="Q2106" t="s">
        <v>160</v>
      </c>
      <c r="R2106">
        <f ca="1">RAND()*(Validation[[#This Row],[Range1_High]]-Validation[[#This Row],[Range1_Low]])+Validation[[#This Row],[Range1_Low]]</f>
        <v>-40.345291058525291</v>
      </c>
      <c r="S2106">
        <f>Validation[[#This Row],[Range2_High]]</f>
        <v>0</v>
      </c>
      <c r="T2106" t="str" cm="1">
        <f t="array" aca="1" ref="T2106" ca="1">RoundToTwoSigFigs(Validation[[#This Row],[Test Reading]]*Validation[[#This Row],[Mult]]+Validation[[#This Row],[Base]]) &amp;" "&amp;Validation[[#This Row],[Uncert_Units]]</f>
        <v>0.61 °C</v>
      </c>
      <c r="U2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2106" t="b">
        <f ca="1">Validation[[#This Row],[Desired Result]]=Validation[[#This Row],[Result]]</f>
        <v>1</v>
      </c>
      <c r="W2106" t="b">
        <v>1</v>
      </c>
      <c r="X2106" t="b">
        <f>Validation[[#This Row],[Range1_Low]]&gt;=Validation[[#This Row],[Range1_High]]</f>
        <v>0</v>
      </c>
      <c r="Y2106" s="111" t="s">
        <v>2843</v>
      </c>
    </row>
    <row r="2107" spans="1:25" ht="16.5" thickTop="1" thickBot="1" x14ac:dyDescent="0.3">
      <c r="A2107" t="s">
        <v>54</v>
      </c>
      <c r="B2107" t="s">
        <v>90</v>
      </c>
      <c r="C2107" s="113">
        <v>-100</v>
      </c>
      <c r="D2107" s="113">
        <v>-29.9</v>
      </c>
      <c r="E2107">
        <v>0.1</v>
      </c>
      <c r="F2107" t="s">
        <v>23</v>
      </c>
      <c r="G2107" t="s">
        <v>23</v>
      </c>
      <c r="H2107">
        <v>0</v>
      </c>
      <c r="I2107">
        <v>0</v>
      </c>
      <c r="J2107" t="s">
        <v>2833</v>
      </c>
      <c r="K2107">
        <v>0.20265709500000001</v>
      </c>
      <c r="L2107">
        <v>0</v>
      </c>
      <c r="M2107">
        <v>0.19649070799999999</v>
      </c>
      <c r="N2107">
        <v>0</v>
      </c>
      <c r="O2107" t="s">
        <v>2833</v>
      </c>
      <c r="P2107" t="s">
        <v>2833</v>
      </c>
      <c r="Q2107" t="s">
        <v>161</v>
      </c>
      <c r="R2107">
        <f ca="1">RAND()*(Validation[[#This Row],[Range1_High]]-Validation[[#This Row],[Range1_Low]])+Validation[[#This Row],[Range1_Low]]</f>
        <v>-71.14511739961516</v>
      </c>
      <c r="S2107">
        <f>Validation[[#This Row],[Range2_High]]</f>
        <v>0</v>
      </c>
      <c r="T2107" t="str" cm="1">
        <f t="array" aca="1" ref="T2107" ca="1">RoundToTwoSigFigs(Validation[[#This Row],[Test Reading]]*Validation[[#This Row],[Mult]]+Validation[[#This Row],[Base]]) &amp;" "&amp;Validation[[#This Row],[Uncert_Units]]</f>
        <v>0.2 °C</v>
      </c>
      <c r="U2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V2107" t="b">
        <f ca="1">Validation[[#This Row],[Desired Result]]=Validation[[#This Row],[Result]]</f>
        <v>1</v>
      </c>
      <c r="W2107" t="b">
        <v>1</v>
      </c>
      <c r="X2107" t="b">
        <f>Validation[[#This Row],[Range1_Low]]&gt;=Validation[[#This Row],[Range1_High]]</f>
        <v>0</v>
      </c>
      <c r="Y2107" s="111" t="s">
        <v>2843</v>
      </c>
    </row>
    <row r="2108" spans="1:25" ht="16.5" thickTop="1" thickBot="1" x14ac:dyDescent="0.3">
      <c r="A2108" t="s">
        <v>54</v>
      </c>
      <c r="B2108" t="s">
        <v>90</v>
      </c>
      <c r="C2108" s="113">
        <v>760</v>
      </c>
      <c r="D2108" s="113">
        <v>1200</v>
      </c>
      <c r="E2108">
        <v>1</v>
      </c>
      <c r="F2108" t="s">
        <v>23</v>
      </c>
      <c r="G2108" t="s">
        <v>23</v>
      </c>
      <c r="H2108">
        <v>0</v>
      </c>
      <c r="I2108">
        <v>0</v>
      </c>
      <c r="J2108" t="s">
        <v>2833</v>
      </c>
      <c r="K2108">
        <v>0.63853594400000002</v>
      </c>
      <c r="L2108">
        <v>0</v>
      </c>
      <c r="M2108">
        <v>0.636353528</v>
      </c>
      <c r="N2108">
        <v>0</v>
      </c>
      <c r="O2108" t="s">
        <v>2833</v>
      </c>
      <c r="P2108" t="s">
        <v>2833</v>
      </c>
      <c r="Q2108" t="s">
        <v>161</v>
      </c>
      <c r="R2108">
        <f ca="1">RAND()*(Validation[[#This Row],[Range1_High]]-Validation[[#This Row],[Range1_Low]])+Validation[[#This Row],[Range1_Low]]</f>
        <v>1165.009121186536</v>
      </c>
      <c r="S2108">
        <f>Validation[[#This Row],[Range2_High]]</f>
        <v>0</v>
      </c>
      <c r="T2108" t="str" cm="1">
        <f t="array" aca="1" ref="T2108" ca="1">RoundToTwoSigFigs(Validation[[#This Row],[Test Reading]]*Validation[[#This Row],[Mult]]+Validation[[#This Row],[Base]]) &amp;" "&amp;Validation[[#This Row],[Uncert_Units]]</f>
        <v>0.64 °C</v>
      </c>
      <c r="U2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V2108" t="b">
        <f ca="1">Validation[[#This Row],[Desired Result]]=Validation[[#This Row],[Result]]</f>
        <v>1</v>
      </c>
      <c r="W2108" t="b">
        <v>1</v>
      </c>
      <c r="X2108" t="b">
        <f>Validation[[#This Row],[Range1_Low]]&gt;=Validation[[#This Row],[Range1_High]]</f>
        <v>0</v>
      </c>
      <c r="Y2108" s="111" t="s">
        <v>2843</v>
      </c>
    </row>
    <row r="2109" spans="1:25" ht="16.5" thickTop="1" thickBot="1" x14ac:dyDescent="0.3">
      <c r="A2109" t="s">
        <v>54</v>
      </c>
      <c r="B2109" t="s">
        <v>90</v>
      </c>
      <c r="C2109" s="113">
        <v>-30</v>
      </c>
      <c r="D2109" s="113">
        <v>150.1</v>
      </c>
      <c r="E2109">
        <v>0.1</v>
      </c>
      <c r="F2109" t="s">
        <v>23</v>
      </c>
      <c r="G2109" t="s">
        <v>23</v>
      </c>
      <c r="H2109">
        <v>0</v>
      </c>
      <c r="I2109">
        <v>0</v>
      </c>
      <c r="J2109" t="s">
        <v>2833</v>
      </c>
      <c r="K2109">
        <v>0.18177460600000001</v>
      </c>
      <c r="L2109">
        <v>0</v>
      </c>
      <c r="M2109">
        <v>0.17487340400000001</v>
      </c>
      <c r="N2109">
        <v>0</v>
      </c>
      <c r="O2109" t="s">
        <v>2833</v>
      </c>
      <c r="P2109" t="s">
        <v>2833</v>
      </c>
      <c r="Q2109" t="s">
        <v>161</v>
      </c>
      <c r="R2109">
        <f ca="1">RAND()*(Validation[[#This Row],[Range1_High]]-Validation[[#This Row],[Range1_Low]])+Validation[[#This Row],[Range1_Low]]</f>
        <v>116.40941289708914</v>
      </c>
      <c r="S2109">
        <f>Validation[[#This Row],[Range2_High]]</f>
        <v>0</v>
      </c>
      <c r="T2109" t="str" cm="1">
        <f t="array" aca="1" ref="T2109" ca="1">RoundToTwoSigFigs(Validation[[#This Row],[Test Reading]]*Validation[[#This Row],[Mult]]+Validation[[#This Row],[Base]]) &amp;" "&amp;Validation[[#This Row],[Uncert_Units]]</f>
        <v>0.18 °C</v>
      </c>
      <c r="U2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V2109" t="b">
        <f ca="1">Validation[[#This Row],[Desired Result]]=Validation[[#This Row],[Result]]</f>
        <v>1</v>
      </c>
      <c r="W2109" t="b">
        <v>1</v>
      </c>
      <c r="X2109" t="b">
        <f>Validation[[#This Row],[Range1_Low]]&gt;=Validation[[#This Row],[Range1_High]]</f>
        <v>0</v>
      </c>
      <c r="Y2109" s="111" t="s">
        <v>2843</v>
      </c>
    </row>
    <row r="2110" spans="1:25" ht="16.5" thickTop="1" thickBot="1" x14ac:dyDescent="0.3">
      <c r="A2110" t="s">
        <v>54</v>
      </c>
      <c r="B2110" t="s">
        <v>90</v>
      </c>
      <c r="C2110">
        <v>-210</v>
      </c>
      <c r="D2110">
        <v>-99.9</v>
      </c>
      <c r="E2110">
        <v>1</v>
      </c>
      <c r="F2110" t="s">
        <v>23</v>
      </c>
      <c r="G2110" t="s">
        <v>23</v>
      </c>
      <c r="H2110">
        <v>0</v>
      </c>
      <c r="I2110">
        <v>0</v>
      </c>
      <c r="J2110" t="s">
        <v>2833</v>
      </c>
      <c r="K2110">
        <v>0.66767094000000005</v>
      </c>
      <c r="L2110">
        <v>0</v>
      </c>
      <c r="M2110">
        <v>0.65733310899999997</v>
      </c>
      <c r="N2110">
        <v>0</v>
      </c>
      <c r="O2110" t="s">
        <v>2833</v>
      </c>
      <c r="P2110" t="s">
        <v>2833</v>
      </c>
      <c r="Q2110" t="s">
        <v>161</v>
      </c>
      <c r="R2110">
        <f ca="1">RAND()*(Validation[[#This Row],[Range1_High]]-Validation[[#This Row],[Range1_Low]])+Validation[[#This Row],[Range1_Low]]</f>
        <v>-103.34361382583229</v>
      </c>
      <c r="S2110">
        <f>Validation[[#This Row],[Range2_High]]</f>
        <v>0</v>
      </c>
      <c r="T2110" t="str" cm="1">
        <f t="array" aca="1" ref="T2110" ca="1">RoundToTwoSigFigs(Validation[[#This Row],[Test Reading]]*Validation[[#This Row],[Mult]]+Validation[[#This Row],[Base]]) &amp;" "&amp;Validation[[#This Row],[Uncert_Units]]</f>
        <v>0.67 °C</v>
      </c>
      <c r="U2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V2110" t="b">
        <f ca="1">Validation[[#This Row],[Desired Result]]=Validation[[#This Row],[Result]]</f>
        <v>1</v>
      </c>
      <c r="W2110" t="b">
        <v>0</v>
      </c>
      <c r="X2110" t="b">
        <f>Validation[[#This Row],[Range1_Low]]&gt;=Validation[[#This Row],[Range1_High]]</f>
        <v>0</v>
      </c>
      <c r="Y2110" s="111" t="s">
        <v>2845</v>
      </c>
    </row>
    <row r="2111" spans="1:25" ht="16.5" thickTop="1" thickBot="1" x14ac:dyDescent="0.3">
      <c r="A2111" t="s">
        <v>54</v>
      </c>
      <c r="B2111" t="s">
        <v>90</v>
      </c>
      <c r="C2111" s="113">
        <v>-100</v>
      </c>
      <c r="D2111" s="113">
        <v>-29.9</v>
      </c>
      <c r="E2111">
        <v>1</v>
      </c>
      <c r="F2111" t="s">
        <v>23</v>
      </c>
      <c r="G2111" t="s">
        <v>23</v>
      </c>
      <c r="H2111">
        <v>0</v>
      </c>
      <c r="I2111">
        <v>0</v>
      </c>
      <c r="J2111" t="s">
        <v>2833</v>
      </c>
      <c r="K2111">
        <v>0.61518598599999996</v>
      </c>
      <c r="L2111">
        <v>0</v>
      </c>
      <c r="M2111">
        <v>0.60713145099999999</v>
      </c>
      <c r="N2111">
        <v>0</v>
      </c>
      <c r="O2111" t="s">
        <v>2833</v>
      </c>
      <c r="P2111" t="s">
        <v>2833</v>
      </c>
      <c r="Q2111" t="s">
        <v>161</v>
      </c>
      <c r="R2111">
        <f ca="1">RAND()*(Validation[[#This Row],[Range1_High]]-Validation[[#This Row],[Range1_Low]])+Validation[[#This Row],[Range1_Low]]</f>
        <v>-99.256222974067427</v>
      </c>
      <c r="S2111">
        <f>Validation[[#This Row],[Range2_High]]</f>
        <v>0</v>
      </c>
      <c r="T2111" t="str" cm="1">
        <f t="array" aca="1" ref="T2111" ca="1">RoundToTwoSigFigs(Validation[[#This Row],[Test Reading]]*Validation[[#This Row],[Mult]]+Validation[[#This Row],[Base]]) &amp;" "&amp;Validation[[#This Row],[Uncert_Units]]</f>
        <v>0.62 °C</v>
      </c>
      <c r="U2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V2111" t="b">
        <f ca="1">Validation[[#This Row],[Desired Result]]=Validation[[#This Row],[Result]]</f>
        <v>1</v>
      </c>
      <c r="W2111" t="b">
        <v>1</v>
      </c>
      <c r="X2111" t="b">
        <f>Validation[[#This Row],[Range1_Low]]&gt;=Validation[[#This Row],[Range1_High]]</f>
        <v>0</v>
      </c>
      <c r="Y2111" s="111" t="s">
        <v>2843</v>
      </c>
    </row>
    <row r="2112" spans="1:25" ht="15.75" thickTop="1" x14ac:dyDescent="0.25">
      <c r="A2112" t="s">
        <v>55</v>
      </c>
      <c r="B2112" t="s">
        <v>90</v>
      </c>
      <c r="C2112">
        <v>732.00099999999998</v>
      </c>
      <c r="D2112">
        <v>1200</v>
      </c>
      <c r="E2112">
        <v>1</v>
      </c>
      <c r="F2112" t="s">
        <v>23</v>
      </c>
      <c r="G2112" t="s">
        <v>23</v>
      </c>
      <c r="H2112">
        <v>0</v>
      </c>
      <c r="I2112">
        <v>0</v>
      </c>
      <c r="J2112" t="s">
        <v>2833</v>
      </c>
      <c r="K2112">
        <v>0.58131823999999999</v>
      </c>
      <c r="L2112">
        <v>0</v>
      </c>
      <c r="M2112">
        <v>0.57892016499999999</v>
      </c>
      <c r="N2112">
        <v>0</v>
      </c>
      <c r="O2112" t="s">
        <v>2833</v>
      </c>
      <c r="P2112" t="s">
        <v>2833</v>
      </c>
      <c r="Q2112" t="s">
        <v>161</v>
      </c>
      <c r="R2112">
        <f ca="1">RAND()*(Validation[[#This Row],[Range1_High]]-Validation[[#This Row],[Range1_Low]])+Validation[[#This Row],[Range1_Low]]</f>
        <v>869.07157834815519</v>
      </c>
      <c r="S2112">
        <f>Validation[[#This Row],[Range2_High]]</f>
        <v>0</v>
      </c>
      <c r="T2112" t="str" cm="1">
        <f t="array" aca="1" ref="T2112" ca="1">RoundToTwoSigFigs(Validation[[#This Row],[Test Reading]]*Validation[[#This Row],[Mult]]+Validation[[#This Row],[Base]]) &amp;" "&amp;Validation[[#This Row],[Uncert_Units]]</f>
        <v>0.58 °C</v>
      </c>
      <c r="U2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12" t="b">
        <f ca="1">Validation[[#This Row],[Desired Result]]=Validation[[#This Row],[Result]]</f>
        <v>1</v>
      </c>
      <c r="W2112" t="b">
        <v>0</v>
      </c>
      <c r="X2112" t="b">
        <f>Validation[[#This Row],[Range1_Low]]&gt;=Validation[[#This Row],[Range1_High]]</f>
        <v>0</v>
      </c>
      <c r="Y2112" s="111" t="s">
        <v>2845</v>
      </c>
    </row>
    <row r="2113" spans="1:25" ht="15.75" thickBot="1" x14ac:dyDescent="0.3">
      <c r="A2113" t="s">
        <v>55</v>
      </c>
      <c r="B2113" t="s">
        <v>90</v>
      </c>
      <c r="C2113">
        <v>260</v>
      </c>
      <c r="D2113">
        <v>732</v>
      </c>
      <c r="E2113">
        <v>0.1</v>
      </c>
      <c r="F2113" t="s">
        <v>23</v>
      </c>
      <c r="G2113" t="s">
        <v>23</v>
      </c>
      <c r="H2113">
        <v>0</v>
      </c>
      <c r="I2113">
        <v>0</v>
      </c>
      <c r="J2113" t="s">
        <v>2833</v>
      </c>
      <c r="K2113">
        <v>7.3715325999999998E-2</v>
      </c>
      <c r="L2113">
        <v>0</v>
      </c>
      <c r="M2113">
        <v>6.8215379000000007E-2</v>
      </c>
      <c r="N2113">
        <v>0</v>
      </c>
      <c r="O2113" t="s">
        <v>2833</v>
      </c>
      <c r="P2113" t="s">
        <v>2833</v>
      </c>
      <c r="Q2113" t="s">
        <v>161</v>
      </c>
      <c r="R2113">
        <f ca="1">RAND()*(Validation[[#This Row],[Range1_High]]-Validation[[#This Row],[Range1_Low]])+Validation[[#This Row],[Range1_Low]]</f>
        <v>588.14917696499401</v>
      </c>
      <c r="S2113">
        <f>Validation[[#This Row],[Range2_High]]</f>
        <v>0</v>
      </c>
      <c r="T2113" t="str" cm="1">
        <f t="array" aca="1" ref="T2113" ca="1">RoundToTwoSigFigs(Validation[[#This Row],[Test Reading]]*Validation[[#This Row],[Mult]]+Validation[[#This Row],[Base]]) &amp;" "&amp;Validation[[#This Row],[Uncert_Units]]</f>
        <v>0.074 °C</v>
      </c>
      <c r="U2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V2113" t="b">
        <f ca="1">Validation[[#This Row],[Desired Result]]=Validation[[#This Row],[Result]]</f>
        <v>1</v>
      </c>
      <c r="W2113" t="b">
        <v>0</v>
      </c>
      <c r="X2113" t="b">
        <f>Validation[[#This Row],[Range1_Low]]&gt;=Validation[[#This Row],[Range1_High]]</f>
        <v>0</v>
      </c>
      <c r="Y2113" s="111" t="s">
        <v>2845</v>
      </c>
    </row>
    <row r="2114" spans="1:25" ht="16.5" thickTop="1" thickBot="1" x14ac:dyDescent="0.3">
      <c r="A2114" t="s">
        <v>54</v>
      </c>
      <c r="B2114" t="s">
        <v>90</v>
      </c>
      <c r="C2114" s="113">
        <v>150</v>
      </c>
      <c r="D2114" s="113">
        <v>760.1</v>
      </c>
      <c r="E2114">
        <v>0.1</v>
      </c>
      <c r="F2114" t="s">
        <v>23</v>
      </c>
      <c r="G2114" t="s">
        <v>23</v>
      </c>
      <c r="H2114">
        <v>0</v>
      </c>
      <c r="I2114">
        <v>0</v>
      </c>
      <c r="J2114" t="s">
        <v>2833</v>
      </c>
      <c r="K2114">
        <v>0.208895572</v>
      </c>
      <c r="L2114">
        <v>0</v>
      </c>
      <c r="M2114">
        <v>0.20722397400000001</v>
      </c>
      <c r="N2114">
        <v>0</v>
      </c>
      <c r="O2114" t="s">
        <v>2833</v>
      </c>
      <c r="P2114" t="s">
        <v>2833</v>
      </c>
      <c r="Q2114" t="s">
        <v>161</v>
      </c>
      <c r="R2114">
        <f ca="1">RAND()*(Validation[[#This Row],[Range1_High]]-Validation[[#This Row],[Range1_Low]])+Validation[[#This Row],[Range1_Low]]</f>
        <v>631.59152027136133</v>
      </c>
      <c r="S2114">
        <f>Validation[[#This Row],[Range2_High]]</f>
        <v>0</v>
      </c>
      <c r="T2114" t="str" cm="1">
        <f t="array" aca="1" ref="T2114" ca="1">RoundToTwoSigFigs(Validation[[#This Row],[Test Reading]]*Validation[[#This Row],[Mult]]+Validation[[#This Row],[Base]]) &amp;" "&amp;Validation[[#This Row],[Uncert_Units]]</f>
        <v>0.21 °C</v>
      </c>
      <c r="U2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V2114" t="b">
        <f ca="1">Validation[[#This Row],[Desired Result]]=Validation[[#This Row],[Result]]</f>
        <v>1</v>
      </c>
      <c r="W2114" t="b">
        <v>1</v>
      </c>
      <c r="X2114" t="b">
        <f>Validation[[#This Row],[Range1_Low]]&gt;=Validation[[#This Row],[Range1_High]]</f>
        <v>0</v>
      </c>
      <c r="Y2114" s="111" t="s">
        <v>2843</v>
      </c>
    </row>
    <row r="2115" spans="1:25" ht="16.5" thickTop="1" thickBot="1" x14ac:dyDescent="0.3">
      <c r="A2115" t="s">
        <v>55</v>
      </c>
      <c r="B2115" t="s">
        <v>89</v>
      </c>
      <c r="C2115">
        <v>260</v>
      </c>
      <c r="D2115">
        <v>816</v>
      </c>
      <c r="E2115">
        <v>1</v>
      </c>
      <c r="F2115" t="s">
        <v>23</v>
      </c>
      <c r="G2115" t="s">
        <v>23</v>
      </c>
      <c r="H2115">
        <v>0</v>
      </c>
      <c r="I2115">
        <v>0</v>
      </c>
      <c r="J2115" t="s">
        <v>2833</v>
      </c>
      <c r="K2115">
        <v>0.58440896799999997</v>
      </c>
      <c r="L2115">
        <v>0</v>
      </c>
      <c r="M2115">
        <v>0.57870461699999998</v>
      </c>
      <c r="N2115">
        <v>0</v>
      </c>
      <c r="O2115" t="s">
        <v>2833</v>
      </c>
      <c r="P2115" t="s">
        <v>2833</v>
      </c>
      <c r="Q2115" t="s">
        <v>111</v>
      </c>
      <c r="R2115">
        <f ca="1">RAND()*(Validation[[#This Row],[Range1_High]]-Validation[[#This Row],[Range1_Low]])+Validation[[#This Row],[Range1_Low]]</f>
        <v>524.51886063446705</v>
      </c>
      <c r="S2115">
        <f>Validation[[#This Row],[Range2_High]]</f>
        <v>0</v>
      </c>
      <c r="T2115" t="str" cm="1">
        <f t="array" aca="1" ref="T2115" ca="1">RoundToTwoSigFigs(Validation[[#This Row],[Test Reading]]*Validation[[#This Row],[Mult]]+Validation[[#This Row],[Base]]) &amp;" "&amp;Validation[[#This Row],[Uncert_Units]]</f>
        <v>0.58 °C</v>
      </c>
      <c r="U2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15" t="b">
        <f ca="1">Validation[[#This Row],[Desired Result]]=Validation[[#This Row],[Result]]</f>
        <v>1</v>
      </c>
      <c r="W2115" t="b">
        <v>0</v>
      </c>
      <c r="X2115" t="b">
        <f>Validation[[#This Row],[Range1_Low]]&gt;=Validation[[#This Row],[Range1_High]]</f>
        <v>0</v>
      </c>
      <c r="Y2115" s="111" t="s">
        <v>2845</v>
      </c>
    </row>
    <row r="2116" spans="1:25" ht="16.5" thickTop="1" thickBot="1" x14ac:dyDescent="0.3">
      <c r="A2116" t="s">
        <v>54</v>
      </c>
      <c r="B2116" t="s">
        <v>89</v>
      </c>
      <c r="C2116" s="113">
        <v>120</v>
      </c>
      <c r="D2116" s="113">
        <v>1000.1</v>
      </c>
      <c r="E2116">
        <v>1</v>
      </c>
      <c r="F2116" t="s">
        <v>23</v>
      </c>
      <c r="G2116" t="s">
        <v>23</v>
      </c>
      <c r="H2116">
        <v>0</v>
      </c>
      <c r="I2116">
        <v>0</v>
      </c>
      <c r="J2116" t="s">
        <v>2833</v>
      </c>
      <c r="K2116">
        <v>0.65668817199999996</v>
      </c>
      <c r="L2116">
        <v>0</v>
      </c>
      <c r="M2116">
        <v>0.65161687099999999</v>
      </c>
      <c r="N2116">
        <v>0</v>
      </c>
      <c r="O2116" t="s">
        <v>2833</v>
      </c>
      <c r="P2116" t="s">
        <v>2833</v>
      </c>
      <c r="Q2116" t="s">
        <v>111</v>
      </c>
      <c r="R2116">
        <f ca="1">RAND()*(Validation[[#This Row],[Range1_High]]-Validation[[#This Row],[Range1_Low]])+Validation[[#This Row],[Range1_Low]]</f>
        <v>978.64498305872917</v>
      </c>
      <c r="S2116">
        <f>Validation[[#This Row],[Range2_High]]</f>
        <v>0</v>
      </c>
      <c r="T2116" t="str" cm="1">
        <f t="array" aca="1" ref="T2116" ca="1">RoundToTwoSigFigs(Validation[[#This Row],[Test Reading]]*Validation[[#This Row],[Mult]]+Validation[[#This Row],[Base]]) &amp;" "&amp;Validation[[#This Row],[Uncert_Units]]</f>
        <v>0.66 °C</v>
      </c>
      <c r="U2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V2116" t="b">
        <f ca="1">Validation[[#This Row],[Desired Result]]=Validation[[#This Row],[Result]]</f>
        <v>1</v>
      </c>
      <c r="W2116" t="b">
        <v>1</v>
      </c>
      <c r="X2116" t="b">
        <f>Validation[[#This Row],[Range1_Low]]&gt;=Validation[[#This Row],[Range1_High]]</f>
        <v>0</v>
      </c>
      <c r="Y2116" s="111" t="s">
        <v>2843</v>
      </c>
    </row>
    <row r="2117" spans="1:25" ht="15.75" thickTop="1" x14ac:dyDescent="0.25">
      <c r="A2117" t="s">
        <v>55</v>
      </c>
      <c r="B2117" t="s">
        <v>89</v>
      </c>
      <c r="C2117">
        <v>260</v>
      </c>
      <c r="D2117">
        <v>816</v>
      </c>
      <c r="E2117">
        <v>0.1</v>
      </c>
      <c r="F2117" t="s">
        <v>23</v>
      </c>
      <c r="G2117" t="s">
        <v>23</v>
      </c>
      <c r="H2117">
        <v>0</v>
      </c>
      <c r="I2117">
        <v>0</v>
      </c>
      <c r="J2117" t="s">
        <v>2833</v>
      </c>
      <c r="K2117">
        <v>8.0979847999999993E-2</v>
      </c>
      <c r="L2117">
        <v>0</v>
      </c>
      <c r="M2117">
        <v>6.9993098000000004E-2</v>
      </c>
      <c r="N2117">
        <v>0</v>
      </c>
      <c r="O2117" t="s">
        <v>2833</v>
      </c>
      <c r="P2117" t="s">
        <v>2833</v>
      </c>
      <c r="Q2117" t="s">
        <v>111</v>
      </c>
      <c r="R2117">
        <f ca="1">RAND()*(Validation[[#This Row],[Range1_High]]-Validation[[#This Row],[Range1_Low]])+Validation[[#This Row],[Range1_Low]]</f>
        <v>767.30721043642757</v>
      </c>
      <c r="S2117">
        <f>Validation[[#This Row],[Range2_High]]</f>
        <v>0</v>
      </c>
      <c r="T2117" t="str" cm="1">
        <f t="array" aca="1" ref="T2117" ca="1">RoundToTwoSigFigs(Validation[[#This Row],[Test Reading]]*Validation[[#This Row],[Mult]]+Validation[[#This Row],[Base]]) &amp;" "&amp;Validation[[#This Row],[Uncert_Units]]</f>
        <v>0.081 °C</v>
      </c>
      <c r="U2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V2117" t="b">
        <f ca="1">Validation[[#This Row],[Desired Result]]=Validation[[#This Row],[Result]]</f>
        <v>1</v>
      </c>
      <c r="W2117" t="b">
        <v>0</v>
      </c>
      <c r="X2117" t="b">
        <f>Validation[[#This Row],[Range1_Low]]&gt;=Validation[[#This Row],[Range1_High]]</f>
        <v>0</v>
      </c>
      <c r="Y2117" s="111" t="s">
        <v>2845</v>
      </c>
    </row>
    <row r="2118" spans="1:25" x14ac:dyDescent="0.25">
      <c r="A2118" t="s">
        <v>54</v>
      </c>
      <c r="B2118" t="s">
        <v>89</v>
      </c>
      <c r="C2118">
        <v>-200</v>
      </c>
      <c r="D2118">
        <v>-99.9</v>
      </c>
      <c r="E2118">
        <v>0.1</v>
      </c>
      <c r="F2118" t="s">
        <v>23</v>
      </c>
      <c r="G2118" t="s">
        <v>23</v>
      </c>
      <c r="H2118">
        <v>0</v>
      </c>
      <c r="I2118">
        <v>0</v>
      </c>
      <c r="J2118" t="s">
        <v>2833</v>
      </c>
      <c r="K2118">
        <v>0.39349449399999997</v>
      </c>
      <c r="L2118">
        <v>0</v>
      </c>
      <c r="M2118">
        <v>0.38767236500000002</v>
      </c>
      <c r="N2118">
        <v>0</v>
      </c>
      <c r="O2118" t="s">
        <v>2833</v>
      </c>
      <c r="P2118" t="s">
        <v>2833</v>
      </c>
      <c r="Q2118" t="s">
        <v>111</v>
      </c>
      <c r="R2118">
        <f ca="1">RAND()*(Validation[[#This Row],[Range1_High]]-Validation[[#This Row],[Range1_Low]])+Validation[[#This Row],[Range1_Low]]</f>
        <v>-188.95336847399841</v>
      </c>
      <c r="S2118">
        <f>Validation[[#This Row],[Range2_High]]</f>
        <v>0</v>
      </c>
      <c r="T2118" t="str" cm="1">
        <f t="array" aca="1" ref="T2118" ca="1">RoundToTwoSigFigs(Validation[[#This Row],[Test Reading]]*Validation[[#This Row],[Mult]]+Validation[[#This Row],[Base]]) &amp;" "&amp;Validation[[#This Row],[Uncert_Units]]</f>
        <v>0.39 °C</v>
      </c>
      <c r="U2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V2118" t="b">
        <f ca="1">Validation[[#This Row],[Desired Result]]=Validation[[#This Row],[Result]]</f>
        <v>1</v>
      </c>
      <c r="W2118" t="b">
        <v>0</v>
      </c>
      <c r="X2118" t="b">
        <f>Validation[[#This Row],[Range1_Low]]&gt;=Validation[[#This Row],[Range1_High]]</f>
        <v>0</v>
      </c>
      <c r="Y2118" s="111" t="s">
        <v>2845</v>
      </c>
    </row>
    <row r="2119" spans="1:25" ht="15.75" thickBot="1" x14ac:dyDescent="0.3">
      <c r="A2119" t="s">
        <v>55</v>
      </c>
      <c r="B2119" t="s">
        <v>89</v>
      </c>
      <c r="C2119">
        <v>-240</v>
      </c>
      <c r="D2119">
        <v>259.99900000000002</v>
      </c>
      <c r="E2119">
        <v>1</v>
      </c>
      <c r="F2119" t="s">
        <v>23</v>
      </c>
      <c r="G2119" t="s">
        <v>23</v>
      </c>
      <c r="H2119">
        <v>0</v>
      </c>
      <c r="I2119">
        <v>0</v>
      </c>
      <c r="J2119" t="s">
        <v>2833</v>
      </c>
      <c r="K2119">
        <v>0.59717763999999995</v>
      </c>
      <c r="L2119">
        <v>0</v>
      </c>
      <c r="M2119">
        <v>0.58174643800000003</v>
      </c>
      <c r="N2119">
        <v>0</v>
      </c>
      <c r="O2119" t="s">
        <v>2833</v>
      </c>
      <c r="P2119" t="s">
        <v>2833</v>
      </c>
      <c r="Q2119" t="s">
        <v>111</v>
      </c>
      <c r="R2119">
        <f ca="1">RAND()*(Validation[[#This Row],[Range1_High]]-Validation[[#This Row],[Range1_Low]])+Validation[[#This Row],[Range1_Low]]</f>
        <v>-74.521535006625896</v>
      </c>
      <c r="S2119">
        <f>Validation[[#This Row],[Range2_High]]</f>
        <v>0</v>
      </c>
      <c r="T2119" t="str" cm="1">
        <f t="array" aca="1" ref="T2119" ca="1">RoundToTwoSigFigs(Validation[[#This Row],[Test Reading]]*Validation[[#This Row],[Mult]]+Validation[[#This Row],[Base]]) &amp;" "&amp;Validation[[#This Row],[Uncert_Units]]</f>
        <v>0.6 °C</v>
      </c>
      <c r="U2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2119" t="b">
        <f ca="1">Validation[[#This Row],[Desired Result]]=Validation[[#This Row],[Result]]</f>
        <v>1</v>
      </c>
      <c r="W2119" t="b">
        <v>0</v>
      </c>
      <c r="X2119" t="b">
        <f>Validation[[#This Row],[Range1_Low]]&gt;=Validation[[#This Row],[Range1_High]]</f>
        <v>0</v>
      </c>
      <c r="Y2119" s="111" t="s">
        <v>2845</v>
      </c>
    </row>
    <row r="2120" spans="1:25" ht="16.5" thickTop="1" thickBot="1" x14ac:dyDescent="0.3">
      <c r="A2120" t="s">
        <v>54</v>
      </c>
      <c r="B2120" t="s">
        <v>89</v>
      </c>
      <c r="C2120" s="113">
        <v>120</v>
      </c>
      <c r="D2120" s="113">
        <v>1000.1</v>
      </c>
      <c r="E2120">
        <v>0.1</v>
      </c>
      <c r="F2120" t="s">
        <v>23</v>
      </c>
      <c r="G2120" t="s">
        <v>23</v>
      </c>
      <c r="H2120">
        <v>0</v>
      </c>
      <c r="I2120">
        <v>0</v>
      </c>
      <c r="J2120" t="s">
        <v>2833</v>
      </c>
      <c r="K2120">
        <v>0.31026319299999999</v>
      </c>
      <c r="L2120">
        <v>0</v>
      </c>
      <c r="M2120">
        <v>0.30757852099999999</v>
      </c>
      <c r="N2120">
        <v>0</v>
      </c>
      <c r="O2120" t="s">
        <v>2833</v>
      </c>
      <c r="P2120" t="s">
        <v>2833</v>
      </c>
      <c r="Q2120" t="s">
        <v>111</v>
      </c>
      <c r="R2120">
        <f ca="1">RAND()*(Validation[[#This Row],[Range1_High]]-Validation[[#This Row],[Range1_Low]])+Validation[[#This Row],[Range1_Low]]</f>
        <v>935.4512882903864</v>
      </c>
      <c r="S2120">
        <f>Validation[[#This Row],[Range2_High]]</f>
        <v>0</v>
      </c>
      <c r="T2120" t="str" cm="1">
        <f t="array" aca="1" ref="T2120" ca="1">RoundToTwoSigFigs(Validation[[#This Row],[Test Reading]]*Validation[[#This Row],[Mult]]+Validation[[#This Row],[Base]]) &amp;" "&amp;Validation[[#This Row],[Uncert_Units]]</f>
        <v>0.31 °C</v>
      </c>
      <c r="U2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V2120" t="b">
        <f ca="1">Validation[[#This Row],[Desired Result]]=Validation[[#This Row],[Result]]</f>
        <v>1</v>
      </c>
      <c r="W2120" t="b">
        <v>1</v>
      </c>
      <c r="X2120" t="b">
        <f>Validation[[#This Row],[Range1_Low]]&gt;=Validation[[#This Row],[Range1_High]]</f>
        <v>0</v>
      </c>
      <c r="Y2120" s="111" t="s">
        <v>2843</v>
      </c>
    </row>
    <row r="2121" spans="1:25" ht="16.5" thickTop="1" thickBot="1" x14ac:dyDescent="0.3">
      <c r="A2121" t="s">
        <v>54</v>
      </c>
      <c r="B2121" t="s">
        <v>89</v>
      </c>
      <c r="C2121" s="113">
        <v>1000</v>
      </c>
      <c r="D2121" s="113">
        <v>1372</v>
      </c>
      <c r="E2121">
        <v>1</v>
      </c>
      <c r="F2121" t="s">
        <v>23</v>
      </c>
      <c r="G2121" t="s">
        <v>23</v>
      </c>
      <c r="H2121">
        <v>0</v>
      </c>
      <c r="I2121">
        <v>0</v>
      </c>
      <c r="J2121" t="s">
        <v>2833</v>
      </c>
      <c r="K2121">
        <v>0.74634382200000005</v>
      </c>
      <c r="L2121">
        <v>0</v>
      </c>
      <c r="M2121">
        <v>0.74015267399999995</v>
      </c>
      <c r="N2121">
        <v>0</v>
      </c>
      <c r="O2121" t="s">
        <v>2833</v>
      </c>
      <c r="P2121" t="s">
        <v>2833</v>
      </c>
      <c r="Q2121" t="s">
        <v>111</v>
      </c>
      <c r="R2121">
        <f ca="1">RAND()*(Validation[[#This Row],[Range1_High]]-Validation[[#This Row],[Range1_Low]])+Validation[[#This Row],[Range1_Low]]</f>
        <v>1353.370469161441</v>
      </c>
      <c r="S2121">
        <f>Validation[[#This Row],[Range2_High]]</f>
        <v>0</v>
      </c>
      <c r="T2121" t="str" cm="1">
        <f t="array" aca="1" ref="T2121" ca="1">RoundToTwoSigFigs(Validation[[#This Row],[Test Reading]]*Validation[[#This Row],[Mult]]+Validation[[#This Row],[Base]]) &amp;" "&amp;Validation[[#This Row],[Uncert_Units]]</f>
        <v>0.75 °C</v>
      </c>
      <c r="U2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V2121" t="b">
        <f ca="1">Validation[[#This Row],[Desired Result]]=Validation[[#This Row],[Result]]</f>
        <v>1</v>
      </c>
      <c r="W2121" t="b">
        <v>1</v>
      </c>
      <c r="X2121" t="b">
        <f>Validation[[#This Row],[Range1_Low]]&gt;=Validation[[#This Row],[Range1_High]]</f>
        <v>0</v>
      </c>
      <c r="Y2121" s="111" t="s">
        <v>2843</v>
      </c>
    </row>
    <row r="2122" spans="1:25" ht="15.75" thickTop="1" x14ac:dyDescent="0.25">
      <c r="A2122" t="s">
        <v>54</v>
      </c>
      <c r="B2122" t="s">
        <v>92</v>
      </c>
      <c r="C2122">
        <v>1300</v>
      </c>
      <c r="D2122">
        <v>1300.0999999999999</v>
      </c>
      <c r="E2122">
        <v>0.1</v>
      </c>
      <c r="F2122" t="s">
        <v>23</v>
      </c>
      <c r="G2122" t="s">
        <v>23</v>
      </c>
      <c r="H2122">
        <v>0</v>
      </c>
      <c r="I2122">
        <v>0</v>
      </c>
      <c r="J2122" t="s">
        <v>2833</v>
      </c>
      <c r="K2122">
        <v>0.321968492</v>
      </c>
      <c r="L2122">
        <v>0</v>
      </c>
      <c r="M2122">
        <v>0.31887923899999998</v>
      </c>
      <c r="N2122">
        <v>0</v>
      </c>
      <c r="O2122" t="s">
        <v>2833</v>
      </c>
      <c r="P2122" t="s">
        <v>2833</v>
      </c>
      <c r="Q2122" t="s">
        <v>162</v>
      </c>
      <c r="R2122">
        <f ca="1">RAND()*(Validation[[#This Row],[Range1_High]]-Validation[[#This Row],[Range1_Low]])+Validation[[#This Row],[Range1_Low]]</f>
        <v>1300.0029183821161</v>
      </c>
      <c r="S2122">
        <f>Validation[[#This Row],[Range2_High]]</f>
        <v>0</v>
      </c>
      <c r="T2122" t="str" cm="1">
        <f t="array" aca="1" ref="T2122" ca="1">RoundToTwoSigFigs(Validation[[#This Row],[Test Reading]]*Validation[[#This Row],[Mult]]+Validation[[#This Row],[Base]]) &amp;" "&amp;Validation[[#This Row],[Uncert_Units]]</f>
        <v>0.32 °C</v>
      </c>
      <c r="U2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V2122" t="b">
        <f ca="1">Validation[[#This Row],[Desired Result]]=Validation[[#This Row],[Result]]</f>
        <v>1</v>
      </c>
      <c r="W2122" t="b">
        <v>0</v>
      </c>
      <c r="X2122" t="b">
        <f>Validation[[#This Row],[Range1_Low]]&gt;=Validation[[#This Row],[Range1_High]]</f>
        <v>0</v>
      </c>
      <c r="Y2122" s="111" t="s">
        <v>2845</v>
      </c>
    </row>
    <row r="2123" spans="1:25" x14ac:dyDescent="0.25">
      <c r="A2123" t="s">
        <v>55</v>
      </c>
      <c r="B2123" t="s">
        <v>92</v>
      </c>
      <c r="C2123">
        <v>371.00099999999998</v>
      </c>
      <c r="D2123">
        <v>816</v>
      </c>
      <c r="E2123">
        <v>1</v>
      </c>
      <c r="F2123" t="s">
        <v>23</v>
      </c>
      <c r="G2123" t="s">
        <v>23</v>
      </c>
      <c r="H2123">
        <v>0</v>
      </c>
      <c r="I2123">
        <v>0</v>
      </c>
      <c r="J2123" t="s">
        <v>2833</v>
      </c>
      <c r="K2123">
        <v>0.58489495400000002</v>
      </c>
      <c r="L2123">
        <v>0</v>
      </c>
      <c r="M2123">
        <v>0.57864083899999996</v>
      </c>
      <c r="N2123">
        <v>0</v>
      </c>
      <c r="O2123" t="s">
        <v>2833</v>
      </c>
      <c r="P2123" t="s">
        <v>2833</v>
      </c>
      <c r="Q2123" t="s">
        <v>162</v>
      </c>
      <c r="R2123">
        <f ca="1">RAND()*(Validation[[#This Row],[Range1_High]]-Validation[[#This Row],[Range1_Low]])+Validation[[#This Row],[Range1_Low]]</f>
        <v>556.91444435050846</v>
      </c>
      <c r="S2123">
        <f>Validation[[#This Row],[Range2_High]]</f>
        <v>0</v>
      </c>
      <c r="T2123" t="str" cm="1">
        <f t="array" aca="1" ref="T2123" ca="1">RoundToTwoSigFigs(Validation[[#This Row],[Test Reading]]*Validation[[#This Row],[Mult]]+Validation[[#This Row],[Base]]) &amp;" "&amp;Validation[[#This Row],[Uncert_Units]]</f>
        <v>0.58 °C</v>
      </c>
      <c r="U2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23" t="b">
        <f ca="1">Validation[[#This Row],[Desired Result]]=Validation[[#This Row],[Result]]</f>
        <v>1</v>
      </c>
      <c r="W2123" t="b">
        <v>0</v>
      </c>
      <c r="X2123" t="b">
        <f>Validation[[#This Row],[Range1_Low]]&gt;=Validation[[#This Row],[Range1_High]]</f>
        <v>0</v>
      </c>
      <c r="Y2123" s="111" t="s">
        <v>2845</v>
      </c>
    </row>
    <row r="2124" spans="1:25" x14ac:dyDescent="0.25">
      <c r="A2124" t="s">
        <v>55</v>
      </c>
      <c r="B2124" t="s">
        <v>92</v>
      </c>
      <c r="C2124">
        <v>-270</v>
      </c>
      <c r="D2124">
        <v>-240.001</v>
      </c>
      <c r="E2124">
        <v>1</v>
      </c>
      <c r="F2124" t="s">
        <v>23</v>
      </c>
      <c r="G2124" t="s">
        <v>23</v>
      </c>
      <c r="H2124">
        <v>0</v>
      </c>
      <c r="I2124">
        <v>0</v>
      </c>
      <c r="J2124" t="s">
        <v>2833</v>
      </c>
      <c r="K2124">
        <v>1.018003754</v>
      </c>
      <c r="L2124">
        <v>0</v>
      </c>
      <c r="M2124">
        <v>1.008392419</v>
      </c>
      <c r="N2124">
        <v>0</v>
      </c>
      <c r="O2124" t="s">
        <v>2833</v>
      </c>
      <c r="P2124" t="s">
        <v>2833</v>
      </c>
      <c r="Q2124" t="s">
        <v>162</v>
      </c>
      <c r="R2124">
        <f ca="1">RAND()*(Validation[[#This Row],[Range1_High]]-Validation[[#This Row],[Range1_Low]])+Validation[[#This Row],[Range1_Low]]</f>
        <v>-250.97603796155744</v>
      </c>
      <c r="S2124">
        <f>Validation[[#This Row],[Range2_High]]</f>
        <v>0</v>
      </c>
      <c r="T2124" t="str" cm="1">
        <f t="array" aca="1" ref="T2124" ca="1">RoundToTwoSigFigs(Validation[[#This Row],[Test Reading]]*Validation[[#This Row],[Mult]]+Validation[[#This Row],[Base]]) &amp;" "&amp;Validation[[#This Row],[Uncert_Units]]</f>
        <v>1 °C</v>
      </c>
      <c r="U2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V2124" t="b">
        <f ca="1">Validation[[#This Row],[Desired Result]]=Validation[[#This Row],[Result]]</f>
        <v>1</v>
      </c>
      <c r="W2124" t="b">
        <v>0</v>
      </c>
      <c r="X2124" t="b">
        <f>Validation[[#This Row],[Range1_Low]]&gt;=Validation[[#This Row],[Range1_High]]</f>
        <v>0</v>
      </c>
      <c r="Y2124" s="111" t="s">
        <v>2845</v>
      </c>
    </row>
    <row r="2125" spans="1:25" x14ac:dyDescent="0.25">
      <c r="A2125" t="s">
        <v>55</v>
      </c>
      <c r="B2125" t="s">
        <v>92</v>
      </c>
      <c r="C2125">
        <v>-240</v>
      </c>
      <c r="D2125">
        <v>-101.001</v>
      </c>
      <c r="E2125">
        <v>0.1</v>
      </c>
      <c r="F2125" t="s">
        <v>23</v>
      </c>
      <c r="G2125" t="s">
        <v>23</v>
      </c>
      <c r="H2125">
        <v>0</v>
      </c>
      <c r="I2125">
        <v>0</v>
      </c>
      <c r="J2125" t="s">
        <v>2833</v>
      </c>
      <c r="K2125">
        <v>0.142236415</v>
      </c>
      <c r="L2125">
        <v>0</v>
      </c>
      <c r="M2125">
        <v>0.12394395800000001</v>
      </c>
      <c r="N2125">
        <v>0</v>
      </c>
      <c r="O2125" t="s">
        <v>2833</v>
      </c>
      <c r="P2125" t="s">
        <v>2833</v>
      </c>
      <c r="Q2125" t="s">
        <v>162</v>
      </c>
      <c r="R2125">
        <f ca="1">RAND()*(Validation[[#This Row],[Range1_High]]-Validation[[#This Row],[Range1_Low]])+Validation[[#This Row],[Range1_Low]]</f>
        <v>-131.91956741366721</v>
      </c>
      <c r="S2125">
        <f>Validation[[#This Row],[Range2_High]]</f>
        <v>0</v>
      </c>
      <c r="T2125" t="str" cm="1">
        <f t="array" aca="1" ref="T2125" ca="1">RoundToTwoSigFigs(Validation[[#This Row],[Test Reading]]*Validation[[#This Row],[Mult]]+Validation[[#This Row],[Base]]) &amp;" "&amp;Validation[[#This Row],[Uncert_Units]]</f>
        <v>0.14 °C</v>
      </c>
      <c r="U2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V2125" t="b">
        <f ca="1">Validation[[#This Row],[Desired Result]]=Validation[[#This Row],[Result]]</f>
        <v>1</v>
      </c>
      <c r="W2125" t="b">
        <v>0</v>
      </c>
      <c r="X2125" t="b">
        <f>Validation[[#This Row],[Range1_Low]]&gt;=Validation[[#This Row],[Range1_High]]</f>
        <v>0</v>
      </c>
      <c r="Y2125" s="111" t="s">
        <v>2845</v>
      </c>
    </row>
    <row r="2126" spans="1:25" x14ac:dyDescent="0.25">
      <c r="A2126" t="s">
        <v>55</v>
      </c>
      <c r="B2126" t="s">
        <v>92</v>
      </c>
      <c r="C2126">
        <v>-270</v>
      </c>
      <c r="D2126">
        <v>-240.001</v>
      </c>
      <c r="E2126">
        <v>0.1</v>
      </c>
      <c r="F2126" t="s">
        <v>23</v>
      </c>
      <c r="G2126" t="s">
        <v>23</v>
      </c>
      <c r="H2126">
        <v>0</v>
      </c>
      <c r="I2126">
        <v>0</v>
      </c>
      <c r="J2126" t="s">
        <v>2833</v>
      </c>
      <c r="K2126">
        <v>0.83169968400000005</v>
      </c>
      <c r="L2126">
        <v>0</v>
      </c>
      <c r="M2126">
        <v>0.82876732099999995</v>
      </c>
      <c r="N2126">
        <v>0</v>
      </c>
      <c r="O2126" t="s">
        <v>2833</v>
      </c>
      <c r="P2126" t="s">
        <v>2833</v>
      </c>
      <c r="Q2126" t="s">
        <v>162</v>
      </c>
      <c r="R2126">
        <f ca="1">RAND()*(Validation[[#This Row],[Range1_High]]-Validation[[#This Row],[Range1_Low]])+Validation[[#This Row],[Range1_Low]]</f>
        <v>-248.20191400733617</v>
      </c>
      <c r="S2126">
        <f>Validation[[#This Row],[Range2_High]]</f>
        <v>0</v>
      </c>
      <c r="T2126" t="str" cm="1">
        <f t="array" aca="1" ref="T2126" ca="1">RoundToTwoSigFigs(Validation[[#This Row],[Test Reading]]*Validation[[#This Row],[Mult]]+Validation[[#This Row],[Base]]) &amp;" "&amp;Validation[[#This Row],[Uncert_Units]]</f>
        <v>0.83 °C</v>
      </c>
      <c r="U2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V2126" t="b">
        <f ca="1">Validation[[#This Row],[Desired Result]]=Validation[[#This Row],[Result]]</f>
        <v>1</v>
      </c>
      <c r="W2126" t="b">
        <v>0</v>
      </c>
      <c r="X2126" t="b">
        <f>Validation[[#This Row],[Range1_Low]]&gt;=Validation[[#This Row],[Range1_High]]</f>
        <v>0</v>
      </c>
      <c r="Y2126" s="111" t="s">
        <v>2845</v>
      </c>
    </row>
    <row r="2127" spans="1:25" x14ac:dyDescent="0.25">
      <c r="A2127" t="s">
        <v>54</v>
      </c>
      <c r="B2127" t="s">
        <v>92</v>
      </c>
      <c r="C2127">
        <v>-200</v>
      </c>
      <c r="D2127">
        <v>-99.9</v>
      </c>
      <c r="E2127">
        <v>1</v>
      </c>
      <c r="F2127" t="s">
        <v>23</v>
      </c>
      <c r="G2127" t="s">
        <v>23</v>
      </c>
      <c r="H2127">
        <v>0</v>
      </c>
      <c r="I2127">
        <v>0</v>
      </c>
      <c r="J2127" t="s">
        <v>2833</v>
      </c>
      <c r="K2127">
        <v>0.75325912699999997</v>
      </c>
      <c r="L2127">
        <v>0</v>
      </c>
      <c r="M2127">
        <v>0.74021817099999998</v>
      </c>
      <c r="N2127">
        <v>0</v>
      </c>
      <c r="O2127" t="s">
        <v>2833</v>
      </c>
      <c r="P2127" t="s">
        <v>2833</v>
      </c>
      <c r="Q2127" t="s">
        <v>162</v>
      </c>
      <c r="R2127">
        <f ca="1">RAND()*(Validation[[#This Row],[Range1_High]]-Validation[[#This Row],[Range1_Low]])+Validation[[#This Row],[Range1_Low]]</f>
        <v>-134.37515284418043</v>
      </c>
      <c r="S2127">
        <f>Validation[[#This Row],[Range2_High]]</f>
        <v>0</v>
      </c>
      <c r="T2127" t="str" cm="1">
        <f t="array" aca="1" ref="T2127" ca="1">RoundToTwoSigFigs(Validation[[#This Row],[Test Reading]]*Validation[[#This Row],[Mult]]+Validation[[#This Row],[Base]]) &amp;" "&amp;Validation[[#This Row],[Uncert_Units]]</f>
        <v>0.75 °C</v>
      </c>
      <c r="U2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V2127" t="b">
        <f ca="1">Validation[[#This Row],[Desired Result]]=Validation[[#This Row],[Result]]</f>
        <v>1</v>
      </c>
      <c r="W2127" t="b">
        <v>0</v>
      </c>
      <c r="X2127" t="b">
        <f>Validation[[#This Row],[Range1_Low]]&gt;=Validation[[#This Row],[Range1_High]]</f>
        <v>0</v>
      </c>
      <c r="Y2127" s="111" t="s">
        <v>2845</v>
      </c>
    </row>
    <row r="2128" spans="1:25" x14ac:dyDescent="0.25">
      <c r="A2128" t="s">
        <v>54</v>
      </c>
      <c r="B2128" t="s">
        <v>92</v>
      </c>
      <c r="C2128">
        <v>1300</v>
      </c>
      <c r="D2128">
        <v>1300.0999999999999</v>
      </c>
      <c r="E2128">
        <v>1</v>
      </c>
      <c r="F2128" t="s">
        <v>23</v>
      </c>
      <c r="G2128" t="s">
        <v>23</v>
      </c>
      <c r="H2128">
        <v>0</v>
      </c>
      <c r="I2128">
        <v>0</v>
      </c>
      <c r="J2128" t="s">
        <v>2833</v>
      </c>
      <c r="K2128">
        <v>0.66302559000000005</v>
      </c>
      <c r="L2128">
        <v>0</v>
      </c>
      <c r="M2128">
        <v>0.65702661200000001</v>
      </c>
      <c r="N2128">
        <v>0</v>
      </c>
      <c r="O2128" t="s">
        <v>2833</v>
      </c>
      <c r="P2128" t="s">
        <v>2833</v>
      </c>
      <c r="Q2128" t="s">
        <v>162</v>
      </c>
      <c r="R2128">
        <f ca="1">RAND()*(Validation[[#This Row],[Range1_High]]-Validation[[#This Row],[Range1_Low]])+Validation[[#This Row],[Range1_Low]]</f>
        <v>1300.0070608557783</v>
      </c>
      <c r="S2128">
        <f>Validation[[#This Row],[Range2_High]]</f>
        <v>0</v>
      </c>
      <c r="T2128" t="str" cm="1">
        <f t="array" aca="1" ref="T2128" ca="1">RoundToTwoSigFigs(Validation[[#This Row],[Test Reading]]*Validation[[#This Row],[Mult]]+Validation[[#This Row],[Base]]) &amp;" "&amp;Validation[[#This Row],[Uncert_Units]]</f>
        <v>0.66 °C</v>
      </c>
      <c r="U2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V2128" t="b">
        <f ca="1">Validation[[#This Row],[Desired Result]]=Validation[[#This Row],[Result]]</f>
        <v>1</v>
      </c>
      <c r="W2128" t="b">
        <v>0</v>
      </c>
      <c r="X2128" t="b">
        <f>Validation[[#This Row],[Range1_Low]]&gt;=Validation[[#This Row],[Range1_High]]</f>
        <v>0</v>
      </c>
      <c r="Y2128" s="111" t="s">
        <v>2845</v>
      </c>
    </row>
    <row r="2129" spans="1:25" x14ac:dyDescent="0.25">
      <c r="A2129" t="s">
        <v>55</v>
      </c>
      <c r="B2129" t="s">
        <v>92</v>
      </c>
      <c r="C2129">
        <v>-101</v>
      </c>
      <c r="D2129">
        <v>371</v>
      </c>
      <c r="E2129">
        <v>0.1</v>
      </c>
      <c r="F2129" t="s">
        <v>23</v>
      </c>
      <c r="G2129" t="s">
        <v>23</v>
      </c>
      <c r="H2129">
        <v>0</v>
      </c>
      <c r="I2129">
        <v>0</v>
      </c>
      <c r="J2129" t="s">
        <v>2833</v>
      </c>
      <c r="K2129">
        <v>9.0241070000000007E-2</v>
      </c>
      <c r="L2129">
        <v>0</v>
      </c>
      <c r="M2129">
        <v>6.8695223999999999E-2</v>
      </c>
      <c r="N2129">
        <v>0</v>
      </c>
      <c r="O2129" t="s">
        <v>2833</v>
      </c>
      <c r="P2129" t="s">
        <v>2833</v>
      </c>
      <c r="Q2129" t="s">
        <v>162</v>
      </c>
      <c r="R2129">
        <f ca="1">RAND()*(Validation[[#This Row],[Range1_High]]-Validation[[#This Row],[Range1_Low]])+Validation[[#This Row],[Range1_Low]]</f>
        <v>211.27481139913817</v>
      </c>
      <c r="S2129">
        <f>Validation[[#This Row],[Range2_High]]</f>
        <v>0</v>
      </c>
      <c r="T2129" t="str" cm="1">
        <f t="array" aca="1" ref="T2129" ca="1">RoundToTwoSigFigs(Validation[[#This Row],[Test Reading]]*Validation[[#This Row],[Mult]]+Validation[[#This Row],[Base]]) &amp;" "&amp;Validation[[#This Row],[Uncert_Units]]</f>
        <v>0.09 °C</v>
      </c>
      <c r="U2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V2129" t="b">
        <f ca="1">Validation[[#This Row],[Desired Result]]=Validation[[#This Row],[Result]]</f>
        <v>1</v>
      </c>
      <c r="W2129" t="b">
        <v>0</v>
      </c>
      <c r="X2129" t="b">
        <f>Validation[[#This Row],[Range1_Low]]&gt;=Validation[[#This Row],[Range1_High]]</f>
        <v>0</v>
      </c>
      <c r="Y2129" s="111" t="s">
        <v>2845</v>
      </c>
    </row>
    <row r="2130" spans="1:25" ht="15.75" thickBot="1" x14ac:dyDescent="0.3">
      <c r="A2130" t="s">
        <v>55</v>
      </c>
      <c r="B2130" t="s">
        <v>92</v>
      </c>
      <c r="C2130">
        <v>371.00099999999998</v>
      </c>
      <c r="D2130">
        <v>816</v>
      </c>
      <c r="E2130">
        <v>0.1</v>
      </c>
      <c r="F2130" t="s">
        <v>23</v>
      </c>
      <c r="G2130" t="s">
        <v>23</v>
      </c>
      <c r="H2130">
        <v>0</v>
      </c>
      <c r="I2130">
        <v>0</v>
      </c>
      <c r="J2130" t="s">
        <v>2833</v>
      </c>
      <c r="K2130">
        <v>8.1513450000000001E-2</v>
      </c>
      <c r="L2130">
        <v>0</v>
      </c>
      <c r="M2130">
        <v>6.9463811E-2</v>
      </c>
      <c r="N2130">
        <v>0</v>
      </c>
      <c r="O2130" t="s">
        <v>2833</v>
      </c>
      <c r="P2130" t="s">
        <v>2833</v>
      </c>
      <c r="Q2130" t="s">
        <v>162</v>
      </c>
      <c r="R2130">
        <f ca="1">RAND()*(Validation[[#This Row],[Range1_High]]-Validation[[#This Row],[Range1_Low]])+Validation[[#This Row],[Range1_Low]]</f>
        <v>628.65660748116693</v>
      </c>
      <c r="S2130">
        <f>Validation[[#This Row],[Range2_High]]</f>
        <v>0</v>
      </c>
      <c r="T2130" t="str" cm="1">
        <f t="array" aca="1" ref="T2130" ca="1">RoundToTwoSigFigs(Validation[[#This Row],[Test Reading]]*Validation[[#This Row],[Mult]]+Validation[[#This Row],[Base]]) &amp;" "&amp;Validation[[#This Row],[Uncert_Units]]</f>
        <v>0.082 °C</v>
      </c>
      <c r="U2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V2130" t="b">
        <f ca="1">Validation[[#This Row],[Desired Result]]=Validation[[#This Row],[Result]]</f>
        <v>1</v>
      </c>
      <c r="W2130" t="b">
        <v>0</v>
      </c>
      <c r="X2130" t="b">
        <f>Validation[[#This Row],[Range1_Low]]&gt;=Validation[[#This Row],[Range1_High]]</f>
        <v>0</v>
      </c>
      <c r="Y2130" s="111" t="s">
        <v>2845</v>
      </c>
    </row>
    <row r="2131" spans="1:25" ht="16.5" thickTop="1" thickBot="1" x14ac:dyDescent="0.3">
      <c r="A2131" t="s">
        <v>54</v>
      </c>
      <c r="B2131" t="s">
        <v>92</v>
      </c>
      <c r="C2131" s="113">
        <v>-100</v>
      </c>
      <c r="D2131" s="113">
        <v>-24.9</v>
      </c>
      <c r="E2131">
        <v>1</v>
      </c>
      <c r="F2131" t="s">
        <v>23</v>
      </c>
      <c r="G2131" t="s">
        <v>23</v>
      </c>
      <c r="H2131">
        <v>0</v>
      </c>
      <c r="I2131">
        <v>0</v>
      </c>
      <c r="J2131" t="s">
        <v>2833</v>
      </c>
      <c r="K2131">
        <v>0.64265086000000005</v>
      </c>
      <c r="L2131">
        <v>0</v>
      </c>
      <c r="M2131">
        <v>0.63190383800000005</v>
      </c>
      <c r="N2131">
        <v>0</v>
      </c>
      <c r="O2131" t="s">
        <v>2833</v>
      </c>
      <c r="P2131" t="s">
        <v>2833</v>
      </c>
      <c r="Q2131" t="s">
        <v>162</v>
      </c>
      <c r="R2131">
        <f ca="1">RAND()*(Validation[[#This Row],[Range1_High]]-Validation[[#This Row],[Range1_Low]])+Validation[[#This Row],[Range1_Low]]</f>
        <v>-45.318547148848623</v>
      </c>
      <c r="S2131">
        <f>Validation[[#This Row],[Range2_High]]</f>
        <v>0</v>
      </c>
      <c r="T2131" t="str" cm="1">
        <f t="array" aca="1" ref="T2131" ca="1">RoundToTwoSigFigs(Validation[[#This Row],[Test Reading]]*Validation[[#This Row],[Mult]]+Validation[[#This Row],[Base]]) &amp;" "&amp;Validation[[#This Row],[Uncert_Units]]</f>
        <v>0.64 °C</v>
      </c>
      <c r="U2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V2131" t="b">
        <f ca="1">Validation[[#This Row],[Desired Result]]=Validation[[#This Row],[Result]]</f>
        <v>1</v>
      </c>
      <c r="W2131" t="b">
        <v>1</v>
      </c>
      <c r="X2131" t="b">
        <f>Validation[[#This Row],[Range1_Low]]&gt;=Validation[[#This Row],[Range1_High]]</f>
        <v>0</v>
      </c>
      <c r="Y2131" s="111" t="s">
        <v>2843</v>
      </c>
    </row>
    <row r="2132" spans="1:25" ht="16.5" thickTop="1" thickBot="1" x14ac:dyDescent="0.3">
      <c r="A2132" t="s">
        <v>55</v>
      </c>
      <c r="B2132" t="s">
        <v>92</v>
      </c>
      <c r="C2132">
        <v>-101</v>
      </c>
      <c r="D2132">
        <v>371</v>
      </c>
      <c r="E2132">
        <v>1</v>
      </c>
      <c r="F2132" t="s">
        <v>23</v>
      </c>
      <c r="G2132" t="s">
        <v>23</v>
      </c>
      <c r="H2132">
        <v>0</v>
      </c>
      <c r="I2132">
        <v>0</v>
      </c>
      <c r="J2132" t="s">
        <v>2833</v>
      </c>
      <c r="K2132">
        <v>0.59026833000000001</v>
      </c>
      <c r="L2132">
        <v>0</v>
      </c>
      <c r="M2132">
        <v>0.57854907600000005</v>
      </c>
      <c r="N2132">
        <v>0</v>
      </c>
      <c r="O2132" t="s">
        <v>2833</v>
      </c>
      <c r="P2132" t="s">
        <v>2833</v>
      </c>
      <c r="Q2132" t="s">
        <v>162</v>
      </c>
      <c r="R2132">
        <f ca="1">RAND()*(Validation[[#This Row],[Range1_High]]-Validation[[#This Row],[Range1_Low]])+Validation[[#This Row],[Range1_Low]]</f>
        <v>-66.290568690601731</v>
      </c>
      <c r="S2132">
        <f>Validation[[#This Row],[Range2_High]]</f>
        <v>0</v>
      </c>
      <c r="T2132" t="str" cm="1">
        <f t="array" aca="1" ref="T2132" ca="1">RoundToTwoSigFigs(Validation[[#This Row],[Test Reading]]*Validation[[#This Row],[Mult]]+Validation[[#This Row],[Base]]) &amp;" "&amp;Validation[[#This Row],[Uncert_Units]]</f>
        <v>0.59 °C</v>
      </c>
      <c r="U2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2132" t="b">
        <f ca="1">Validation[[#This Row],[Desired Result]]=Validation[[#This Row],[Result]]</f>
        <v>1</v>
      </c>
      <c r="W2132" t="b">
        <v>0</v>
      </c>
      <c r="X2132" t="b">
        <f>Validation[[#This Row],[Range1_Low]]&gt;=Validation[[#This Row],[Range1_High]]</f>
        <v>0</v>
      </c>
      <c r="Y2132" s="111" t="s">
        <v>2845</v>
      </c>
    </row>
    <row r="2133" spans="1:25" ht="16.5" thickTop="1" thickBot="1" x14ac:dyDescent="0.3">
      <c r="A2133" t="s">
        <v>54</v>
      </c>
      <c r="B2133" t="s">
        <v>93</v>
      </c>
      <c r="C2133" s="113">
        <v>250</v>
      </c>
      <c r="D2133" s="113">
        <v>400.1</v>
      </c>
      <c r="E2133">
        <v>0.1</v>
      </c>
      <c r="F2133" t="s">
        <v>23</v>
      </c>
      <c r="G2133" t="s">
        <v>23</v>
      </c>
      <c r="H2133">
        <v>0</v>
      </c>
      <c r="I2133">
        <v>0</v>
      </c>
      <c r="J2133" t="s">
        <v>2833</v>
      </c>
      <c r="K2133">
        <v>0.41654469300000002</v>
      </c>
      <c r="L2133">
        <v>0</v>
      </c>
      <c r="M2133">
        <v>0.41163453</v>
      </c>
      <c r="N2133">
        <v>0</v>
      </c>
      <c r="O2133" t="s">
        <v>2833</v>
      </c>
      <c r="P2133" t="s">
        <v>2833</v>
      </c>
      <c r="Q2133" t="s">
        <v>163</v>
      </c>
      <c r="R2133">
        <f ca="1">RAND()*(Validation[[#This Row],[Range1_High]]-Validation[[#This Row],[Range1_Low]])+Validation[[#This Row],[Range1_Low]]</f>
        <v>324.03029737205873</v>
      </c>
      <c r="S2133">
        <f>Validation[[#This Row],[Range2_High]]</f>
        <v>0</v>
      </c>
      <c r="T2133" t="str" cm="1">
        <f t="array" aca="1" ref="T2133" ca="1">RoundToTwoSigFigs(Validation[[#This Row],[Test Reading]]*Validation[[#This Row],[Mult]]+Validation[[#This Row],[Base]]) &amp;" "&amp;Validation[[#This Row],[Uncert_Units]]</f>
        <v>0.42 °C</v>
      </c>
      <c r="U2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V2133" t="b">
        <f ca="1">Validation[[#This Row],[Desired Result]]=Validation[[#This Row],[Result]]</f>
        <v>1</v>
      </c>
      <c r="W2133" t="b">
        <v>1</v>
      </c>
      <c r="X2133" t="b">
        <f>Validation[[#This Row],[Range1_Low]]&gt;=Validation[[#This Row],[Range1_High]]</f>
        <v>0</v>
      </c>
      <c r="Y2133" s="111" t="s">
        <v>2843</v>
      </c>
    </row>
    <row r="2134" spans="1:25" ht="15.75" thickTop="1" x14ac:dyDescent="0.25">
      <c r="A2134" t="s">
        <v>55</v>
      </c>
      <c r="B2134" t="s">
        <v>93</v>
      </c>
      <c r="C2134">
        <v>1204.001</v>
      </c>
      <c r="D2134">
        <v>1768</v>
      </c>
      <c r="E2134">
        <v>1</v>
      </c>
      <c r="F2134" t="s">
        <v>23</v>
      </c>
      <c r="G2134" t="s">
        <v>23</v>
      </c>
      <c r="H2134">
        <v>0</v>
      </c>
      <c r="I2134">
        <v>0</v>
      </c>
      <c r="J2134" t="s">
        <v>2833</v>
      </c>
      <c r="K2134">
        <v>0.59499524400000003</v>
      </c>
      <c r="L2134">
        <v>0</v>
      </c>
      <c r="M2134">
        <v>0.58116551800000005</v>
      </c>
      <c r="N2134">
        <v>0</v>
      </c>
      <c r="O2134" t="s">
        <v>2833</v>
      </c>
      <c r="P2134" t="s">
        <v>2833</v>
      </c>
      <c r="Q2134" t="s">
        <v>163</v>
      </c>
      <c r="R2134">
        <f ca="1">RAND()*(Validation[[#This Row],[Range1_High]]-Validation[[#This Row],[Range1_Low]])+Validation[[#This Row],[Range1_Low]]</f>
        <v>1298.5389277235715</v>
      </c>
      <c r="S2134">
        <f>Validation[[#This Row],[Range2_High]]</f>
        <v>0</v>
      </c>
      <c r="T2134" t="str" cm="1">
        <f t="array" aca="1" ref="T2134" ca="1">RoundToTwoSigFigs(Validation[[#This Row],[Test Reading]]*Validation[[#This Row],[Mult]]+Validation[[#This Row],[Base]]) &amp;" "&amp;Validation[[#This Row],[Uncert_Units]]</f>
        <v>0.59 °C</v>
      </c>
      <c r="U2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2134" t="b">
        <f ca="1">Validation[[#This Row],[Desired Result]]=Validation[[#This Row],[Result]]</f>
        <v>1</v>
      </c>
      <c r="W2134" t="b">
        <v>0</v>
      </c>
      <c r="X2134" t="b">
        <f>Validation[[#This Row],[Range1_Low]]&gt;=Validation[[#This Row],[Range1_High]]</f>
        <v>0</v>
      </c>
      <c r="Y2134" s="111" t="s">
        <v>2845</v>
      </c>
    </row>
    <row r="2135" spans="1:25" ht="15.75" thickBot="1" x14ac:dyDescent="0.3">
      <c r="A2135" t="s">
        <v>54</v>
      </c>
      <c r="B2135" t="s">
        <v>93</v>
      </c>
      <c r="C2135">
        <v>1767</v>
      </c>
      <c r="D2135">
        <v>1767.1</v>
      </c>
      <c r="E2135">
        <v>1</v>
      </c>
      <c r="F2135" t="s">
        <v>23</v>
      </c>
      <c r="G2135" t="s">
        <v>23</v>
      </c>
      <c r="H2135">
        <v>0</v>
      </c>
      <c r="I2135">
        <v>0</v>
      </c>
      <c r="J2135" t="s">
        <v>2833</v>
      </c>
      <c r="K2135">
        <v>0.79609956199999998</v>
      </c>
      <c r="L2135">
        <v>0</v>
      </c>
      <c r="M2135">
        <v>0.78581710999999999</v>
      </c>
      <c r="N2135">
        <v>0</v>
      </c>
      <c r="O2135" t="s">
        <v>2833</v>
      </c>
      <c r="P2135" t="s">
        <v>2833</v>
      </c>
      <c r="Q2135" t="s">
        <v>163</v>
      </c>
      <c r="R2135">
        <f ca="1">RAND()*(Validation[[#This Row],[Range1_High]]-Validation[[#This Row],[Range1_Low]])+Validation[[#This Row],[Range1_Low]]</f>
        <v>1767.0368100877445</v>
      </c>
      <c r="S2135">
        <f>Validation[[#This Row],[Range2_High]]</f>
        <v>0</v>
      </c>
      <c r="T2135" t="str" cm="1">
        <f t="array" aca="1" ref="T2135" ca="1">RoundToTwoSigFigs(Validation[[#This Row],[Test Reading]]*Validation[[#This Row],[Mult]]+Validation[[#This Row],[Base]]) &amp;" "&amp;Validation[[#This Row],[Uncert_Units]]</f>
        <v>0.8 °C</v>
      </c>
      <c r="U2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V2135" t="b">
        <f ca="1">Validation[[#This Row],[Desired Result]]=Validation[[#This Row],[Result]]</f>
        <v>1</v>
      </c>
      <c r="W2135" t="b">
        <v>0</v>
      </c>
      <c r="X2135" t="b">
        <f>Validation[[#This Row],[Range1_Low]]&gt;=Validation[[#This Row],[Range1_High]]</f>
        <v>0</v>
      </c>
      <c r="Y2135" s="111" t="s">
        <v>2845</v>
      </c>
    </row>
    <row r="2136" spans="1:25" ht="16.5" thickTop="1" thickBot="1" x14ac:dyDescent="0.3">
      <c r="A2136" t="s">
        <v>54</v>
      </c>
      <c r="B2136" t="s">
        <v>93</v>
      </c>
      <c r="C2136" s="113">
        <v>1000</v>
      </c>
      <c r="D2136" s="113">
        <v>1767</v>
      </c>
      <c r="E2136">
        <v>1</v>
      </c>
      <c r="F2136" t="s">
        <v>23</v>
      </c>
      <c r="G2136" t="s">
        <v>23</v>
      </c>
      <c r="H2136">
        <v>0</v>
      </c>
      <c r="I2136">
        <v>0</v>
      </c>
      <c r="J2136" t="s">
        <v>2833</v>
      </c>
      <c r="K2136">
        <v>0.79609956199999998</v>
      </c>
      <c r="L2136">
        <v>0</v>
      </c>
      <c r="M2136">
        <v>0.78581710999999999</v>
      </c>
      <c r="N2136">
        <v>0</v>
      </c>
      <c r="O2136" t="s">
        <v>2833</v>
      </c>
      <c r="P2136" t="s">
        <v>2833</v>
      </c>
      <c r="Q2136" t="s">
        <v>163</v>
      </c>
      <c r="R2136">
        <f ca="1">RAND()*(Validation[[#This Row],[Range1_High]]-Validation[[#This Row],[Range1_Low]])+Validation[[#This Row],[Range1_Low]]</f>
        <v>1106.2475049267571</v>
      </c>
      <c r="S2136">
        <f>Validation[[#This Row],[Range2_High]]</f>
        <v>0</v>
      </c>
      <c r="T2136" t="str" cm="1">
        <f t="array" aca="1" ref="T2136" ca="1">RoundToTwoSigFigs(Validation[[#This Row],[Test Reading]]*Validation[[#This Row],[Mult]]+Validation[[#This Row],[Base]]) &amp;" "&amp;Validation[[#This Row],[Uncert_Units]]</f>
        <v>0.8 °C</v>
      </c>
      <c r="U2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V2136" t="b">
        <f ca="1">Validation[[#This Row],[Desired Result]]=Validation[[#This Row],[Result]]</f>
        <v>1</v>
      </c>
      <c r="W2136" t="b">
        <v>1</v>
      </c>
      <c r="X2136" t="b">
        <f>Validation[[#This Row],[Range1_Low]]&gt;=Validation[[#This Row],[Range1_High]]</f>
        <v>0</v>
      </c>
      <c r="Y2136" s="111" t="s">
        <v>2843</v>
      </c>
    </row>
    <row r="2137" spans="1:25" ht="16.5" thickTop="1" thickBot="1" x14ac:dyDescent="0.3">
      <c r="A2137" t="s">
        <v>55</v>
      </c>
      <c r="B2137" t="s">
        <v>93</v>
      </c>
      <c r="C2137">
        <v>-50</v>
      </c>
      <c r="D2137">
        <v>-1E-3</v>
      </c>
      <c r="E2137">
        <v>0.1</v>
      </c>
      <c r="F2137" t="s">
        <v>23</v>
      </c>
      <c r="G2137" t="s">
        <v>23</v>
      </c>
      <c r="H2137">
        <v>0</v>
      </c>
      <c r="I2137">
        <v>0</v>
      </c>
      <c r="J2137" t="s">
        <v>2833</v>
      </c>
      <c r="K2137">
        <v>0.150846182</v>
      </c>
      <c r="L2137">
        <v>0</v>
      </c>
      <c r="M2137">
        <v>0.13393649299999999</v>
      </c>
      <c r="N2137">
        <v>0</v>
      </c>
      <c r="O2137" t="s">
        <v>2833</v>
      </c>
      <c r="P2137" t="s">
        <v>2833</v>
      </c>
      <c r="Q2137" t="s">
        <v>163</v>
      </c>
      <c r="R2137">
        <f ca="1">RAND()*(Validation[[#This Row],[Range1_High]]-Validation[[#This Row],[Range1_Low]])+Validation[[#This Row],[Range1_Low]]</f>
        <v>-47.585206926895694</v>
      </c>
      <c r="S2137">
        <f>Validation[[#This Row],[Range2_High]]</f>
        <v>0</v>
      </c>
      <c r="T2137" t="str" cm="1">
        <f t="array" aca="1" ref="T2137" ca="1">RoundToTwoSigFigs(Validation[[#This Row],[Test Reading]]*Validation[[#This Row],[Mult]]+Validation[[#This Row],[Base]]) &amp;" "&amp;Validation[[#This Row],[Uncert_Units]]</f>
        <v>0.15 °C</v>
      </c>
      <c r="U2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V2137" t="b">
        <f ca="1">Validation[[#This Row],[Desired Result]]=Validation[[#This Row],[Result]]</f>
        <v>1</v>
      </c>
      <c r="W2137" t="b">
        <v>0</v>
      </c>
      <c r="X2137" t="b">
        <f>Validation[[#This Row],[Range1_Low]]&gt;=Validation[[#This Row],[Range1_High]]</f>
        <v>0</v>
      </c>
      <c r="Y2137" s="111" t="s">
        <v>2845</v>
      </c>
    </row>
    <row r="2138" spans="1:25" ht="16.5" thickTop="1" thickBot="1" x14ac:dyDescent="0.3">
      <c r="A2138" t="s">
        <v>54</v>
      </c>
      <c r="B2138" t="s">
        <v>93</v>
      </c>
      <c r="C2138" s="113">
        <v>250</v>
      </c>
      <c r="D2138" s="113">
        <v>400.1</v>
      </c>
      <c r="E2138">
        <v>1</v>
      </c>
      <c r="F2138" t="s">
        <v>23</v>
      </c>
      <c r="G2138" t="s">
        <v>23</v>
      </c>
      <c r="H2138">
        <v>0</v>
      </c>
      <c r="I2138">
        <v>0</v>
      </c>
      <c r="J2138" t="s">
        <v>2833</v>
      </c>
      <c r="K2138">
        <v>0.71812879500000004</v>
      </c>
      <c r="L2138">
        <v>0</v>
      </c>
      <c r="M2138">
        <v>0.70671280299999995</v>
      </c>
      <c r="N2138">
        <v>0</v>
      </c>
      <c r="O2138" t="s">
        <v>2833</v>
      </c>
      <c r="P2138" t="s">
        <v>2833</v>
      </c>
      <c r="Q2138" t="s">
        <v>163</v>
      </c>
      <c r="R2138">
        <f ca="1">RAND()*(Validation[[#This Row],[Range1_High]]-Validation[[#This Row],[Range1_Low]])+Validation[[#This Row],[Range1_Low]]</f>
        <v>321.0048350910028</v>
      </c>
      <c r="S2138">
        <f>Validation[[#This Row],[Range2_High]]</f>
        <v>0</v>
      </c>
      <c r="T2138" t="str" cm="1">
        <f t="array" aca="1" ref="T2138" ca="1">RoundToTwoSigFigs(Validation[[#This Row],[Test Reading]]*Validation[[#This Row],[Mult]]+Validation[[#This Row],[Base]]) &amp;" "&amp;Validation[[#This Row],[Uncert_Units]]</f>
        <v>0.72 °C</v>
      </c>
      <c r="U2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V2138" t="b">
        <f ca="1">Validation[[#This Row],[Desired Result]]=Validation[[#This Row],[Result]]</f>
        <v>1</v>
      </c>
      <c r="W2138" t="b">
        <v>1</v>
      </c>
      <c r="X2138" t="b">
        <f>Validation[[#This Row],[Range1_Low]]&gt;=Validation[[#This Row],[Range1_High]]</f>
        <v>0</v>
      </c>
      <c r="Y2138" s="111" t="s">
        <v>2843</v>
      </c>
    </row>
    <row r="2139" spans="1:25" ht="16.5" thickTop="1" thickBot="1" x14ac:dyDescent="0.3">
      <c r="A2139" t="s">
        <v>54</v>
      </c>
      <c r="B2139" t="s">
        <v>93</v>
      </c>
      <c r="C2139">
        <v>1767</v>
      </c>
      <c r="D2139">
        <v>1767.1</v>
      </c>
      <c r="E2139">
        <v>0.1</v>
      </c>
      <c r="F2139" t="s">
        <v>23</v>
      </c>
      <c r="G2139" t="s">
        <v>23</v>
      </c>
      <c r="H2139">
        <v>0</v>
      </c>
      <c r="I2139">
        <v>0</v>
      </c>
      <c r="J2139" t="s">
        <v>2833</v>
      </c>
      <c r="K2139">
        <v>0.53997687599999999</v>
      </c>
      <c r="L2139">
        <v>0</v>
      </c>
      <c r="M2139">
        <v>0.53619821999999995</v>
      </c>
      <c r="N2139">
        <v>0</v>
      </c>
      <c r="O2139" t="s">
        <v>2833</v>
      </c>
      <c r="P2139" t="s">
        <v>2833</v>
      </c>
      <c r="Q2139" t="s">
        <v>163</v>
      </c>
      <c r="R2139">
        <f ca="1">RAND()*(Validation[[#This Row],[Range1_High]]-Validation[[#This Row],[Range1_Low]])+Validation[[#This Row],[Range1_Low]]</f>
        <v>1767.0002855079961</v>
      </c>
      <c r="S2139">
        <f>Validation[[#This Row],[Range2_High]]</f>
        <v>0</v>
      </c>
      <c r="T2139" t="str" cm="1">
        <f t="array" aca="1" ref="T2139" ca="1">RoundToTwoSigFigs(Validation[[#This Row],[Test Reading]]*Validation[[#This Row],[Mult]]+Validation[[#This Row],[Base]]) &amp;" "&amp;Validation[[#This Row],[Uncert_Units]]</f>
        <v>0.54 °C</v>
      </c>
      <c r="U2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V2139" t="b">
        <f ca="1">Validation[[#This Row],[Desired Result]]=Validation[[#This Row],[Result]]</f>
        <v>1</v>
      </c>
      <c r="W2139" t="b">
        <v>0</v>
      </c>
      <c r="X2139" t="b">
        <f>Validation[[#This Row],[Range1_Low]]&gt;=Validation[[#This Row],[Range1_High]]</f>
        <v>0</v>
      </c>
      <c r="Y2139" s="111" t="s">
        <v>2845</v>
      </c>
    </row>
    <row r="2140" spans="1:25" ht="16.5" thickTop="1" thickBot="1" x14ac:dyDescent="0.3">
      <c r="A2140" t="s">
        <v>54</v>
      </c>
      <c r="B2140" t="s">
        <v>93</v>
      </c>
      <c r="C2140" s="113">
        <v>1000</v>
      </c>
      <c r="D2140" s="113">
        <v>1767</v>
      </c>
      <c r="E2140">
        <v>0.1</v>
      </c>
      <c r="F2140" t="s">
        <v>23</v>
      </c>
      <c r="G2140" t="s">
        <v>23</v>
      </c>
      <c r="H2140">
        <v>0</v>
      </c>
      <c r="I2140">
        <v>0</v>
      </c>
      <c r="J2140" t="s">
        <v>2833</v>
      </c>
      <c r="K2140">
        <v>0.53997687599999999</v>
      </c>
      <c r="L2140">
        <v>0</v>
      </c>
      <c r="M2140">
        <v>0.53619821999999995</v>
      </c>
      <c r="N2140">
        <v>0</v>
      </c>
      <c r="O2140" t="s">
        <v>2833</v>
      </c>
      <c r="P2140" t="s">
        <v>2833</v>
      </c>
      <c r="Q2140" t="s">
        <v>163</v>
      </c>
      <c r="R2140">
        <f ca="1">RAND()*(Validation[[#This Row],[Range1_High]]-Validation[[#This Row],[Range1_Low]])+Validation[[#This Row],[Range1_Low]]</f>
        <v>1577.4541375629137</v>
      </c>
      <c r="S2140">
        <f>Validation[[#This Row],[Range2_High]]</f>
        <v>0</v>
      </c>
      <c r="T2140" t="str" cm="1">
        <f t="array" aca="1" ref="T2140" ca="1">RoundToTwoSigFigs(Validation[[#This Row],[Test Reading]]*Validation[[#This Row],[Mult]]+Validation[[#This Row],[Base]]) &amp;" "&amp;Validation[[#This Row],[Uncert_Units]]</f>
        <v>0.54 °C</v>
      </c>
      <c r="U2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V2140" t="b">
        <f ca="1">Validation[[#This Row],[Desired Result]]=Validation[[#This Row],[Result]]</f>
        <v>1</v>
      </c>
      <c r="W2140" t="b">
        <v>1</v>
      </c>
      <c r="X2140" t="b">
        <f>Validation[[#This Row],[Range1_Low]]&gt;=Validation[[#This Row],[Range1_High]]</f>
        <v>0</v>
      </c>
      <c r="Y2140" s="111" t="s">
        <v>2843</v>
      </c>
    </row>
    <row r="2141" spans="1:25" ht="15.75" thickTop="1" x14ac:dyDescent="0.25">
      <c r="A2141" t="s">
        <v>54</v>
      </c>
      <c r="B2141" t="s">
        <v>93</v>
      </c>
      <c r="C2141">
        <v>0</v>
      </c>
      <c r="D2141">
        <v>250.1</v>
      </c>
      <c r="E2141">
        <v>1</v>
      </c>
      <c r="F2141" t="s">
        <v>23</v>
      </c>
      <c r="G2141" t="s">
        <v>23</v>
      </c>
      <c r="H2141">
        <v>0</v>
      </c>
      <c r="I2141">
        <v>0</v>
      </c>
      <c r="J2141" t="s">
        <v>2833</v>
      </c>
      <c r="K2141">
        <v>0.89034406399999999</v>
      </c>
      <c r="L2141">
        <v>0</v>
      </c>
      <c r="M2141">
        <v>0.87946017899999995</v>
      </c>
      <c r="N2141">
        <v>0</v>
      </c>
      <c r="O2141" t="s">
        <v>2833</v>
      </c>
      <c r="P2141" t="s">
        <v>2833</v>
      </c>
      <c r="Q2141" t="s">
        <v>163</v>
      </c>
      <c r="R2141">
        <f ca="1">RAND()*(Validation[[#This Row],[Range1_High]]-Validation[[#This Row],[Range1_Low]])+Validation[[#This Row],[Range1_Low]]</f>
        <v>150.66368579362495</v>
      </c>
      <c r="S2141">
        <f>Validation[[#This Row],[Range2_High]]</f>
        <v>0</v>
      </c>
      <c r="T2141" t="str" cm="1">
        <f t="array" aca="1" ref="T2141" ca="1">RoundToTwoSigFigs(Validation[[#This Row],[Test Reading]]*Validation[[#This Row],[Mult]]+Validation[[#This Row],[Base]]) &amp;" "&amp;Validation[[#This Row],[Uncert_Units]]</f>
        <v>0.89 °C</v>
      </c>
      <c r="U2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V2141" t="b">
        <f ca="1">Validation[[#This Row],[Desired Result]]=Validation[[#This Row],[Result]]</f>
        <v>1</v>
      </c>
      <c r="W2141" t="b">
        <v>0</v>
      </c>
      <c r="X2141" t="b">
        <f>Validation[[#This Row],[Range1_Low]]&gt;=Validation[[#This Row],[Range1_High]]</f>
        <v>0</v>
      </c>
      <c r="Y2141" s="111" t="s">
        <v>2845</v>
      </c>
    </row>
    <row r="2142" spans="1:25" ht="15.75" thickBot="1" x14ac:dyDescent="0.3">
      <c r="A2142" t="s">
        <v>54</v>
      </c>
      <c r="B2142" t="s">
        <v>94</v>
      </c>
      <c r="C2142">
        <v>1000</v>
      </c>
      <c r="D2142">
        <v>1400.1</v>
      </c>
      <c r="E2142">
        <v>1</v>
      </c>
      <c r="F2142" t="s">
        <v>23</v>
      </c>
      <c r="G2142" t="s">
        <v>23</v>
      </c>
      <c r="H2142">
        <v>0</v>
      </c>
      <c r="I2142">
        <v>0</v>
      </c>
      <c r="J2142" t="s">
        <v>2833</v>
      </c>
      <c r="K2142">
        <v>0.73114260799999997</v>
      </c>
      <c r="L2142">
        <v>0</v>
      </c>
      <c r="M2142">
        <v>0.71993300599999999</v>
      </c>
      <c r="N2142">
        <v>0</v>
      </c>
      <c r="O2142" t="s">
        <v>2833</v>
      </c>
      <c r="P2142" t="s">
        <v>2833</v>
      </c>
      <c r="Q2142" t="s">
        <v>164</v>
      </c>
      <c r="R2142">
        <f ca="1">RAND()*(Validation[[#This Row],[Range1_High]]-Validation[[#This Row],[Range1_Low]])+Validation[[#This Row],[Range1_Low]]</f>
        <v>1332.4624163886274</v>
      </c>
      <c r="S2142">
        <f>Validation[[#This Row],[Range2_High]]</f>
        <v>0</v>
      </c>
      <c r="T2142" t="str" cm="1">
        <f t="array" aca="1" ref="T2142" ca="1">RoundToTwoSigFigs(Validation[[#This Row],[Test Reading]]*Validation[[#This Row],[Mult]]+Validation[[#This Row],[Base]]) &amp;" "&amp;Validation[[#This Row],[Uncert_Units]]</f>
        <v>0.73 °C</v>
      </c>
      <c r="U2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V2142" t="b">
        <f ca="1">Validation[[#This Row],[Desired Result]]=Validation[[#This Row],[Result]]</f>
        <v>1</v>
      </c>
      <c r="W2142" t="b">
        <v>0</v>
      </c>
      <c r="X2142" t="b">
        <f>Validation[[#This Row],[Range1_Low]]&gt;=Validation[[#This Row],[Range1_High]]</f>
        <v>0</v>
      </c>
      <c r="Y2142" s="111" t="s">
        <v>2845</v>
      </c>
    </row>
    <row r="2143" spans="1:25" ht="16.5" thickTop="1" thickBot="1" x14ac:dyDescent="0.3">
      <c r="A2143" t="s">
        <v>54</v>
      </c>
      <c r="B2143" t="s">
        <v>94</v>
      </c>
      <c r="C2143" s="113">
        <v>1400</v>
      </c>
      <c r="D2143" s="113">
        <v>1767</v>
      </c>
      <c r="E2143">
        <v>0.1</v>
      </c>
      <c r="F2143" t="s">
        <v>23</v>
      </c>
      <c r="G2143" t="s">
        <v>23</v>
      </c>
      <c r="H2143">
        <v>0</v>
      </c>
      <c r="I2143">
        <v>0</v>
      </c>
      <c r="J2143" t="s">
        <v>2833</v>
      </c>
      <c r="K2143">
        <v>0.54056503099999997</v>
      </c>
      <c r="L2143">
        <v>0</v>
      </c>
      <c r="M2143">
        <v>0.53679051499999997</v>
      </c>
      <c r="N2143">
        <v>0</v>
      </c>
      <c r="O2143" t="s">
        <v>2833</v>
      </c>
      <c r="P2143" t="s">
        <v>2833</v>
      </c>
      <c r="Q2143" t="s">
        <v>164</v>
      </c>
      <c r="R2143">
        <f ca="1">RAND()*(Validation[[#This Row],[Range1_High]]-Validation[[#This Row],[Range1_Low]])+Validation[[#This Row],[Range1_Low]]</f>
        <v>1424.9058895191413</v>
      </c>
      <c r="S2143">
        <f>Validation[[#This Row],[Range2_High]]</f>
        <v>0</v>
      </c>
      <c r="T2143" t="str" cm="1">
        <f t="array" aca="1" ref="T2143" ca="1">RoundToTwoSigFigs(Validation[[#This Row],[Test Reading]]*Validation[[#This Row],[Mult]]+Validation[[#This Row],[Base]]) &amp;" "&amp;Validation[[#This Row],[Uncert_Units]]</f>
        <v>0.54 °C</v>
      </c>
      <c r="U2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V2143" t="b">
        <f ca="1">Validation[[#This Row],[Desired Result]]=Validation[[#This Row],[Result]]</f>
        <v>1</v>
      </c>
      <c r="W2143" t="b">
        <v>1</v>
      </c>
      <c r="X2143" t="b">
        <f>Validation[[#This Row],[Range1_Low]]&gt;=Validation[[#This Row],[Range1_High]]</f>
        <v>0</v>
      </c>
      <c r="Y2143" s="111" t="s">
        <v>2843</v>
      </c>
    </row>
    <row r="2144" spans="1:25" ht="16.5" thickTop="1" thickBot="1" x14ac:dyDescent="0.3">
      <c r="A2144" t="s">
        <v>54</v>
      </c>
      <c r="B2144" t="s">
        <v>94</v>
      </c>
      <c r="C2144" s="113">
        <v>250</v>
      </c>
      <c r="D2144" s="113">
        <v>1000.1</v>
      </c>
      <c r="E2144">
        <v>1</v>
      </c>
      <c r="F2144" t="s">
        <v>23</v>
      </c>
      <c r="G2144" t="s">
        <v>23</v>
      </c>
      <c r="H2144">
        <v>0</v>
      </c>
      <c r="I2144">
        <v>0</v>
      </c>
      <c r="J2144" t="s">
        <v>2833</v>
      </c>
      <c r="K2144">
        <v>0.72528198700000002</v>
      </c>
      <c r="L2144">
        <v>0</v>
      </c>
      <c r="M2144">
        <v>0.71398037800000003</v>
      </c>
      <c r="N2144">
        <v>0</v>
      </c>
      <c r="O2144" t="s">
        <v>2833</v>
      </c>
      <c r="P2144" t="s">
        <v>2833</v>
      </c>
      <c r="Q2144" t="s">
        <v>164</v>
      </c>
      <c r="R2144">
        <f ca="1">RAND()*(Validation[[#This Row],[Range1_High]]-Validation[[#This Row],[Range1_Low]])+Validation[[#This Row],[Range1_Low]]</f>
        <v>788.90989954336237</v>
      </c>
      <c r="S2144">
        <f>Validation[[#This Row],[Range2_High]]</f>
        <v>0</v>
      </c>
      <c r="T2144" t="str" cm="1">
        <f t="array" aca="1" ref="T2144" ca="1">RoundToTwoSigFigs(Validation[[#This Row],[Test Reading]]*Validation[[#This Row],[Mult]]+Validation[[#This Row],[Base]]) &amp;" "&amp;Validation[[#This Row],[Uncert_Units]]</f>
        <v>0.73 °C</v>
      </c>
      <c r="U2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V2144" t="b">
        <f ca="1">Validation[[#This Row],[Desired Result]]=Validation[[#This Row],[Result]]</f>
        <v>1</v>
      </c>
      <c r="W2144" t="b">
        <v>1</v>
      </c>
      <c r="X2144" t="b">
        <f>Validation[[#This Row],[Range1_Low]]&gt;=Validation[[#This Row],[Range1_High]]</f>
        <v>0</v>
      </c>
      <c r="Y2144" s="111" t="s">
        <v>2843</v>
      </c>
    </row>
    <row r="2145" spans="1:25" ht="16.5" thickTop="1" thickBot="1" x14ac:dyDescent="0.3">
      <c r="A2145" t="s">
        <v>55</v>
      </c>
      <c r="B2145" t="s">
        <v>94</v>
      </c>
      <c r="C2145">
        <v>593.00099999999998</v>
      </c>
      <c r="D2145">
        <v>1204</v>
      </c>
      <c r="E2145">
        <v>1</v>
      </c>
      <c r="F2145" t="s">
        <v>23</v>
      </c>
      <c r="G2145" t="s">
        <v>23</v>
      </c>
      <c r="H2145">
        <v>0</v>
      </c>
      <c r="I2145">
        <v>0</v>
      </c>
      <c r="J2145" t="s">
        <v>2833</v>
      </c>
      <c r="K2145">
        <v>0.59383916599999997</v>
      </c>
      <c r="L2145">
        <v>0</v>
      </c>
      <c r="M2145">
        <v>0.57998187400000001</v>
      </c>
      <c r="N2145">
        <v>0</v>
      </c>
      <c r="O2145" t="s">
        <v>2833</v>
      </c>
      <c r="P2145" t="s">
        <v>2833</v>
      </c>
      <c r="Q2145" t="s">
        <v>164</v>
      </c>
      <c r="R2145">
        <f ca="1">RAND()*(Validation[[#This Row],[Range1_High]]-Validation[[#This Row],[Range1_Low]])+Validation[[#This Row],[Range1_Low]]</f>
        <v>594.25655956780565</v>
      </c>
      <c r="S2145">
        <f>Validation[[#This Row],[Range2_High]]</f>
        <v>0</v>
      </c>
      <c r="T2145" t="str" cm="1">
        <f t="array" aca="1" ref="T2145" ca="1">RoundToTwoSigFigs(Validation[[#This Row],[Test Reading]]*Validation[[#This Row],[Mult]]+Validation[[#This Row],[Base]]) &amp;" "&amp;Validation[[#This Row],[Uncert_Units]]</f>
        <v>0.59 °C</v>
      </c>
      <c r="U2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2145" t="b">
        <f ca="1">Validation[[#This Row],[Desired Result]]=Validation[[#This Row],[Result]]</f>
        <v>1</v>
      </c>
      <c r="W2145" t="b">
        <v>0</v>
      </c>
      <c r="X2145" t="b">
        <f>Validation[[#This Row],[Range1_Low]]&gt;=Validation[[#This Row],[Range1_High]]</f>
        <v>0</v>
      </c>
      <c r="Y2145" s="111" t="s">
        <v>2845</v>
      </c>
    </row>
    <row r="2146" spans="1:25" ht="16.5" thickTop="1" thickBot="1" x14ac:dyDescent="0.3">
      <c r="A2146" t="s">
        <v>54</v>
      </c>
      <c r="B2146" t="s">
        <v>94</v>
      </c>
      <c r="C2146" s="113">
        <v>1400</v>
      </c>
      <c r="D2146" s="113">
        <v>1767</v>
      </c>
      <c r="E2146">
        <v>1</v>
      </c>
      <c r="F2146" t="s">
        <v>23</v>
      </c>
      <c r="G2146" t="s">
        <v>23</v>
      </c>
      <c r="H2146">
        <v>0</v>
      </c>
      <c r="I2146">
        <v>0</v>
      </c>
      <c r="J2146" t="s">
        <v>2833</v>
      </c>
      <c r="K2146">
        <v>0.79649861099999997</v>
      </c>
      <c r="L2146">
        <v>0</v>
      </c>
      <c r="M2146">
        <v>0.786221379</v>
      </c>
      <c r="N2146">
        <v>0</v>
      </c>
      <c r="O2146" t="s">
        <v>2833</v>
      </c>
      <c r="P2146" t="s">
        <v>2833</v>
      </c>
      <c r="Q2146" t="s">
        <v>164</v>
      </c>
      <c r="R2146">
        <f ca="1">RAND()*(Validation[[#This Row],[Range1_High]]-Validation[[#This Row],[Range1_Low]])+Validation[[#This Row],[Range1_Low]]</f>
        <v>1562.5993861363315</v>
      </c>
      <c r="S2146">
        <f>Validation[[#This Row],[Range2_High]]</f>
        <v>0</v>
      </c>
      <c r="T2146" t="str" cm="1">
        <f t="array" aca="1" ref="T2146" ca="1">RoundToTwoSigFigs(Validation[[#This Row],[Test Reading]]*Validation[[#This Row],[Mult]]+Validation[[#This Row],[Base]]) &amp;" "&amp;Validation[[#This Row],[Uncert_Units]]</f>
        <v>0.8 °C</v>
      </c>
      <c r="U2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V2146" t="b">
        <f ca="1">Validation[[#This Row],[Desired Result]]=Validation[[#This Row],[Result]]</f>
        <v>1</v>
      </c>
      <c r="W2146" t="b">
        <v>1</v>
      </c>
      <c r="X2146" t="b">
        <f>Validation[[#This Row],[Range1_Low]]&gt;=Validation[[#This Row],[Range1_High]]</f>
        <v>0</v>
      </c>
      <c r="Y2146" s="111" t="s">
        <v>2843</v>
      </c>
    </row>
    <row r="2147" spans="1:25" ht="16.5" thickTop="1" thickBot="1" x14ac:dyDescent="0.3">
      <c r="A2147" t="s">
        <v>55</v>
      </c>
      <c r="B2147" t="s">
        <v>94</v>
      </c>
      <c r="C2147">
        <v>-50</v>
      </c>
      <c r="D2147">
        <v>-1E-3</v>
      </c>
      <c r="E2147">
        <v>0.1</v>
      </c>
      <c r="F2147" t="s">
        <v>23</v>
      </c>
      <c r="G2147" t="s">
        <v>23</v>
      </c>
      <c r="H2147">
        <v>0</v>
      </c>
      <c r="I2147">
        <v>0</v>
      </c>
      <c r="J2147" t="s">
        <v>2833</v>
      </c>
      <c r="K2147">
        <v>0.13149422599999999</v>
      </c>
      <c r="L2147">
        <v>0</v>
      </c>
      <c r="M2147">
        <v>0.111692189</v>
      </c>
      <c r="N2147">
        <v>0</v>
      </c>
      <c r="O2147" t="s">
        <v>2833</v>
      </c>
      <c r="P2147" t="s">
        <v>2833</v>
      </c>
      <c r="Q2147" t="s">
        <v>164</v>
      </c>
      <c r="R2147">
        <f ca="1">RAND()*(Validation[[#This Row],[Range1_High]]-Validation[[#This Row],[Range1_Low]])+Validation[[#This Row],[Range1_Low]]</f>
        <v>-17.81473052662389</v>
      </c>
      <c r="S2147">
        <f>Validation[[#This Row],[Range2_High]]</f>
        <v>0</v>
      </c>
      <c r="T2147" t="str" cm="1">
        <f t="array" aca="1" ref="T2147" ca="1">RoundToTwoSigFigs(Validation[[#This Row],[Test Reading]]*Validation[[#This Row],[Mult]]+Validation[[#This Row],[Base]]) &amp;" "&amp;Validation[[#This Row],[Uncert_Units]]</f>
        <v>0.13 °C</v>
      </c>
      <c r="U2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V2147" t="b">
        <f ca="1">Validation[[#This Row],[Desired Result]]=Validation[[#This Row],[Result]]</f>
        <v>1</v>
      </c>
      <c r="W2147" t="b">
        <v>0</v>
      </c>
      <c r="X2147" t="b">
        <f>Validation[[#This Row],[Range1_Low]]&gt;=Validation[[#This Row],[Range1_High]]</f>
        <v>0</v>
      </c>
      <c r="Y2147" s="111" t="s">
        <v>2845</v>
      </c>
    </row>
    <row r="2148" spans="1:25" ht="16.5" thickTop="1" thickBot="1" x14ac:dyDescent="0.3">
      <c r="A2148" t="s">
        <v>54</v>
      </c>
      <c r="B2148" t="s">
        <v>94</v>
      </c>
      <c r="C2148" s="113">
        <v>250</v>
      </c>
      <c r="D2148" s="113">
        <v>1000.1</v>
      </c>
      <c r="E2148">
        <v>0.1</v>
      </c>
      <c r="F2148" t="s">
        <v>23</v>
      </c>
      <c r="G2148" t="s">
        <v>23</v>
      </c>
      <c r="H2148">
        <v>0</v>
      </c>
      <c r="I2148">
        <v>0</v>
      </c>
      <c r="J2148" t="s">
        <v>2833</v>
      </c>
      <c r="K2148">
        <v>0.42875922700000002</v>
      </c>
      <c r="L2148">
        <v>0</v>
      </c>
      <c r="M2148">
        <v>0.42399054200000003</v>
      </c>
      <c r="N2148">
        <v>0</v>
      </c>
      <c r="O2148" t="s">
        <v>2833</v>
      </c>
      <c r="P2148" t="s">
        <v>2833</v>
      </c>
      <c r="Q2148" t="s">
        <v>164</v>
      </c>
      <c r="R2148">
        <f ca="1">RAND()*(Validation[[#This Row],[Range1_High]]-Validation[[#This Row],[Range1_Low]])+Validation[[#This Row],[Range1_Low]]</f>
        <v>963.12614862006262</v>
      </c>
      <c r="S2148">
        <f>Validation[[#This Row],[Range2_High]]</f>
        <v>0</v>
      </c>
      <c r="T2148" t="str" cm="1">
        <f t="array" aca="1" ref="T2148" ca="1">RoundToTwoSigFigs(Validation[[#This Row],[Test Reading]]*Validation[[#This Row],[Mult]]+Validation[[#This Row],[Base]]) &amp;" "&amp;Validation[[#This Row],[Uncert_Units]]</f>
        <v>0.43 °C</v>
      </c>
      <c r="U2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V2148" t="b">
        <f ca="1">Validation[[#This Row],[Desired Result]]=Validation[[#This Row],[Result]]</f>
        <v>1</v>
      </c>
      <c r="W2148" t="b">
        <v>1</v>
      </c>
      <c r="X2148" t="b">
        <f>Validation[[#This Row],[Range1_Low]]&gt;=Validation[[#This Row],[Range1_High]]</f>
        <v>0</v>
      </c>
      <c r="Y2148" s="111" t="s">
        <v>2843</v>
      </c>
    </row>
    <row r="2149" spans="1:25" ht="15.75" thickTop="1" x14ac:dyDescent="0.25">
      <c r="A2149" t="s">
        <v>55</v>
      </c>
      <c r="B2149" t="s">
        <v>94</v>
      </c>
      <c r="C2149">
        <v>1204.001</v>
      </c>
      <c r="D2149">
        <v>1768</v>
      </c>
      <c r="E2149">
        <v>1</v>
      </c>
      <c r="F2149" t="s">
        <v>23</v>
      </c>
      <c r="G2149" t="s">
        <v>23</v>
      </c>
      <c r="H2149">
        <v>0</v>
      </c>
      <c r="I2149">
        <v>0</v>
      </c>
      <c r="J2149" t="s">
        <v>2833</v>
      </c>
      <c r="K2149">
        <v>0.59549341300000003</v>
      </c>
      <c r="L2149">
        <v>0</v>
      </c>
      <c r="M2149">
        <v>0.58167553100000002</v>
      </c>
      <c r="N2149">
        <v>0</v>
      </c>
      <c r="O2149" t="s">
        <v>2833</v>
      </c>
      <c r="P2149" t="s">
        <v>2833</v>
      </c>
      <c r="Q2149" t="s">
        <v>164</v>
      </c>
      <c r="R2149">
        <f ca="1">RAND()*(Validation[[#This Row],[Range1_High]]-Validation[[#This Row],[Range1_Low]])+Validation[[#This Row],[Range1_Low]]</f>
        <v>1427.7702819635447</v>
      </c>
      <c r="S2149">
        <f>Validation[[#This Row],[Range2_High]]</f>
        <v>0</v>
      </c>
      <c r="T2149" t="str" cm="1">
        <f t="array" aca="1" ref="T2149" ca="1">RoundToTwoSigFigs(Validation[[#This Row],[Test Reading]]*Validation[[#This Row],[Mult]]+Validation[[#This Row],[Base]]) &amp;" "&amp;Validation[[#This Row],[Uncert_Units]]</f>
        <v>0.6 °C</v>
      </c>
      <c r="U2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2149" t="b">
        <f ca="1">Validation[[#This Row],[Desired Result]]=Validation[[#This Row],[Result]]</f>
        <v>1</v>
      </c>
      <c r="W2149" t="b">
        <v>0</v>
      </c>
      <c r="X2149" t="b">
        <f>Validation[[#This Row],[Range1_Low]]&gt;=Validation[[#This Row],[Range1_High]]</f>
        <v>0</v>
      </c>
      <c r="Y2149" s="111" t="s">
        <v>2845</v>
      </c>
    </row>
    <row r="2150" spans="1:25" ht="15.75" thickBot="1" x14ac:dyDescent="0.3">
      <c r="A2150" t="s">
        <v>55</v>
      </c>
      <c r="B2150" t="s">
        <v>95</v>
      </c>
      <c r="C2150">
        <v>-270</v>
      </c>
      <c r="D2150">
        <v>-240.001</v>
      </c>
      <c r="E2150">
        <v>1</v>
      </c>
      <c r="F2150" t="s">
        <v>23</v>
      </c>
      <c r="G2150" t="s">
        <v>23</v>
      </c>
      <c r="H2150">
        <v>0</v>
      </c>
      <c r="I2150">
        <v>0</v>
      </c>
      <c r="J2150" t="s">
        <v>2833</v>
      </c>
      <c r="K2150">
        <v>0.63746254099999999</v>
      </c>
      <c r="L2150">
        <v>0</v>
      </c>
      <c r="M2150">
        <v>0.62062058600000003</v>
      </c>
      <c r="N2150">
        <v>0</v>
      </c>
      <c r="O2150" t="s">
        <v>2833</v>
      </c>
      <c r="P2150" t="s">
        <v>2833</v>
      </c>
      <c r="Q2150" t="s">
        <v>165</v>
      </c>
      <c r="R2150">
        <f ca="1">RAND()*(Validation[[#This Row],[Range1_High]]-Validation[[#This Row],[Range1_Low]])+Validation[[#This Row],[Range1_Low]]</f>
        <v>-253.30400410337526</v>
      </c>
      <c r="S2150">
        <f>Validation[[#This Row],[Range2_High]]</f>
        <v>0</v>
      </c>
      <c r="T2150" t="str" cm="1">
        <f t="array" aca="1" ref="T2150" ca="1">RoundToTwoSigFigs(Validation[[#This Row],[Test Reading]]*Validation[[#This Row],[Mult]]+Validation[[#This Row],[Base]]) &amp;" "&amp;Validation[[#This Row],[Uncert_Units]]</f>
        <v>0.64 °C</v>
      </c>
      <c r="U2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V2150" t="b">
        <f ca="1">Validation[[#This Row],[Desired Result]]=Validation[[#This Row],[Result]]</f>
        <v>1</v>
      </c>
      <c r="W2150" t="b">
        <v>0</v>
      </c>
      <c r="X2150" t="b">
        <f>Validation[[#This Row],[Range1_Low]]&gt;=Validation[[#This Row],[Range1_High]]</f>
        <v>0</v>
      </c>
      <c r="Y2150" s="111" t="s">
        <v>2845</v>
      </c>
    </row>
    <row r="2151" spans="1:25" ht="16.5" thickTop="1" thickBot="1" x14ac:dyDescent="0.3">
      <c r="A2151" t="s">
        <v>54</v>
      </c>
      <c r="B2151" t="s">
        <v>95</v>
      </c>
      <c r="C2151" s="113">
        <v>120</v>
      </c>
      <c r="D2151" s="113">
        <v>400</v>
      </c>
      <c r="E2151">
        <v>0.1</v>
      </c>
      <c r="F2151" t="s">
        <v>23</v>
      </c>
      <c r="G2151" t="s">
        <v>23</v>
      </c>
      <c r="H2151">
        <v>0</v>
      </c>
      <c r="I2151">
        <v>0</v>
      </c>
      <c r="J2151" t="s">
        <v>2833</v>
      </c>
      <c r="K2151">
        <v>0.17895368</v>
      </c>
      <c r="L2151">
        <v>0</v>
      </c>
      <c r="M2151">
        <v>0.17487064799999999</v>
      </c>
      <c r="N2151">
        <v>0</v>
      </c>
      <c r="O2151" t="s">
        <v>2833</v>
      </c>
      <c r="P2151" t="s">
        <v>2833</v>
      </c>
      <c r="Q2151" t="s">
        <v>165</v>
      </c>
      <c r="R2151">
        <f ca="1">RAND()*(Validation[[#This Row],[Range1_High]]-Validation[[#This Row],[Range1_Low]])+Validation[[#This Row],[Range1_Low]]</f>
        <v>278.91842715108947</v>
      </c>
      <c r="S2151">
        <f>Validation[[#This Row],[Range2_High]]</f>
        <v>0</v>
      </c>
      <c r="T2151" t="str" cm="1">
        <f t="array" aca="1" ref="T2151" ca="1">RoundToTwoSigFigs(Validation[[#This Row],[Test Reading]]*Validation[[#This Row],[Mult]]+Validation[[#This Row],[Base]]) &amp;" "&amp;Validation[[#This Row],[Uncert_Units]]</f>
        <v>0.18 °C</v>
      </c>
      <c r="U2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V2151" t="b">
        <f ca="1">Validation[[#This Row],[Desired Result]]=Validation[[#This Row],[Result]]</f>
        <v>1</v>
      </c>
      <c r="W2151" t="b">
        <v>1</v>
      </c>
      <c r="X2151" t="b">
        <f>Validation[[#This Row],[Range1_Low]]&gt;=Validation[[#This Row],[Range1_High]]</f>
        <v>0</v>
      </c>
      <c r="Y2151" s="111" t="s">
        <v>2843</v>
      </c>
    </row>
    <row r="2152" spans="1:25" ht="15.75" thickTop="1" x14ac:dyDescent="0.25">
      <c r="A2152" t="s">
        <v>54</v>
      </c>
      <c r="B2152" t="s">
        <v>95</v>
      </c>
      <c r="C2152">
        <v>-250</v>
      </c>
      <c r="D2152">
        <v>-149.9</v>
      </c>
      <c r="E2152">
        <v>0.1</v>
      </c>
      <c r="F2152" t="s">
        <v>23</v>
      </c>
      <c r="G2152" t="s">
        <v>23</v>
      </c>
      <c r="H2152">
        <v>0</v>
      </c>
      <c r="I2152">
        <v>0</v>
      </c>
      <c r="J2152" t="s">
        <v>2833</v>
      </c>
      <c r="K2152">
        <v>0.55536480200000005</v>
      </c>
      <c r="L2152">
        <v>0</v>
      </c>
      <c r="M2152">
        <v>0.55057507900000002</v>
      </c>
      <c r="N2152">
        <v>0</v>
      </c>
      <c r="O2152" t="s">
        <v>2833</v>
      </c>
      <c r="P2152" t="s">
        <v>2833</v>
      </c>
      <c r="Q2152" t="s">
        <v>165</v>
      </c>
      <c r="R2152">
        <f ca="1">RAND()*(Validation[[#This Row],[Range1_High]]-Validation[[#This Row],[Range1_Low]])+Validation[[#This Row],[Range1_Low]]</f>
        <v>-160.63149012901891</v>
      </c>
      <c r="S2152">
        <f>Validation[[#This Row],[Range2_High]]</f>
        <v>0</v>
      </c>
      <c r="T2152" t="str" cm="1">
        <f t="array" aca="1" ref="T2152" ca="1">RoundToTwoSigFigs(Validation[[#This Row],[Test Reading]]*Validation[[#This Row],[Mult]]+Validation[[#This Row],[Base]]) &amp;" "&amp;Validation[[#This Row],[Uncert_Units]]</f>
        <v>0.56 °C</v>
      </c>
      <c r="U2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V2152" t="b">
        <f ca="1">Validation[[#This Row],[Desired Result]]=Validation[[#This Row],[Result]]</f>
        <v>1</v>
      </c>
      <c r="W2152" t="b">
        <v>0</v>
      </c>
      <c r="X2152" t="b">
        <f>Validation[[#This Row],[Range1_Low]]&gt;=Validation[[#This Row],[Range1_High]]</f>
        <v>0</v>
      </c>
      <c r="Y2152" s="111" t="s">
        <v>2845</v>
      </c>
    </row>
    <row r="2153" spans="1:25" x14ac:dyDescent="0.25">
      <c r="A2153" t="s">
        <v>55</v>
      </c>
      <c r="B2153" t="s">
        <v>95</v>
      </c>
      <c r="C2153">
        <v>93</v>
      </c>
      <c r="D2153">
        <v>400</v>
      </c>
      <c r="E2153">
        <v>1</v>
      </c>
      <c r="F2153" t="s">
        <v>23</v>
      </c>
      <c r="G2153" t="s">
        <v>23</v>
      </c>
      <c r="H2153">
        <v>0</v>
      </c>
      <c r="I2153">
        <v>0</v>
      </c>
      <c r="J2153" t="s">
        <v>2833</v>
      </c>
      <c r="K2153">
        <v>0.58328401299999999</v>
      </c>
      <c r="L2153">
        <v>0</v>
      </c>
      <c r="M2153">
        <v>0.57830920500000005</v>
      </c>
      <c r="N2153">
        <v>0</v>
      </c>
      <c r="O2153" t="s">
        <v>2833</v>
      </c>
      <c r="P2153" t="s">
        <v>2833</v>
      </c>
      <c r="Q2153" t="s">
        <v>165</v>
      </c>
      <c r="R2153">
        <f ca="1">RAND()*(Validation[[#This Row],[Range1_High]]-Validation[[#This Row],[Range1_Low]])+Validation[[#This Row],[Range1_Low]]</f>
        <v>399.11172716785273</v>
      </c>
      <c r="S2153">
        <f>Validation[[#This Row],[Range2_High]]</f>
        <v>0</v>
      </c>
      <c r="T2153" t="str" cm="1">
        <f t="array" aca="1" ref="T2153" ca="1">RoundToTwoSigFigs(Validation[[#This Row],[Test Reading]]*Validation[[#This Row],[Mult]]+Validation[[#This Row],[Base]]) &amp;" "&amp;Validation[[#This Row],[Uncert_Units]]</f>
        <v>0.58 °C</v>
      </c>
      <c r="U2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53" t="b">
        <f ca="1">Validation[[#This Row],[Desired Result]]=Validation[[#This Row],[Result]]</f>
        <v>1</v>
      </c>
      <c r="W2153" t="b">
        <v>0</v>
      </c>
      <c r="X2153" t="b">
        <f>Validation[[#This Row],[Range1_Low]]&gt;=Validation[[#This Row],[Range1_High]]</f>
        <v>0</v>
      </c>
      <c r="Y2153" s="111" t="s">
        <v>2845</v>
      </c>
    </row>
    <row r="2154" spans="1:25" ht="15.75" thickBot="1" x14ac:dyDescent="0.3">
      <c r="A2154" t="s">
        <v>54</v>
      </c>
      <c r="B2154" t="s">
        <v>95</v>
      </c>
      <c r="C2154">
        <v>400</v>
      </c>
      <c r="D2154">
        <v>400.1</v>
      </c>
      <c r="E2154">
        <v>0.1</v>
      </c>
      <c r="F2154" t="s">
        <v>23</v>
      </c>
      <c r="G2154" t="s">
        <v>23</v>
      </c>
      <c r="H2154">
        <v>0</v>
      </c>
      <c r="I2154">
        <v>0</v>
      </c>
      <c r="J2154" t="s">
        <v>2833</v>
      </c>
      <c r="K2154">
        <v>0.17895368</v>
      </c>
      <c r="L2154">
        <v>0</v>
      </c>
      <c r="M2154">
        <v>0.17487064799999999</v>
      </c>
      <c r="N2154">
        <v>0</v>
      </c>
      <c r="O2154" t="s">
        <v>2833</v>
      </c>
      <c r="P2154" t="s">
        <v>2833</v>
      </c>
      <c r="Q2154" t="s">
        <v>165</v>
      </c>
      <c r="R2154">
        <f ca="1">RAND()*(Validation[[#This Row],[Range1_High]]-Validation[[#This Row],[Range1_Low]])+Validation[[#This Row],[Range1_Low]]</f>
        <v>400.01280837505902</v>
      </c>
      <c r="S2154">
        <f>Validation[[#This Row],[Range2_High]]</f>
        <v>0</v>
      </c>
      <c r="T2154" t="str" cm="1">
        <f t="array" aca="1" ref="T2154" ca="1">RoundToTwoSigFigs(Validation[[#This Row],[Test Reading]]*Validation[[#This Row],[Mult]]+Validation[[#This Row],[Base]]) &amp;" "&amp;Validation[[#This Row],[Uncert_Units]]</f>
        <v>0.18 °C</v>
      </c>
      <c r="U2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V2154" t="b">
        <f ca="1">Validation[[#This Row],[Desired Result]]=Validation[[#This Row],[Result]]</f>
        <v>1</v>
      </c>
      <c r="W2154" t="b">
        <v>0</v>
      </c>
      <c r="X2154" t="b">
        <f>Validation[[#This Row],[Range1_Low]]&gt;=Validation[[#This Row],[Range1_High]]</f>
        <v>0</v>
      </c>
      <c r="Y2154" s="111" t="s">
        <v>2845</v>
      </c>
    </row>
    <row r="2155" spans="1:25" ht="16.5" thickTop="1" thickBot="1" x14ac:dyDescent="0.3">
      <c r="A2155" t="s">
        <v>54</v>
      </c>
      <c r="B2155" t="s">
        <v>95</v>
      </c>
      <c r="C2155" s="113">
        <v>0</v>
      </c>
      <c r="D2155" s="113">
        <v>120.1</v>
      </c>
      <c r="E2155">
        <v>0.1</v>
      </c>
      <c r="F2155" t="s">
        <v>23</v>
      </c>
      <c r="G2155" t="s">
        <v>23</v>
      </c>
      <c r="H2155">
        <v>0</v>
      </c>
      <c r="I2155">
        <v>0</v>
      </c>
      <c r="J2155" t="s">
        <v>2833</v>
      </c>
      <c r="K2155">
        <v>0.20014928100000001</v>
      </c>
      <c r="L2155">
        <v>0</v>
      </c>
      <c r="M2155">
        <v>0.19650714699999999</v>
      </c>
      <c r="N2155">
        <v>0</v>
      </c>
      <c r="O2155" t="s">
        <v>2833</v>
      </c>
      <c r="P2155" t="s">
        <v>2833</v>
      </c>
      <c r="Q2155" t="s">
        <v>165</v>
      </c>
      <c r="R2155">
        <f ca="1">RAND()*(Validation[[#This Row],[Range1_High]]-Validation[[#This Row],[Range1_Low]])+Validation[[#This Row],[Range1_Low]]</f>
        <v>86.766150471524682</v>
      </c>
      <c r="S2155">
        <f>Validation[[#This Row],[Range2_High]]</f>
        <v>0</v>
      </c>
      <c r="T2155" t="str" cm="1">
        <f t="array" aca="1" ref="T2155" ca="1">RoundToTwoSigFigs(Validation[[#This Row],[Test Reading]]*Validation[[#This Row],[Mult]]+Validation[[#This Row],[Base]]) &amp;" "&amp;Validation[[#This Row],[Uncert_Units]]</f>
        <v>0.2 °C</v>
      </c>
      <c r="U2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V2155" t="b">
        <f ca="1">Validation[[#This Row],[Desired Result]]=Validation[[#This Row],[Result]]</f>
        <v>1</v>
      </c>
      <c r="W2155" t="b">
        <v>1</v>
      </c>
      <c r="X2155" t="b">
        <f>Validation[[#This Row],[Range1_Low]]&gt;=Validation[[#This Row],[Range1_High]]</f>
        <v>0</v>
      </c>
      <c r="Y2155" s="111" t="s">
        <v>2843</v>
      </c>
    </row>
    <row r="2156" spans="1:25" ht="15.75" thickTop="1" x14ac:dyDescent="0.25">
      <c r="A2156" t="s">
        <v>55</v>
      </c>
      <c r="B2156" t="s">
        <v>95</v>
      </c>
      <c r="C2156">
        <v>-240</v>
      </c>
      <c r="D2156">
        <v>92.998999999999995</v>
      </c>
      <c r="E2156">
        <v>0.1</v>
      </c>
      <c r="F2156" t="s">
        <v>23</v>
      </c>
      <c r="G2156" t="s">
        <v>23</v>
      </c>
      <c r="H2156">
        <v>0</v>
      </c>
      <c r="I2156">
        <v>0</v>
      </c>
      <c r="J2156" t="s">
        <v>2833</v>
      </c>
      <c r="K2156">
        <v>0.108409273</v>
      </c>
      <c r="L2156">
        <v>0</v>
      </c>
      <c r="M2156">
        <v>8.5819788999999994E-2</v>
      </c>
      <c r="N2156">
        <v>0</v>
      </c>
      <c r="O2156" t="s">
        <v>2833</v>
      </c>
      <c r="P2156" t="s">
        <v>2833</v>
      </c>
      <c r="Q2156" t="s">
        <v>165</v>
      </c>
      <c r="R2156">
        <f ca="1">RAND()*(Validation[[#This Row],[Range1_High]]-Validation[[#This Row],[Range1_Low]])+Validation[[#This Row],[Range1_Low]]</f>
        <v>50.034491039754528</v>
      </c>
      <c r="S2156">
        <f>Validation[[#This Row],[Range2_High]]</f>
        <v>0</v>
      </c>
      <c r="T2156" t="str" cm="1">
        <f t="array" aca="1" ref="T2156" ca="1">RoundToTwoSigFigs(Validation[[#This Row],[Test Reading]]*Validation[[#This Row],[Mult]]+Validation[[#This Row],[Base]]) &amp;" "&amp;Validation[[#This Row],[Uncert_Units]]</f>
        <v>0.11 °C</v>
      </c>
      <c r="U2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V2156" t="b">
        <f ca="1">Validation[[#This Row],[Desired Result]]=Validation[[#This Row],[Result]]</f>
        <v>1</v>
      </c>
      <c r="W2156" t="b">
        <v>0</v>
      </c>
      <c r="X2156" t="b">
        <f>Validation[[#This Row],[Range1_Low]]&gt;=Validation[[#This Row],[Range1_High]]</f>
        <v>0</v>
      </c>
      <c r="Y2156" s="111" t="s">
        <v>2845</v>
      </c>
    </row>
    <row r="2157" spans="1:25" x14ac:dyDescent="0.25">
      <c r="A2157" t="s">
        <v>54</v>
      </c>
      <c r="B2157" t="s">
        <v>95</v>
      </c>
      <c r="C2157">
        <v>-250</v>
      </c>
      <c r="D2157">
        <v>-149.9</v>
      </c>
      <c r="E2157">
        <v>1</v>
      </c>
      <c r="F2157" t="s">
        <v>23</v>
      </c>
      <c r="G2157" t="s">
        <v>23</v>
      </c>
      <c r="H2157">
        <v>0</v>
      </c>
      <c r="I2157">
        <v>0</v>
      </c>
      <c r="J2157" t="s">
        <v>2833</v>
      </c>
      <c r="K2157">
        <v>0.80890141400000004</v>
      </c>
      <c r="L2157">
        <v>0</v>
      </c>
      <c r="M2157">
        <v>0.79569649899999995</v>
      </c>
      <c r="N2157">
        <v>0</v>
      </c>
      <c r="O2157" t="s">
        <v>2833</v>
      </c>
      <c r="P2157" t="s">
        <v>2833</v>
      </c>
      <c r="Q2157" t="s">
        <v>165</v>
      </c>
      <c r="R2157">
        <f ca="1">RAND()*(Validation[[#This Row],[Range1_High]]-Validation[[#This Row],[Range1_Low]])+Validation[[#This Row],[Range1_Low]]</f>
        <v>-155.35362479325062</v>
      </c>
      <c r="S2157">
        <f>Validation[[#This Row],[Range2_High]]</f>
        <v>0</v>
      </c>
      <c r="T2157" t="str" cm="1">
        <f t="array" aca="1" ref="T2157" ca="1">RoundToTwoSigFigs(Validation[[#This Row],[Test Reading]]*Validation[[#This Row],[Mult]]+Validation[[#This Row],[Base]]) &amp;" "&amp;Validation[[#This Row],[Uncert_Units]]</f>
        <v>0.81 °C</v>
      </c>
      <c r="U2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V2157" t="b">
        <f ca="1">Validation[[#This Row],[Desired Result]]=Validation[[#This Row],[Result]]</f>
        <v>1</v>
      </c>
      <c r="W2157" t="b">
        <v>0</v>
      </c>
      <c r="X2157" t="b">
        <f>Validation[[#This Row],[Range1_Low]]&gt;=Validation[[#This Row],[Range1_High]]</f>
        <v>0</v>
      </c>
      <c r="Y2157" s="111" t="s">
        <v>2845</v>
      </c>
    </row>
    <row r="2158" spans="1:25" ht="15.75" thickBot="1" x14ac:dyDescent="0.3">
      <c r="A2158" t="s">
        <v>55</v>
      </c>
      <c r="B2158" t="s">
        <v>95</v>
      </c>
      <c r="C2158">
        <v>93</v>
      </c>
      <c r="D2158">
        <v>400</v>
      </c>
      <c r="E2158">
        <v>0.1</v>
      </c>
      <c r="F2158" t="s">
        <v>23</v>
      </c>
      <c r="G2158" t="s">
        <v>23</v>
      </c>
      <c r="H2158">
        <v>0</v>
      </c>
      <c r="I2158">
        <v>0</v>
      </c>
      <c r="J2158" t="s">
        <v>2833</v>
      </c>
      <c r="K2158">
        <v>7.6721655999999999E-2</v>
      </c>
      <c r="L2158">
        <v>0</v>
      </c>
      <c r="M2158">
        <v>6.6644854000000003E-2</v>
      </c>
      <c r="N2158">
        <v>0</v>
      </c>
      <c r="O2158" t="s">
        <v>2833</v>
      </c>
      <c r="P2158" t="s">
        <v>2833</v>
      </c>
      <c r="Q2158" t="s">
        <v>165</v>
      </c>
      <c r="R2158">
        <f ca="1">RAND()*(Validation[[#This Row],[Range1_High]]-Validation[[#This Row],[Range1_Low]])+Validation[[#This Row],[Range1_Low]]</f>
        <v>230.2685539641196</v>
      </c>
      <c r="S2158">
        <f>Validation[[#This Row],[Range2_High]]</f>
        <v>0</v>
      </c>
      <c r="T2158" t="str" cm="1">
        <f t="array" aca="1" ref="T2158" ca="1">RoundToTwoSigFigs(Validation[[#This Row],[Test Reading]]*Validation[[#This Row],[Mult]]+Validation[[#This Row],[Base]]) &amp;" "&amp;Validation[[#This Row],[Uncert_Units]]</f>
        <v>0.077 °C</v>
      </c>
      <c r="U2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V2158" t="b">
        <f ca="1">Validation[[#This Row],[Desired Result]]=Validation[[#This Row],[Result]]</f>
        <v>1</v>
      </c>
      <c r="W2158" t="b">
        <v>0</v>
      </c>
      <c r="X2158" t="b">
        <f>Validation[[#This Row],[Range1_Low]]&gt;=Validation[[#This Row],[Range1_High]]</f>
        <v>0</v>
      </c>
      <c r="Y2158" s="111" t="s">
        <v>2845</v>
      </c>
    </row>
    <row r="2159" spans="1:25" ht="16.5" thickTop="1" thickBot="1" x14ac:dyDescent="0.3">
      <c r="A2159" t="s">
        <v>54</v>
      </c>
      <c r="B2159" t="s">
        <v>96</v>
      </c>
      <c r="C2159" s="113">
        <v>300</v>
      </c>
      <c r="D2159" s="113">
        <v>400.1</v>
      </c>
      <c r="E2159">
        <v>0.1</v>
      </c>
      <c r="F2159" t="s">
        <v>23</v>
      </c>
      <c r="G2159" t="s">
        <v>23</v>
      </c>
      <c r="H2159">
        <v>0</v>
      </c>
      <c r="I2159">
        <v>0</v>
      </c>
      <c r="J2159" t="s">
        <v>2833</v>
      </c>
      <c r="K2159">
        <v>0.22203263600000001</v>
      </c>
      <c r="L2159">
        <v>0</v>
      </c>
      <c r="M2159">
        <v>0.21365959000000001</v>
      </c>
      <c r="N2159">
        <v>0</v>
      </c>
      <c r="O2159" t="s">
        <v>2833</v>
      </c>
      <c r="P2159" t="s">
        <v>2833</v>
      </c>
      <c r="Q2159" t="s">
        <v>166</v>
      </c>
      <c r="R2159">
        <f ca="1">RAND()*(Validation[[#This Row],[Range1_High]]-Validation[[#This Row],[Range1_Low]])+Validation[[#This Row],[Range1_Low]]</f>
        <v>331.44890107863603</v>
      </c>
      <c r="S2159">
        <f>Validation[[#This Row],[Range2_High]]</f>
        <v>0</v>
      </c>
      <c r="T2159" t="str" cm="1">
        <f t="array" aca="1" ref="T2159" ca="1">RoundToTwoSigFigs(Validation[[#This Row],[Test Reading]]*Validation[[#This Row],[Mult]]+Validation[[#This Row],[Base]]) &amp;" "&amp;Validation[[#This Row],[Uncert_Units]]</f>
        <v>0.22 °C</v>
      </c>
      <c r="U2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V2159" t="b">
        <f ca="1">Validation[[#This Row],[Desired Result]]=Validation[[#This Row],[Result]]</f>
        <v>1</v>
      </c>
      <c r="W2159" t="b">
        <v>1</v>
      </c>
      <c r="X2159" t="b">
        <f>Validation[[#This Row],[Range1_Low]]&gt;=Validation[[#This Row],[Range1_High]]</f>
        <v>0</v>
      </c>
      <c r="Y2159" s="111" t="s">
        <v>2843</v>
      </c>
    </row>
    <row r="2160" spans="1:25" ht="15.75" thickTop="1" x14ac:dyDescent="0.25">
      <c r="A2160" t="s">
        <v>55</v>
      </c>
      <c r="B2160" t="s">
        <v>96</v>
      </c>
      <c r="C2160">
        <v>204.44499999999999</v>
      </c>
      <c r="D2160">
        <v>426.66699999999997</v>
      </c>
      <c r="E2160">
        <v>1</v>
      </c>
      <c r="F2160" t="s">
        <v>23</v>
      </c>
      <c r="G2160" t="s">
        <v>23</v>
      </c>
      <c r="H2160">
        <v>0</v>
      </c>
      <c r="I2160">
        <v>0</v>
      </c>
      <c r="J2160" t="s">
        <v>2833</v>
      </c>
      <c r="K2160">
        <v>0.57770181799999998</v>
      </c>
      <c r="L2160">
        <v>0</v>
      </c>
      <c r="M2160">
        <v>0.57743644500000002</v>
      </c>
      <c r="N2160">
        <v>0</v>
      </c>
      <c r="O2160" t="s">
        <v>2833</v>
      </c>
      <c r="P2160" t="s">
        <v>2833</v>
      </c>
      <c r="Q2160" t="s">
        <v>166</v>
      </c>
      <c r="R2160">
        <f ca="1">RAND()*(Validation[[#This Row],[Range1_High]]-Validation[[#This Row],[Range1_Low]])+Validation[[#This Row],[Range1_Low]]</f>
        <v>413.99471602517747</v>
      </c>
      <c r="S2160">
        <f>Validation[[#This Row],[Range2_High]]</f>
        <v>0</v>
      </c>
      <c r="T2160" t="str" cm="1">
        <f t="array" aca="1" ref="T2160" ca="1">RoundToTwoSigFigs(Validation[[#This Row],[Test Reading]]*Validation[[#This Row],[Mult]]+Validation[[#This Row],[Base]]) &amp;" "&amp;Validation[[#This Row],[Uncert_Units]]</f>
        <v>0.58 °C</v>
      </c>
      <c r="U2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60" t="b">
        <f ca="1">Validation[[#This Row],[Desired Result]]=Validation[[#This Row],[Result]]</f>
        <v>1</v>
      </c>
      <c r="W2160" t="b">
        <v>0</v>
      </c>
      <c r="X2160" t="b">
        <f>Validation[[#This Row],[Range1_Low]]&gt;=Validation[[#This Row],[Range1_High]]</f>
        <v>0</v>
      </c>
      <c r="Y2160" s="111" t="s">
        <v>2845</v>
      </c>
    </row>
    <row r="2161" spans="1:25" ht="15.75" thickBot="1" x14ac:dyDescent="0.3">
      <c r="A2161" t="s">
        <v>54</v>
      </c>
      <c r="B2161" t="s">
        <v>96</v>
      </c>
      <c r="C2161">
        <v>100</v>
      </c>
      <c r="D2161">
        <v>300.10000000000002</v>
      </c>
      <c r="E2161">
        <v>1</v>
      </c>
      <c r="F2161" t="s">
        <v>23</v>
      </c>
      <c r="G2161" t="s">
        <v>23</v>
      </c>
      <c r="H2161">
        <v>0</v>
      </c>
      <c r="I2161">
        <v>0</v>
      </c>
      <c r="J2161" t="s">
        <v>2833</v>
      </c>
      <c r="K2161">
        <v>0.60945516600000005</v>
      </c>
      <c r="L2161">
        <v>0</v>
      </c>
      <c r="M2161">
        <v>0.59736363699999995</v>
      </c>
      <c r="N2161">
        <v>0</v>
      </c>
      <c r="O2161" t="s">
        <v>2833</v>
      </c>
      <c r="P2161" t="s">
        <v>2833</v>
      </c>
      <c r="Q2161" t="s">
        <v>166</v>
      </c>
      <c r="R2161">
        <f ca="1">RAND()*(Validation[[#This Row],[Range1_High]]-Validation[[#This Row],[Range1_Low]])+Validation[[#This Row],[Range1_Low]]</f>
        <v>192.95538371230271</v>
      </c>
      <c r="S2161">
        <f>Validation[[#This Row],[Range2_High]]</f>
        <v>0</v>
      </c>
      <c r="T2161" t="str" cm="1">
        <f t="array" aca="1" ref="T2161" ca="1">RoundToTwoSigFigs(Validation[[#This Row],[Test Reading]]*Validation[[#This Row],[Mult]]+Validation[[#This Row],[Base]]) &amp;" "&amp;Validation[[#This Row],[Uncert_Units]]</f>
        <v>0.61 °C</v>
      </c>
      <c r="U2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2161" t="b">
        <f ca="1">Validation[[#This Row],[Desired Result]]=Validation[[#This Row],[Result]]</f>
        <v>1</v>
      </c>
      <c r="W2161" t="b">
        <v>0</v>
      </c>
      <c r="X2161" t="b">
        <f>Validation[[#This Row],[Range1_Low]]&gt;=Validation[[#This Row],[Range1_High]]</f>
        <v>0</v>
      </c>
      <c r="Y2161" s="111" t="s">
        <v>2845</v>
      </c>
    </row>
    <row r="2162" spans="1:25" ht="16.5" thickTop="1" thickBot="1" x14ac:dyDescent="0.3">
      <c r="A2162" t="s">
        <v>54</v>
      </c>
      <c r="B2162" t="s">
        <v>96</v>
      </c>
      <c r="C2162" s="113">
        <v>630</v>
      </c>
      <c r="D2162" s="113">
        <v>800</v>
      </c>
      <c r="E2162">
        <v>0.1</v>
      </c>
      <c r="F2162" t="s">
        <v>23</v>
      </c>
      <c r="G2162" t="s">
        <v>23</v>
      </c>
      <c r="H2162">
        <v>0</v>
      </c>
      <c r="I2162">
        <v>0</v>
      </c>
      <c r="J2162" t="s">
        <v>2833</v>
      </c>
      <c r="K2162">
        <v>0.43496643800000001</v>
      </c>
      <c r="L2162">
        <v>0</v>
      </c>
      <c r="M2162">
        <v>0.43075251799999997</v>
      </c>
      <c r="N2162">
        <v>0</v>
      </c>
      <c r="O2162" t="s">
        <v>2833</v>
      </c>
      <c r="P2162" t="s">
        <v>2833</v>
      </c>
      <c r="Q2162" t="s">
        <v>166</v>
      </c>
      <c r="R2162">
        <f ca="1">RAND()*(Validation[[#This Row],[Range1_High]]-Validation[[#This Row],[Range1_Low]])+Validation[[#This Row],[Range1_Low]]</f>
        <v>686.4632912588221</v>
      </c>
      <c r="S2162">
        <f>Validation[[#This Row],[Range2_High]]</f>
        <v>0</v>
      </c>
      <c r="T2162" t="str" cm="1">
        <f t="array" aca="1" ref="T2162" ca="1">RoundToTwoSigFigs(Validation[[#This Row],[Test Reading]]*Validation[[#This Row],[Mult]]+Validation[[#This Row],[Base]]) &amp;" "&amp;Validation[[#This Row],[Uncert_Units]]</f>
        <v>0.43 °C</v>
      </c>
      <c r="U2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V2162" t="b">
        <f ca="1">Validation[[#This Row],[Desired Result]]=Validation[[#This Row],[Result]]</f>
        <v>1</v>
      </c>
      <c r="W2162" t="b">
        <v>1</v>
      </c>
      <c r="X2162" t="b">
        <f>Validation[[#This Row],[Range1_Low]]&gt;=Validation[[#This Row],[Range1_High]]</f>
        <v>0</v>
      </c>
      <c r="Y2162" s="111" t="s">
        <v>2843</v>
      </c>
    </row>
    <row r="2163" spans="1:25" ht="16.5" thickTop="1" thickBot="1" x14ac:dyDescent="0.3">
      <c r="A2163" t="s">
        <v>54</v>
      </c>
      <c r="B2163" t="s">
        <v>96</v>
      </c>
      <c r="C2163" s="113">
        <v>0</v>
      </c>
      <c r="D2163" s="113">
        <v>100.1</v>
      </c>
      <c r="E2163">
        <v>1</v>
      </c>
      <c r="F2163" t="s">
        <v>23</v>
      </c>
      <c r="G2163" t="s">
        <v>23</v>
      </c>
      <c r="H2163">
        <v>0</v>
      </c>
      <c r="I2163">
        <v>0</v>
      </c>
      <c r="J2163" t="s">
        <v>2833</v>
      </c>
      <c r="K2163">
        <v>0.60945516600000005</v>
      </c>
      <c r="L2163">
        <v>0</v>
      </c>
      <c r="M2163">
        <v>0.59736363699999995</v>
      </c>
      <c r="N2163">
        <v>0</v>
      </c>
      <c r="O2163" t="s">
        <v>2833</v>
      </c>
      <c r="P2163" t="s">
        <v>2833</v>
      </c>
      <c r="Q2163" t="s">
        <v>166</v>
      </c>
      <c r="R2163">
        <f ca="1">RAND()*(Validation[[#This Row],[Range1_High]]-Validation[[#This Row],[Range1_Low]])+Validation[[#This Row],[Range1_Low]]</f>
        <v>24.315990164576665</v>
      </c>
      <c r="S2163">
        <f>Validation[[#This Row],[Range2_High]]</f>
        <v>0</v>
      </c>
      <c r="T2163" t="str" cm="1">
        <f t="array" aca="1" ref="T2163" ca="1">RoundToTwoSigFigs(Validation[[#This Row],[Test Reading]]*Validation[[#This Row],[Mult]]+Validation[[#This Row],[Base]]) &amp;" "&amp;Validation[[#This Row],[Uncert_Units]]</f>
        <v>0.61 °C</v>
      </c>
      <c r="U2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2163" t="b">
        <f ca="1">Validation[[#This Row],[Desired Result]]=Validation[[#This Row],[Result]]</f>
        <v>1</v>
      </c>
      <c r="W2163" t="b">
        <v>1</v>
      </c>
      <c r="X2163" t="b">
        <f>Validation[[#This Row],[Range1_Low]]&gt;=Validation[[#This Row],[Range1_High]]</f>
        <v>0</v>
      </c>
      <c r="Y2163" s="111" t="s">
        <v>2843</v>
      </c>
    </row>
    <row r="2164" spans="1:25" ht="15.75" thickTop="1" x14ac:dyDescent="0.25">
      <c r="A2164" t="s">
        <v>55</v>
      </c>
      <c r="B2164" t="s">
        <v>96</v>
      </c>
      <c r="C2164">
        <v>204.44499999999999</v>
      </c>
      <c r="D2164">
        <v>426.66699999999997</v>
      </c>
      <c r="E2164">
        <v>0.1</v>
      </c>
      <c r="F2164" t="s">
        <v>23</v>
      </c>
      <c r="G2164" t="s">
        <v>23</v>
      </c>
      <c r="H2164">
        <v>0</v>
      </c>
      <c r="I2164">
        <v>0</v>
      </c>
      <c r="J2164" t="s">
        <v>2833</v>
      </c>
      <c r="K2164">
        <v>5.9240896000000001E-2</v>
      </c>
      <c r="L2164">
        <v>0</v>
      </c>
      <c r="M2164">
        <v>5.8590510999999998E-2</v>
      </c>
      <c r="N2164">
        <v>0</v>
      </c>
      <c r="O2164" t="s">
        <v>2833</v>
      </c>
      <c r="P2164" t="s">
        <v>2833</v>
      </c>
      <c r="Q2164" t="s">
        <v>166</v>
      </c>
      <c r="R2164">
        <f ca="1">RAND()*(Validation[[#This Row],[Range1_High]]-Validation[[#This Row],[Range1_Low]])+Validation[[#This Row],[Range1_Low]]</f>
        <v>248.2204993437488</v>
      </c>
      <c r="S2164">
        <f>Validation[[#This Row],[Range2_High]]</f>
        <v>0</v>
      </c>
      <c r="T2164" t="str" cm="1">
        <f t="array" aca="1" ref="T2164" ca="1">RoundToTwoSigFigs(Validation[[#This Row],[Test Reading]]*Validation[[#This Row],[Mult]]+Validation[[#This Row],[Base]]) &amp;" "&amp;Validation[[#This Row],[Uncert_Units]]</f>
        <v>0.059 °C</v>
      </c>
      <c r="U2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V2164" t="b">
        <f ca="1">Validation[[#This Row],[Desired Result]]=Validation[[#This Row],[Result]]</f>
        <v>1</v>
      </c>
      <c r="W2164" t="b">
        <v>0</v>
      </c>
      <c r="X2164" t="b">
        <f>Validation[[#This Row],[Range1_Low]]&gt;=Validation[[#This Row],[Range1_High]]</f>
        <v>0</v>
      </c>
      <c r="Y2164" s="111" t="s">
        <v>2845</v>
      </c>
    </row>
    <row r="2165" spans="1:25" ht="15.75" thickBot="1" x14ac:dyDescent="0.3">
      <c r="A2165" t="s">
        <v>55</v>
      </c>
      <c r="B2165" t="s">
        <v>96</v>
      </c>
      <c r="C2165">
        <v>-195.6</v>
      </c>
      <c r="D2165">
        <v>0</v>
      </c>
      <c r="E2165">
        <v>1</v>
      </c>
      <c r="F2165" t="s">
        <v>23</v>
      </c>
      <c r="G2165" t="s">
        <v>23</v>
      </c>
      <c r="H2165">
        <v>0</v>
      </c>
      <c r="I2165">
        <v>0</v>
      </c>
      <c r="J2165" t="s">
        <v>2833</v>
      </c>
      <c r="K2165">
        <v>0.57756236599999999</v>
      </c>
      <c r="L2165">
        <v>0</v>
      </c>
      <c r="M2165">
        <v>0.57737184100000005</v>
      </c>
      <c r="N2165">
        <v>0</v>
      </c>
      <c r="O2165" t="s">
        <v>2833</v>
      </c>
      <c r="P2165" t="s">
        <v>2833</v>
      </c>
      <c r="Q2165" t="s">
        <v>166</v>
      </c>
      <c r="R2165">
        <f ca="1">RAND()*(Validation[[#This Row],[Range1_High]]-Validation[[#This Row],[Range1_Low]])+Validation[[#This Row],[Range1_Low]]</f>
        <v>-115.93531317275784</v>
      </c>
      <c r="S2165">
        <f>Validation[[#This Row],[Range2_High]]</f>
        <v>0</v>
      </c>
      <c r="T2165" t="str" cm="1">
        <f t="array" aca="1" ref="T2165" ca="1">RoundToTwoSigFigs(Validation[[#This Row],[Test Reading]]*Validation[[#This Row],[Mult]]+Validation[[#This Row],[Base]]) &amp;" "&amp;Validation[[#This Row],[Uncert_Units]]</f>
        <v>0.58 °C</v>
      </c>
      <c r="U2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65" t="b">
        <f ca="1">Validation[[#This Row],[Desired Result]]=Validation[[#This Row],[Result]]</f>
        <v>1</v>
      </c>
      <c r="W2165" t="b">
        <v>0</v>
      </c>
      <c r="X2165" t="b">
        <f>Validation[[#This Row],[Range1_Low]]&gt;=Validation[[#This Row],[Range1_High]]</f>
        <v>0</v>
      </c>
      <c r="Y2165" s="111" t="s">
        <v>2845</v>
      </c>
    </row>
    <row r="2166" spans="1:25" ht="16.5" thickTop="1" thickBot="1" x14ac:dyDescent="0.3">
      <c r="A2166" t="s">
        <v>54</v>
      </c>
      <c r="B2166" t="s">
        <v>97</v>
      </c>
      <c r="C2166" s="113">
        <v>260</v>
      </c>
      <c r="D2166" s="113">
        <v>300.10000000000002</v>
      </c>
      <c r="E2166">
        <v>1</v>
      </c>
      <c r="F2166" t="s">
        <v>23</v>
      </c>
      <c r="G2166" t="s">
        <v>23</v>
      </c>
      <c r="H2166">
        <v>0</v>
      </c>
      <c r="I2166">
        <v>0</v>
      </c>
      <c r="J2166" t="s">
        <v>2833</v>
      </c>
      <c r="K2166">
        <v>0.60619384399999998</v>
      </c>
      <c r="L2166">
        <v>0</v>
      </c>
      <c r="M2166">
        <v>0.59403593399999999</v>
      </c>
      <c r="N2166">
        <v>0</v>
      </c>
      <c r="O2166" t="s">
        <v>2833</v>
      </c>
      <c r="P2166" t="s">
        <v>2833</v>
      </c>
      <c r="Q2166" t="s">
        <v>167</v>
      </c>
      <c r="R2166">
        <f ca="1">RAND()*(Validation[[#This Row],[Range1_High]]-Validation[[#This Row],[Range1_Low]])+Validation[[#This Row],[Range1_Low]]</f>
        <v>281.09311567980251</v>
      </c>
      <c r="S2166">
        <f>Validation[[#This Row],[Range2_High]]</f>
        <v>0</v>
      </c>
      <c r="T2166" t="str" cm="1">
        <f t="array" aca="1" ref="T2166" ca="1">RoundToTwoSigFigs(Validation[[#This Row],[Test Reading]]*Validation[[#This Row],[Mult]]+Validation[[#This Row],[Base]]) &amp;" "&amp;Validation[[#This Row],[Uncert_Units]]</f>
        <v>0.61 °C</v>
      </c>
      <c r="U2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2166" t="b">
        <f ca="1">Validation[[#This Row],[Desired Result]]=Validation[[#This Row],[Result]]</f>
        <v>1</v>
      </c>
      <c r="W2166" t="b">
        <v>1</v>
      </c>
      <c r="X2166" t="b">
        <f>Validation[[#This Row],[Range1_Low]]&gt;=Validation[[#This Row],[Range1_High]]</f>
        <v>0</v>
      </c>
      <c r="Y2166" s="111" t="s">
        <v>2843</v>
      </c>
    </row>
    <row r="2167" spans="1:25" ht="15.75" thickTop="1" x14ac:dyDescent="0.25">
      <c r="A2167" t="s">
        <v>55</v>
      </c>
      <c r="B2167" t="s">
        <v>97</v>
      </c>
      <c r="C2167">
        <v>204.44499999999999</v>
      </c>
      <c r="D2167">
        <v>426.66699999999997</v>
      </c>
      <c r="E2167">
        <v>0.01</v>
      </c>
      <c r="F2167" t="s">
        <v>23</v>
      </c>
      <c r="G2167" t="s">
        <v>23</v>
      </c>
      <c r="H2167">
        <v>0</v>
      </c>
      <c r="I2167">
        <v>0</v>
      </c>
      <c r="J2167" t="s">
        <v>2833</v>
      </c>
      <c r="K2167">
        <v>1.176788E-2</v>
      </c>
      <c r="L2167">
        <v>0</v>
      </c>
      <c r="M2167">
        <v>1.1474061000000001E-2</v>
      </c>
      <c r="N2167">
        <v>0</v>
      </c>
      <c r="O2167" t="s">
        <v>2833</v>
      </c>
      <c r="P2167" t="s">
        <v>2833</v>
      </c>
      <c r="Q2167" t="s">
        <v>167</v>
      </c>
      <c r="R2167">
        <f ca="1">RAND()*(Validation[[#This Row],[Range1_High]]-Validation[[#This Row],[Range1_Low]])+Validation[[#This Row],[Range1_Low]]</f>
        <v>241.25998016914826</v>
      </c>
      <c r="S2167">
        <f>Validation[[#This Row],[Range2_High]]</f>
        <v>0</v>
      </c>
      <c r="T2167" t="str" cm="1">
        <f t="array" aca="1" ref="T2167" ca="1">RoundToTwoSigFigs(Validation[[#This Row],[Test Reading]]*Validation[[#This Row],[Mult]]+Validation[[#This Row],[Base]]) &amp;" "&amp;Validation[[#This Row],[Uncert_Units]]</f>
        <v>0.012 °C</v>
      </c>
      <c r="U2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V2167" t="b">
        <f ca="1">Validation[[#This Row],[Desired Result]]=Validation[[#This Row],[Result]]</f>
        <v>1</v>
      </c>
      <c r="W2167" t="b">
        <v>0</v>
      </c>
      <c r="X2167" t="b">
        <f>Validation[[#This Row],[Range1_Low]]&gt;=Validation[[#This Row],[Range1_High]]</f>
        <v>0</v>
      </c>
      <c r="Y2167" s="111" t="s">
        <v>2845</v>
      </c>
    </row>
    <row r="2168" spans="1:25" x14ac:dyDescent="0.25">
      <c r="A2168" t="s">
        <v>54</v>
      </c>
      <c r="B2168" t="s">
        <v>97</v>
      </c>
      <c r="C2168">
        <v>400</v>
      </c>
      <c r="D2168">
        <v>600.1</v>
      </c>
      <c r="E2168">
        <v>1</v>
      </c>
      <c r="F2168" t="s">
        <v>23</v>
      </c>
      <c r="G2168" t="s">
        <v>23</v>
      </c>
      <c r="H2168">
        <v>0</v>
      </c>
      <c r="I2168">
        <v>0</v>
      </c>
      <c r="J2168" t="s">
        <v>2833</v>
      </c>
      <c r="K2168">
        <v>0.61120619300000001</v>
      </c>
      <c r="L2168">
        <v>0</v>
      </c>
      <c r="M2168">
        <v>0.59915000299999999</v>
      </c>
      <c r="N2168">
        <v>0</v>
      </c>
      <c r="O2168" t="s">
        <v>2833</v>
      </c>
      <c r="P2168" t="s">
        <v>2833</v>
      </c>
      <c r="Q2168" t="s">
        <v>167</v>
      </c>
      <c r="R2168">
        <f ca="1">RAND()*(Validation[[#This Row],[Range1_High]]-Validation[[#This Row],[Range1_Low]])+Validation[[#This Row],[Range1_Low]]</f>
        <v>427.67878415862208</v>
      </c>
      <c r="S2168">
        <f>Validation[[#This Row],[Range2_High]]</f>
        <v>0</v>
      </c>
      <c r="T2168" t="str" cm="1">
        <f t="array" aca="1" ref="T2168" ca="1">RoundToTwoSigFigs(Validation[[#This Row],[Test Reading]]*Validation[[#This Row],[Mult]]+Validation[[#This Row],[Base]]) &amp;" "&amp;Validation[[#This Row],[Uncert_Units]]</f>
        <v>0.61 °C</v>
      </c>
      <c r="U2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2168" t="b">
        <f ca="1">Validation[[#This Row],[Desired Result]]=Validation[[#This Row],[Result]]</f>
        <v>1</v>
      </c>
      <c r="W2168" t="b">
        <v>0</v>
      </c>
      <c r="X2168" t="b">
        <f>Validation[[#This Row],[Range1_Low]]&gt;=Validation[[#This Row],[Range1_High]]</f>
        <v>0</v>
      </c>
      <c r="Y2168" s="111" t="s">
        <v>2845</v>
      </c>
    </row>
    <row r="2169" spans="1:25" x14ac:dyDescent="0.25">
      <c r="A2169" t="s">
        <v>54</v>
      </c>
      <c r="B2169" t="s">
        <v>97</v>
      </c>
      <c r="C2169">
        <v>300</v>
      </c>
      <c r="D2169">
        <v>400.1</v>
      </c>
      <c r="E2169">
        <v>1</v>
      </c>
      <c r="F2169" t="s">
        <v>23</v>
      </c>
      <c r="G2169" t="s">
        <v>23</v>
      </c>
      <c r="H2169">
        <v>0</v>
      </c>
      <c r="I2169">
        <v>0</v>
      </c>
      <c r="J2169" t="s">
        <v>2833</v>
      </c>
      <c r="K2169">
        <v>0.61063413099999997</v>
      </c>
      <c r="L2169">
        <v>0</v>
      </c>
      <c r="M2169">
        <v>0.59856641899999996</v>
      </c>
      <c r="N2169">
        <v>0</v>
      </c>
      <c r="O2169" t="s">
        <v>2833</v>
      </c>
      <c r="P2169" t="s">
        <v>2833</v>
      </c>
      <c r="Q2169" t="s">
        <v>167</v>
      </c>
      <c r="R2169">
        <f ca="1">RAND()*(Validation[[#This Row],[Range1_High]]-Validation[[#This Row],[Range1_Low]])+Validation[[#This Row],[Range1_Low]]</f>
        <v>378.26199135847071</v>
      </c>
      <c r="S2169">
        <f>Validation[[#This Row],[Range2_High]]</f>
        <v>0</v>
      </c>
      <c r="T2169" t="str" cm="1">
        <f t="array" aca="1" ref="T2169" ca="1">RoundToTwoSigFigs(Validation[[#This Row],[Test Reading]]*Validation[[#This Row],[Mult]]+Validation[[#This Row],[Base]]) &amp;" "&amp;Validation[[#This Row],[Uncert_Units]]</f>
        <v>0.61 °C</v>
      </c>
      <c r="U2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2169" t="b">
        <f ca="1">Validation[[#This Row],[Desired Result]]=Validation[[#This Row],[Result]]</f>
        <v>1</v>
      </c>
      <c r="W2169" t="b">
        <v>0</v>
      </c>
      <c r="X2169" t="b">
        <f>Validation[[#This Row],[Range1_Low]]&gt;=Validation[[#This Row],[Range1_High]]</f>
        <v>0</v>
      </c>
      <c r="Y2169" s="111" t="s">
        <v>2845</v>
      </c>
    </row>
    <row r="2170" spans="1:25" x14ac:dyDescent="0.25">
      <c r="A2170" t="s">
        <v>54</v>
      </c>
      <c r="B2170" t="s">
        <v>97</v>
      </c>
      <c r="C2170">
        <v>100</v>
      </c>
      <c r="D2170">
        <v>260.10000000000002</v>
      </c>
      <c r="E2170">
        <v>0.1</v>
      </c>
      <c r="F2170" t="s">
        <v>23</v>
      </c>
      <c r="G2170" t="s">
        <v>23</v>
      </c>
      <c r="H2170">
        <v>0</v>
      </c>
      <c r="I2170">
        <v>0</v>
      </c>
      <c r="J2170" t="s">
        <v>2833</v>
      </c>
      <c r="K2170">
        <v>0.117069308</v>
      </c>
      <c r="L2170">
        <v>0</v>
      </c>
      <c r="M2170">
        <v>0.10028535099999999</v>
      </c>
      <c r="N2170">
        <v>0</v>
      </c>
      <c r="O2170" t="s">
        <v>2833</v>
      </c>
      <c r="P2170" t="s">
        <v>2833</v>
      </c>
      <c r="Q2170" t="s">
        <v>167</v>
      </c>
      <c r="R2170">
        <f ca="1">RAND()*(Validation[[#This Row],[Range1_High]]-Validation[[#This Row],[Range1_Low]])+Validation[[#This Row],[Range1_Low]]</f>
        <v>121.49145360446082</v>
      </c>
      <c r="S2170">
        <f>Validation[[#This Row],[Range2_High]]</f>
        <v>0</v>
      </c>
      <c r="T2170" t="str" cm="1">
        <f t="array" aca="1" ref="T2170" ca="1">RoundToTwoSigFigs(Validation[[#This Row],[Test Reading]]*Validation[[#This Row],[Mult]]+Validation[[#This Row],[Base]]) &amp;" "&amp;Validation[[#This Row],[Uncert_Units]]</f>
        <v>0.12 °C</v>
      </c>
      <c r="U2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V2170" t="b">
        <f ca="1">Validation[[#This Row],[Desired Result]]=Validation[[#This Row],[Result]]</f>
        <v>1</v>
      </c>
      <c r="W2170" t="b">
        <v>0</v>
      </c>
      <c r="X2170" t="b">
        <f>Validation[[#This Row],[Range1_Low]]&gt;=Validation[[#This Row],[Range1_High]]</f>
        <v>0</v>
      </c>
      <c r="Y2170" s="111" t="s">
        <v>2845</v>
      </c>
    </row>
    <row r="2171" spans="1:25" x14ac:dyDescent="0.25">
      <c r="A2171" t="s">
        <v>54</v>
      </c>
      <c r="B2171" t="s">
        <v>97</v>
      </c>
      <c r="C2171">
        <v>630</v>
      </c>
      <c r="D2171">
        <v>630.1</v>
      </c>
      <c r="E2171">
        <v>1</v>
      </c>
      <c r="F2171" t="s">
        <v>23</v>
      </c>
      <c r="G2171" t="s">
        <v>23</v>
      </c>
      <c r="H2171">
        <v>0</v>
      </c>
      <c r="I2171">
        <v>0</v>
      </c>
      <c r="J2171" t="s">
        <v>2833</v>
      </c>
      <c r="K2171">
        <v>0.75347067499999998</v>
      </c>
      <c r="L2171">
        <v>0</v>
      </c>
      <c r="M2171">
        <v>0.74372425900000005</v>
      </c>
      <c r="N2171">
        <v>0</v>
      </c>
      <c r="O2171" t="s">
        <v>2833</v>
      </c>
      <c r="P2171" t="s">
        <v>2833</v>
      </c>
      <c r="Q2171" t="s">
        <v>167</v>
      </c>
      <c r="R2171">
        <f ca="1">RAND()*(Validation[[#This Row],[Range1_High]]-Validation[[#This Row],[Range1_Low]])+Validation[[#This Row],[Range1_Low]]</f>
        <v>630.04672251142847</v>
      </c>
      <c r="S2171">
        <f>Validation[[#This Row],[Range2_High]]</f>
        <v>0</v>
      </c>
      <c r="T2171" t="str" cm="1">
        <f t="array" aca="1" ref="T2171" ca="1">RoundToTwoSigFigs(Validation[[#This Row],[Test Reading]]*Validation[[#This Row],[Mult]]+Validation[[#This Row],[Base]]) &amp;" "&amp;Validation[[#This Row],[Uncert_Units]]</f>
        <v>0.75 °C</v>
      </c>
      <c r="U2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V2171" t="b">
        <f ca="1">Validation[[#This Row],[Desired Result]]=Validation[[#This Row],[Result]]</f>
        <v>1</v>
      </c>
      <c r="W2171" t="b">
        <v>0</v>
      </c>
      <c r="X2171" t="b">
        <f>Validation[[#This Row],[Range1_Low]]&gt;=Validation[[#This Row],[Range1_High]]</f>
        <v>0</v>
      </c>
      <c r="Y2171" s="111" t="s">
        <v>2845</v>
      </c>
    </row>
    <row r="2172" spans="1:25" x14ac:dyDescent="0.25">
      <c r="A2172" t="s">
        <v>55</v>
      </c>
      <c r="B2172" t="s">
        <v>97</v>
      </c>
      <c r="C2172">
        <v>648.89</v>
      </c>
      <c r="D2172">
        <v>850</v>
      </c>
      <c r="E2172">
        <v>0.01</v>
      </c>
      <c r="F2172" t="s">
        <v>23</v>
      </c>
      <c r="G2172" t="s">
        <v>23</v>
      </c>
      <c r="H2172">
        <v>0</v>
      </c>
      <c r="I2172">
        <v>0</v>
      </c>
      <c r="J2172" t="s">
        <v>2833</v>
      </c>
      <c r="K2172">
        <v>1.9042103000000001E-2</v>
      </c>
      <c r="L2172">
        <v>0</v>
      </c>
      <c r="M2172">
        <v>1.8733275000000001E-2</v>
      </c>
      <c r="N2172">
        <v>0</v>
      </c>
      <c r="O2172" t="s">
        <v>2833</v>
      </c>
      <c r="P2172" t="s">
        <v>2833</v>
      </c>
      <c r="Q2172" t="s">
        <v>167</v>
      </c>
      <c r="R2172">
        <f ca="1">RAND()*(Validation[[#This Row],[Range1_High]]-Validation[[#This Row],[Range1_Low]])+Validation[[#This Row],[Range1_Low]]</f>
        <v>766.35725177593019</v>
      </c>
      <c r="S2172">
        <f>Validation[[#This Row],[Range2_High]]</f>
        <v>0</v>
      </c>
      <c r="T2172" t="str" cm="1">
        <f t="array" aca="1" ref="T2172" ca="1">RoundToTwoSigFigs(Validation[[#This Row],[Test Reading]]*Validation[[#This Row],[Mult]]+Validation[[#This Row],[Base]]) &amp;" "&amp;Validation[[#This Row],[Uncert_Units]]</f>
        <v>0.019 °C</v>
      </c>
      <c r="U2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V2172" t="b">
        <f ca="1">Validation[[#This Row],[Desired Result]]=Validation[[#This Row],[Result]]</f>
        <v>1</v>
      </c>
      <c r="W2172" t="b">
        <v>0</v>
      </c>
      <c r="X2172" t="b">
        <f>Validation[[#This Row],[Range1_Low]]&gt;=Validation[[#This Row],[Range1_High]]</f>
        <v>0</v>
      </c>
      <c r="Y2172" s="111" t="s">
        <v>2845</v>
      </c>
    </row>
    <row r="2173" spans="1:25" x14ac:dyDescent="0.25">
      <c r="A2173" t="s">
        <v>55</v>
      </c>
      <c r="B2173" t="s">
        <v>97</v>
      </c>
      <c r="C2173">
        <v>648.89</v>
      </c>
      <c r="D2173">
        <v>850</v>
      </c>
      <c r="E2173">
        <v>1</v>
      </c>
      <c r="F2173" t="s">
        <v>23</v>
      </c>
      <c r="G2173" t="s">
        <v>23</v>
      </c>
      <c r="H2173">
        <v>0</v>
      </c>
      <c r="I2173">
        <v>0</v>
      </c>
      <c r="J2173" t="s">
        <v>2833</v>
      </c>
      <c r="K2173">
        <v>0.57778680599999999</v>
      </c>
      <c r="L2173">
        <v>0</v>
      </c>
      <c r="M2173">
        <v>0.57762525499999995</v>
      </c>
      <c r="N2173">
        <v>0</v>
      </c>
      <c r="O2173" t="s">
        <v>2833</v>
      </c>
      <c r="P2173" t="s">
        <v>2833</v>
      </c>
      <c r="Q2173" t="s">
        <v>167</v>
      </c>
      <c r="R2173">
        <f ca="1">RAND()*(Validation[[#This Row],[Range1_High]]-Validation[[#This Row],[Range1_Low]])+Validation[[#This Row],[Range1_Low]]</f>
        <v>744.49364953309021</v>
      </c>
      <c r="S2173">
        <f>Validation[[#This Row],[Range2_High]]</f>
        <v>0</v>
      </c>
      <c r="T2173" t="str" cm="1">
        <f t="array" aca="1" ref="T2173" ca="1">RoundToTwoSigFigs(Validation[[#This Row],[Test Reading]]*Validation[[#This Row],[Mult]]+Validation[[#This Row],[Base]]) &amp;" "&amp;Validation[[#This Row],[Uncert_Units]]</f>
        <v>0.58 °C</v>
      </c>
      <c r="U2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173" t="b">
        <f ca="1">Validation[[#This Row],[Desired Result]]=Validation[[#This Row],[Result]]</f>
        <v>1</v>
      </c>
      <c r="W2173" t="b">
        <v>0</v>
      </c>
      <c r="X2173" t="b">
        <f>Validation[[#This Row],[Range1_Low]]&gt;=Validation[[#This Row],[Range1_High]]</f>
        <v>0</v>
      </c>
      <c r="Y2173" s="111" t="s">
        <v>2845</v>
      </c>
    </row>
    <row r="2174" spans="1:25" ht="15.75" thickBot="1" x14ac:dyDescent="0.3">
      <c r="A2174" t="s">
        <v>54</v>
      </c>
      <c r="B2174" t="s">
        <v>97</v>
      </c>
      <c r="C2174">
        <v>100</v>
      </c>
      <c r="D2174">
        <v>260.10000000000002</v>
      </c>
      <c r="E2174">
        <v>1</v>
      </c>
      <c r="F2174" t="s">
        <v>23</v>
      </c>
      <c r="G2174" t="s">
        <v>23</v>
      </c>
      <c r="H2174">
        <v>0</v>
      </c>
      <c r="I2174">
        <v>0</v>
      </c>
      <c r="J2174" t="s">
        <v>2833</v>
      </c>
      <c r="K2174">
        <v>0.59806418900000002</v>
      </c>
      <c r="L2174">
        <v>0</v>
      </c>
      <c r="M2174">
        <v>0.58573755999999999</v>
      </c>
      <c r="N2174">
        <v>0</v>
      </c>
      <c r="O2174" t="s">
        <v>2833</v>
      </c>
      <c r="P2174" t="s">
        <v>2833</v>
      </c>
      <c r="Q2174" t="s">
        <v>167</v>
      </c>
      <c r="R2174">
        <f ca="1">RAND()*(Validation[[#This Row],[Range1_High]]-Validation[[#This Row],[Range1_Low]])+Validation[[#This Row],[Range1_Low]]</f>
        <v>259.82625626066692</v>
      </c>
      <c r="S2174">
        <f>Validation[[#This Row],[Range2_High]]</f>
        <v>0</v>
      </c>
      <c r="T2174" t="str" cm="1">
        <f t="array" aca="1" ref="T2174" ca="1">RoundToTwoSigFigs(Validation[[#This Row],[Test Reading]]*Validation[[#This Row],[Mult]]+Validation[[#This Row],[Base]]) &amp;" "&amp;Validation[[#This Row],[Uncert_Units]]</f>
        <v>0.6 °C</v>
      </c>
      <c r="U2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2174" t="b">
        <f ca="1">Validation[[#This Row],[Desired Result]]=Validation[[#This Row],[Result]]</f>
        <v>1</v>
      </c>
      <c r="W2174" t="b">
        <v>0</v>
      </c>
      <c r="X2174" t="b">
        <f>Validation[[#This Row],[Range1_Low]]&gt;=Validation[[#This Row],[Range1_High]]</f>
        <v>0</v>
      </c>
      <c r="Y2174" s="111" t="s">
        <v>2845</v>
      </c>
    </row>
    <row r="2175" spans="1:25" ht="16.5" thickTop="1" thickBot="1" x14ac:dyDescent="0.3">
      <c r="A2175" t="s">
        <v>54</v>
      </c>
      <c r="B2175" t="s">
        <v>97</v>
      </c>
      <c r="C2175" s="113">
        <v>260</v>
      </c>
      <c r="D2175" s="113">
        <v>300.10000000000002</v>
      </c>
      <c r="E2175">
        <v>0.1</v>
      </c>
      <c r="F2175" t="s">
        <v>23</v>
      </c>
      <c r="G2175" t="s">
        <v>23</v>
      </c>
      <c r="H2175">
        <v>0</v>
      </c>
      <c r="I2175">
        <v>0</v>
      </c>
      <c r="J2175" t="s">
        <v>2833</v>
      </c>
      <c r="K2175">
        <v>0.15328217499999999</v>
      </c>
      <c r="L2175">
        <v>0</v>
      </c>
      <c r="M2175">
        <v>0.140880637</v>
      </c>
      <c r="N2175">
        <v>0</v>
      </c>
      <c r="O2175" t="s">
        <v>2833</v>
      </c>
      <c r="P2175" t="s">
        <v>2833</v>
      </c>
      <c r="Q2175" t="s">
        <v>167</v>
      </c>
      <c r="R2175">
        <f ca="1">RAND()*(Validation[[#This Row],[Range1_High]]-Validation[[#This Row],[Range1_Low]])+Validation[[#This Row],[Range1_Low]]</f>
        <v>280.88624954606837</v>
      </c>
      <c r="S2175">
        <f>Validation[[#This Row],[Range2_High]]</f>
        <v>0</v>
      </c>
      <c r="T2175" t="str" cm="1">
        <f t="array" aca="1" ref="T2175" ca="1">RoundToTwoSigFigs(Validation[[#This Row],[Test Reading]]*Validation[[#This Row],[Mult]]+Validation[[#This Row],[Base]]) &amp;" "&amp;Validation[[#This Row],[Uncert_Units]]</f>
        <v>0.15 °C</v>
      </c>
      <c r="U2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V2175" t="b">
        <f ca="1">Validation[[#This Row],[Desired Result]]=Validation[[#This Row],[Result]]</f>
        <v>1</v>
      </c>
      <c r="W2175" t="b">
        <v>1</v>
      </c>
      <c r="X2175" t="b">
        <f>Validation[[#This Row],[Range1_Low]]&gt;=Validation[[#This Row],[Range1_High]]</f>
        <v>0</v>
      </c>
      <c r="Y2175" s="111" t="s">
        <v>2843</v>
      </c>
    </row>
    <row r="2176" spans="1:25" ht="16.5" thickTop="1" thickBot="1" x14ac:dyDescent="0.3">
      <c r="A2176" t="s">
        <v>54</v>
      </c>
      <c r="B2176" t="s">
        <v>97</v>
      </c>
      <c r="C2176" s="113">
        <v>0</v>
      </c>
      <c r="D2176" s="113">
        <v>100.1</v>
      </c>
      <c r="E2176">
        <v>0.1</v>
      </c>
      <c r="F2176" t="s">
        <v>23</v>
      </c>
      <c r="G2176" t="s">
        <v>23</v>
      </c>
      <c r="H2176">
        <v>0</v>
      </c>
      <c r="I2176">
        <v>0</v>
      </c>
      <c r="J2176" t="s">
        <v>2833</v>
      </c>
      <c r="K2176">
        <v>0.117069308</v>
      </c>
      <c r="L2176">
        <v>0</v>
      </c>
      <c r="M2176">
        <v>0.10028535099999999</v>
      </c>
      <c r="N2176">
        <v>0</v>
      </c>
      <c r="O2176" t="s">
        <v>2833</v>
      </c>
      <c r="P2176" t="s">
        <v>2833</v>
      </c>
      <c r="Q2176" t="s">
        <v>167</v>
      </c>
      <c r="R2176">
        <f ca="1">RAND()*(Validation[[#This Row],[Range1_High]]-Validation[[#This Row],[Range1_Low]])+Validation[[#This Row],[Range1_Low]]</f>
        <v>46.233386258608071</v>
      </c>
      <c r="S2176">
        <f>Validation[[#This Row],[Range2_High]]</f>
        <v>0</v>
      </c>
      <c r="T2176" t="str" cm="1">
        <f t="array" aca="1" ref="T2176" ca="1">RoundToTwoSigFigs(Validation[[#This Row],[Test Reading]]*Validation[[#This Row],[Mult]]+Validation[[#This Row],[Base]]) &amp;" "&amp;Validation[[#This Row],[Uncert_Units]]</f>
        <v>0.12 °C</v>
      </c>
      <c r="U2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V2176" t="b">
        <f ca="1">Validation[[#This Row],[Desired Result]]=Validation[[#This Row],[Result]]</f>
        <v>1</v>
      </c>
      <c r="W2176" t="b">
        <v>1</v>
      </c>
      <c r="X2176" t="b">
        <f>Validation[[#This Row],[Range1_Low]]&gt;=Validation[[#This Row],[Range1_High]]</f>
        <v>0</v>
      </c>
      <c r="Y2176" s="111" t="s">
        <v>2843</v>
      </c>
    </row>
    <row r="2177" spans="1:25" ht="15.75" thickTop="1" x14ac:dyDescent="0.25">
      <c r="A2177" t="s">
        <v>55</v>
      </c>
      <c r="B2177" t="s">
        <v>80</v>
      </c>
      <c r="C2177">
        <v>1100.001</v>
      </c>
      <c r="D2177">
        <v>1832</v>
      </c>
      <c r="E2177">
        <v>0.1</v>
      </c>
      <c r="F2177" t="s">
        <v>26</v>
      </c>
      <c r="G2177" t="s">
        <v>26</v>
      </c>
      <c r="H2177">
        <v>0</v>
      </c>
      <c r="I2177">
        <v>0</v>
      </c>
      <c r="J2177" t="s">
        <v>2833</v>
      </c>
      <c r="K2177">
        <v>9.1750578999999999E-2</v>
      </c>
      <c r="L2177">
        <v>0</v>
      </c>
      <c r="M2177">
        <v>8.7890410000000002E-2</v>
      </c>
      <c r="N2177">
        <v>0</v>
      </c>
      <c r="O2177" t="s">
        <v>2833</v>
      </c>
      <c r="P2177" t="s">
        <v>2833</v>
      </c>
      <c r="Q2177" t="s">
        <v>160</v>
      </c>
      <c r="R2177">
        <f ca="1">RAND()*(Validation[[#This Row],[Range1_High]]-Validation[[#This Row],[Range1_Low]])+Validation[[#This Row],[Range1_Low]]</f>
        <v>1468.717042087299</v>
      </c>
      <c r="S2177">
        <f>Validation[[#This Row],[Range2_High]]</f>
        <v>0</v>
      </c>
      <c r="T2177" t="str" cm="1">
        <f t="array" aca="1" ref="T2177" ca="1">RoundToTwoSigFigs(Validation[[#This Row],[Test Reading]]*Validation[[#This Row],[Mult]]+Validation[[#This Row],[Base]]) &amp;" "&amp;Validation[[#This Row],[Uncert_Units]]</f>
        <v>0.092 °F</v>
      </c>
      <c r="U2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V2177" t="b">
        <f ca="1">Validation[[#This Row],[Desired Result]]=Validation[[#This Row],[Result]]</f>
        <v>1</v>
      </c>
      <c r="W2177" t="b">
        <v>0</v>
      </c>
      <c r="X2177" t="b">
        <f>Validation[[#This Row],[Range1_Low]]&gt;=Validation[[#This Row],[Range1_High]]</f>
        <v>0</v>
      </c>
      <c r="Y2177" s="111" t="s">
        <v>2845</v>
      </c>
    </row>
    <row r="2178" spans="1:25" x14ac:dyDescent="0.25">
      <c r="A2178" t="s">
        <v>54</v>
      </c>
      <c r="B2178" t="s">
        <v>80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2833</v>
      </c>
      <c r="K2178">
        <v>1.046246556</v>
      </c>
      <c r="L2178">
        <v>0</v>
      </c>
      <c r="M2178">
        <v>1.0432597260000001</v>
      </c>
      <c r="N2178">
        <v>0</v>
      </c>
      <c r="O2178" t="s">
        <v>2833</v>
      </c>
      <c r="P2178" t="s">
        <v>2833</v>
      </c>
      <c r="Q2178" t="s">
        <v>160</v>
      </c>
      <c r="R2178">
        <f ca="1">RAND()*(Validation[[#This Row],[Range1_High]]-Validation[[#This Row],[Range1_Low]])+Validation[[#This Row],[Range1_Low]]</f>
        <v>-356.94308745796445</v>
      </c>
      <c r="S2178">
        <f>Validation[[#This Row],[Range2_High]]</f>
        <v>0</v>
      </c>
      <c r="T2178" t="str" cm="1">
        <f t="array" aca="1" ref="T2178" ca="1">RoundToTwoSigFigs(Validation[[#This Row],[Test Reading]]*Validation[[#This Row],[Mult]]+Validation[[#This Row],[Base]]) &amp;" "&amp;Validation[[#This Row],[Uncert_Units]]</f>
        <v>1 °F</v>
      </c>
      <c r="U2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V2178" t="b">
        <f ca="1">Validation[[#This Row],[Desired Result]]=Validation[[#This Row],[Result]]</f>
        <v>1</v>
      </c>
      <c r="W2178" t="b">
        <v>0</v>
      </c>
      <c r="X2178" t="b">
        <f>Validation[[#This Row],[Range1_Low]]&gt;=Validation[[#This Row],[Range1_High]]</f>
        <v>0</v>
      </c>
      <c r="Y2178" s="111" t="s">
        <v>2845</v>
      </c>
    </row>
    <row r="2179" spans="1:25" ht="15.75" thickBot="1" x14ac:dyDescent="0.3">
      <c r="A2179" t="s">
        <v>54</v>
      </c>
      <c r="B2179" t="s">
        <v>80</v>
      </c>
      <c r="C2179">
        <v>1832</v>
      </c>
      <c r="D2179">
        <v>1832.1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2833</v>
      </c>
      <c r="K2179">
        <v>0.44489108799999999</v>
      </c>
      <c r="L2179">
        <v>0</v>
      </c>
      <c r="M2179">
        <v>0.444111062</v>
      </c>
      <c r="N2179">
        <v>0</v>
      </c>
      <c r="O2179" t="s">
        <v>2833</v>
      </c>
      <c r="P2179" t="s">
        <v>2833</v>
      </c>
      <c r="Q2179" t="s">
        <v>160</v>
      </c>
      <c r="R2179">
        <f ca="1">RAND()*(Validation[[#This Row],[Range1_High]]-Validation[[#This Row],[Range1_Low]])+Validation[[#This Row],[Range1_Low]]</f>
        <v>1832.011684671239</v>
      </c>
      <c r="S2179">
        <f>Validation[[#This Row],[Range2_High]]</f>
        <v>0</v>
      </c>
      <c r="T2179" t="str" cm="1">
        <f t="array" aca="1" ref="T2179" ca="1">RoundToTwoSigFigs(Validation[[#This Row],[Test Reading]]*Validation[[#This Row],[Mult]]+Validation[[#This Row],[Base]]) &amp;" "&amp;Validation[[#This Row],[Uncert_Units]]</f>
        <v>0.44 °F</v>
      </c>
      <c r="U2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V2179" t="b">
        <f ca="1">Validation[[#This Row],[Desired Result]]=Validation[[#This Row],[Result]]</f>
        <v>1</v>
      </c>
      <c r="W2179" t="b">
        <v>0</v>
      </c>
      <c r="X2179" t="b">
        <f>Validation[[#This Row],[Range1_Low]]&gt;=Validation[[#This Row],[Range1_High]]</f>
        <v>0</v>
      </c>
      <c r="Y2179" s="111" t="s">
        <v>2845</v>
      </c>
    </row>
    <row r="2180" spans="1:25" ht="16.5" thickTop="1" thickBot="1" x14ac:dyDescent="0.3">
      <c r="A2180" t="s">
        <v>54</v>
      </c>
      <c r="B2180" t="s">
        <v>80</v>
      </c>
      <c r="C2180" s="113">
        <v>-13</v>
      </c>
      <c r="D2180" s="113">
        <v>662.1</v>
      </c>
      <c r="E2180">
        <v>1</v>
      </c>
      <c r="F2180" t="s">
        <v>26</v>
      </c>
      <c r="G2180" t="s">
        <v>26</v>
      </c>
      <c r="H2180">
        <v>0</v>
      </c>
      <c r="I2180">
        <v>0</v>
      </c>
      <c r="J2180" t="s">
        <v>2833</v>
      </c>
      <c r="K2180">
        <v>0.65290189700000001</v>
      </c>
      <c r="L2180">
        <v>0</v>
      </c>
      <c r="M2180">
        <v>0.64917391800000002</v>
      </c>
      <c r="N2180">
        <v>0</v>
      </c>
      <c r="O2180" t="s">
        <v>2833</v>
      </c>
      <c r="P2180" t="s">
        <v>2833</v>
      </c>
      <c r="Q2180" t="s">
        <v>160</v>
      </c>
      <c r="R2180">
        <f ca="1">RAND()*(Validation[[#This Row],[Range1_High]]-Validation[[#This Row],[Range1_Low]])+Validation[[#This Row],[Range1_Low]]</f>
        <v>566.56517498540165</v>
      </c>
      <c r="S2180">
        <f>Validation[[#This Row],[Range2_High]]</f>
        <v>0</v>
      </c>
      <c r="T2180" t="str" cm="1">
        <f t="array" aca="1" ref="T2180" ca="1">RoundToTwoSigFigs(Validation[[#This Row],[Test Reading]]*Validation[[#This Row],[Mult]]+Validation[[#This Row],[Base]]) &amp;" "&amp;Validation[[#This Row],[Uncert_Units]]</f>
        <v>0.65 °F</v>
      </c>
      <c r="U2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V2180" t="b">
        <f ca="1">Validation[[#This Row],[Desired Result]]=Validation[[#This Row],[Result]]</f>
        <v>1</v>
      </c>
      <c r="W2180" t="b">
        <v>1</v>
      </c>
      <c r="X2180" t="b">
        <f>Validation[[#This Row],[Range1_Low]]&gt;=Validation[[#This Row],[Range1_High]]</f>
        <v>0</v>
      </c>
      <c r="Y2180" s="111" t="s">
        <v>2843</v>
      </c>
    </row>
    <row r="2181" spans="1:25" ht="16.5" thickTop="1" thickBot="1" x14ac:dyDescent="0.3">
      <c r="A2181" t="s">
        <v>54</v>
      </c>
      <c r="B2181" t="s">
        <v>80</v>
      </c>
      <c r="C2181" s="113">
        <v>662</v>
      </c>
      <c r="D2181" s="113">
        <v>1202.0999999999999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2833</v>
      </c>
      <c r="K2181">
        <v>0.34352197200000001</v>
      </c>
      <c r="L2181">
        <v>0</v>
      </c>
      <c r="M2181">
        <v>0.342511169</v>
      </c>
      <c r="N2181">
        <v>0</v>
      </c>
      <c r="O2181" t="s">
        <v>2833</v>
      </c>
      <c r="P2181" t="s">
        <v>2833</v>
      </c>
      <c r="Q2181" t="s">
        <v>160</v>
      </c>
      <c r="R2181">
        <f ca="1">RAND()*(Validation[[#This Row],[Range1_High]]-Validation[[#This Row],[Range1_Low]])+Validation[[#This Row],[Range1_Low]]</f>
        <v>700.07924306893915</v>
      </c>
      <c r="S2181">
        <f>Validation[[#This Row],[Range2_High]]</f>
        <v>0</v>
      </c>
      <c r="T2181" t="str" cm="1">
        <f t="array" aca="1" ref="T2181" ca="1">RoundToTwoSigFigs(Validation[[#This Row],[Test Reading]]*Validation[[#This Row],[Mult]]+Validation[[#This Row],[Base]]) &amp;" "&amp;Validation[[#This Row],[Uncert_Units]]</f>
        <v>0.34 °F</v>
      </c>
      <c r="U2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V2181" t="b">
        <f ca="1">Validation[[#This Row],[Desired Result]]=Validation[[#This Row],[Result]]</f>
        <v>1</v>
      </c>
      <c r="W2181" t="b">
        <v>1</v>
      </c>
      <c r="X2181" t="b">
        <f>Validation[[#This Row],[Range1_Low]]&gt;=Validation[[#This Row],[Range1_High]]</f>
        <v>0</v>
      </c>
      <c r="Y2181" s="111" t="s">
        <v>2843</v>
      </c>
    </row>
    <row r="2182" spans="1:25" ht="16.5" thickTop="1" thickBot="1" x14ac:dyDescent="0.3">
      <c r="A2182" t="s">
        <v>54</v>
      </c>
      <c r="B2182" t="s">
        <v>80</v>
      </c>
      <c r="C2182" s="113">
        <v>1202</v>
      </c>
      <c r="D2182" s="113">
        <v>1832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2833</v>
      </c>
      <c r="K2182">
        <v>0.44489108799999999</v>
      </c>
      <c r="L2182">
        <v>0</v>
      </c>
      <c r="M2182">
        <v>0.444111062</v>
      </c>
      <c r="N2182">
        <v>0</v>
      </c>
      <c r="O2182" t="s">
        <v>2833</v>
      </c>
      <c r="P2182" t="s">
        <v>2833</v>
      </c>
      <c r="Q2182" t="s">
        <v>160</v>
      </c>
      <c r="R2182">
        <f ca="1">RAND()*(Validation[[#This Row],[Range1_High]]-Validation[[#This Row],[Range1_Low]])+Validation[[#This Row],[Range1_Low]]</f>
        <v>1387.525976754579</v>
      </c>
      <c r="S2182">
        <f>Validation[[#This Row],[Range2_High]]</f>
        <v>0</v>
      </c>
      <c r="T2182" t="str" cm="1">
        <f t="array" aca="1" ref="T2182" ca="1">RoundToTwoSigFigs(Validation[[#This Row],[Test Reading]]*Validation[[#This Row],[Mult]]+Validation[[#This Row],[Base]]) &amp;" "&amp;Validation[[#This Row],[Uncert_Units]]</f>
        <v>0.44 °F</v>
      </c>
      <c r="U2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V2182" t="b">
        <f ca="1">Validation[[#This Row],[Desired Result]]=Validation[[#This Row],[Result]]</f>
        <v>1</v>
      </c>
      <c r="W2182" t="b">
        <v>1</v>
      </c>
      <c r="X2182" t="b">
        <f>Validation[[#This Row],[Range1_Low]]&gt;=Validation[[#This Row],[Range1_High]]</f>
        <v>0</v>
      </c>
      <c r="Y2182" s="111" t="s">
        <v>2843</v>
      </c>
    </row>
    <row r="2183" spans="1:25" ht="15.75" thickTop="1" x14ac:dyDescent="0.25">
      <c r="A2183" t="s">
        <v>54</v>
      </c>
      <c r="B2183" t="s">
        <v>80</v>
      </c>
      <c r="C2183">
        <v>-418</v>
      </c>
      <c r="D2183">
        <v>-147.9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2833</v>
      </c>
      <c r="K2183">
        <v>1.2013970430000001</v>
      </c>
      <c r="L2183">
        <v>0</v>
      </c>
      <c r="M2183">
        <v>1.190962155</v>
      </c>
      <c r="N2183">
        <v>0</v>
      </c>
      <c r="O2183" t="s">
        <v>2833</v>
      </c>
      <c r="P2183" t="s">
        <v>2833</v>
      </c>
      <c r="Q2183" t="s">
        <v>160</v>
      </c>
      <c r="R2183">
        <f ca="1">RAND()*(Validation[[#This Row],[Range1_High]]-Validation[[#This Row],[Range1_Low]])+Validation[[#This Row],[Range1_Low]]</f>
        <v>-153.67623036841485</v>
      </c>
      <c r="S2183">
        <f>Validation[[#This Row],[Range2_High]]</f>
        <v>0</v>
      </c>
      <c r="T2183" t="str" cm="1">
        <f t="array" aca="1" ref="T2183" ca="1">RoundToTwoSigFigs(Validation[[#This Row],[Test Reading]]*Validation[[#This Row],[Mult]]+Validation[[#This Row],[Base]]) &amp;" "&amp;Validation[[#This Row],[Uncert_Units]]</f>
        <v>1.2 °F</v>
      </c>
      <c r="U2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V2183" t="b">
        <f ca="1">Validation[[#This Row],[Desired Result]]=Validation[[#This Row],[Result]]</f>
        <v>1</v>
      </c>
      <c r="W2183" t="b">
        <v>0</v>
      </c>
      <c r="X2183" t="b">
        <f>Validation[[#This Row],[Range1_Low]]&gt;=Validation[[#This Row],[Range1_High]]</f>
        <v>0</v>
      </c>
      <c r="Y2183" s="111" t="s">
        <v>2845</v>
      </c>
    </row>
    <row r="2184" spans="1:25" ht="15.75" thickBot="1" x14ac:dyDescent="0.3">
      <c r="A2184" t="s">
        <v>54</v>
      </c>
      <c r="B2184" t="s">
        <v>81</v>
      </c>
      <c r="C2184">
        <v>-346</v>
      </c>
      <c r="D2184">
        <v>-147.9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2833</v>
      </c>
      <c r="K2184">
        <v>0.83457943499999998</v>
      </c>
      <c r="L2184">
        <v>0</v>
      </c>
      <c r="M2184">
        <v>0.80755333500000004</v>
      </c>
      <c r="N2184">
        <v>0</v>
      </c>
      <c r="O2184" t="s">
        <v>2833</v>
      </c>
      <c r="P2184" t="s">
        <v>2833</v>
      </c>
      <c r="Q2184" t="s">
        <v>161</v>
      </c>
      <c r="R2184">
        <f ca="1">RAND()*(Validation[[#This Row],[Range1_High]]-Validation[[#This Row],[Range1_Low]])+Validation[[#This Row],[Range1_Low]]</f>
        <v>-161.38185458988679</v>
      </c>
      <c r="S2184">
        <f>Validation[[#This Row],[Range2_High]]</f>
        <v>0</v>
      </c>
      <c r="T2184" t="str" cm="1">
        <f t="array" aca="1" ref="T2184" ca="1">RoundToTwoSigFigs(Validation[[#This Row],[Test Reading]]*Validation[[#This Row],[Mult]]+Validation[[#This Row],[Base]]) &amp;" "&amp;Validation[[#This Row],[Uncert_Units]]</f>
        <v>0.83 °F</v>
      </c>
      <c r="U2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V2184" t="b">
        <f ca="1">Validation[[#This Row],[Desired Result]]=Validation[[#This Row],[Result]]</f>
        <v>1</v>
      </c>
      <c r="W2184" t="b">
        <v>0</v>
      </c>
      <c r="X2184" t="b">
        <f>Validation[[#This Row],[Range1_Low]]&gt;=Validation[[#This Row],[Range1_High]]</f>
        <v>0</v>
      </c>
      <c r="Y2184" s="111" t="s">
        <v>2845</v>
      </c>
    </row>
    <row r="2185" spans="1:25" ht="16.5" thickTop="1" thickBot="1" x14ac:dyDescent="0.3">
      <c r="A2185" t="s">
        <v>54</v>
      </c>
      <c r="B2185" t="s">
        <v>81</v>
      </c>
      <c r="C2185" s="113">
        <v>-22</v>
      </c>
      <c r="D2185" s="113">
        <v>302.10000000000002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2833</v>
      </c>
      <c r="K2185">
        <v>0.67330928300000004</v>
      </c>
      <c r="L2185">
        <v>0</v>
      </c>
      <c r="M2185">
        <v>0.64918945299999997</v>
      </c>
      <c r="N2185">
        <v>0</v>
      </c>
      <c r="O2185" t="s">
        <v>2833</v>
      </c>
      <c r="P2185" t="s">
        <v>2833</v>
      </c>
      <c r="Q2185" t="s">
        <v>161</v>
      </c>
      <c r="R2185">
        <f ca="1">RAND()*(Validation[[#This Row],[Range1_High]]-Validation[[#This Row],[Range1_Low]])+Validation[[#This Row],[Range1_Low]]</f>
        <v>143.8696770206372</v>
      </c>
      <c r="S2185">
        <f>Validation[[#This Row],[Range2_High]]</f>
        <v>0</v>
      </c>
      <c r="T2185" t="str" cm="1">
        <f t="array" aca="1" ref="T2185" ca="1">RoundToTwoSigFigs(Validation[[#This Row],[Test Reading]]*Validation[[#This Row],[Mult]]+Validation[[#This Row],[Base]]) &amp;" "&amp;Validation[[#This Row],[Uncert_Units]]</f>
        <v>0.67 °F</v>
      </c>
      <c r="U2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V2185" t="b">
        <f ca="1">Validation[[#This Row],[Desired Result]]=Validation[[#This Row],[Result]]</f>
        <v>1</v>
      </c>
      <c r="W2185" t="b">
        <v>1</v>
      </c>
      <c r="X2185" t="b">
        <f>Validation[[#This Row],[Range1_Low]]&gt;=Validation[[#This Row],[Range1_High]]</f>
        <v>0</v>
      </c>
      <c r="Y2185" s="111" t="s">
        <v>2843</v>
      </c>
    </row>
    <row r="2186" spans="1:25" ht="15.75" thickTop="1" x14ac:dyDescent="0.25">
      <c r="A2186" t="s">
        <v>55</v>
      </c>
      <c r="B2186" t="s">
        <v>81</v>
      </c>
      <c r="C2186">
        <v>-346</v>
      </c>
      <c r="D2186">
        <v>499.99900000000002</v>
      </c>
      <c r="E2186">
        <v>0.1</v>
      </c>
      <c r="F2186" t="s">
        <v>26</v>
      </c>
      <c r="G2186" t="s">
        <v>26</v>
      </c>
      <c r="H2186">
        <v>0</v>
      </c>
      <c r="I2186">
        <v>0</v>
      </c>
      <c r="J2186" t="s">
        <v>2833</v>
      </c>
      <c r="K2186">
        <v>0.14000000000000001</v>
      </c>
      <c r="L2186">
        <v>0</v>
      </c>
      <c r="M2186">
        <v>9.1813959000000001E-2</v>
      </c>
      <c r="N2186">
        <v>0</v>
      </c>
      <c r="O2186" t="s">
        <v>2833</v>
      </c>
      <c r="P2186" t="s">
        <v>2833</v>
      </c>
      <c r="Q2186" t="s">
        <v>161</v>
      </c>
      <c r="R2186">
        <f ca="1">RAND()*(Validation[[#This Row],[Range1_High]]-Validation[[#This Row],[Range1_Low]])+Validation[[#This Row],[Range1_Low]]</f>
        <v>199.24975498607978</v>
      </c>
      <c r="S2186">
        <f>Validation[[#This Row],[Range2_High]]</f>
        <v>0</v>
      </c>
      <c r="T2186" t="str" cm="1">
        <f t="array" aca="1" ref="T2186" ca="1">RoundToTwoSigFigs(Validation[[#This Row],[Test Reading]]*Validation[[#This Row],[Mult]]+Validation[[#This Row],[Base]]) &amp;" "&amp;Validation[[#This Row],[Uncert_Units]]</f>
        <v>0.14 °F</v>
      </c>
      <c r="U2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V2186" t="b">
        <f ca="1">Validation[[#This Row],[Desired Result]]=Validation[[#This Row],[Result]]</f>
        <v>1</v>
      </c>
      <c r="W2186" t="b">
        <v>0</v>
      </c>
      <c r="X2186" t="b">
        <f>Validation[[#This Row],[Range1_Low]]&gt;=Validation[[#This Row],[Range1_High]]</f>
        <v>0</v>
      </c>
      <c r="Y2186" s="111" t="s">
        <v>2845</v>
      </c>
    </row>
    <row r="2187" spans="1:25" ht="15.75" thickBot="1" x14ac:dyDescent="0.3">
      <c r="A2187" t="s">
        <v>55</v>
      </c>
      <c r="B2187" t="s">
        <v>81</v>
      </c>
      <c r="C2187">
        <v>-346</v>
      </c>
      <c r="D2187">
        <v>499.99900000000002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2833</v>
      </c>
      <c r="K2187">
        <v>0.61871661300000003</v>
      </c>
      <c r="L2187">
        <v>0</v>
      </c>
      <c r="M2187">
        <v>0.58174719900000005</v>
      </c>
      <c r="N2187">
        <v>0</v>
      </c>
      <c r="O2187" t="s">
        <v>2833</v>
      </c>
      <c r="P2187" t="s">
        <v>2833</v>
      </c>
      <c r="Q2187" t="s">
        <v>161</v>
      </c>
      <c r="R2187">
        <f ca="1">RAND()*(Validation[[#This Row],[Range1_High]]-Validation[[#This Row],[Range1_Low]])+Validation[[#This Row],[Range1_Low]]</f>
        <v>-198.44002216317799</v>
      </c>
      <c r="S2187">
        <f>Validation[[#This Row],[Range2_High]]</f>
        <v>0</v>
      </c>
      <c r="T2187" t="str" cm="1">
        <f t="array" aca="1" ref="T2187" ca="1">RoundToTwoSigFigs(Validation[[#This Row],[Test Reading]]*Validation[[#This Row],[Mult]]+Validation[[#This Row],[Base]]) &amp;" "&amp;Validation[[#This Row],[Uncert_Units]]</f>
        <v>0.62 °F</v>
      </c>
      <c r="U2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V2187" t="b">
        <f ca="1">Validation[[#This Row],[Desired Result]]=Validation[[#This Row],[Result]]</f>
        <v>1</v>
      </c>
      <c r="W2187" t="b">
        <v>0</v>
      </c>
      <c r="X2187" t="b">
        <f>Validation[[#This Row],[Range1_Low]]&gt;=Validation[[#This Row],[Range1_High]]</f>
        <v>0</v>
      </c>
      <c r="Y2187" s="111" t="s">
        <v>2845</v>
      </c>
    </row>
    <row r="2188" spans="1:25" ht="16.5" thickTop="1" thickBot="1" x14ac:dyDescent="0.3">
      <c r="A2188" t="s">
        <v>54</v>
      </c>
      <c r="B2188" t="s">
        <v>81</v>
      </c>
      <c r="C2188" s="113">
        <v>-148</v>
      </c>
      <c r="D2188" s="113">
        <v>-21.9</v>
      </c>
      <c r="E2188">
        <v>0.1</v>
      </c>
      <c r="F2188" t="s">
        <v>26</v>
      </c>
      <c r="G2188" t="s">
        <v>26</v>
      </c>
      <c r="H2188">
        <v>0</v>
      </c>
      <c r="I2188">
        <v>0</v>
      </c>
      <c r="J2188" t="s">
        <v>2833</v>
      </c>
      <c r="K2188">
        <v>0.354075484</v>
      </c>
      <c r="L2188">
        <v>0</v>
      </c>
      <c r="M2188">
        <v>0.34262930000000003</v>
      </c>
      <c r="N2188">
        <v>0</v>
      </c>
      <c r="O2188" t="s">
        <v>2833</v>
      </c>
      <c r="P2188" t="s">
        <v>2833</v>
      </c>
      <c r="Q2188" t="s">
        <v>161</v>
      </c>
      <c r="R2188">
        <f ca="1">RAND()*(Validation[[#This Row],[Range1_High]]-Validation[[#This Row],[Range1_Low]])+Validation[[#This Row],[Range1_Low]]</f>
        <v>-74.324987235516744</v>
      </c>
      <c r="S2188">
        <f>Validation[[#This Row],[Range2_High]]</f>
        <v>0</v>
      </c>
      <c r="T2188" t="str" cm="1">
        <f t="array" aca="1" ref="T2188" ca="1">RoundToTwoSigFigs(Validation[[#This Row],[Test Reading]]*Validation[[#This Row],[Mult]]+Validation[[#This Row],[Base]]) &amp;" "&amp;Validation[[#This Row],[Uncert_Units]]</f>
        <v>0.35 °F</v>
      </c>
      <c r="U2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V2188" t="b">
        <f ca="1">Validation[[#This Row],[Desired Result]]=Validation[[#This Row],[Result]]</f>
        <v>1</v>
      </c>
      <c r="W2188" t="b">
        <v>1</v>
      </c>
      <c r="X2188" t="b">
        <f>Validation[[#This Row],[Range1_Low]]&gt;=Validation[[#This Row],[Range1_High]]</f>
        <v>0</v>
      </c>
      <c r="Y2188" s="111" t="s">
        <v>2843</v>
      </c>
    </row>
    <row r="2189" spans="1:25" ht="15.75" thickTop="1" x14ac:dyDescent="0.25">
      <c r="A2189" t="s">
        <v>55</v>
      </c>
      <c r="B2189" t="s">
        <v>82</v>
      </c>
      <c r="C2189">
        <v>-400</v>
      </c>
      <c r="D2189">
        <v>499.99900000000002</v>
      </c>
      <c r="E2189">
        <v>0.1</v>
      </c>
      <c r="F2189" t="s">
        <v>26</v>
      </c>
      <c r="G2189" t="s">
        <v>26</v>
      </c>
      <c r="H2189">
        <v>0</v>
      </c>
      <c r="I2189">
        <v>0</v>
      </c>
      <c r="J2189" t="s">
        <v>2833</v>
      </c>
      <c r="K2189">
        <v>0.19</v>
      </c>
      <c r="L2189">
        <v>0</v>
      </c>
      <c r="M2189">
        <v>0.135879482</v>
      </c>
      <c r="N2189">
        <v>0</v>
      </c>
      <c r="O2189" t="s">
        <v>2833</v>
      </c>
      <c r="P2189" t="s">
        <v>2833</v>
      </c>
      <c r="Q2189" t="s">
        <v>111</v>
      </c>
      <c r="R2189">
        <f ca="1">RAND()*(Validation[[#This Row],[Range1_High]]-Validation[[#This Row],[Range1_Low]])+Validation[[#This Row],[Range1_Low]]</f>
        <v>294.36351261512891</v>
      </c>
      <c r="S2189">
        <f>Validation[[#This Row],[Range2_High]]</f>
        <v>0</v>
      </c>
      <c r="T2189" t="str" cm="1">
        <f t="array" aca="1" ref="T2189" ca="1">RoundToTwoSigFigs(Validation[[#This Row],[Test Reading]]*Validation[[#This Row],[Mult]]+Validation[[#This Row],[Base]]) &amp;" "&amp;Validation[[#This Row],[Uncert_Units]]</f>
        <v>0.19 °F</v>
      </c>
      <c r="U2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V2189" t="b">
        <f ca="1">Validation[[#This Row],[Desired Result]]=Validation[[#This Row],[Result]]</f>
        <v>1</v>
      </c>
      <c r="W2189" t="b">
        <v>0</v>
      </c>
      <c r="X2189" t="b">
        <f>Validation[[#This Row],[Range1_Low]]&gt;=Validation[[#This Row],[Range1_High]]</f>
        <v>0</v>
      </c>
      <c r="Y2189" s="111" t="s">
        <v>2845</v>
      </c>
    </row>
    <row r="2190" spans="1:25" x14ac:dyDescent="0.25">
      <c r="A2190" t="s">
        <v>55</v>
      </c>
      <c r="B2190" t="s">
        <v>82</v>
      </c>
      <c r="C2190">
        <v>1500.001</v>
      </c>
      <c r="D2190">
        <v>2500</v>
      </c>
      <c r="E2190">
        <v>1</v>
      </c>
      <c r="F2190" t="s">
        <v>26</v>
      </c>
      <c r="G2190" t="s">
        <v>26</v>
      </c>
      <c r="H2190">
        <v>0</v>
      </c>
      <c r="I2190">
        <v>0</v>
      </c>
      <c r="J2190" t="s">
        <v>2833</v>
      </c>
      <c r="K2190">
        <v>0.60796019599999995</v>
      </c>
      <c r="L2190">
        <v>0</v>
      </c>
      <c r="M2190">
        <v>0.58292151199999998</v>
      </c>
      <c r="N2190">
        <v>0</v>
      </c>
      <c r="O2190" t="s">
        <v>2833</v>
      </c>
      <c r="P2190" t="s">
        <v>2833</v>
      </c>
      <c r="Q2190" t="s">
        <v>111</v>
      </c>
      <c r="R2190">
        <f ca="1">RAND()*(Validation[[#This Row],[Range1_High]]-Validation[[#This Row],[Range1_Low]])+Validation[[#This Row],[Range1_Low]]</f>
        <v>1840.6265581233374</v>
      </c>
      <c r="S2190">
        <f>Validation[[#This Row],[Range2_High]]</f>
        <v>0</v>
      </c>
      <c r="T2190" t="str" cm="1">
        <f t="array" aca="1" ref="T2190" ca="1">RoundToTwoSigFigs(Validation[[#This Row],[Test Reading]]*Validation[[#This Row],[Mult]]+Validation[[#This Row],[Base]]) &amp;" "&amp;Validation[[#This Row],[Uncert_Units]]</f>
        <v>0.61 °F</v>
      </c>
      <c r="U2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2190" t="b">
        <f ca="1">Validation[[#This Row],[Desired Result]]=Validation[[#This Row],[Result]]</f>
        <v>1</v>
      </c>
      <c r="W2190" t="b">
        <v>0</v>
      </c>
      <c r="X2190" t="b">
        <f>Validation[[#This Row],[Range1_Low]]&gt;=Validation[[#This Row],[Range1_High]]</f>
        <v>0</v>
      </c>
      <c r="Y2190" s="111" t="s">
        <v>2845</v>
      </c>
    </row>
    <row r="2191" spans="1:25" x14ac:dyDescent="0.25">
      <c r="A2191" t="s">
        <v>55</v>
      </c>
      <c r="B2191" t="s">
        <v>82</v>
      </c>
      <c r="C2191">
        <v>-454</v>
      </c>
      <c r="D2191">
        <v>-400.00099999999998</v>
      </c>
      <c r="E2191">
        <v>1</v>
      </c>
      <c r="F2191" t="s">
        <v>26</v>
      </c>
      <c r="G2191" t="s">
        <v>26</v>
      </c>
      <c r="H2191">
        <v>0</v>
      </c>
      <c r="I2191">
        <v>0</v>
      </c>
      <c r="J2191" t="s">
        <v>2833</v>
      </c>
      <c r="K2191">
        <v>0.990570901</v>
      </c>
      <c r="L2191">
        <v>0</v>
      </c>
      <c r="M2191">
        <v>0.95529037999999999</v>
      </c>
      <c r="N2191">
        <v>0</v>
      </c>
      <c r="O2191" t="s">
        <v>2833</v>
      </c>
      <c r="P2191" t="s">
        <v>2833</v>
      </c>
      <c r="Q2191" t="s">
        <v>111</v>
      </c>
      <c r="R2191">
        <f ca="1">RAND()*(Validation[[#This Row],[Range1_High]]-Validation[[#This Row],[Range1_Low]])+Validation[[#This Row],[Range1_Low]]</f>
        <v>-435.65978764547481</v>
      </c>
      <c r="S2191">
        <f>Validation[[#This Row],[Range2_High]]</f>
        <v>0</v>
      </c>
      <c r="T2191" t="str" cm="1">
        <f t="array" aca="1" ref="T2191" ca="1">RoundToTwoSigFigs(Validation[[#This Row],[Test Reading]]*Validation[[#This Row],[Mult]]+Validation[[#This Row],[Base]]) &amp;" "&amp;Validation[[#This Row],[Uncert_Units]]</f>
        <v>0.99 °F</v>
      </c>
      <c r="U2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V2191" t="b">
        <f ca="1">Validation[[#This Row],[Desired Result]]=Validation[[#This Row],[Result]]</f>
        <v>1</v>
      </c>
      <c r="W2191" t="b">
        <v>0</v>
      </c>
      <c r="X2191" t="b">
        <f>Validation[[#This Row],[Range1_Low]]&gt;=Validation[[#This Row],[Range1_High]]</f>
        <v>0</v>
      </c>
      <c r="Y2191" s="111" t="s">
        <v>2845</v>
      </c>
    </row>
    <row r="2192" spans="1:25" ht="15.75" thickBot="1" x14ac:dyDescent="0.3">
      <c r="A2192" t="s">
        <v>54</v>
      </c>
      <c r="B2192" t="s">
        <v>82</v>
      </c>
      <c r="C2192">
        <v>-328</v>
      </c>
      <c r="D2192">
        <v>-147.9</v>
      </c>
      <c r="E2192">
        <v>1</v>
      </c>
      <c r="F2192" t="s">
        <v>26</v>
      </c>
      <c r="G2192" t="s">
        <v>26</v>
      </c>
      <c r="H2192">
        <v>0</v>
      </c>
      <c r="I2192">
        <v>0</v>
      </c>
      <c r="J2192" t="s">
        <v>2833</v>
      </c>
      <c r="K2192">
        <v>0.93102535500000005</v>
      </c>
      <c r="L2192">
        <v>0</v>
      </c>
      <c r="M2192">
        <v>0.89881334800000001</v>
      </c>
      <c r="N2192">
        <v>0</v>
      </c>
      <c r="O2192" t="s">
        <v>2833</v>
      </c>
      <c r="P2192" t="s">
        <v>2833</v>
      </c>
      <c r="Q2192" t="s">
        <v>111</v>
      </c>
      <c r="R2192">
        <f ca="1">RAND()*(Validation[[#This Row],[Range1_High]]-Validation[[#This Row],[Range1_Low]])+Validation[[#This Row],[Range1_Low]]</f>
        <v>-150.91584701258711</v>
      </c>
      <c r="S2192">
        <f>Validation[[#This Row],[Range2_High]]</f>
        <v>0</v>
      </c>
      <c r="T2192" t="str" cm="1">
        <f t="array" aca="1" ref="T2192" ca="1">RoundToTwoSigFigs(Validation[[#This Row],[Test Reading]]*Validation[[#This Row],[Mult]]+Validation[[#This Row],[Base]]) &amp;" "&amp;Validation[[#This Row],[Uncert_Units]]</f>
        <v>0.93 °F</v>
      </c>
      <c r="U2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V2192" t="b">
        <f ca="1">Validation[[#This Row],[Desired Result]]=Validation[[#This Row],[Result]]</f>
        <v>1</v>
      </c>
      <c r="W2192" t="b">
        <v>0</v>
      </c>
      <c r="X2192" t="b">
        <f>Validation[[#This Row],[Range1_Low]]&gt;=Validation[[#This Row],[Range1_High]]</f>
        <v>0</v>
      </c>
      <c r="Y2192" s="111" t="s">
        <v>2845</v>
      </c>
    </row>
    <row r="2193" spans="1:25" ht="16.5" thickTop="1" thickBot="1" x14ac:dyDescent="0.3">
      <c r="A2193" t="s">
        <v>54</v>
      </c>
      <c r="B2193" t="s">
        <v>82</v>
      </c>
      <c r="C2193" s="113">
        <v>248</v>
      </c>
      <c r="D2193" s="113">
        <v>1832.1</v>
      </c>
      <c r="E2193">
        <v>1</v>
      </c>
      <c r="F2193" t="s">
        <v>26</v>
      </c>
      <c r="G2193" t="s">
        <v>26</v>
      </c>
      <c r="H2193">
        <v>0</v>
      </c>
      <c r="I2193">
        <v>0</v>
      </c>
      <c r="J2193" t="s">
        <v>2833</v>
      </c>
      <c r="K2193">
        <v>0.80642889500000003</v>
      </c>
      <c r="L2193">
        <v>0</v>
      </c>
      <c r="M2193">
        <v>0.792988515</v>
      </c>
      <c r="N2193">
        <v>0</v>
      </c>
      <c r="O2193" t="s">
        <v>2833</v>
      </c>
      <c r="P2193" t="s">
        <v>2833</v>
      </c>
      <c r="Q2193" t="s">
        <v>111</v>
      </c>
      <c r="R2193">
        <f ca="1">RAND()*(Validation[[#This Row],[Range1_High]]-Validation[[#This Row],[Range1_Low]])+Validation[[#This Row],[Range1_Low]]</f>
        <v>437.60594149563428</v>
      </c>
      <c r="S2193">
        <f>Validation[[#This Row],[Range2_High]]</f>
        <v>0</v>
      </c>
      <c r="T2193" t="str" cm="1">
        <f t="array" aca="1" ref="T2193" ca="1">RoundToTwoSigFigs(Validation[[#This Row],[Test Reading]]*Validation[[#This Row],[Mult]]+Validation[[#This Row],[Base]]) &amp;" "&amp;Validation[[#This Row],[Uncert_Units]]</f>
        <v>0.81 °F</v>
      </c>
      <c r="U2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V2193" t="b">
        <f ca="1">Validation[[#This Row],[Desired Result]]=Validation[[#This Row],[Result]]</f>
        <v>1</v>
      </c>
      <c r="W2193" t="b">
        <v>1</v>
      </c>
      <c r="X2193" t="b">
        <f>Validation[[#This Row],[Range1_Low]]&gt;=Validation[[#This Row],[Range1_High]]</f>
        <v>0</v>
      </c>
      <c r="Y2193" s="111" t="s">
        <v>2843</v>
      </c>
    </row>
    <row r="2194" spans="1:25" ht="16.5" thickTop="1" thickBot="1" x14ac:dyDescent="0.3">
      <c r="A2194" t="s">
        <v>54</v>
      </c>
      <c r="B2194" t="s">
        <v>82</v>
      </c>
      <c r="C2194" s="113">
        <v>248</v>
      </c>
      <c r="D2194" s="113">
        <v>1832.1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2833</v>
      </c>
      <c r="K2194">
        <v>0.55154780400000003</v>
      </c>
      <c r="L2194">
        <v>0</v>
      </c>
      <c r="M2194">
        <v>0.54665417400000005</v>
      </c>
      <c r="N2194">
        <v>0</v>
      </c>
      <c r="O2194" t="s">
        <v>2833</v>
      </c>
      <c r="P2194" t="s">
        <v>2833</v>
      </c>
      <c r="Q2194" t="s">
        <v>111</v>
      </c>
      <c r="R2194">
        <f ca="1">RAND()*(Validation[[#This Row],[Range1_High]]-Validation[[#This Row],[Range1_Low]])+Validation[[#This Row],[Range1_Low]]</f>
        <v>1690.3770757672671</v>
      </c>
      <c r="S2194">
        <f>Validation[[#This Row],[Range2_High]]</f>
        <v>0</v>
      </c>
      <c r="T2194" t="str" cm="1">
        <f t="array" aca="1" ref="T2194" ca="1">RoundToTwoSigFigs(Validation[[#This Row],[Test Reading]]*Validation[[#This Row],[Mult]]+Validation[[#This Row],[Base]]) &amp;" "&amp;Validation[[#This Row],[Uncert_Units]]</f>
        <v>0.55 °F</v>
      </c>
      <c r="U2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V2194" t="b">
        <f ca="1">Validation[[#This Row],[Desired Result]]=Validation[[#This Row],[Result]]</f>
        <v>1</v>
      </c>
      <c r="W2194" t="b">
        <v>1</v>
      </c>
      <c r="X2194" t="b">
        <f>Validation[[#This Row],[Range1_Low]]&gt;=Validation[[#This Row],[Range1_High]]</f>
        <v>0</v>
      </c>
      <c r="Y2194" s="111" t="s">
        <v>2843</v>
      </c>
    </row>
    <row r="2195" spans="1:25" ht="16.5" thickTop="1" thickBot="1" x14ac:dyDescent="0.3">
      <c r="A2195" t="s">
        <v>54</v>
      </c>
      <c r="B2195" t="s">
        <v>82</v>
      </c>
      <c r="C2195" s="113">
        <v>-13</v>
      </c>
      <c r="D2195" s="113">
        <v>248.1</v>
      </c>
      <c r="E2195">
        <v>0.1</v>
      </c>
      <c r="F2195" t="s">
        <v>26</v>
      </c>
      <c r="G2195" t="s">
        <v>26</v>
      </c>
      <c r="H2195">
        <v>0</v>
      </c>
      <c r="I2195">
        <v>0</v>
      </c>
      <c r="J2195" t="s">
        <v>2833</v>
      </c>
      <c r="K2195">
        <v>0.35702451000000002</v>
      </c>
      <c r="L2195">
        <v>0</v>
      </c>
      <c r="M2195">
        <v>0.34265369699999998</v>
      </c>
      <c r="N2195">
        <v>0</v>
      </c>
      <c r="O2195" t="s">
        <v>2833</v>
      </c>
      <c r="P2195" t="s">
        <v>2833</v>
      </c>
      <c r="Q2195" t="s">
        <v>111</v>
      </c>
      <c r="R2195">
        <f ca="1">RAND()*(Validation[[#This Row],[Range1_High]]-Validation[[#This Row],[Range1_Low]])+Validation[[#This Row],[Range1_Low]]</f>
        <v>98.692370679037481</v>
      </c>
      <c r="S2195">
        <f>Validation[[#This Row],[Range2_High]]</f>
        <v>0</v>
      </c>
      <c r="T2195" t="str" cm="1">
        <f t="array" aca="1" ref="T2195" ca="1">RoundToTwoSigFigs(Validation[[#This Row],[Test Reading]]*Validation[[#This Row],[Mult]]+Validation[[#This Row],[Base]]) &amp;" "&amp;Validation[[#This Row],[Uncert_Units]]</f>
        <v>0.36 °F</v>
      </c>
      <c r="U2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V2195" t="b">
        <f ca="1">Validation[[#This Row],[Desired Result]]=Validation[[#This Row],[Result]]</f>
        <v>1</v>
      </c>
      <c r="W2195" t="b">
        <v>1</v>
      </c>
      <c r="X2195" t="b">
        <f>Validation[[#This Row],[Range1_Low]]&gt;=Validation[[#This Row],[Range1_High]]</f>
        <v>0</v>
      </c>
      <c r="Y2195" s="111" t="s">
        <v>2843</v>
      </c>
    </row>
    <row r="2196" spans="1:25" ht="15.75" thickTop="1" x14ac:dyDescent="0.25">
      <c r="A2196" t="s">
        <v>54</v>
      </c>
      <c r="B2196" t="s">
        <v>82</v>
      </c>
      <c r="C2196">
        <v>-328</v>
      </c>
      <c r="D2196">
        <v>-147.9</v>
      </c>
      <c r="E2196">
        <v>0.1</v>
      </c>
      <c r="F2196" t="s">
        <v>26</v>
      </c>
      <c r="G2196" t="s">
        <v>26</v>
      </c>
      <c r="H2196">
        <v>0</v>
      </c>
      <c r="I2196">
        <v>0</v>
      </c>
      <c r="J2196" t="s">
        <v>2833</v>
      </c>
      <c r="K2196">
        <v>0.70185549000000003</v>
      </c>
      <c r="L2196">
        <v>0</v>
      </c>
      <c r="M2196">
        <v>0.69127811699999997</v>
      </c>
      <c r="N2196">
        <v>0</v>
      </c>
      <c r="O2196" t="s">
        <v>2833</v>
      </c>
      <c r="P2196" t="s">
        <v>2833</v>
      </c>
      <c r="Q2196" t="s">
        <v>111</v>
      </c>
      <c r="R2196">
        <f ca="1">RAND()*(Validation[[#This Row],[Range1_High]]-Validation[[#This Row],[Range1_Low]])+Validation[[#This Row],[Range1_Low]]</f>
        <v>-151.68434793386265</v>
      </c>
      <c r="S2196">
        <f>Validation[[#This Row],[Range2_High]]</f>
        <v>0</v>
      </c>
      <c r="T2196" t="str" cm="1">
        <f t="array" aca="1" ref="T2196" ca="1">RoundToTwoSigFigs(Validation[[#This Row],[Test Reading]]*Validation[[#This Row],[Mult]]+Validation[[#This Row],[Base]]) &amp;" "&amp;Validation[[#This Row],[Uncert_Units]]</f>
        <v>0.7 °F</v>
      </c>
      <c r="U2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V2196" t="b">
        <f ca="1">Validation[[#This Row],[Desired Result]]=Validation[[#This Row],[Result]]</f>
        <v>1</v>
      </c>
      <c r="W2196" t="b">
        <v>0</v>
      </c>
      <c r="X2196" t="b">
        <f>Validation[[#This Row],[Range1_Low]]&gt;=Validation[[#This Row],[Range1_High]]</f>
        <v>0</v>
      </c>
      <c r="Y2196" s="111" t="s">
        <v>2845</v>
      </c>
    </row>
    <row r="2197" spans="1:25" x14ac:dyDescent="0.25">
      <c r="A2197" t="s">
        <v>54</v>
      </c>
      <c r="B2197" t="s">
        <v>82</v>
      </c>
      <c r="C2197">
        <v>2500</v>
      </c>
      <c r="D2197">
        <v>2500.1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2833</v>
      </c>
      <c r="K2197">
        <v>1.0285126790000001</v>
      </c>
      <c r="L2197">
        <v>0</v>
      </c>
      <c r="M2197">
        <v>1.013913319</v>
      </c>
      <c r="N2197">
        <v>0</v>
      </c>
      <c r="O2197" t="s">
        <v>2833</v>
      </c>
      <c r="P2197" t="s">
        <v>2833</v>
      </c>
      <c r="Q2197" t="s">
        <v>111</v>
      </c>
      <c r="R2197">
        <f ca="1">RAND()*(Validation[[#This Row],[Range1_High]]-Validation[[#This Row],[Range1_Low]])+Validation[[#This Row],[Range1_Low]]</f>
        <v>2500.0580748633001</v>
      </c>
      <c r="S2197">
        <f>Validation[[#This Row],[Range2_High]]</f>
        <v>0</v>
      </c>
      <c r="T2197" t="str" cm="1">
        <f t="array" aca="1" ref="T2197" ca="1">RoundToTwoSigFigs(Validation[[#This Row],[Test Reading]]*Validation[[#This Row],[Mult]]+Validation[[#This Row],[Base]]) &amp;" "&amp;Validation[[#This Row],[Uncert_Units]]</f>
        <v>1 °F</v>
      </c>
      <c r="U2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V2197" t="b">
        <f ca="1">Validation[[#This Row],[Desired Result]]=Validation[[#This Row],[Result]]</f>
        <v>1</v>
      </c>
      <c r="W2197" t="b">
        <v>0</v>
      </c>
      <c r="X2197" t="b">
        <f>Validation[[#This Row],[Range1_Low]]&gt;=Validation[[#This Row],[Range1_High]]</f>
        <v>0</v>
      </c>
      <c r="Y2197" s="111" t="s">
        <v>2845</v>
      </c>
    </row>
    <row r="2198" spans="1:25" ht="15.75" thickBot="1" x14ac:dyDescent="0.3">
      <c r="A2198" t="s">
        <v>55</v>
      </c>
      <c r="B2198" t="s">
        <v>83</v>
      </c>
      <c r="C2198">
        <v>-150</v>
      </c>
      <c r="D2198">
        <v>700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2833</v>
      </c>
      <c r="K2198">
        <v>0.61817394199999998</v>
      </c>
      <c r="L2198">
        <v>0</v>
      </c>
      <c r="M2198">
        <v>0.58117000799999996</v>
      </c>
      <c r="N2198">
        <v>0</v>
      </c>
      <c r="O2198" t="s">
        <v>2833</v>
      </c>
      <c r="P2198" t="s">
        <v>2833</v>
      </c>
      <c r="Q2198" t="s">
        <v>162</v>
      </c>
      <c r="R2198">
        <f ca="1">RAND()*(Validation[[#This Row],[Range1_High]]-Validation[[#This Row],[Range1_Low]])+Validation[[#This Row],[Range1_Low]]</f>
        <v>261.71853172613123</v>
      </c>
      <c r="S2198">
        <f>Validation[[#This Row],[Range2_High]]</f>
        <v>0</v>
      </c>
      <c r="T2198" t="str" cm="1">
        <f t="array" aca="1" ref="T2198" ca="1">RoundToTwoSigFigs(Validation[[#This Row],[Test Reading]]*Validation[[#This Row],[Mult]]+Validation[[#This Row],[Base]]) &amp;" "&amp;Validation[[#This Row],[Uncert_Units]]</f>
        <v>0.62 °F</v>
      </c>
      <c r="U2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V2198" t="b">
        <f ca="1">Validation[[#This Row],[Desired Result]]=Validation[[#This Row],[Result]]</f>
        <v>1</v>
      </c>
      <c r="W2198" t="b">
        <v>0</v>
      </c>
      <c r="X2198" t="b">
        <f>Validation[[#This Row],[Range1_Low]]&gt;=Validation[[#This Row],[Range1_High]]</f>
        <v>0</v>
      </c>
      <c r="Y2198" s="111" t="s">
        <v>2845</v>
      </c>
    </row>
    <row r="2199" spans="1:25" ht="16.5" thickTop="1" thickBot="1" x14ac:dyDescent="0.3">
      <c r="A2199" t="s">
        <v>54</v>
      </c>
      <c r="B2199" t="s">
        <v>83</v>
      </c>
      <c r="C2199" s="113">
        <v>-13</v>
      </c>
      <c r="D2199" s="113">
        <v>248.1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2833</v>
      </c>
      <c r="K2199">
        <v>0.73300869300000004</v>
      </c>
      <c r="L2199">
        <v>0</v>
      </c>
      <c r="M2199">
        <v>0.70208354100000003</v>
      </c>
      <c r="N2199">
        <v>0</v>
      </c>
      <c r="O2199" t="s">
        <v>2833</v>
      </c>
      <c r="P2199" t="s">
        <v>2833</v>
      </c>
      <c r="Q2199" t="s">
        <v>162</v>
      </c>
      <c r="R2199">
        <f ca="1">RAND()*(Validation[[#This Row],[Range1_High]]-Validation[[#This Row],[Range1_Low]])+Validation[[#This Row],[Range1_Low]]</f>
        <v>62.332223435805318</v>
      </c>
      <c r="S2199">
        <f>Validation[[#This Row],[Range2_High]]</f>
        <v>0</v>
      </c>
      <c r="T2199" t="str" cm="1">
        <f t="array" aca="1" ref="T2199" ca="1">RoundToTwoSigFigs(Validation[[#This Row],[Test Reading]]*Validation[[#This Row],[Mult]]+Validation[[#This Row],[Base]]) &amp;" "&amp;Validation[[#This Row],[Uncert_Units]]</f>
        <v>0.73 °F</v>
      </c>
      <c r="U2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V2199" t="b">
        <f ca="1">Validation[[#This Row],[Desired Result]]=Validation[[#This Row],[Result]]</f>
        <v>1</v>
      </c>
      <c r="W2199" t="b">
        <v>1</v>
      </c>
      <c r="X2199" t="b">
        <f>Validation[[#This Row],[Range1_Low]]&gt;=Validation[[#This Row],[Range1_High]]</f>
        <v>0</v>
      </c>
      <c r="Y2199" s="111" t="s">
        <v>2843</v>
      </c>
    </row>
    <row r="2200" spans="1:25" ht="15.75" thickTop="1" x14ac:dyDescent="0.25">
      <c r="A2200" t="s">
        <v>54</v>
      </c>
      <c r="B2200" t="s">
        <v>83</v>
      </c>
      <c r="C2200">
        <v>-328</v>
      </c>
      <c r="D2200">
        <v>-147.9</v>
      </c>
      <c r="E2200">
        <v>0.1</v>
      </c>
      <c r="F2200" t="s">
        <v>26</v>
      </c>
      <c r="G2200" t="s">
        <v>26</v>
      </c>
      <c r="H2200">
        <v>0</v>
      </c>
      <c r="I2200">
        <v>0</v>
      </c>
      <c r="J2200" t="s">
        <v>2833</v>
      </c>
      <c r="K2200">
        <v>0.84492191400000005</v>
      </c>
      <c r="L2200">
        <v>0</v>
      </c>
      <c r="M2200">
        <v>0.83553406799999996</v>
      </c>
      <c r="N2200">
        <v>0</v>
      </c>
      <c r="O2200" t="s">
        <v>2833</v>
      </c>
      <c r="P2200" t="s">
        <v>2833</v>
      </c>
      <c r="Q2200" t="s">
        <v>162</v>
      </c>
      <c r="R2200">
        <f ca="1">RAND()*(Validation[[#This Row],[Range1_High]]-Validation[[#This Row],[Range1_Low]])+Validation[[#This Row],[Range1_Low]]</f>
        <v>-221.88966332915956</v>
      </c>
      <c r="S2200">
        <f>Validation[[#This Row],[Range2_High]]</f>
        <v>0</v>
      </c>
      <c r="T2200" t="str" cm="1">
        <f t="array" aca="1" ref="T2200" ca="1">RoundToTwoSigFigs(Validation[[#This Row],[Test Reading]]*Validation[[#This Row],[Mult]]+Validation[[#This Row],[Base]]) &amp;" "&amp;Validation[[#This Row],[Uncert_Units]]</f>
        <v>0.84 °F</v>
      </c>
      <c r="U2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V2200" t="b">
        <f ca="1">Validation[[#This Row],[Desired Result]]=Validation[[#This Row],[Result]]</f>
        <v>1</v>
      </c>
      <c r="W2200" t="b">
        <v>0</v>
      </c>
      <c r="X2200" t="b">
        <f>Validation[[#This Row],[Range1_Low]]&gt;=Validation[[#This Row],[Range1_High]]</f>
        <v>0</v>
      </c>
      <c r="Y2200" s="111" t="s">
        <v>2845</v>
      </c>
    </row>
    <row r="2201" spans="1:25" ht="15.75" thickBot="1" x14ac:dyDescent="0.3">
      <c r="A2201" t="s">
        <v>55</v>
      </c>
      <c r="B2201" t="s">
        <v>83</v>
      </c>
      <c r="C2201">
        <v>-400</v>
      </c>
      <c r="D2201">
        <v>-150.001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J2201" t="s">
        <v>2833</v>
      </c>
      <c r="K2201">
        <v>0.65772098800000001</v>
      </c>
      <c r="L2201">
        <v>0</v>
      </c>
      <c r="M2201">
        <v>0.60785973199999999</v>
      </c>
      <c r="N2201">
        <v>0</v>
      </c>
      <c r="O2201" t="s">
        <v>2833</v>
      </c>
      <c r="P2201" t="s">
        <v>2833</v>
      </c>
      <c r="Q2201" t="s">
        <v>162</v>
      </c>
      <c r="R2201">
        <f ca="1">RAND()*(Validation[[#This Row],[Range1_High]]-Validation[[#This Row],[Range1_Low]])+Validation[[#This Row],[Range1_Low]]</f>
        <v>-270.23713204718297</v>
      </c>
      <c r="S2201">
        <f>Validation[[#This Row],[Range2_High]]</f>
        <v>0</v>
      </c>
      <c r="T2201" t="str" cm="1">
        <f t="array" aca="1" ref="T2201" ca="1">RoundToTwoSigFigs(Validation[[#This Row],[Test Reading]]*Validation[[#This Row],[Mult]]+Validation[[#This Row],[Base]]) &amp;" "&amp;Validation[[#This Row],[Uncert_Units]]</f>
        <v>0.66 °F</v>
      </c>
      <c r="U2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V2201" t="b">
        <f ca="1">Validation[[#This Row],[Desired Result]]=Validation[[#This Row],[Result]]</f>
        <v>1</v>
      </c>
      <c r="W2201" t="b">
        <v>0</v>
      </c>
      <c r="X2201" t="b">
        <f>Validation[[#This Row],[Range1_Low]]&gt;=Validation[[#This Row],[Range1_High]]</f>
        <v>0</v>
      </c>
      <c r="Y2201" s="111" t="s">
        <v>2845</v>
      </c>
    </row>
    <row r="2202" spans="1:25" ht="16.5" thickTop="1" thickBot="1" x14ac:dyDescent="0.3">
      <c r="A2202" t="s">
        <v>54</v>
      </c>
      <c r="B2202" t="s">
        <v>83</v>
      </c>
      <c r="C2202" s="113">
        <v>-148</v>
      </c>
      <c r="D2202" s="113">
        <v>-12.9</v>
      </c>
      <c r="E2202">
        <v>1</v>
      </c>
      <c r="F2202" t="s">
        <v>26</v>
      </c>
      <c r="G2202" t="s">
        <v>26</v>
      </c>
      <c r="H2202">
        <v>0</v>
      </c>
      <c r="I2202">
        <v>0</v>
      </c>
      <c r="J2202" t="s">
        <v>2833</v>
      </c>
      <c r="K2202">
        <v>0.76848236400000003</v>
      </c>
      <c r="L2202">
        <v>0</v>
      </c>
      <c r="M2202">
        <v>0.73904309700000004</v>
      </c>
      <c r="N2202">
        <v>0</v>
      </c>
      <c r="O2202" t="s">
        <v>2833</v>
      </c>
      <c r="P2202" t="s">
        <v>2833</v>
      </c>
      <c r="Q2202" t="s">
        <v>162</v>
      </c>
      <c r="R2202">
        <f ca="1">RAND()*(Validation[[#This Row],[Range1_High]]-Validation[[#This Row],[Range1_Low]])+Validation[[#This Row],[Range1_Low]]</f>
        <v>-54.702951703303356</v>
      </c>
      <c r="S2202">
        <f>Validation[[#This Row],[Range2_High]]</f>
        <v>0</v>
      </c>
      <c r="T2202" t="str" cm="1">
        <f t="array" aca="1" ref="T2202" ca="1">RoundToTwoSigFigs(Validation[[#This Row],[Test Reading]]*Validation[[#This Row],[Mult]]+Validation[[#This Row],[Base]]) &amp;" "&amp;Validation[[#This Row],[Uncert_Units]]</f>
        <v>0.77 °F</v>
      </c>
      <c r="U2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V2202" t="b">
        <f ca="1">Validation[[#This Row],[Desired Result]]=Validation[[#This Row],[Result]]</f>
        <v>1</v>
      </c>
      <c r="W2202" t="b">
        <v>1</v>
      </c>
      <c r="X2202" t="b">
        <f>Validation[[#This Row],[Range1_Low]]&gt;=Validation[[#This Row],[Range1_High]]</f>
        <v>0</v>
      </c>
      <c r="Y2202" s="111" t="s">
        <v>2843</v>
      </c>
    </row>
    <row r="2203" spans="1:25" ht="16.5" thickTop="1" thickBot="1" x14ac:dyDescent="0.3">
      <c r="A2203" t="s">
        <v>54</v>
      </c>
      <c r="B2203" t="s">
        <v>83</v>
      </c>
      <c r="C2203" s="113">
        <v>770</v>
      </c>
      <c r="D2203" s="113">
        <v>2372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2833</v>
      </c>
      <c r="K2203">
        <v>0.57284718899999998</v>
      </c>
      <c r="L2203">
        <v>0</v>
      </c>
      <c r="M2203">
        <v>0.567220893</v>
      </c>
      <c r="N2203">
        <v>0</v>
      </c>
      <c r="O2203" t="s">
        <v>2833</v>
      </c>
      <c r="P2203" t="s">
        <v>2833</v>
      </c>
      <c r="Q2203" t="s">
        <v>162</v>
      </c>
      <c r="R2203">
        <f ca="1">RAND()*(Validation[[#This Row],[Range1_High]]-Validation[[#This Row],[Range1_Low]])+Validation[[#This Row],[Range1_Low]]</f>
        <v>1892.5338877007666</v>
      </c>
      <c r="S2203">
        <f>Validation[[#This Row],[Range2_High]]</f>
        <v>0</v>
      </c>
      <c r="T2203" t="str" cm="1">
        <f t="array" aca="1" ref="T2203" ca="1">RoundToTwoSigFigs(Validation[[#This Row],[Test Reading]]*Validation[[#This Row],[Mult]]+Validation[[#This Row],[Base]]) &amp;" "&amp;Validation[[#This Row],[Uncert_Units]]</f>
        <v>0.57 °F</v>
      </c>
      <c r="U2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V2203" t="b">
        <f ca="1">Validation[[#This Row],[Desired Result]]=Validation[[#This Row],[Result]]</f>
        <v>1</v>
      </c>
      <c r="W2203" t="b">
        <v>1</v>
      </c>
      <c r="X2203" t="b">
        <f>Validation[[#This Row],[Range1_Low]]&gt;=Validation[[#This Row],[Range1_High]]</f>
        <v>0</v>
      </c>
      <c r="Y2203" s="111" t="s">
        <v>2843</v>
      </c>
    </row>
    <row r="2204" spans="1:25" ht="15.75" thickTop="1" x14ac:dyDescent="0.25">
      <c r="A2204" t="s">
        <v>55</v>
      </c>
      <c r="B2204" t="s">
        <v>83</v>
      </c>
      <c r="C2204">
        <v>-400</v>
      </c>
      <c r="D2204">
        <v>-150.001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2833</v>
      </c>
      <c r="K2204">
        <v>0.24</v>
      </c>
      <c r="L2204">
        <v>0</v>
      </c>
      <c r="M2204">
        <v>0.19872960000000001</v>
      </c>
      <c r="N2204">
        <v>0</v>
      </c>
      <c r="O2204" t="s">
        <v>2833</v>
      </c>
      <c r="P2204" t="s">
        <v>2833</v>
      </c>
      <c r="Q2204" t="s">
        <v>162</v>
      </c>
      <c r="R2204">
        <f ca="1">RAND()*(Validation[[#This Row],[Range1_High]]-Validation[[#This Row],[Range1_Low]])+Validation[[#This Row],[Range1_Low]]</f>
        <v>-301.46364625025205</v>
      </c>
      <c r="S2204">
        <f>Validation[[#This Row],[Range2_High]]</f>
        <v>0</v>
      </c>
      <c r="T2204" t="str" cm="1">
        <f t="array" aca="1" ref="T2204" ca="1">RoundToTwoSigFigs(Validation[[#This Row],[Test Reading]]*Validation[[#This Row],[Mult]]+Validation[[#This Row],[Base]]) &amp;" "&amp;Validation[[#This Row],[Uncert_Units]]</f>
        <v>0.24 °F</v>
      </c>
      <c r="U2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V2204" t="b">
        <f ca="1">Validation[[#This Row],[Desired Result]]=Validation[[#This Row],[Result]]</f>
        <v>1</v>
      </c>
      <c r="W2204" t="b">
        <v>0</v>
      </c>
      <c r="X2204" t="b">
        <f>Validation[[#This Row],[Range1_Low]]&gt;=Validation[[#This Row],[Range1_High]]</f>
        <v>0</v>
      </c>
      <c r="Y2204" s="111" t="s">
        <v>2845</v>
      </c>
    </row>
    <row r="2205" spans="1:25" x14ac:dyDescent="0.25">
      <c r="A2205" t="s">
        <v>54</v>
      </c>
      <c r="B2205" t="s">
        <v>84</v>
      </c>
      <c r="C2205">
        <v>32</v>
      </c>
      <c r="D2205">
        <v>482.1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2833</v>
      </c>
      <c r="K2205">
        <v>1.196556843</v>
      </c>
      <c r="L2205">
        <v>0</v>
      </c>
      <c r="M2205">
        <v>1.190019234</v>
      </c>
      <c r="N2205">
        <v>0</v>
      </c>
      <c r="O2205" t="s">
        <v>2833</v>
      </c>
      <c r="P2205" t="s">
        <v>2833</v>
      </c>
      <c r="Q2205" t="s">
        <v>163</v>
      </c>
      <c r="R2205">
        <f ca="1">RAND()*(Validation[[#This Row],[Range1_High]]-Validation[[#This Row],[Range1_Low]])+Validation[[#This Row],[Range1_Low]]</f>
        <v>297.42521320609569</v>
      </c>
      <c r="S2205">
        <f>Validation[[#This Row],[Range2_High]]</f>
        <v>0</v>
      </c>
      <c r="T2205" t="str" cm="1">
        <f t="array" aca="1" ref="T2205" ca="1">RoundToTwoSigFigs(Validation[[#This Row],[Test Reading]]*Validation[[#This Row],[Mult]]+Validation[[#This Row],[Base]]) &amp;" "&amp;Validation[[#This Row],[Uncert_Units]]</f>
        <v>1.2 °F</v>
      </c>
      <c r="U2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V2205" t="b">
        <f ca="1">Validation[[#This Row],[Desired Result]]=Validation[[#This Row],[Result]]</f>
        <v>1</v>
      </c>
      <c r="W2205" t="b">
        <v>0</v>
      </c>
      <c r="X2205" t="b">
        <f>Validation[[#This Row],[Range1_Low]]&gt;=Validation[[#This Row],[Range1_High]]</f>
        <v>0</v>
      </c>
      <c r="Y2205" s="111" t="s">
        <v>2845</v>
      </c>
    </row>
    <row r="2206" spans="1:25" x14ac:dyDescent="0.25">
      <c r="A2206" t="s">
        <v>55</v>
      </c>
      <c r="B2206" t="s">
        <v>84</v>
      </c>
      <c r="C2206">
        <v>2200.0010000000002</v>
      </c>
      <c r="D2206">
        <v>3214</v>
      </c>
      <c r="E2206">
        <v>1</v>
      </c>
      <c r="F2206" t="s">
        <v>26</v>
      </c>
      <c r="G2206" t="s">
        <v>26</v>
      </c>
      <c r="H2206">
        <v>0</v>
      </c>
      <c r="I2206">
        <v>0</v>
      </c>
      <c r="J2206" t="s">
        <v>2833</v>
      </c>
      <c r="K2206">
        <v>0.63062541100000002</v>
      </c>
      <c r="L2206">
        <v>0</v>
      </c>
      <c r="M2206">
        <v>0.58735562600000002</v>
      </c>
      <c r="N2206">
        <v>0</v>
      </c>
      <c r="O2206" t="s">
        <v>2833</v>
      </c>
      <c r="P2206" t="s">
        <v>2833</v>
      </c>
      <c r="Q2206" t="s">
        <v>163</v>
      </c>
      <c r="R2206">
        <f ca="1">RAND()*(Validation[[#This Row],[Range1_High]]-Validation[[#This Row],[Range1_Low]])+Validation[[#This Row],[Range1_Low]]</f>
        <v>2519.8504997064465</v>
      </c>
      <c r="S2206">
        <f>Validation[[#This Row],[Range2_High]]</f>
        <v>0</v>
      </c>
      <c r="T2206" t="str" cm="1">
        <f t="array" aca="1" ref="T2206" ca="1">RoundToTwoSigFigs(Validation[[#This Row],[Test Reading]]*Validation[[#This Row],[Mult]]+Validation[[#This Row],[Base]]) &amp;" "&amp;Validation[[#This Row],[Uncert_Units]]</f>
        <v>0.63 °F</v>
      </c>
      <c r="U2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V2206" t="b">
        <f ca="1">Validation[[#This Row],[Desired Result]]=Validation[[#This Row],[Result]]</f>
        <v>1</v>
      </c>
      <c r="W2206" t="b">
        <v>0</v>
      </c>
      <c r="X2206" t="b">
        <f>Validation[[#This Row],[Range1_Low]]&gt;=Validation[[#This Row],[Range1_High]]</f>
        <v>0</v>
      </c>
      <c r="Y2206" s="111" t="s">
        <v>2845</v>
      </c>
    </row>
    <row r="2207" spans="1:25" ht="15.75" thickBot="1" x14ac:dyDescent="0.3">
      <c r="A2207" t="s">
        <v>55</v>
      </c>
      <c r="B2207" t="s">
        <v>84</v>
      </c>
      <c r="C2207">
        <v>32</v>
      </c>
      <c r="D2207">
        <v>1100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J2207" t="s">
        <v>2833</v>
      </c>
      <c r="K2207">
        <v>0.64165832099999998</v>
      </c>
      <c r="L2207">
        <v>0</v>
      </c>
      <c r="M2207">
        <v>0.591029103</v>
      </c>
      <c r="N2207">
        <v>0</v>
      </c>
      <c r="O2207" t="s">
        <v>2833</v>
      </c>
      <c r="P2207" t="s">
        <v>2833</v>
      </c>
      <c r="Q2207" t="s">
        <v>163</v>
      </c>
      <c r="R2207">
        <f ca="1">RAND()*(Validation[[#This Row],[Range1_High]]-Validation[[#This Row],[Range1_Low]])+Validation[[#This Row],[Range1_Low]]</f>
        <v>308.82489074153887</v>
      </c>
      <c r="S2207">
        <f>Validation[[#This Row],[Range2_High]]</f>
        <v>0</v>
      </c>
      <c r="T2207" t="str" cm="1">
        <f t="array" aca="1" ref="T2207" ca="1">RoundToTwoSigFigs(Validation[[#This Row],[Test Reading]]*Validation[[#This Row],[Mult]]+Validation[[#This Row],[Base]]) &amp;" "&amp;Validation[[#This Row],[Uncert_Units]]</f>
        <v>0.64 °F</v>
      </c>
      <c r="U2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V2207" t="b">
        <f ca="1">Validation[[#This Row],[Desired Result]]=Validation[[#This Row],[Result]]</f>
        <v>1</v>
      </c>
      <c r="W2207" t="b">
        <v>0</v>
      </c>
      <c r="X2207" t="b">
        <f>Validation[[#This Row],[Range1_Low]]&gt;=Validation[[#This Row],[Range1_High]]</f>
        <v>0</v>
      </c>
      <c r="Y2207" s="111" t="s">
        <v>2845</v>
      </c>
    </row>
    <row r="2208" spans="1:25" ht="16.5" thickTop="1" thickBot="1" x14ac:dyDescent="0.3">
      <c r="A2208" t="s">
        <v>54</v>
      </c>
      <c r="B2208" t="s">
        <v>84</v>
      </c>
      <c r="C2208" s="113">
        <v>482</v>
      </c>
      <c r="D2208" s="113">
        <v>752.1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2833</v>
      </c>
      <c r="K2208">
        <v>0.959343006</v>
      </c>
      <c r="L2208">
        <v>0</v>
      </c>
      <c r="M2208">
        <v>0.931470464</v>
      </c>
      <c r="N2208">
        <v>0</v>
      </c>
      <c r="O2208" t="s">
        <v>2833</v>
      </c>
      <c r="P2208" t="s">
        <v>2833</v>
      </c>
      <c r="Q2208" t="s">
        <v>163</v>
      </c>
      <c r="R2208">
        <f ca="1">RAND()*(Validation[[#This Row],[Range1_High]]-Validation[[#This Row],[Range1_Low]])+Validation[[#This Row],[Range1_Low]]</f>
        <v>748.16812289486688</v>
      </c>
      <c r="S2208">
        <f>Validation[[#This Row],[Range2_High]]</f>
        <v>0</v>
      </c>
      <c r="T2208" t="str" cm="1">
        <f t="array" aca="1" ref="T2208" ca="1">RoundToTwoSigFigs(Validation[[#This Row],[Test Reading]]*Validation[[#This Row],[Mult]]+Validation[[#This Row],[Base]]) &amp;" "&amp;Validation[[#This Row],[Uncert_Units]]</f>
        <v>0.96 °F</v>
      </c>
      <c r="U2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V2208" t="b">
        <f ca="1">Validation[[#This Row],[Desired Result]]=Validation[[#This Row],[Result]]</f>
        <v>1</v>
      </c>
      <c r="W2208" t="b">
        <v>1</v>
      </c>
      <c r="X2208" t="b">
        <f>Validation[[#This Row],[Range1_Low]]&gt;=Validation[[#This Row],[Range1_High]]</f>
        <v>0</v>
      </c>
      <c r="Y2208" s="111" t="s">
        <v>2843</v>
      </c>
    </row>
    <row r="2209" spans="1:25" ht="15.75" thickTop="1" x14ac:dyDescent="0.25">
      <c r="A2209" t="s">
        <v>55</v>
      </c>
      <c r="B2209" t="s">
        <v>84</v>
      </c>
      <c r="C2209">
        <v>1100.001</v>
      </c>
      <c r="D2209">
        <v>2200</v>
      </c>
      <c r="E2209">
        <v>0.1</v>
      </c>
      <c r="F2209" t="s">
        <v>26</v>
      </c>
      <c r="G2209" t="s">
        <v>26</v>
      </c>
      <c r="H2209">
        <v>0</v>
      </c>
      <c r="I2209">
        <v>0</v>
      </c>
      <c r="J2209" t="s">
        <v>2833</v>
      </c>
      <c r="K2209">
        <v>0.16</v>
      </c>
      <c r="L2209">
        <v>0</v>
      </c>
      <c r="M2209">
        <v>0.105713381</v>
      </c>
      <c r="N2209">
        <v>0</v>
      </c>
      <c r="O2209" t="s">
        <v>2833</v>
      </c>
      <c r="P2209" t="s">
        <v>2833</v>
      </c>
      <c r="Q2209" t="s">
        <v>163</v>
      </c>
      <c r="R2209">
        <f ca="1">RAND()*(Validation[[#This Row],[Range1_High]]-Validation[[#This Row],[Range1_Low]])+Validation[[#This Row],[Range1_Low]]</f>
        <v>2026.6685685850996</v>
      </c>
      <c r="S2209">
        <f>Validation[[#This Row],[Range2_High]]</f>
        <v>0</v>
      </c>
      <c r="T2209" t="str" cm="1">
        <f t="array" aca="1" ref="T2209" ca="1">RoundToTwoSigFigs(Validation[[#This Row],[Test Reading]]*Validation[[#This Row],[Mult]]+Validation[[#This Row],[Base]]) &amp;" "&amp;Validation[[#This Row],[Uncert_Units]]</f>
        <v>0.16 °F</v>
      </c>
      <c r="U2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V2209" t="b">
        <f ca="1">Validation[[#This Row],[Desired Result]]=Validation[[#This Row],[Result]]</f>
        <v>1</v>
      </c>
      <c r="W2209" t="b">
        <v>0</v>
      </c>
      <c r="X2209" t="b">
        <f>Validation[[#This Row],[Range1_Low]]&gt;=Validation[[#This Row],[Range1_High]]</f>
        <v>0</v>
      </c>
      <c r="Y2209" s="111" t="s">
        <v>2845</v>
      </c>
    </row>
    <row r="2210" spans="1:25" x14ac:dyDescent="0.25">
      <c r="A2210" t="s">
        <v>54</v>
      </c>
      <c r="B2210" t="s">
        <v>84</v>
      </c>
      <c r="C2210">
        <v>3213</v>
      </c>
      <c r="D2210">
        <v>3213.1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2833</v>
      </c>
      <c r="K2210">
        <v>1.142154345</v>
      </c>
      <c r="L2210">
        <v>0</v>
      </c>
      <c r="M2210">
        <v>1.1188452840000001</v>
      </c>
      <c r="N2210">
        <v>0</v>
      </c>
      <c r="O2210" t="s">
        <v>2833</v>
      </c>
      <c r="P2210" t="s">
        <v>2833</v>
      </c>
      <c r="Q2210" t="s">
        <v>163</v>
      </c>
      <c r="R2210">
        <f ca="1">RAND()*(Validation[[#This Row],[Range1_High]]-Validation[[#This Row],[Range1_Low]])+Validation[[#This Row],[Range1_Low]]</f>
        <v>3213.0014727674761</v>
      </c>
      <c r="S2210">
        <f>Validation[[#This Row],[Range2_High]]</f>
        <v>0</v>
      </c>
      <c r="T2210" t="str" cm="1">
        <f t="array" aca="1" ref="T2210" ca="1">RoundToTwoSigFigs(Validation[[#This Row],[Test Reading]]*Validation[[#This Row],[Mult]]+Validation[[#This Row],[Base]]) &amp;" "&amp;Validation[[#This Row],[Uncert_Units]]</f>
        <v>1.1 °F</v>
      </c>
      <c r="U2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V2210" t="b">
        <f ca="1">Validation[[#This Row],[Desired Result]]=Validation[[#This Row],[Result]]</f>
        <v>1</v>
      </c>
      <c r="W2210" t="b">
        <v>0</v>
      </c>
      <c r="X2210" t="b">
        <f>Validation[[#This Row],[Range1_Low]]&gt;=Validation[[#This Row],[Range1_High]]</f>
        <v>0</v>
      </c>
      <c r="Y2210" s="111" t="s">
        <v>2845</v>
      </c>
    </row>
    <row r="2211" spans="1:25" x14ac:dyDescent="0.25">
      <c r="A2211" t="s">
        <v>55</v>
      </c>
      <c r="B2211" t="s">
        <v>84</v>
      </c>
      <c r="C2211">
        <v>32</v>
      </c>
      <c r="D2211">
        <v>1100</v>
      </c>
      <c r="E2211">
        <v>0.1</v>
      </c>
      <c r="F2211" t="s">
        <v>26</v>
      </c>
      <c r="G2211" t="s">
        <v>26</v>
      </c>
      <c r="H2211">
        <v>0</v>
      </c>
      <c r="I2211">
        <v>0</v>
      </c>
      <c r="J2211" t="s">
        <v>2833</v>
      </c>
      <c r="K2211">
        <v>0.19</v>
      </c>
      <c r="L2211">
        <v>0</v>
      </c>
      <c r="M2211">
        <v>0.13897985700000001</v>
      </c>
      <c r="N2211">
        <v>0</v>
      </c>
      <c r="O2211" t="s">
        <v>2833</v>
      </c>
      <c r="P2211" t="s">
        <v>2833</v>
      </c>
      <c r="Q2211" t="s">
        <v>163</v>
      </c>
      <c r="R2211">
        <f ca="1">RAND()*(Validation[[#This Row],[Range1_High]]-Validation[[#This Row],[Range1_Low]])+Validation[[#This Row],[Range1_Low]]</f>
        <v>249.08162947777464</v>
      </c>
      <c r="S2211">
        <f>Validation[[#This Row],[Range2_High]]</f>
        <v>0</v>
      </c>
      <c r="T2211" t="str" cm="1">
        <f t="array" aca="1" ref="T2211" ca="1">RoundToTwoSigFigs(Validation[[#This Row],[Test Reading]]*Validation[[#This Row],[Mult]]+Validation[[#This Row],[Base]]) &amp;" "&amp;Validation[[#This Row],[Uncert_Units]]</f>
        <v>0.19 °F</v>
      </c>
      <c r="U2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V2211" t="b">
        <f ca="1">Validation[[#This Row],[Desired Result]]=Validation[[#This Row],[Result]]</f>
        <v>1</v>
      </c>
      <c r="W2211" t="b">
        <v>0</v>
      </c>
      <c r="X2211" t="b">
        <f>Validation[[#This Row],[Range1_Low]]&gt;=Validation[[#This Row],[Range1_High]]</f>
        <v>0</v>
      </c>
      <c r="Y2211" s="111" t="s">
        <v>2845</v>
      </c>
    </row>
    <row r="2212" spans="1:25" ht="15.75" thickBot="1" x14ac:dyDescent="0.3">
      <c r="A2212" t="s">
        <v>54</v>
      </c>
      <c r="B2212" t="s">
        <v>84</v>
      </c>
      <c r="C2212">
        <v>32</v>
      </c>
      <c r="D2212">
        <v>482.1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2833</v>
      </c>
      <c r="K2212">
        <v>1.3448255570000001</v>
      </c>
      <c r="L2212">
        <v>0</v>
      </c>
      <c r="M2212">
        <v>1.3214180929999999</v>
      </c>
      <c r="N2212">
        <v>0</v>
      </c>
      <c r="O2212" t="s">
        <v>2833</v>
      </c>
      <c r="P2212" t="s">
        <v>2833</v>
      </c>
      <c r="Q2212" t="s">
        <v>163</v>
      </c>
      <c r="R2212">
        <f ca="1">RAND()*(Validation[[#This Row],[Range1_High]]-Validation[[#This Row],[Range1_Low]])+Validation[[#This Row],[Range1_Low]]</f>
        <v>342.67955106377042</v>
      </c>
      <c r="S2212">
        <f>Validation[[#This Row],[Range2_High]]</f>
        <v>0</v>
      </c>
      <c r="T2212" t="str" cm="1">
        <f t="array" aca="1" ref="T2212" ca="1">RoundToTwoSigFigs(Validation[[#This Row],[Test Reading]]*Validation[[#This Row],[Mult]]+Validation[[#This Row],[Base]]) &amp;" "&amp;Validation[[#This Row],[Uncert_Units]]</f>
        <v>1.3 °F</v>
      </c>
      <c r="U2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V2212" t="b">
        <f ca="1">Validation[[#This Row],[Desired Result]]=Validation[[#This Row],[Result]]</f>
        <v>1</v>
      </c>
      <c r="W2212" t="b">
        <v>0</v>
      </c>
      <c r="X2212" t="b">
        <f>Validation[[#This Row],[Range1_Low]]&gt;=Validation[[#This Row],[Range1_High]]</f>
        <v>0</v>
      </c>
      <c r="Y2212" s="111" t="s">
        <v>2845</v>
      </c>
    </row>
    <row r="2213" spans="1:25" ht="16.5" thickTop="1" thickBot="1" x14ac:dyDescent="0.3">
      <c r="A2213" t="s">
        <v>54</v>
      </c>
      <c r="B2213" t="s">
        <v>84</v>
      </c>
      <c r="C2213" s="113">
        <v>752</v>
      </c>
      <c r="D2213" s="113">
        <v>1832.1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J2213" t="s">
        <v>2833</v>
      </c>
      <c r="K2213">
        <v>0.92821232499999995</v>
      </c>
      <c r="L2213">
        <v>0</v>
      </c>
      <c r="M2213">
        <v>0.89937552899999995</v>
      </c>
      <c r="N2213">
        <v>0</v>
      </c>
      <c r="O2213" t="s">
        <v>2833</v>
      </c>
      <c r="P2213" t="s">
        <v>2833</v>
      </c>
      <c r="Q2213" t="s">
        <v>163</v>
      </c>
      <c r="R2213">
        <f ca="1">RAND()*(Validation[[#This Row],[Range1_High]]-Validation[[#This Row],[Range1_Low]])+Validation[[#This Row],[Range1_Low]]</f>
        <v>1144.151380687671</v>
      </c>
      <c r="S2213">
        <f>Validation[[#This Row],[Range2_High]]</f>
        <v>0</v>
      </c>
      <c r="T2213" t="str" cm="1">
        <f t="array" aca="1" ref="T2213" ca="1">RoundToTwoSigFigs(Validation[[#This Row],[Test Reading]]*Validation[[#This Row],[Mult]]+Validation[[#This Row],[Base]]) &amp;" "&amp;Validation[[#This Row],[Uncert_Units]]</f>
        <v>0.93 °F</v>
      </c>
      <c r="U2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V2213" t="b">
        <f ca="1">Validation[[#This Row],[Desired Result]]=Validation[[#This Row],[Result]]</f>
        <v>1</v>
      </c>
      <c r="W2213" t="b">
        <v>1</v>
      </c>
      <c r="X2213" t="b">
        <f>Validation[[#This Row],[Range1_Low]]&gt;=Validation[[#This Row],[Range1_High]]</f>
        <v>0</v>
      </c>
      <c r="Y2213" s="111" t="s">
        <v>2843</v>
      </c>
    </row>
    <row r="2214" spans="1:25" ht="15.75" thickTop="1" x14ac:dyDescent="0.25">
      <c r="A2214" t="s">
        <v>55</v>
      </c>
      <c r="B2214" t="s">
        <v>84</v>
      </c>
      <c r="C2214">
        <v>-58</v>
      </c>
      <c r="D2214">
        <v>31.998999999999999</v>
      </c>
      <c r="E2214">
        <v>1</v>
      </c>
      <c r="F2214" t="s">
        <v>26</v>
      </c>
      <c r="G2214" t="s">
        <v>26</v>
      </c>
      <c r="H2214">
        <v>0</v>
      </c>
      <c r="I2214">
        <v>0</v>
      </c>
      <c r="J2214" t="s">
        <v>2833</v>
      </c>
      <c r="K2214">
        <v>0.66464951500000002</v>
      </c>
      <c r="L2214">
        <v>0</v>
      </c>
      <c r="M2214">
        <v>0.61591312499999995</v>
      </c>
      <c r="N2214">
        <v>0</v>
      </c>
      <c r="O2214" t="s">
        <v>2833</v>
      </c>
      <c r="P2214" t="s">
        <v>2833</v>
      </c>
      <c r="Q2214" t="s">
        <v>163</v>
      </c>
      <c r="R2214">
        <f ca="1">RAND()*(Validation[[#This Row],[Range1_High]]-Validation[[#This Row],[Range1_Low]])+Validation[[#This Row],[Range1_Low]]</f>
        <v>-21.46229580338953</v>
      </c>
      <c r="S2214">
        <f>Validation[[#This Row],[Range2_High]]</f>
        <v>0</v>
      </c>
      <c r="T2214" t="str" cm="1">
        <f t="array" aca="1" ref="T2214" ca="1">RoundToTwoSigFigs(Validation[[#This Row],[Test Reading]]*Validation[[#This Row],[Mult]]+Validation[[#This Row],[Base]]) &amp;" "&amp;Validation[[#This Row],[Uncert_Units]]</f>
        <v>0.66 °F</v>
      </c>
      <c r="U2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V2214" t="b">
        <f ca="1">Validation[[#This Row],[Desired Result]]=Validation[[#This Row],[Result]]</f>
        <v>1</v>
      </c>
      <c r="W2214" t="b">
        <v>0</v>
      </c>
      <c r="X2214" t="b">
        <f>Validation[[#This Row],[Range1_Low]]&gt;=Validation[[#This Row],[Range1_High]]</f>
        <v>0</v>
      </c>
      <c r="Y2214" s="111" t="s">
        <v>2845</v>
      </c>
    </row>
    <row r="2215" spans="1:25" x14ac:dyDescent="0.25">
      <c r="A2215" t="s">
        <v>55</v>
      </c>
      <c r="B2215" t="s">
        <v>84</v>
      </c>
      <c r="C2215">
        <v>-58</v>
      </c>
      <c r="D2215">
        <v>31.998999999999999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2833</v>
      </c>
      <c r="K2215">
        <v>0.26</v>
      </c>
      <c r="L2215">
        <v>0</v>
      </c>
      <c r="M2215">
        <v>0.22214629799999999</v>
      </c>
      <c r="N2215">
        <v>0</v>
      </c>
      <c r="O2215" t="s">
        <v>2833</v>
      </c>
      <c r="P2215" t="s">
        <v>2833</v>
      </c>
      <c r="Q2215" t="s">
        <v>163</v>
      </c>
      <c r="R2215">
        <f ca="1">RAND()*(Validation[[#This Row],[Range1_High]]-Validation[[#This Row],[Range1_Low]])+Validation[[#This Row],[Range1_Low]]</f>
        <v>-46.550395728428995</v>
      </c>
      <c r="S2215">
        <f>Validation[[#This Row],[Range2_High]]</f>
        <v>0</v>
      </c>
      <c r="T2215" t="str" cm="1">
        <f t="array" aca="1" ref="T2215" ca="1">RoundToTwoSigFigs(Validation[[#This Row],[Test Reading]]*Validation[[#This Row],[Mult]]+Validation[[#This Row],[Base]]) &amp;" "&amp;Validation[[#This Row],[Uncert_Units]]</f>
        <v>0.26 °F</v>
      </c>
      <c r="U2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V2215" t="b">
        <f ca="1">Validation[[#This Row],[Desired Result]]=Validation[[#This Row],[Result]]</f>
        <v>1</v>
      </c>
      <c r="W2215" t="b">
        <v>0</v>
      </c>
      <c r="X2215" t="b">
        <f>Validation[[#This Row],[Range1_Low]]&gt;=Validation[[#This Row],[Range1_High]]</f>
        <v>0</v>
      </c>
      <c r="Y2215" s="111" t="s">
        <v>2845</v>
      </c>
    </row>
    <row r="2216" spans="1:25" x14ac:dyDescent="0.25">
      <c r="A2216" t="s">
        <v>55</v>
      </c>
      <c r="B2216" t="s">
        <v>84</v>
      </c>
      <c r="C2216">
        <v>1100.001</v>
      </c>
      <c r="D2216">
        <v>2200</v>
      </c>
      <c r="E2216">
        <v>1</v>
      </c>
      <c r="F2216" t="s">
        <v>26</v>
      </c>
      <c r="G2216" t="s">
        <v>26</v>
      </c>
      <c r="H2216">
        <v>0</v>
      </c>
      <c r="I2216">
        <v>0</v>
      </c>
      <c r="J2216" t="s">
        <v>2833</v>
      </c>
      <c r="K2216">
        <v>0.62759628499999998</v>
      </c>
      <c r="L2216">
        <v>0</v>
      </c>
      <c r="M2216">
        <v>0.58410214800000004</v>
      </c>
      <c r="N2216">
        <v>0</v>
      </c>
      <c r="O2216" t="s">
        <v>2833</v>
      </c>
      <c r="P2216" t="s">
        <v>2833</v>
      </c>
      <c r="Q2216" t="s">
        <v>163</v>
      </c>
      <c r="R2216">
        <f ca="1">RAND()*(Validation[[#This Row],[Range1_High]]-Validation[[#This Row],[Range1_Low]])+Validation[[#This Row],[Range1_Low]]</f>
        <v>1301.7601771944517</v>
      </c>
      <c r="S2216">
        <f>Validation[[#This Row],[Range2_High]]</f>
        <v>0</v>
      </c>
      <c r="T2216" t="str" cm="1">
        <f t="array" aca="1" ref="T2216" ca="1">RoundToTwoSigFigs(Validation[[#This Row],[Test Reading]]*Validation[[#This Row],[Mult]]+Validation[[#This Row],[Base]]) &amp;" "&amp;Validation[[#This Row],[Uncert_Units]]</f>
        <v>0.63 °F</v>
      </c>
      <c r="U2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V2216" t="b">
        <f ca="1">Validation[[#This Row],[Desired Result]]=Validation[[#This Row],[Result]]</f>
        <v>1</v>
      </c>
      <c r="W2216" t="b">
        <v>0</v>
      </c>
      <c r="X2216" t="b">
        <f>Validation[[#This Row],[Range1_Low]]&gt;=Validation[[#This Row],[Range1_High]]</f>
        <v>0</v>
      </c>
      <c r="Y2216" s="111" t="s">
        <v>2845</v>
      </c>
    </row>
    <row r="2217" spans="1:25" ht="15.75" thickBot="1" x14ac:dyDescent="0.3">
      <c r="A2217" t="s">
        <v>55</v>
      </c>
      <c r="B2217" t="s">
        <v>85</v>
      </c>
      <c r="C2217">
        <v>32</v>
      </c>
      <c r="D2217">
        <v>1100</v>
      </c>
      <c r="E2217">
        <v>1</v>
      </c>
      <c r="F2217" t="s">
        <v>26</v>
      </c>
      <c r="G2217" t="s">
        <v>26</v>
      </c>
      <c r="H2217">
        <v>0</v>
      </c>
      <c r="I2217">
        <v>0</v>
      </c>
      <c r="J2217" t="s">
        <v>2833</v>
      </c>
      <c r="K2217">
        <v>0.63801956900000001</v>
      </c>
      <c r="L2217">
        <v>0</v>
      </c>
      <c r="M2217">
        <v>0.58825662700000003</v>
      </c>
      <c r="N2217">
        <v>0</v>
      </c>
      <c r="O2217" t="s">
        <v>2833</v>
      </c>
      <c r="P2217" t="s">
        <v>2833</v>
      </c>
      <c r="Q2217" t="s">
        <v>164</v>
      </c>
      <c r="R2217">
        <f ca="1">RAND()*(Validation[[#This Row],[Range1_High]]-Validation[[#This Row],[Range1_Low]])+Validation[[#This Row],[Range1_Low]]</f>
        <v>467.37356964397583</v>
      </c>
      <c r="S2217">
        <f>Validation[[#This Row],[Range2_High]]</f>
        <v>0</v>
      </c>
      <c r="T2217" t="str" cm="1">
        <f t="array" aca="1" ref="T2217" ca="1">RoundToTwoSigFigs(Validation[[#This Row],[Test Reading]]*Validation[[#This Row],[Mult]]+Validation[[#This Row],[Base]]) &amp;" "&amp;Validation[[#This Row],[Uncert_Units]]</f>
        <v>0.64 °F</v>
      </c>
      <c r="U2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V2217" t="b">
        <f ca="1">Validation[[#This Row],[Desired Result]]=Validation[[#This Row],[Result]]</f>
        <v>1</v>
      </c>
      <c r="W2217" t="b">
        <v>0</v>
      </c>
      <c r="X2217" t="b">
        <f>Validation[[#This Row],[Range1_Low]]&gt;=Validation[[#This Row],[Range1_High]]</f>
        <v>0</v>
      </c>
      <c r="Y2217" s="111" t="s">
        <v>2845</v>
      </c>
    </row>
    <row r="2218" spans="1:25" ht="16.5" thickTop="1" thickBot="1" x14ac:dyDescent="0.3">
      <c r="A2218" t="s">
        <v>54</v>
      </c>
      <c r="B2218" t="s">
        <v>85</v>
      </c>
      <c r="C2218" s="113">
        <v>2552</v>
      </c>
      <c r="D2218" s="113">
        <v>3213</v>
      </c>
      <c r="E2218">
        <v>1</v>
      </c>
      <c r="F2218" t="s">
        <v>26</v>
      </c>
      <c r="G2218" t="s">
        <v>26</v>
      </c>
      <c r="H2218">
        <v>0</v>
      </c>
      <c r="I2218">
        <v>0</v>
      </c>
      <c r="J2218" t="s">
        <v>2833</v>
      </c>
      <c r="K2218">
        <v>1.142432525</v>
      </c>
      <c r="L2218">
        <v>0</v>
      </c>
      <c r="M2218">
        <v>1.1191292580000001</v>
      </c>
      <c r="N2218">
        <v>0</v>
      </c>
      <c r="O2218" t="s">
        <v>2833</v>
      </c>
      <c r="P2218" t="s">
        <v>2833</v>
      </c>
      <c r="Q2218" t="s">
        <v>164</v>
      </c>
      <c r="R2218">
        <f ca="1">RAND()*(Validation[[#This Row],[Range1_High]]-Validation[[#This Row],[Range1_Low]])+Validation[[#This Row],[Range1_Low]]</f>
        <v>2807.9304848554875</v>
      </c>
      <c r="S2218">
        <f>Validation[[#This Row],[Range2_High]]</f>
        <v>0</v>
      </c>
      <c r="T2218" t="str" cm="1">
        <f t="array" aca="1" ref="T2218" ca="1">RoundToTwoSigFigs(Validation[[#This Row],[Test Reading]]*Validation[[#This Row],[Mult]]+Validation[[#This Row],[Base]]) &amp;" "&amp;Validation[[#This Row],[Uncert_Units]]</f>
        <v>1.1 °F</v>
      </c>
      <c r="U2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V2218" t="b">
        <f ca="1">Validation[[#This Row],[Desired Result]]=Validation[[#This Row],[Result]]</f>
        <v>1</v>
      </c>
      <c r="W2218" t="b">
        <v>1</v>
      </c>
      <c r="X2218" t="b">
        <f>Validation[[#This Row],[Range1_Low]]&gt;=Validation[[#This Row],[Range1_High]]</f>
        <v>0</v>
      </c>
      <c r="Y2218" s="111" t="s">
        <v>2843</v>
      </c>
    </row>
    <row r="2219" spans="1:25" ht="16.5" thickTop="1" thickBot="1" x14ac:dyDescent="0.3">
      <c r="A2219" t="s">
        <v>54</v>
      </c>
      <c r="B2219" t="s">
        <v>85</v>
      </c>
      <c r="C2219" s="113">
        <v>1832</v>
      </c>
      <c r="D2219" s="113">
        <v>2552.1</v>
      </c>
      <c r="E2219">
        <v>0.1</v>
      </c>
      <c r="F2219" t="s">
        <v>26</v>
      </c>
      <c r="G2219" t="s">
        <v>26</v>
      </c>
      <c r="H2219">
        <v>0</v>
      </c>
      <c r="I2219">
        <v>0</v>
      </c>
      <c r="J2219" t="s">
        <v>2833</v>
      </c>
      <c r="K2219">
        <v>0.78273955799999995</v>
      </c>
      <c r="L2219">
        <v>0</v>
      </c>
      <c r="M2219">
        <v>0.77427758000000002</v>
      </c>
      <c r="N2219">
        <v>0</v>
      </c>
      <c r="O2219" t="s">
        <v>2833</v>
      </c>
      <c r="P2219" t="s">
        <v>2833</v>
      </c>
      <c r="Q2219" t="s">
        <v>164</v>
      </c>
      <c r="R2219">
        <f ca="1">RAND()*(Validation[[#This Row],[Range1_High]]-Validation[[#This Row],[Range1_Low]])+Validation[[#This Row],[Range1_Low]]</f>
        <v>2177.2102092947625</v>
      </c>
      <c r="S2219">
        <f>Validation[[#This Row],[Range2_High]]</f>
        <v>0</v>
      </c>
      <c r="T2219" t="str" cm="1">
        <f t="array" aca="1" ref="T2219" ca="1">RoundToTwoSigFigs(Validation[[#This Row],[Test Reading]]*Validation[[#This Row],[Mult]]+Validation[[#This Row],[Base]]) &amp;" "&amp;Validation[[#This Row],[Uncert_Units]]</f>
        <v>0.78 °F</v>
      </c>
      <c r="U2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V2219" t="b">
        <f ca="1">Validation[[#This Row],[Desired Result]]=Validation[[#This Row],[Result]]</f>
        <v>1</v>
      </c>
      <c r="W2219" t="b">
        <v>1</v>
      </c>
      <c r="X2219" t="b">
        <f>Validation[[#This Row],[Range1_Low]]&gt;=Validation[[#This Row],[Range1_High]]</f>
        <v>0</v>
      </c>
      <c r="Y2219" s="111" t="s">
        <v>2843</v>
      </c>
    </row>
    <row r="2220" spans="1:25" ht="16.5" thickTop="1" thickBot="1" x14ac:dyDescent="0.3">
      <c r="A2220" t="s">
        <v>54</v>
      </c>
      <c r="B2220" t="s">
        <v>85</v>
      </c>
      <c r="C2220" s="113">
        <v>482</v>
      </c>
      <c r="D2220" s="113">
        <v>1832.1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2833</v>
      </c>
      <c r="K2220">
        <v>0.97705967599999999</v>
      </c>
      <c r="L2220">
        <v>0</v>
      </c>
      <c r="M2220">
        <v>0.94824445800000001</v>
      </c>
      <c r="N2220">
        <v>0</v>
      </c>
      <c r="O2220" t="s">
        <v>2833</v>
      </c>
      <c r="P2220" t="s">
        <v>2833</v>
      </c>
      <c r="Q2220" t="s">
        <v>164</v>
      </c>
      <c r="R2220">
        <f ca="1">RAND()*(Validation[[#This Row],[Range1_High]]-Validation[[#This Row],[Range1_Low]])+Validation[[#This Row],[Range1_Low]]</f>
        <v>1458.9590069487911</v>
      </c>
      <c r="S2220">
        <f>Validation[[#This Row],[Range2_High]]</f>
        <v>0</v>
      </c>
      <c r="T2220" t="str" cm="1">
        <f t="array" aca="1" ref="T2220" ca="1">RoundToTwoSigFigs(Validation[[#This Row],[Test Reading]]*Validation[[#This Row],[Mult]]+Validation[[#This Row],[Base]]) &amp;" "&amp;Validation[[#This Row],[Uncert_Units]]</f>
        <v>0.98 °F</v>
      </c>
      <c r="U2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V2220" t="b">
        <f ca="1">Validation[[#This Row],[Desired Result]]=Validation[[#This Row],[Result]]</f>
        <v>1</v>
      </c>
      <c r="W2220" t="b">
        <v>1</v>
      </c>
      <c r="X2220" t="b">
        <f>Validation[[#This Row],[Range1_Low]]&gt;=Validation[[#This Row],[Range1_High]]</f>
        <v>0</v>
      </c>
      <c r="Y2220" s="111" t="s">
        <v>2843</v>
      </c>
    </row>
    <row r="2221" spans="1:25" ht="16.5" thickTop="1" thickBot="1" x14ac:dyDescent="0.3">
      <c r="A2221" t="s">
        <v>55</v>
      </c>
      <c r="B2221" t="s">
        <v>85</v>
      </c>
      <c r="C2221">
        <v>2200.0010000000002</v>
      </c>
      <c r="D2221">
        <v>3214</v>
      </c>
      <c r="E2221">
        <v>0.1</v>
      </c>
      <c r="F2221" t="s">
        <v>26</v>
      </c>
      <c r="G2221" t="s">
        <v>26</v>
      </c>
      <c r="H2221">
        <v>0</v>
      </c>
      <c r="I2221">
        <v>0</v>
      </c>
      <c r="J2221" t="s">
        <v>2833</v>
      </c>
      <c r="K2221">
        <v>0.17</v>
      </c>
      <c r="L2221">
        <v>0</v>
      </c>
      <c r="M2221">
        <v>0.122419896</v>
      </c>
      <c r="N2221">
        <v>0</v>
      </c>
      <c r="O2221" t="s">
        <v>2833</v>
      </c>
      <c r="P2221" t="s">
        <v>2833</v>
      </c>
      <c r="Q2221" t="s">
        <v>164</v>
      </c>
      <c r="R2221">
        <f ca="1">RAND()*(Validation[[#This Row],[Range1_High]]-Validation[[#This Row],[Range1_Low]])+Validation[[#This Row],[Range1_Low]]</f>
        <v>3032.6721039782169</v>
      </c>
      <c r="S2221">
        <f>Validation[[#This Row],[Range2_High]]</f>
        <v>0</v>
      </c>
      <c r="T2221" t="str" cm="1">
        <f t="array" aca="1" ref="T2221" ca="1">RoundToTwoSigFigs(Validation[[#This Row],[Test Reading]]*Validation[[#This Row],[Mult]]+Validation[[#This Row],[Base]]) &amp;" "&amp;Validation[[#This Row],[Uncert_Units]]</f>
        <v>0.17 °F</v>
      </c>
      <c r="U2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V2221" t="b">
        <f ca="1">Validation[[#This Row],[Desired Result]]=Validation[[#This Row],[Result]]</f>
        <v>1</v>
      </c>
      <c r="W2221" t="b">
        <v>0</v>
      </c>
      <c r="X2221" t="b">
        <f>Validation[[#This Row],[Range1_Low]]&gt;=Validation[[#This Row],[Range1_High]]</f>
        <v>0</v>
      </c>
      <c r="Y2221" s="111" t="s">
        <v>2845</v>
      </c>
    </row>
    <row r="2222" spans="1:25" ht="16.5" thickTop="1" thickBot="1" x14ac:dyDescent="0.3">
      <c r="A2222" t="s">
        <v>54</v>
      </c>
      <c r="B2222" t="s">
        <v>85</v>
      </c>
      <c r="C2222" s="113">
        <v>2552</v>
      </c>
      <c r="D2222" s="113">
        <v>3213</v>
      </c>
      <c r="E2222">
        <v>0.1</v>
      </c>
      <c r="F2222" t="s">
        <v>26</v>
      </c>
      <c r="G2222" t="s">
        <v>26</v>
      </c>
      <c r="H2222">
        <v>0</v>
      </c>
      <c r="I2222">
        <v>0</v>
      </c>
      <c r="J2222" t="s">
        <v>2833</v>
      </c>
      <c r="K2222">
        <v>0.96727748899999999</v>
      </c>
      <c r="L2222">
        <v>0</v>
      </c>
      <c r="M2222">
        <v>0.96044275999999995</v>
      </c>
      <c r="N2222">
        <v>0</v>
      </c>
      <c r="O2222" t="s">
        <v>2833</v>
      </c>
      <c r="P2222" t="s">
        <v>2833</v>
      </c>
      <c r="Q2222" t="s">
        <v>164</v>
      </c>
      <c r="R2222">
        <f ca="1">RAND()*(Validation[[#This Row],[Range1_High]]-Validation[[#This Row],[Range1_Low]])+Validation[[#This Row],[Range1_Low]]</f>
        <v>3016.2855573707784</v>
      </c>
      <c r="S2222">
        <f>Validation[[#This Row],[Range2_High]]</f>
        <v>0</v>
      </c>
      <c r="T2222" t="str" cm="1">
        <f t="array" aca="1" ref="T2222" ca="1">RoundToTwoSigFigs(Validation[[#This Row],[Test Reading]]*Validation[[#This Row],[Mult]]+Validation[[#This Row],[Base]]) &amp;" "&amp;Validation[[#This Row],[Uncert_Units]]</f>
        <v>0.97 °F</v>
      </c>
      <c r="U2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V2222" t="b">
        <f ca="1">Validation[[#This Row],[Desired Result]]=Validation[[#This Row],[Result]]</f>
        <v>1</v>
      </c>
      <c r="W2222" t="b">
        <v>1</v>
      </c>
      <c r="X2222" t="b">
        <f>Validation[[#This Row],[Range1_Low]]&gt;=Validation[[#This Row],[Range1_High]]</f>
        <v>0</v>
      </c>
      <c r="Y2222" s="111" t="s">
        <v>2843</v>
      </c>
    </row>
    <row r="2223" spans="1:25" ht="15.75" thickTop="1" x14ac:dyDescent="0.25">
      <c r="A2223" t="s">
        <v>55</v>
      </c>
      <c r="B2223" t="s">
        <v>85</v>
      </c>
      <c r="C2223">
        <v>1100.001</v>
      </c>
      <c r="D2223">
        <v>2200</v>
      </c>
      <c r="E2223">
        <v>0.1</v>
      </c>
      <c r="F2223" t="s">
        <v>26</v>
      </c>
      <c r="G2223" t="s">
        <v>26</v>
      </c>
      <c r="H2223">
        <v>0</v>
      </c>
      <c r="I2223">
        <v>0</v>
      </c>
      <c r="J2223" t="s">
        <v>2833</v>
      </c>
      <c r="K2223">
        <v>0.17</v>
      </c>
      <c r="L2223">
        <v>0</v>
      </c>
      <c r="M2223">
        <v>0.105713381</v>
      </c>
      <c r="N2223">
        <v>0</v>
      </c>
      <c r="O2223" t="s">
        <v>2833</v>
      </c>
      <c r="P2223" t="s">
        <v>2833</v>
      </c>
      <c r="Q2223" t="s">
        <v>164</v>
      </c>
      <c r="R2223">
        <f ca="1">RAND()*(Validation[[#This Row],[Range1_High]]-Validation[[#This Row],[Range1_Low]])+Validation[[#This Row],[Range1_Low]]</f>
        <v>1504.1849076697076</v>
      </c>
      <c r="S2223">
        <f>Validation[[#This Row],[Range2_High]]</f>
        <v>0</v>
      </c>
      <c r="T2223" t="str" cm="1">
        <f t="array" aca="1" ref="T2223" ca="1">RoundToTwoSigFigs(Validation[[#This Row],[Test Reading]]*Validation[[#This Row],[Mult]]+Validation[[#This Row],[Base]]) &amp;" "&amp;Validation[[#This Row],[Uncert_Units]]</f>
        <v>0.17 °F</v>
      </c>
      <c r="U2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V2223" t="b">
        <f ca="1">Validation[[#This Row],[Desired Result]]=Validation[[#This Row],[Result]]</f>
        <v>1</v>
      </c>
      <c r="W2223" t="b">
        <v>0</v>
      </c>
      <c r="X2223" t="b">
        <f>Validation[[#This Row],[Range1_Low]]&gt;=Validation[[#This Row],[Range1_High]]</f>
        <v>0</v>
      </c>
      <c r="Y2223" s="111" t="s">
        <v>2845</v>
      </c>
    </row>
    <row r="2224" spans="1:25" ht="15.75" thickBot="1" x14ac:dyDescent="0.3">
      <c r="A2224" t="s">
        <v>54</v>
      </c>
      <c r="B2224" t="s">
        <v>85</v>
      </c>
      <c r="C2224">
        <v>32</v>
      </c>
      <c r="D2224">
        <v>482.1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2833</v>
      </c>
      <c r="K2224">
        <v>1.165284896</v>
      </c>
      <c r="L2224">
        <v>0</v>
      </c>
      <c r="M2224">
        <v>1.1388001480000001</v>
      </c>
      <c r="N2224">
        <v>0</v>
      </c>
      <c r="O2224" t="s">
        <v>2833</v>
      </c>
      <c r="P2224" t="s">
        <v>2833</v>
      </c>
      <c r="Q2224" t="s">
        <v>164</v>
      </c>
      <c r="R2224">
        <f ca="1">RAND()*(Validation[[#This Row],[Range1_High]]-Validation[[#This Row],[Range1_Low]])+Validation[[#This Row],[Range1_Low]]</f>
        <v>176.3715641860272</v>
      </c>
      <c r="S2224">
        <f>Validation[[#This Row],[Range2_High]]</f>
        <v>0</v>
      </c>
      <c r="T2224" t="str" cm="1">
        <f t="array" aca="1" ref="T2224" ca="1">RoundToTwoSigFigs(Validation[[#This Row],[Test Reading]]*Validation[[#This Row],[Mult]]+Validation[[#This Row],[Base]]) &amp;" "&amp;Validation[[#This Row],[Uncert_Units]]</f>
        <v>1.2 °F</v>
      </c>
      <c r="U2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V2224" t="b">
        <f ca="1">Validation[[#This Row],[Desired Result]]=Validation[[#This Row],[Result]]</f>
        <v>1</v>
      </c>
      <c r="W2224" t="b">
        <v>0</v>
      </c>
      <c r="X2224" t="b">
        <f>Validation[[#This Row],[Range1_Low]]&gt;=Validation[[#This Row],[Range1_High]]</f>
        <v>0</v>
      </c>
      <c r="Y2224" s="111" t="s">
        <v>2845</v>
      </c>
    </row>
    <row r="2225" spans="1:25" ht="16.5" thickTop="1" thickBot="1" x14ac:dyDescent="0.3">
      <c r="A2225" t="s">
        <v>54</v>
      </c>
      <c r="B2225" t="s">
        <v>85</v>
      </c>
      <c r="C2225" s="113">
        <v>482</v>
      </c>
      <c r="D2225" s="113">
        <v>1832.1</v>
      </c>
      <c r="E2225">
        <v>0.1</v>
      </c>
      <c r="F2225" t="s">
        <v>26</v>
      </c>
      <c r="G2225" t="s">
        <v>26</v>
      </c>
      <c r="H2225">
        <v>0</v>
      </c>
      <c r="I2225">
        <v>0</v>
      </c>
      <c r="J2225" t="s">
        <v>2833</v>
      </c>
      <c r="K2225">
        <v>0.76311401300000004</v>
      </c>
      <c r="L2225">
        <v>0</v>
      </c>
      <c r="M2225">
        <v>0.75443194000000002</v>
      </c>
      <c r="N2225">
        <v>0</v>
      </c>
      <c r="O2225" t="s">
        <v>2833</v>
      </c>
      <c r="P2225" t="s">
        <v>2833</v>
      </c>
      <c r="Q2225" t="s">
        <v>164</v>
      </c>
      <c r="R2225">
        <f ca="1">RAND()*(Validation[[#This Row],[Range1_High]]-Validation[[#This Row],[Range1_Low]])+Validation[[#This Row],[Range1_Low]]</f>
        <v>1182.8836028771948</v>
      </c>
      <c r="S2225">
        <f>Validation[[#This Row],[Range2_High]]</f>
        <v>0</v>
      </c>
      <c r="T2225" t="str" cm="1">
        <f t="array" aca="1" ref="T2225" ca="1">RoundToTwoSigFigs(Validation[[#This Row],[Test Reading]]*Validation[[#This Row],[Mult]]+Validation[[#This Row],[Base]]) &amp;" "&amp;Validation[[#This Row],[Uncert_Units]]</f>
        <v>0.76 °F</v>
      </c>
      <c r="U2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V2225" t="b">
        <f ca="1">Validation[[#This Row],[Desired Result]]=Validation[[#This Row],[Result]]</f>
        <v>1</v>
      </c>
      <c r="W2225" t="b">
        <v>1</v>
      </c>
      <c r="X2225" t="b">
        <f>Validation[[#This Row],[Range1_Low]]&gt;=Validation[[#This Row],[Range1_High]]</f>
        <v>0</v>
      </c>
      <c r="Y2225" s="111" t="s">
        <v>2843</v>
      </c>
    </row>
    <row r="2226" spans="1:25" ht="16.5" thickTop="1" thickBot="1" x14ac:dyDescent="0.3">
      <c r="A2226" t="s">
        <v>54</v>
      </c>
      <c r="B2226" t="s">
        <v>86</v>
      </c>
      <c r="C2226" s="113">
        <v>-238</v>
      </c>
      <c r="D2226" s="113">
        <v>32.1</v>
      </c>
      <c r="E2226">
        <v>1</v>
      </c>
      <c r="F2226" t="s">
        <v>26</v>
      </c>
      <c r="G2226" t="s">
        <v>26</v>
      </c>
      <c r="H2226">
        <v>0</v>
      </c>
      <c r="I2226">
        <v>0</v>
      </c>
      <c r="J2226" t="s">
        <v>2833</v>
      </c>
      <c r="K2226">
        <v>0.65502346499999997</v>
      </c>
      <c r="L2226">
        <v>0</v>
      </c>
      <c r="M2226">
        <v>0.64148702499999999</v>
      </c>
      <c r="N2226">
        <v>0</v>
      </c>
      <c r="O2226" t="s">
        <v>2833</v>
      </c>
      <c r="P2226" t="s">
        <v>2833</v>
      </c>
      <c r="Q2226" t="s">
        <v>165</v>
      </c>
      <c r="R2226">
        <f ca="1">RAND()*(Validation[[#This Row],[Range1_High]]-Validation[[#This Row],[Range1_Low]])+Validation[[#This Row],[Range1_Low]]</f>
        <v>-225.44908191915795</v>
      </c>
      <c r="S2226">
        <f>Validation[[#This Row],[Range2_High]]</f>
        <v>0</v>
      </c>
      <c r="T2226" t="str" cm="1">
        <f t="array" aca="1" ref="T2226" ca="1">RoundToTwoSigFigs(Validation[[#This Row],[Test Reading]]*Validation[[#This Row],[Mult]]+Validation[[#This Row],[Base]]) &amp;" "&amp;Validation[[#This Row],[Uncert_Units]]</f>
        <v>0.66 °F</v>
      </c>
      <c r="U2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V2226" t="b">
        <f ca="1">Validation[[#This Row],[Desired Result]]=Validation[[#This Row],[Result]]</f>
        <v>1</v>
      </c>
      <c r="W2226" t="b">
        <v>1</v>
      </c>
      <c r="X2226" t="b">
        <f>Validation[[#This Row],[Range1_Low]]&gt;=Validation[[#This Row],[Range1_High]]</f>
        <v>0</v>
      </c>
      <c r="Y2226" s="111" t="s">
        <v>2843</v>
      </c>
    </row>
    <row r="2227" spans="1:25" ht="15.75" thickTop="1" x14ac:dyDescent="0.25">
      <c r="A2227" t="s">
        <v>55</v>
      </c>
      <c r="B2227" t="s">
        <v>86</v>
      </c>
      <c r="C2227">
        <v>-454</v>
      </c>
      <c r="D2227">
        <v>-400.00099999999998</v>
      </c>
      <c r="E2227">
        <v>1</v>
      </c>
      <c r="F2227" t="s">
        <v>26</v>
      </c>
      <c r="G2227" t="s">
        <v>26</v>
      </c>
      <c r="H2227">
        <v>0</v>
      </c>
      <c r="I2227">
        <v>0</v>
      </c>
      <c r="J2227" t="s">
        <v>2833</v>
      </c>
      <c r="K2227">
        <v>0.74355237399999996</v>
      </c>
      <c r="L2227">
        <v>0</v>
      </c>
      <c r="M2227">
        <v>0.69585855799999996</v>
      </c>
      <c r="N2227">
        <v>0</v>
      </c>
      <c r="O2227" t="s">
        <v>2833</v>
      </c>
      <c r="P2227" t="s">
        <v>2833</v>
      </c>
      <c r="Q2227" t="s">
        <v>165</v>
      </c>
      <c r="R2227">
        <f ca="1">RAND()*(Validation[[#This Row],[Range1_High]]-Validation[[#This Row],[Range1_Low]])+Validation[[#This Row],[Range1_Low]]</f>
        <v>-436.41292500483229</v>
      </c>
      <c r="S2227">
        <f>Validation[[#This Row],[Range2_High]]</f>
        <v>0</v>
      </c>
      <c r="T2227" t="str" cm="1">
        <f t="array" aca="1" ref="T2227" ca="1">RoundToTwoSigFigs(Validation[[#This Row],[Test Reading]]*Validation[[#This Row],[Mult]]+Validation[[#This Row],[Base]]) &amp;" "&amp;Validation[[#This Row],[Uncert_Units]]</f>
        <v>0.74 °F</v>
      </c>
      <c r="U2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V2227" t="b">
        <f ca="1">Validation[[#This Row],[Desired Result]]=Validation[[#This Row],[Result]]</f>
        <v>1</v>
      </c>
      <c r="W2227" t="b">
        <v>0</v>
      </c>
      <c r="X2227" t="b">
        <f>Validation[[#This Row],[Range1_Low]]&gt;=Validation[[#This Row],[Range1_High]]</f>
        <v>0</v>
      </c>
      <c r="Y2227" s="111" t="s">
        <v>2845</v>
      </c>
    </row>
    <row r="2228" spans="1:25" x14ac:dyDescent="0.25">
      <c r="A2228" t="s">
        <v>54</v>
      </c>
      <c r="B2228" t="s">
        <v>86</v>
      </c>
      <c r="C2228">
        <v>-418</v>
      </c>
      <c r="D2228">
        <v>-237.9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2833</v>
      </c>
      <c r="K2228">
        <v>0.55536480200000005</v>
      </c>
      <c r="L2228">
        <v>0</v>
      </c>
      <c r="M2228">
        <v>0.55057507900000002</v>
      </c>
      <c r="N2228">
        <v>0</v>
      </c>
      <c r="O2228" t="s">
        <v>2833</v>
      </c>
      <c r="P2228" t="s">
        <v>2833</v>
      </c>
      <c r="Q2228" t="s">
        <v>165</v>
      </c>
      <c r="R2228">
        <f ca="1">RAND()*(Validation[[#This Row],[Range1_High]]-Validation[[#This Row],[Range1_Low]])+Validation[[#This Row],[Range1_Low]]</f>
        <v>-261.5616912500326</v>
      </c>
      <c r="S2228">
        <f>Validation[[#This Row],[Range2_High]]</f>
        <v>0</v>
      </c>
      <c r="T2228" t="str" cm="1">
        <f t="array" aca="1" ref="T2228" ca="1">RoundToTwoSigFigs(Validation[[#This Row],[Test Reading]]*Validation[[#This Row],[Mult]]+Validation[[#This Row],[Base]]) &amp;" "&amp;Validation[[#This Row],[Uncert_Units]]</f>
        <v>0.56 °F</v>
      </c>
      <c r="U2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V2228" t="b">
        <f ca="1">Validation[[#This Row],[Desired Result]]=Validation[[#This Row],[Result]]</f>
        <v>1</v>
      </c>
      <c r="W2228" t="b">
        <v>0</v>
      </c>
      <c r="X2228" t="b">
        <f>Validation[[#This Row],[Range1_Low]]&gt;=Validation[[#This Row],[Range1_High]]</f>
        <v>0</v>
      </c>
      <c r="Y2228" s="111" t="s">
        <v>2845</v>
      </c>
    </row>
    <row r="2229" spans="1:25" ht="15.75" thickBot="1" x14ac:dyDescent="0.3">
      <c r="A2229" t="s">
        <v>54</v>
      </c>
      <c r="B2229" t="s">
        <v>86</v>
      </c>
      <c r="C2229">
        <v>248</v>
      </c>
      <c r="D2229">
        <v>752</v>
      </c>
      <c r="E2229">
        <v>1</v>
      </c>
      <c r="F2229" t="s">
        <v>26</v>
      </c>
      <c r="G2229" t="s">
        <v>26</v>
      </c>
      <c r="H2229">
        <v>0</v>
      </c>
      <c r="I2229">
        <v>0</v>
      </c>
      <c r="J2229" t="s">
        <v>2833</v>
      </c>
      <c r="K2229">
        <v>0.60527551300000004</v>
      </c>
      <c r="L2229">
        <v>0</v>
      </c>
      <c r="M2229">
        <v>0.600482925</v>
      </c>
      <c r="N2229">
        <v>0</v>
      </c>
      <c r="O2229" t="s">
        <v>2833</v>
      </c>
      <c r="P2229" t="s">
        <v>2833</v>
      </c>
      <c r="Q2229" t="s">
        <v>165</v>
      </c>
      <c r="R2229">
        <f ca="1">RAND()*(Validation[[#This Row],[Range1_High]]-Validation[[#This Row],[Range1_Low]])+Validation[[#This Row],[Range1_Low]]</f>
        <v>705.61529786176891</v>
      </c>
      <c r="S2229">
        <f>Validation[[#This Row],[Range2_High]]</f>
        <v>0</v>
      </c>
      <c r="T2229" t="str" cm="1">
        <f t="array" aca="1" ref="T2229" ca="1">RoundToTwoSigFigs(Validation[[#This Row],[Test Reading]]*Validation[[#This Row],[Mult]]+Validation[[#This Row],[Base]]) &amp;" "&amp;Validation[[#This Row],[Uncert_Units]]</f>
        <v>0.61 °F</v>
      </c>
      <c r="U2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2229" t="b">
        <f ca="1">Validation[[#This Row],[Desired Result]]=Validation[[#This Row],[Result]]</f>
        <v>1</v>
      </c>
      <c r="W2229" t="b">
        <v>0</v>
      </c>
      <c r="X2229" t="b">
        <f>Validation[[#This Row],[Range1_Low]]&gt;=Validation[[#This Row],[Range1_High]]</f>
        <v>0</v>
      </c>
      <c r="Y2229" s="111" t="s">
        <v>2845</v>
      </c>
    </row>
    <row r="2230" spans="1:25" ht="16.5" thickTop="1" thickBot="1" x14ac:dyDescent="0.3">
      <c r="A2230" t="s">
        <v>54</v>
      </c>
      <c r="B2230" t="s">
        <v>86</v>
      </c>
      <c r="C2230" s="113">
        <v>32</v>
      </c>
      <c r="D2230" s="113">
        <v>248.1</v>
      </c>
      <c r="E2230">
        <v>1</v>
      </c>
      <c r="F2230" t="s">
        <v>26</v>
      </c>
      <c r="G2230" t="s">
        <v>26</v>
      </c>
      <c r="H2230">
        <v>0</v>
      </c>
      <c r="I2230">
        <v>0</v>
      </c>
      <c r="J2230" t="s">
        <v>2833</v>
      </c>
      <c r="K2230">
        <v>0.61187724499999996</v>
      </c>
      <c r="L2230">
        <v>0</v>
      </c>
      <c r="M2230">
        <v>0.60713677099999996</v>
      </c>
      <c r="N2230">
        <v>0</v>
      </c>
      <c r="O2230" t="s">
        <v>2833</v>
      </c>
      <c r="P2230" t="s">
        <v>2833</v>
      </c>
      <c r="Q2230" t="s">
        <v>165</v>
      </c>
      <c r="R2230">
        <f ca="1">RAND()*(Validation[[#This Row],[Range1_High]]-Validation[[#This Row],[Range1_Low]])+Validation[[#This Row],[Range1_Low]]</f>
        <v>207.54505182587621</v>
      </c>
      <c r="S2230">
        <f>Validation[[#This Row],[Range2_High]]</f>
        <v>0</v>
      </c>
      <c r="T2230" t="str" cm="1">
        <f t="array" aca="1" ref="T2230" ca="1">RoundToTwoSigFigs(Validation[[#This Row],[Test Reading]]*Validation[[#This Row],[Mult]]+Validation[[#This Row],[Base]]) &amp;" "&amp;Validation[[#This Row],[Uncert_Units]]</f>
        <v>0.61 °F</v>
      </c>
      <c r="U2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2230" t="b">
        <f ca="1">Validation[[#This Row],[Desired Result]]=Validation[[#This Row],[Result]]</f>
        <v>1</v>
      </c>
      <c r="W2230" t="b">
        <v>1</v>
      </c>
      <c r="X2230" t="b">
        <f>Validation[[#This Row],[Range1_Low]]&gt;=Validation[[#This Row],[Range1_High]]</f>
        <v>0</v>
      </c>
      <c r="Y2230" s="111" t="s">
        <v>2843</v>
      </c>
    </row>
    <row r="2231" spans="1:25" ht="16.5" thickTop="1" thickBot="1" x14ac:dyDescent="0.3">
      <c r="A2231" t="s">
        <v>54</v>
      </c>
      <c r="B2231" t="s">
        <v>86</v>
      </c>
      <c r="C2231" s="113">
        <v>-238</v>
      </c>
      <c r="D2231" s="113">
        <v>32.1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2833</v>
      </c>
      <c r="K2231">
        <v>0.29307530900000001</v>
      </c>
      <c r="L2231">
        <v>0</v>
      </c>
      <c r="M2231">
        <v>0.28549186100000001</v>
      </c>
      <c r="N2231">
        <v>0</v>
      </c>
      <c r="O2231" t="s">
        <v>2833</v>
      </c>
      <c r="P2231" t="s">
        <v>2833</v>
      </c>
      <c r="Q2231" t="s">
        <v>165</v>
      </c>
      <c r="R2231">
        <f ca="1">RAND()*(Validation[[#This Row],[Range1_High]]-Validation[[#This Row],[Range1_Low]])+Validation[[#This Row],[Range1_Low]]</f>
        <v>-229.17145671568656</v>
      </c>
      <c r="S2231">
        <f>Validation[[#This Row],[Range2_High]]</f>
        <v>0</v>
      </c>
      <c r="T2231" t="str" cm="1">
        <f t="array" aca="1" ref="T2231" ca="1">RoundToTwoSigFigs(Validation[[#This Row],[Test Reading]]*Validation[[#This Row],[Mult]]+Validation[[#This Row],[Base]]) &amp;" "&amp;Validation[[#This Row],[Uncert_Units]]</f>
        <v>0.29 °F</v>
      </c>
      <c r="U2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V2231" t="b">
        <f ca="1">Validation[[#This Row],[Desired Result]]=Validation[[#This Row],[Result]]</f>
        <v>1</v>
      </c>
      <c r="W2231" t="b">
        <v>1</v>
      </c>
      <c r="X2231" t="b">
        <f>Validation[[#This Row],[Range1_Low]]&gt;=Validation[[#This Row],[Range1_High]]</f>
        <v>0</v>
      </c>
      <c r="Y2231" s="111" t="s">
        <v>2843</v>
      </c>
    </row>
    <row r="2232" spans="1:25" ht="16.5" thickTop="1" thickBot="1" x14ac:dyDescent="0.3">
      <c r="A2232" t="s">
        <v>54</v>
      </c>
      <c r="B2232" t="s">
        <v>86</v>
      </c>
      <c r="C2232" s="113">
        <v>32</v>
      </c>
      <c r="D2232" s="113">
        <v>248.1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J2232" t="s">
        <v>2833</v>
      </c>
      <c r="K2232">
        <v>0.20014928100000001</v>
      </c>
      <c r="L2232">
        <v>0</v>
      </c>
      <c r="M2232">
        <v>0.19650714699999999</v>
      </c>
      <c r="N2232">
        <v>0</v>
      </c>
      <c r="O2232" t="s">
        <v>2833</v>
      </c>
      <c r="P2232" t="s">
        <v>2833</v>
      </c>
      <c r="Q2232" t="s">
        <v>165</v>
      </c>
      <c r="R2232">
        <f ca="1">RAND()*(Validation[[#This Row],[Range1_High]]-Validation[[#This Row],[Range1_Low]])+Validation[[#This Row],[Range1_Low]]</f>
        <v>109.88687962194349</v>
      </c>
      <c r="S2232">
        <f>Validation[[#This Row],[Range2_High]]</f>
        <v>0</v>
      </c>
      <c r="T2232" t="str" cm="1">
        <f t="array" aca="1" ref="T2232" ca="1">RoundToTwoSigFigs(Validation[[#This Row],[Test Reading]]*Validation[[#This Row],[Mult]]+Validation[[#This Row],[Base]]) &amp;" "&amp;Validation[[#This Row],[Uncert_Units]]</f>
        <v>0.2 °F</v>
      </c>
      <c r="U2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V2232" t="b">
        <f ca="1">Validation[[#This Row],[Desired Result]]=Validation[[#This Row],[Result]]</f>
        <v>1</v>
      </c>
      <c r="W2232" t="b">
        <v>1</v>
      </c>
      <c r="X2232" t="b">
        <f>Validation[[#This Row],[Range1_Low]]&gt;=Validation[[#This Row],[Range1_High]]</f>
        <v>0</v>
      </c>
      <c r="Y2232" s="111" t="s">
        <v>2843</v>
      </c>
    </row>
    <row r="2233" spans="1:25" ht="15.75" thickTop="1" x14ac:dyDescent="0.25">
      <c r="A2233" t="s">
        <v>55</v>
      </c>
      <c r="B2233" t="s">
        <v>86</v>
      </c>
      <c r="C2233">
        <v>200</v>
      </c>
      <c r="D2233">
        <v>752</v>
      </c>
      <c r="E2233">
        <v>0.1</v>
      </c>
      <c r="F2233" t="s">
        <v>26</v>
      </c>
      <c r="G2233" t="s">
        <v>26</v>
      </c>
      <c r="H2233">
        <v>0</v>
      </c>
      <c r="I2233">
        <v>0</v>
      </c>
      <c r="J2233" t="s">
        <v>2833</v>
      </c>
      <c r="K2233">
        <v>0.11</v>
      </c>
      <c r="L2233">
        <v>0</v>
      </c>
      <c r="M2233">
        <v>8.3094007999999997E-2</v>
      </c>
      <c r="N2233">
        <v>0</v>
      </c>
      <c r="O2233" t="s">
        <v>2833</v>
      </c>
      <c r="P2233" t="s">
        <v>2833</v>
      </c>
      <c r="Q2233" t="s">
        <v>165</v>
      </c>
      <c r="R2233">
        <f ca="1">RAND()*(Validation[[#This Row],[Range1_High]]-Validation[[#This Row],[Range1_Low]])+Validation[[#This Row],[Range1_Low]]</f>
        <v>419.3810127408529</v>
      </c>
      <c r="S2233">
        <f>Validation[[#This Row],[Range2_High]]</f>
        <v>0</v>
      </c>
      <c r="T2233" t="str" cm="1">
        <f t="array" aca="1" ref="T2233" ca="1">RoundToTwoSigFigs(Validation[[#This Row],[Test Reading]]*Validation[[#This Row],[Mult]]+Validation[[#This Row],[Base]]) &amp;" "&amp;Validation[[#This Row],[Uncert_Units]]</f>
        <v>0.11 °F</v>
      </c>
      <c r="U2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V2233" t="b">
        <f ca="1">Validation[[#This Row],[Desired Result]]=Validation[[#This Row],[Result]]</f>
        <v>1</v>
      </c>
      <c r="W2233" t="b">
        <v>0</v>
      </c>
      <c r="X2233" t="b">
        <f>Validation[[#This Row],[Range1_Low]]&gt;=Validation[[#This Row],[Range1_High]]</f>
        <v>0</v>
      </c>
      <c r="Y2233" s="111" t="s">
        <v>2845</v>
      </c>
    </row>
    <row r="2234" spans="1:25" x14ac:dyDescent="0.25">
      <c r="A2234" t="s">
        <v>55</v>
      </c>
      <c r="B2234" t="s">
        <v>87</v>
      </c>
      <c r="C2234">
        <v>-320</v>
      </c>
      <c r="D2234">
        <v>32</v>
      </c>
      <c r="E2234">
        <v>0.1</v>
      </c>
      <c r="F2234" t="s">
        <v>26</v>
      </c>
      <c r="G2234" t="s">
        <v>26</v>
      </c>
      <c r="H2234">
        <v>0</v>
      </c>
      <c r="I2234">
        <v>0</v>
      </c>
      <c r="J2234" t="s">
        <v>2833</v>
      </c>
      <c r="K2234">
        <v>5.9935600999999998E-2</v>
      </c>
      <c r="L2234">
        <v>0</v>
      </c>
      <c r="M2234">
        <v>5.8429797999999998E-2</v>
      </c>
      <c r="N2234">
        <v>0</v>
      </c>
      <c r="O2234" t="s">
        <v>2833</v>
      </c>
      <c r="P2234" t="s">
        <v>2833</v>
      </c>
      <c r="Q2234" t="s">
        <v>166</v>
      </c>
      <c r="R2234">
        <f ca="1">RAND()*(Validation[[#This Row],[Range1_High]]-Validation[[#This Row],[Range1_Low]])+Validation[[#This Row],[Range1_Low]]</f>
        <v>-108.71942055104</v>
      </c>
      <c r="S2234">
        <f>Validation[[#This Row],[Range2_High]]</f>
        <v>0</v>
      </c>
      <c r="T2234" t="str" cm="1">
        <f t="array" aca="1" ref="T2234" ca="1">RoundToTwoSigFigs(Validation[[#This Row],[Test Reading]]*Validation[[#This Row],[Mult]]+Validation[[#This Row],[Base]]) &amp;" "&amp;Validation[[#This Row],[Uncert_Units]]</f>
        <v>0.06 °F</v>
      </c>
      <c r="U2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V2234" t="b">
        <f ca="1">Validation[[#This Row],[Desired Result]]=Validation[[#This Row],[Result]]</f>
        <v>1</v>
      </c>
      <c r="W2234" t="b">
        <v>0</v>
      </c>
      <c r="X2234" t="b">
        <f>Validation[[#This Row],[Range1_Low]]&gt;=Validation[[#This Row],[Range1_High]]</f>
        <v>0</v>
      </c>
      <c r="Y2234" s="111" t="s">
        <v>2845</v>
      </c>
    </row>
    <row r="2235" spans="1:25" ht="15.75" thickBot="1" x14ac:dyDescent="0.3">
      <c r="A2235" t="s">
        <v>54</v>
      </c>
      <c r="B2235" t="s">
        <v>87</v>
      </c>
      <c r="C2235">
        <v>-328</v>
      </c>
      <c r="D2235">
        <v>32.1</v>
      </c>
      <c r="E2235">
        <v>0.1</v>
      </c>
      <c r="F2235" t="s">
        <v>26</v>
      </c>
      <c r="G2235" t="s">
        <v>26</v>
      </c>
      <c r="H2235">
        <v>0</v>
      </c>
      <c r="I2235">
        <v>0</v>
      </c>
      <c r="J2235" t="s">
        <v>2833</v>
      </c>
      <c r="K2235">
        <v>0.219284594</v>
      </c>
      <c r="L2235">
        <v>0</v>
      </c>
      <c r="M2235">
        <v>0.190436296</v>
      </c>
      <c r="N2235">
        <v>0</v>
      </c>
      <c r="O2235" t="s">
        <v>2833</v>
      </c>
      <c r="P2235" t="s">
        <v>2833</v>
      </c>
      <c r="Q2235" t="s">
        <v>166</v>
      </c>
      <c r="R2235">
        <f ca="1">RAND()*(Validation[[#This Row],[Range1_High]]-Validation[[#This Row],[Range1_Low]])+Validation[[#This Row],[Range1_Low]]</f>
        <v>-261.12771165529165</v>
      </c>
      <c r="S2235">
        <f>Validation[[#This Row],[Range2_High]]</f>
        <v>0</v>
      </c>
      <c r="T2235" t="str" cm="1">
        <f t="array" aca="1" ref="T2235" ca="1">RoundToTwoSigFigs(Validation[[#This Row],[Test Reading]]*Validation[[#This Row],[Mult]]+Validation[[#This Row],[Base]]) &amp;" "&amp;Validation[[#This Row],[Uncert_Units]]</f>
        <v>0.22 °F</v>
      </c>
      <c r="U2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V2235" t="b">
        <f ca="1">Validation[[#This Row],[Desired Result]]=Validation[[#This Row],[Result]]</f>
        <v>1</v>
      </c>
      <c r="W2235" t="b">
        <v>0</v>
      </c>
      <c r="X2235" t="b">
        <f>Validation[[#This Row],[Range1_Low]]&gt;=Validation[[#This Row],[Range1_High]]</f>
        <v>0</v>
      </c>
      <c r="Y2235" s="111" t="s">
        <v>2845</v>
      </c>
    </row>
    <row r="2236" spans="1:25" ht="16.5" thickTop="1" thickBot="1" x14ac:dyDescent="0.3">
      <c r="A2236" t="s">
        <v>54</v>
      </c>
      <c r="B2236" t="s">
        <v>87</v>
      </c>
      <c r="C2236" s="113">
        <v>1166</v>
      </c>
      <c r="D2236" s="113">
        <v>1472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2833</v>
      </c>
      <c r="K2236">
        <v>0.73899948299999996</v>
      </c>
      <c r="L2236">
        <v>0</v>
      </c>
      <c r="M2236">
        <v>0.72905963500000004</v>
      </c>
      <c r="N2236">
        <v>0</v>
      </c>
      <c r="O2236" t="s">
        <v>2833</v>
      </c>
      <c r="P2236" t="s">
        <v>2833</v>
      </c>
      <c r="Q2236" t="s">
        <v>166</v>
      </c>
      <c r="R2236">
        <f ca="1">RAND()*(Validation[[#This Row],[Range1_High]]-Validation[[#This Row],[Range1_Low]])+Validation[[#This Row],[Range1_Low]]</f>
        <v>1229.5655894266774</v>
      </c>
      <c r="S2236">
        <f>Validation[[#This Row],[Range2_High]]</f>
        <v>0</v>
      </c>
      <c r="T2236" t="str" cm="1">
        <f t="array" aca="1" ref="T2236" ca="1">RoundToTwoSigFigs(Validation[[#This Row],[Test Reading]]*Validation[[#This Row],[Mult]]+Validation[[#This Row],[Base]]) &amp;" "&amp;Validation[[#This Row],[Uncert_Units]]</f>
        <v>0.74 °F</v>
      </c>
      <c r="U2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V2236" t="b">
        <f ca="1">Validation[[#This Row],[Desired Result]]=Validation[[#This Row],[Result]]</f>
        <v>1</v>
      </c>
      <c r="W2236" t="b">
        <v>1</v>
      </c>
      <c r="X2236" t="b">
        <f>Validation[[#This Row],[Range1_Low]]&gt;=Validation[[#This Row],[Range1_High]]</f>
        <v>0</v>
      </c>
      <c r="Y2236" s="111" t="s">
        <v>2843</v>
      </c>
    </row>
    <row r="2237" spans="1:25" ht="16.5" thickTop="1" thickBot="1" x14ac:dyDescent="0.3">
      <c r="A2237" t="s">
        <v>54</v>
      </c>
      <c r="B2237" t="s">
        <v>87</v>
      </c>
      <c r="C2237" s="113">
        <v>752</v>
      </c>
      <c r="D2237" s="113">
        <v>1166.0999999999999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2833</v>
      </c>
      <c r="K2237">
        <v>0.64672529300000003</v>
      </c>
      <c r="L2237">
        <v>0</v>
      </c>
      <c r="M2237">
        <v>0.63534346600000002</v>
      </c>
      <c r="N2237">
        <v>0</v>
      </c>
      <c r="O2237" t="s">
        <v>2833</v>
      </c>
      <c r="P2237" t="s">
        <v>2833</v>
      </c>
      <c r="Q2237" t="s">
        <v>166</v>
      </c>
      <c r="R2237">
        <f ca="1">RAND()*(Validation[[#This Row],[Range1_High]]-Validation[[#This Row],[Range1_Low]])+Validation[[#This Row],[Range1_Low]]</f>
        <v>836.50192100962806</v>
      </c>
      <c r="S2237">
        <f>Validation[[#This Row],[Range2_High]]</f>
        <v>0</v>
      </c>
      <c r="T2237" t="str" cm="1">
        <f t="array" aca="1" ref="T2237" ca="1">RoundToTwoSigFigs(Validation[[#This Row],[Test Reading]]*Validation[[#This Row],[Mult]]+Validation[[#This Row],[Base]]) &amp;" "&amp;Validation[[#This Row],[Uncert_Units]]</f>
        <v>0.65 °F</v>
      </c>
      <c r="U2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V2237" t="b">
        <f ca="1">Validation[[#This Row],[Desired Result]]=Validation[[#This Row],[Result]]</f>
        <v>1</v>
      </c>
      <c r="W2237" t="b">
        <v>1</v>
      </c>
      <c r="X2237" t="b">
        <f>Validation[[#This Row],[Range1_Low]]&gt;=Validation[[#This Row],[Range1_High]]</f>
        <v>0</v>
      </c>
      <c r="Y2237" s="111" t="s">
        <v>2843</v>
      </c>
    </row>
    <row r="2238" spans="1:25" ht="16.5" thickTop="1" thickBot="1" x14ac:dyDescent="0.3">
      <c r="A2238" t="s">
        <v>54</v>
      </c>
      <c r="B2238" t="s">
        <v>87</v>
      </c>
      <c r="C2238" s="113">
        <v>32</v>
      </c>
      <c r="D2238" s="113">
        <v>212.1</v>
      </c>
      <c r="E2238">
        <v>0.1</v>
      </c>
      <c r="F2238" t="s">
        <v>26</v>
      </c>
      <c r="G2238" t="s">
        <v>26</v>
      </c>
      <c r="H2238">
        <v>0</v>
      </c>
      <c r="I2238">
        <v>0</v>
      </c>
      <c r="J2238" t="s">
        <v>2833</v>
      </c>
      <c r="K2238">
        <v>0.28536871200000002</v>
      </c>
      <c r="L2238">
        <v>0</v>
      </c>
      <c r="M2238">
        <v>0.26384759099999999</v>
      </c>
      <c r="N2238">
        <v>0</v>
      </c>
      <c r="O2238" t="s">
        <v>2833</v>
      </c>
      <c r="P2238" t="s">
        <v>2833</v>
      </c>
      <c r="Q2238" t="s">
        <v>166</v>
      </c>
      <c r="R2238">
        <f ca="1">RAND()*(Validation[[#This Row],[Range1_High]]-Validation[[#This Row],[Range1_Low]])+Validation[[#This Row],[Range1_Low]]</f>
        <v>198.67310432280107</v>
      </c>
      <c r="S2238">
        <f>Validation[[#This Row],[Range2_High]]</f>
        <v>0</v>
      </c>
      <c r="T2238" t="str" cm="1">
        <f t="array" aca="1" ref="T2238" ca="1">RoundToTwoSigFigs(Validation[[#This Row],[Test Reading]]*Validation[[#This Row],[Mult]]+Validation[[#This Row],[Base]]) &amp;" "&amp;Validation[[#This Row],[Uncert_Units]]</f>
        <v>0.29 °F</v>
      </c>
      <c r="U2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V2238" t="b">
        <f ca="1">Validation[[#This Row],[Desired Result]]=Validation[[#This Row],[Result]]</f>
        <v>1</v>
      </c>
      <c r="W2238" t="b">
        <v>1</v>
      </c>
      <c r="X2238" t="b">
        <f>Validation[[#This Row],[Range1_Low]]&gt;=Validation[[#This Row],[Range1_High]]</f>
        <v>0</v>
      </c>
      <c r="Y2238" s="111" t="s">
        <v>2843</v>
      </c>
    </row>
    <row r="2239" spans="1:25" ht="15.75" thickTop="1" x14ac:dyDescent="0.25">
      <c r="A2239" t="s">
        <v>55</v>
      </c>
      <c r="B2239" t="s">
        <v>87</v>
      </c>
      <c r="C2239">
        <v>32.000999999999998</v>
      </c>
      <c r="D2239">
        <v>400</v>
      </c>
      <c r="E2239">
        <v>0.1</v>
      </c>
      <c r="F2239" t="s">
        <v>26</v>
      </c>
      <c r="G2239" t="s">
        <v>26</v>
      </c>
      <c r="H2239">
        <v>0</v>
      </c>
      <c r="I2239">
        <v>0</v>
      </c>
      <c r="J2239" t="s">
        <v>2833</v>
      </c>
      <c r="K2239">
        <v>6.0734445999999997E-2</v>
      </c>
      <c r="L2239">
        <v>0</v>
      </c>
      <c r="M2239">
        <v>5.9248949000000002E-2</v>
      </c>
      <c r="N2239">
        <v>0</v>
      </c>
      <c r="O2239" t="s">
        <v>2833</v>
      </c>
      <c r="P2239" t="s">
        <v>2833</v>
      </c>
      <c r="Q2239" t="s">
        <v>166</v>
      </c>
      <c r="R2239">
        <f ca="1">RAND()*(Validation[[#This Row],[Range1_High]]-Validation[[#This Row],[Range1_Low]])+Validation[[#This Row],[Range1_Low]]</f>
        <v>131.55049091189616</v>
      </c>
      <c r="S2239">
        <f>Validation[[#This Row],[Range2_High]]</f>
        <v>0</v>
      </c>
      <c r="T2239" t="str" cm="1">
        <f t="array" aca="1" ref="T2239" ca="1">RoundToTwoSigFigs(Validation[[#This Row],[Test Reading]]*Validation[[#This Row],[Mult]]+Validation[[#This Row],[Base]]) &amp;" "&amp;Validation[[#This Row],[Uncert_Units]]</f>
        <v>0.061 °F</v>
      </c>
      <c r="U2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V2239" t="b">
        <f ca="1">Validation[[#This Row],[Desired Result]]=Validation[[#This Row],[Result]]</f>
        <v>1</v>
      </c>
      <c r="W2239" t="b">
        <v>0</v>
      </c>
      <c r="X2239" t="b">
        <f>Validation[[#This Row],[Range1_Low]]&gt;=Validation[[#This Row],[Range1_High]]</f>
        <v>0</v>
      </c>
      <c r="Y2239" s="111" t="s">
        <v>2845</v>
      </c>
    </row>
    <row r="2240" spans="1:25" x14ac:dyDescent="0.25">
      <c r="A2240" t="s">
        <v>55</v>
      </c>
      <c r="B2240" t="s">
        <v>87</v>
      </c>
      <c r="C2240">
        <v>32.000999999999998</v>
      </c>
      <c r="D2240">
        <v>400</v>
      </c>
      <c r="E2240">
        <v>0.01</v>
      </c>
      <c r="F2240" t="s">
        <v>26</v>
      </c>
      <c r="G2240" t="s">
        <v>26</v>
      </c>
      <c r="H2240">
        <v>0</v>
      </c>
      <c r="I2240">
        <v>0</v>
      </c>
      <c r="J2240" t="s">
        <v>2833</v>
      </c>
      <c r="K2240">
        <v>1.6E-2</v>
      </c>
      <c r="L2240">
        <v>0</v>
      </c>
      <c r="M2240">
        <v>1.450648E-2</v>
      </c>
      <c r="N2240">
        <v>0</v>
      </c>
      <c r="O2240" t="s">
        <v>2833</v>
      </c>
      <c r="P2240" t="s">
        <v>2833</v>
      </c>
      <c r="Q2240" t="s">
        <v>166</v>
      </c>
      <c r="R2240">
        <f ca="1">RAND()*(Validation[[#This Row],[Range1_High]]-Validation[[#This Row],[Range1_Low]])+Validation[[#This Row],[Range1_Low]]</f>
        <v>317.05011111875848</v>
      </c>
      <c r="S2240">
        <f>Validation[[#This Row],[Range2_High]]</f>
        <v>0</v>
      </c>
      <c r="T2240" t="str" cm="1">
        <f t="array" aca="1" ref="T2240" ca="1">RoundToTwoSigFigs(Validation[[#This Row],[Test Reading]]*Validation[[#This Row],[Mult]]+Validation[[#This Row],[Base]]) &amp;" "&amp;Validation[[#This Row],[Uncert_Units]]</f>
        <v>0.016 °F</v>
      </c>
      <c r="U2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V2240" t="b">
        <f ca="1">Validation[[#This Row],[Desired Result]]=Validation[[#This Row],[Result]]</f>
        <v>1</v>
      </c>
      <c r="W2240" t="b">
        <v>0</v>
      </c>
      <c r="X2240" t="b">
        <f>Validation[[#This Row],[Range1_Low]]&gt;=Validation[[#This Row],[Range1_High]]</f>
        <v>0</v>
      </c>
      <c r="Y2240" s="111" t="s">
        <v>2845</v>
      </c>
    </row>
    <row r="2241" spans="1:25" x14ac:dyDescent="0.25">
      <c r="A2241" t="s">
        <v>55</v>
      </c>
      <c r="B2241" t="s">
        <v>87</v>
      </c>
      <c r="C2241">
        <v>400.00099999999998</v>
      </c>
      <c r="D2241">
        <v>800</v>
      </c>
      <c r="E2241">
        <v>0.01</v>
      </c>
      <c r="F2241" t="s">
        <v>26</v>
      </c>
      <c r="G2241" t="s">
        <v>26</v>
      </c>
      <c r="H2241">
        <v>0</v>
      </c>
      <c r="I2241">
        <v>0</v>
      </c>
      <c r="J2241" t="s">
        <v>2833</v>
      </c>
      <c r="K2241">
        <v>2.1000000000000001E-2</v>
      </c>
      <c r="L2241">
        <v>0</v>
      </c>
      <c r="M2241">
        <v>1.8861624E-2</v>
      </c>
      <c r="N2241">
        <v>0</v>
      </c>
      <c r="O2241" t="s">
        <v>2833</v>
      </c>
      <c r="P2241" t="s">
        <v>2833</v>
      </c>
      <c r="Q2241" t="s">
        <v>166</v>
      </c>
      <c r="R2241">
        <f ca="1">RAND()*(Validation[[#This Row],[Range1_High]]-Validation[[#This Row],[Range1_Low]])+Validation[[#This Row],[Range1_Low]]</f>
        <v>674.34296752816488</v>
      </c>
      <c r="S2241">
        <f>Validation[[#This Row],[Range2_High]]</f>
        <v>0</v>
      </c>
      <c r="T2241" t="str" cm="1">
        <f t="array" aca="1" ref="T2241" ca="1">RoundToTwoSigFigs(Validation[[#This Row],[Test Reading]]*Validation[[#This Row],[Mult]]+Validation[[#This Row],[Base]]) &amp;" "&amp;Validation[[#This Row],[Uncert_Units]]</f>
        <v>0.021 °F</v>
      </c>
      <c r="U2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V2241" t="b">
        <f ca="1">Validation[[#This Row],[Desired Result]]=Validation[[#This Row],[Result]]</f>
        <v>1</v>
      </c>
      <c r="W2241" t="b">
        <v>0</v>
      </c>
      <c r="X2241" t="b">
        <f>Validation[[#This Row],[Range1_Low]]&gt;=Validation[[#This Row],[Range1_High]]</f>
        <v>0</v>
      </c>
      <c r="Y2241" s="111" t="s">
        <v>2845</v>
      </c>
    </row>
    <row r="2242" spans="1:25" x14ac:dyDescent="0.25">
      <c r="A2242" t="s">
        <v>55</v>
      </c>
      <c r="B2242" t="s">
        <v>87</v>
      </c>
      <c r="C2242">
        <v>1200.001</v>
      </c>
      <c r="D2242">
        <v>1562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2833</v>
      </c>
      <c r="K2242">
        <v>6.9375096999999997E-2</v>
      </c>
      <c r="L2242">
        <v>0</v>
      </c>
      <c r="M2242">
        <v>6.6183255999999996E-2</v>
      </c>
      <c r="N2242">
        <v>0</v>
      </c>
      <c r="O2242" t="s">
        <v>2833</v>
      </c>
      <c r="P2242" t="s">
        <v>2833</v>
      </c>
      <c r="Q2242" t="s">
        <v>166</v>
      </c>
      <c r="R2242">
        <f ca="1">RAND()*(Validation[[#This Row],[Range1_High]]-Validation[[#This Row],[Range1_Low]])+Validation[[#This Row],[Range1_Low]]</f>
        <v>1338.9560304006766</v>
      </c>
      <c r="S2242">
        <f>Validation[[#This Row],[Range2_High]]</f>
        <v>0</v>
      </c>
      <c r="T2242" t="str" cm="1">
        <f t="array" aca="1" ref="T2242" ca="1">RoundToTwoSigFigs(Validation[[#This Row],[Test Reading]]*Validation[[#This Row],[Mult]]+Validation[[#This Row],[Base]]) &amp;" "&amp;Validation[[#This Row],[Uncert_Units]]</f>
        <v>0.069 °F</v>
      </c>
      <c r="U2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V2242" t="b">
        <f ca="1">Validation[[#This Row],[Desired Result]]=Validation[[#This Row],[Result]]</f>
        <v>1</v>
      </c>
      <c r="W2242" t="b">
        <v>0</v>
      </c>
      <c r="X2242" t="b">
        <f>Validation[[#This Row],[Range1_Low]]&gt;=Validation[[#This Row],[Range1_High]]</f>
        <v>0</v>
      </c>
      <c r="Y2242" s="111" t="s">
        <v>2845</v>
      </c>
    </row>
    <row r="2243" spans="1:25" x14ac:dyDescent="0.25">
      <c r="A2243" t="s">
        <v>54</v>
      </c>
      <c r="B2243" t="s">
        <v>87</v>
      </c>
      <c r="C2243">
        <v>1472</v>
      </c>
      <c r="D2243">
        <v>1472.1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2833</v>
      </c>
      <c r="K2243">
        <v>0.77811255300000004</v>
      </c>
      <c r="L2243">
        <v>0</v>
      </c>
      <c r="M2243">
        <v>0.77047997700000004</v>
      </c>
      <c r="N2243">
        <v>0</v>
      </c>
      <c r="O2243" t="s">
        <v>2833</v>
      </c>
      <c r="P2243" t="s">
        <v>2833</v>
      </c>
      <c r="Q2243" t="s">
        <v>166</v>
      </c>
      <c r="R2243">
        <f ca="1">RAND()*(Validation[[#This Row],[Range1_High]]-Validation[[#This Row],[Range1_Low]])+Validation[[#This Row],[Range1_Low]]</f>
        <v>1472.0043123892754</v>
      </c>
      <c r="S2243">
        <f>Validation[[#This Row],[Range2_High]]</f>
        <v>0</v>
      </c>
      <c r="T2243" t="str" cm="1">
        <f t="array" aca="1" ref="T2243" ca="1">RoundToTwoSigFigs(Validation[[#This Row],[Test Reading]]*Validation[[#This Row],[Mult]]+Validation[[#This Row],[Base]]) &amp;" "&amp;Validation[[#This Row],[Uncert_Units]]</f>
        <v>0.78 °F</v>
      </c>
      <c r="U2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V2243" t="b">
        <f ca="1">Validation[[#This Row],[Desired Result]]=Validation[[#This Row],[Result]]</f>
        <v>1</v>
      </c>
      <c r="W2243" t="b">
        <v>0</v>
      </c>
      <c r="X2243" t="b">
        <f>Validation[[#This Row],[Range1_Low]]&gt;=Validation[[#This Row],[Range1_High]]</f>
        <v>0</v>
      </c>
      <c r="Y2243" s="111" t="s">
        <v>2845</v>
      </c>
    </row>
    <row r="2244" spans="1:25" x14ac:dyDescent="0.25">
      <c r="A2244" t="s">
        <v>54</v>
      </c>
      <c r="B2244" t="s">
        <v>87</v>
      </c>
      <c r="C2244">
        <v>212</v>
      </c>
      <c r="D2244">
        <v>572.1</v>
      </c>
      <c r="E2244">
        <v>1</v>
      </c>
      <c r="F2244" t="s">
        <v>26</v>
      </c>
      <c r="G2244" t="s">
        <v>26</v>
      </c>
      <c r="H2244">
        <v>0</v>
      </c>
      <c r="I2244">
        <v>0</v>
      </c>
      <c r="J2244" t="s">
        <v>2833</v>
      </c>
      <c r="K2244">
        <v>0.611006049</v>
      </c>
      <c r="L2244">
        <v>0</v>
      </c>
      <c r="M2244">
        <v>0.59894583000000001</v>
      </c>
      <c r="N2244">
        <v>0</v>
      </c>
      <c r="O2244" t="s">
        <v>2833</v>
      </c>
      <c r="P2244" t="s">
        <v>2833</v>
      </c>
      <c r="Q2244" t="s">
        <v>166</v>
      </c>
      <c r="R2244">
        <f ca="1">RAND()*(Validation[[#This Row],[Range1_High]]-Validation[[#This Row],[Range1_Low]])+Validation[[#This Row],[Range1_Low]]</f>
        <v>215.1541578116736</v>
      </c>
      <c r="S2244">
        <f>Validation[[#This Row],[Range2_High]]</f>
        <v>0</v>
      </c>
      <c r="T2244" t="str" cm="1">
        <f t="array" aca="1" ref="T2244" ca="1">RoundToTwoSigFigs(Validation[[#This Row],[Test Reading]]*Validation[[#This Row],[Mult]]+Validation[[#This Row],[Base]]) &amp;" "&amp;Validation[[#This Row],[Uncert_Units]]</f>
        <v>0.61 °F</v>
      </c>
      <c r="U2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2244" t="b">
        <f ca="1">Validation[[#This Row],[Desired Result]]=Validation[[#This Row],[Result]]</f>
        <v>1</v>
      </c>
      <c r="W2244" t="b">
        <v>0</v>
      </c>
      <c r="X2244" t="b">
        <f>Validation[[#This Row],[Range1_Low]]&gt;=Validation[[#This Row],[Range1_High]]</f>
        <v>0</v>
      </c>
      <c r="Y2244" s="111" t="s">
        <v>2845</v>
      </c>
    </row>
    <row r="2245" spans="1:25" x14ac:dyDescent="0.25">
      <c r="A2245" t="s">
        <v>55</v>
      </c>
      <c r="B2245" t="s">
        <v>87</v>
      </c>
      <c r="C2245">
        <v>32.000999999999998</v>
      </c>
      <c r="D2245">
        <v>400</v>
      </c>
      <c r="E2245">
        <v>1</v>
      </c>
      <c r="F2245" t="s">
        <v>26</v>
      </c>
      <c r="G2245" t="s">
        <v>26</v>
      </c>
      <c r="H2245">
        <v>0</v>
      </c>
      <c r="I2245">
        <v>0</v>
      </c>
      <c r="J2245" t="s">
        <v>2833</v>
      </c>
      <c r="K2245">
        <v>0.57812055600000001</v>
      </c>
      <c r="L2245">
        <v>0</v>
      </c>
      <c r="M2245">
        <v>0.57750362600000005</v>
      </c>
      <c r="N2245">
        <v>0</v>
      </c>
      <c r="O2245" t="s">
        <v>2833</v>
      </c>
      <c r="P2245" t="s">
        <v>2833</v>
      </c>
      <c r="Q2245" t="s">
        <v>166</v>
      </c>
      <c r="R2245">
        <f ca="1">RAND()*(Validation[[#This Row],[Range1_High]]-Validation[[#This Row],[Range1_Low]])+Validation[[#This Row],[Range1_Low]]</f>
        <v>128.52641266012981</v>
      </c>
      <c r="S2245">
        <f>Validation[[#This Row],[Range2_High]]</f>
        <v>0</v>
      </c>
      <c r="T2245" t="str" cm="1">
        <f t="array" aca="1" ref="T2245" ca="1">RoundToTwoSigFigs(Validation[[#This Row],[Test Reading]]*Validation[[#This Row],[Mult]]+Validation[[#This Row],[Base]]) &amp;" "&amp;Validation[[#This Row],[Uncert_Units]]</f>
        <v>0.58 °F</v>
      </c>
      <c r="U2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2245" t="b">
        <f ca="1">Validation[[#This Row],[Desired Result]]=Validation[[#This Row],[Result]]</f>
        <v>1</v>
      </c>
      <c r="W2245" t="b">
        <v>0</v>
      </c>
      <c r="X2245" t="b">
        <f>Validation[[#This Row],[Range1_Low]]&gt;=Validation[[#This Row],[Range1_High]]</f>
        <v>0</v>
      </c>
      <c r="Y2245" s="111" t="s">
        <v>2845</v>
      </c>
    </row>
    <row r="2246" spans="1:25" x14ac:dyDescent="0.25">
      <c r="A2246" t="s">
        <v>54</v>
      </c>
      <c r="B2246" t="s">
        <v>88</v>
      </c>
      <c r="C2246">
        <v>572</v>
      </c>
      <c r="D2246">
        <v>752.1</v>
      </c>
      <c r="E2246">
        <v>1</v>
      </c>
      <c r="F2246" t="s">
        <v>26</v>
      </c>
      <c r="G2246" t="s">
        <v>26</v>
      </c>
      <c r="H2246">
        <v>0</v>
      </c>
      <c r="I2246">
        <v>0</v>
      </c>
      <c r="J2246" t="s">
        <v>2833</v>
      </c>
      <c r="K2246">
        <v>0.61480805800000005</v>
      </c>
      <c r="L2246">
        <v>0</v>
      </c>
      <c r="M2246">
        <v>0.60282390799999996</v>
      </c>
      <c r="N2246">
        <v>0</v>
      </c>
      <c r="O2246" t="s">
        <v>2833</v>
      </c>
      <c r="P2246" t="s">
        <v>2833</v>
      </c>
      <c r="Q2246" t="s">
        <v>167</v>
      </c>
      <c r="R2246">
        <f ca="1">RAND()*(Validation[[#This Row],[Range1_High]]-Validation[[#This Row],[Range1_Low]])+Validation[[#This Row],[Range1_Low]]</f>
        <v>585.20415191484472</v>
      </c>
      <c r="S2246">
        <f>Validation[[#This Row],[Range2_High]]</f>
        <v>0</v>
      </c>
      <c r="T2246" t="str" cm="1">
        <f t="array" aca="1" ref="T2246" ca="1">RoundToTwoSigFigs(Validation[[#This Row],[Test Reading]]*Validation[[#This Row],[Mult]]+Validation[[#This Row],[Base]]) &amp;" "&amp;Validation[[#This Row],[Uncert_Units]]</f>
        <v>0.61 °F</v>
      </c>
      <c r="U2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2246" t="b">
        <f ca="1">Validation[[#This Row],[Desired Result]]=Validation[[#This Row],[Result]]</f>
        <v>1</v>
      </c>
      <c r="W2246" t="b">
        <v>0</v>
      </c>
      <c r="X2246" t="b">
        <f>Validation[[#This Row],[Range1_Low]]&gt;=Validation[[#This Row],[Range1_High]]</f>
        <v>0</v>
      </c>
      <c r="Y2246" s="111" t="s">
        <v>2845</v>
      </c>
    </row>
    <row r="2247" spans="1:25" ht="15.75" thickBot="1" x14ac:dyDescent="0.3">
      <c r="A2247" t="s">
        <v>54</v>
      </c>
      <c r="B2247" t="s">
        <v>88</v>
      </c>
      <c r="C2247">
        <v>-328</v>
      </c>
      <c r="D2247">
        <v>32.1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J2247" t="s">
        <v>2833</v>
      </c>
      <c r="K2247">
        <v>0.16401347099999999</v>
      </c>
      <c r="L2247">
        <v>0</v>
      </c>
      <c r="M2247">
        <v>0.12280337299999999</v>
      </c>
      <c r="N2247">
        <v>0</v>
      </c>
      <c r="O2247" t="s">
        <v>2833</v>
      </c>
      <c r="P2247" t="s">
        <v>2833</v>
      </c>
      <c r="Q2247" t="s">
        <v>167</v>
      </c>
      <c r="R2247">
        <f ca="1">RAND()*(Validation[[#This Row],[Range1_High]]-Validation[[#This Row],[Range1_Low]])+Validation[[#This Row],[Range1_Low]]</f>
        <v>-184.20406647351149</v>
      </c>
      <c r="S2247">
        <f>Validation[[#This Row],[Range2_High]]</f>
        <v>0</v>
      </c>
      <c r="T2247" t="str" cm="1">
        <f t="array" aca="1" ref="T2247" ca="1">RoundToTwoSigFigs(Validation[[#This Row],[Test Reading]]*Validation[[#This Row],[Mult]]+Validation[[#This Row],[Base]]) &amp;" "&amp;Validation[[#This Row],[Uncert_Units]]</f>
        <v>0.16 °F</v>
      </c>
      <c r="U2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V2247" t="b">
        <f ca="1">Validation[[#This Row],[Desired Result]]=Validation[[#This Row],[Result]]</f>
        <v>1</v>
      </c>
      <c r="W2247" t="b">
        <v>0</v>
      </c>
      <c r="X2247" t="b">
        <f>Validation[[#This Row],[Range1_Low]]&gt;=Validation[[#This Row],[Range1_High]]</f>
        <v>0</v>
      </c>
      <c r="Y2247" s="111" t="s">
        <v>2845</v>
      </c>
    </row>
    <row r="2248" spans="1:25" ht="16.5" thickTop="1" thickBot="1" x14ac:dyDescent="0.3">
      <c r="A2248" t="s">
        <v>54</v>
      </c>
      <c r="B2248" t="s">
        <v>88</v>
      </c>
      <c r="C2248" s="113">
        <v>32</v>
      </c>
      <c r="D2248" s="113">
        <v>212.1</v>
      </c>
      <c r="E2248">
        <v>0.1</v>
      </c>
      <c r="F2248" t="s">
        <v>26</v>
      </c>
      <c r="G2248" t="s">
        <v>26</v>
      </c>
      <c r="H2248">
        <v>0</v>
      </c>
      <c r="I2248">
        <v>0</v>
      </c>
      <c r="J2248" t="s">
        <v>2833</v>
      </c>
      <c r="K2248">
        <v>0.19201475800000001</v>
      </c>
      <c r="L2248">
        <v>0</v>
      </c>
      <c r="M2248">
        <v>0.15827165600000001</v>
      </c>
      <c r="N2248">
        <v>0</v>
      </c>
      <c r="O2248" t="s">
        <v>2833</v>
      </c>
      <c r="P2248" t="s">
        <v>2833</v>
      </c>
      <c r="Q2248" t="s">
        <v>167</v>
      </c>
      <c r="R2248">
        <f ca="1">RAND()*(Validation[[#This Row],[Range1_High]]-Validation[[#This Row],[Range1_Low]])+Validation[[#This Row],[Range1_Low]]</f>
        <v>197.25377162135439</v>
      </c>
      <c r="S2248">
        <f>Validation[[#This Row],[Range2_High]]</f>
        <v>0</v>
      </c>
      <c r="T2248" t="str" cm="1">
        <f t="array" aca="1" ref="T2248" ca="1">RoundToTwoSigFigs(Validation[[#This Row],[Test Reading]]*Validation[[#This Row],[Mult]]+Validation[[#This Row],[Base]]) &amp;" "&amp;Validation[[#This Row],[Uncert_Units]]</f>
        <v>0.19 °F</v>
      </c>
      <c r="U2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V2248" t="b">
        <f ca="1">Validation[[#This Row],[Desired Result]]=Validation[[#This Row],[Result]]</f>
        <v>1</v>
      </c>
      <c r="W2248" t="b">
        <v>1</v>
      </c>
      <c r="X2248" t="b">
        <f>Validation[[#This Row],[Range1_Low]]&gt;=Validation[[#This Row],[Range1_High]]</f>
        <v>0</v>
      </c>
      <c r="Y2248" s="111" t="s">
        <v>2843</v>
      </c>
    </row>
    <row r="2249" spans="1:25" ht="15.75" thickTop="1" x14ac:dyDescent="0.25">
      <c r="A2249" t="s">
        <v>55</v>
      </c>
      <c r="B2249" t="s">
        <v>88</v>
      </c>
      <c r="C2249">
        <v>1200.001</v>
      </c>
      <c r="D2249">
        <v>1562</v>
      </c>
      <c r="E2249">
        <v>0.01</v>
      </c>
      <c r="F2249" t="s">
        <v>26</v>
      </c>
      <c r="G2249" t="s">
        <v>26</v>
      </c>
      <c r="H2249">
        <v>0</v>
      </c>
      <c r="I2249">
        <v>0</v>
      </c>
      <c r="J2249" t="s">
        <v>2833</v>
      </c>
      <c r="K2249">
        <v>3.3168701000000002E-2</v>
      </c>
      <c r="L2249">
        <v>0</v>
      </c>
      <c r="M2249">
        <v>3.2593935999999997E-2</v>
      </c>
      <c r="N2249">
        <v>0</v>
      </c>
      <c r="O2249" t="s">
        <v>2833</v>
      </c>
      <c r="P2249" t="s">
        <v>2833</v>
      </c>
      <c r="Q2249" t="s">
        <v>167</v>
      </c>
      <c r="R2249">
        <f ca="1">RAND()*(Validation[[#This Row],[Range1_High]]-Validation[[#This Row],[Range1_Low]])+Validation[[#This Row],[Range1_Low]]</f>
        <v>1262.8535643283863</v>
      </c>
      <c r="S2249">
        <f>Validation[[#This Row],[Range2_High]]</f>
        <v>0</v>
      </c>
      <c r="T2249" t="str" cm="1">
        <f t="array" aca="1" ref="T2249" ca="1">RoundToTwoSigFigs(Validation[[#This Row],[Test Reading]]*Validation[[#This Row],[Mult]]+Validation[[#This Row],[Base]]) &amp;" "&amp;Validation[[#This Row],[Uncert_Units]]</f>
        <v>0.033 °F</v>
      </c>
      <c r="U2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V2249" t="b">
        <f ca="1">Validation[[#This Row],[Desired Result]]=Validation[[#This Row],[Result]]</f>
        <v>1</v>
      </c>
      <c r="W2249" t="b">
        <v>0</v>
      </c>
      <c r="X2249" t="b">
        <f>Validation[[#This Row],[Range1_Low]]&gt;=Validation[[#This Row],[Range1_High]]</f>
        <v>0</v>
      </c>
      <c r="Y2249" s="111" t="s">
        <v>2845</v>
      </c>
    </row>
    <row r="2250" spans="1:25" x14ac:dyDescent="0.25">
      <c r="A2250" t="s">
        <v>55</v>
      </c>
      <c r="B2250" t="s">
        <v>88</v>
      </c>
      <c r="C2250">
        <v>-320</v>
      </c>
      <c r="D2250">
        <v>32</v>
      </c>
      <c r="E2250">
        <v>0.1</v>
      </c>
      <c r="F2250" t="s">
        <v>26</v>
      </c>
      <c r="G2250" t="s">
        <v>26</v>
      </c>
      <c r="H2250">
        <v>0</v>
      </c>
      <c r="I2250">
        <v>0</v>
      </c>
      <c r="J2250" t="s">
        <v>2833</v>
      </c>
      <c r="K2250">
        <v>5.8588425E-2</v>
      </c>
      <c r="L2250">
        <v>0</v>
      </c>
      <c r="M2250">
        <v>5.8008596000000003E-2</v>
      </c>
      <c r="N2250">
        <v>0</v>
      </c>
      <c r="O2250" t="s">
        <v>2833</v>
      </c>
      <c r="P2250" t="s">
        <v>2833</v>
      </c>
      <c r="Q2250" t="s">
        <v>167</v>
      </c>
      <c r="R2250">
        <f ca="1">RAND()*(Validation[[#This Row],[Range1_High]]-Validation[[#This Row],[Range1_Low]])+Validation[[#This Row],[Range1_Low]]</f>
        <v>-39.881793593893519</v>
      </c>
      <c r="S2250">
        <f>Validation[[#This Row],[Range2_High]]</f>
        <v>0</v>
      </c>
      <c r="T2250" t="str" cm="1">
        <f t="array" aca="1" ref="T2250" ca="1">RoundToTwoSigFigs(Validation[[#This Row],[Test Reading]]*Validation[[#This Row],[Mult]]+Validation[[#This Row],[Base]]) &amp;" "&amp;Validation[[#This Row],[Uncert_Units]]</f>
        <v>0.059 °F</v>
      </c>
      <c r="U2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V2250" t="b">
        <f ca="1">Validation[[#This Row],[Desired Result]]=Validation[[#This Row],[Result]]</f>
        <v>1</v>
      </c>
      <c r="W2250" t="b">
        <v>0</v>
      </c>
      <c r="X2250" t="b">
        <f>Validation[[#This Row],[Range1_Low]]&gt;=Validation[[#This Row],[Range1_High]]</f>
        <v>0</v>
      </c>
      <c r="Y2250" s="111" t="s">
        <v>2845</v>
      </c>
    </row>
    <row r="2251" spans="1:25" x14ac:dyDescent="0.25">
      <c r="A2251" t="s">
        <v>54</v>
      </c>
      <c r="B2251" t="s">
        <v>88</v>
      </c>
      <c r="C2251">
        <v>-328</v>
      </c>
      <c r="D2251">
        <v>32.1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2833</v>
      </c>
      <c r="K2251">
        <v>0.59551113200000005</v>
      </c>
      <c r="L2251">
        <v>0</v>
      </c>
      <c r="M2251">
        <v>0.58313053800000003</v>
      </c>
      <c r="N2251">
        <v>0</v>
      </c>
      <c r="O2251" t="s">
        <v>2833</v>
      </c>
      <c r="P2251" t="s">
        <v>2833</v>
      </c>
      <c r="Q2251" t="s">
        <v>167</v>
      </c>
      <c r="R2251">
        <f ca="1">RAND()*(Validation[[#This Row],[Range1_High]]-Validation[[#This Row],[Range1_Low]])+Validation[[#This Row],[Range1_Low]]</f>
        <v>-145.33079774910172</v>
      </c>
      <c r="S2251">
        <f>Validation[[#This Row],[Range2_High]]</f>
        <v>0</v>
      </c>
      <c r="T2251" t="str" cm="1">
        <f t="array" aca="1" ref="T2251" ca="1">RoundToTwoSigFigs(Validation[[#This Row],[Test Reading]]*Validation[[#This Row],[Mult]]+Validation[[#This Row],[Base]]) &amp;" "&amp;Validation[[#This Row],[Uncert_Units]]</f>
        <v>0.6 °F</v>
      </c>
      <c r="U2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2251" t="b">
        <f ca="1">Validation[[#This Row],[Desired Result]]=Validation[[#This Row],[Result]]</f>
        <v>1</v>
      </c>
      <c r="W2251" t="b">
        <v>0</v>
      </c>
      <c r="X2251" t="b">
        <f>Validation[[#This Row],[Range1_Low]]&gt;=Validation[[#This Row],[Range1_High]]</f>
        <v>0</v>
      </c>
      <c r="Y2251" s="111" t="s">
        <v>2845</v>
      </c>
    </row>
    <row r="2252" spans="1:25" x14ac:dyDescent="0.25">
      <c r="A2252" t="s">
        <v>55</v>
      </c>
      <c r="B2252" t="s">
        <v>88</v>
      </c>
      <c r="C2252">
        <v>400.00099999999998</v>
      </c>
      <c r="D2252">
        <v>800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2833</v>
      </c>
      <c r="K2252">
        <v>0.57793243900000002</v>
      </c>
      <c r="L2252">
        <v>0</v>
      </c>
      <c r="M2252">
        <v>0.57762608400000004</v>
      </c>
      <c r="N2252">
        <v>0</v>
      </c>
      <c r="O2252" t="s">
        <v>2833</v>
      </c>
      <c r="P2252" t="s">
        <v>2833</v>
      </c>
      <c r="Q2252" t="s">
        <v>167</v>
      </c>
      <c r="R2252">
        <f ca="1">RAND()*(Validation[[#This Row],[Range1_High]]-Validation[[#This Row],[Range1_Low]])+Validation[[#This Row],[Range1_Low]]</f>
        <v>523.71391869389902</v>
      </c>
      <c r="S2252">
        <f>Validation[[#This Row],[Range2_High]]</f>
        <v>0</v>
      </c>
      <c r="T2252" t="str" cm="1">
        <f t="array" aca="1" ref="T2252" ca="1">RoundToTwoSigFigs(Validation[[#This Row],[Test Reading]]*Validation[[#This Row],[Mult]]+Validation[[#This Row],[Base]]) &amp;" "&amp;Validation[[#This Row],[Uncert_Units]]</f>
        <v>0.58 °F</v>
      </c>
      <c r="U2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2252" t="b">
        <f ca="1">Validation[[#This Row],[Desired Result]]=Validation[[#This Row],[Result]]</f>
        <v>1</v>
      </c>
      <c r="W2252" t="b">
        <v>0</v>
      </c>
      <c r="X2252" t="b">
        <f>Validation[[#This Row],[Range1_Low]]&gt;=Validation[[#This Row],[Range1_High]]</f>
        <v>0</v>
      </c>
      <c r="Y2252" s="111" t="s">
        <v>2845</v>
      </c>
    </row>
    <row r="2253" spans="1:25" x14ac:dyDescent="0.25">
      <c r="A2253" t="s">
        <v>55</v>
      </c>
      <c r="B2253" t="s">
        <v>88</v>
      </c>
      <c r="C2253">
        <v>1200.001</v>
      </c>
      <c r="D2253">
        <v>1562</v>
      </c>
      <c r="E2253">
        <v>0.1</v>
      </c>
      <c r="F2253" t="s">
        <v>26</v>
      </c>
      <c r="G2253" t="s">
        <v>26</v>
      </c>
      <c r="H2253">
        <v>0</v>
      </c>
      <c r="I2253">
        <v>0</v>
      </c>
      <c r="J2253" t="s">
        <v>2833</v>
      </c>
      <c r="K2253">
        <v>6.7183012E-2</v>
      </c>
      <c r="L2253">
        <v>0</v>
      </c>
      <c r="M2253">
        <v>6.6048199000000002E-2</v>
      </c>
      <c r="N2253">
        <v>0</v>
      </c>
      <c r="O2253" t="s">
        <v>2833</v>
      </c>
      <c r="P2253" t="s">
        <v>2833</v>
      </c>
      <c r="Q2253" t="s">
        <v>167</v>
      </c>
      <c r="R2253">
        <f ca="1">RAND()*(Validation[[#This Row],[Range1_High]]-Validation[[#This Row],[Range1_Low]])+Validation[[#This Row],[Range1_Low]]</f>
        <v>1523.1513063016405</v>
      </c>
      <c r="S2253">
        <f>Validation[[#This Row],[Range2_High]]</f>
        <v>0</v>
      </c>
      <c r="T2253" t="str" cm="1">
        <f t="array" aca="1" ref="T2253" ca="1">RoundToTwoSigFigs(Validation[[#This Row],[Test Reading]]*Validation[[#This Row],[Mult]]+Validation[[#This Row],[Base]]) &amp;" "&amp;Validation[[#This Row],[Uncert_Units]]</f>
        <v>0.067 °F</v>
      </c>
      <c r="U2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V2253" t="b">
        <f ca="1">Validation[[#This Row],[Desired Result]]=Validation[[#This Row],[Result]]</f>
        <v>1</v>
      </c>
      <c r="W2253" t="b">
        <v>0</v>
      </c>
      <c r="X2253" t="b">
        <f>Validation[[#This Row],[Range1_Low]]&gt;=Validation[[#This Row],[Range1_High]]</f>
        <v>0</v>
      </c>
      <c r="Y2253" s="111" t="s">
        <v>2845</v>
      </c>
    </row>
    <row r="2254" spans="1:25" x14ac:dyDescent="0.25">
      <c r="A2254" t="s">
        <v>55</v>
      </c>
      <c r="B2254" t="s">
        <v>88</v>
      </c>
      <c r="C2254">
        <v>32.000999999999998</v>
      </c>
      <c r="D2254">
        <v>400</v>
      </c>
      <c r="E2254">
        <v>0.1</v>
      </c>
      <c r="F2254" t="s">
        <v>26</v>
      </c>
      <c r="G2254" t="s">
        <v>26</v>
      </c>
      <c r="H2254">
        <v>0</v>
      </c>
      <c r="I2254">
        <v>0</v>
      </c>
      <c r="J2254" t="s">
        <v>2833</v>
      </c>
      <c r="K2254">
        <v>5.9981477999999998E-2</v>
      </c>
      <c r="L2254">
        <v>0</v>
      </c>
      <c r="M2254">
        <v>5.9239132999999999E-2</v>
      </c>
      <c r="N2254">
        <v>0</v>
      </c>
      <c r="O2254" t="s">
        <v>2833</v>
      </c>
      <c r="P2254" t="s">
        <v>2833</v>
      </c>
      <c r="Q2254" t="s">
        <v>167</v>
      </c>
      <c r="R2254">
        <f ca="1">RAND()*(Validation[[#This Row],[Range1_High]]-Validation[[#This Row],[Range1_Low]])+Validation[[#This Row],[Range1_Low]]</f>
        <v>69.308816582283441</v>
      </c>
      <c r="S2254">
        <f>Validation[[#This Row],[Range2_High]]</f>
        <v>0</v>
      </c>
      <c r="T2254" t="str" cm="1">
        <f t="array" aca="1" ref="T2254" ca="1">RoundToTwoSigFigs(Validation[[#This Row],[Test Reading]]*Validation[[#This Row],[Mult]]+Validation[[#This Row],[Base]]) &amp;" "&amp;Validation[[#This Row],[Uncert_Units]]</f>
        <v>0.06 °F</v>
      </c>
      <c r="U2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V2254" t="b">
        <f ca="1">Validation[[#This Row],[Desired Result]]=Validation[[#This Row],[Result]]</f>
        <v>1</v>
      </c>
      <c r="W2254" t="b">
        <v>0</v>
      </c>
      <c r="X2254" t="b">
        <f>Validation[[#This Row],[Range1_Low]]&gt;=Validation[[#This Row],[Range1_High]]</f>
        <v>0</v>
      </c>
      <c r="Y2254" s="111" t="s">
        <v>2845</v>
      </c>
    </row>
    <row r="2255" spans="1:25" ht="15.75" thickBot="1" x14ac:dyDescent="0.3">
      <c r="A2255" t="s">
        <v>55</v>
      </c>
      <c r="B2255" t="s">
        <v>88</v>
      </c>
      <c r="C2255">
        <v>1200.001</v>
      </c>
      <c r="D2255">
        <v>1562</v>
      </c>
      <c r="E2255">
        <v>1</v>
      </c>
      <c r="F2255" t="s">
        <v>26</v>
      </c>
      <c r="G2255" t="s">
        <v>26</v>
      </c>
      <c r="H2255">
        <v>0</v>
      </c>
      <c r="I2255">
        <v>0</v>
      </c>
      <c r="J2255" t="s">
        <v>2833</v>
      </c>
      <c r="K2255">
        <v>0.57876345299999998</v>
      </c>
      <c r="L2255">
        <v>0</v>
      </c>
      <c r="M2255">
        <v>0.57824074999999997</v>
      </c>
      <c r="N2255">
        <v>0</v>
      </c>
      <c r="O2255" t="s">
        <v>2833</v>
      </c>
      <c r="P2255" t="s">
        <v>2833</v>
      </c>
      <c r="Q2255" t="s">
        <v>167</v>
      </c>
      <c r="R2255">
        <f ca="1">RAND()*(Validation[[#This Row],[Range1_High]]-Validation[[#This Row],[Range1_Low]])+Validation[[#This Row],[Range1_Low]]</f>
        <v>1468.8351780899354</v>
      </c>
      <c r="S2255">
        <f>Validation[[#This Row],[Range2_High]]</f>
        <v>0</v>
      </c>
      <c r="T2255" t="str" cm="1">
        <f t="array" aca="1" ref="T2255" ca="1">RoundToTwoSigFigs(Validation[[#This Row],[Test Reading]]*Validation[[#This Row],[Mult]]+Validation[[#This Row],[Base]]) &amp;" "&amp;Validation[[#This Row],[Uncert_Units]]</f>
        <v>0.58 °F</v>
      </c>
      <c r="U2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2255" t="b">
        <f ca="1">Validation[[#This Row],[Desired Result]]=Validation[[#This Row],[Result]]</f>
        <v>1</v>
      </c>
      <c r="W2255" t="b">
        <v>0</v>
      </c>
      <c r="X2255" t="b">
        <f>Validation[[#This Row],[Range1_Low]]&gt;=Validation[[#This Row],[Range1_High]]</f>
        <v>0</v>
      </c>
      <c r="Y2255" s="111" t="s">
        <v>2845</v>
      </c>
    </row>
    <row r="2256" spans="1:25" ht="16.5" thickTop="1" thickBot="1" x14ac:dyDescent="0.3">
      <c r="A2256" t="s">
        <v>54</v>
      </c>
      <c r="B2256" t="s">
        <v>88</v>
      </c>
      <c r="C2256" s="113">
        <v>500</v>
      </c>
      <c r="D2256" s="113">
        <v>572.1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2833</v>
      </c>
      <c r="K2256">
        <v>0.26189677900000002</v>
      </c>
      <c r="L2256">
        <v>0</v>
      </c>
      <c r="M2256">
        <v>0.23826491999999999</v>
      </c>
      <c r="N2256">
        <v>0</v>
      </c>
      <c r="O2256" t="s">
        <v>2833</v>
      </c>
      <c r="P2256" t="s">
        <v>2833</v>
      </c>
      <c r="Q2256" t="s">
        <v>167</v>
      </c>
      <c r="R2256">
        <f ca="1">RAND()*(Validation[[#This Row],[Range1_High]]-Validation[[#This Row],[Range1_Low]])+Validation[[#This Row],[Range1_Low]]</f>
        <v>551.54289296230695</v>
      </c>
      <c r="S2256">
        <f>Validation[[#This Row],[Range2_High]]</f>
        <v>0</v>
      </c>
      <c r="T2256" t="str" cm="1">
        <f t="array" aca="1" ref="T2256" ca="1">RoundToTwoSigFigs(Validation[[#This Row],[Test Reading]]*Validation[[#This Row],[Mult]]+Validation[[#This Row],[Base]]) &amp;" "&amp;Validation[[#This Row],[Uncert_Units]]</f>
        <v>0.26 °F</v>
      </c>
      <c r="U2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V2256" t="b">
        <f ca="1">Validation[[#This Row],[Desired Result]]=Validation[[#This Row],[Result]]</f>
        <v>1</v>
      </c>
      <c r="W2256" t="b">
        <v>1</v>
      </c>
      <c r="X2256" t="b">
        <f>Validation[[#This Row],[Range1_Low]]&gt;=Validation[[#This Row],[Range1_High]]</f>
        <v>0</v>
      </c>
      <c r="Y2256" s="111" t="s">
        <v>2843</v>
      </c>
    </row>
    <row r="2257" spans="1:25" ht="15.75" thickTop="1" x14ac:dyDescent="0.25">
      <c r="A2257" t="s">
        <v>55</v>
      </c>
      <c r="B2257" t="s">
        <v>88</v>
      </c>
      <c r="C2257">
        <v>400.00099999999998</v>
      </c>
      <c r="D2257">
        <v>800</v>
      </c>
      <c r="E2257">
        <v>0.01</v>
      </c>
      <c r="F2257" t="s">
        <v>26</v>
      </c>
      <c r="G2257" t="s">
        <v>26</v>
      </c>
      <c r="H2257">
        <v>0</v>
      </c>
      <c r="I2257">
        <v>0</v>
      </c>
      <c r="J2257" t="s">
        <v>2833</v>
      </c>
      <c r="K2257">
        <v>0.02</v>
      </c>
      <c r="L2257">
        <v>0</v>
      </c>
      <c r="M2257">
        <v>1.8758799E-2</v>
      </c>
      <c r="N2257">
        <v>0</v>
      </c>
      <c r="O2257" t="s">
        <v>2833</v>
      </c>
      <c r="P2257" t="s">
        <v>2833</v>
      </c>
      <c r="Q2257" t="s">
        <v>167</v>
      </c>
      <c r="R2257">
        <f ca="1">RAND()*(Validation[[#This Row],[Range1_High]]-Validation[[#This Row],[Range1_Low]])+Validation[[#This Row],[Range1_Low]]</f>
        <v>655.7778610073201</v>
      </c>
      <c r="S2257">
        <f>Validation[[#This Row],[Range2_High]]</f>
        <v>0</v>
      </c>
      <c r="T2257" t="str" cm="1">
        <f t="array" aca="1" ref="T2257" ca="1">RoundToTwoSigFigs(Validation[[#This Row],[Test Reading]]*Validation[[#This Row],[Mult]]+Validation[[#This Row],[Base]]) &amp;" "&amp;Validation[[#This Row],[Uncert_Units]]</f>
        <v>0.02 °F</v>
      </c>
      <c r="U2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V2257" t="b">
        <f ca="1">Validation[[#This Row],[Desired Result]]=Validation[[#This Row],[Result]]</f>
        <v>1</v>
      </c>
      <c r="W2257" t="b">
        <v>0</v>
      </c>
      <c r="X2257" t="b">
        <f>Validation[[#This Row],[Range1_Low]]&gt;=Validation[[#This Row],[Range1_High]]</f>
        <v>0</v>
      </c>
      <c r="Y2257" s="111" t="s">
        <v>2845</v>
      </c>
    </row>
    <row r="2258" spans="1:25" x14ac:dyDescent="0.25">
      <c r="A2258" t="s">
        <v>55</v>
      </c>
      <c r="B2258" t="s">
        <v>88</v>
      </c>
      <c r="C2258">
        <v>-320</v>
      </c>
      <c r="D2258">
        <v>32</v>
      </c>
      <c r="E2258">
        <v>0.01</v>
      </c>
      <c r="F2258" t="s">
        <v>26</v>
      </c>
      <c r="G2258" t="s">
        <v>26</v>
      </c>
      <c r="H2258">
        <v>0</v>
      </c>
      <c r="I2258">
        <v>0</v>
      </c>
      <c r="J2258" t="s">
        <v>2833</v>
      </c>
      <c r="K2258">
        <v>9.049797E-3</v>
      </c>
      <c r="L2258">
        <v>0</v>
      </c>
      <c r="M2258">
        <v>8.0620870000000008E-3</v>
      </c>
      <c r="N2258">
        <v>0</v>
      </c>
      <c r="O2258" t="s">
        <v>2833</v>
      </c>
      <c r="P2258" t="s">
        <v>2833</v>
      </c>
      <c r="Q2258" t="s">
        <v>167</v>
      </c>
      <c r="R2258">
        <f ca="1">RAND()*(Validation[[#This Row],[Range1_High]]-Validation[[#This Row],[Range1_Low]])+Validation[[#This Row],[Range1_Low]]</f>
        <v>-300.2699053393776</v>
      </c>
      <c r="S2258">
        <f>Validation[[#This Row],[Range2_High]]</f>
        <v>0</v>
      </c>
      <c r="T2258" t="str" cm="1">
        <f t="array" aca="1" ref="T2258" ca="1">RoundToTwoSigFigs(Validation[[#This Row],[Test Reading]]*Validation[[#This Row],[Mult]]+Validation[[#This Row],[Base]]) &amp;" "&amp;Validation[[#This Row],[Uncert_Units]]</f>
        <v>0.009 °F</v>
      </c>
      <c r="U2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V2258" t="b">
        <f ca="1">Validation[[#This Row],[Desired Result]]=Validation[[#This Row],[Result]]</f>
        <v>1</v>
      </c>
      <c r="W2258" t="b">
        <v>0</v>
      </c>
      <c r="X2258" t="b">
        <f>Validation[[#This Row],[Range1_Low]]&gt;=Validation[[#This Row],[Range1_High]]</f>
        <v>0</v>
      </c>
      <c r="Y2258" s="111" t="s">
        <v>2845</v>
      </c>
    </row>
    <row r="2259" spans="1:25" x14ac:dyDescent="0.25">
      <c r="A2259" t="s">
        <v>54</v>
      </c>
      <c r="B2259" t="s">
        <v>88</v>
      </c>
      <c r="C2259">
        <v>1166</v>
      </c>
      <c r="D2259">
        <v>1166.0999999999999</v>
      </c>
      <c r="E2259">
        <v>1</v>
      </c>
      <c r="F2259" t="s">
        <v>26</v>
      </c>
      <c r="G2259" t="s">
        <v>26</v>
      </c>
      <c r="H2259">
        <v>0</v>
      </c>
      <c r="I2259">
        <v>0</v>
      </c>
      <c r="J2259" t="s">
        <v>2833</v>
      </c>
      <c r="K2259">
        <v>1.026249266</v>
      </c>
      <c r="L2259">
        <v>0</v>
      </c>
      <c r="M2259">
        <v>1.019114946</v>
      </c>
      <c r="N2259">
        <v>0</v>
      </c>
      <c r="O2259" t="s">
        <v>2833</v>
      </c>
      <c r="P2259" t="s">
        <v>2833</v>
      </c>
      <c r="Q2259" t="s">
        <v>167</v>
      </c>
      <c r="R2259">
        <f ca="1">RAND()*(Validation[[#This Row],[Range1_High]]-Validation[[#This Row],[Range1_Low]])+Validation[[#This Row],[Range1_Low]]</f>
        <v>1166.0340692942739</v>
      </c>
      <c r="S2259">
        <f>Validation[[#This Row],[Range2_High]]</f>
        <v>0</v>
      </c>
      <c r="T2259" t="str" cm="1">
        <f t="array" aca="1" ref="T2259" ca="1">RoundToTwoSigFigs(Validation[[#This Row],[Test Reading]]*Validation[[#This Row],[Mult]]+Validation[[#This Row],[Base]]) &amp;" "&amp;Validation[[#This Row],[Uncert_Units]]</f>
        <v>1 °F</v>
      </c>
      <c r="U2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V2259" t="b">
        <f ca="1">Validation[[#This Row],[Desired Result]]=Validation[[#This Row],[Result]]</f>
        <v>1</v>
      </c>
      <c r="W2259" t="b">
        <v>0</v>
      </c>
      <c r="X2259" t="b">
        <f>Validation[[#This Row],[Range1_Low]]&gt;=Validation[[#This Row],[Range1_High]]</f>
        <v>0</v>
      </c>
      <c r="Y2259" s="111" t="s">
        <v>2845</v>
      </c>
    </row>
    <row r="2260" spans="1:25" x14ac:dyDescent="0.25">
      <c r="A2260" t="s">
        <v>55</v>
      </c>
      <c r="B2260" t="s">
        <v>88</v>
      </c>
      <c r="C2260">
        <v>400.00099999999998</v>
      </c>
      <c r="D2260">
        <v>800</v>
      </c>
      <c r="E2260">
        <v>0.1</v>
      </c>
      <c r="F2260" t="s">
        <v>26</v>
      </c>
      <c r="G2260" t="s">
        <v>26</v>
      </c>
      <c r="H2260">
        <v>0</v>
      </c>
      <c r="I2260">
        <v>0</v>
      </c>
      <c r="J2260" t="s">
        <v>2833</v>
      </c>
      <c r="K2260">
        <v>6.1158772E-2</v>
      </c>
      <c r="L2260">
        <v>0</v>
      </c>
      <c r="M2260">
        <v>6.0430891E-2</v>
      </c>
      <c r="N2260">
        <v>0</v>
      </c>
      <c r="O2260" t="s">
        <v>2833</v>
      </c>
      <c r="P2260" t="s">
        <v>2833</v>
      </c>
      <c r="Q2260" t="s">
        <v>167</v>
      </c>
      <c r="R2260">
        <f ca="1">RAND()*(Validation[[#This Row],[Range1_High]]-Validation[[#This Row],[Range1_Low]])+Validation[[#This Row],[Range1_Low]]</f>
        <v>727.22464302573849</v>
      </c>
      <c r="S2260">
        <f>Validation[[#This Row],[Range2_High]]</f>
        <v>0</v>
      </c>
      <c r="T2260" t="str" cm="1">
        <f t="array" aca="1" ref="T2260" ca="1">RoundToTwoSigFigs(Validation[[#This Row],[Test Reading]]*Validation[[#This Row],[Mult]]+Validation[[#This Row],[Base]]) &amp;" "&amp;Validation[[#This Row],[Uncert_Units]]</f>
        <v>0.061 °F</v>
      </c>
      <c r="U2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V2260" t="b">
        <f ca="1">Validation[[#This Row],[Desired Result]]=Validation[[#This Row],[Result]]</f>
        <v>1</v>
      </c>
      <c r="W2260" t="b">
        <v>0</v>
      </c>
      <c r="X2260" t="b">
        <f>Validation[[#This Row],[Range1_Low]]&gt;=Validation[[#This Row],[Range1_High]]</f>
        <v>0</v>
      </c>
      <c r="Y2260" s="111" t="s">
        <v>2845</v>
      </c>
    </row>
    <row r="2261" spans="1:25" x14ac:dyDescent="0.25">
      <c r="A2261" t="s">
        <v>54</v>
      </c>
      <c r="B2261" t="s">
        <v>88</v>
      </c>
      <c r="C2261">
        <v>1166</v>
      </c>
      <c r="D2261">
        <v>1166.0999999999999</v>
      </c>
      <c r="E2261">
        <v>0.1</v>
      </c>
      <c r="F2261" t="s">
        <v>26</v>
      </c>
      <c r="G2261" t="s">
        <v>26</v>
      </c>
      <c r="H2261">
        <v>0</v>
      </c>
      <c r="I2261">
        <v>0</v>
      </c>
      <c r="J2261" t="s">
        <v>2833</v>
      </c>
      <c r="K2261">
        <v>0.84698905999999996</v>
      </c>
      <c r="L2261">
        <v>0</v>
      </c>
      <c r="M2261">
        <v>0.83998256900000001</v>
      </c>
      <c r="N2261">
        <v>0</v>
      </c>
      <c r="O2261" t="s">
        <v>2833</v>
      </c>
      <c r="P2261" t="s">
        <v>2833</v>
      </c>
      <c r="Q2261" t="s">
        <v>167</v>
      </c>
      <c r="R2261">
        <f ca="1">RAND()*(Validation[[#This Row],[Range1_High]]-Validation[[#This Row],[Range1_Low]])+Validation[[#This Row],[Range1_Low]]</f>
        <v>1166.0627269569211</v>
      </c>
      <c r="S2261">
        <f>Validation[[#This Row],[Range2_High]]</f>
        <v>0</v>
      </c>
      <c r="T2261" t="str" cm="1">
        <f t="array" aca="1" ref="T2261" ca="1">RoundToTwoSigFigs(Validation[[#This Row],[Test Reading]]*Validation[[#This Row],[Mult]]+Validation[[#This Row],[Base]]) &amp;" "&amp;Validation[[#This Row],[Uncert_Units]]</f>
        <v>0.85 °F</v>
      </c>
      <c r="U2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V2261" t="b">
        <f ca="1">Validation[[#This Row],[Desired Result]]=Validation[[#This Row],[Result]]</f>
        <v>1</v>
      </c>
      <c r="W2261" t="b">
        <v>0</v>
      </c>
      <c r="X2261" t="b">
        <f>Validation[[#This Row],[Range1_Low]]&gt;=Validation[[#This Row],[Range1_High]]</f>
        <v>0</v>
      </c>
      <c r="Y2261" s="111" t="s">
        <v>2845</v>
      </c>
    </row>
    <row r="2262" spans="1:25" x14ac:dyDescent="0.25">
      <c r="A2262" t="s">
        <v>55</v>
      </c>
      <c r="B2262" t="s">
        <v>88</v>
      </c>
      <c r="C2262">
        <v>32.000999999999998</v>
      </c>
      <c r="D2262">
        <v>400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2833</v>
      </c>
      <c r="K2262">
        <v>0.57780904</v>
      </c>
      <c r="L2262">
        <v>0</v>
      </c>
      <c r="M2262">
        <v>0.57750261899999999</v>
      </c>
      <c r="N2262">
        <v>0</v>
      </c>
      <c r="O2262" t="s">
        <v>2833</v>
      </c>
      <c r="P2262" t="s">
        <v>2833</v>
      </c>
      <c r="Q2262" t="s">
        <v>167</v>
      </c>
      <c r="R2262">
        <f ca="1">RAND()*(Validation[[#This Row],[Range1_High]]-Validation[[#This Row],[Range1_Low]])+Validation[[#This Row],[Range1_Low]]</f>
        <v>190.09225689696927</v>
      </c>
      <c r="S2262">
        <f>Validation[[#This Row],[Range2_High]]</f>
        <v>0</v>
      </c>
      <c r="T2262" t="str" cm="1">
        <f t="array" aca="1" ref="T2262" ca="1">RoundToTwoSigFigs(Validation[[#This Row],[Test Reading]]*Validation[[#This Row],[Mult]]+Validation[[#This Row],[Base]]) &amp;" "&amp;Validation[[#This Row],[Uncert_Units]]</f>
        <v>0.58 °F</v>
      </c>
      <c r="U2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2262" t="b">
        <f ca="1">Validation[[#This Row],[Desired Result]]=Validation[[#This Row],[Result]]</f>
        <v>1</v>
      </c>
      <c r="W2262" t="b">
        <v>0</v>
      </c>
      <c r="X2262" t="b">
        <f>Validation[[#This Row],[Range1_Low]]&gt;=Validation[[#This Row],[Range1_High]]</f>
        <v>0</v>
      </c>
      <c r="Y2262" s="111" t="s">
        <v>2845</v>
      </c>
    </row>
    <row r="2263" spans="1:25" ht="15.75" thickBot="1" x14ac:dyDescent="0.3">
      <c r="A2263" t="s">
        <v>55</v>
      </c>
      <c r="B2263" t="s">
        <v>88</v>
      </c>
      <c r="C2263">
        <v>800.00099999999998</v>
      </c>
      <c r="D2263">
        <v>1200</v>
      </c>
      <c r="E2263">
        <v>0.1</v>
      </c>
      <c r="F2263" t="s">
        <v>26</v>
      </c>
      <c r="G2263" t="s">
        <v>26</v>
      </c>
      <c r="H2263">
        <v>0</v>
      </c>
      <c r="I2263">
        <v>0</v>
      </c>
      <c r="J2263" t="s">
        <v>2833</v>
      </c>
      <c r="K2263">
        <v>6.4958135E-2</v>
      </c>
      <c r="L2263">
        <v>0</v>
      </c>
      <c r="M2263">
        <v>6.3017930999999999E-2</v>
      </c>
      <c r="N2263">
        <v>0</v>
      </c>
      <c r="O2263" t="s">
        <v>2833</v>
      </c>
      <c r="P2263" t="s">
        <v>2833</v>
      </c>
      <c r="Q2263" t="s">
        <v>167</v>
      </c>
      <c r="R2263">
        <f ca="1">RAND()*(Validation[[#This Row],[Range1_High]]-Validation[[#This Row],[Range1_Low]])+Validation[[#This Row],[Range1_Low]]</f>
        <v>1130.9869820777567</v>
      </c>
      <c r="S2263">
        <f>Validation[[#This Row],[Range2_High]]</f>
        <v>0</v>
      </c>
      <c r="T2263" t="str" cm="1">
        <f t="array" aca="1" ref="T2263" ca="1">RoundToTwoSigFigs(Validation[[#This Row],[Test Reading]]*Validation[[#This Row],[Mult]]+Validation[[#This Row],[Base]]) &amp;" "&amp;Validation[[#This Row],[Uncert_Units]]</f>
        <v>0.065 °F</v>
      </c>
      <c r="U2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V2263" t="b">
        <f ca="1">Validation[[#This Row],[Desired Result]]=Validation[[#This Row],[Result]]</f>
        <v>1</v>
      </c>
      <c r="W2263" t="b">
        <v>0</v>
      </c>
      <c r="X2263" t="b">
        <f>Validation[[#This Row],[Range1_Low]]&gt;=Validation[[#This Row],[Range1_High]]</f>
        <v>0</v>
      </c>
      <c r="Y2263" s="111" t="s">
        <v>2845</v>
      </c>
    </row>
    <row r="2264" spans="1:25" ht="16.5" thickTop="1" thickBot="1" x14ac:dyDescent="0.3">
      <c r="A2264" t="s">
        <v>54</v>
      </c>
      <c r="B2264" t="s">
        <v>88</v>
      </c>
      <c r="C2264" s="113">
        <v>500</v>
      </c>
      <c r="D2264" s="113">
        <v>572.1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J2264" t="s">
        <v>2833</v>
      </c>
      <c r="K2264">
        <v>0.61002542000000004</v>
      </c>
      <c r="L2264">
        <v>0</v>
      </c>
      <c r="M2264">
        <v>0.597945422</v>
      </c>
      <c r="N2264">
        <v>0</v>
      </c>
      <c r="O2264" t="s">
        <v>2833</v>
      </c>
      <c r="P2264" t="s">
        <v>2833</v>
      </c>
      <c r="Q2264" t="s">
        <v>167</v>
      </c>
      <c r="R2264">
        <f ca="1">RAND()*(Validation[[#This Row],[Range1_High]]-Validation[[#This Row],[Range1_Low]])+Validation[[#This Row],[Range1_Low]]</f>
        <v>506.80338855915511</v>
      </c>
      <c r="S2264">
        <f>Validation[[#This Row],[Range2_High]]</f>
        <v>0</v>
      </c>
      <c r="T2264" t="str" cm="1">
        <f t="array" aca="1" ref="T2264" ca="1">RoundToTwoSigFigs(Validation[[#This Row],[Test Reading]]*Validation[[#This Row],[Mult]]+Validation[[#This Row],[Base]]) &amp;" "&amp;Validation[[#This Row],[Uncert_Units]]</f>
        <v>0.61 °F</v>
      </c>
      <c r="U2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V2264" t="b">
        <f ca="1">Validation[[#This Row],[Desired Result]]=Validation[[#This Row],[Result]]</f>
        <v>1</v>
      </c>
      <c r="W2264" t="b">
        <v>1</v>
      </c>
      <c r="X2264" t="b">
        <f>Validation[[#This Row],[Range1_Low]]&gt;=Validation[[#This Row],[Range1_High]]</f>
        <v>0</v>
      </c>
      <c r="Y2264" s="111" t="s">
        <v>2843</v>
      </c>
    </row>
    <row r="2265" spans="1:25" ht="15.75" thickTop="1" x14ac:dyDescent="0.25">
      <c r="A2265" t="s">
        <v>54</v>
      </c>
      <c r="B2265" t="s">
        <v>88</v>
      </c>
      <c r="C2265">
        <v>212</v>
      </c>
      <c r="D2265">
        <v>500.1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2833</v>
      </c>
      <c r="K2265">
        <v>0.19201475800000001</v>
      </c>
      <c r="L2265">
        <v>0</v>
      </c>
      <c r="M2265">
        <v>0.15827165600000001</v>
      </c>
      <c r="N2265">
        <v>0</v>
      </c>
      <c r="O2265" t="s">
        <v>2833</v>
      </c>
      <c r="P2265" t="s">
        <v>2833</v>
      </c>
      <c r="Q2265" t="s">
        <v>167</v>
      </c>
      <c r="R2265">
        <f ca="1">RAND()*(Validation[[#This Row],[Range1_High]]-Validation[[#This Row],[Range1_Low]])+Validation[[#This Row],[Range1_Low]]</f>
        <v>310.3657255131115</v>
      </c>
      <c r="S2265">
        <f>Validation[[#This Row],[Range2_High]]</f>
        <v>0</v>
      </c>
      <c r="T2265" t="str" cm="1">
        <f t="array" aca="1" ref="T2265" ca="1">RoundToTwoSigFigs(Validation[[#This Row],[Test Reading]]*Validation[[#This Row],[Mult]]+Validation[[#This Row],[Base]]) &amp;" "&amp;Validation[[#This Row],[Uncert_Units]]</f>
        <v>0.19 °F</v>
      </c>
      <c r="U2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V2265" t="b">
        <f ca="1">Validation[[#This Row],[Desired Result]]=Validation[[#This Row],[Result]]</f>
        <v>1</v>
      </c>
      <c r="W2265" t="b">
        <v>0</v>
      </c>
      <c r="X2265" t="b">
        <f>Validation[[#This Row],[Range1_Low]]&gt;=Validation[[#This Row],[Range1_High]]</f>
        <v>0</v>
      </c>
      <c r="Y2265" s="111" t="s">
        <v>2845</v>
      </c>
    </row>
    <row r="2266" spans="1:25" ht="15.75" thickBot="1" x14ac:dyDescent="0.3">
      <c r="A2266" t="s">
        <v>54</v>
      </c>
      <c r="B2266" t="s">
        <v>98</v>
      </c>
      <c r="C2266">
        <v>0</v>
      </c>
      <c r="D2266">
        <v>1.0900000000000001E-4</v>
      </c>
      <c r="E2266">
        <v>0.01</v>
      </c>
      <c r="F2266" t="s">
        <v>152</v>
      </c>
      <c r="G2266" t="s">
        <v>152</v>
      </c>
      <c r="H2266">
        <v>0</v>
      </c>
      <c r="I2266">
        <v>0</v>
      </c>
      <c r="J2266" t="s">
        <v>2833</v>
      </c>
      <c r="K2266">
        <v>0</v>
      </c>
      <c r="L2266">
        <v>5800</v>
      </c>
      <c r="M2266">
        <v>0</v>
      </c>
      <c r="N2266">
        <v>0</v>
      </c>
      <c r="O2266" t="s">
        <v>2833</v>
      </c>
      <c r="P2266" t="s">
        <v>2833</v>
      </c>
      <c r="Q2266" t="s">
        <v>2833</v>
      </c>
      <c r="R2266">
        <f ca="1">RAND()*(Validation[[#This Row],[Range1_High]]-Validation[[#This Row],[Range1_Low]])+Validation[[#This Row],[Range1_Low]]</f>
        <v>5.9774124875037035E-5</v>
      </c>
      <c r="S2266">
        <f>Validation[[#This Row],[Range2_High]]</f>
        <v>0</v>
      </c>
      <c r="T2266" t="str" cm="1">
        <f t="array" aca="1" ref="T2266" ca="1">RoundToTwoSigFigs(Validation[[#This Row],[Test Reading]]*Validation[[#This Row],[Mult]]+Validation[[#This Row],[Base]]) &amp;" "&amp;Validation[[#This Row],[Uncert_Units]]</f>
        <v>0.35 W</v>
      </c>
      <c r="U2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W</v>
      </c>
      <c r="V2266" t="b">
        <f ca="1">Validation[[#This Row],[Desired Result]]=Validation[[#This Row],[Result]]</f>
        <v>1</v>
      </c>
      <c r="W2266" t="b">
        <v>0</v>
      </c>
      <c r="X2266" t="b">
        <f>Validation[[#This Row],[Range1_Low]]&gt;=Validation[[#This Row],[Range1_High]]</f>
        <v>0</v>
      </c>
      <c r="Y2266" s="111" t="s">
        <v>2845</v>
      </c>
    </row>
    <row r="2267" spans="1:25" ht="16.5" thickTop="1" thickBot="1" x14ac:dyDescent="0.3">
      <c r="A2267" t="s">
        <v>54</v>
      </c>
      <c r="B2267" t="s">
        <v>98</v>
      </c>
      <c r="C2267" s="113">
        <v>109</v>
      </c>
      <c r="D2267" s="113">
        <v>330.00009999999997</v>
      </c>
      <c r="E2267">
        <v>10</v>
      </c>
      <c r="F2267" t="s">
        <v>152</v>
      </c>
      <c r="G2267" t="s">
        <v>152</v>
      </c>
      <c r="H2267">
        <v>0</v>
      </c>
      <c r="I2267">
        <v>0</v>
      </c>
      <c r="J2267" t="s">
        <v>2833</v>
      </c>
      <c r="K2267">
        <v>0</v>
      </c>
      <c r="L2267">
        <v>5.3260000000000002E-2</v>
      </c>
      <c r="M2267">
        <v>0</v>
      </c>
      <c r="N2267">
        <v>0</v>
      </c>
      <c r="O2267" t="s">
        <v>2833</v>
      </c>
      <c r="P2267" t="s">
        <v>2833</v>
      </c>
      <c r="Q2267" t="s">
        <v>2833</v>
      </c>
      <c r="R2267">
        <f ca="1">RAND()*(Validation[[#This Row],[Range1_High]]-Validation[[#This Row],[Range1_Low]])+Validation[[#This Row],[Range1_Low]]</f>
        <v>258.68157743241306</v>
      </c>
      <c r="S2267">
        <f>Validation[[#This Row],[Range2_High]]</f>
        <v>0</v>
      </c>
      <c r="T2267" t="str" cm="1">
        <f t="array" aca="1" ref="T2267" ca="1">RoundToTwoSigFigs(Validation[[#This Row],[Test Reading]]*Validation[[#This Row],[Mult]]+Validation[[#This Row],[Base]]) &amp;" "&amp;Validation[[#This Row],[Uncert_Units]]</f>
        <v>14 W</v>
      </c>
      <c r="U2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W</v>
      </c>
      <c r="V2267" t="b">
        <f ca="1">Validation[[#This Row],[Desired Result]]=Validation[[#This Row],[Result]]</f>
        <v>1</v>
      </c>
      <c r="W2267" t="b">
        <v>1</v>
      </c>
      <c r="X2267" t="b">
        <f>Validation[[#This Row],[Range1_Low]]&gt;=Validation[[#This Row],[Range1_High]]</f>
        <v>0</v>
      </c>
      <c r="Y2267" s="111" t="s">
        <v>2843</v>
      </c>
    </row>
    <row r="2268" spans="1:25" ht="16.5" thickTop="1" thickBot="1" x14ac:dyDescent="0.3">
      <c r="A2268" t="s">
        <v>54</v>
      </c>
      <c r="B2268" t="s">
        <v>98</v>
      </c>
      <c r="C2268" s="113">
        <v>10.9</v>
      </c>
      <c r="D2268" s="113">
        <v>109.0001</v>
      </c>
      <c r="E2268">
        <v>0.1</v>
      </c>
      <c r="F2268" t="s">
        <v>152</v>
      </c>
      <c r="G2268" t="s">
        <v>152</v>
      </c>
      <c r="H2268">
        <v>0</v>
      </c>
      <c r="I2268">
        <v>0</v>
      </c>
      <c r="J2268" t="s">
        <v>2833</v>
      </c>
      <c r="K2268">
        <v>0</v>
      </c>
      <c r="L2268">
        <v>5.3322999999999999E-3</v>
      </c>
      <c r="M2268">
        <v>0</v>
      </c>
      <c r="N2268">
        <v>0</v>
      </c>
      <c r="O2268" t="s">
        <v>2833</v>
      </c>
      <c r="P2268" t="s">
        <v>2833</v>
      </c>
      <c r="Q2268" t="s">
        <v>2833</v>
      </c>
      <c r="R2268">
        <f ca="1">RAND()*(Validation[[#This Row],[Range1_High]]-Validation[[#This Row],[Range1_Low]])+Validation[[#This Row],[Range1_Low]]</f>
        <v>48.463600432301639</v>
      </c>
      <c r="S2268">
        <f>Validation[[#This Row],[Range2_High]]</f>
        <v>0</v>
      </c>
      <c r="T2268" t="str" cm="1">
        <f t="array" aca="1" ref="T2268" ca="1">RoundToTwoSigFigs(Validation[[#This Row],[Test Reading]]*Validation[[#This Row],[Mult]]+Validation[[#This Row],[Base]]) &amp;" "&amp;Validation[[#This Row],[Uncert_Units]]</f>
        <v>0.26 W</v>
      </c>
      <c r="U2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W</v>
      </c>
      <c r="V2268" t="b">
        <f ca="1">Validation[[#This Row],[Desired Result]]=Validation[[#This Row],[Result]]</f>
        <v>1</v>
      </c>
      <c r="W2268" t="b">
        <v>1</v>
      </c>
      <c r="X2268" t="b">
        <f>Validation[[#This Row],[Range1_Low]]&gt;=Validation[[#This Row],[Range1_High]]</f>
        <v>0</v>
      </c>
      <c r="Y2268" s="111" t="s">
        <v>2843</v>
      </c>
    </row>
    <row r="2269" spans="1:25" ht="16.5" thickTop="1" thickBot="1" x14ac:dyDescent="0.3">
      <c r="A2269" t="s">
        <v>54</v>
      </c>
      <c r="B2269" t="s">
        <v>98</v>
      </c>
      <c r="C2269" s="113">
        <v>0.109</v>
      </c>
      <c r="D2269" s="113">
        <v>1.0901000000000001</v>
      </c>
      <c r="E2269">
        <v>1E-3</v>
      </c>
      <c r="F2269" t="s">
        <v>152</v>
      </c>
      <c r="G2269" t="s">
        <v>152</v>
      </c>
      <c r="H2269">
        <v>0</v>
      </c>
      <c r="I2269">
        <v>0</v>
      </c>
      <c r="J2269" t="s">
        <v>2833</v>
      </c>
      <c r="K2269">
        <v>0</v>
      </c>
      <c r="L2269">
        <v>5.3324000000000002E-3</v>
      </c>
      <c r="M2269">
        <v>0</v>
      </c>
      <c r="N2269">
        <v>0</v>
      </c>
      <c r="O2269" t="s">
        <v>2833</v>
      </c>
      <c r="P2269" t="s">
        <v>2833</v>
      </c>
      <c r="Q2269" t="s">
        <v>2833</v>
      </c>
      <c r="R2269">
        <f ca="1">RAND()*(Validation[[#This Row],[Range1_High]]-Validation[[#This Row],[Range1_Low]])+Validation[[#This Row],[Range1_Low]]</f>
        <v>1.0097184095236496</v>
      </c>
      <c r="S2269">
        <f>Validation[[#This Row],[Range2_High]]</f>
        <v>0</v>
      </c>
      <c r="T2269" t="str" cm="1">
        <f t="array" aca="1" ref="T2269" ca="1">RoundToTwoSigFigs(Validation[[#This Row],[Test Reading]]*Validation[[#This Row],[Mult]]+Validation[[#This Row],[Base]]) &amp;" "&amp;Validation[[#This Row],[Uncert_Units]]</f>
        <v>0.0054 W</v>
      </c>
      <c r="U2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0.0054 W</v>
      </c>
      <c r="V2269" t="b">
        <f ca="1">Validation[[#This Row],[Desired Result]]=Validation[[#This Row],[Result]]</f>
        <v>1</v>
      </c>
      <c r="W2269" t="b">
        <v>1</v>
      </c>
      <c r="X2269" t="b">
        <f>Validation[[#This Row],[Range1_Low]]&gt;=Validation[[#This Row],[Range1_High]]</f>
        <v>0</v>
      </c>
      <c r="Y2269" s="111" t="s">
        <v>2843</v>
      </c>
    </row>
    <row r="2270" spans="1:25" ht="16.5" thickTop="1" thickBot="1" x14ac:dyDescent="0.3">
      <c r="A2270" t="s">
        <v>54</v>
      </c>
      <c r="B2270" t="s">
        <v>98</v>
      </c>
      <c r="C2270" s="113">
        <v>11000</v>
      </c>
      <c r="D2270" s="113">
        <v>24500</v>
      </c>
      <c r="E2270">
        <v>10000</v>
      </c>
      <c r="F2270" t="s">
        <v>152</v>
      </c>
      <c r="G2270" t="s">
        <v>152</v>
      </c>
      <c r="H2270">
        <v>0</v>
      </c>
      <c r="I2270">
        <v>0</v>
      </c>
      <c r="J2270" t="s">
        <v>2833</v>
      </c>
      <c r="K2270">
        <v>0</v>
      </c>
      <c r="L2270">
        <v>5.4410999999999999E-3</v>
      </c>
      <c r="M2270">
        <v>0</v>
      </c>
      <c r="N2270">
        <v>0</v>
      </c>
      <c r="O2270" t="s">
        <v>2833</v>
      </c>
      <c r="P2270" t="s">
        <v>2833</v>
      </c>
      <c r="Q2270" t="s">
        <v>2833</v>
      </c>
      <c r="R2270">
        <f ca="1">RAND()*(Validation[[#This Row],[Range1_High]]-Validation[[#This Row],[Range1_Low]])+Validation[[#This Row],[Range1_Low]]</f>
        <v>14089.417349596832</v>
      </c>
      <c r="S2270">
        <f>Validation[[#This Row],[Range2_High]]</f>
        <v>0</v>
      </c>
      <c r="T2270" t="str" cm="1">
        <f t="array" aca="1" ref="T2270" ca="1">RoundToTwoSigFigs(Validation[[#This Row],[Test Reading]]*Validation[[#This Row],[Mult]]+Validation[[#This Row],[Base]]) &amp;" "&amp;Validation[[#This Row],[Uncert_Units]]</f>
        <v>77 W</v>
      </c>
      <c r="U2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W</v>
      </c>
      <c r="V2270" t="b">
        <f ca="1">Validation[[#This Row],[Desired Result]]=Validation[[#This Row],[Result]]</f>
        <v>1</v>
      </c>
      <c r="W2270" t="b">
        <v>1</v>
      </c>
      <c r="X2270" t="b">
        <f>Validation[[#This Row],[Range1_Low]]&gt;=Validation[[#This Row],[Range1_High]]</f>
        <v>0</v>
      </c>
      <c r="Y2270" s="111" t="s">
        <v>2843</v>
      </c>
    </row>
    <row r="2271" spans="1:25" ht="16.5" thickTop="1" thickBot="1" x14ac:dyDescent="0.3">
      <c r="A2271" t="s">
        <v>54</v>
      </c>
      <c r="B2271" t="s">
        <v>98</v>
      </c>
      <c r="C2271" s="113">
        <v>1.09E-2</v>
      </c>
      <c r="D2271" s="113">
        <v>0.1090001</v>
      </c>
      <c r="E2271">
        <v>1.0000000000000001E-5</v>
      </c>
      <c r="F2271" t="s">
        <v>152</v>
      </c>
      <c r="G2271" t="s">
        <v>152</v>
      </c>
      <c r="H2271">
        <v>0</v>
      </c>
      <c r="I2271">
        <v>0</v>
      </c>
      <c r="J2271" t="s">
        <v>2833</v>
      </c>
      <c r="K2271">
        <v>0</v>
      </c>
      <c r="L2271">
        <v>5.6395000000000002E-4</v>
      </c>
      <c r="M2271">
        <v>0</v>
      </c>
      <c r="N2271">
        <v>0</v>
      </c>
      <c r="O2271" t="s">
        <v>2833</v>
      </c>
      <c r="P2271" t="s">
        <v>2833</v>
      </c>
      <c r="Q2271" t="s">
        <v>2833</v>
      </c>
      <c r="R2271">
        <f ca="1">RAND()*(Validation[[#This Row],[Range1_High]]-Validation[[#This Row],[Range1_Low]])+Validation[[#This Row],[Range1_Low]]</f>
        <v>8.7913542024998376E-2</v>
      </c>
      <c r="S2271">
        <f>Validation[[#This Row],[Range2_High]]</f>
        <v>0</v>
      </c>
      <c r="T2271" t="str" cm="1">
        <f t="array" aca="1" ref="T2271" ca="1">RoundToTwoSigFigs(Validation[[#This Row],[Test Reading]]*Validation[[#This Row],[Mult]]+Validation[[#This Row],[Base]]) &amp;" "&amp;Validation[[#This Row],[Uncert_Units]]</f>
        <v>0.00005 W</v>
      </c>
      <c r="U2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 W</v>
      </c>
      <c r="V2271" t="b">
        <f ca="1">Validation[[#This Row],[Desired Result]]=Validation[[#This Row],[Result]]</f>
        <v>1</v>
      </c>
      <c r="W2271" t="b">
        <v>1</v>
      </c>
      <c r="X2271" t="b">
        <f>Validation[[#This Row],[Range1_Low]]&gt;=Validation[[#This Row],[Range1_High]]</f>
        <v>0</v>
      </c>
      <c r="Y2271" s="111" t="s">
        <v>2843</v>
      </c>
    </row>
    <row r="2272" spans="1:25" ht="15.75" thickTop="1" x14ac:dyDescent="0.25">
      <c r="A2272" t="s">
        <v>54</v>
      </c>
      <c r="B2272" t="s">
        <v>98</v>
      </c>
      <c r="C2272">
        <v>0</v>
      </c>
      <c r="D2272">
        <v>1.0900000000000001E-4</v>
      </c>
      <c r="E2272">
        <v>1.0000000000000001E-5</v>
      </c>
      <c r="F2272" t="s">
        <v>152</v>
      </c>
      <c r="G2272" t="s">
        <v>152</v>
      </c>
      <c r="H2272">
        <v>0</v>
      </c>
      <c r="I2272">
        <v>0</v>
      </c>
      <c r="J2272" t="s">
        <v>2833</v>
      </c>
      <c r="K2272">
        <v>0</v>
      </c>
      <c r="L2272">
        <v>5.8</v>
      </c>
      <c r="M2272">
        <v>0</v>
      </c>
      <c r="N2272">
        <v>0</v>
      </c>
      <c r="O2272" t="s">
        <v>2833</v>
      </c>
      <c r="P2272" t="s">
        <v>2833</v>
      </c>
      <c r="Q2272" t="s">
        <v>2833</v>
      </c>
      <c r="R2272">
        <f ca="1">RAND()*(Validation[[#This Row],[Range1_High]]-Validation[[#This Row],[Range1_Low]])+Validation[[#This Row],[Range1_Low]]</f>
        <v>2.9147718836562412E-5</v>
      </c>
      <c r="S2272">
        <f>Validation[[#This Row],[Range2_High]]</f>
        <v>0</v>
      </c>
      <c r="T2272" t="str" cm="1">
        <f t="array" aca="1" ref="T2272" ca="1">RoundToTwoSigFigs(Validation[[#This Row],[Test Reading]]*Validation[[#This Row],[Mult]]+Validation[[#This Row],[Base]]) &amp;" "&amp;Validation[[#This Row],[Uncert_Units]]</f>
        <v>0.00017 W</v>
      </c>
      <c r="U2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0.00017 W</v>
      </c>
      <c r="V2272" t="b">
        <f ca="1">Validation[[#This Row],[Desired Result]]=Validation[[#This Row],[Result]]</f>
        <v>1</v>
      </c>
      <c r="W2272" t="b">
        <v>0</v>
      </c>
      <c r="X2272" t="b">
        <f>Validation[[#This Row],[Range1_Low]]&gt;=Validation[[#This Row],[Range1_High]]</f>
        <v>0</v>
      </c>
      <c r="Y2272" s="111" t="s">
        <v>2845</v>
      </c>
    </row>
    <row r="2273" spans="1:25" x14ac:dyDescent="0.25">
      <c r="A2273" t="s">
        <v>54</v>
      </c>
      <c r="B2273" t="s">
        <v>98</v>
      </c>
      <c r="C2273">
        <v>1.09E-2</v>
      </c>
      <c r="D2273">
        <v>0.1090001</v>
      </c>
      <c r="E2273">
        <v>0.01</v>
      </c>
      <c r="F2273" t="s">
        <v>152</v>
      </c>
      <c r="G2273" t="s">
        <v>152</v>
      </c>
      <c r="H2273">
        <v>0</v>
      </c>
      <c r="I2273">
        <v>0</v>
      </c>
      <c r="J2273" t="s">
        <v>2833</v>
      </c>
      <c r="K2273">
        <v>0</v>
      </c>
      <c r="L2273">
        <v>0.53259999999999996</v>
      </c>
      <c r="M2273">
        <v>0</v>
      </c>
      <c r="N2273">
        <v>0</v>
      </c>
      <c r="O2273" t="s">
        <v>2833</v>
      </c>
      <c r="P2273" t="s">
        <v>2833</v>
      </c>
      <c r="Q2273" t="s">
        <v>2833</v>
      </c>
      <c r="R2273">
        <f ca="1">RAND()*(Validation[[#This Row],[Range1_High]]-Validation[[#This Row],[Range1_Low]])+Validation[[#This Row],[Range1_Low]]</f>
        <v>0.10306692071044429</v>
      </c>
      <c r="S2273">
        <f>Validation[[#This Row],[Range2_High]]</f>
        <v>0</v>
      </c>
      <c r="T2273" t="str" cm="1">
        <f t="array" aca="1" ref="T2273" ca="1">RoundToTwoSigFigs(Validation[[#This Row],[Test Reading]]*Validation[[#This Row],[Mult]]+Validation[[#This Row],[Base]]) &amp;" "&amp;Validation[[#This Row],[Uncert_Units]]</f>
        <v>0.055 W</v>
      </c>
      <c r="U2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0.055 W</v>
      </c>
      <c r="V2273" t="b">
        <f ca="1">Validation[[#This Row],[Desired Result]]=Validation[[#This Row],[Result]]</f>
        <v>1</v>
      </c>
      <c r="W2273" t="b">
        <v>0</v>
      </c>
      <c r="X2273" t="b">
        <f>Validation[[#This Row],[Range1_Low]]&gt;=Validation[[#This Row],[Range1_High]]</f>
        <v>0</v>
      </c>
      <c r="Y2273" s="111" t="s">
        <v>2845</v>
      </c>
    </row>
    <row r="2274" spans="1:25" ht="15.75" thickBot="1" x14ac:dyDescent="0.3">
      <c r="A2274" t="s">
        <v>54</v>
      </c>
      <c r="B2274" t="s">
        <v>98</v>
      </c>
      <c r="C2274">
        <v>3000</v>
      </c>
      <c r="D2274">
        <v>11000.1</v>
      </c>
      <c r="E2274">
        <v>100000</v>
      </c>
      <c r="F2274" t="s">
        <v>152</v>
      </c>
      <c r="G2274" t="s">
        <v>152</v>
      </c>
      <c r="H2274">
        <v>0</v>
      </c>
      <c r="I2274">
        <v>0</v>
      </c>
      <c r="J2274" t="s">
        <v>2833</v>
      </c>
      <c r="K2274">
        <v>0</v>
      </c>
      <c r="L2274">
        <v>1.9355000000000001E-2</v>
      </c>
      <c r="M2274">
        <v>0</v>
      </c>
      <c r="N2274">
        <v>0</v>
      </c>
      <c r="O2274" t="s">
        <v>2833</v>
      </c>
      <c r="P2274" t="s">
        <v>2833</v>
      </c>
      <c r="Q2274" t="s">
        <v>2833</v>
      </c>
      <c r="R2274">
        <f ca="1">RAND()*(Validation[[#This Row],[Range1_High]]-Validation[[#This Row],[Range1_Low]])+Validation[[#This Row],[Range1_Low]]</f>
        <v>9048.4058965183394</v>
      </c>
      <c r="S2274">
        <f>Validation[[#This Row],[Range2_High]]</f>
        <v>0</v>
      </c>
      <c r="T2274" t="str" cm="1">
        <f t="array" aca="1" ref="T2274" ca="1">RoundToTwoSigFigs(Validation[[#This Row],[Test Reading]]*Validation[[#This Row],[Mult]]+Validation[[#This Row],[Base]]) &amp;" "&amp;Validation[[#This Row],[Uncert_Units]]</f>
        <v>180 W</v>
      </c>
      <c r="U2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W</v>
      </c>
      <c r="V2274" t="b">
        <f ca="1">Validation[[#This Row],[Desired Result]]=Validation[[#This Row],[Result]]</f>
        <v>1</v>
      </c>
      <c r="W2274" t="b">
        <v>0</v>
      </c>
      <c r="X2274" t="b">
        <f>Validation[[#This Row],[Range1_Low]]&gt;=Validation[[#This Row],[Range1_High]]</f>
        <v>0</v>
      </c>
      <c r="Y2274" s="111" t="s">
        <v>2845</v>
      </c>
    </row>
    <row r="2275" spans="1:25" ht="16.5" thickTop="1" thickBot="1" x14ac:dyDescent="0.3">
      <c r="A2275" t="s">
        <v>54</v>
      </c>
      <c r="B2275" t="s">
        <v>98</v>
      </c>
      <c r="C2275" s="113">
        <v>330</v>
      </c>
      <c r="D2275" s="113">
        <v>3000.0001000000002</v>
      </c>
      <c r="E2275">
        <v>0.1</v>
      </c>
      <c r="F2275" t="s">
        <v>152</v>
      </c>
      <c r="G2275" t="s">
        <v>152</v>
      </c>
      <c r="H2275">
        <v>0</v>
      </c>
      <c r="I2275">
        <v>0</v>
      </c>
      <c r="J2275" t="s">
        <v>2833</v>
      </c>
      <c r="K2275">
        <v>0</v>
      </c>
      <c r="L2275">
        <v>6.2246000000000003E-4</v>
      </c>
      <c r="M2275">
        <v>0</v>
      </c>
      <c r="N2275">
        <v>0</v>
      </c>
      <c r="O2275" t="s">
        <v>2833</v>
      </c>
      <c r="P2275" t="s">
        <v>2833</v>
      </c>
      <c r="Q2275" t="s">
        <v>2833</v>
      </c>
      <c r="R2275">
        <f ca="1">RAND()*(Validation[[#This Row],[Range1_High]]-Validation[[#This Row],[Range1_Low]])+Validation[[#This Row],[Range1_Low]]</f>
        <v>1063.0921519376479</v>
      </c>
      <c r="S2275">
        <f>Validation[[#This Row],[Range2_High]]</f>
        <v>0</v>
      </c>
      <c r="T2275" t="str" cm="1">
        <f t="array" aca="1" ref="T2275" ca="1">RoundToTwoSigFigs(Validation[[#This Row],[Test Reading]]*Validation[[#This Row],[Mult]]+Validation[[#This Row],[Base]]) &amp;" "&amp;Validation[[#This Row],[Uncert_Units]]</f>
        <v>0.66 W</v>
      </c>
      <c r="U2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W</v>
      </c>
      <c r="V2275" t="b">
        <f ca="1">Validation[[#This Row],[Desired Result]]=Validation[[#This Row],[Result]]</f>
        <v>1</v>
      </c>
      <c r="W2275" t="b">
        <v>1</v>
      </c>
      <c r="X2275" t="b">
        <f>Validation[[#This Row],[Range1_Low]]&gt;=Validation[[#This Row],[Range1_High]]</f>
        <v>0</v>
      </c>
      <c r="Y2275" s="111" t="s">
        <v>2843</v>
      </c>
    </row>
    <row r="2276" spans="1:25" ht="16.5" thickTop="1" thickBot="1" x14ac:dyDescent="0.3">
      <c r="A2276" t="s">
        <v>54</v>
      </c>
      <c r="B2276" t="s">
        <v>98</v>
      </c>
      <c r="C2276">
        <v>1.09E-3</v>
      </c>
      <c r="D2276">
        <v>1.0900099999999999E-2</v>
      </c>
      <c r="E2276">
        <v>9.9999999999999995E-8</v>
      </c>
      <c r="F2276" t="s">
        <v>152</v>
      </c>
      <c r="G2276" t="s">
        <v>152</v>
      </c>
      <c r="H2276">
        <v>0</v>
      </c>
      <c r="I2276">
        <v>0</v>
      </c>
      <c r="J2276" t="s">
        <v>2833</v>
      </c>
      <c r="K2276">
        <v>0</v>
      </c>
      <c r="L2276">
        <v>2.4000000000000001E-4</v>
      </c>
      <c r="M2276">
        <v>0</v>
      </c>
      <c r="N2276">
        <v>0</v>
      </c>
      <c r="O2276" t="s">
        <v>2833</v>
      </c>
      <c r="P2276" t="s">
        <v>2833</v>
      </c>
      <c r="Q2276" t="s">
        <v>2833</v>
      </c>
      <c r="R2276">
        <f ca="1">RAND()*(Validation[[#This Row],[Range1_High]]-Validation[[#This Row],[Range1_Low]])+Validation[[#This Row],[Range1_Low]]</f>
        <v>1.0615637589142742E-2</v>
      </c>
      <c r="S2276">
        <f>Validation[[#This Row],[Range2_High]]</f>
        <v>0</v>
      </c>
      <c r="T2276" t="str" cm="1">
        <f t="array" aca="1" ref="T2276" ca="1">RoundToTwoSigFigs(Validation[[#This Row],[Test Reading]]*Validation[[#This Row],[Mult]]+Validation[[#This Row],[Base]]) &amp;" "&amp;Validation[[#This Row],[Uncert_Units]]</f>
        <v>0.0000025 W</v>
      </c>
      <c r="U2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0.0000025 W</v>
      </c>
      <c r="V2276" t="b">
        <f ca="1">Validation[[#This Row],[Desired Result]]=Validation[[#This Row],[Result]]</f>
        <v>1</v>
      </c>
      <c r="W2276" t="b">
        <v>0</v>
      </c>
      <c r="X2276" t="b">
        <f>Validation[[#This Row],[Range1_Low]]&gt;=Validation[[#This Row],[Range1_High]]</f>
        <v>0</v>
      </c>
      <c r="Y2276" s="111" t="s">
        <v>2845</v>
      </c>
    </row>
    <row r="2277" spans="1:25" ht="16.5" thickTop="1" thickBot="1" x14ac:dyDescent="0.3">
      <c r="A2277" t="s">
        <v>54</v>
      </c>
      <c r="B2277" t="s">
        <v>98</v>
      </c>
      <c r="C2277" s="113">
        <v>0.109</v>
      </c>
      <c r="D2277" s="113">
        <v>1.0901000000000001</v>
      </c>
      <c r="E2277">
        <v>0.01</v>
      </c>
      <c r="F2277" t="s">
        <v>152</v>
      </c>
      <c r="G2277" t="s">
        <v>152</v>
      </c>
      <c r="H2277">
        <v>0</v>
      </c>
      <c r="I2277">
        <v>0</v>
      </c>
      <c r="J2277" t="s">
        <v>2833</v>
      </c>
      <c r="K2277">
        <v>0</v>
      </c>
      <c r="L2277">
        <v>5.3261000000000003E-2</v>
      </c>
      <c r="M2277">
        <v>0</v>
      </c>
      <c r="N2277">
        <v>0</v>
      </c>
      <c r="O2277" t="s">
        <v>2833</v>
      </c>
      <c r="P2277" t="s">
        <v>2833</v>
      </c>
      <c r="Q2277" t="s">
        <v>2833</v>
      </c>
      <c r="R2277">
        <f ca="1">RAND()*(Validation[[#This Row],[Range1_High]]-Validation[[#This Row],[Range1_Low]])+Validation[[#This Row],[Range1_Low]]</f>
        <v>0.55282772139488734</v>
      </c>
      <c r="S2277">
        <f>Validation[[#This Row],[Range2_High]]</f>
        <v>0</v>
      </c>
      <c r="T2277" t="str" cm="1">
        <f t="array" aca="1" ref="T2277" ca="1">RoundToTwoSigFigs(Validation[[#This Row],[Test Reading]]*Validation[[#This Row],[Mult]]+Validation[[#This Row],[Base]]) &amp;" "&amp;Validation[[#This Row],[Uncert_Units]]</f>
        <v>0.029 W</v>
      </c>
      <c r="U2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0.029 W</v>
      </c>
      <c r="V2277" t="b">
        <f ca="1">Validation[[#This Row],[Desired Result]]=Validation[[#This Row],[Result]]</f>
        <v>1</v>
      </c>
      <c r="W2277" t="b">
        <v>1</v>
      </c>
      <c r="X2277" t="b">
        <f>Validation[[#This Row],[Range1_Low]]&gt;=Validation[[#This Row],[Range1_High]]</f>
        <v>0</v>
      </c>
      <c r="Y2277" s="111" t="s">
        <v>2843</v>
      </c>
    </row>
    <row r="2278" spans="1:25" ht="16.5" thickTop="1" thickBot="1" x14ac:dyDescent="0.3">
      <c r="A2278" t="s">
        <v>54</v>
      </c>
      <c r="B2278" t="s">
        <v>98</v>
      </c>
      <c r="C2278" s="113">
        <v>10.9</v>
      </c>
      <c r="D2278" s="113">
        <v>109.0001</v>
      </c>
      <c r="E2278">
        <v>1</v>
      </c>
      <c r="F2278" t="s">
        <v>152</v>
      </c>
      <c r="G2278" t="s">
        <v>152</v>
      </c>
      <c r="H2278">
        <v>0</v>
      </c>
      <c r="I2278">
        <v>0</v>
      </c>
      <c r="J2278" t="s">
        <v>2833</v>
      </c>
      <c r="K2278">
        <v>0</v>
      </c>
      <c r="L2278">
        <v>5.3261000000000003E-2</v>
      </c>
      <c r="M2278">
        <v>0</v>
      </c>
      <c r="N2278">
        <v>0</v>
      </c>
      <c r="O2278" t="s">
        <v>2833</v>
      </c>
      <c r="P2278" t="s">
        <v>2833</v>
      </c>
      <c r="Q2278" t="s">
        <v>2833</v>
      </c>
      <c r="R2278">
        <f ca="1">RAND()*(Validation[[#This Row],[Range1_High]]-Validation[[#This Row],[Range1_Low]])+Validation[[#This Row],[Range1_Low]]</f>
        <v>84.086660972332112</v>
      </c>
      <c r="S2278">
        <f>Validation[[#This Row],[Range2_High]]</f>
        <v>0</v>
      </c>
      <c r="T2278" t="str" cm="1">
        <f t="array" aca="1" ref="T2278" ca="1">RoundToTwoSigFigs(Validation[[#This Row],[Test Reading]]*Validation[[#This Row],[Mult]]+Validation[[#This Row],[Base]]) &amp;" "&amp;Validation[[#This Row],[Uncert_Units]]</f>
        <v>4.5 W</v>
      </c>
      <c r="U2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W</v>
      </c>
      <c r="V2278" t="b">
        <f ca="1">Validation[[#This Row],[Desired Result]]=Validation[[#This Row],[Result]]</f>
        <v>1</v>
      </c>
      <c r="W2278" t="b">
        <v>1</v>
      </c>
      <c r="X2278" t="b">
        <f>Validation[[#This Row],[Range1_Low]]&gt;=Validation[[#This Row],[Range1_High]]</f>
        <v>0</v>
      </c>
      <c r="Y2278" s="111" t="s">
        <v>2843</v>
      </c>
    </row>
    <row r="2279" spans="1:25" ht="16.5" thickTop="1" thickBot="1" x14ac:dyDescent="0.3">
      <c r="A2279" t="s">
        <v>54</v>
      </c>
      <c r="B2279" t="s">
        <v>98</v>
      </c>
      <c r="C2279" s="115">
        <v>1.0900000000000001E-4</v>
      </c>
      <c r="D2279" s="115">
        <v>1.0900999999999999E-6</v>
      </c>
      <c r="E2279">
        <v>1.0000000000000001E-5</v>
      </c>
      <c r="F2279" t="s">
        <v>152</v>
      </c>
      <c r="G2279" t="s">
        <v>152</v>
      </c>
      <c r="H2279">
        <v>0</v>
      </c>
      <c r="I2279">
        <v>0</v>
      </c>
      <c r="J2279" t="s">
        <v>2833</v>
      </c>
      <c r="K2279">
        <v>0</v>
      </c>
      <c r="L2279">
        <v>5.3213000000000003E-2</v>
      </c>
      <c r="M2279">
        <v>0</v>
      </c>
      <c r="N2279">
        <v>0</v>
      </c>
      <c r="O2279" t="s">
        <v>2833</v>
      </c>
      <c r="P2279" t="s">
        <v>2833</v>
      </c>
      <c r="Q2279" t="s">
        <v>2833</v>
      </c>
      <c r="R2279" s="100">
        <f ca="1">RAND()*(Validation[[#This Row],[Range1_High]]-Validation[[#This Row],[Range1_Low]])+Validation[[#This Row],[Range1_Low]]</f>
        <v>6.1094530763266679E-5</v>
      </c>
      <c r="S2279">
        <f>Validation[[#This Row],[Range2_High]]</f>
        <v>0</v>
      </c>
      <c r="T2279" t="str" cm="1">
        <f t="array" aca="1" ref="T2279" ca="1">RoundToTwoSigFigs(Validation[[#This Row],[Test Reading]]*Validation[[#This Row],[Mult]]+Validation[[#This Row],[Base]]) &amp;" "&amp;Validation[[#This Row],[Uncert_Units]]</f>
        <v>0.0000033 W</v>
      </c>
      <c r="U2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0.00035 W</v>
      </c>
      <c r="V2279" t="b">
        <f ca="1">Validation[[#This Row],[Desired Result]]=Validation[[#This Row],[Result]]</f>
        <v>0</v>
      </c>
      <c r="W2279" t="b">
        <v>1</v>
      </c>
      <c r="X2279" t="b">
        <f>Validation[[#This Row],[Range1_Low]]&gt;=Validation[[#This Row],[Range1_High]]</f>
        <v>1</v>
      </c>
      <c r="Y2279" s="111" t="s">
        <v>2842</v>
      </c>
    </row>
    <row r="2280" spans="1:25" ht="16.5" thickTop="1" thickBot="1" x14ac:dyDescent="0.3">
      <c r="A2280" t="s">
        <v>54</v>
      </c>
      <c r="B2280" t="s">
        <v>98</v>
      </c>
      <c r="C2280" s="113">
        <v>330</v>
      </c>
      <c r="D2280" s="113">
        <v>3000.0001000000002</v>
      </c>
      <c r="E2280">
        <v>0.01</v>
      </c>
      <c r="F2280" t="s">
        <v>152</v>
      </c>
      <c r="G2280" t="s">
        <v>152</v>
      </c>
      <c r="H2280">
        <v>0</v>
      </c>
      <c r="I2280">
        <v>0</v>
      </c>
      <c r="J2280" t="s">
        <v>2833</v>
      </c>
      <c r="K2280">
        <v>0</v>
      </c>
      <c r="L2280">
        <v>5.9999999999999995E-4</v>
      </c>
      <c r="M2280">
        <v>0</v>
      </c>
      <c r="N2280">
        <v>0</v>
      </c>
      <c r="O2280" t="s">
        <v>2833</v>
      </c>
      <c r="P2280" t="s">
        <v>2833</v>
      </c>
      <c r="Q2280" t="s">
        <v>2833</v>
      </c>
      <c r="R2280">
        <f ca="1">RAND()*(Validation[[#This Row],[Range1_High]]-Validation[[#This Row],[Range1_Low]])+Validation[[#This Row],[Range1_Low]]</f>
        <v>1045.4079793609656</v>
      </c>
      <c r="S2280">
        <f>Validation[[#This Row],[Range2_High]]</f>
        <v>0</v>
      </c>
      <c r="T2280" t="str" cm="1">
        <f t="array" aca="1" ref="T2280" ca="1">RoundToTwoSigFigs(Validation[[#This Row],[Test Reading]]*Validation[[#This Row],[Mult]]+Validation[[#This Row],[Base]]) &amp;" "&amp;Validation[[#This Row],[Uncert_Units]]</f>
        <v>0.63 W</v>
      </c>
      <c r="U2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W</v>
      </c>
      <c r="V2280" t="b">
        <f ca="1">Validation[[#This Row],[Desired Result]]=Validation[[#This Row],[Result]]</f>
        <v>1</v>
      </c>
      <c r="W2280" t="b">
        <v>1</v>
      </c>
      <c r="X2280" t="b">
        <f>Validation[[#This Row],[Range1_Low]]&gt;=Validation[[#This Row],[Range1_High]]</f>
        <v>0</v>
      </c>
      <c r="Y2280" s="111" t="s">
        <v>2843</v>
      </c>
    </row>
    <row r="2281" spans="1:25" ht="16.5" thickTop="1" thickBot="1" x14ac:dyDescent="0.3">
      <c r="A2281" t="s">
        <v>54</v>
      </c>
      <c r="B2281" t="s">
        <v>98</v>
      </c>
      <c r="C2281">
        <v>0</v>
      </c>
      <c r="D2281">
        <v>1.0900000000000001E-4</v>
      </c>
      <c r="E2281">
        <v>1E-8</v>
      </c>
      <c r="F2281" t="s">
        <v>152</v>
      </c>
      <c r="G2281" t="s">
        <v>152</v>
      </c>
      <c r="H2281">
        <v>0</v>
      </c>
      <c r="I2281">
        <v>0</v>
      </c>
      <c r="J2281" t="s">
        <v>2833</v>
      </c>
      <c r="K2281">
        <v>0</v>
      </c>
      <c r="L2281">
        <v>6.8024000000000001E-3</v>
      </c>
      <c r="M2281">
        <v>0</v>
      </c>
      <c r="N2281">
        <v>0</v>
      </c>
      <c r="O2281" t="s">
        <v>2833</v>
      </c>
      <c r="P2281" t="s">
        <v>2833</v>
      </c>
      <c r="Q2281" t="s">
        <v>2833</v>
      </c>
      <c r="R2281">
        <f ca="1">RAND()*(Validation[[#This Row],[Range1_High]]-Validation[[#This Row],[Range1_Low]])+Validation[[#This Row],[Range1_Low]]</f>
        <v>5.8779214456552716E-5</v>
      </c>
      <c r="S2281">
        <f>Validation[[#This Row],[Range2_High]]</f>
        <v>0</v>
      </c>
      <c r="T2281" t="str" cm="1">
        <f t="array" aca="1" ref="T2281" ca="1">RoundToTwoSigFigs(Validation[[#This Row],[Test Reading]]*Validation[[#This Row],[Mult]]+Validation[[#This Row],[Base]]) &amp;" "&amp;Validation[[#This Row],[Uncert_Units]]</f>
        <v>0.0000004 W</v>
      </c>
      <c r="U2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 W</v>
      </c>
      <c r="V2281" t="b">
        <f ca="1">Validation[[#This Row],[Desired Result]]=Validation[[#This Row],[Result]]</f>
        <v>1</v>
      </c>
      <c r="W2281" t="b">
        <v>0</v>
      </c>
      <c r="X2281" t="b">
        <f>Validation[[#This Row],[Range1_Low]]&gt;=Validation[[#This Row],[Range1_High]]</f>
        <v>0</v>
      </c>
      <c r="Y2281" s="111" t="s">
        <v>2845</v>
      </c>
    </row>
    <row r="2282" spans="1:25" ht="16.5" thickTop="1" thickBot="1" x14ac:dyDescent="0.3">
      <c r="A2282" t="s">
        <v>54</v>
      </c>
      <c r="B2282" t="s">
        <v>98</v>
      </c>
      <c r="C2282" s="115">
        <v>1.0900000000000001E-4</v>
      </c>
      <c r="D2282" s="115">
        <v>1.0900999999999999E-6</v>
      </c>
      <c r="E2282">
        <v>9.9999999999999995E-7</v>
      </c>
      <c r="F2282" t="s">
        <v>152</v>
      </c>
      <c r="G2282" t="s">
        <v>152</v>
      </c>
      <c r="H2282">
        <v>0</v>
      </c>
      <c r="I2282">
        <v>0</v>
      </c>
      <c r="J2282" t="s">
        <v>2833</v>
      </c>
      <c r="K2282">
        <v>0</v>
      </c>
      <c r="L2282">
        <v>5.3337000000000002E-3</v>
      </c>
      <c r="M2282">
        <v>0</v>
      </c>
      <c r="N2282">
        <v>0</v>
      </c>
      <c r="O2282" t="s">
        <v>2833</v>
      </c>
      <c r="P2282" t="s">
        <v>2833</v>
      </c>
      <c r="Q2282" t="s">
        <v>2833</v>
      </c>
      <c r="R2282" s="100">
        <f ca="1">RAND()*(Validation[[#This Row],[Range1_High]]-Validation[[#This Row],[Range1_Low]])+Validation[[#This Row],[Range1_Low]]</f>
        <v>7.3991764167494992E-5</v>
      </c>
      <c r="S2282">
        <f>Validation[[#This Row],[Range2_High]]</f>
        <v>0</v>
      </c>
      <c r="T2282" t="str" cm="1">
        <f t="array" aca="1" ref="T2282" ca="1">RoundToTwoSigFigs(Validation[[#This Row],[Test Reading]]*Validation[[#This Row],[Mult]]+Validation[[#This Row],[Base]]) &amp;" "&amp;Validation[[#This Row],[Uncert_Units]]</f>
        <v>0.00000039 W</v>
      </c>
      <c r="U2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0.000043 W</v>
      </c>
      <c r="V2282" t="b">
        <f ca="1">Validation[[#This Row],[Desired Result]]=Validation[[#This Row],[Result]]</f>
        <v>0</v>
      </c>
      <c r="W2282" t="b">
        <v>1</v>
      </c>
      <c r="X2282" t="b">
        <f>Validation[[#This Row],[Range1_Low]]&gt;=Validation[[#This Row],[Range1_High]]</f>
        <v>1</v>
      </c>
      <c r="Y2282" s="111" t="s">
        <v>2842</v>
      </c>
    </row>
    <row r="2283" spans="1:25" ht="16.5" thickTop="1" thickBot="1" x14ac:dyDescent="0.3">
      <c r="A2283" t="s">
        <v>54</v>
      </c>
      <c r="B2283" t="s">
        <v>98</v>
      </c>
      <c r="C2283" s="113">
        <v>0.109</v>
      </c>
      <c r="D2283" s="113">
        <v>1.0901000000000001</v>
      </c>
      <c r="E2283">
        <v>1.0000000000000001E-5</v>
      </c>
      <c r="F2283" t="s">
        <v>152</v>
      </c>
      <c r="G2283" t="s">
        <v>152</v>
      </c>
      <c r="H2283">
        <v>0</v>
      </c>
      <c r="I2283">
        <v>0</v>
      </c>
      <c r="J2283" t="s">
        <v>2833</v>
      </c>
      <c r="K2283">
        <v>0</v>
      </c>
      <c r="L2283">
        <v>2.3000000000000001E-4</v>
      </c>
      <c r="M2283">
        <v>0</v>
      </c>
      <c r="N2283">
        <v>0</v>
      </c>
      <c r="O2283" t="s">
        <v>2833</v>
      </c>
      <c r="P2283" t="s">
        <v>2833</v>
      </c>
      <c r="Q2283" t="s">
        <v>2833</v>
      </c>
      <c r="R2283">
        <f ca="1">RAND()*(Validation[[#This Row],[Range1_High]]-Validation[[#This Row],[Range1_Low]])+Validation[[#This Row],[Range1_Low]]</f>
        <v>0.90296615344732101</v>
      </c>
      <c r="S2283">
        <f>Validation[[#This Row],[Range2_High]]</f>
        <v>0</v>
      </c>
      <c r="T2283" t="str" cm="1">
        <f t="array" aca="1" ref="T2283" ca="1">RoundToTwoSigFigs(Validation[[#This Row],[Test Reading]]*Validation[[#This Row],[Mult]]+Validation[[#This Row],[Base]]) &amp;" "&amp;Validation[[#This Row],[Uncert_Units]]</f>
        <v>0.00021 W</v>
      </c>
      <c r="U2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</v>
      </c>
      <c r="V2283" t="b">
        <f ca="1">Validation[[#This Row],[Desired Result]]=Validation[[#This Row],[Result]]</f>
        <v>1</v>
      </c>
      <c r="W2283" t="b">
        <v>1</v>
      </c>
      <c r="X2283" t="b">
        <f>Validation[[#This Row],[Range1_Low]]&gt;=Validation[[#This Row],[Range1_High]]</f>
        <v>0</v>
      </c>
      <c r="Y2283" s="111" t="s">
        <v>2843</v>
      </c>
    </row>
    <row r="2284" spans="1:25" ht="16.5" thickTop="1" thickBot="1" x14ac:dyDescent="0.3">
      <c r="A2284" t="s">
        <v>54</v>
      </c>
      <c r="B2284" t="s">
        <v>98</v>
      </c>
      <c r="C2284" s="115">
        <v>1.0900000000000001E-4</v>
      </c>
      <c r="D2284" s="115">
        <v>1.0900999999999999E-6</v>
      </c>
      <c r="E2284">
        <v>1E-4</v>
      </c>
      <c r="F2284" t="s">
        <v>152</v>
      </c>
      <c r="G2284" t="s">
        <v>152</v>
      </c>
      <c r="H2284">
        <v>0</v>
      </c>
      <c r="I2284">
        <v>0</v>
      </c>
      <c r="J2284" t="s">
        <v>2833</v>
      </c>
      <c r="K2284">
        <v>0</v>
      </c>
      <c r="L2284">
        <v>0.53210999999999997</v>
      </c>
      <c r="M2284">
        <v>0</v>
      </c>
      <c r="N2284">
        <v>0</v>
      </c>
      <c r="O2284" t="s">
        <v>2833</v>
      </c>
      <c r="P2284" t="s">
        <v>2833</v>
      </c>
      <c r="Q2284" t="s">
        <v>2833</v>
      </c>
      <c r="R2284" s="100">
        <f ca="1">RAND()*(Validation[[#This Row],[Range1_High]]-Validation[[#This Row],[Range1_Low]])+Validation[[#This Row],[Range1_Low]]</f>
        <v>2.8710388265183704E-5</v>
      </c>
      <c r="S2284">
        <f>Validation[[#This Row],[Range2_High]]</f>
        <v>0</v>
      </c>
      <c r="T2284" t="str" cm="1">
        <f t="array" aca="1" ref="T2284" ca="1">RoundToTwoSigFigs(Validation[[#This Row],[Test Reading]]*Validation[[#This Row],[Mult]]+Validation[[#This Row],[Base]]) &amp;" "&amp;Validation[[#This Row],[Uncert_Units]]</f>
        <v>0.000015 W</v>
      </c>
      <c r="U2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0.0017 W</v>
      </c>
      <c r="V2284" t="b">
        <f ca="1">Validation[[#This Row],[Desired Result]]=Validation[[#This Row],[Result]]</f>
        <v>0</v>
      </c>
      <c r="W2284" t="b">
        <v>1</v>
      </c>
      <c r="X2284" t="b">
        <f>Validation[[#This Row],[Range1_Low]]&gt;=Validation[[#This Row],[Range1_High]]</f>
        <v>1</v>
      </c>
      <c r="Y2284" s="111" t="s">
        <v>2842</v>
      </c>
    </row>
    <row r="2285" spans="1:25" ht="16.5" thickTop="1" thickBot="1" x14ac:dyDescent="0.3">
      <c r="A2285" t="s">
        <v>54</v>
      </c>
      <c r="B2285" t="s">
        <v>98</v>
      </c>
      <c r="C2285" s="113">
        <v>11000</v>
      </c>
      <c r="D2285" s="113">
        <v>24500</v>
      </c>
      <c r="E2285">
        <v>100000</v>
      </c>
      <c r="F2285" t="s">
        <v>152</v>
      </c>
      <c r="G2285" t="s">
        <v>152</v>
      </c>
      <c r="H2285">
        <v>0</v>
      </c>
      <c r="I2285">
        <v>0</v>
      </c>
      <c r="J2285" t="s">
        <v>2833</v>
      </c>
      <c r="K2285">
        <v>0</v>
      </c>
      <c r="L2285">
        <v>5.2745E-2</v>
      </c>
      <c r="M2285">
        <v>0</v>
      </c>
      <c r="N2285">
        <v>0</v>
      </c>
      <c r="O2285" t="s">
        <v>2833</v>
      </c>
      <c r="P2285" t="s">
        <v>2833</v>
      </c>
      <c r="Q2285" t="s">
        <v>2833</v>
      </c>
      <c r="R2285">
        <f ca="1">RAND()*(Validation[[#This Row],[Range1_High]]-Validation[[#This Row],[Range1_Low]])+Validation[[#This Row],[Range1_Low]]</f>
        <v>22497.648042723958</v>
      </c>
      <c r="S2285">
        <f>Validation[[#This Row],[Range2_High]]</f>
        <v>0</v>
      </c>
      <c r="T2285" t="str" cm="1">
        <f t="array" aca="1" ref="T2285" ca="1">RoundToTwoSigFigs(Validation[[#This Row],[Test Reading]]*Validation[[#This Row],[Mult]]+Validation[[#This Row],[Base]]) &amp;" "&amp;Validation[[#This Row],[Uncert_Units]]</f>
        <v>1200 W</v>
      </c>
      <c r="U2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W</v>
      </c>
      <c r="V2285" t="b">
        <f ca="1">Validation[[#This Row],[Desired Result]]=Validation[[#This Row],[Result]]</f>
        <v>1</v>
      </c>
      <c r="W2285" t="b">
        <v>1</v>
      </c>
      <c r="X2285" t="b">
        <f>Validation[[#This Row],[Range1_Low]]&gt;=Validation[[#This Row],[Range1_High]]</f>
        <v>0</v>
      </c>
      <c r="Y2285" s="111" t="s">
        <v>2843</v>
      </c>
    </row>
    <row r="2286" spans="1:25" ht="16.5" thickTop="1" thickBot="1" x14ac:dyDescent="0.3">
      <c r="A2286" t="s">
        <v>54</v>
      </c>
      <c r="B2286" t="s">
        <v>98</v>
      </c>
      <c r="C2286" s="113">
        <v>109</v>
      </c>
      <c r="D2286" s="113">
        <v>330.00009999999997</v>
      </c>
      <c r="E2286">
        <v>0.1</v>
      </c>
      <c r="F2286" t="s">
        <v>152</v>
      </c>
      <c r="G2286" t="s">
        <v>152</v>
      </c>
      <c r="H2286">
        <v>0</v>
      </c>
      <c r="I2286">
        <v>0</v>
      </c>
      <c r="J2286" t="s">
        <v>2833</v>
      </c>
      <c r="K2286">
        <v>0</v>
      </c>
      <c r="L2286">
        <v>5.5201999999999996E-4</v>
      </c>
      <c r="M2286">
        <v>0</v>
      </c>
      <c r="N2286">
        <v>0</v>
      </c>
      <c r="O2286" t="s">
        <v>2833</v>
      </c>
      <c r="P2286" t="s">
        <v>2833</v>
      </c>
      <c r="Q2286" t="s">
        <v>2833</v>
      </c>
      <c r="R2286">
        <f ca="1">RAND()*(Validation[[#This Row],[Range1_High]]-Validation[[#This Row],[Range1_Low]])+Validation[[#This Row],[Range1_Low]]</f>
        <v>186.65340351731609</v>
      </c>
      <c r="S2286">
        <f>Validation[[#This Row],[Range2_High]]</f>
        <v>0</v>
      </c>
      <c r="T2286" t="str" cm="1">
        <f t="array" aca="1" ref="T2286" ca="1">RoundToTwoSigFigs(Validation[[#This Row],[Test Reading]]*Validation[[#This Row],[Mult]]+Validation[[#This Row],[Base]]) &amp;" "&amp;Validation[[#This Row],[Uncert_Units]]</f>
        <v>0.1 W</v>
      </c>
      <c r="U2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W</v>
      </c>
      <c r="V2286" t="b">
        <f ca="1">Validation[[#This Row],[Desired Result]]=Validation[[#This Row],[Result]]</f>
        <v>1</v>
      </c>
      <c r="W2286" t="b">
        <v>1</v>
      </c>
      <c r="X2286" t="b">
        <f>Validation[[#This Row],[Range1_Low]]&gt;=Validation[[#This Row],[Range1_High]]</f>
        <v>0</v>
      </c>
      <c r="Y2286" s="111" t="s">
        <v>2843</v>
      </c>
    </row>
    <row r="2287" spans="1:25" ht="16.5" thickTop="1" thickBot="1" x14ac:dyDescent="0.3">
      <c r="A2287" t="s">
        <v>54</v>
      </c>
      <c r="B2287" t="s">
        <v>98</v>
      </c>
      <c r="C2287" s="113">
        <v>10.9</v>
      </c>
      <c r="D2287" s="113">
        <v>109.0001</v>
      </c>
      <c r="E2287">
        <v>1E-3</v>
      </c>
      <c r="F2287" t="s">
        <v>152</v>
      </c>
      <c r="G2287" t="s">
        <v>152</v>
      </c>
      <c r="H2287">
        <v>0</v>
      </c>
      <c r="I2287">
        <v>0</v>
      </c>
      <c r="J2287" t="s">
        <v>2833</v>
      </c>
      <c r="K2287">
        <v>0</v>
      </c>
      <c r="L2287">
        <v>2.3000000000000001E-4</v>
      </c>
      <c r="M2287">
        <v>0</v>
      </c>
      <c r="N2287">
        <v>0</v>
      </c>
      <c r="O2287" t="s">
        <v>2833</v>
      </c>
      <c r="P2287" t="s">
        <v>2833</v>
      </c>
      <c r="Q2287" t="s">
        <v>2833</v>
      </c>
      <c r="R2287">
        <f ca="1">RAND()*(Validation[[#This Row],[Range1_High]]-Validation[[#This Row],[Range1_Low]])+Validation[[#This Row],[Range1_Low]]</f>
        <v>28.116012206582205</v>
      </c>
      <c r="S2287">
        <f>Validation[[#This Row],[Range2_High]]</f>
        <v>0</v>
      </c>
      <c r="T2287" t="str" cm="1">
        <f t="array" aca="1" ref="T2287" ca="1">RoundToTwoSigFigs(Validation[[#This Row],[Test Reading]]*Validation[[#This Row],[Mult]]+Validation[[#This Row],[Base]]) &amp;" "&amp;Validation[[#This Row],[Uncert_Units]]</f>
        <v>0.0065 W</v>
      </c>
      <c r="U2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0.0065 W</v>
      </c>
      <c r="V2287" t="b">
        <f ca="1">Validation[[#This Row],[Desired Result]]=Validation[[#This Row],[Result]]</f>
        <v>1</v>
      </c>
      <c r="W2287" t="b">
        <v>1</v>
      </c>
      <c r="X2287" t="b">
        <f>Validation[[#This Row],[Range1_Low]]&gt;=Validation[[#This Row],[Range1_High]]</f>
        <v>0</v>
      </c>
      <c r="Y2287" s="111" t="s">
        <v>2843</v>
      </c>
    </row>
    <row r="2288" spans="1:25" ht="16.5" thickTop="1" thickBot="1" x14ac:dyDescent="0.3">
      <c r="A2288" t="s">
        <v>54</v>
      </c>
      <c r="B2288" t="s">
        <v>98</v>
      </c>
      <c r="C2288" s="113">
        <v>1.09E-2</v>
      </c>
      <c r="D2288" s="113">
        <v>0.1090001</v>
      </c>
      <c r="E2288">
        <v>1E-3</v>
      </c>
      <c r="F2288" t="s">
        <v>152</v>
      </c>
      <c r="G2288" t="s">
        <v>152</v>
      </c>
      <c r="H2288">
        <v>0</v>
      </c>
      <c r="I2288">
        <v>0</v>
      </c>
      <c r="J2288" t="s">
        <v>2833</v>
      </c>
      <c r="K2288">
        <v>0</v>
      </c>
      <c r="L2288">
        <v>5.3261000000000003E-2</v>
      </c>
      <c r="M2288">
        <v>0</v>
      </c>
      <c r="N2288">
        <v>0</v>
      </c>
      <c r="O2288" t="s">
        <v>2833</v>
      </c>
      <c r="P2288" t="s">
        <v>2833</v>
      </c>
      <c r="Q2288" t="s">
        <v>2833</v>
      </c>
      <c r="R2288">
        <f ca="1">RAND()*(Validation[[#This Row],[Range1_High]]-Validation[[#This Row],[Range1_Low]])+Validation[[#This Row],[Range1_Low]]</f>
        <v>4.9733516300751526E-2</v>
      </c>
      <c r="S2288">
        <f>Validation[[#This Row],[Range2_High]]</f>
        <v>0</v>
      </c>
      <c r="T2288" t="str" cm="1">
        <f t="array" aca="1" ref="T2288" ca="1">RoundToTwoSigFigs(Validation[[#This Row],[Test Reading]]*Validation[[#This Row],[Mult]]+Validation[[#This Row],[Base]]) &amp;" "&amp;Validation[[#This Row],[Uncert_Units]]</f>
        <v>0.0026 W</v>
      </c>
      <c r="U2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0.0026 W</v>
      </c>
      <c r="V2288" t="b">
        <f ca="1">Validation[[#This Row],[Desired Result]]=Validation[[#This Row],[Result]]</f>
        <v>1</v>
      </c>
      <c r="W2288" t="b">
        <v>1</v>
      </c>
      <c r="X2288" t="b">
        <f>Validation[[#This Row],[Range1_Low]]&gt;=Validation[[#This Row],[Range1_High]]</f>
        <v>0</v>
      </c>
      <c r="Y2288" s="111" t="s">
        <v>2843</v>
      </c>
    </row>
    <row r="2289" spans="1:25" ht="16.5" thickTop="1" thickBot="1" x14ac:dyDescent="0.3">
      <c r="A2289" t="s">
        <v>54</v>
      </c>
      <c r="B2289" t="s">
        <v>98</v>
      </c>
      <c r="C2289">
        <v>1.09E-3</v>
      </c>
      <c r="D2289">
        <v>1.0900099999999999E-2</v>
      </c>
      <c r="E2289">
        <v>1.0000000000000001E-5</v>
      </c>
      <c r="F2289" t="s">
        <v>152</v>
      </c>
      <c r="G2289" t="s">
        <v>152</v>
      </c>
      <c r="H2289">
        <v>0</v>
      </c>
      <c r="I2289">
        <v>0</v>
      </c>
      <c r="J2289" t="s">
        <v>2833</v>
      </c>
      <c r="K2289">
        <v>0</v>
      </c>
      <c r="L2289">
        <v>5.3277000000000003E-3</v>
      </c>
      <c r="M2289">
        <v>0</v>
      </c>
      <c r="N2289">
        <v>0</v>
      </c>
      <c r="O2289" t="s">
        <v>2833</v>
      </c>
      <c r="P2289" t="s">
        <v>2833</v>
      </c>
      <c r="Q2289" t="s">
        <v>2833</v>
      </c>
      <c r="R2289">
        <f ca="1">RAND()*(Validation[[#This Row],[Range1_High]]-Validation[[#This Row],[Range1_Low]])+Validation[[#This Row],[Range1_Low]]</f>
        <v>9.7908687026466747E-3</v>
      </c>
      <c r="S2289">
        <f>Validation[[#This Row],[Range2_High]]</f>
        <v>0</v>
      </c>
      <c r="T2289" t="str" cm="1">
        <f t="array" aca="1" ref="T2289" ca="1">RoundToTwoSigFigs(Validation[[#This Row],[Test Reading]]*Validation[[#This Row],[Mult]]+Validation[[#This Row],[Base]]) &amp;" "&amp;Validation[[#This Row],[Uncert_Units]]</f>
        <v>0.000052 W</v>
      </c>
      <c r="U2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0.000052 W</v>
      </c>
      <c r="V2289" t="b">
        <f ca="1">Validation[[#This Row],[Desired Result]]=Validation[[#This Row],[Result]]</f>
        <v>1</v>
      </c>
      <c r="W2289" t="b">
        <v>0</v>
      </c>
      <c r="X2289" t="b">
        <f>Validation[[#This Row],[Range1_Low]]&gt;=Validation[[#This Row],[Range1_High]]</f>
        <v>0</v>
      </c>
      <c r="Y2289" s="111" t="s">
        <v>2845</v>
      </c>
    </row>
    <row r="2290" spans="1:25" ht="16.5" thickTop="1" thickBot="1" x14ac:dyDescent="0.3">
      <c r="A2290" t="s">
        <v>54</v>
      </c>
      <c r="B2290" t="s">
        <v>98</v>
      </c>
      <c r="C2290" s="115">
        <v>24500</v>
      </c>
      <c r="D2290" s="115">
        <v>24500</v>
      </c>
      <c r="E2290">
        <v>1000</v>
      </c>
      <c r="F2290" t="s">
        <v>100</v>
      </c>
      <c r="G2290" t="s">
        <v>100</v>
      </c>
      <c r="H2290">
        <v>0</v>
      </c>
      <c r="I2290">
        <v>0</v>
      </c>
      <c r="J2290" t="s">
        <v>2833</v>
      </c>
      <c r="K2290">
        <v>0</v>
      </c>
      <c r="L2290">
        <v>1.4429E-3</v>
      </c>
      <c r="M2290">
        <v>0</v>
      </c>
      <c r="N2290">
        <v>0</v>
      </c>
      <c r="O2290" t="s">
        <v>2833</v>
      </c>
      <c r="P2290" t="s">
        <v>2833</v>
      </c>
      <c r="Q2290" t="s">
        <v>2833</v>
      </c>
      <c r="R2290" s="100">
        <f ca="1">RAND()*(Validation[[#This Row],[Range1_High]]-Validation[[#This Row],[Range1_Low]])+Validation[[#This Row],[Range1_Low]]</f>
        <v>24500</v>
      </c>
      <c r="S2290">
        <f>Validation[[#This Row],[Range2_High]]</f>
        <v>0</v>
      </c>
      <c r="T2290" t="str" cm="1">
        <f t="array" aca="1" ref="T2290" ca="1">RoundToTwoSigFigs(Validation[[#This Row],[Test Reading]]*Validation[[#This Row],[Mult]]+Validation[[#This Row],[Base]]) &amp;" "&amp;Validation[[#This Row],[Uncert_Units]]</f>
        <v>35 WAC</v>
      </c>
      <c r="U2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2290" t="b">
        <f ca="1">Validation[[#This Row],[Desired Result]]=Validation[[#This Row],[Result]]</f>
        <v>0</v>
      </c>
      <c r="W2290" t="b">
        <v>1</v>
      </c>
      <c r="X2290" t="b">
        <f>Validation[[#This Row],[Range1_Low]]&gt;=Validation[[#This Row],[Range1_High]]</f>
        <v>1</v>
      </c>
      <c r="Y2290" s="111" t="s">
        <v>2842</v>
      </c>
    </row>
    <row r="2291" spans="1:25" ht="16.5" thickTop="1" thickBot="1" x14ac:dyDescent="0.3">
      <c r="A2291" t="s">
        <v>54</v>
      </c>
      <c r="B2291" t="s">
        <v>98</v>
      </c>
      <c r="C2291" s="115">
        <v>24500</v>
      </c>
      <c r="D2291" s="115">
        <v>24500</v>
      </c>
      <c r="E2291">
        <v>100</v>
      </c>
      <c r="F2291" t="s">
        <v>100</v>
      </c>
      <c r="G2291" t="s">
        <v>100</v>
      </c>
      <c r="H2291">
        <v>0</v>
      </c>
      <c r="I2291">
        <v>0</v>
      </c>
      <c r="J2291" t="s">
        <v>2833</v>
      </c>
      <c r="K2291">
        <v>0</v>
      </c>
      <c r="L2291">
        <v>1.4E-3</v>
      </c>
      <c r="M2291">
        <v>0</v>
      </c>
      <c r="N2291">
        <v>0</v>
      </c>
      <c r="O2291" t="s">
        <v>2833</v>
      </c>
      <c r="P2291" t="s">
        <v>2833</v>
      </c>
      <c r="Q2291" t="s">
        <v>2833</v>
      </c>
      <c r="R2291" s="100">
        <f ca="1">RAND()*(Validation[[#This Row],[Range1_High]]-Validation[[#This Row],[Range1_Low]])+Validation[[#This Row],[Range1_Low]]</f>
        <v>24500</v>
      </c>
      <c r="S2291">
        <f>Validation[[#This Row],[Range2_High]]</f>
        <v>0</v>
      </c>
      <c r="T2291" t="str" cm="1">
        <f t="array" aca="1" ref="T2291" ca="1">RoundToTwoSigFigs(Validation[[#This Row],[Test Reading]]*Validation[[#This Row],[Mult]]+Validation[[#This Row],[Base]]) &amp;" "&amp;Validation[[#This Row],[Uncert_Units]]</f>
        <v>34 WAC</v>
      </c>
      <c r="U2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2291" t="b">
        <f ca="1">Validation[[#This Row],[Desired Result]]=Validation[[#This Row],[Result]]</f>
        <v>0</v>
      </c>
      <c r="W2291" t="b">
        <v>1</v>
      </c>
      <c r="X2291" t="b">
        <f>Validation[[#This Row],[Range1_Low]]&gt;=Validation[[#This Row],[Range1_High]]</f>
        <v>1</v>
      </c>
      <c r="Y2291" s="111" t="s">
        <v>2842</v>
      </c>
    </row>
    <row r="2292" spans="1:25" ht="16.5" thickTop="1" thickBot="1" x14ac:dyDescent="0.3">
      <c r="A2292" t="s">
        <v>54</v>
      </c>
      <c r="B2292" t="s">
        <v>98</v>
      </c>
      <c r="C2292" s="113">
        <v>109</v>
      </c>
      <c r="D2292" s="113">
        <v>330.00009999999997</v>
      </c>
      <c r="E2292">
        <v>1</v>
      </c>
      <c r="F2292" t="s">
        <v>152</v>
      </c>
      <c r="G2292" t="s">
        <v>152</v>
      </c>
      <c r="H2292">
        <v>0</v>
      </c>
      <c r="I2292">
        <v>0</v>
      </c>
      <c r="J2292" t="s">
        <v>2833</v>
      </c>
      <c r="K2292">
        <v>0</v>
      </c>
      <c r="L2292">
        <v>5.3282E-3</v>
      </c>
      <c r="M2292">
        <v>0</v>
      </c>
      <c r="N2292">
        <v>0</v>
      </c>
      <c r="O2292" t="s">
        <v>2833</v>
      </c>
      <c r="P2292" t="s">
        <v>2833</v>
      </c>
      <c r="Q2292" t="s">
        <v>2833</v>
      </c>
      <c r="R2292">
        <f ca="1">RAND()*(Validation[[#This Row],[Range1_High]]-Validation[[#This Row],[Range1_Low]])+Validation[[#This Row],[Range1_Low]]</f>
        <v>208.59602329657065</v>
      </c>
      <c r="S2292">
        <f>Validation[[#This Row],[Range2_High]]</f>
        <v>0</v>
      </c>
      <c r="T2292" t="str" cm="1">
        <f t="array" aca="1" ref="T2292" ca="1">RoundToTwoSigFigs(Validation[[#This Row],[Test Reading]]*Validation[[#This Row],[Mult]]+Validation[[#This Row],[Base]]) &amp;" "&amp;Validation[[#This Row],[Uncert_Units]]</f>
        <v>1.1 W</v>
      </c>
      <c r="U2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W</v>
      </c>
      <c r="V2292" t="b">
        <f ca="1">Validation[[#This Row],[Desired Result]]=Validation[[#This Row],[Result]]</f>
        <v>1</v>
      </c>
      <c r="W2292" t="b">
        <v>1</v>
      </c>
      <c r="X2292" t="b">
        <f>Validation[[#This Row],[Range1_Low]]&gt;=Validation[[#This Row],[Range1_High]]</f>
        <v>0</v>
      </c>
      <c r="Y2292" s="111" t="s">
        <v>2843</v>
      </c>
    </row>
    <row r="2293" spans="1:25" ht="16.5" thickTop="1" thickBot="1" x14ac:dyDescent="0.3">
      <c r="A2293" t="s">
        <v>54</v>
      </c>
      <c r="B2293" t="s">
        <v>98</v>
      </c>
      <c r="C2293" s="113">
        <v>11000</v>
      </c>
      <c r="D2293" s="113">
        <v>24500</v>
      </c>
      <c r="E2293">
        <v>100</v>
      </c>
      <c r="F2293" t="s">
        <v>152</v>
      </c>
      <c r="G2293" t="s">
        <v>152</v>
      </c>
      <c r="H2293">
        <v>0</v>
      </c>
      <c r="I2293">
        <v>0</v>
      </c>
      <c r="J2293" t="s">
        <v>2833</v>
      </c>
      <c r="K2293">
        <v>0</v>
      </c>
      <c r="L2293">
        <v>1.4E-3</v>
      </c>
      <c r="M2293">
        <v>0</v>
      </c>
      <c r="N2293">
        <v>0</v>
      </c>
      <c r="O2293" t="s">
        <v>2833</v>
      </c>
      <c r="P2293" t="s">
        <v>2833</v>
      </c>
      <c r="Q2293" t="s">
        <v>2833</v>
      </c>
      <c r="R2293">
        <f ca="1">RAND()*(Validation[[#This Row],[Range1_High]]-Validation[[#This Row],[Range1_Low]])+Validation[[#This Row],[Range1_Low]]</f>
        <v>21994.998683193917</v>
      </c>
      <c r="S2293">
        <f>Validation[[#This Row],[Range2_High]]</f>
        <v>0</v>
      </c>
      <c r="T2293" t="str" cm="1">
        <f t="array" aca="1" ref="T2293" ca="1">RoundToTwoSigFigs(Validation[[#This Row],[Test Reading]]*Validation[[#This Row],[Mult]]+Validation[[#This Row],[Base]]) &amp;" "&amp;Validation[[#This Row],[Uncert_Units]]</f>
        <v>31 W</v>
      </c>
      <c r="U2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W</v>
      </c>
      <c r="V2293" t="b">
        <f ca="1">Validation[[#This Row],[Desired Result]]=Validation[[#This Row],[Result]]</f>
        <v>1</v>
      </c>
      <c r="W2293" t="b">
        <v>1</v>
      </c>
      <c r="X2293" t="b">
        <f>Validation[[#This Row],[Range1_Low]]&gt;=Validation[[#This Row],[Range1_High]]</f>
        <v>0</v>
      </c>
      <c r="Y2293" s="111" t="s">
        <v>2843</v>
      </c>
    </row>
    <row r="2294" spans="1:25" ht="16.5" thickTop="1" thickBot="1" x14ac:dyDescent="0.3">
      <c r="A2294" t="s">
        <v>54</v>
      </c>
      <c r="B2294" t="s">
        <v>98</v>
      </c>
      <c r="C2294" s="113">
        <v>1.09E-2</v>
      </c>
      <c r="D2294" s="113">
        <v>0.1090001</v>
      </c>
      <c r="E2294">
        <v>9.9999999999999995E-7</v>
      </c>
      <c r="F2294" t="s">
        <v>152</v>
      </c>
      <c r="G2294" t="s">
        <v>152</v>
      </c>
      <c r="H2294">
        <v>0</v>
      </c>
      <c r="I2294">
        <v>0</v>
      </c>
      <c r="J2294" t="s">
        <v>2833</v>
      </c>
      <c r="K2294">
        <v>0</v>
      </c>
      <c r="L2294">
        <v>1.9000000000000001E-4</v>
      </c>
      <c r="M2294">
        <v>0</v>
      </c>
      <c r="N2294">
        <v>0</v>
      </c>
      <c r="O2294" t="s">
        <v>2833</v>
      </c>
      <c r="P2294" t="s">
        <v>2833</v>
      </c>
      <c r="Q2294" t="s">
        <v>2833</v>
      </c>
      <c r="R2294">
        <f ca="1">RAND()*(Validation[[#This Row],[Range1_High]]-Validation[[#This Row],[Range1_Low]])+Validation[[#This Row],[Range1_Low]]</f>
        <v>8.8915764075080811E-2</v>
      </c>
      <c r="S2294">
        <f>Validation[[#This Row],[Range2_High]]</f>
        <v>0</v>
      </c>
      <c r="T2294" t="str" cm="1">
        <f t="array" aca="1" ref="T2294" ca="1">RoundToTwoSigFigs(Validation[[#This Row],[Test Reading]]*Validation[[#This Row],[Mult]]+Validation[[#This Row],[Base]]) &amp;" "&amp;Validation[[#This Row],[Uncert_Units]]</f>
        <v>0.000017 W</v>
      </c>
      <c r="U2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0.000017 W</v>
      </c>
      <c r="V2294" t="b">
        <f ca="1">Validation[[#This Row],[Desired Result]]=Validation[[#This Row],[Result]]</f>
        <v>1</v>
      </c>
      <c r="W2294" t="b">
        <v>1</v>
      </c>
      <c r="X2294" t="b">
        <f>Validation[[#This Row],[Range1_Low]]&gt;=Validation[[#This Row],[Range1_High]]</f>
        <v>0</v>
      </c>
      <c r="Y2294" s="111" t="s">
        <v>2843</v>
      </c>
    </row>
    <row r="2295" spans="1:25" ht="16.5" thickTop="1" thickBot="1" x14ac:dyDescent="0.3">
      <c r="A2295" t="s">
        <v>54</v>
      </c>
      <c r="B2295" t="s">
        <v>98</v>
      </c>
      <c r="C2295" s="113">
        <v>1.09E-2</v>
      </c>
      <c r="D2295" s="113">
        <v>0.1090001</v>
      </c>
      <c r="E2295">
        <v>1E-4</v>
      </c>
      <c r="F2295" t="s">
        <v>152</v>
      </c>
      <c r="G2295" t="s">
        <v>152</v>
      </c>
      <c r="H2295">
        <v>0</v>
      </c>
      <c r="I2295">
        <v>0</v>
      </c>
      <c r="J2295" t="s">
        <v>2833</v>
      </c>
      <c r="K2295">
        <v>0</v>
      </c>
      <c r="L2295">
        <v>5.3308000000000001E-3</v>
      </c>
      <c r="M2295">
        <v>0</v>
      </c>
      <c r="N2295">
        <v>0</v>
      </c>
      <c r="O2295" t="s">
        <v>2833</v>
      </c>
      <c r="P2295" t="s">
        <v>2833</v>
      </c>
      <c r="Q2295" t="s">
        <v>2833</v>
      </c>
      <c r="R2295">
        <f ca="1">RAND()*(Validation[[#This Row],[Range1_High]]-Validation[[#This Row],[Range1_Low]])+Validation[[#This Row],[Range1_Low]]</f>
        <v>8.3151494964624262E-2</v>
      </c>
      <c r="S2295">
        <f>Validation[[#This Row],[Range2_High]]</f>
        <v>0</v>
      </c>
      <c r="T2295" t="str" cm="1">
        <f t="array" aca="1" ref="T2295" ca="1">RoundToTwoSigFigs(Validation[[#This Row],[Test Reading]]*Validation[[#This Row],[Mult]]+Validation[[#This Row],[Base]]) &amp;" "&amp;Validation[[#This Row],[Uncert_Units]]</f>
        <v>0.00044 W</v>
      </c>
      <c r="U2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0.00044 W</v>
      </c>
      <c r="V2295" t="b">
        <f ca="1">Validation[[#This Row],[Desired Result]]=Validation[[#This Row],[Result]]</f>
        <v>1</v>
      </c>
      <c r="W2295" t="b">
        <v>1</v>
      </c>
      <c r="X2295" t="b">
        <f>Validation[[#This Row],[Range1_Low]]&gt;=Validation[[#This Row],[Range1_High]]</f>
        <v>0</v>
      </c>
      <c r="Y2295" s="111" t="s">
        <v>2843</v>
      </c>
    </row>
    <row r="2296" spans="1:25" ht="16.5" thickTop="1" thickBot="1" x14ac:dyDescent="0.3">
      <c r="A2296" t="s">
        <v>54</v>
      </c>
      <c r="B2296" t="s">
        <v>98</v>
      </c>
      <c r="C2296" s="115">
        <v>24500</v>
      </c>
      <c r="D2296" s="115">
        <v>24500</v>
      </c>
      <c r="E2296">
        <v>10</v>
      </c>
      <c r="F2296" t="s">
        <v>100</v>
      </c>
      <c r="G2296" t="s">
        <v>100</v>
      </c>
      <c r="H2296">
        <v>0</v>
      </c>
      <c r="I2296">
        <v>0</v>
      </c>
      <c r="J2296" t="s">
        <v>2833</v>
      </c>
      <c r="K2296">
        <v>0</v>
      </c>
      <c r="L2296">
        <v>1.4E-3</v>
      </c>
      <c r="M2296">
        <v>0</v>
      </c>
      <c r="N2296">
        <v>0</v>
      </c>
      <c r="O2296" t="s">
        <v>2833</v>
      </c>
      <c r="P2296" t="s">
        <v>2833</v>
      </c>
      <c r="Q2296" t="s">
        <v>2833</v>
      </c>
      <c r="R2296" s="100">
        <f ca="1">RAND()*(Validation[[#This Row],[Range1_High]]-Validation[[#This Row],[Range1_Low]])+Validation[[#This Row],[Range1_Low]]</f>
        <v>24500</v>
      </c>
      <c r="S2296">
        <f>Validation[[#This Row],[Range2_High]]</f>
        <v>0</v>
      </c>
      <c r="T2296" t="str" cm="1">
        <f t="array" aca="1" ref="T2296" ca="1">RoundToTwoSigFigs(Validation[[#This Row],[Test Reading]]*Validation[[#This Row],[Mult]]+Validation[[#This Row],[Base]]) &amp;" "&amp;Validation[[#This Row],[Uncert_Units]]</f>
        <v>34 WAC</v>
      </c>
      <c r="U2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V2296" t="b">
        <f ca="1">Validation[[#This Row],[Desired Result]]=Validation[[#This Row],[Result]]</f>
        <v>0</v>
      </c>
      <c r="W2296" t="b">
        <v>1</v>
      </c>
      <c r="X2296" t="b">
        <f>Validation[[#This Row],[Range1_Low]]&gt;=Validation[[#This Row],[Range1_High]]</f>
        <v>1</v>
      </c>
      <c r="Y2296" s="111" t="s">
        <v>2842</v>
      </c>
    </row>
    <row r="2297" spans="1:25" ht="15.75" thickTop="1" x14ac:dyDescent="0.25">
      <c r="A2297" t="s">
        <v>54</v>
      </c>
      <c r="B2297" t="s">
        <v>98</v>
      </c>
      <c r="C2297">
        <v>0.109</v>
      </c>
      <c r="D2297">
        <v>1.0901000000000001</v>
      </c>
      <c r="E2297">
        <v>0.1</v>
      </c>
      <c r="F2297" t="s">
        <v>152</v>
      </c>
      <c r="G2297" t="s">
        <v>152</v>
      </c>
      <c r="H2297">
        <v>0</v>
      </c>
      <c r="I2297">
        <v>0</v>
      </c>
      <c r="J2297" t="s">
        <v>2833</v>
      </c>
      <c r="K2297">
        <v>0</v>
      </c>
      <c r="L2297">
        <v>0.53259999999999996</v>
      </c>
      <c r="M2297">
        <v>0</v>
      </c>
      <c r="N2297">
        <v>0</v>
      </c>
      <c r="O2297" t="s">
        <v>2833</v>
      </c>
      <c r="P2297" t="s">
        <v>2833</v>
      </c>
      <c r="Q2297" t="s">
        <v>2833</v>
      </c>
      <c r="R2297">
        <f ca="1">RAND()*(Validation[[#This Row],[Range1_High]]-Validation[[#This Row],[Range1_Low]])+Validation[[#This Row],[Range1_Low]]</f>
        <v>0.57465648093380062</v>
      </c>
      <c r="S2297">
        <f>Validation[[#This Row],[Range2_High]]</f>
        <v>0</v>
      </c>
      <c r="T2297" t="str" cm="1">
        <f t="array" aca="1" ref="T2297" ca="1">RoundToTwoSigFigs(Validation[[#This Row],[Test Reading]]*Validation[[#This Row],[Mult]]+Validation[[#This Row],[Base]]) &amp;" "&amp;Validation[[#This Row],[Uncert_Units]]</f>
        <v>0.31 W</v>
      </c>
      <c r="U2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W</v>
      </c>
      <c r="V2297" t="b">
        <f ca="1">Validation[[#This Row],[Desired Result]]=Validation[[#This Row],[Result]]</f>
        <v>1</v>
      </c>
      <c r="W2297" t="b">
        <v>0</v>
      </c>
      <c r="X2297" t="b">
        <f>Validation[[#This Row],[Range1_Low]]&gt;=Validation[[#This Row],[Range1_High]]</f>
        <v>0</v>
      </c>
      <c r="Y2297" s="111" t="s">
        <v>2845</v>
      </c>
    </row>
    <row r="2298" spans="1:25" x14ac:dyDescent="0.25">
      <c r="A2298" t="s">
        <v>54</v>
      </c>
      <c r="B2298" t="s">
        <v>98</v>
      </c>
      <c r="C2298">
        <v>0</v>
      </c>
      <c r="D2298">
        <v>1.0900000000000001E-4</v>
      </c>
      <c r="E2298">
        <v>1E-4</v>
      </c>
      <c r="F2298" t="s">
        <v>152</v>
      </c>
      <c r="G2298" t="s">
        <v>152</v>
      </c>
      <c r="H2298">
        <v>0</v>
      </c>
      <c r="I2298">
        <v>0</v>
      </c>
      <c r="J2298" t="s">
        <v>2833</v>
      </c>
      <c r="K2298">
        <v>0</v>
      </c>
      <c r="L2298">
        <v>58</v>
      </c>
      <c r="M2298">
        <v>0</v>
      </c>
      <c r="N2298">
        <v>0</v>
      </c>
      <c r="O2298" t="s">
        <v>2833</v>
      </c>
      <c r="P2298" t="s">
        <v>2833</v>
      </c>
      <c r="Q2298" t="s">
        <v>2833</v>
      </c>
      <c r="R2298">
        <f ca="1">RAND()*(Validation[[#This Row],[Range1_High]]-Validation[[#This Row],[Range1_Low]])+Validation[[#This Row],[Range1_Low]]</f>
        <v>1.7125367147855783E-6</v>
      </c>
      <c r="S2298">
        <f>Validation[[#This Row],[Range2_High]]</f>
        <v>0</v>
      </c>
      <c r="T2298" t="str" cm="1">
        <f t="array" aca="1" ref="T2298" ca="1">RoundToTwoSigFigs(Validation[[#This Row],[Test Reading]]*Validation[[#This Row],[Mult]]+Validation[[#This Row],[Base]]) &amp;" "&amp;Validation[[#This Row],[Uncert_Units]]</f>
        <v>0.000099 W</v>
      </c>
      <c r="U2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0.000099 W</v>
      </c>
      <c r="V2298" t="b">
        <f ca="1">Validation[[#This Row],[Desired Result]]=Validation[[#This Row],[Result]]</f>
        <v>1</v>
      </c>
      <c r="W2298" t="b">
        <v>0</v>
      </c>
      <c r="X2298" t="b">
        <f>Validation[[#This Row],[Range1_Low]]&gt;=Validation[[#This Row],[Range1_High]]</f>
        <v>0</v>
      </c>
      <c r="Y2298" s="111" t="s">
        <v>2845</v>
      </c>
    </row>
    <row r="2299" spans="1:25" ht="15.75" thickBot="1" x14ac:dyDescent="0.3">
      <c r="A2299" t="s">
        <v>54</v>
      </c>
      <c r="B2299" t="s">
        <v>98</v>
      </c>
      <c r="C2299">
        <v>1.09E-3</v>
      </c>
      <c r="D2299">
        <v>1.0900099999999999E-2</v>
      </c>
      <c r="E2299">
        <v>1E-4</v>
      </c>
      <c r="F2299" t="s">
        <v>152</v>
      </c>
      <c r="G2299" t="s">
        <v>152</v>
      </c>
      <c r="H2299">
        <v>0</v>
      </c>
      <c r="I2299">
        <v>0</v>
      </c>
      <c r="J2299" t="s">
        <v>2833</v>
      </c>
      <c r="K2299">
        <v>0</v>
      </c>
      <c r="L2299">
        <v>5.3212000000000002E-2</v>
      </c>
      <c r="M2299">
        <v>0</v>
      </c>
      <c r="N2299">
        <v>0</v>
      </c>
      <c r="O2299" t="s">
        <v>2833</v>
      </c>
      <c r="P2299" t="s">
        <v>2833</v>
      </c>
      <c r="Q2299" t="s">
        <v>2833</v>
      </c>
      <c r="R2299">
        <f ca="1">RAND()*(Validation[[#This Row],[Range1_High]]-Validation[[#This Row],[Range1_Low]])+Validation[[#This Row],[Range1_Low]]</f>
        <v>7.5667016645182342E-3</v>
      </c>
      <c r="S2299">
        <f>Validation[[#This Row],[Range2_High]]</f>
        <v>0</v>
      </c>
      <c r="T2299" t="str" cm="1">
        <f t="array" aca="1" ref="T2299" ca="1">RoundToTwoSigFigs(Validation[[#This Row],[Test Reading]]*Validation[[#This Row],[Mult]]+Validation[[#This Row],[Base]]) &amp;" "&amp;Validation[[#This Row],[Uncert_Units]]</f>
        <v>0.0004 W</v>
      </c>
      <c r="U2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 W</v>
      </c>
      <c r="V2299" t="b">
        <f ca="1">Validation[[#This Row],[Desired Result]]=Validation[[#This Row],[Result]]</f>
        <v>1</v>
      </c>
      <c r="W2299" t="b">
        <v>0</v>
      </c>
      <c r="X2299" t="b">
        <f>Validation[[#This Row],[Range1_Low]]&gt;=Validation[[#This Row],[Range1_High]]</f>
        <v>0</v>
      </c>
      <c r="Y2299" s="111" t="s">
        <v>2845</v>
      </c>
    </row>
    <row r="2300" spans="1:25" ht="16.5" thickTop="1" thickBot="1" x14ac:dyDescent="0.3">
      <c r="A2300" t="s">
        <v>54</v>
      </c>
      <c r="B2300" t="s">
        <v>98</v>
      </c>
      <c r="C2300" s="113">
        <v>1.0900000000000001</v>
      </c>
      <c r="D2300" s="113">
        <v>10.9001</v>
      </c>
      <c r="E2300">
        <v>0.1</v>
      </c>
      <c r="F2300" t="s">
        <v>152</v>
      </c>
      <c r="G2300" t="s">
        <v>152</v>
      </c>
      <c r="H2300">
        <v>0</v>
      </c>
      <c r="I2300">
        <v>0</v>
      </c>
      <c r="J2300" t="s">
        <v>2833</v>
      </c>
      <c r="K2300">
        <v>0</v>
      </c>
      <c r="L2300">
        <v>5.3261000000000003E-2</v>
      </c>
      <c r="M2300">
        <v>0</v>
      </c>
      <c r="N2300">
        <v>0</v>
      </c>
      <c r="O2300" t="s">
        <v>2833</v>
      </c>
      <c r="P2300" t="s">
        <v>2833</v>
      </c>
      <c r="Q2300" t="s">
        <v>2833</v>
      </c>
      <c r="R2300">
        <f ca="1">RAND()*(Validation[[#This Row],[Range1_High]]-Validation[[#This Row],[Range1_Low]])+Validation[[#This Row],[Range1_Low]]</f>
        <v>8.9920606075360983</v>
      </c>
      <c r="S2300">
        <f>Validation[[#This Row],[Range2_High]]</f>
        <v>0</v>
      </c>
      <c r="T2300" t="str" cm="1">
        <f t="array" aca="1" ref="T2300" ca="1">RoundToTwoSigFigs(Validation[[#This Row],[Test Reading]]*Validation[[#This Row],[Mult]]+Validation[[#This Row],[Base]]) &amp;" "&amp;Validation[[#This Row],[Uncert_Units]]</f>
        <v>0.48 W</v>
      </c>
      <c r="U2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W</v>
      </c>
      <c r="V2300" t="b">
        <f ca="1">Validation[[#This Row],[Desired Result]]=Validation[[#This Row],[Result]]</f>
        <v>1</v>
      </c>
      <c r="W2300" t="b">
        <v>1</v>
      </c>
      <c r="X2300" t="b">
        <f>Validation[[#This Row],[Range1_Low]]&gt;=Validation[[#This Row],[Range1_High]]</f>
        <v>0</v>
      </c>
      <c r="Y2300" s="111" t="s">
        <v>2843</v>
      </c>
    </row>
    <row r="2301" spans="1:25" ht="15.75" thickTop="1" x14ac:dyDescent="0.25">
      <c r="A2301" t="s">
        <v>54</v>
      </c>
      <c r="B2301" t="s">
        <v>99</v>
      </c>
      <c r="C2301">
        <v>10.9</v>
      </c>
      <c r="D2301">
        <v>109.0001</v>
      </c>
      <c r="E2301">
        <v>10</v>
      </c>
      <c r="F2301" t="s">
        <v>100</v>
      </c>
      <c r="G2301" t="s">
        <v>100</v>
      </c>
      <c r="H2301">
        <v>0</v>
      </c>
      <c r="I2301">
        <v>0</v>
      </c>
      <c r="J2301" t="s">
        <v>2833</v>
      </c>
      <c r="K2301">
        <v>0</v>
      </c>
      <c r="L2301">
        <v>0.53259999999999996</v>
      </c>
      <c r="M2301">
        <v>0</v>
      </c>
      <c r="N2301">
        <v>0</v>
      </c>
      <c r="O2301" t="s">
        <v>2833</v>
      </c>
      <c r="P2301" t="s">
        <v>2833</v>
      </c>
      <c r="Q2301" t="s">
        <v>2833</v>
      </c>
      <c r="R2301">
        <f ca="1">RAND()*(Validation[[#This Row],[Range1_High]]-Validation[[#This Row],[Range1_Low]])+Validation[[#This Row],[Range1_Low]]</f>
        <v>43.523210340120301</v>
      </c>
      <c r="S2301">
        <f>Validation[[#This Row],[Range2_High]]</f>
        <v>0</v>
      </c>
      <c r="T2301" t="str" cm="1">
        <f t="array" aca="1" ref="T2301" ca="1">RoundToTwoSigFigs(Validation[[#This Row],[Test Reading]]*Validation[[#This Row],[Mult]]+Validation[[#This Row],[Base]]) &amp;" "&amp;Validation[[#This Row],[Uncert_Units]]</f>
        <v>23 WAC</v>
      </c>
      <c r="U2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WAC</v>
      </c>
      <c r="V2301" t="b">
        <f ca="1">Validation[[#This Row],[Desired Result]]=Validation[[#This Row],[Result]]</f>
        <v>1</v>
      </c>
      <c r="W2301" t="b">
        <v>0</v>
      </c>
      <c r="X2301" t="b">
        <f>Validation[[#This Row],[Range1_Low]]&gt;=Validation[[#This Row],[Range1_High]]</f>
        <v>0</v>
      </c>
      <c r="Y2301" s="111" t="s">
        <v>2845</v>
      </c>
    </row>
    <row r="2302" spans="1:25" ht="15.75" thickBot="1" x14ac:dyDescent="0.3">
      <c r="A2302" t="s">
        <v>54</v>
      </c>
      <c r="B2302" t="s">
        <v>99</v>
      </c>
      <c r="C2302">
        <v>20900</v>
      </c>
      <c r="D2302">
        <v>20901</v>
      </c>
      <c r="E2302">
        <v>1000</v>
      </c>
      <c r="F2302" t="s">
        <v>100</v>
      </c>
      <c r="G2302" t="s">
        <v>100</v>
      </c>
      <c r="H2302">
        <v>0</v>
      </c>
      <c r="I2302">
        <v>0</v>
      </c>
      <c r="J2302" t="s">
        <v>2833</v>
      </c>
      <c r="K2302">
        <v>0</v>
      </c>
      <c r="L2302">
        <v>5.1733000000000001E-2</v>
      </c>
      <c r="M2302">
        <v>0</v>
      </c>
      <c r="N2302">
        <v>0</v>
      </c>
      <c r="O2302" t="s">
        <v>2833</v>
      </c>
      <c r="P2302" t="s">
        <v>2833</v>
      </c>
      <c r="Q2302" t="s">
        <v>2833</v>
      </c>
      <c r="R2302">
        <f ca="1">RAND()*(Validation[[#This Row],[Range1_High]]-Validation[[#This Row],[Range1_Low]])+Validation[[#This Row],[Range1_Low]]</f>
        <v>20900.233661470429</v>
      </c>
      <c r="S2302">
        <f>Validation[[#This Row],[Range2_High]]</f>
        <v>0</v>
      </c>
      <c r="T2302" t="str" cm="1">
        <f t="array" aca="1" ref="T2302" ca="1">RoundToTwoSigFigs(Validation[[#This Row],[Test Reading]]*Validation[[#This Row],[Mult]]+Validation[[#This Row],[Base]]) &amp;" "&amp;Validation[[#This Row],[Uncert_Units]]</f>
        <v>1100 WAC</v>
      </c>
      <c r="U2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WAC</v>
      </c>
      <c r="V2302" t="b">
        <f ca="1">Validation[[#This Row],[Desired Result]]=Validation[[#This Row],[Result]]</f>
        <v>1</v>
      </c>
      <c r="W2302" t="b">
        <v>0</v>
      </c>
      <c r="X2302" t="b">
        <f>Validation[[#This Row],[Range1_Low]]&gt;=Validation[[#This Row],[Range1_High]]</f>
        <v>0</v>
      </c>
      <c r="Y2302" s="111" t="s">
        <v>2845</v>
      </c>
    </row>
    <row r="2303" spans="1:25" ht="16.5" thickTop="1" thickBot="1" x14ac:dyDescent="0.3">
      <c r="A2303" t="s">
        <v>54</v>
      </c>
      <c r="B2303" t="s">
        <v>99</v>
      </c>
      <c r="C2303" s="113">
        <v>11200</v>
      </c>
      <c r="D2303" s="113">
        <v>20900</v>
      </c>
      <c r="E2303">
        <v>0.1</v>
      </c>
      <c r="F2303" t="s">
        <v>100</v>
      </c>
      <c r="G2303" t="s">
        <v>100</v>
      </c>
      <c r="H2303">
        <v>0</v>
      </c>
      <c r="I2303">
        <v>0</v>
      </c>
      <c r="J2303" t="s">
        <v>2833</v>
      </c>
      <c r="K2303">
        <v>0</v>
      </c>
      <c r="L2303">
        <v>0.15978999999999999</v>
      </c>
      <c r="M2303">
        <v>0</v>
      </c>
      <c r="N2303">
        <v>0</v>
      </c>
      <c r="O2303" t="s">
        <v>2833</v>
      </c>
      <c r="P2303" t="s">
        <v>2833</v>
      </c>
      <c r="Q2303" t="s">
        <v>2833</v>
      </c>
      <c r="R2303">
        <f ca="1">RAND()*(Validation[[#This Row],[Range1_High]]-Validation[[#This Row],[Range1_Low]])+Validation[[#This Row],[Range1_Low]]</f>
        <v>14201.385283403037</v>
      </c>
      <c r="S2303">
        <f>Validation[[#This Row],[Range2_High]]</f>
        <v>0</v>
      </c>
      <c r="T2303" t="str" cm="1">
        <f t="array" aca="1" ref="T2303" ca="1">RoundToTwoSigFigs(Validation[[#This Row],[Test Reading]]*Validation[[#This Row],[Mult]]+Validation[[#This Row],[Base]]) &amp;" "&amp;Validation[[#This Row],[Uncert_Units]]</f>
        <v>2300 WAC</v>
      </c>
      <c r="U2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WAC</v>
      </c>
      <c r="V2303" t="b">
        <f ca="1">Validation[[#This Row],[Desired Result]]=Validation[[#This Row],[Result]]</f>
        <v>1</v>
      </c>
      <c r="W2303" t="b">
        <v>1</v>
      </c>
      <c r="X2303" t="b">
        <f>Validation[[#This Row],[Range1_Low]]&gt;=Validation[[#This Row],[Range1_High]]</f>
        <v>0</v>
      </c>
      <c r="Y2303" s="111" t="s">
        <v>2843</v>
      </c>
    </row>
    <row r="2304" spans="1:25" ht="16.5" thickTop="1" thickBot="1" x14ac:dyDescent="0.3">
      <c r="A2304" t="s">
        <v>54</v>
      </c>
      <c r="B2304" t="s">
        <v>99</v>
      </c>
      <c r="C2304" s="113">
        <v>363</v>
      </c>
      <c r="D2304" s="113">
        <v>990.00009999999997</v>
      </c>
      <c r="E2304">
        <v>10</v>
      </c>
      <c r="F2304" t="s">
        <v>100</v>
      </c>
      <c r="G2304" t="s">
        <v>100</v>
      </c>
      <c r="H2304">
        <v>0</v>
      </c>
      <c r="I2304">
        <v>0</v>
      </c>
      <c r="J2304" t="s">
        <v>2833</v>
      </c>
      <c r="K2304">
        <v>0</v>
      </c>
      <c r="L2304">
        <v>1.601E-2</v>
      </c>
      <c r="M2304">
        <v>0</v>
      </c>
      <c r="N2304">
        <v>0</v>
      </c>
      <c r="O2304" t="s">
        <v>2833</v>
      </c>
      <c r="P2304" t="s">
        <v>2833</v>
      </c>
      <c r="Q2304" t="s">
        <v>2833</v>
      </c>
      <c r="R2304">
        <f ca="1">RAND()*(Validation[[#This Row],[Range1_High]]-Validation[[#This Row],[Range1_Low]])+Validation[[#This Row],[Range1_Low]]</f>
        <v>918.11814191619806</v>
      </c>
      <c r="S2304">
        <f>Validation[[#This Row],[Range2_High]]</f>
        <v>0</v>
      </c>
      <c r="T2304" t="str" cm="1">
        <f t="array" aca="1" ref="T2304" ca="1">RoundToTwoSigFigs(Validation[[#This Row],[Test Reading]]*Validation[[#This Row],[Mult]]+Validation[[#This Row],[Base]]) &amp;" "&amp;Validation[[#This Row],[Uncert_Units]]</f>
        <v>15 WAC</v>
      </c>
      <c r="U2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WAC</v>
      </c>
      <c r="V2304" t="b">
        <f ca="1">Validation[[#This Row],[Desired Result]]=Validation[[#This Row],[Result]]</f>
        <v>1</v>
      </c>
      <c r="W2304" t="b">
        <v>1</v>
      </c>
      <c r="X2304" t="b">
        <f>Validation[[#This Row],[Range1_Low]]&gt;=Validation[[#This Row],[Range1_High]]</f>
        <v>0</v>
      </c>
      <c r="Y2304" s="111" t="s">
        <v>2843</v>
      </c>
    </row>
    <row r="2305" spans="1:25" ht="16.5" thickTop="1" thickBot="1" x14ac:dyDescent="0.3">
      <c r="A2305" t="s">
        <v>54</v>
      </c>
      <c r="B2305" t="s">
        <v>99</v>
      </c>
      <c r="C2305" s="113">
        <v>1.09E-3</v>
      </c>
      <c r="D2305" s="113">
        <v>1.0900099999999999E-2</v>
      </c>
      <c r="E2305">
        <v>1.0000000000000001E-5</v>
      </c>
      <c r="F2305" t="s">
        <v>100</v>
      </c>
      <c r="G2305" t="s">
        <v>100</v>
      </c>
      <c r="H2305">
        <v>0</v>
      </c>
      <c r="I2305">
        <v>0</v>
      </c>
      <c r="J2305" t="s">
        <v>2833</v>
      </c>
      <c r="K2305">
        <v>0</v>
      </c>
      <c r="L2305">
        <v>5.4701999999999997E-3</v>
      </c>
      <c r="M2305">
        <v>0</v>
      </c>
      <c r="N2305">
        <v>0</v>
      </c>
      <c r="O2305" t="s">
        <v>2833</v>
      </c>
      <c r="P2305" t="s">
        <v>2833</v>
      </c>
      <c r="Q2305" t="s">
        <v>2833</v>
      </c>
      <c r="R2305">
        <f ca="1">RAND()*(Validation[[#This Row],[Range1_High]]-Validation[[#This Row],[Range1_Low]])+Validation[[#This Row],[Range1_Low]]</f>
        <v>1.0851060905975275E-2</v>
      </c>
      <c r="S2305">
        <f>Validation[[#This Row],[Range2_High]]</f>
        <v>0</v>
      </c>
      <c r="T2305" t="str" cm="1">
        <f t="array" aca="1" ref="T2305" ca="1">RoundToTwoSigFigs(Validation[[#This Row],[Test Reading]]*Validation[[#This Row],[Mult]]+Validation[[#This Row],[Base]]) &amp;" "&amp;Validation[[#This Row],[Uncert_Units]]</f>
        <v>0.000059 WAC</v>
      </c>
      <c r="U2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0.000059 WAC</v>
      </c>
      <c r="V2305" t="b">
        <f ca="1">Validation[[#This Row],[Desired Result]]=Validation[[#This Row],[Result]]</f>
        <v>1</v>
      </c>
      <c r="W2305" t="b">
        <v>1</v>
      </c>
      <c r="X2305" t="b">
        <f>Validation[[#This Row],[Range1_Low]]&gt;=Validation[[#This Row],[Range1_High]]</f>
        <v>0</v>
      </c>
      <c r="Y2305" s="111" t="s">
        <v>2843</v>
      </c>
    </row>
    <row r="2306" spans="1:25" ht="16.5" thickTop="1" thickBot="1" x14ac:dyDescent="0.3">
      <c r="A2306" t="s">
        <v>54</v>
      </c>
      <c r="B2306" t="s">
        <v>99</v>
      </c>
      <c r="C2306" s="113">
        <v>1.0900000000000001E-4</v>
      </c>
      <c r="D2306" s="113">
        <v>1.0901000000000001E-3</v>
      </c>
      <c r="E2306">
        <v>9.9999999999999995E-8</v>
      </c>
      <c r="F2306" t="s">
        <v>100</v>
      </c>
      <c r="G2306" t="s">
        <v>100</v>
      </c>
      <c r="H2306">
        <v>0</v>
      </c>
      <c r="I2306">
        <v>0</v>
      </c>
      <c r="J2306" t="s">
        <v>2833</v>
      </c>
      <c r="K2306">
        <v>0</v>
      </c>
      <c r="L2306">
        <v>1.6999999999999999E-3</v>
      </c>
      <c r="M2306">
        <v>0</v>
      </c>
      <c r="N2306">
        <v>0</v>
      </c>
      <c r="O2306" t="s">
        <v>2833</v>
      </c>
      <c r="P2306" t="s">
        <v>2833</v>
      </c>
      <c r="Q2306" t="s">
        <v>2833</v>
      </c>
      <c r="R2306">
        <f ca="1">RAND()*(Validation[[#This Row],[Range1_High]]-Validation[[#This Row],[Range1_Low]])+Validation[[#This Row],[Range1_Low]]</f>
        <v>7.5761736131399449E-4</v>
      </c>
      <c r="S2306">
        <f>Validation[[#This Row],[Range2_High]]</f>
        <v>0</v>
      </c>
      <c r="T2306" t="str" cm="1">
        <f t="array" aca="1" ref="T2306" ca="1">RoundToTwoSigFigs(Validation[[#This Row],[Test Reading]]*Validation[[#This Row],[Mult]]+Validation[[#This Row],[Base]]) &amp;" "&amp;Validation[[#This Row],[Uncert_Units]]</f>
        <v>0.0000013 WAC</v>
      </c>
      <c r="U2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0.0000013 WAC</v>
      </c>
      <c r="V2306" t="b">
        <f ca="1">Validation[[#This Row],[Desired Result]]=Validation[[#This Row],[Result]]</f>
        <v>1</v>
      </c>
      <c r="W2306" t="b">
        <v>1</v>
      </c>
      <c r="X2306" t="b">
        <f>Validation[[#This Row],[Range1_Low]]&gt;=Validation[[#This Row],[Range1_High]]</f>
        <v>0</v>
      </c>
      <c r="Y2306" s="111" t="s">
        <v>2843</v>
      </c>
    </row>
    <row r="2307" spans="1:25" ht="16.5" thickTop="1" thickBot="1" x14ac:dyDescent="0.3">
      <c r="A2307" t="s">
        <v>54</v>
      </c>
      <c r="B2307" t="s">
        <v>99</v>
      </c>
      <c r="C2307">
        <v>363</v>
      </c>
      <c r="D2307">
        <v>990.00009999999997</v>
      </c>
      <c r="E2307">
        <v>100</v>
      </c>
      <c r="F2307" t="s">
        <v>100</v>
      </c>
      <c r="G2307" t="s">
        <v>100</v>
      </c>
      <c r="H2307">
        <v>0</v>
      </c>
      <c r="I2307">
        <v>0</v>
      </c>
      <c r="J2307" t="s">
        <v>2833</v>
      </c>
      <c r="K2307">
        <v>0</v>
      </c>
      <c r="L2307">
        <v>0.15978999999999999</v>
      </c>
      <c r="M2307">
        <v>0</v>
      </c>
      <c r="N2307">
        <v>0</v>
      </c>
      <c r="O2307" t="s">
        <v>2833</v>
      </c>
      <c r="P2307" t="s">
        <v>2833</v>
      </c>
      <c r="Q2307" t="s">
        <v>2833</v>
      </c>
      <c r="R2307">
        <f ca="1">RAND()*(Validation[[#This Row],[Range1_High]]-Validation[[#This Row],[Range1_Low]])+Validation[[#This Row],[Range1_Low]]</f>
        <v>611.04474214498737</v>
      </c>
      <c r="S2307">
        <f>Validation[[#This Row],[Range2_High]]</f>
        <v>0</v>
      </c>
      <c r="T2307" t="str" cm="1">
        <f t="array" aca="1" ref="T2307" ca="1">RoundToTwoSigFigs(Validation[[#This Row],[Test Reading]]*Validation[[#This Row],[Mult]]+Validation[[#This Row],[Base]]) &amp;" "&amp;Validation[[#This Row],[Uncert_Units]]</f>
        <v>98 WAC</v>
      </c>
      <c r="U2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WAC</v>
      </c>
      <c r="V2307" t="b">
        <f ca="1">Validation[[#This Row],[Desired Result]]=Validation[[#This Row],[Result]]</f>
        <v>1</v>
      </c>
      <c r="W2307" t="b">
        <v>0</v>
      </c>
      <c r="X2307" t="b">
        <f>Validation[[#This Row],[Range1_Low]]&gt;=Validation[[#This Row],[Range1_High]]</f>
        <v>0</v>
      </c>
      <c r="Y2307" s="111" t="s">
        <v>2845</v>
      </c>
    </row>
    <row r="2308" spans="1:25" ht="16.5" thickTop="1" thickBot="1" x14ac:dyDescent="0.3">
      <c r="A2308" t="s">
        <v>54</v>
      </c>
      <c r="B2308" t="s">
        <v>99</v>
      </c>
      <c r="C2308" s="113">
        <v>1.0900000000000001E-5</v>
      </c>
      <c r="D2308" s="113">
        <v>1.0900000000000001E-4</v>
      </c>
      <c r="E2308">
        <v>1E-8</v>
      </c>
      <c r="F2308" t="s">
        <v>100</v>
      </c>
      <c r="G2308" t="s">
        <v>100</v>
      </c>
      <c r="H2308">
        <v>0</v>
      </c>
      <c r="I2308">
        <v>0</v>
      </c>
      <c r="J2308" t="s">
        <v>2833</v>
      </c>
      <c r="K2308">
        <v>0</v>
      </c>
      <c r="L2308">
        <v>2.5999999999999999E-3</v>
      </c>
      <c r="M2308">
        <v>0</v>
      </c>
      <c r="N2308">
        <v>0</v>
      </c>
      <c r="O2308" t="s">
        <v>2833</v>
      </c>
      <c r="P2308" t="s">
        <v>2833</v>
      </c>
      <c r="Q2308" t="s">
        <v>2833</v>
      </c>
      <c r="R2308">
        <f ca="1">RAND()*(Validation[[#This Row],[Range1_High]]-Validation[[#This Row],[Range1_Low]])+Validation[[#This Row],[Range1_Low]]</f>
        <v>1.0539871172493865E-4</v>
      </c>
      <c r="S2308">
        <f>Validation[[#This Row],[Range2_High]]</f>
        <v>0</v>
      </c>
      <c r="T2308" t="str" cm="1">
        <f t="array" aca="1" ref="T2308" ca="1">RoundToTwoSigFigs(Validation[[#This Row],[Test Reading]]*Validation[[#This Row],[Mult]]+Validation[[#This Row],[Base]]) &amp;" "&amp;Validation[[#This Row],[Uncert_Units]]</f>
        <v>0.00000027 WAC</v>
      </c>
      <c r="U2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0.00000027 WAC</v>
      </c>
      <c r="V2308" t="b">
        <f ca="1">Validation[[#This Row],[Desired Result]]=Validation[[#This Row],[Result]]</f>
        <v>1</v>
      </c>
      <c r="W2308" t="b">
        <v>1</v>
      </c>
      <c r="X2308" t="b">
        <f>Validation[[#This Row],[Range1_Low]]&gt;=Validation[[#This Row],[Range1_High]]</f>
        <v>0</v>
      </c>
      <c r="Y2308" s="111" t="s">
        <v>2843</v>
      </c>
    </row>
    <row r="2309" spans="1:25" ht="16.5" thickTop="1" thickBot="1" x14ac:dyDescent="0.3">
      <c r="A2309" t="s">
        <v>54</v>
      </c>
      <c r="B2309" t="s">
        <v>99</v>
      </c>
      <c r="C2309" s="113">
        <v>1.0900000000000001</v>
      </c>
      <c r="D2309" s="113">
        <v>10.9001</v>
      </c>
      <c r="E2309">
        <v>1E-4</v>
      </c>
      <c r="F2309" t="s">
        <v>100</v>
      </c>
      <c r="G2309" t="s">
        <v>100</v>
      </c>
      <c r="H2309">
        <v>0</v>
      </c>
      <c r="I2309">
        <v>0</v>
      </c>
      <c r="J2309" t="s">
        <v>2833</v>
      </c>
      <c r="K2309">
        <v>0</v>
      </c>
      <c r="L2309">
        <v>1.2999999999999999E-3</v>
      </c>
      <c r="M2309">
        <v>0</v>
      </c>
      <c r="N2309">
        <v>0</v>
      </c>
      <c r="O2309" t="s">
        <v>2833</v>
      </c>
      <c r="P2309" t="s">
        <v>2833</v>
      </c>
      <c r="Q2309" t="s">
        <v>2833</v>
      </c>
      <c r="R2309">
        <f ca="1">RAND()*(Validation[[#This Row],[Range1_High]]-Validation[[#This Row],[Range1_Low]])+Validation[[#This Row],[Range1_Low]]</f>
        <v>9.3845748412352208</v>
      </c>
      <c r="S2309">
        <f>Validation[[#This Row],[Range2_High]]</f>
        <v>0</v>
      </c>
      <c r="T2309" t="str" cm="1">
        <f t="array" aca="1" ref="T2309" ca="1">RoundToTwoSigFigs(Validation[[#This Row],[Test Reading]]*Validation[[#This Row],[Mult]]+Validation[[#This Row],[Base]]) &amp;" "&amp;Validation[[#This Row],[Uncert_Units]]</f>
        <v>0.012 WAC</v>
      </c>
      <c r="U2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V2309" t="b">
        <f ca="1">Validation[[#This Row],[Desired Result]]=Validation[[#This Row],[Result]]</f>
        <v>1</v>
      </c>
      <c r="W2309" t="b">
        <v>1</v>
      </c>
      <c r="X2309" t="b">
        <f>Validation[[#This Row],[Range1_Low]]&gt;=Validation[[#This Row],[Range1_High]]</f>
        <v>0</v>
      </c>
      <c r="Y2309" s="111" t="s">
        <v>2843</v>
      </c>
    </row>
    <row r="2310" spans="1:25" ht="16.5" thickTop="1" thickBot="1" x14ac:dyDescent="0.3">
      <c r="A2310" t="s">
        <v>54</v>
      </c>
      <c r="B2310" t="s">
        <v>99</v>
      </c>
      <c r="C2310" s="113">
        <v>3630</v>
      </c>
      <c r="D2310" s="113">
        <v>11200.1</v>
      </c>
      <c r="E2310">
        <v>100</v>
      </c>
      <c r="F2310" t="s">
        <v>100</v>
      </c>
      <c r="G2310" t="s">
        <v>100</v>
      </c>
      <c r="H2310">
        <v>0</v>
      </c>
      <c r="I2310">
        <v>0</v>
      </c>
      <c r="J2310" t="s">
        <v>2833</v>
      </c>
      <c r="K2310">
        <v>0</v>
      </c>
      <c r="L2310">
        <v>1.6050999999999999E-2</v>
      </c>
      <c r="M2310">
        <v>0</v>
      </c>
      <c r="N2310">
        <v>0</v>
      </c>
      <c r="O2310" t="s">
        <v>2833</v>
      </c>
      <c r="P2310" t="s">
        <v>2833</v>
      </c>
      <c r="Q2310" t="s">
        <v>2833</v>
      </c>
      <c r="R2310">
        <f ca="1">RAND()*(Validation[[#This Row],[Range1_High]]-Validation[[#This Row],[Range1_Low]])+Validation[[#This Row],[Range1_Low]]</f>
        <v>7145.6820613948521</v>
      </c>
      <c r="S2310">
        <f>Validation[[#This Row],[Range2_High]]</f>
        <v>0</v>
      </c>
      <c r="T2310" t="str" cm="1">
        <f t="array" aca="1" ref="T2310" ca="1">RoundToTwoSigFigs(Validation[[#This Row],[Test Reading]]*Validation[[#This Row],[Mult]]+Validation[[#This Row],[Base]]) &amp;" "&amp;Validation[[#This Row],[Uncert_Units]]</f>
        <v>110 WAC</v>
      </c>
      <c r="U2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WAC</v>
      </c>
      <c r="V2310" t="b">
        <f ca="1">Validation[[#This Row],[Desired Result]]=Validation[[#This Row],[Result]]</f>
        <v>1</v>
      </c>
      <c r="W2310" t="b">
        <v>1</v>
      </c>
      <c r="X2310" t="b">
        <f>Validation[[#This Row],[Range1_Low]]&gt;=Validation[[#This Row],[Range1_High]]</f>
        <v>0</v>
      </c>
      <c r="Y2310" s="111" t="s">
        <v>2843</v>
      </c>
    </row>
    <row r="2311" spans="1:25" ht="16.5" thickTop="1" thickBot="1" x14ac:dyDescent="0.3">
      <c r="A2311" t="s">
        <v>54</v>
      </c>
      <c r="B2311" t="s">
        <v>99</v>
      </c>
      <c r="C2311" s="113">
        <v>1.09E-2</v>
      </c>
      <c r="D2311" s="113">
        <v>0.1090001</v>
      </c>
      <c r="E2311">
        <v>1E-4</v>
      </c>
      <c r="F2311" t="s">
        <v>100</v>
      </c>
      <c r="G2311" t="s">
        <v>100</v>
      </c>
      <c r="H2311">
        <v>0</v>
      </c>
      <c r="I2311">
        <v>0</v>
      </c>
      <c r="J2311" t="s">
        <v>2833</v>
      </c>
      <c r="K2311">
        <v>0</v>
      </c>
      <c r="L2311">
        <v>5.3847000000000001E-3</v>
      </c>
      <c r="M2311">
        <v>0</v>
      </c>
      <c r="N2311">
        <v>0</v>
      </c>
      <c r="O2311" t="s">
        <v>2833</v>
      </c>
      <c r="P2311" t="s">
        <v>2833</v>
      </c>
      <c r="Q2311" t="s">
        <v>2833</v>
      </c>
      <c r="R2311">
        <f ca="1">RAND()*(Validation[[#This Row],[Range1_High]]-Validation[[#This Row],[Range1_Low]])+Validation[[#This Row],[Range1_Low]]</f>
        <v>5.3738392946679488E-2</v>
      </c>
      <c r="S2311">
        <f>Validation[[#This Row],[Range2_High]]</f>
        <v>0</v>
      </c>
      <c r="T2311" t="str" cm="1">
        <f t="array" aca="1" ref="T2311" ca="1">RoundToTwoSigFigs(Validation[[#This Row],[Test Reading]]*Validation[[#This Row],[Mult]]+Validation[[#This Row],[Base]]) &amp;" "&amp;Validation[[#This Row],[Uncert_Units]]</f>
        <v>0.00029 WAC</v>
      </c>
      <c r="U2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0.00029 WAC</v>
      </c>
      <c r="V2311" t="b">
        <f ca="1">Validation[[#This Row],[Desired Result]]=Validation[[#This Row],[Result]]</f>
        <v>1</v>
      </c>
      <c r="W2311" t="b">
        <v>1</v>
      </c>
      <c r="X2311" t="b">
        <f>Validation[[#This Row],[Range1_Low]]&gt;=Validation[[#This Row],[Range1_High]]</f>
        <v>0</v>
      </c>
      <c r="Y2311" s="111" t="s">
        <v>2843</v>
      </c>
    </row>
    <row r="2312" spans="1:25" ht="16.5" thickTop="1" thickBot="1" x14ac:dyDescent="0.3">
      <c r="A2312" t="s">
        <v>54</v>
      </c>
      <c r="B2312" t="s">
        <v>99</v>
      </c>
      <c r="C2312">
        <v>20900</v>
      </c>
      <c r="D2312">
        <v>20901</v>
      </c>
      <c r="E2312">
        <v>10</v>
      </c>
      <c r="F2312" t="s">
        <v>100</v>
      </c>
      <c r="G2312" t="s">
        <v>100</v>
      </c>
      <c r="H2312">
        <v>0</v>
      </c>
      <c r="I2312">
        <v>0</v>
      </c>
      <c r="J2312" t="s">
        <v>2833</v>
      </c>
      <c r="K2312">
        <v>0</v>
      </c>
      <c r="L2312">
        <v>2.0999999999999999E-3</v>
      </c>
      <c r="M2312">
        <v>0</v>
      </c>
      <c r="N2312">
        <v>0</v>
      </c>
      <c r="O2312" t="s">
        <v>2833</v>
      </c>
      <c r="P2312" t="s">
        <v>2833</v>
      </c>
      <c r="Q2312" t="s">
        <v>2833</v>
      </c>
      <c r="R2312">
        <f ca="1">RAND()*(Validation[[#This Row],[Range1_High]]-Validation[[#This Row],[Range1_Low]])+Validation[[#This Row],[Range1_Low]]</f>
        <v>20900.706144906449</v>
      </c>
      <c r="S2312">
        <f>Validation[[#This Row],[Range2_High]]</f>
        <v>0</v>
      </c>
      <c r="T2312" t="str" cm="1">
        <f t="array" aca="1" ref="T2312" ca="1">RoundToTwoSigFigs(Validation[[#This Row],[Test Reading]]*Validation[[#This Row],[Mult]]+Validation[[#This Row],[Base]]) &amp;" "&amp;Validation[[#This Row],[Uncert_Units]]</f>
        <v>44 WAC</v>
      </c>
      <c r="U2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V2312" t="b">
        <f ca="1">Validation[[#This Row],[Desired Result]]=Validation[[#This Row],[Result]]</f>
        <v>1</v>
      </c>
      <c r="W2312" t="b">
        <v>0</v>
      </c>
      <c r="X2312" t="b">
        <f>Validation[[#This Row],[Range1_Low]]&gt;=Validation[[#This Row],[Range1_High]]</f>
        <v>0</v>
      </c>
      <c r="Y2312" s="111" t="s">
        <v>2845</v>
      </c>
    </row>
    <row r="2313" spans="1:25" ht="16.5" thickTop="1" thickBot="1" x14ac:dyDescent="0.3">
      <c r="A2313" t="s">
        <v>54</v>
      </c>
      <c r="B2313" t="s">
        <v>99</v>
      </c>
      <c r="C2313" s="113">
        <v>990</v>
      </c>
      <c r="D2313" s="113">
        <v>3630.1</v>
      </c>
      <c r="E2313">
        <v>0.1</v>
      </c>
      <c r="F2313" t="s">
        <v>100</v>
      </c>
      <c r="G2313" t="s">
        <v>100</v>
      </c>
      <c r="H2313">
        <v>0</v>
      </c>
      <c r="I2313">
        <v>0</v>
      </c>
      <c r="J2313" t="s">
        <v>2833</v>
      </c>
      <c r="K2313">
        <v>0</v>
      </c>
      <c r="L2313">
        <v>2.0999999999999999E-3</v>
      </c>
      <c r="M2313">
        <v>0</v>
      </c>
      <c r="N2313">
        <v>0</v>
      </c>
      <c r="O2313" t="s">
        <v>2833</v>
      </c>
      <c r="P2313" t="s">
        <v>2833</v>
      </c>
      <c r="Q2313" t="s">
        <v>2833</v>
      </c>
      <c r="R2313">
        <f ca="1">RAND()*(Validation[[#This Row],[Range1_High]]-Validation[[#This Row],[Range1_Low]])+Validation[[#This Row],[Range1_Low]]</f>
        <v>2227.9668213009959</v>
      </c>
      <c r="S2313">
        <f>Validation[[#This Row],[Range2_High]]</f>
        <v>0</v>
      </c>
      <c r="T2313" t="str" cm="1">
        <f t="array" aca="1" ref="T2313" ca="1">RoundToTwoSigFigs(Validation[[#This Row],[Test Reading]]*Validation[[#This Row],[Mult]]+Validation[[#This Row],[Base]]) &amp;" "&amp;Validation[[#This Row],[Uncert_Units]]</f>
        <v>4.7 WAC</v>
      </c>
      <c r="U2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WAC</v>
      </c>
      <c r="V2313" t="b">
        <f ca="1">Validation[[#This Row],[Desired Result]]=Validation[[#This Row],[Result]]</f>
        <v>1</v>
      </c>
      <c r="W2313" t="b">
        <v>1</v>
      </c>
      <c r="X2313" t="b">
        <f>Validation[[#This Row],[Range1_Low]]&gt;=Validation[[#This Row],[Range1_High]]</f>
        <v>0</v>
      </c>
      <c r="Y2313" s="111" t="s">
        <v>2843</v>
      </c>
    </row>
    <row r="2314" spans="1:25" ht="16.5" thickTop="1" thickBot="1" x14ac:dyDescent="0.3">
      <c r="A2314" t="s">
        <v>54</v>
      </c>
      <c r="B2314" t="s">
        <v>99</v>
      </c>
      <c r="C2314" s="113">
        <v>3630</v>
      </c>
      <c r="D2314" s="113">
        <v>11200.1</v>
      </c>
      <c r="E2314">
        <v>0.1</v>
      </c>
      <c r="F2314" t="s">
        <v>100</v>
      </c>
      <c r="G2314" t="s">
        <v>100</v>
      </c>
      <c r="H2314">
        <v>0</v>
      </c>
      <c r="I2314">
        <v>0</v>
      </c>
      <c r="J2314" t="s">
        <v>2833</v>
      </c>
      <c r="K2314">
        <v>0</v>
      </c>
      <c r="L2314">
        <v>1.6000000000000001E-3</v>
      </c>
      <c r="M2314">
        <v>0</v>
      </c>
      <c r="N2314">
        <v>0</v>
      </c>
      <c r="O2314" t="s">
        <v>2833</v>
      </c>
      <c r="P2314" t="s">
        <v>2833</v>
      </c>
      <c r="Q2314" t="s">
        <v>2833</v>
      </c>
      <c r="R2314">
        <f ca="1">RAND()*(Validation[[#This Row],[Range1_High]]-Validation[[#This Row],[Range1_Low]])+Validation[[#This Row],[Range1_Low]]</f>
        <v>10830.198485605228</v>
      </c>
      <c r="S2314">
        <f>Validation[[#This Row],[Range2_High]]</f>
        <v>0</v>
      </c>
      <c r="T2314" t="str" cm="1">
        <f t="array" aca="1" ref="T2314" ca="1">RoundToTwoSigFigs(Validation[[#This Row],[Test Reading]]*Validation[[#This Row],[Mult]]+Validation[[#This Row],[Base]]) &amp;" "&amp;Validation[[#This Row],[Uncert_Units]]</f>
        <v>17 WAC</v>
      </c>
      <c r="U2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WAC</v>
      </c>
      <c r="V2314" t="b">
        <f ca="1">Validation[[#This Row],[Desired Result]]=Validation[[#This Row],[Result]]</f>
        <v>1</v>
      </c>
      <c r="W2314" t="b">
        <v>1</v>
      </c>
      <c r="X2314" t="b">
        <f>Validation[[#This Row],[Range1_Low]]&gt;=Validation[[#This Row],[Range1_High]]</f>
        <v>0</v>
      </c>
      <c r="Y2314" s="111" t="s">
        <v>2843</v>
      </c>
    </row>
    <row r="2315" spans="1:25" ht="16.5" thickTop="1" thickBot="1" x14ac:dyDescent="0.3">
      <c r="A2315" t="s">
        <v>54</v>
      </c>
      <c r="B2315" t="s">
        <v>99</v>
      </c>
      <c r="C2315" s="113">
        <v>1.09E-3</v>
      </c>
      <c r="D2315" s="113">
        <v>1.0900099999999999E-2</v>
      </c>
      <c r="E2315">
        <v>9.9999999999999995E-7</v>
      </c>
      <c r="F2315" t="s">
        <v>100</v>
      </c>
      <c r="G2315" t="s">
        <v>100</v>
      </c>
      <c r="H2315">
        <v>0</v>
      </c>
      <c r="I2315">
        <v>0</v>
      </c>
      <c r="J2315" t="s">
        <v>2833</v>
      </c>
      <c r="K2315">
        <v>0</v>
      </c>
      <c r="L2315">
        <v>1.3483E-3</v>
      </c>
      <c r="M2315">
        <v>0</v>
      </c>
      <c r="N2315">
        <v>0</v>
      </c>
      <c r="O2315" t="s">
        <v>2833</v>
      </c>
      <c r="P2315" t="s">
        <v>2833</v>
      </c>
      <c r="Q2315" t="s">
        <v>2833</v>
      </c>
      <c r="R2315">
        <f ca="1">RAND()*(Validation[[#This Row],[Range1_High]]-Validation[[#This Row],[Range1_Low]])+Validation[[#This Row],[Range1_Low]]</f>
        <v>1.7893299721011321E-3</v>
      </c>
      <c r="S2315">
        <f>Validation[[#This Row],[Range2_High]]</f>
        <v>0</v>
      </c>
      <c r="T2315" t="str" cm="1">
        <f t="array" aca="1" ref="T2315" ca="1">RoundToTwoSigFigs(Validation[[#This Row],[Test Reading]]*Validation[[#This Row],[Mult]]+Validation[[#This Row],[Base]]) &amp;" "&amp;Validation[[#This Row],[Uncert_Units]]</f>
        <v>0.0000024 WAC</v>
      </c>
      <c r="U2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0.0000024 WAC</v>
      </c>
      <c r="V2315" t="b">
        <f ca="1">Validation[[#This Row],[Desired Result]]=Validation[[#This Row],[Result]]</f>
        <v>1</v>
      </c>
      <c r="W2315" t="b">
        <v>1</v>
      </c>
      <c r="X2315" t="b">
        <f>Validation[[#This Row],[Range1_Low]]&gt;=Validation[[#This Row],[Range1_High]]</f>
        <v>0</v>
      </c>
      <c r="Y2315" s="111" t="s">
        <v>2843</v>
      </c>
    </row>
    <row r="2316" spans="1:25" ht="16.5" thickTop="1" thickBot="1" x14ac:dyDescent="0.3">
      <c r="A2316" t="s">
        <v>54</v>
      </c>
      <c r="B2316" t="s">
        <v>99</v>
      </c>
      <c r="C2316" s="113">
        <v>11200</v>
      </c>
      <c r="D2316" s="113">
        <v>20900</v>
      </c>
      <c r="E2316">
        <v>1</v>
      </c>
      <c r="F2316" t="s">
        <v>100</v>
      </c>
      <c r="G2316" t="s">
        <v>100</v>
      </c>
      <c r="H2316">
        <v>0</v>
      </c>
      <c r="I2316">
        <v>0</v>
      </c>
      <c r="J2316" t="s">
        <v>2833</v>
      </c>
      <c r="K2316">
        <v>0</v>
      </c>
      <c r="L2316">
        <v>2.0999999999999999E-3</v>
      </c>
      <c r="M2316">
        <v>0</v>
      </c>
      <c r="N2316">
        <v>0</v>
      </c>
      <c r="O2316" t="s">
        <v>2833</v>
      </c>
      <c r="P2316" t="s">
        <v>2833</v>
      </c>
      <c r="Q2316" t="s">
        <v>2833</v>
      </c>
      <c r="R2316">
        <f ca="1">RAND()*(Validation[[#This Row],[Range1_High]]-Validation[[#This Row],[Range1_Low]])+Validation[[#This Row],[Range1_Low]]</f>
        <v>12655.023220745166</v>
      </c>
      <c r="S2316">
        <f>Validation[[#This Row],[Range2_High]]</f>
        <v>0</v>
      </c>
      <c r="T2316" t="str" cm="1">
        <f t="array" aca="1" ref="T2316" ca="1">RoundToTwoSigFigs(Validation[[#This Row],[Test Reading]]*Validation[[#This Row],[Mult]]+Validation[[#This Row],[Base]]) &amp;" "&amp;Validation[[#This Row],[Uncert_Units]]</f>
        <v>27 WAC</v>
      </c>
      <c r="U2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WAC</v>
      </c>
      <c r="V2316" t="b">
        <f ca="1">Validation[[#This Row],[Desired Result]]=Validation[[#This Row],[Result]]</f>
        <v>1</v>
      </c>
      <c r="W2316" t="b">
        <v>1</v>
      </c>
      <c r="X2316" t="b">
        <f>Validation[[#This Row],[Range1_Low]]&gt;=Validation[[#This Row],[Range1_High]]</f>
        <v>0</v>
      </c>
      <c r="Y2316" s="111" t="s">
        <v>2843</v>
      </c>
    </row>
    <row r="2317" spans="1:25" ht="15.75" thickTop="1" x14ac:dyDescent="0.25">
      <c r="A2317" t="s">
        <v>54</v>
      </c>
      <c r="B2317" t="s">
        <v>99</v>
      </c>
      <c r="C2317">
        <v>1.09E-2</v>
      </c>
      <c r="D2317">
        <v>0.1090001</v>
      </c>
      <c r="E2317">
        <v>0.01</v>
      </c>
      <c r="F2317" t="s">
        <v>100</v>
      </c>
      <c r="G2317" t="s">
        <v>100</v>
      </c>
      <c r="H2317">
        <v>0</v>
      </c>
      <c r="I2317">
        <v>0</v>
      </c>
      <c r="J2317" t="s">
        <v>2833</v>
      </c>
      <c r="K2317">
        <v>0</v>
      </c>
      <c r="L2317">
        <v>0.53259999999999996</v>
      </c>
      <c r="M2317">
        <v>0</v>
      </c>
      <c r="N2317">
        <v>0</v>
      </c>
      <c r="O2317" t="s">
        <v>2833</v>
      </c>
      <c r="P2317" t="s">
        <v>2833</v>
      </c>
      <c r="Q2317" t="s">
        <v>2833</v>
      </c>
      <c r="R2317">
        <f ca="1">RAND()*(Validation[[#This Row],[Range1_High]]-Validation[[#This Row],[Range1_Low]])+Validation[[#This Row],[Range1_Low]]</f>
        <v>5.5248708088516715E-2</v>
      </c>
      <c r="S2317">
        <f>Validation[[#This Row],[Range2_High]]</f>
        <v>0</v>
      </c>
      <c r="T2317" t="str" cm="1">
        <f t="array" aca="1" ref="T2317" ca="1">RoundToTwoSigFigs(Validation[[#This Row],[Test Reading]]*Validation[[#This Row],[Mult]]+Validation[[#This Row],[Base]]) &amp;" "&amp;Validation[[#This Row],[Uncert_Units]]</f>
        <v>0.029 WAC</v>
      </c>
      <c r="U2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0.029 WAC</v>
      </c>
      <c r="V2317" t="b">
        <f ca="1">Validation[[#This Row],[Desired Result]]=Validation[[#This Row],[Result]]</f>
        <v>1</v>
      </c>
      <c r="W2317" t="b">
        <v>0</v>
      </c>
      <c r="X2317" t="b">
        <f>Validation[[#This Row],[Range1_Low]]&gt;=Validation[[#This Row],[Range1_High]]</f>
        <v>0</v>
      </c>
      <c r="Y2317" s="111" t="s">
        <v>2845</v>
      </c>
    </row>
    <row r="2318" spans="1:25" ht="15.75" thickBot="1" x14ac:dyDescent="0.3">
      <c r="A2318" t="s">
        <v>54</v>
      </c>
      <c r="B2318" t="s">
        <v>99</v>
      </c>
      <c r="C2318">
        <v>0</v>
      </c>
      <c r="D2318">
        <v>1.0900099999999999E-5</v>
      </c>
      <c r="E2318">
        <v>9.9999999999999995E-7</v>
      </c>
      <c r="F2318" t="s">
        <v>100</v>
      </c>
      <c r="G2318" t="s">
        <v>100</v>
      </c>
      <c r="H2318">
        <v>0</v>
      </c>
      <c r="I2318">
        <v>0</v>
      </c>
      <c r="J2318" t="s">
        <v>2833</v>
      </c>
      <c r="K2318">
        <v>0</v>
      </c>
      <c r="L2318">
        <v>5.8000999999999996</v>
      </c>
      <c r="M2318">
        <v>0</v>
      </c>
      <c r="N2318">
        <v>0</v>
      </c>
      <c r="O2318" t="s">
        <v>2833</v>
      </c>
      <c r="P2318" t="s">
        <v>2833</v>
      </c>
      <c r="Q2318" t="s">
        <v>2833</v>
      </c>
      <c r="R2318">
        <f ca="1">RAND()*(Validation[[#This Row],[Range1_High]]-Validation[[#This Row],[Range1_Low]])+Validation[[#This Row],[Range1_Low]]</f>
        <v>4.1794548351384595E-6</v>
      </c>
      <c r="S2318">
        <f>Validation[[#This Row],[Range2_High]]</f>
        <v>0</v>
      </c>
      <c r="T2318" t="str" cm="1">
        <f t="array" aca="1" ref="T2318" ca="1">RoundToTwoSigFigs(Validation[[#This Row],[Test Reading]]*Validation[[#This Row],[Mult]]+Validation[[#This Row],[Base]]) &amp;" "&amp;Validation[[#This Row],[Uncert_Units]]</f>
        <v>0.000024 WAC</v>
      </c>
      <c r="U2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0.000024 WAC</v>
      </c>
      <c r="V2318" t="b">
        <f ca="1">Validation[[#This Row],[Desired Result]]=Validation[[#This Row],[Result]]</f>
        <v>1</v>
      </c>
      <c r="W2318" t="b">
        <v>0</v>
      </c>
      <c r="X2318" t="b">
        <f>Validation[[#This Row],[Range1_Low]]&gt;=Validation[[#This Row],[Range1_High]]</f>
        <v>0</v>
      </c>
      <c r="Y2318" s="111" t="s">
        <v>2845</v>
      </c>
    </row>
    <row r="2319" spans="1:25" ht="16.5" thickTop="1" thickBot="1" x14ac:dyDescent="0.3">
      <c r="A2319" t="s">
        <v>54</v>
      </c>
      <c r="B2319" t="s">
        <v>99</v>
      </c>
      <c r="C2319" s="113">
        <v>1.0900000000000001</v>
      </c>
      <c r="D2319" s="113">
        <v>10.9001</v>
      </c>
      <c r="E2319">
        <v>0.01</v>
      </c>
      <c r="F2319" t="s">
        <v>100</v>
      </c>
      <c r="G2319" t="s">
        <v>100</v>
      </c>
      <c r="H2319">
        <v>0</v>
      </c>
      <c r="I2319">
        <v>0</v>
      </c>
      <c r="J2319" t="s">
        <v>2833</v>
      </c>
      <c r="K2319">
        <v>0</v>
      </c>
      <c r="L2319">
        <v>5.4669000000000002E-3</v>
      </c>
      <c r="M2319">
        <v>0</v>
      </c>
      <c r="N2319">
        <v>0</v>
      </c>
      <c r="O2319" t="s">
        <v>2833</v>
      </c>
      <c r="P2319" t="s">
        <v>2833</v>
      </c>
      <c r="Q2319" t="s">
        <v>2833</v>
      </c>
      <c r="R2319">
        <f ca="1">RAND()*(Validation[[#This Row],[Range1_High]]-Validation[[#This Row],[Range1_Low]])+Validation[[#This Row],[Range1_Low]]</f>
        <v>2.8830984891725189</v>
      </c>
      <c r="S2319">
        <f>Validation[[#This Row],[Range2_High]]</f>
        <v>0</v>
      </c>
      <c r="T2319" t="str" cm="1">
        <f t="array" aca="1" ref="T2319" ca="1">RoundToTwoSigFigs(Validation[[#This Row],[Test Reading]]*Validation[[#This Row],[Mult]]+Validation[[#This Row],[Base]]) &amp;" "&amp;Validation[[#This Row],[Uncert_Units]]</f>
        <v>0.016 WAC</v>
      </c>
      <c r="U2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WAC</v>
      </c>
      <c r="V2319" t="b">
        <f ca="1">Validation[[#This Row],[Desired Result]]=Validation[[#This Row],[Result]]</f>
        <v>1</v>
      </c>
      <c r="W2319" t="b">
        <v>1</v>
      </c>
      <c r="X2319" t="b">
        <f>Validation[[#This Row],[Range1_Low]]&gt;=Validation[[#This Row],[Range1_High]]</f>
        <v>0</v>
      </c>
      <c r="Y2319" s="111" t="s">
        <v>2843</v>
      </c>
    </row>
    <row r="2320" spans="1:25" ht="16.5" thickTop="1" thickBot="1" x14ac:dyDescent="0.3">
      <c r="A2320" t="s">
        <v>54</v>
      </c>
      <c r="B2320" t="s">
        <v>99</v>
      </c>
      <c r="C2320" s="113">
        <v>990</v>
      </c>
      <c r="D2320" s="113">
        <v>3630.1</v>
      </c>
      <c r="E2320">
        <v>100</v>
      </c>
      <c r="F2320" t="s">
        <v>100</v>
      </c>
      <c r="G2320" t="s">
        <v>100</v>
      </c>
      <c r="H2320">
        <v>0</v>
      </c>
      <c r="I2320">
        <v>0</v>
      </c>
      <c r="J2320" t="s">
        <v>2833</v>
      </c>
      <c r="K2320">
        <v>0</v>
      </c>
      <c r="L2320">
        <v>5.8622E-2</v>
      </c>
      <c r="M2320">
        <v>0</v>
      </c>
      <c r="N2320">
        <v>0</v>
      </c>
      <c r="O2320" t="s">
        <v>2833</v>
      </c>
      <c r="P2320" t="s">
        <v>2833</v>
      </c>
      <c r="Q2320" t="s">
        <v>2833</v>
      </c>
      <c r="R2320">
        <f ca="1">RAND()*(Validation[[#This Row],[Range1_High]]-Validation[[#This Row],[Range1_Low]])+Validation[[#This Row],[Range1_Low]]</f>
        <v>2046.7056159938754</v>
      </c>
      <c r="S2320">
        <f>Validation[[#This Row],[Range2_High]]</f>
        <v>0</v>
      </c>
      <c r="T2320" t="str" cm="1">
        <f t="array" aca="1" ref="T2320" ca="1">RoundToTwoSigFigs(Validation[[#This Row],[Test Reading]]*Validation[[#This Row],[Mult]]+Validation[[#This Row],[Base]]) &amp;" "&amp;Validation[[#This Row],[Uncert_Units]]</f>
        <v>120 WAC</v>
      </c>
      <c r="U2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V2320" t="b">
        <f ca="1">Validation[[#This Row],[Desired Result]]=Validation[[#This Row],[Result]]</f>
        <v>1</v>
      </c>
      <c r="W2320" t="b">
        <v>1</v>
      </c>
      <c r="X2320" t="b">
        <f>Validation[[#This Row],[Range1_Low]]&gt;=Validation[[#This Row],[Range1_High]]</f>
        <v>0</v>
      </c>
      <c r="Y2320" s="111" t="s">
        <v>2843</v>
      </c>
    </row>
    <row r="2321" spans="1:25" ht="16.5" thickTop="1" thickBot="1" x14ac:dyDescent="0.3">
      <c r="A2321" t="s">
        <v>54</v>
      </c>
      <c r="B2321" t="s">
        <v>99</v>
      </c>
      <c r="C2321" s="113">
        <v>0.109</v>
      </c>
      <c r="D2321" s="113">
        <v>1.0901000000000001</v>
      </c>
      <c r="E2321">
        <v>0.01</v>
      </c>
      <c r="F2321" t="s">
        <v>100</v>
      </c>
      <c r="G2321" t="s">
        <v>100</v>
      </c>
      <c r="H2321">
        <v>0</v>
      </c>
      <c r="I2321">
        <v>0</v>
      </c>
      <c r="J2321" t="s">
        <v>2833</v>
      </c>
      <c r="K2321">
        <v>0</v>
      </c>
      <c r="L2321">
        <v>5.3267000000000002E-2</v>
      </c>
      <c r="M2321">
        <v>0</v>
      </c>
      <c r="N2321">
        <v>0</v>
      </c>
      <c r="O2321" t="s">
        <v>2833</v>
      </c>
      <c r="P2321" t="s">
        <v>2833</v>
      </c>
      <c r="Q2321" t="s">
        <v>2833</v>
      </c>
      <c r="R2321">
        <f ca="1">RAND()*(Validation[[#This Row],[Range1_High]]-Validation[[#This Row],[Range1_Low]])+Validation[[#This Row],[Range1_Low]]</f>
        <v>0.48539414473295067</v>
      </c>
      <c r="S2321">
        <f>Validation[[#This Row],[Range2_High]]</f>
        <v>0</v>
      </c>
      <c r="T2321" t="str" cm="1">
        <f t="array" aca="1" ref="T2321" ca="1">RoundToTwoSigFigs(Validation[[#This Row],[Test Reading]]*Validation[[#This Row],[Mult]]+Validation[[#This Row],[Base]]) &amp;" "&amp;Validation[[#This Row],[Uncert_Units]]</f>
        <v>0.026 WAC</v>
      </c>
      <c r="U2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WAC</v>
      </c>
      <c r="V2321" t="b">
        <f ca="1">Validation[[#This Row],[Desired Result]]=Validation[[#This Row],[Result]]</f>
        <v>1</v>
      </c>
      <c r="W2321" t="b">
        <v>1</v>
      </c>
      <c r="X2321" t="b">
        <f>Validation[[#This Row],[Range1_Low]]&gt;=Validation[[#This Row],[Range1_High]]</f>
        <v>0</v>
      </c>
      <c r="Y2321" s="111" t="s">
        <v>2843</v>
      </c>
    </row>
    <row r="2322" spans="1:25" ht="15.75" thickTop="1" x14ac:dyDescent="0.25">
      <c r="A2322" t="s">
        <v>54</v>
      </c>
      <c r="B2322" t="s">
        <v>99</v>
      </c>
      <c r="C2322">
        <v>1.0900000000000001E-4</v>
      </c>
      <c r="D2322">
        <v>1.0901000000000001E-3</v>
      </c>
      <c r="E2322">
        <v>1E-4</v>
      </c>
      <c r="F2322" t="s">
        <v>100</v>
      </c>
      <c r="G2322" t="s">
        <v>100</v>
      </c>
      <c r="H2322">
        <v>0</v>
      </c>
      <c r="I2322">
        <v>0</v>
      </c>
      <c r="J2322" t="s">
        <v>2833</v>
      </c>
      <c r="K2322">
        <v>0</v>
      </c>
      <c r="L2322">
        <v>0.53259999999999996</v>
      </c>
      <c r="M2322">
        <v>0</v>
      </c>
      <c r="N2322">
        <v>0</v>
      </c>
      <c r="O2322" t="s">
        <v>2833</v>
      </c>
      <c r="P2322" t="s">
        <v>2833</v>
      </c>
      <c r="Q2322" t="s">
        <v>2833</v>
      </c>
      <c r="R2322">
        <f ca="1">RAND()*(Validation[[#This Row],[Range1_High]]-Validation[[#This Row],[Range1_Low]])+Validation[[#This Row],[Range1_Low]]</f>
        <v>8.1775258356881289E-4</v>
      </c>
      <c r="S2322">
        <f>Validation[[#This Row],[Range2_High]]</f>
        <v>0</v>
      </c>
      <c r="T2322" t="str" cm="1">
        <f t="array" aca="1" ref="T2322" ca="1">RoundToTwoSigFigs(Validation[[#This Row],[Test Reading]]*Validation[[#This Row],[Mult]]+Validation[[#This Row],[Base]]) &amp;" "&amp;Validation[[#This Row],[Uncert_Units]]</f>
        <v>0.00044 WAC</v>
      </c>
      <c r="U2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0.00044 WAC</v>
      </c>
      <c r="V2322" t="b">
        <f ca="1">Validation[[#This Row],[Desired Result]]=Validation[[#This Row],[Result]]</f>
        <v>1</v>
      </c>
      <c r="W2322" t="b">
        <v>0</v>
      </c>
      <c r="X2322" t="b">
        <f>Validation[[#This Row],[Range1_Low]]&gt;=Validation[[#This Row],[Range1_High]]</f>
        <v>0</v>
      </c>
      <c r="Y2322" s="111" t="s">
        <v>2845</v>
      </c>
    </row>
    <row r="2323" spans="1:25" ht="15.75" thickBot="1" x14ac:dyDescent="0.3">
      <c r="A2323" t="s">
        <v>54</v>
      </c>
      <c r="B2323" t="s">
        <v>99</v>
      </c>
      <c r="C2323">
        <v>20900</v>
      </c>
      <c r="D2323">
        <v>20901</v>
      </c>
      <c r="E2323">
        <v>0.1</v>
      </c>
      <c r="F2323" t="s">
        <v>100</v>
      </c>
      <c r="G2323" t="s">
        <v>100</v>
      </c>
      <c r="H2323">
        <v>0</v>
      </c>
      <c r="I2323">
        <v>0</v>
      </c>
      <c r="J2323" t="s">
        <v>2833</v>
      </c>
      <c r="K2323">
        <v>0</v>
      </c>
      <c r="L2323">
        <v>0.15978999999999999</v>
      </c>
      <c r="M2323">
        <v>0</v>
      </c>
      <c r="N2323">
        <v>0</v>
      </c>
      <c r="O2323" t="s">
        <v>2833</v>
      </c>
      <c r="P2323" t="s">
        <v>2833</v>
      </c>
      <c r="Q2323" t="s">
        <v>2833</v>
      </c>
      <c r="R2323">
        <f ca="1">RAND()*(Validation[[#This Row],[Range1_High]]-Validation[[#This Row],[Range1_Low]])+Validation[[#This Row],[Range1_Low]]</f>
        <v>20900.230521365935</v>
      </c>
      <c r="S2323">
        <f>Validation[[#This Row],[Range2_High]]</f>
        <v>0</v>
      </c>
      <c r="T2323" t="str" cm="1">
        <f t="array" aca="1" ref="T2323" ca="1">RoundToTwoSigFigs(Validation[[#This Row],[Test Reading]]*Validation[[#This Row],[Mult]]+Validation[[#This Row],[Base]]) &amp;" "&amp;Validation[[#This Row],[Uncert_Units]]</f>
        <v>3300 WAC</v>
      </c>
      <c r="U2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V2323" t="b">
        <f ca="1">Validation[[#This Row],[Desired Result]]=Validation[[#This Row],[Result]]</f>
        <v>1</v>
      </c>
      <c r="W2323" t="b">
        <v>0</v>
      </c>
      <c r="X2323" t="b">
        <f>Validation[[#This Row],[Range1_Low]]&gt;=Validation[[#This Row],[Range1_High]]</f>
        <v>0</v>
      </c>
      <c r="Y2323" s="111" t="s">
        <v>2845</v>
      </c>
    </row>
    <row r="2324" spans="1:25" ht="16.5" thickTop="1" thickBot="1" x14ac:dyDescent="0.3">
      <c r="A2324" t="s">
        <v>54</v>
      </c>
      <c r="B2324" t="s">
        <v>99</v>
      </c>
      <c r="C2324" s="113">
        <v>1.0900000000000001</v>
      </c>
      <c r="D2324" s="113">
        <v>10.9001</v>
      </c>
      <c r="E2324">
        <v>1E-3</v>
      </c>
      <c r="F2324" t="s">
        <v>100</v>
      </c>
      <c r="G2324" t="s">
        <v>100</v>
      </c>
      <c r="H2324">
        <v>0</v>
      </c>
      <c r="I2324">
        <v>0</v>
      </c>
      <c r="J2324" t="s">
        <v>2833</v>
      </c>
      <c r="K2324">
        <v>0</v>
      </c>
      <c r="L2324">
        <v>1.3347000000000001E-3</v>
      </c>
      <c r="M2324">
        <v>0</v>
      </c>
      <c r="N2324">
        <v>0</v>
      </c>
      <c r="O2324" t="s">
        <v>2833</v>
      </c>
      <c r="P2324" t="s">
        <v>2833</v>
      </c>
      <c r="Q2324" t="s">
        <v>2833</v>
      </c>
      <c r="R2324">
        <f ca="1">RAND()*(Validation[[#This Row],[Range1_High]]-Validation[[#This Row],[Range1_Low]])+Validation[[#This Row],[Range1_Low]]</f>
        <v>7.880813781346653</v>
      </c>
      <c r="S2324">
        <f>Validation[[#This Row],[Range2_High]]</f>
        <v>0</v>
      </c>
      <c r="T2324" t="str" cm="1">
        <f t="array" aca="1" ref="T2324" ca="1">RoundToTwoSigFigs(Validation[[#This Row],[Test Reading]]*Validation[[#This Row],[Mult]]+Validation[[#This Row],[Base]]) &amp;" "&amp;Validation[[#This Row],[Uncert_Units]]</f>
        <v>0.011 WAC</v>
      </c>
      <c r="U2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0.011 WAC</v>
      </c>
      <c r="V2324" t="b">
        <f ca="1">Validation[[#This Row],[Desired Result]]=Validation[[#This Row],[Result]]</f>
        <v>1</v>
      </c>
      <c r="W2324" t="b">
        <v>1</v>
      </c>
      <c r="X2324" t="b">
        <f>Validation[[#This Row],[Range1_Low]]&gt;=Validation[[#This Row],[Range1_High]]</f>
        <v>0</v>
      </c>
      <c r="Y2324" s="111" t="s">
        <v>2843</v>
      </c>
    </row>
    <row r="2325" spans="1:25" ht="16.5" thickTop="1" thickBot="1" x14ac:dyDescent="0.3">
      <c r="A2325" t="s">
        <v>54</v>
      </c>
      <c r="B2325" t="s">
        <v>99</v>
      </c>
      <c r="C2325" s="113">
        <v>1.09E-3</v>
      </c>
      <c r="D2325" s="113">
        <v>1.0900099999999999E-2</v>
      </c>
      <c r="E2325">
        <v>9.9999999999999995E-8</v>
      </c>
      <c r="F2325" t="s">
        <v>100</v>
      </c>
      <c r="G2325" t="s">
        <v>100</v>
      </c>
      <c r="H2325">
        <v>0</v>
      </c>
      <c r="I2325">
        <v>0</v>
      </c>
      <c r="J2325" t="s">
        <v>2833</v>
      </c>
      <c r="K2325">
        <v>0</v>
      </c>
      <c r="L2325">
        <v>1.2999999999999999E-3</v>
      </c>
      <c r="M2325">
        <v>0</v>
      </c>
      <c r="N2325">
        <v>0</v>
      </c>
      <c r="O2325" t="s">
        <v>2833</v>
      </c>
      <c r="P2325" t="s">
        <v>2833</v>
      </c>
      <c r="Q2325" t="s">
        <v>2833</v>
      </c>
      <c r="R2325">
        <f ca="1">RAND()*(Validation[[#This Row],[Range1_High]]-Validation[[#This Row],[Range1_Low]])+Validation[[#This Row],[Range1_Low]]</f>
        <v>5.4234778129637678E-3</v>
      </c>
      <c r="S2325">
        <f>Validation[[#This Row],[Range2_High]]</f>
        <v>0</v>
      </c>
      <c r="T2325" t="str" cm="1">
        <f t="array" aca="1" ref="T2325" ca="1">RoundToTwoSigFigs(Validation[[#This Row],[Test Reading]]*Validation[[#This Row],[Mult]]+Validation[[#This Row],[Base]]) &amp;" "&amp;Validation[[#This Row],[Uncert_Units]]</f>
        <v>0.0000071 WAC</v>
      </c>
      <c r="U2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0.0000071 WAC</v>
      </c>
      <c r="V2325" t="b">
        <f ca="1">Validation[[#This Row],[Desired Result]]=Validation[[#This Row],[Result]]</f>
        <v>1</v>
      </c>
      <c r="W2325" t="b">
        <v>1</v>
      </c>
      <c r="X2325" t="b">
        <f>Validation[[#This Row],[Range1_Low]]&gt;=Validation[[#This Row],[Range1_High]]</f>
        <v>0</v>
      </c>
      <c r="Y2325" s="111" t="s">
        <v>2843</v>
      </c>
    </row>
    <row r="2326" spans="1:25" ht="16.5" thickTop="1" thickBot="1" x14ac:dyDescent="0.3">
      <c r="A2326" t="s">
        <v>54</v>
      </c>
      <c r="B2326" t="s">
        <v>99</v>
      </c>
      <c r="C2326" s="113">
        <v>0.109</v>
      </c>
      <c r="D2326" s="113">
        <v>1.0901000000000001</v>
      </c>
      <c r="E2326">
        <v>1E-4</v>
      </c>
      <c r="F2326" t="s">
        <v>100</v>
      </c>
      <c r="G2326" t="s">
        <v>100</v>
      </c>
      <c r="H2326">
        <v>0</v>
      </c>
      <c r="I2326">
        <v>0</v>
      </c>
      <c r="J2326" t="s">
        <v>2833</v>
      </c>
      <c r="K2326">
        <v>0</v>
      </c>
      <c r="L2326">
        <v>9.4282999999999997E-4</v>
      </c>
      <c r="M2326">
        <v>0</v>
      </c>
      <c r="N2326">
        <v>0</v>
      </c>
      <c r="O2326" t="s">
        <v>2833</v>
      </c>
      <c r="P2326" t="s">
        <v>2833</v>
      </c>
      <c r="Q2326" t="s">
        <v>2833</v>
      </c>
      <c r="R2326">
        <f ca="1">RAND()*(Validation[[#This Row],[Range1_High]]-Validation[[#This Row],[Range1_Low]])+Validation[[#This Row],[Range1_Low]]</f>
        <v>1.0288253084818217</v>
      </c>
      <c r="S2326">
        <f>Validation[[#This Row],[Range2_High]]</f>
        <v>0</v>
      </c>
      <c r="T2326" t="str" cm="1">
        <f t="array" aca="1" ref="T2326" ca="1">RoundToTwoSigFigs(Validation[[#This Row],[Test Reading]]*Validation[[#This Row],[Mult]]+Validation[[#This Row],[Base]]) &amp;" "&amp;Validation[[#This Row],[Uncert_Units]]</f>
        <v>0.00097 WAC</v>
      </c>
      <c r="U2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0.00097 WAC</v>
      </c>
      <c r="V2326" t="b">
        <f ca="1">Validation[[#This Row],[Desired Result]]=Validation[[#This Row],[Result]]</f>
        <v>1</v>
      </c>
      <c r="W2326" t="b">
        <v>1</v>
      </c>
      <c r="X2326" t="b">
        <f>Validation[[#This Row],[Range1_Low]]&gt;=Validation[[#This Row],[Range1_High]]</f>
        <v>0</v>
      </c>
      <c r="Y2326" s="111" t="s">
        <v>2843</v>
      </c>
    </row>
    <row r="2327" spans="1:25" ht="16.5" thickTop="1" thickBot="1" x14ac:dyDescent="0.3">
      <c r="A2327" t="s">
        <v>54</v>
      </c>
      <c r="B2327" t="s">
        <v>99</v>
      </c>
      <c r="C2327" s="113">
        <v>0.109</v>
      </c>
      <c r="D2327" s="113">
        <v>1.0901000000000001</v>
      </c>
      <c r="E2327">
        <v>1E-3</v>
      </c>
      <c r="F2327" t="s">
        <v>100</v>
      </c>
      <c r="G2327" t="s">
        <v>100</v>
      </c>
      <c r="H2327">
        <v>0</v>
      </c>
      <c r="I2327">
        <v>0</v>
      </c>
      <c r="J2327" t="s">
        <v>2833</v>
      </c>
      <c r="K2327">
        <v>0</v>
      </c>
      <c r="L2327">
        <v>5.3845999999999998E-3</v>
      </c>
      <c r="M2327">
        <v>0</v>
      </c>
      <c r="N2327">
        <v>0</v>
      </c>
      <c r="O2327" t="s">
        <v>2833</v>
      </c>
      <c r="P2327" t="s">
        <v>2833</v>
      </c>
      <c r="Q2327" t="s">
        <v>2833</v>
      </c>
      <c r="R2327">
        <f ca="1">RAND()*(Validation[[#This Row],[Range1_High]]-Validation[[#This Row],[Range1_Low]])+Validation[[#This Row],[Range1_Low]]</f>
        <v>0.223633112108854</v>
      </c>
      <c r="S2327">
        <f>Validation[[#This Row],[Range2_High]]</f>
        <v>0</v>
      </c>
      <c r="T2327" t="str" cm="1">
        <f t="array" aca="1" ref="T2327" ca="1">RoundToTwoSigFigs(Validation[[#This Row],[Test Reading]]*Validation[[#This Row],[Mult]]+Validation[[#This Row],[Base]]) &amp;" "&amp;Validation[[#This Row],[Uncert_Units]]</f>
        <v>0.0012 WAC</v>
      </c>
      <c r="U2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0.0012 WAC</v>
      </c>
      <c r="V2327" t="b">
        <f ca="1">Validation[[#This Row],[Desired Result]]=Validation[[#This Row],[Result]]</f>
        <v>1</v>
      </c>
      <c r="W2327" t="b">
        <v>1</v>
      </c>
      <c r="X2327" t="b">
        <f>Validation[[#This Row],[Range1_Low]]&gt;=Validation[[#This Row],[Range1_High]]</f>
        <v>0</v>
      </c>
      <c r="Y2327" s="111" t="s">
        <v>2843</v>
      </c>
    </row>
    <row r="2328" spans="1:25" ht="16.5" thickTop="1" thickBot="1" x14ac:dyDescent="0.3">
      <c r="A2328" t="s">
        <v>54</v>
      </c>
      <c r="B2328" t="s">
        <v>99</v>
      </c>
      <c r="C2328">
        <v>0</v>
      </c>
      <c r="D2328">
        <v>1.0900099999999999E-5</v>
      </c>
      <c r="E2328">
        <v>1E-8</v>
      </c>
      <c r="F2328" t="s">
        <v>100</v>
      </c>
      <c r="G2328" t="s">
        <v>100</v>
      </c>
      <c r="H2328">
        <v>0</v>
      </c>
      <c r="I2328">
        <v>0</v>
      </c>
      <c r="J2328" t="s">
        <v>2833</v>
      </c>
      <c r="K2328">
        <v>0</v>
      </c>
      <c r="L2328">
        <v>6.2989000000000003E-2</v>
      </c>
      <c r="M2328">
        <v>0</v>
      </c>
      <c r="N2328">
        <v>0</v>
      </c>
      <c r="O2328" t="s">
        <v>2833</v>
      </c>
      <c r="P2328" t="s">
        <v>2833</v>
      </c>
      <c r="Q2328" t="s">
        <v>2833</v>
      </c>
      <c r="R2328">
        <f ca="1">RAND()*(Validation[[#This Row],[Range1_High]]-Validation[[#This Row],[Range1_Low]])+Validation[[#This Row],[Range1_Low]]</f>
        <v>2.6185219975644594E-6</v>
      </c>
      <c r="S2328">
        <f>Validation[[#This Row],[Range2_High]]</f>
        <v>0</v>
      </c>
      <c r="T2328" t="str" cm="1">
        <f t="array" aca="1" ref="T2328" ca="1">RoundToTwoSigFigs(Validation[[#This Row],[Test Reading]]*Validation[[#This Row],[Mult]]+Validation[[#This Row],[Base]]) &amp;" "&amp;Validation[[#This Row],[Uncert_Units]]</f>
        <v>0.00000016 WAC</v>
      </c>
      <c r="U2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0.00000016 WAC</v>
      </c>
      <c r="V2328" t="b">
        <f ca="1">Validation[[#This Row],[Desired Result]]=Validation[[#This Row],[Result]]</f>
        <v>1</v>
      </c>
      <c r="W2328" t="b">
        <v>0</v>
      </c>
      <c r="X2328" t="b">
        <f>Validation[[#This Row],[Range1_Low]]&gt;=Validation[[#This Row],[Range1_High]]</f>
        <v>0</v>
      </c>
      <c r="Y2328" s="111" t="s">
        <v>2845</v>
      </c>
    </row>
    <row r="2329" spans="1:25" ht="16.5" thickTop="1" thickBot="1" x14ac:dyDescent="0.3">
      <c r="A2329" t="s">
        <v>54</v>
      </c>
      <c r="B2329" t="s">
        <v>99</v>
      </c>
      <c r="C2329" s="113">
        <v>363</v>
      </c>
      <c r="D2329" s="113">
        <v>990.00009999999997</v>
      </c>
      <c r="E2329">
        <v>0.1</v>
      </c>
      <c r="F2329" t="s">
        <v>100</v>
      </c>
      <c r="G2329" t="s">
        <v>100</v>
      </c>
      <c r="H2329">
        <v>0</v>
      </c>
      <c r="I2329">
        <v>0</v>
      </c>
      <c r="J2329" t="s">
        <v>2833</v>
      </c>
      <c r="K2329">
        <v>0</v>
      </c>
      <c r="L2329">
        <v>1.0070000000000001E-3</v>
      </c>
      <c r="M2329">
        <v>0</v>
      </c>
      <c r="N2329">
        <v>0</v>
      </c>
      <c r="O2329" t="s">
        <v>2833</v>
      </c>
      <c r="P2329" t="s">
        <v>2833</v>
      </c>
      <c r="Q2329" t="s">
        <v>2833</v>
      </c>
      <c r="R2329">
        <f ca="1">RAND()*(Validation[[#This Row],[Range1_High]]-Validation[[#This Row],[Range1_Low]])+Validation[[#This Row],[Range1_Low]]</f>
        <v>416.5450240793017</v>
      </c>
      <c r="S2329">
        <f>Validation[[#This Row],[Range2_High]]</f>
        <v>0</v>
      </c>
      <c r="T2329" t="str" cm="1">
        <f t="array" aca="1" ref="T2329" ca="1">RoundToTwoSigFigs(Validation[[#This Row],[Test Reading]]*Validation[[#This Row],[Mult]]+Validation[[#This Row],[Base]]) &amp;" "&amp;Validation[[#This Row],[Uncert_Units]]</f>
        <v>0.42 WAC</v>
      </c>
      <c r="U2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WAC</v>
      </c>
      <c r="V2329" t="b">
        <f ca="1">Validation[[#This Row],[Desired Result]]=Validation[[#This Row],[Result]]</f>
        <v>1</v>
      </c>
      <c r="W2329" t="b">
        <v>1</v>
      </c>
      <c r="X2329" t="b">
        <f>Validation[[#This Row],[Range1_Low]]&gt;=Validation[[#This Row],[Range1_High]]</f>
        <v>0</v>
      </c>
      <c r="Y2329" s="111" t="s">
        <v>2843</v>
      </c>
    </row>
    <row r="2330" spans="1:25" ht="15.75" thickTop="1" x14ac:dyDescent="0.25">
      <c r="A2330" t="s">
        <v>54</v>
      </c>
      <c r="B2330" t="s">
        <v>99</v>
      </c>
      <c r="C2330">
        <v>1.0900000000000001</v>
      </c>
      <c r="D2330">
        <v>10.9001</v>
      </c>
      <c r="E2330">
        <v>1</v>
      </c>
      <c r="F2330" t="s">
        <v>100</v>
      </c>
      <c r="G2330" t="s">
        <v>100</v>
      </c>
      <c r="H2330">
        <v>0</v>
      </c>
      <c r="I2330">
        <v>0</v>
      </c>
      <c r="J2330" t="s">
        <v>2833</v>
      </c>
      <c r="K2330">
        <v>0</v>
      </c>
      <c r="L2330">
        <v>0.53259999999999996</v>
      </c>
      <c r="M2330">
        <v>0</v>
      </c>
      <c r="N2330">
        <v>0</v>
      </c>
      <c r="O2330" t="s">
        <v>2833</v>
      </c>
      <c r="P2330" t="s">
        <v>2833</v>
      </c>
      <c r="Q2330" t="s">
        <v>2833</v>
      </c>
      <c r="R2330">
        <f ca="1">RAND()*(Validation[[#This Row],[Range1_High]]-Validation[[#This Row],[Range1_Low]])+Validation[[#This Row],[Range1_Low]]</f>
        <v>9.22100500093131</v>
      </c>
      <c r="S2330">
        <f>Validation[[#This Row],[Range2_High]]</f>
        <v>0</v>
      </c>
      <c r="T2330" t="str" cm="1">
        <f t="array" aca="1" ref="T2330" ca="1">RoundToTwoSigFigs(Validation[[#This Row],[Test Reading]]*Validation[[#This Row],[Mult]]+Validation[[#This Row],[Base]]) &amp;" "&amp;Validation[[#This Row],[Uncert_Units]]</f>
        <v>4.9 WAC</v>
      </c>
      <c r="U2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WAC</v>
      </c>
      <c r="V2330" t="b">
        <f ca="1">Validation[[#This Row],[Desired Result]]=Validation[[#This Row],[Result]]</f>
        <v>1</v>
      </c>
      <c r="W2330" t="b">
        <v>0</v>
      </c>
      <c r="X2330" t="b">
        <f>Validation[[#This Row],[Range1_Low]]&gt;=Validation[[#This Row],[Range1_High]]</f>
        <v>0</v>
      </c>
      <c r="Y2330" s="111" t="s">
        <v>2845</v>
      </c>
    </row>
    <row r="2331" spans="1:25" ht="15.75" thickBot="1" x14ac:dyDescent="0.3">
      <c r="A2331" t="s">
        <v>54</v>
      </c>
      <c r="B2331" t="s">
        <v>99</v>
      </c>
      <c r="C2331">
        <v>990</v>
      </c>
      <c r="D2331">
        <v>3630.1</v>
      </c>
      <c r="E2331">
        <v>1000</v>
      </c>
      <c r="F2331" t="s">
        <v>100</v>
      </c>
      <c r="G2331" t="s">
        <v>100</v>
      </c>
      <c r="H2331">
        <v>0</v>
      </c>
      <c r="I2331">
        <v>0</v>
      </c>
      <c r="J2331" t="s">
        <v>2833</v>
      </c>
      <c r="K2331">
        <v>0</v>
      </c>
      <c r="L2331">
        <v>0.58586000000000005</v>
      </c>
      <c r="M2331">
        <v>0</v>
      </c>
      <c r="N2331">
        <v>0</v>
      </c>
      <c r="O2331" t="s">
        <v>2833</v>
      </c>
      <c r="P2331" t="s">
        <v>2833</v>
      </c>
      <c r="Q2331" t="s">
        <v>2833</v>
      </c>
      <c r="R2331">
        <f ca="1">RAND()*(Validation[[#This Row],[Range1_High]]-Validation[[#This Row],[Range1_Low]])+Validation[[#This Row],[Range1_Low]]</f>
        <v>1612.0942983707841</v>
      </c>
      <c r="S2331">
        <f>Validation[[#This Row],[Range2_High]]</f>
        <v>0</v>
      </c>
      <c r="T2331" t="str" cm="1">
        <f t="array" aca="1" ref="T2331" ca="1">RoundToTwoSigFigs(Validation[[#This Row],[Test Reading]]*Validation[[#This Row],[Mult]]+Validation[[#This Row],[Base]]) &amp;" "&amp;Validation[[#This Row],[Uncert_Units]]</f>
        <v>940 WAC</v>
      </c>
      <c r="U2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WAC</v>
      </c>
      <c r="V2331" t="b">
        <f ca="1">Validation[[#This Row],[Desired Result]]=Validation[[#This Row],[Result]]</f>
        <v>1</v>
      </c>
      <c r="W2331" t="b">
        <v>0</v>
      </c>
      <c r="X2331" t="b">
        <f>Validation[[#This Row],[Range1_Low]]&gt;=Validation[[#This Row],[Range1_High]]</f>
        <v>0</v>
      </c>
      <c r="Y2331" s="111" t="s">
        <v>2845</v>
      </c>
    </row>
    <row r="2332" spans="1:25" ht="16.5" thickTop="1" thickBot="1" x14ac:dyDescent="0.3">
      <c r="A2332" t="s">
        <v>54</v>
      </c>
      <c r="B2332" t="s">
        <v>99</v>
      </c>
      <c r="C2332" s="113">
        <v>109</v>
      </c>
      <c r="D2332" s="113">
        <v>363.00009999999997</v>
      </c>
      <c r="E2332">
        <v>0.1</v>
      </c>
      <c r="F2332" t="s">
        <v>100</v>
      </c>
      <c r="G2332" t="s">
        <v>100</v>
      </c>
      <c r="H2332">
        <v>0</v>
      </c>
      <c r="I2332">
        <v>0</v>
      </c>
      <c r="J2332" t="s">
        <v>2833</v>
      </c>
      <c r="K2332">
        <v>0</v>
      </c>
      <c r="L2332">
        <v>1.2283999999999999E-3</v>
      </c>
      <c r="M2332">
        <v>0</v>
      </c>
      <c r="N2332">
        <v>0</v>
      </c>
      <c r="O2332" t="s">
        <v>2833</v>
      </c>
      <c r="P2332" t="s">
        <v>2833</v>
      </c>
      <c r="Q2332" t="s">
        <v>2833</v>
      </c>
      <c r="R2332">
        <f ca="1">RAND()*(Validation[[#This Row],[Range1_High]]-Validation[[#This Row],[Range1_Low]])+Validation[[#This Row],[Range1_Low]]</f>
        <v>358.5621597713909</v>
      </c>
      <c r="S2332">
        <f>Validation[[#This Row],[Range2_High]]</f>
        <v>0</v>
      </c>
      <c r="T2332" t="str" cm="1">
        <f t="array" aca="1" ref="T2332" ca="1">RoundToTwoSigFigs(Validation[[#This Row],[Test Reading]]*Validation[[#This Row],[Mult]]+Validation[[#This Row],[Base]]) &amp;" "&amp;Validation[[#This Row],[Uncert_Units]]</f>
        <v>0.44 WAC</v>
      </c>
      <c r="U2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WAC</v>
      </c>
      <c r="V2332" t="b">
        <f ca="1">Validation[[#This Row],[Desired Result]]=Validation[[#This Row],[Result]]</f>
        <v>1</v>
      </c>
      <c r="W2332" t="b">
        <v>1</v>
      </c>
      <c r="X2332" t="b">
        <f>Validation[[#This Row],[Range1_Low]]&gt;=Validation[[#This Row],[Range1_High]]</f>
        <v>0</v>
      </c>
      <c r="Y2332" s="111" t="s">
        <v>2843</v>
      </c>
    </row>
    <row r="2333" spans="1:25" ht="16.5" thickTop="1" thickBot="1" x14ac:dyDescent="0.3">
      <c r="A2333" t="s">
        <v>54</v>
      </c>
      <c r="B2333" t="s">
        <v>99</v>
      </c>
      <c r="C2333" s="113">
        <v>1.09E-2</v>
      </c>
      <c r="D2333" s="113">
        <v>0.1090001</v>
      </c>
      <c r="E2333">
        <v>1E-3</v>
      </c>
      <c r="F2333" t="s">
        <v>100</v>
      </c>
      <c r="G2333" t="s">
        <v>100</v>
      </c>
      <c r="H2333">
        <v>0</v>
      </c>
      <c r="I2333">
        <v>0</v>
      </c>
      <c r="J2333" t="s">
        <v>2833</v>
      </c>
      <c r="K2333">
        <v>0</v>
      </c>
      <c r="L2333">
        <v>5.3267000000000002E-2</v>
      </c>
      <c r="M2333">
        <v>0</v>
      </c>
      <c r="N2333">
        <v>0</v>
      </c>
      <c r="O2333" t="s">
        <v>2833</v>
      </c>
      <c r="P2333" t="s">
        <v>2833</v>
      </c>
      <c r="Q2333" t="s">
        <v>2833</v>
      </c>
      <c r="R2333">
        <f ca="1">RAND()*(Validation[[#This Row],[Range1_High]]-Validation[[#This Row],[Range1_Low]])+Validation[[#This Row],[Range1_Low]]</f>
        <v>3.3325997695730858E-2</v>
      </c>
      <c r="S2333">
        <f>Validation[[#This Row],[Range2_High]]</f>
        <v>0</v>
      </c>
      <c r="T2333" t="str" cm="1">
        <f t="array" aca="1" ref="T2333" ca="1">RoundToTwoSigFigs(Validation[[#This Row],[Test Reading]]*Validation[[#This Row],[Mult]]+Validation[[#This Row],[Base]]) &amp;" "&amp;Validation[[#This Row],[Uncert_Units]]</f>
        <v>0.0018 WAC</v>
      </c>
      <c r="U2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0.0018 WAC</v>
      </c>
      <c r="V2333" t="b">
        <f ca="1">Validation[[#This Row],[Desired Result]]=Validation[[#This Row],[Result]]</f>
        <v>1</v>
      </c>
      <c r="W2333" t="b">
        <v>1</v>
      </c>
      <c r="X2333" t="b">
        <f>Validation[[#This Row],[Range1_Low]]&gt;=Validation[[#This Row],[Range1_High]]</f>
        <v>0</v>
      </c>
      <c r="Y2333" s="111" t="s">
        <v>2843</v>
      </c>
    </row>
    <row r="2334" spans="1:25" ht="16.5" thickTop="1" thickBot="1" x14ac:dyDescent="0.3">
      <c r="A2334" t="s">
        <v>56</v>
      </c>
      <c r="B2334" t="s">
        <v>69</v>
      </c>
      <c r="C2334">
        <v>0.1</v>
      </c>
      <c r="D2334">
        <v>1</v>
      </c>
      <c r="E2334">
        <v>0.01</v>
      </c>
      <c r="F2334" t="s">
        <v>6</v>
      </c>
      <c r="G2334" t="s">
        <v>5</v>
      </c>
      <c r="H2334">
        <v>0</v>
      </c>
      <c r="I2334">
        <v>0</v>
      </c>
      <c r="J2334" t="s">
        <v>2833</v>
      </c>
      <c r="K2334">
        <v>5800</v>
      </c>
      <c r="L2334">
        <v>0.19328999999999999</v>
      </c>
      <c r="M2334">
        <v>5800</v>
      </c>
      <c r="N2334">
        <v>0.19042000000000001</v>
      </c>
      <c r="O2334" t="s">
        <v>168</v>
      </c>
      <c r="P2334" t="s">
        <v>2833</v>
      </c>
      <c r="Q2334" t="s">
        <v>2833</v>
      </c>
      <c r="R2334">
        <f ca="1">RAND()*(Validation[[#This Row],[Range1_High]]-Validation[[#This Row],[Range1_Low]])+Validation[[#This Row],[Range1_Low]]</f>
        <v>0.97245690519952999</v>
      </c>
      <c r="S2334">
        <f>Validation[[#This Row],[Range2_High]]</f>
        <v>0</v>
      </c>
      <c r="T2334" t="str" cm="1">
        <f t="array" aca="1" ref="T2334" ca="1">RoundToTwoSigFigs(Validation[[#This Row],[Test Reading]]*Validation[[#This Row],[Mult]]+Validation[[#This Row],[Base]]) &amp;" "&amp;Validation[[#This Row],[Uncert_Units]]</f>
        <v>5800 µV</v>
      </c>
      <c r="U2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334" t="b">
        <f ca="1">Validation[[#This Row],[Desired Result]]=Validation[[#This Row],[Result]]</f>
        <v>1</v>
      </c>
      <c r="W2334" t="b">
        <v>0</v>
      </c>
      <c r="X2334" t="b">
        <f>Validation[[#This Row],[Range1_Low]]&gt;=Validation[[#This Row],[Range1_High]]</f>
        <v>0</v>
      </c>
      <c r="Y2334" s="111" t="s">
        <v>2845</v>
      </c>
    </row>
    <row r="2335" spans="1:25" ht="16.5" thickTop="1" thickBot="1" x14ac:dyDescent="0.3">
      <c r="A2335" t="s">
        <v>56</v>
      </c>
      <c r="B2335" t="s">
        <v>69</v>
      </c>
      <c r="C2335" s="113">
        <v>1E-3</v>
      </c>
      <c r="D2335" s="113">
        <v>0.01</v>
      </c>
      <c r="E2335">
        <v>9.9999999999999995E-7</v>
      </c>
      <c r="F2335" t="s">
        <v>6</v>
      </c>
      <c r="G2335" t="s">
        <v>5</v>
      </c>
      <c r="H2335">
        <v>0</v>
      </c>
      <c r="I2335">
        <v>0</v>
      </c>
      <c r="J2335" t="s">
        <v>2833</v>
      </c>
      <c r="K2335">
        <v>0.62</v>
      </c>
      <c r="L2335">
        <v>19.155000000000001</v>
      </c>
      <c r="M2335">
        <v>0.56725000000000003</v>
      </c>
      <c r="N2335">
        <v>22.911999999999999</v>
      </c>
      <c r="O2335" t="s">
        <v>168</v>
      </c>
      <c r="P2335" t="s">
        <v>2833</v>
      </c>
      <c r="Q2335" t="s">
        <v>2833</v>
      </c>
      <c r="R2335">
        <f ca="1">RAND()*(Validation[[#This Row],[Range1_High]]-Validation[[#This Row],[Range1_Low]])+Validation[[#This Row],[Range1_Low]]</f>
        <v>6.7365990143968806E-3</v>
      </c>
      <c r="S2335">
        <f>Validation[[#This Row],[Range2_High]]</f>
        <v>0</v>
      </c>
      <c r="T2335" t="str" cm="1">
        <f t="array" aca="1" ref="T2335" ca="1">RoundToTwoSigFigs(Validation[[#This Row],[Test Reading]]*Validation[[#This Row],[Mult]]+Validation[[#This Row],[Base]]) &amp;" "&amp;Validation[[#This Row],[Uncert_Units]]</f>
        <v>0.75 µV</v>
      </c>
      <c r="U2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µV</v>
      </c>
      <c r="V2335" t="b">
        <f ca="1">Validation[[#This Row],[Desired Result]]=Validation[[#This Row],[Result]]</f>
        <v>1</v>
      </c>
      <c r="W2335" t="b">
        <v>1</v>
      </c>
      <c r="X2335" t="b">
        <f>Validation[[#This Row],[Range1_Low]]&gt;=Validation[[#This Row],[Range1_High]]</f>
        <v>0</v>
      </c>
      <c r="Y2335" s="111" t="s">
        <v>2843</v>
      </c>
    </row>
    <row r="2336" spans="1:25" ht="16.5" thickTop="1" thickBot="1" x14ac:dyDescent="0.3">
      <c r="A2336" t="s">
        <v>56</v>
      </c>
      <c r="B2336" t="s">
        <v>69</v>
      </c>
      <c r="C2336">
        <v>0.01</v>
      </c>
      <c r="D2336">
        <v>0.1</v>
      </c>
      <c r="E2336">
        <v>1E-3</v>
      </c>
      <c r="F2336" t="s">
        <v>6</v>
      </c>
      <c r="G2336" t="s">
        <v>5</v>
      </c>
      <c r="H2336">
        <v>0</v>
      </c>
      <c r="I2336">
        <v>0</v>
      </c>
      <c r="J2336" t="s">
        <v>2833</v>
      </c>
      <c r="K2336">
        <v>580</v>
      </c>
      <c r="L2336">
        <v>0.16048999999999999</v>
      </c>
      <c r="M2336">
        <v>580</v>
      </c>
      <c r="N2336">
        <v>0.15709999999999999</v>
      </c>
      <c r="O2336" t="s">
        <v>168</v>
      </c>
      <c r="P2336" t="s">
        <v>2833</v>
      </c>
      <c r="Q2336" t="s">
        <v>2833</v>
      </c>
      <c r="R2336">
        <f ca="1">RAND()*(Validation[[#This Row],[Range1_High]]-Validation[[#This Row],[Range1_Low]])+Validation[[#This Row],[Range1_Low]]</f>
        <v>9.0859886617126739E-2</v>
      </c>
      <c r="S2336">
        <f>Validation[[#This Row],[Range2_High]]</f>
        <v>0</v>
      </c>
      <c r="T2336" t="str" cm="1">
        <f t="array" aca="1" ref="T2336" ca="1">RoundToTwoSigFigs(Validation[[#This Row],[Test Reading]]*Validation[[#This Row],[Mult]]+Validation[[#This Row],[Base]]) &amp;" "&amp;Validation[[#This Row],[Uncert_Units]]</f>
        <v>580 µV</v>
      </c>
      <c r="U2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336" t="b">
        <f ca="1">Validation[[#This Row],[Desired Result]]=Validation[[#This Row],[Result]]</f>
        <v>1</v>
      </c>
      <c r="W2336" t="b">
        <v>0</v>
      </c>
      <c r="X2336" t="b">
        <f>Validation[[#This Row],[Range1_Low]]&gt;=Validation[[#This Row],[Range1_High]]</f>
        <v>0</v>
      </c>
      <c r="Y2336" s="111" t="s">
        <v>2845</v>
      </c>
    </row>
    <row r="2337" spans="1:25" ht="16.5" thickTop="1" thickBot="1" x14ac:dyDescent="0.3">
      <c r="A2337" t="s">
        <v>56</v>
      </c>
      <c r="B2337" t="s">
        <v>69</v>
      </c>
      <c r="C2337" s="113">
        <v>10</v>
      </c>
      <c r="D2337" s="113">
        <v>100</v>
      </c>
      <c r="E2337">
        <v>1</v>
      </c>
      <c r="F2337" t="s">
        <v>6</v>
      </c>
      <c r="G2337" t="s">
        <v>4</v>
      </c>
      <c r="H2337">
        <v>0</v>
      </c>
      <c r="I2337">
        <v>0</v>
      </c>
      <c r="J2337" t="s">
        <v>2833</v>
      </c>
      <c r="K2337">
        <v>580</v>
      </c>
      <c r="L2337">
        <v>2.0100000000000001E-4</v>
      </c>
      <c r="M2337">
        <v>580</v>
      </c>
      <c r="N2337">
        <v>1.9806000000000001E-4</v>
      </c>
      <c r="O2337" t="s">
        <v>168</v>
      </c>
      <c r="P2337" t="s">
        <v>2833</v>
      </c>
      <c r="Q2337" t="s">
        <v>2833</v>
      </c>
      <c r="R2337">
        <f ca="1">RAND()*(Validation[[#This Row],[Range1_High]]-Validation[[#This Row],[Range1_Low]])+Validation[[#This Row],[Range1_Low]]</f>
        <v>65.204175967028888</v>
      </c>
      <c r="S2337">
        <f>Validation[[#This Row],[Range2_High]]</f>
        <v>0</v>
      </c>
      <c r="T2337" t="str" cm="1">
        <f t="array" aca="1" ref="T2337" ca="1">RoundToTwoSigFigs(Validation[[#This Row],[Test Reading]]*Validation[[#This Row],[Mult]]+Validation[[#This Row],[Base]]) &amp;" "&amp;Validation[[#This Row],[Uncert_Units]]</f>
        <v>580 mV</v>
      </c>
      <c r="U2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2337" t="b">
        <f ca="1">Validation[[#This Row],[Desired Result]]=Validation[[#This Row],[Result]]</f>
        <v>1</v>
      </c>
      <c r="W2337" t="b">
        <v>1</v>
      </c>
      <c r="X2337" t="b">
        <f>Validation[[#This Row],[Range1_Low]]&gt;=Validation[[#This Row],[Range1_High]]</f>
        <v>0</v>
      </c>
      <c r="Y2337" s="111" t="s">
        <v>2843</v>
      </c>
    </row>
    <row r="2338" spans="1:25" ht="15.75" thickTop="1" x14ac:dyDescent="0.25">
      <c r="A2338" t="s">
        <v>56</v>
      </c>
      <c r="B2338" t="s">
        <v>69</v>
      </c>
      <c r="C2338">
        <v>1E-3</v>
      </c>
      <c r="D2338">
        <v>0.01</v>
      </c>
      <c r="E2338">
        <v>1E-8</v>
      </c>
      <c r="F2338" t="s">
        <v>6</v>
      </c>
      <c r="G2338" t="s">
        <v>5</v>
      </c>
      <c r="H2338">
        <v>0</v>
      </c>
      <c r="I2338">
        <v>0</v>
      </c>
      <c r="J2338" t="s">
        <v>2833</v>
      </c>
      <c r="K2338">
        <v>0.62</v>
      </c>
      <c r="L2338">
        <v>4.5</v>
      </c>
      <c r="M2338">
        <v>6.0671999999999997E-2</v>
      </c>
      <c r="N2338">
        <v>48.506</v>
      </c>
      <c r="O2338" t="s">
        <v>168</v>
      </c>
      <c r="P2338" t="s">
        <v>2833</v>
      </c>
      <c r="Q2338" t="s">
        <v>2833</v>
      </c>
      <c r="R2338">
        <f ca="1">RAND()*(Validation[[#This Row],[Range1_High]]-Validation[[#This Row],[Range1_Low]])+Validation[[#This Row],[Range1_Low]]</f>
        <v>2.1275148045525162E-3</v>
      </c>
      <c r="S2338">
        <f>Validation[[#This Row],[Range2_High]]</f>
        <v>0</v>
      </c>
      <c r="T2338" t="str" cm="1">
        <f t="array" aca="1" ref="T2338" ca="1">RoundToTwoSigFigs(Validation[[#This Row],[Test Reading]]*Validation[[#This Row],[Mult]]+Validation[[#This Row],[Base]]) &amp;" "&amp;Validation[[#This Row],[Uncert_Units]]</f>
        <v>0.63 µV</v>
      </c>
      <c r="U2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µV</v>
      </c>
      <c r="V2338" t="b">
        <f ca="1">Validation[[#This Row],[Desired Result]]=Validation[[#This Row],[Result]]</f>
        <v>1</v>
      </c>
      <c r="W2338" t="b">
        <v>0</v>
      </c>
      <c r="X2338" t="b">
        <f>Validation[[#This Row],[Range1_Low]]&gt;=Validation[[#This Row],[Range1_High]]</f>
        <v>0</v>
      </c>
      <c r="Y2338" s="111" t="s">
        <v>2845</v>
      </c>
    </row>
    <row r="2339" spans="1:25" ht="15.75" thickBot="1" x14ac:dyDescent="0.3">
      <c r="A2339" t="s">
        <v>56</v>
      </c>
      <c r="B2339" t="s">
        <v>69</v>
      </c>
      <c r="C2339">
        <v>0</v>
      </c>
      <c r="D2339">
        <v>1E-3</v>
      </c>
      <c r="E2339">
        <v>9.9999999999999995E-8</v>
      </c>
      <c r="F2339" t="s">
        <v>6</v>
      </c>
      <c r="G2339" t="s">
        <v>5</v>
      </c>
      <c r="H2339">
        <v>0</v>
      </c>
      <c r="I2339">
        <v>0</v>
      </c>
      <c r="J2339" t="s">
        <v>2833</v>
      </c>
      <c r="K2339">
        <v>0.62</v>
      </c>
      <c r="L2339">
        <v>4.5</v>
      </c>
      <c r="M2339">
        <v>6.2206999999999998E-2</v>
      </c>
      <c r="N2339">
        <v>53.073</v>
      </c>
      <c r="O2339" t="s">
        <v>168</v>
      </c>
      <c r="P2339" t="s">
        <v>2833</v>
      </c>
      <c r="Q2339" t="s">
        <v>2833</v>
      </c>
      <c r="R2339">
        <f ca="1">RAND()*(Validation[[#This Row],[Range1_High]]-Validation[[#This Row],[Range1_Low]])+Validation[[#This Row],[Range1_Low]]</f>
        <v>3.9988781204367154E-4</v>
      </c>
      <c r="S2339">
        <f>Validation[[#This Row],[Range2_High]]</f>
        <v>0</v>
      </c>
      <c r="T2339" t="str" cm="1">
        <f t="array" aca="1" ref="T2339" ca="1">RoundToTwoSigFigs(Validation[[#This Row],[Test Reading]]*Validation[[#This Row],[Mult]]+Validation[[#This Row],[Base]]) &amp;" "&amp;Validation[[#This Row],[Uncert_Units]]</f>
        <v>0.62 µV</v>
      </c>
      <c r="U2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V2339" t="b">
        <f ca="1">Validation[[#This Row],[Desired Result]]=Validation[[#This Row],[Result]]</f>
        <v>1</v>
      </c>
      <c r="W2339" t="b">
        <v>0</v>
      </c>
      <c r="X2339" t="b">
        <f>Validation[[#This Row],[Range1_Low]]&gt;=Validation[[#This Row],[Range1_High]]</f>
        <v>0</v>
      </c>
      <c r="Y2339" s="111" t="s">
        <v>2845</v>
      </c>
    </row>
    <row r="2340" spans="1:25" ht="16.5" thickTop="1" thickBot="1" x14ac:dyDescent="0.3">
      <c r="A2340" t="s">
        <v>56</v>
      </c>
      <c r="B2340" t="s">
        <v>69</v>
      </c>
      <c r="C2340" s="113">
        <v>10</v>
      </c>
      <c r="D2340" s="113">
        <v>100</v>
      </c>
      <c r="E2340">
        <v>1E-3</v>
      </c>
      <c r="F2340" t="s">
        <v>6</v>
      </c>
      <c r="G2340" t="s">
        <v>4</v>
      </c>
      <c r="H2340">
        <v>0</v>
      </c>
      <c r="I2340">
        <v>0</v>
      </c>
      <c r="J2340" t="s">
        <v>2833</v>
      </c>
      <c r="K2340">
        <v>0.74950000000000006</v>
      </c>
      <c r="L2340">
        <v>3.9399000000000003E-2</v>
      </c>
      <c r="M2340">
        <v>0.74878999999999996</v>
      </c>
      <c r="N2340">
        <v>3.9399000000000003E-2</v>
      </c>
      <c r="O2340" t="s">
        <v>168</v>
      </c>
      <c r="P2340" t="s">
        <v>2833</v>
      </c>
      <c r="Q2340" t="s">
        <v>2833</v>
      </c>
      <c r="R2340">
        <f ca="1">RAND()*(Validation[[#This Row],[Range1_High]]-Validation[[#This Row],[Range1_Low]])+Validation[[#This Row],[Range1_Low]]</f>
        <v>24.447103399268769</v>
      </c>
      <c r="S2340">
        <f>Validation[[#This Row],[Range2_High]]</f>
        <v>0</v>
      </c>
      <c r="T2340" t="str" cm="1">
        <f t="array" aca="1" ref="T2340" ca="1">RoundToTwoSigFigs(Validation[[#This Row],[Test Reading]]*Validation[[#This Row],[Mult]]+Validation[[#This Row],[Base]]) &amp;" "&amp;Validation[[#This Row],[Uncert_Units]]</f>
        <v>1.7 mV</v>
      </c>
      <c r="U2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V2340" t="b">
        <f ca="1">Validation[[#This Row],[Desired Result]]=Validation[[#This Row],[Result]]</f>
        <v>1</v>
      </c>
      <c r="W2340" t="b">
        <v>1</v>
      </c>
      <c r="X2340" t="b">
        <f>Validation[[#This Row],[Range1_Low]]&gt;=Validation[[#This Row],[Range1_High]]</f>
        <v>0</v>
      </c>
      <c r="Y2340" s="111" t="s">
        <v>2843</v>
      </c>
    </row>
    <row r="2341" spans="1:25" ht="16.5" thickTop="1" thickBot="1" x14ac:dyDescent="0.3">
      <c r="A2341" t="s">
        <v>56</v>
      </c>
      <c r="B2341" t="s">
        <v>69</v>
      </c>
      <c r="C2341">
        <v>0.1</v>
      </c>
      <c r="D2341">
        <v>1</v>
      </c>
      <c r="E2341">
        <v>1E-3</v>
      </c>
      <c r="F2341" t="s">
        <v>6</v>
      </c>
      <c r="G2341" t="s">
        <v>5</v>
      </c>
      <c r="H2341">
        <v>0</v>
      </c>
      <c r="I2341">
        <v>0</v>
      </c>
      <c r="J2341" t="s">
        <v>2833</v>
      </c>
      <c r="K2341">
        <v>579.88</v>
      </c>
      <c r="L2341">
        <v>1.9084000000000001</v>
      </c>
      <c r="M2341">
        <v>579.88</v>
      </c>
      <c r="N2341">
        <v>1.9012</v>
      </c>
      <c r="O2341" t="s">
        <v>168</v>
      </c>
      <c r="P2341" t="s">
        <v>2833</v>
      </c>
      <c r="Q2341" t="s">
        <v>2833</v>
      </c>
      <c r="R2341">
        <f ca="1">RAND()*(Validation[[#This Row],[Range1_High]]-Validation[[#This Row],[Range1_Low]])+Validation[[#This Row],[Range1_Low]]</f>
        <v>0.80176166570633622</v>
      </c>
      <c r="S2341">
        <f>Validation[[#This Row],[Range2_High]]</f>
        <v>0</v>
      </c>
      <c r="T2341" t="str" cm="1">
        <f t="array" aca="1" ref="T2341" ca="1">RoundToTwoSigFigs(Validation[[#This Row],[Test Reading]]*Validation[[#This Row],[Mult]]+Validation[[#This Row],[Base]]) &amp;" "&amp;Validation[[#This Row],[Uncert_Units]]</f>
        <v>580 µV</v>
      </c>
      <c r="U2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341" t="b">
        <f ca="1">Validation[[#This Row],[Desired Result]]=Validation[[#This Row],[Result]]</f>
        <v>1</v>
      </c>
      <c r="W2341" t="b">
        <v>0</v>
      </c>
      <c r="X2341" t="b">
        <f>Validation[[#This Row],[Range1_Low]]&gt;=Validation[[#This Row],[Range1_High]]</f>
        <v>0</v>
      </c>
      <c r="Y2341" s="111" t="s">
        <v>2845</v>
      </c>
    </row>
    <row r="2342" spans="1:25" ht="16.5" thickTop="1" thickBot="1" x14ac:dyDescent="0.3">
      <c r="A2342" t="s">
        <v>56</v>
      </c>
      <c r="B2342" t="s">
        <v>69</v>
      </c>
      <c r="C2342" s="113">
        <v>0.01</v>
      </c>
      <c r="D2342" s="113">
        <v>0.1</v>
      </c>
      <c r="E2342">
        <v>9.9999999999999995E-8</v>
      </c>
      <c r="F2342" t="s">
        <v>6</v>
      </c>
      <c r="G2342" t="s">
        <v>5</v>
      </c>
      <c r="H2342">
        <v>0</v>
      </c>
      <c r="I2342">
        <v>0</v>
      </c>
      <c r="J2342" t="s">
        <v>2833</v>
      </c>
      <c r="K2342">
        <v>0.48</v>
      </c>
      <c r="L2342">
        <v>37</v>
      </c>
      <c r="M2342">
        <v>0.47363</v>
      </c>
      <c r="N2342">
        <v>36.624000000000002</v>
      </c>
      <c r="O2342" t="s">
        <v>168</v>
      </c>
      <c r="P2342" t="s">
        <v>2833</v>
      </c>
      <c r="Q2342" t="s">
        <v>2833</v>
      </c>
      <c r="R2342">
        <f ca="1">RAND()*(Validation[[#This Row],[Range1_High]]-Validation[[#This Row],[Range1_Low]])+Validation[[#This Row],[Range1_Low]]</f>
        <v>6.8433823502526095E-2</v>
      </c>
      <c r="S2342">
        <f>Validation[[#This Row],[Range2_High]]</f>
        <v>0</v>
      </c>
      <c r="T2342" t="str" cm="1">
        <f t="array" aca="1" ref="T2342" ca="1">RoundToTwoSigFigs(Validation[[#This Row],[Test Reading]]*Validation[[#This Row],[Mult]]+Validation[[#This Row],[Base]]) &amp;" "&amp;Validation[[#This Row],[Uncert_Units]]</f>
        <v>3 µV</v>
      </c>
      <c r="U2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µV</v>
      </c>
      <c r="V2342" t="b">
        <f ca="1">Validation[[#This Row],[Desired Result]]=Validation[[#This Row],[Result]]</f>
        <v>1</v>
      </c>
      <c r="W2342" t="b">
        <v>1</v>
      </c>
      <c r="X2342" t="b">
        <f>Validation[[#This Row],[Range1_Low]]&gt;=Validation[[#This Row],[Range1_High]]</f>
        <v>0</v>
      </c>
      <c r="Y2342" s="111" t="s">
        <v>2843</v>
      </c>
    </row>
    <row r="2343" spans="1:25" ht="15.75" thickTop="1" x14ac:dyDescent="0.25">
      <c r="A2343" t="s">
        <v>68</v>
      </c>
      <c r="B2343" t="s">
        <v>72</v>
      </c>
      <c r="C2343">
        <v>100</v>
      </c>
      <c r="D2343">
        <v>250</v>
      </c>
      <c r="E2343">
        <v>100</v>
      </c>
      <c r="F2343" t="s">
        <v>6</v>
      </c>
      <c r="G2343" t="s">
        <v>6</v>
      </c>
      <c r="H2343">
        <v>0</v>
      </c>
      <c r="I2343">
        <v>0</v>
      </c>
      <c r="J2343" t="s">
        <v>2833</v>
      </c>
      <c r="K2343">
        <v>57.719000000000001</v>
      </c>
      <c r="L2343">
        <v>2.4580000000000001E-3</v>
      </c>
      <c r="M2343">
        <v>57.716000000000001</v>
      </c>
      <c r="N2343">
        <v>2.3936000000000001E-3</v>
      </c>
      <c r="O2343" t="s">
        <v>153</v>
      </c>
      <c r="P2343" t="s">
        <v>2833</v>
      </c>
      <c r="Q2343" t="s">
        <v>2833</v>
      </c>
      <c r="R2343">
        <f ca="1">RAND()*(Validation[[#This Row],[Range1_High]]-Validation[[#This Row],[Range1_Low]])+Validation[[#This Row],[Range1_Low]]</f>
        <v>160.86006394258845</v>
      </c>
      <c r="S2343">
        <f>Validation[[#This Row],[Range2_High]]</f>
        <v>0</v>
      </c>
      <c r="T2343" t="str" cm="1">
        <f t="array" aca="1" ref="T2343" ca="1">RoundToTwoSigFigs(Validation[[#This Row],[Test Reading]]*Validation[[#This Row],[Mult]]+Validation[[#This Row],[Base]]) &amp;" "&amp;Validation[[#This Row],[Uncert_Units]]</f>
        <v>58 V</v>
      </c>
      <c r="U2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V2343" t="b">
        <f ca="1">Validation[[#This Row],[Desired Result]]=Validation[[#This Row],[Result]]</f>
        <v>1</v>
      </c>
      <c r="W2343" t="b">
        <v>0</v>
      </c>
      <c r="X2343" t="b">
        <f>Validation[[#This Row],[Range1_Low]]&gt;=Validation[[#This Row],[Range1_High]]</f>
        <v>0</v>
      </c>
      <c r="Y2343" s="111" t="s">
        <v>2845</v>
      </c>
    </row>
    <row r="2344" spans="1:25" x14ac:dyDescent="0.25">
      <c r="A2344" t="s">
        <v>68</v>
      </c>
      <c r="B2344" t="s">
        <v>72</v>
      </c>
      <c r="C2344">
        <v>250</v>
      </c>
      <c r="D2344">
        <v>500</v>
      </c>
      <c r="E2344">
        <v>10</v>
      </c>
      <c r="F2344" t="s">
        <v>6</v>
      </c>
      <c r="G2344" t="s">
        <v>6</v>
      </c>
      <c r="H2344">
        <v>0</v>
      </c>
      <c r="I2344">
        <v>0</v>
      </c>
      <c r="J2344" t="s">
        <v>2833</v>
      </c>
      <c r="K2344">
        <v>5.1032000000000002</v>
      </c>
      <c r="L2344">
        <v>8.0275999999999993E-3</v>
      </c>
      <c r="M2344">
        <v>5.0880999999999998</v>
      </c>
      <c r="N2344">
        <v>7.9319999999999998E-3</v>
      </c>
      <c r="O2344" t="s">
        <v>153</v>
      </c>
      <c r="P2344" t="s">
        <v>2833</v>
      </c>
      <c r="Q2344" t="s">
        <v>2833</v>
      </c>
      <c r="R2344">
        <f ca="1">RAND()*(Validation[[#This Row],[Range1_High]]-Validation[[#This Row],[Range1_Low]])+Validation[[#This Row],[Range1_Low]]</f>
        <v>416.16942343890571</v>
      </c>
      <c r="S2344">
        <f>Validation[[#This Row],[Range2_High]]</f>
        <v>0</v>
      </c>
      <c r="T2344" t="str" cm="1">
        <f t="array" aca="1" ref="T2344" ca="1">RoundToTwoSigFigs(Validation[[#This Row],[Test Reading]]*Validation[[#This Row],[Mult]]+Validation[[#This Row],[Base]]) &amp;" "&amp;Validation[[#This Row],[Uncert_Units]]</f>
        <v>8.4 V</v>
      </c>
      <c r="U2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V</v>
      </c>
      <c r="V2344" t="b">
        <f ca="1">Validation[[#This Row],[Desired Result]]=Validation[[#This Row],[Result]]</f>
        <v>1</v>
      </c>
      <c r="W2344" t="b">
        <v>0</v>
      </c>
      <c r="X2344" t="b">
        <f>Validation[[#This Row],[Range1_Low]]&gt;=Validation[[#This Row],[Range1_High]]</f>
        <v>0</v>
      </c>
      <c r="Y2344" s="111" t="s">
        <v>2845</v>
      </c>
    </row>
    <row r="2345" spans="1:25" ht="15.75" thickBot="1" x14ac:dyDescent="0.3">
      <c r="A2345" t="s">
        <v>68</v>
      </c>
      <c r="B2345" t="s">
        <v>72</v>
      </c>
      <c r="C2345">
        <v>100</v>
      </c>
      <c r="D2345">
        <v>250</v>
      </c>
      <c r="E2345">
        <v>10</v>
      </c>
      <c r="F2345" t="s">
        <v>6</v>
      </c>
      <c r="G2345" t="s">
        <v>6</v>
      </c>
      <c r="H2345">
        <v>0</v>
      </c>
      <c r="I2345">
        <v>0</v>
      </c>
      <c r="J2345" t="s">
        <v>2833</v>
      </c>
      <c r="K2345">
        <v>5.6898999999999997</v>
      </c>
      <c r="L2345">
        <v>5.7678E-3</v>
      </c>
      <c r="M2345">
        <v>5.6798000000000002</v>
      </c>
      <c r="N2345">
        <v>5.6527000000000001E-3</v>
      </c>
      <c r="O2345" t="s">
        <v>153</v>
      </c>
      <c r="P2345" t="s">
        <v>2833</v>
      </c>
      <c r="Q2345" t="s">
        <v>2833</v>
      </c>
      <c r="R2345">
        <f ca="1">RAND()*(Validation[[#This Row],[Range1_High]]-Validation[[#This Row],[Range1_Low]])+Validation[[#This Row],[Range1_Low]]</f>
        <v>239.64264948849646</v>
      </c>
      <c r="S2345">
        <f>Validation[[#This Row],[Range2_High]]</f>
        <v>0</v>
      </c>
      <c r="T2345" t="str" cm="1">
        <f t="array" aca="1" ref="T2345" ca="1">RoundToTwoSigFigs(Validation[[#This Row],[Test Reading]]*Validation[[#This Row],[Mult]]+Validation[[#This Row],[Base]]) &amp;" "&amp;Validation[[#This Row],[Uncert_Units]]</f>
        <v>7.1 V</v>
      </c>
      <c r="U2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V</v>
      </c>
      <c r="V2345" t="b">
        <f ca="1">Validation[[#This Row],[Desired Result]]=Validation[[#This Row],[Result]]</f>
        <v>1</v>
      </c>
      <c r="W2345" t="b">
        <v>0</v>
      </c>
      <c r="X2345" t="b">
        <f>Validation[[#This Row],[Range1_Low]]&gt;=Validation[[#This Row],[Range1_High]]</f>
        <v>0</v>
      </c>
      <c r="Y2345" s="111" t="s">
        <v>2845</v>
      </c>
    </row>
    <row r="2346" spans="1:25" ht="16.5" thickTop="1" thickBot="1" x14ac:dyDescent="0.3">
      <c r="A2346" t="s">
        <v>68</v>
      </c>
      <c r="B2346" t="s">
        <v>72</v>
      </c>
      <c r="C2346" s="113">
        <v>500</v>
      </c>
      <c r="D2346" s="113">
        <v>1000</v>
      </c>
      <c r="E2346">
        <v>1</v>
      </c>
      <c r="F2346" t="s">
        <v>6</v>
      </c>
      <c r="G2346" t="s">
        <v>6</v>
      </c>
      <c r="H2346">
        <v>0</v>
      </c>
      <c r="I2346">
        <v>0</v>
      </c>
      <c r="J2346" t="s">
        <v>2833</v>
      </c>
      <c r="K2346">
        <v>1.8</v>
      </c>
      <c r="L2346">
        <v>1.0999999999999999E-2</v>
      </c>
      <c r="M2346">
        <v>1.2242</v>
      </c>
      <c r="N2346">
        <v>1.1504E-2</v>
      </c>
      <c r="O2346" t="s">
        <v>153</v>
      </c>
      <c r="P2346" t="s">
        <v>2833</v>
      </c>
      <c r="Q2346" t="s">
        <v>2833</v>
      </c>
      <c r="R2346">
        <f ca="1">RAND()*(Validation[[#This Row],[Range1_High]]-Validation[[#This Row],[Range1_Low]])+Validation[[#This Row],[Range1_Low]]</f>
        <v>849.24876420405178</v>
      </c>
      <c r="S2346">
        <f>Validation[[#This Row],[Range2_High]]</f>
        <v>0</v>
      </c>
      <c r="T2346" t="str" cm="1">
        <f t="array" aca="1" ref="T2346" ca="1">RoundToTwoSigFigs(Validation[[#This Row],[Test Reading]]*Validation[[#This Row],[Mult]]+Validation[[#This Row],[Base]]) &amp;" "&amp;Validation[[#This Row],[Uncert_Units]]</f>
        <v>11 V</v>
      </c>
      <c r="U2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V</v>
      </c>
      <c r="V2346" t="b">
        <f ca="1">Validation[[#This Row],[Desired Result]]=Validation[[#This Row],[Result]]</f>
        <v>1</v>
      </c>
      <c r="W2346" t="b">
        <v>1</v>
      </c>
      <c r="X2346" t="b">
        <f>Validation[[#This Row],[Range1_Low]]&gt;=Validation[[#This Row],[Range1_High]]</f>
        <v>0</v>
      </c>
      <c r="Y2346" s="111" t="s">
        <v>2843</v>
      </c>
    </row>
    <row r="2347" spans="1:25" ht="15.75" thickTop="1" x14ac:dyDescent="0.25">
      <c r="A2347" t="s">
        <v>68</v>
      </c>
      <c r="B2347" t="s">
        <v>72</v>
      </c>
      <c r="C2347">
        <v>250</v>
      </c>
      <c r="D2347">
        <v>500</v>
      </c>
      <c r="E2347">
        <v>1</v>
      </c>
      <c r="F2347" t="s">
        <v>6</v>
      </c>
      <c r="G2347" t="s">
        <v>6</v>
      </c>
      <c r="H2347">
        <v>0</v>
      </c>
      <c r="I2347">
        <v>0</v>
      </c>
      <c r="J2347" t="s">
        <v>2833</v>
      </c>
      <c r="K2347">
        <v>1.5</v>
      </c>
      <c r="L2347">
        <v>1.0999999999999999E-2</v>
      </c>
      <c r="M2347">
        <v>1.2696000000000001</v>
      </c>
      <c r="N2347">
        <v>1.1414000000000001E-2</v>
      </c>
      <c r="O2347" t="s">
        <v>153</v>
      </c>
      <c r="P2347" t="s">
        <v>2833</v>
      </c>
      <c r="Q2347" t="s">
        <v>2833</v>
      </c>
      <c r="R2347">
        <f ca="1">RAND()*(Validation[[#This Row],[Range1_High]]-Validation[[#This Row],[Range1_Low]])+Validation[[#This Row],[Range1_Low]]</f>
        <v>270.12934800462381</v>
      </c>
      <c r="S2347">
        <f>Validation[[#This Row],[Range2_High]]</f>
        <v>0</v>
      </c>
      <c r="T2347" t="str" cm="1">
        <f t="array" aca="1" ref="T2347" ca="1">RoundToTwoSigFigs(Validation[[#This Row],[Test Reading]]*Validation[[#This Row],[Mult]]+Validation[[#This Row],[Base]]) &amp;" "&amp;Validation[[#This Row],[Uncert_Units]]</f>
        <v>4.5 V</v>
      </c>
      <c r="U2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V</v>
      </c>
      <c r="V2347" t="b">
        <f ca="1">Validation[[#This Row],[Desired Result]]=Validation[[#This Row],[Result]]</f>
        <v>1</v>
      </c>
      <c r="W2347" t="b">
        <v>0</v>
      </c>
      <c r="X2347" t="b">
        <f>Validation[[#This Row],[Range1_Low]]&gt;=Validation[[#This Row],[Range1_High]]</f>
        <v>0</v>
      </c>
      <c r="Y2347" s="111" t="s">
        <v>2845</v>
      </c>
    </row>
    <row r="2348" spans="1:25" ht="15.75" thickBot="1" x14ac:dyDescent="0.3">
      <c r="A2348" t="s">
        <v>68</v>
      </c>
      <c r="B2348" t="s">
        <v>72</v>
      </c>
      <c r="C2348">
        <v>250</v>
      </c>
      <c r="D2348">
        <v>500</v>
      </c>
      <c r="E2348">
        <v>100</v>
      </c>
      <c r="F2348" t="s">
        <v>6</v>
      </c>
      <c r="G2348" t="s">
        <v>6</v>
      </c>
      <c r="H2348">
        <v>0</v>
      </c>
      <c r="I2348">
        <v>0</v>
      </c>
      <c r="J2348" t="s">
        <v>2833</v>
      </c>
      <c r="K2348">
        <v>57.497</v>
      </c>
      <c r="L2348">
        <v>2.2225000000000001E-3</v>
      </c>
      <c r="M2348">
        <v>57.502000000000002</v>
      </c>
      <c r="N2348">
        <v>2.1424999999999999E-3</v>
      </c>
      <c r="O2348" t="s">
        <v>153</v>
      </c>
      <c r="P2348" t="s">
        <v>2833</v>
      </c>
      <c r="Q2348" t="s">
        <v>2833</v>
      </c>
      <c r="R2348">
        <f ca="1">RAND()*(Validation[[#This Row],[Range1_High]]-Validation[[#This Row],[Range1_Low]])+Validation[[#This Row],[Range1_Low]]</f>
        <v>301.79382724734683</v>
      </c>
      <c r="S2348">
        <f>Validation[[#This Row],[Range2_High]]</f>
        <v>0</v>
      </c>
      <c r="T2348" t="str" cm="1">
        <f t="array" aca="1" ref="T2348" ca="1">RoundToTwoSigFigs(Validation[[#This Row],[Test Reading]]*Validation[[#This Row],[Mult]]+Validation[[#This Row],[Base]]) &amp;" "&amp;Validation[[#This Row],[Uncert_Units]]</f>
        <v>58 V</v>
      </c>
      <c r="U2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V2348" t="b">
        <f ca="1">Validation[[#This Row],[Desired Result]]=Validation[[#This Row],[Result]]</f>
        <v>1</v>
      </c>
      <c r="W2348" t="b">
        <v>0</v>
      </c>
      <c r="X2348" t="b">
        <f>Validation[[#This Row],[Range1_Low]]&gt;=Validation[[#This Row],[Range1_High]]</f>
        <v>0</v>
      </c>
      <c r="Y2348" s="111" t="s">
        <v>2845</v>
      </c>
    </row>
    <row r="2349" spans="1:25" ht="16.5" thickTop="1" thickBot="1" x14ac:dyDescent="0.3">
      <c r="A2349" t="s">
        <v>68</v>
      </c>
      <c r="B2349" t="s">
        <v>73</v>
      </c>
      <c r="C2349" s="113">
        <v>250000000</v>
      </c>
      <c r="D2349" s="113">
        <v>500000000</v>
      </c>
      <c r="E2349">
        <v>100000</v>
      </c>
      <c r="F2349" t="s">
        <v>102</v>
      </c>
      <c r="G2349" t="s">
        <v>50</v>
      </c>
      <c r="H2349">
        <v>0</v>
      </c>
      <c r="I2349">
        <v>0</v>
      </c>
      <c r="J2349" t="s">
        <v>2833</v>
      </c>
      <c r="K2349">
        <v>55.079000000000001</v>
      </c>
      <c r="L2349">
        <v>1.0925E-5</v>
      </c>
      <c r="M2349">
        <v>54.77</v>
      </c>
      <c r="N2349">
        <v>1.0926E-5</v>
      </c>
      <c r="O2349" t="s">
        <v>153</v>
      </c>
      <c r="P2349" t="s">
        <v>2833</v>
      </c>
      <c r="Q2349" t="s">
        <v>2833</v>
      </c>
      <c r="R2349">
        <f ca="1">RAND()*(Validation[[#This Row],[Range1_High]]-Validation[[#This Row],[Range1_Low]])+Validation[[#This Row],[Range1_Low]]</f>
        <v>411597802.24677169</v>
      </c>
      <c r="S2349">
        <f>Validation[[#This Row],[Range2_High]]</f>
        <v>0</v>
      </c>
      <c r="T2349" t="str" cm="1">
        <f t="array" aca="1" ref="T2349" ca="1">RoundToTwoSigFigs(Validation[[#This Row],[Test Reading]]*Validation[[#This Row],[Mult]]+Validation[[#This Row],[Base]]) &amp;" "&amp;Validation[[#This Row],[Uncert_Units]]</f>
        <v>4600 kΩ</v>
      </c>
      <c r="U2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kΩ</v>
      </c>
      <c r="V2349" t="b">
        <f ca="1">Validation[[#This Row],[Desired Result]]=Validation[[#This Row],[Result]]</f>
        <v>1</v>
      </c>
      <c r="W2349" t="b">
        <v>1</v>
      </c>
      <c r="X2349" t="b">
        <f>Validation[[#This Row],[Range1_Low]]&gt;=Validation[[#This Row],[Range1_High]]</f>
        <v>0</v>
      </c>
      <c r="Y2349" s="111" t="s">
        <v>2843</v>
      </c>
    </row>
    <row r="2350" spans="1:25" ht="16.5" thickTop="1" thickBot="1" x14ac:dyDescent="0.3">
      <c r="A2350" t="s">
        <v>68</v>
      </c>
      <c r="B2350" t="s">
        <v>73</v>
      </c>
      <c r="C2350" s="113">
        <v>500000000</v>
      </c>
      <c r="D2350" s="113">
        <v>1000000000</v>
      </c>
      <c r="E2350">
        <v>10000000</v>
      </c>
      <c r="F2350" t="s">
        <v>102</v>
      </c>
      <c r="G2350" t="s">
        <v>50</v>
      </c>
      <c r="H2350">
        <v>0</v>
      </c>
      <c r="I2350">
        <v>0</v>
      </c>
      <c r="J2350" t="s">
        <v>2833</v>
      </c>
      <c r="K2350">
        <v>5114.5</v>
      </c>
      <c r="L2350">
        <v>7.3429999999999998E-6</v>
      </c>
      <c r="M2350">
        <v>5114.5</v>
      </c>
      <c r="N2350">
        <v>7.3428999999999996E-6</v>
      </c>
      <c r="O2350" t="s">
        <v>153</v>
      </c>
      <c r="P2350" t="s">
        <v>2833</v>
      </c>
      <c r="Q2350" t="s">
        <v>2833</v>
      </c>
      <c r="R2350">
        <f ca="1">RAND()*(Validation[[#This Row],[Range1_High]]-Validation[[#This Row],[Range1_Low]])+Validation[[#This Row],[Range1_Low]]</f>
        <v>970692195.21463609</v>
      </c>
      <c r="S2350">
        <f>Validation[[#This Row],[Range2_High]]</f>
        <v>0</v>
      </c>
      <c r="T2350" t="str" cm="1">
        <f t="array" aca="1" ref="T2350" ca="1">RoundToTwoSigFigs(Validation[[#This Row],[Test Reading]]*Validation[[#This Row],[Mult]]+Validation[[#This Row],[Base]]) &amp;" "&amp;Validation[[#This Row],[Uncert_Units]]</f>
        <v>12000 kΩ</v>
      </c>
      <c r="U2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kΩ</v>
      </c>
      <c r="V2350" t="b">
        <f ca="1">Validation[[#This Row],[Desired Result]]=Validation[[#This Row],[Result]]</f>
        <v>1</v>
      </c>
      <c r="W2350" t="b">
        <v>1</v>
      </c>
      <c r="X2350" t="b">
        <f>Validation[[#This Row],[Range1_Low]]&gt;=Validation[[#This Row],[Range1_High]]</f>
        <v>0</v>
      </c>
      <c r="Y2350" s="111" t="s">
        <v>2843</v>
      </c>
    </row>
    <row r="2351" spans="1:25" ht="15.75" thickTop="1" x14ac:dyDescent="0.25">
      <c r="A2351" t="s">
        <v>68</v>
      </c>
      <c r="B2351" t="s">
        <v>73</v>
      </c>
      <c r="C2351">
        <v>500000000</v>
      </c>
      <c r="D2351">
        <v>1000000000</v>
      </c>
      <c r="E2351">
        <v>100000000</v>
      </c>
      <c r="F2351" t="s">
        <v>102</v>
      </c>
      <c r="G2351" t="s">
        <v>50</v>
      </c>
      <c r="H2351">
        <v>0</v>
      </c>
      <c r="I2351">
        <v>0</v>
      </c>
      <c r="J2351" t="s">
        <v>2833</v>
      </c>
      <c r="K2351">
        <v>57638</v>
      </c>
      <c r="L2351">
        <v>1.4394999999999999E-6</v>
      </c>
      <c r="M2351">
        <v>57638</v>
      </c>
      <c r="N2351">
        <v>1.4394999999999999E-6</v>
      </c>
      <c r="O2351" t="s">
        <v>153</v>
      </c>
      <c r="P2351" t="s">
        <v>2833</v>
      </c>
      <c r="Q2351" t="s">
        <v>2833</v>
      </c>
      <c r="R2351">
        <f ca="1">RAND()*(Validation[[#This Row],[Range1_High]]-Validation[[#This Row],[Range1_Low]])+Validation[[#This Row],[Range1_Low]]</f>
        <v>841253692.97561789</v>
      </c>
      <c r="S2351">
        <f>Validation[[#This Row],[Range2_High]]</f>
        <v>0</v>
      </c>
      <c r="T2351" t="str" cm="1">
        <f t="array" aca="1" ref="T2351" ca="1">RoundToTwoSigFigs(Validation[[#This Row],[Test Reading]]*Validation[[#This Row],[Mult]]+Validation[[#This Row],[Base]]) &amp;" "&amp;Validation[[#This Row],[Uncert_Units]]</f>
        <v>59000 kΩ</v>
      </c>
      <c r="U2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V2351" t="b">
        <f ca="1">Validation[[#This Row],[Desired Result]]=Validation[[#This Row],[Result]]</f>
        <v>1</v>
      </c>
      <c r="W2351" t="b">
        <v>0</v>
      </c>
      <c r="X2351" t="b">
        <f>Validation[[#This Row],[Range1_Low]]&gt;=Validation[[#This Row],[Range1_High]]</f>
        <v>0</v>
      </c>
      <c r="Y2351" s="111" t="s">
        <v>2845</v>
      </c>
    </row>
    <row r="2352" spans="1:25" ht="15.75" thickBot="1" x14ac:dyDescent="0.3">
      <c r="A2352" t="s">
        <v>68</v>
      </c>
      <c r="B2352" t="s">
        <v>73</v>
      </c>
      <c r="C2352">
        <v>250000</v>
      </c>
      <c r="D2352">
        <v>100000000</v>
      </c>
      <c r="E2352">
        <v>1000000</v>
      </c>
      <c r="F2352" t="s">
        <v>102</v>
      </c>
      <c r="G2352" t="s">
        <v>50</v>
      </c>
      <c r="H2352">
        <v>0</v>
      </c>
      <c r="I2352">
        <v>0</v>
      </c>
      <c r="J2352" t="s">
        <v>2833</v>
      </c>
      <c r="K2352">
        <v>576.26</v>
      </c>
      <c r="L2352">
        <v>5.2658999999999998E-6</v>
      </c>
      <c r="M2352">
        <v>576.24</v>
      </c>
      <c r="N2352">
        <v>5.2654999999999998E-6</v>
      </c>
      <c r="O2352" t="s">
        <v>153</v>
      </c>
      <c r="P2352" t="s">
        <v>2833</v>
      </c>
      <c r="Q2352" t="s">
        <v>2833</v>
      </c>
      <c r="R2352">
        <f ca="1">RAND()*(Validation[[#This Row],[Range1_High]]-Validation[[#This Row],[Range1_Low]])+Validation[[#This Row],[Range1_Low]]</f>
        <v>26700981.275258757</v>
      </c>
      <c r="S2352">
        <f>Validation[[#This Row],[Range2_High]]</f>
        <v>0</v>
      </c>
      <c r="T2352" t="str" cm="1">
        <f t="array" aca="1" ref="T2352" ca="1">RoundToTwoSigFigs(Validation[[#This Row],[Test Reading]]*Validation[[#This Row],[Mult]]+Validation[[#This Row],[Base]]) &amp;" "&amp;Validation[[#This Row],[Uncert_Units]]</f>
        <v>720 kΩ</v>
      </c>
      <c r="U2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kΩ</v>
      </c>
      <c r="V2352" t="b">
        <f ca="1">Validation[[#This Row],[Desired Result]]=Validation[[#This Row],[Result]]</f>
        <v>1</v>
      </c>
      <c r="W2352" t="b">
        <v>0</v>
      </c>
      <c r="X2352" t="b">
        <f>Validation[[#This Row],[Range1_Low]]&gt;=Validation[[#This Row],[Range1_High]]</f>
        <v>0</v>
      </c>
      <c r="Y2352" s="111" t="s">
        <v>2845</v>
      </c>
    </row>
    <row r="2353" spans="1:25" ht="16.5" thickTop="1" thickBot="1" x14ac:dyDescent="0.3">
      <c r="A2353" t="s">
        <v>68</v>
      </c>
      <c r="B2353" t="s">
        <v>73</v>
      </c>
      <c r="C2353" s="113">
        <v>100000000</v>
      </c>
      <c r="D2353" s="113">
        <v>250000000</v>
      </c>
      <c r="E2353">
        <v>100000</v>
      </c>
      <c r="F2353" t="s">
        <v>102</v>
      </c>
      <c r="G2353" t="s">
        <v>50</v>
      </c>
      <c r="H2353">
        <v>0</v>
      </c>
      <c r="I2353">
        <v>0</v>
      </c>
      <c r="J2353" t="s">
        <v>2833</v>
      </c>
      <c r="K2353">
        <v>57.137999999999998</v>
      </c>
      <c r="L2353">
        <v>1.0616E-5</v>
      </c>
      <c r="M2353">
        <v>57.125</v>
      </c>
      <c r="N2353">
        <v>1.0616E-5</v>
      </c>
      <c r="O2353" t="s">
        <v>153</v>
      </c>
      <c r="P2353" t="s">
        <v>2833</v>
      </c>
      <c r="Q2353" t="s">
        <v>2833</v>
      </c>
      <c r="R2353">
        <f ca="1">RAND()*(Validation[[#This Row],[Range1_High]]-Validation[[#This Row],[Range1_Low]])+Validation[[#This Row],[Range1_Low]]</f>
        <v>152027732.94306982</v>
      </c>
      <c r="S2353">
        <f>Validation[[#This Row],[Range2_High]]</f>
        <v>0</v>
      </c>
      <c r="T2353" t="str" cm="1">
        <f t="array" aca="1" ref="T2353" ca="1">RoundToTwoSigFigs(Validation[[#This Row],[Test Reading]]*Validation[[#This Row],[Mult]]+Validation[[#This Row],[Base]]) &amp;" "&amp;Validation[[#This Row],[Uncert_Units]]</f>
        <v>1700 kΩ</v>
      </c>
      <c r="U2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V2353" t="b">
        <f ca="1">Validation[[#This Row],[Desired Result]]=Validation[[#This Row],[Result]]</f>
        <v>1</v>
      </c>
      <c r="W2353" t="b">
        <v>1</v>
      </c>
      <c r="X2353" t="b">
        <f>Validation[[#This Row],[Range1_Low]]&gt;=Validation[[#This Row],[Range1_High]]</f>
        <v>0</v>
      </c>
      <c r="Y2353" s="111" t="s">
        <v>2843</v>
      </c>
    </row>
    <row r="2354" spans="1:25" ht="16.5" thickTop="1" thickBot="1" x14ac:dyDescent="0.3">
      <c r="A2354" t="s">
        <v>68</v>
      </c>
      <c r="B2354" t="s">
        <v>73</v>
      </c>
      <c r="C2354" s="113">
        <v>100000000</v>
      </c>
      <c r="D2354" s="113">
        <v>250000000</v>
      </c>
      <c r="E2354">
        <v>1000000</v>
      </c>
      <c r="F2354" t="s">
        <v>102</v>
      </c>
      <c r="G2354" t="s">
        <v>50</v>
      </c>
      <c r="H2354">
        <v>0</v>
      </c>
      <c r="I2354">
        <v>0</v>
      </c>
      <c r="J2354" t="s">
        <v>2833</v>
      </c>
      <c r="K2354">
        <v>575.4</v>
      </c>
      <c r="L2354">
        <v>8.7861000000000005E-6</v>
      </c>
      <c r="M2354">
        <v>575.35</v>
      </c>
      <c r="N2354">
        <v>8.7861000000000005E-6</v>
      </c>
      <c r="O2354" t="s">
        <v>153</v>
      </c>
      <c r="P2354" t="s">
        <v>2833</v>
      </c>
      <c r="Q2354" t="s">
        <v>2833</v>
      </c>
      <c r="R2354">
        <f ca="1">RAND()*(Validation[[#This Row],[Range1_High]]-Validation[[#This Row],[Range1_Low]])+Validation[[#This Row],[Range1_Low]]</f>
        <v>233958290.35635665</v>
      </c>
      <c r="S2354">
        <f>Validation[[#This Row],[Range2_High]]</f>
        <v>0</v>
      </c>
      <c r="T2354" t="str" cm="1">
        <f t="array" aca="1" ref="T2354" ca="1">RoundToTwoSigFigs(Validation[[#This Row],[Test Reading]]*Validation[[#This Row],[Mult]]+Validation[[#This Row],[Base]]) &amp;" "&amp;Validation[[#This Row],[Uncert_Units]]</f>
        <v>2600 kΩ</v>
      </c>
      <c r="U2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kΩ</v>
      </c>
      <c r="V2354" t="b">
        <f ca="1">Validation[[#This Row],[Desired Result]]=Validation[[#This Row],[Result]]</f>
        <v>1</v>
      </c>
      <c r="W2354" t="b">
        <v>1</v>
      </c>
      <c r="X2354" t="b">
        <f>Validation[[#This Row],[Range1_Low]]&gt;=Validation[[#This Row],[Range1_High]]</f>
        <v>0</v>
      </c>
      <c r="Y2354" s="111" t="s">
        <v>2843</v>
      </c>
    </row>
    <row r="2355" spans="1:25" ht="15.75" thickTop="1" x14ac:dyDescent="0.25">
      <c r="A2355" t="s">
        <v>68</v>
      </c>
      <c r="B2355" t="s">
        <v>73</v>
      </c>
      <c r="C2355">
        <v>250000</v>
      </c>
      <c r="D2355">
        <v>100000000</v>
      </c>
      <c r="E2355">
        <v>10000</v>
      </c>
      <c r="F2355" t="s">
        <v>102</v>
      </c>
      <c r="G2355" t="s">
        <v>50</v>
      </c>
      <c r="H2355">
        <v>0</v>
      </c>
      <c r="I2355">
        <v>0</v>
      </c>
      <c r="J2355" t="s">
        <v>2833</v>
      </c>
      <c r="K2355">
        <v>18</v>
      </c>
      <c r="L2355">
        <v>9.2E-6</v>
      </c>
      <c r="M2355">
        <v>13.773</v>
      </c>
      <c r="N2355">
        <v>9.2419000000000004E-6</v>
      </c>
      <c r="O2355" t="s">
        <v>153</v>
      </c>
      <c r="P2355" t="s">
        <v>2833</v>
      </c>
      <c r="Q2355" t="s">
        <v>2833</v>
      </c>
      <c r="R2355">
        <f ca="1">RAND()*(Validation[[#This Row],[Range1_High]]-Validation[[#This Row],[Range1_Low]])+Validation[[#This Row],[Range1_Low]]</f>
        <v>97803930.337610826</v>
      </c>
      <c r="S2355">
        <f>Validation[[#This Row],[Range2_High]]</f>
        <v>0</v>
      </c>
      <c r="T2355" t="str" cm="1">
        <f t="array" aca="1" ref="T2355" ca="1">RoundToTwoSigFigs(Validation[[#This Row],[Test Reading]]*Validation[[#This Row],[Mult]]+Validation[[#This Row],[Base]]) &amp;" "&amp;Validation[[#This Row],[Uncert_Units]]</f>
        <v>920 kΩ</v>
      </c>
      <c r="U2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kΩ</v>
      </c>
      <c r="V2355" t="b">
        <f ca="1">Validation[[#This Row],[Desired Result]]=Validation[[#This Row],[Result]]</f>
        <v>1</v>
      </c>
      <c r="W2355" t="b">
        <v>0</v>
      </c>
      <c r="X2355" t="b">
        <f>Validation[[#This Row],[Range1_Low]]&gt;=Validation[[#This Row],[Range1_High]]</f>
        <v>0</v>
      </c>
      <c r="Y2355" s="111" t="s">
        <v>2845</v>
      </c>
    </row>
    <row r="2356" spans="1:25" x14ac:dyDescent="0.25">
      <c r="A2356" t="s">
        <v>68</v>
      </c>
      <c r="B2356" t="s">
        <v>73</v>
      </c>
      <c r="C2356">
        <v>250000</v>
      </c>
      <c r="D2356">
        <v>100000000</v>
      </c>
      <c r="E2356">
        <v>10000000</v>
      </c>
      <c r="F2356" t="s">
        <v>102</v>
      </c>
      <c r="G2356" t="s">
        <v>50</v>
      </c>
      <c r="H2356">
        <v>0</v>
      </c>
      <c r="I2356">
        <v>0</v>
      </c>
      <c r="J2356" t="s">
        <v>2833</v>
      </c>
      <c r="K2356">
        <v>5775</v>
      </c>
      <c r="L2356">
        <v>1.0208E-6</v>
      </c>
      <c r="M2356">
        <v>5775</v>
      </c>
      <c r="N2356">
        <v>1.0204E-6</v>
      </c>
      <c r="O2356" t="s">
        <v>153</v>
      </c>
      <c r="P2356" t="s">
        <v>2833</v>
      </c>
      <c r="Q2356" t="s">
        <v>2833</v>
      </c>
      <c r="R2356">
        <f ca="1">RAND()*(Validation[[#This Row],[Range1_High]]-Validation[[#This Row],[Range1_Low]])+Validation[[#This Row],[Range1_Low]]</f>
        <v>5301180.5315054972</v>
      </c>
      <c r="S2356">
        <f>Validation[[#This Row],[Range2_High]]</f>
        <v>0</v>
      </c>
      <c r="T2356" t="str" cm="1">
        <f t="array" aca="1" ref="T2356" ca="1">RoundToTwoSigFigs(Validation[[#This Row],[Test Reading]]*Validation[[#This Row],[Mult]]+Validation[[#This Row],[Base]]) &amp;" "&amp;Validation[[#This Row],[Uncert_Units]]</f>
        <v>5800 kΩ</v>
      </c>
      <c r="U2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V2356" t="b">
        <f ca="1">Validation[[#This Row],[Desired Result]]=Validation[[#This Row],[Result]]</f>
        <v>1</v>
      </c>
      <c r="W2356" t="b">
        <v>0</v>
      </c>
      <c r="X2356" t="b">
        <f>Validation[[#This Row],[Range1_Low]]&gt;=Validation[[#This Row],[Range1_High]]</f>
        <v>0</v>
      </c>
      <c r="Y2356" s="111" t="s">
        <v>2845</v>
      </c>
    </row>
    <row r="2357" spans="1:25" ht="15.75" thickBot="1" x14ac:dyDescent="0.3">
      <c r="A2357" t="s">
        <v>68</v>
      </c>
      <c r="B2357" t="s">
        <v>73</v>
      </c>
      <c r="C2357">
        <v>100000000</v>
      </c>
      <c r="D2357">
        <v>250000000</v>
      </c>
      <c r="E2357">
        <v>100000000</v>
      </c>
      <c r="F2357" t="s">
        <v>102</v>
      </c>
      <c r="G2357" t="s">
        <v>50</v>
      </c>
      <c r="H2357">
        <v>0</v>
      </c>
      <c r="I2357">
        <v>0</v>
      </c>
      <c r="J2357" t="s">
        <v>2833</v>
      </c>
      <c r="K2357">
        <v>57896</v>
      </c>
      <c r="L2357">
        <v>1.3129E-6</v>
      </c>
      <c r="M2357">
        <v>57896</v>
      </c>
      <c r="N2357">
        <v>1.3127999999999999E-6</v>
      </c>
      <c r="O2357" t="s">
        <v>153</v>
      </c>
      <c r="P2357" t="s">
        <v>2833</v>
      </c>
      <c r="Q2357" t="s">
        <v>2833</v>
      </c>
      <c r="R2357">
        <f ca="1">RAND()*(Validation[[#This Row],[Range1_High]]-Validation[[#This Row],[Range1_Low]])+Validation[[#This Row],[Range1_Low]]</f>
        <v>162569464.43910021</v>
      </c>
      <c r="S2357">
        <f>Validation[[#This Row],[Range2_High]]</f>
        <v>0</v>
      </c>
      <c r="T2357" t="str" cm="1">
        <f t="array" aca="1" ref="T2357" ca="1">RoundToTwoSigFigs(Validation[[#This Row],[Test Reading]]*Validation[[#This Row],[Mult]]+Validation[[#This Row],[Base]]) &amp;" "&amp;Validation[[#This Row],[Uncert_Units]]</f>
        <v>58000 kΩ</v>
      </c>
      <c r="U2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V2357" t="b">
        <f ca="1">Validation[[#This Row],[Desired Result]]=Validation[[#This Row],[Result]]</f>
        <v>1</v>
      </c>
      <c r="W2357" t="b">
        <v>0</v>
      </c>
      <c r="X2357" t="b">
        <f>Validation[[#This Row],[Range1_Low]]&gt;=Validation[[#This Row],[Range1_High]]</f>
        <v>0</v>
      </c>
      <c r="Y2357" s="111" t="s">
        <v>2845</v>
      </c>
    </row>
    <row r="2358" spans="1:25" ht="16.5" thickTop="1" thickBot="1" x14ac:dyDescent="0.3">
      <c r="A2358" t="s">
        <v>68</v>
      </c>
      <c r="B2358" t="s">
        <v>74</v>
      </c>
      <c r="C2358" s="113">
        <v>760</v>
      </c>
      <c r="D2358" s="113">
        <v>1200</v>
      </c>
      <c r="E2358">
        <v>0.1</v>
      </c>
      <c r="F2358" t="s">
        <v>23</v>
      </c>
      <c r="G2358" t="s">
        <v>23</v>
      </c>
      <c r="H2358">
        <v>0</v>
      </c>
      <c r="I2358">
        <v>0</v>
      </c>
      <c r="J2358" t="s">
        <v>2833</v>
      </c>
      <c r="K2358">
        <v>1.249497729</v>
      </c>
      <c r="L2358">
        <v>0</v>
      </c>
      <c r="M2358">
        <v>1.2492193519999999</v>
      </c>
      <c r="N2358">
        <v>0</v>
      </c>
      <c r="O2358" t="s">
        <v>169</v>
      </c>
      <c r="P2358" t="s">
        <v>2833</v>
      </c>
      <c r="Q2358" t="s">
        <v>161</v>
      </c>
      <c r="R2358">
        <f ca="1">RAND()*(Validation[[#This Row],[Range1_High]]-Validation[[#This Row],[Range1_Low]])+Validation[[#This Row],[Range1_Low]]</f>
        <v>920.00361950770423</v>
      </c>
      <c r="S2358">
        <f>Validation[[#This Row],[Range2_High]]</f>
        <v>0</v>
      </c>
      <c r="T2358" t="str" cm="1">
        <f t="array" aca="1" ref="T2358" ca="1">RoundToTwoSigFigs(Validation[[#This Row],[Test Reading]]*Validation[[#This Row],[Mult]]+Validation[[#This Row],[Base]]) &amp;" "&amp;Validation[[#This Row],[Uncert_Units]]</f>
        <v>1.2 °C</v>
      </c>
      <c r="U2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V2358" t="b">
        <f ca="1">Validation[[#This Row],[Desired Result]]=Validation[[#This Row],[Result]]</f>
        <v>1</v>
      </c>
      <c r="W2358" t="b">
        <v>1</v>
      </c>
      <c r="X2358" t="b">
        <f>Validation[[#This Row],[Range1_Low]]&gt;=Validation[[#This Row],[Range1_High]]</f>
        <v>0</v>
      </c>
      <c r="Y2358" s="111" t="s">
        <v>2843</v>
      </c>
    </row>
    <row r="2359" spans="1:25" ht="16.5" thickTop="1" thickBot="1" x14ac:dyDescent="0.3">
      <c r="A2359" t="s">
        <v>68</v>
      </c>
      <c r="B2359" t="s">
        <v>74</v>
      </c>
      <c r="C2359" s="113">
        <v>760</v>
      </c>
      <c r="D2359" s="113">
        <v>1200</v>
      </c>
      <c r="E2359">
        <v>1</v>
      </c>
      <c r="F2359" t="s">
        <v>23</v>
      </c>
      <c r="G2359" t="s">
        <v>23</v>
      </c>
      <c r="H2359">
        <v>0</v>
      </c>
      <c r="I2359">
        <v>0</v>
      </c>
      <c r="J2359" t="s">
        <v>2833</v>
      </c>
      <c r="K2359">
        <v>1.375983768</v>
      </c>
      <c r="L2359">
        <v>0</v>
      </c>
      <c r="M2359">
        <v>1.3749723599999999</v>
      </c>
      <c r="N2359">
        <v>0</v>
      </c>
      <c r="O2359" t="s">
        <v>169</v>
      </c>
      <c r="P2359" t="s">
        <v>2833</v>
      </c>
      <c r="Q2359" t="s">
        <v>161</v>
      </c>
      <c r="R2359">
        <f ca="1">RAND()*(Validation[[#This Row],[Range1_High]]-Validation[[#This Row],[Range1_Low]])+Validation[[#This Row],[Range1_Low]]</f>
        <v>1082.5965516509843</v>
      </c>
      <c r="S2359">
        <f>Validation[[#This Row],[Range2_High]]</f>
        <v>0</v>
      </c>
      <c r="T2359" t="str" cm="1">
        <f t="array" aca="1" ref="T2359" ca="1">RoundToTwoSigFigs(Validation[[#This Row],[Test Reading]]*Validation[[#This Row],[Mult]]+Validation[[#This Row],[Base]]) &amp;" "&amp;Validation[[#This Row],[Uncert_Units]]</f>
        <v>1.4 °C</v>
      </c>
      <c r="U2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V2359" t="b">
        <f ca="1">Validation[[#This Row],[Desired Result]]=Validation[[#This Row],[Result]]</f>
        <v>1</v>
      </c>
      <c r="W2359" t="b">
        <v>1</v>
      </c>
      <c r="X2359" t="b">
        <f>Validation[[#This Row],[Range1_Low]]&gt;=Validation[[#This Row],[Range1_High]]</f>
        <v>0</v>
      </c>
      <c r="Y2359" s="111" t="s">
        <v>2843</v>
      </c>
    </row>
    <row r="2360" spans="1:25" ht="16.5" thickTop="1" thickBot="1" x14ac:dyDescent="0.3">
      <c r="A2360" t="s">
        <v>68</v>
      </c>
      <c r="B2360" t="s">
        <v>74</v>
      </c>
      <c r="C2360">
        <v>-210</v>
      </c>
      <c r="D2360">
        <v>-100</v>
      </c>
      <c r="E2360">
        <v>1</v>
      </c>
      <c r="F2360" t="s">
        <v>23</v>
      </c>
      <c r="G2360" t="s">
        <v>23</v>
      </c>
      <c r="H2360">
        <v>0</v>
      </c>
      <c r="I2360">
        <v>0</v>
      </c>
      <c r="J2360" t="s">
        <v>2833</v>
      </c>
      <c r="K2360">
        <v>1.4670390010000001</v>
      </c>
      <c r="L2360">
        <v>0</v>
      </c>
      <c r="M2360">
        <v>1.462363074</v>
      </c>
      <c r="N2360">
        <v>0</v>
      </c>
      <c r="O2360" t="s">
        <v>169</v>
      </c>
      <c r="P2360" t="s">
        <v>2833</v>
      </c>
      <c r="Q2360" t="s">
        <v>161</v>
      </c>
      <c r="R2360">
        <f ca="1">RAND()*(Validation[[#This Row],[Range1_High]]-Validation[[#This Row],[Range1_Low]])+Validation[[#This Row],[Range1_Low]]</f>
        <v>-144.82866895726241</v>
      </c>
      <c r="S2360">
        <f>Validation[[#This Row],[Range2_High]]</f>
        <v>0</v>
      </c>
      <c r="T2360" t="str" cm="1">
        <f t="array" aca="1" ref="T2360" ca="1">RoundToTwoSigFigs(Validation[[#This Row],[Test Reading]]*Validation[[#This Row],[Mult]]+Validation[[#This Row],[Base]]) &amp;" "&amp;Validation[[#This Row],[Uncert_Units]]</f>
        <v>1.5 °C</v>
      </c>
      <c r="U2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V2360" t="b">
        <f ca="1">Validation[[#This Row],[Desired Result]]=Validation[[#This Row],[Result]]</f>
        <v>1</v>
      </c>
      <c r="W2360" t="b">
        <v>0</v>
      </c>
      <c r="X2360" t="b">
        <f>Validation[[#This Row],[Range1_Low]]&gt;=Validation[[#This Row],[Range1_High]]</f>
        <v>0</v>
      </c>
      <c r="Y2360" s="111" t="s">
        <v>2845</v>
      </c>
    </row>
    <row r="2361" spans="1:25" ht="16.5" thickTop="1" thickBot="1" x14ac:dyDescent="0.3">
      <c r="A2361" t="s">
        <v>68</v>
      </c>
      <c r="B2361" t="s">
        <v>74</v>
      </c>
      <c r="C2361" s="113">
        <v>150</v>
      </c>
      <c r="D2361" s="113">
        <v>760</v>
      </c>
      <c r="E2361">
        <v>1</v>
      </c>
      <c r="F2361" t="s">
        <v>23</v>
      </c>
      <c r="G2361" t="s">
        <v>23</v>
      </c>
      <c r="H2361">
        <v>0</v>
      </c>
      <c r="I2361">
        <v>0</v>
      </c>
      <c r="J2361" t="s">
        <v>2833</v>
      </c>
      <c r="K2361">
        <v>1.27219558</v>
      </c>
      <c r="L2361">
        <v>0</v>
      </c>
      <c r="M2361">
        <v>1.2711015910000001</v>
      </c>
      <c r="N2361">
        <v>0</v>
      </c>
      <c r="O2361" t="s">
        <v>169</v>
      </c>
      <c r="P2361" t="s">
        <v>2833</v>
      </c>
      <c r="Q2361" t="s">
        <v>161</v>
      </c>
      <c r="R2361">
        <f ca="1">RAND()*(Validation[[#This Row],[Range1_High]]-Validation[[#This Row],[Range1_Low]])+Validation[[#This Row],[Range1_Low]]</f>
        <v>289.86777775900168</v>
      </c>
      <c r="S2361">
        <f>Validation[[#This Row],[Range2_High]]</f>
        <v>0</v>
      </c>
      <c r="T2361" t="str" cm="1">
        <f t="array" aca="1" ref="T2361" ca="1">RoundToTwoSigFigs(Validation[[#This Row],[Test Reading]]*Validation[[#This Row],[Mult]]+Validation[[#This Row],[Base]]) &amp;" "&amp;Validation[[#This Row],[Uncert_Units]]</f>
        <v>1.3 °C</v>
      </c>
      <c r="U2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V2361" t="b">
        <f ca="1">Validation[[#This Row],[Desired Result]]=Validation[[#This Row],[Result]]</f>
        <v>1</v>
      </c>
      <c r="W2361" t="b">
        <v>1</v>
      </c>
      <c r="X2361" t="b">
        <f>Validation[[#This Row],[Range1_Low]]&gt;=Validation[[#This Row],[Range1_High]]</f>
        <v>0</v>
      </c>
      <c r="Y2361" s="111" t="s">
        <v>2843</v>
      </c>
    </row>
    <row r="2362" spans="1:25" ht="16.5" thickTop="1" thickBot="1" x14ac:dyDescent="0.3">
      <c r="A2362" t="s">
        <v>68</v>
      </c>
      <c r="B2362" t="s">
        <v>74</v>
      </c>
      <c r="C2362" s="113">
        <v>1400</v>
      </c>
      <c r="D2362" s="113">
        <v>2192</v>
      </c>
      <c r="E2362">
        <v>1</v>
      </c>
      <c r="F2362" t="s">
        <v>26</v>
      </c>
      <c r="G2362" t="s">
        <v>26</v>
      </c>
      <c r="H2362">
        <v>0</v>
      </c>
      <c r="I2362">
        <v>0</v>
      </c>
      <c r="J2362" t="s">
        <v>2833</v>
      </c>
      <c r="K2362">
        <v>2.3206764830000002</v>
      </c>
      <c r="L2362">
        <v>0</v>
      </c>
      <c r="M2362">
        <v>2.3187333959999998</v>
      </c>
      <c r="N2362">
        <v>0</v>
      </c>
      <c r="O2362" t="s">
        <v>169</v>
      </c>
      <c r="P2362" t="s">
        <v>2833</v>
      </c>
      <c r="Q2362" t="s">
        <v>161</v>
      </c>
      <c r="R2362">
        <f ca="1">RAND()*(Validation[[#This Row],[Range1_High]]-Validation[[#This Row],[Range1_Low]])+Validation[[#This Row],[Range1_Low]]</f>
        <v>1842.5522354962343</v>
      </c>
      <c r="S2362">
        <f>Validation[[#This Row],[Range2_High]]</f>
        <v>0</v>
      </c>
      <c r="T2362" t="str" cm="1">
        <f t="array" aca="1" ref="T2362" ca="1">RoundToTwoSigFigs(Validation[[#This Row],[Test Reading]]*Validation[[#This Row],[Mult]]+Validation[[#This Row],[Base]]) &amp;" "&amp;Validation[[#This Row],[Uncert_Units]]</f>
        <v>2.3 °F</v>
      </c>
      <c r="U2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V2362" t="b">
        <f ca="1">Validation[[#This Row],[Desired Result]]=Validation[[#This Row],[Result]]</f>
        <v>1</v>
      </c>
      <c r="W2362" t="b">
        <v>1</v>
      </c>
      <c r="X2362" t="b">
        <f>Validation[[#This Row],[Range1_Low]]&gt;=Validation[[#This Row],[Range1_High]]</f>
        <v>0</v>
      </c>
      <c r="Y2362" s="111" t="s">
        <v>2843</v>
      </c>
    </row>
    <row r="2363" spans="1:25" ht="15.75" thickTop="1" x14ac:dyDescent="0.25">
      <c r="A2363" t="s">
        <v>68</v>
      </c>
      <c r="B2363" t="s">
        <v>74</v>
      </c>
      <c r="C2363">
        <v>150</v>
      </c>
      <c r="D2363">
        <v>760</v>
      </c>
      <c r="E2363">
        <v>0.1</v>
      </c>
      <c r="F2363" t="s">
        <v>23</v>
      </c>
      <c r="G2363" t="s">
        <v>23</v>
      </c>
      <c r="H2363">
        <v>0</v>
      </c>
      <c r="I2363">
        <v>0</v>
      </c>
      <c r="J2363" t="s">
        <v>2833</v>
      </c>
      <c r="K2363">
        <v>1.134193475</v>
      </c>
      <c r="L2363">
        <v>0</v>
      </c>
      <c r="M2363">
        <v>1.1338867909999999</v>
      </c>
      <c r="N2363">
        <v>0</v>
      </c>
      <c r="O2363" t="s">
        <v>169</v>
      </c>
      <c r="P2363" t="s">
        <v>2833</v>
      </c>
      <c r="Q2363" t="s">
        <v>161</v>
      </c>
      <c r="R2363">
        <f ca="1">RAND()*(Validation[[#This Row],[Range1_High]]-Validation[[#This Row],[Range1_Low]])+Validation[[#This Row],[Range1_Low]]</f>
        <v>679.00680867583287</v>
      </c>
      <c r="S2363">
        <f>Validation[[#This Row],[Range2_High]]</f>
        <v>0</v>
      </c>
      <c r="T2363" t="str" cm="1">
        <f t="array" aca="1" ref="T2363" ca="1">RoundToTwoSigFigs(Validation[[#This Row],[Test Reading]]*Validation[[#This Row],[Mult]]+Validation[[#This Row],[Base]]) &amp;" "&amp;Validation[[#This Row],[Uncert_Units]]</f>
        <v>1.1 °C</v>
      </c>
      <c r="U2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V2363" t="b">
        <f ca="1">Validation[[#This Row],[Desired Result]]=Validation[[#This Row],[Result]]</f>
        <v>1</v>
      </c>
      <c r="W2363" t="b">
        <v>0</v>
      </c>
      <c r="X2363" t="b">
        <f>Validation[[#This Row],[Range1_Low]]&gt;=Validation[[#This Row],[Range1_High]]</f>
        <v>0</v>
      </c>
      <c r="Y2363" s="111" t="s">
        <v>2845</v>
      </c>
    </row>
    <row r="2364" spans="1:25" x14ac:dyDescent="0.25">
      <c r="A2364" t="s">
        <v>68</v>
      </c>
      <c r="B2364" t="s">
        <v>75</v>
      </c>
      <c r="C2364">
        <v>-328</v>
      </c>
      <c r="D2364">
        <v>-148</v>
      </c>
      <c r="E2364">
        <v>0.1</v>
      </c>
      <c r="F2364" t="s">
        <v>26</v>
      </c>
      <c r="G2364" t="s">
        <v>26</v>
      </c>
      <c r="H2364">
        <v>0</v>
      </c>
      <c r="I2364">
        <v>0</v>
      </c>
      <c r="J2364" t="s">
        <v>2833</v>
      </c>
      <c r="K2364">
        <v>2.584126259</v>
      </c>
      <c r="L2364">
        <v>0</v>
      </c>
      <c r="M2364">
        <v>2.5812734900000001</v>
      </c>
      <c r="N2364">
        <v>0</v>
      </c>
      <c r="O2364" t="s">
        <v>169</v>
      </c>
      <c r="P2364" t="s">
        <v>2833</v>
      </c>
      <c r="Q2364" t="s">
        <v>111</v>
      </c>
      <c r="R2364">
        <f ca="1">RAND()*(Validation[[#This Row],[Range1_High]]-Validation[[#This Row],[Range1_Low]])+Validation[[#This Row],[Range1_Low]]</f>
        <v>-233.17794371144223</v>
      </c>
      <c r="S2364">
        <f>Validation[[#This Row],[Range2_High]]</f>
        <v>0</v>
      </c>
      <c r="T2364" t="str" cm="1">
        <f t="array" aca="1" ref="T2364" ca="1">RoundToTwoSigFigs(Validation[[#This Row],[Test Reading]]*Validation[[#This Row],[Mult]]+Validation[[#This Row],[Base]]) &amp;" "&amp;Validation[[#This Row],[Uncert_Units]]</f>
        <v>2.6 °F</v>
      </c>
      <c r="U2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V2364" t="b">
        <f ca="1">Validation[[#This Row],[Desired Result]]=Validation[[#This Row],[Result]]</f>
        <v>1</v>
      </c>
      <c r="W2364" t="b">
        <v>0</v>
      </c>
      <c r="X2364" t="b">
        <f>Validation[[#This Row],[Range1_Low]]&gt;=Validation[[#This Row],[Range1_High]]</f>
        <v>0</v>
      </c>
      <c r="Y2364" s="111" t="s">
        <v>2845</v>
      </c>
    </row>
    <row r="2365" spans="1:25" ht="15.75" thickBot="1" x14ac:dyDescent="0.3">
      <c r="A2365" t="s">
        <v>68</v>
      </c>
      <c r="B2365" t="s">
        <v>75</v>
      </c>
      <c r="C2365">
        <v>-200</v>
      </c>
      <c r="D2365">
        <v>-100</v>
      </c>
      <c r="E2365">
        <v>0.1</v>
      </c>
      <c r="F2365" t="s">
        <v>23</v>
      </c>
      <c r="G2365" t="s">
        <v>23</v>
      </c>
      <c r="H2365">
        <v>0</v>
      </c>
      <c r="I2365">
        <v>0</v>
      </c>
      <c r="J2365" t="s">
        <v>2833</v>
      </c>
      <c r="K2365">
        <v>1.4397550640000001</v>
      </c>
      <c r="L2365">
        <v>0</v>
      </c>
      <c r="M2365">
        <v>1.438174743</v>
      </c>
      <c r="N2365">
        <v>0</v>
      </c>
      <c r="O2365" t="s">
        <v>169</v>
      </c>
      <c r="P2365" t="s">
        <v>2833</v>
      </c>
      <c r="Q2365" t="s">
        <v>111</v>
      </c>
      <c r="R2365">
        <f ca="1">RAND()*(Validation[[#This Row],[Range1_High]]-Validation[[#This Row],[Range1_Low]])+Validation[[#This Row],[Range1_Low]]</f>
        <v>-123.54240697873267</v>
      </c>
      <c r="S2365">
        <f>Validation[[#This Row],[Range2_High]]</f>
        <v>0</v>
      </c>
      <c r="T2365" t="str" cm="1">
        <f t="array" aca="1" ref="T2365" ca="1">RoundToTwoSigFigs(Validation[[#This Row],[Test Reading]]*Validation[[#This Row],[Mult]]+Validation[[#This Row],[Base]]) &amp;" "&amp;Validation[[#This Row],[Uncert_Units]]</f>
        <v>1.4 °C</v>
      </c>
      <c r="U2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V2365" t="b">
        <f ca="1">Validation[[#This Row],[Desired Result]]=Validation[[#This Row],[Result]]</f>
        <v>1</v>
      </c>
      <c r="W2365" t="b">
        <v>0</v>
      </c>
      <c r="X2365" t="b">
        <f>Validation[[#This Row],[Range1_Low]]&gt;=Validation[[#This Row],[Range1_High]]</f>
        <v>0</v>
      </c>
      <c r="Y2365" s="111" t="s">
        <v>2845</v>
      </c>
    </row>
    <row r="2366" spans="1:25" ht="16.5" thickTop="1" thickBot="1" x14ac:dyDescent="0.3">
      <c r="A2366" t="s">
        <v>68</v>
      </c>
      <c r="B2366" t="s">
        <v>75</v>
      </c>
      <c r="C2366" s="113">
        <v>-100</v>
      </c>
      <c r="D2366" s="113">
        <v>120</v>
      </c>
      <c r="E2366">
        <v>0.1</v>
      </c>
      <c r="F2366" t="s">
        <v>23</v>
      </c>
      <c r="G2366" t="s">
        <v>23</v>
      </c>
      <c r="H2366">
        <v>0</v>
      </c>
      <c r="I2366">
        <v>0</v>
      </c>
      <c r="J2366" t="s">
        <v>2833</v>
      </c>
      <c r="K2366">
        <v>1.1600491470000001</v>
      </c>
      <c r="L2366">
        <v>0</v>
      </c>
      <c r="M2366">
        <v>1.158087203</v>
      </c>
      <c r="N2366">
        <v>0</v>
      </c>
      <c r="O2366" t="s">
        <v>169</v>
      </c>
      <c r="P2366" t="s">
        <v>2833</v>
      </c>
      <c r="Q2366" t="s">
        <v>111</v>
      </c>
      <c r="R2366">
        <f ca="1">RAND()*(Validation[[#This Row],[Range1_High]]-Validation[[#This Row],[Range1_Low]])+Validation[[#This Row],[Range1_Low]]</f>
        <v>104.76004911934291</v>
      </c>
      <c r="S2366">
        <f>Validation[[#This Row],[Range2_High]]</f>
        <v>0</v>
      </c>
      <c r="T2366" t="str" cm="1">
        <f t="array" aca="1" ref="T2366" ca="1">RoundToTwoSigFigs(Validation[[#This Row],[Test Reading]]*Validation[[#This Row],[Mult]]+Validation[[#This Row],[Base]]) &amp;" "&amp;Validation[[#This Row],[Uncert_Units]]</f>
        <v>1.2 °C</v>
      </c>
      <c r="U2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V2366" t="b">
        <f ca="1">Validation[[#This Row],[Desired Result]]=Validation[[#This Row],[Result]]</f>
        <v>1</v>
      </c>
      <c r="W2366" t="b">
        <v>1</v>
      </c>
      <c r="X2366" t="b">
        <f>Validation[[#This Row],[Range1_Low]]&gt;=Validation[[#This Row],[Range1_High]]</f>
        <v>0</v>
      </c>
      <c r="Y2366" s="111" t="s">
        <v>2843</v>
      </c>
    </row>
    <row r="2367" spans="1:25" ht="15.75" thickTop="1" x14ac:dyDescent="0.25">
      <c r="A2367" t="s">
        <v>68</v>
      </c>
      <c r="B2367" t="s">
        <v>75</v>
      </c>
      <c r="C2367">
        <v>-200</v>
      </c>
      <c r="D2367">
        <v>-100</v>
      </c>
      <c r="E2367">
        <v>1</v>
      </c>
      <c r="F2367" t="s">
        <v>23</v>
      </c>
      <c r="G2367" t="s">
        <v>23</v>
      </c>
      <c r="H2367">
        <v>0</v>
      </c>
      <c r="I2367">
        <v>0</v>
      </c>
      <c r="J2367" t="s">
        <v>2833</v>
      </c>
      <c r="K2367">
        <v>1.554522051</v>
      </c>
      <c r="L2367">
        <v>0</v>
      </c>
      <c r="M2367">
        <v>1.5486596109999999</v>
      </c>
      <c r="N2367">
        <v>0</v>
      </c>
      <c r="O2367" t="s">
        <v>169</v>
      </c>
      <c r="P2367" t="s">
        <v>2833</v>
      </c>
      <c r="Q2367" t="s">
        <v>111</v>
      </c>
      <c r="R2367">
        <f ca="1">RAND()*(Validation[[#This Row],[Range1_High]]-Validation[[#This Row],[Range1_Low]])+Validation[[#This Row],[Range1_Low]]</f>
        <v>-179.73380602387186</v>
      </c>
      <c r="S2367">
        <f>Validation[[#This Row],[Range2_High]]</f>
        <v>0</v>
      </c>
      <c r="T2367" t="str" cm="1">
        <f t="array" aca="1" ref="T2367" ca="1">RoundToTwoSigFigs(Validation[[#This Row],[Test Reading]]*Validation[[#This Row],[Mult]]+Validation[[#This Row],[Base]]) &amp;" "&amp;Validation[[#This Row],[Uncert_Units]]</f>
        <v>1.6 °C</v>
      </c>
      <c r="U2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V2367" t="b">
        <f ca="1">Validation[[#This Row],[Desired Result]]=Validation[[#This Row],[Result]]</f>
        <v>1</v>
      </c>
      <c r="W2367" t="b">
        <v>0</v>
      </c>
      <c r="X2367" t="b">
        <f>Validation[[#This Row],[Range1_Low]]&gt;=Validation[[#This Row],[Range1_High]]</f>
        <v>0</v>
      </c>
      <c r="Y2367" s="111" t="s">
        <v>2845</v>
      </c>
    </row>
    <row r="2368" spans="1:25" ht="15.75" thickBot="1" x14ac:dyDescent="0.3">
      <c r="A2368" t="s">
        <v>68</v>
      </c>
      <c r="B2368" t="s">
        <v>76</v>
      </c>
      <c r="C2368">
        <v>-328</v>
      </c>
      <c r="D2368">
        <v>-148</v>
      </c>
      <c r="E2368">
        <v>1</v>
      </c>
      <c r="F2368" t="s">
        <v>26</v>
      </c>
      <c r="G2368" t="s">
        <v>26</v>
      </c>
      <c r="H2368">
        <v>0</v>
      </c>
      <c r="I2368">
        <v>0</v>
      </c>
      <c r="J2368" t="s">
        <v>2833</v>
      </c>
      <c r="K2368">
        <v>3.2633231180000002</v>
      </c>
      <c r="L2368">
        <v>0</v>
      </c>
      <c r="M2368">
        <v>3.2536401659999998</v>
      </c>
      <c r="N2368">
        <v>0</v>
      </c>
      <c r="O2368" t="s">
        <v>169</v>
      </c>
      <c r="P2368" t="s">
        <v>2833</v>
      </c>
      <c r="Q2368" t="s">
        <v>162</v>
      </c>
      <c r="R2368">
        <f ca="1">RAND()*(Validation[[#This Row],[Range1_High]]-Validation[[#This Row],[Range1_Low]])+Validation[[#This Row],[Range1_Low]]</f>
        <v>-323.63241817329293</v>
      </c>
      <c r="S2368">
        <f>Validation[[#This Row],[Range2_High]]</f>
        <v>0</v>
      </c>
      <c r="T2368" t="str" cm="1">
        <f t="array" aca="1" ref="T2368" ca="1">RoundToTwoSigFigs(Validation[[#This Row],[Test Reading]]*Validation[[#This Row],[Mult]]+Validation[[#This Row],[Base]]) &amp;" "&amp;Validation[[#This Row],[Uncert_Units]]</f>
        <v>3.3 °F</v>
      </c>
      <c r="U2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V2368" t="b">
        <f ca="1">Validation[[#This Row],[Desired Result]]=Validation[[#This Row],[Result]]</f>
        <v>1</v>
      </c>
      <c r="W2368" t="b">
        <v>0</v>
      </c>
      <c r="X2368" t="b">
        <f>Validation[[#This Row],[Range1_Low]]&gt;=Validation[[#This Row],[Range1_High]]</f>
        <v>0</v>
      </c>
      <c r="Y2368" s="111" t="s">
        <v>2845</v>
      </c>
    </row>
    <row r="2369" spans="1:25" ht="16.5" thickTop="1" thickBot="1" x14ac:dyDescent="0.3">
      <c r="A2369" t="s">
        <v>68</v>
      </c>
      <c r="B2369" t="s">
        <v>76</v>
      </c>
      <c r="C2369" s="113">
        <v>770</v>
      </c>
      <c r="D2369" s="113">
        <v>2372</v>
      </c>
      <c r="E2369">
        <v>0.1</v>
      </c>
      <c r="F2369" t="s">
        <v>26</v>
      </c>
      <c r="G2369" t="s">
        <v>26</v>
      </c>
      <c r="H2369">
        <v>0</v>
      </c>
      <c r="I2369">
        <v>0</v>
      </c>
      <c r="J2369" t="s">
        <v>2833</v>
      </c>
      <c r="K2369">
        <v>2.4557651269999998</v>
      </c>
      <c r="L2369">
        <v>0</v>
      </c>
      <c r="M2369">
        <v>2.4544587999999998</v>
      </c>
      <c r="N2369">
        <v>0</v>
      </c>
      <c r="O2369" t="s">
        <v>169</v>
      </c>
      <c r="P2369" t="s">
        <v>2833</v>
      </c>
      <c r="Q2369" t="s">
        <v>162</v>
      </c>
      <c r="R2369">
        <f ca="1">RAND()*(Validation[[#This Row],[Range1_High]]-Validation[[#This Row],[Range1_Low]])+Validation[[#This Row],[Range1_Low]]</f>
        <v>1207.2470180718781</v>
      </c>
      <c r="S2369">
        <f>Validation[[#This Row],[Range2_High]]</f>
        <v>0</v>
      </c>
      <c r="T2369" t="str" cm="1">
        <f t="array" aca="1" ref="T2369" ca="1">RoundToTwoSigFigs(Validation[[#This Row],[Test Reading]]*Validation[[#This Row],[Mult]]+Validation[[#This Row],[Base]]) &amp;" "&amp;Validation[[#This Row],[Uncert_Units]]</f>
        <v>2.5 °F</v>
      </c>
      <c r="U2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V2369" t="b">
        <f ca="1">Validation[[#This Row],[Desired Result]]=Validation[[#This Row],[Result]]</f>
        <v>1</v>
      </c>
      <c r="W2369" t="b">
        <v>1</v>
      </c>
      <c r="X2369" t="b">
        <f>Validation[[#This Row],[Range1_Low]]&gt;=Validation[[#This Row],[Range1_High]]</f>
        <v>0</v>
      </c>
      <c r="Y2369" s="111" t="s">
        <v>2843</v>
      </c>
    </row>
    <row r="2370" spans="1:25" ht="15.75" thickTop="1" x14ac:dyDescent="0.25">
      <c r="A2370" t="s">
        <v>68</v>
      </c>
      <c r="B2370" t="s">
        <v>76</v>
      </c>
      <c r="C2370">
        <v>-200</v>
      </c>
      <c r="D2370">
        <v>-100</v>
      </c>
      <c r="E2370">
        <v>1</v>
      </c>
      <c r="F2370" t="s">
        <v>23</v>
      </c>
      <c r="G2370" t="s">
        <v>23</v>
      </c>
      <c r="H2370">
        <v>0</v>
      </c>
      <c r="I2370">
        <v>0</v>
      </c>
      <c r="J2370" t="s">
        <v>2833</v>
      </c>
      <c r="K2370">
        <v>1.876204803</v>
      </c>
      <c r="L2370">
        <v>0</v>
      </c>
      <c r="M2370">
        <v>1.87100724</v>
      </c>
      <c r="N2370">
        <v>0</v>
      </c>
      <c r="O2370" t="s">
        <v>169</v>
      </c>
      <c r="P2370" t="s">
        <v>2833</v>
      </c>
      <c r="Q2370" t="s">
        <v>162</v>
      </c>
      <c r="R2370">
        <f ca="1">RAND()*(Validation[[#This Row],[Range1_High]]-Validation[[#This Row],[Range1_Low]])+Validation[[#This Row],[Range1_Low]]</f>
        <v>-119.85598510784972</v>
      </c>
      <c r="S2370">
        <f>Validation[[#This Row],[Range2_High]]</f>
        <v>0</v>
      </c>
      <c r="T2370" t="str" cm="1">
        <f t="array" aca="1" ref="T2370" ca="1">RoundToTwoSigFigs(Validation[[#This Row],[Test Reading]]*Validation[[#This Row],[Mult]]+Validation[[#This Row],[Base]]) &amp;" "&amp;Validation[[#This Row],[Uncert_Units]]</f>
        <v>1.9 °C</v>
      </c>
      <c r="U2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V2370" t="b">
        <f ca="1">Validation[[#This Row],[Desired Result]]=Validation[[#This Row],[Result]]</f>
        <v>1</v>
      </c>
      <c r="W2370" t="b">
        <v>0</v>
      </c>
      <c r="X2370" t="b">
        <f>Validation[[#This Row],[Range1_Low]]&gt;=Validation[[#This Row],[Range1_High]]</f>
        <v>0</v>
      </c>
      <c r="Y2370" s="111" t="s">
        <v>2845</v>
      </c>
    </row>
    <row r="2371" spans="1:25" ht="15.75" thickBot="1" x14ac:dyDescent="0.3">
      <c r="A2371" t="s">
        <v>68</v>
      </c>
      <c r="B2371" t="s">
        <v>76</v>
      </c>
      <c r="C2371">
        <v>-200</v>
      </c>
      <c r="D2371">
        <v>-100</v>
      </c>
      <c r="E2371">
        <v>0.1</v>
      </c>
      <c r="F2371" t="s">
        <v>23</v>
      </c>
      <c r="G2371" t="s">
        <v>23</v>
      </c>
      <c r="H2371">
        <v>0</v>
      </c>
      <c r="I2371">
        <v>0</v>
      </c>
      <c r="J2371" t="s">
        <v>2833</v>
      </c>
      <c r="K2371">
        <v>1.7820037</v>
      </c>
      <c r="L2371">
        <v>0</v>
      </c>
      <c r="M2371">
        <v>1.7806369909999999</v>
      </c>
      <c r="N2371">
        <v>0</v>
      </c>
      <c r="O2371" t="s">
        <v>169</v>
      </c>
      <c r="P2371" t="s">
        <v>2833</v>
      </c>
      <c r="Q2371" t="s">
        <v>162</v>
      </c>
      <c r="R2371">
        <f ca="1">RAND()*(Validation[[#This Row],[Range1_High]]-Validation[[#This Row],[Range1_Low]])+Validation[[#This Row],[Range1_Low]]</f>
        <v>-130.37934867412244</v>
      </c>
      <c r="S2371">
        <f>Validation[[#This Row],[Range2_High]]</f>
        <v>0</v>
      </c>
      <c r="T2371" t="str" cm="1">
        <f t="array" aca="1" ref="T2371" ca="1">RoundToTwoSigFigs(Validation[[#This Row],[Test Reading]]*Validation[[#This Row],[Mult]]+Validation[[#This Row],[Base]]) &amp;" "&amp;Validation[[#This Row],[Uncert_Units]]</f>
        <v>1.8 °C</v>
      </c>
      <c r="U2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V2371" t="b">
        <f ca="1">Validation[[#This Row],[Desired Result]]=Validation[[#This Row],[Result]]</f>
        <v>1</v>
      </c>
      <c r="W2371" t="b">
        <v>0</v>
      </c>
      <c r="X2371" t="b">
        <f>Validation[[#This Row],[Range1_Low]]&gt;=Validation[[#This Row],[Range1_High]]</f>
        <v>0</v>
      </c>
      <c r="Y2371" s="111" t="s">
        <v>2845</v>
      </c>
    </row>
    <row r="2372" spans="1:25" ht="16.5" thickTop="1" thickBot="1" x14ac:dyDescent="0.3">
      <c r="A2372" t="s">
        <v>68</v>
      </c>
      <c r="B2372" t="s">
        <v>77</v>
      </c>
      <c r="C2372" s="113">
        <v>482</v>
      </c>
      <c r="D2372" s="113">
        <v>3200</v>
      </c>
      <c r="E2372">
        <v>0.1</v>
      </c>
      <c r="F2372" t="s">
        <v>26</v>
      </c>
      <c r="G2372" t="s">
        <v>26</v>
      </c>
      <c r="H2372">
        <v>0</v>
      </c>
      <c r="I2372">
        <v>0</v>
      </c>
      <c r="J2372" t="s">
        <v>2833</v>
      </c>
      <c r="K2372">
        <v>3.582348573</v>
      </c>
      <c r="L2372">
        <v>0</v>
      </c>
      <c r="M2372">
        <v>3.5805091610000002</v>
      </c>
      <c r="N2372">
        <v>0</v>
      </c>
      <c r="O2372" t="s">
        <v>169</v>
      </c>
      <c r="P2372" t="s">
        <v>2833</v>
      </c>
      <c r="Q2372" t="s">
        <v>163</v>
      </c>
      <c r="R2372">
        <f ca="1">RAND()*(Validation[[#This Row],[Range1_High]]-Validation[[#This Row],[Range1_Low]])+Validation[[#This Row],[Range1_Low]]</f>
        <v>2245.1701201477149</v>
      </c>
      <c r="S2372">
        <f>Validation[[#This Row],[Range2_High]]</f>
        <v>0</v>
      </c>
      <c r="T2372" t="str" cm="1">
        <f t="array" aca="1" ref="T2372" ca="1">RoundToTwoSigFigs(Validation[[#This Row],[Test Reading]]*Validation[[#This Row],[Mult]]+Validation[[#This Row],[Base]]) &amp;" "&amp;Validation[[#This Row],[Uncert_Units]]</f>
        <v>3.6 °F</v>
      </c>
      <c r="U2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V2372" t="b">
        <f ca="1">Validation[[#This Row],[Desired Result]]=Validation[[#This Row],[Result]]</f>
        <v>1</v>
      </c>
      <c r="W2372" t="b">
        <v>1</v>
      </c>
      <c r="X2372" t="b">
        <f>Validation[[#This Row],[Range1_Low]]&gt;=Validation[[#This Row],[Range1_High]]</f>
        <v>0</v>
      </c>
      <c r="Y2372" s="111" t="s">
        <v>2843</v>
      </c>
    </row>
    <row r="2373" spans="1:25" ht="15.75" thickTop="1" x14ac:dyDescent="0.25">
      <c r="A2373" t="s">
        <v>68</v>
      </c>
      <c r="B2373" t="s">
        <v>77</v>
      </c>
      <c r="C2373">
        <v>0</v>
      </c>
      <c r="D2373">
        <v>250</v>
      </c>
      <c r="E2373">
        <v>1</v>
      </c>
      <c r="F2373" t="s">
        <v>23</v>
      </c>
      <c r="G2373" t="s">
        <v>23</v>
      </c>
      <c r="H2373">
        <v>0</v>
      </c>
      <c r="I2373">
        <v>0</v>
      </c>
      <c r="J2373" t="s">
        <v>2833</v>
      </c>
      <c r="K2373">
        <v>2.7419115989999998</v>
      </c>
      <c r="L2373">
        <v>0</v>
      </c>
      <c r="M2373">
        <v>2.73839677</v>
      </c>
      <c r="N2373">
        <v>0</v>
      </c>
      <c r="O2373" t="s">
        <v>169</v>
      </c>
      <c r="P2373" t="s">
        <v>2833</v>
      </c>
      <c r="Q2373" t="s">
        <v>163</v>
      </c>
      <c r="R2373">
        <f ca="1">RAND()*(Validation[[#This Row],[Range1_High]]-Validation[[#This Row],[Range1_Low]])+Validation[[#This Row],[Range1_Low]]</f>
        <v>110.18311672077041</v>
      </c>
      <c r="S2373">
        <f>Validation[[#This Row],[Range2_High]]</f>
        <v>0</v>
      </c>
      <c r="T2373" t="str" cm="1">
        <f t="array" aca="1" ref="T2373" ca="1">RoundToTwoSigFigs(Validation[[#This Row],[Test Reading]]*Validation[[#This Row],[Mult]]+Validation[[#This Row],[Base]]) &amp;" "&amp;Validation[[#This Row],[Uncert_Units]]</f>
        <v>2.7 °C</v>
      </c>
      <c r="U2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V2373" t="b">
        <f ca="1">Validation[[#This Row],[Desired Result]]=Validation[[#This Row],[Result]]</f>
        <v>1</v>
      </c>
      <c r="W2373" t="b">
        <v>0</v>
      </c>
      <c r="X2373" t="b">
        <f>Validation[[#This Row],[Range1_Low]]&gt;=Validation[[#This Row],[Range1_High]]</f>
        <v>0</v>
      </c>
      <c r="Y2373" s="111" t="s">
        <v>2845</v>
      </c>
    </row>
    <row r="2374" spans="1:25" ht="15.75" thickBot="1" x14ac:dyDescent="0.3">
      <c r="A2374" t="s">
        <v>68</v>
      </c>
      <c r="B2374" t="s">
        <v>77</v>
      </c>
      <c r="C2374">
        <v>32</v>
      </c>
      <c r="D2374">
        <v>482</v>
      </c>
      <c r="E2374">
        <v>0.1</v>
      </c>
      <c r="F2374" t="s">
        <v>26</v>
      </c>
      <c r="G2374" t="s">
        <v>26</v>
      </c>
      <c r="H2374">
        <v>0</v>
      </c>
      <c r="I2374">
        <v>0</v>
      </c>
      <c r="J2374" t="s">
        <v>2833</v>
      </c>
      <c r="K2374">
        <v>4.7943939770000004</v>
      </c>
      <c r="L2374">
        <v>0</v>
      </c>
      <c r="M2374">
        <v>4.7927665399999997</v>
      </c>
      <c r="N2374">
        <v>0</v>
      </c>
      <c r="O2374" t="s">
        <v>169</v>
      </c>
      <c r="P2374" t="s">
        <v>2833</v>
      </c>
      <c r="Q2374" t="s">
        <v>163</v>
      </c>
      <c r="R2374">
        <f ca="1">RAND()*(Validation[[#This Row],[Range1_High]]-Validation[[#This Row],[Range1_Low]])+Validation[[#This Row],[Range1_Low]]</f>
        <v>339.78237082753276</v>
      </c>
      <c r="S2374">
        <f>Validation[[#This Row],[Range2_High]]</f>
        <v>0</v>
      </c>
      <c r="T2374" t="str" cm="1">
        <f t="array" aca="1" ref="T2374" ca="1">RoundToTwoSigFigs(Validation[[#This Row],[Test Reading]]*Validation[[#This Row],[Mult]]+Validation[[#This Row],[Base]]) &amp;" "&amp;Validation[[#This Row],[Uncert_Units]]</f>
        <v>4.8 °F</v>
      </c>
      <c r="U2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V2374" t="b">
        <f ca="1">Validation[[#This Row],[Desired Result]]=Validation[[#This Row],[Result]]</f>
        <v>1</v>
      </c>
      <c r="W2374" t="b">
        <v>0</v>
      </c>
      <c r="X2374" t="b">
        <f>Validation[[#This Row],[Range1_Low]]&gt;=Validation[[#This Row],[Range1_High]]</f>
        <v>0</v>
      </c>
      <c r="Y2374" s="111" t="s">
        <v>2845</v>
      </c>
    </row>
    <row r="2375" spans="1:25" ht="16.5" thickTop="1" thickBot="1" x14ac:dyDescent="0.3">
      <c r="A2375" t="s">
        <v>68</v>
      </c>
      <c r="B2375" t="s">
        <v>77</v>
      </c>
      <c r="C2375" s="113">
        <v>250</v>
      </c>
      <c r="D2375" s="113">
        <v>1760</v>
      </c>
      <c r="E2375">
        <v>1</v>
      </c>
      <c r="F2375" t="s">
        <v>23</v>
      </c>
      <c r="G2375" t="s">
        <v>23</v>
      </c>
      <c r="H2375">
        <v>0</v>
      </c>
      <c r="I2375">
        <v>0</v>
      </c>
      <c r="J2375" t="s">
        <v>2833</v>
      </c>
      <c r="K2375">
        <v>2.08043976</v>
      </c>
      <c r="L2375">
        <v>0</v>
      </c>
      <c r="M2375">
        <v>2.0765268149999998</v>
      </c>
      <c r="N2375">
        <v>0</v>
      </c>
      <c r="O2375" t="s">
        <v>169</v>
      </c>
      <c r="P2375" t="s">
        <v>2833</v>
      </c>
      <c r="Q2375" t="s">
        <v>163</v>
      </c>
      <c r="R2375">
        <f ca="1">RAND()*(Validation[[#This Row],[Range1_High]]-Validation[[#This Row],[Range1_Low]])+Validation[[#This Row],[Range1_Low]]</f>
        <v>1169.6498470393926</v>
      </c>
      <c r="S2375">
        <f>Validation[[#This Row],[Range2_High]]</f>
        <v>0</v>
      </c>
      <c r="T2375" t="str" cm="1">
        <f t="array" aca="1" ref="T2375" ca="1">RoundToTwoSigFigs(Validation[[#This Row],[Test Reading]]*Validation[[#This Row],[Mult]]+Validation[[#This Row],[Base]]) &amp;" "&amp;Validation[[#This Row],[Uncert_Units]]</f>
        <v>2.1 °C</v>
      </c>
      <c r="U2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V2375" t="b">
        <f ca="1">Validation[[#This Row],[Desired Result]]=Validation[[#This Row],[Result]]</f>
        <v>1</v>
      </c>
      <c r="W2375" t="b">
        <v>1</v>
      </c>
      <c r="X2375" t="b">
        <f>Validation[[#This Row],[Range1_Low]]&gt;=Validation[[#This Row],[Range1_High]]</f>
        <v>0</v>
      </c>
      <c r="Y2375" s="111" t="s">
        <v>2843</v>
      </c>
    </row>
    <row r="2376" spans="1:25" ht="16.5" thickTop="1" thickBot="1" x14ac:dyDescent="0.3">
      <c r="A2376" t="s">
        <v>68</v>
      </c>
      <c r="B2376" t="s">
        <v>78</v>
      </c>
      <c r="C2376" s="113">
        <v>250</v>
      </c>
      <c r="D2376" s="113">
        <v>1760</v>
      </c>
      <c r="E2376">
        <v>1</v>
      </c>
      <c r="F2376" t="s">
        <v>23</v>
      </c>
      <c r="G2376" t="s">
        <v>23</v>
      </c>
      <c r="H2376">
        <v>0</v>
      </c>
      <c r="I2376">
        <v>0</v>
      </c>
      <c r="J2376" t="s">
        <v>2833</v>
      </c>
      <c r="K2376">
        <v>2.0843594840000002</v>
      </c>
      <c r="L2376">
        <v>0</v>
      </c>
      <c r="M2376">
        <v>2.0804539110000002</v>
      </c>
      <c r="N2376">
        <v>0</v>
      </c>
      <c r="O2376" t="s">
        <v>169</v>
      </c>
      <c r="P2376" t="s">
        <v>2833</v>
      </c>
      <c r="Q2376" t="s">
        <v>164</v>
      </c>
      <c r="R2376">
        <f ca="1">RAND()*(Validation[[#This Row],[Range1_High]]-Validation[[#This Row],[Range1_Low]])+Validation[[#This Row],[Range1_Low]]</f>
        <v>456.62845453208695</v>
      </c>
      <c r="S2376">
        <f>Validation[[#This Row],[Range2_High]]</f>
        <v>0</v>
      </c>
      <c r="T2376" t="str" cm="1">
        <f t="array" aca="1" ref="T2376" ca="1">RoundToTwoSigFigs(Validation[[#This Row],[Test Reading]]*Validation[[#This Row],[Mult]]+Validation[[#This Row],[Base]]) &amp;" "&amp;Validation[[#This Row],[Uncert_Units]]</f>
        <v>2.1 °C</v>
      </c>
      <c r="U2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V2376" t="b">
        <f ca="1">Validation[[#This Row],[Desired Result]]=Validation[[#This Row],[Result]]</f>
        <v>1</v>
      </c>
      <c r="W2376" t="b">
        <v>1</v>
      </c>
      <c r="X2376" t="b">
        <f>Validation[[#This Row],[Range1_Low]]&gt;=Validation[[#This Row],[Range1_High]]</f>
        <v>0</v>
      </c>
      <c r="Y2376" s="111" t="s">
        <v>2843</v>
      </c>
    </row>
    <row r="2377" spans="1:25" ht="16.5" thickTop="1" thickBot="1" x14ac:dyDescent="0.3">
      <c r="A2377" t="s">
        <v>68</v>
      </c>
      <c r="B2377" t="s">
        <v>78</v>
      </c>
      <c r="C2377" s="113">
        <v>482</v>
      </c>
      <c r="D2377" s="113">
        <v>3200</v>
      </c>
      <c r="E2377">
        <v>1</v>
      </c>
      <c r="F2377" t="s">
        <v>26</v>
      </c>
      <c r="G2377" t="s">
        <v>26</v>
      </c>
      <c r="H2377">
        <v>0</v>
      </c>
      <c r="I2377">
        <v>0</v>
      </c>
      <c r="J2377" t="s">
        <v>2833</v>
      </c>
      <c r="K2377">
        <v>3.6358042429999999</v>
      </c>
      <c r="L2377">
        <v>0</v>
      </c>
      <c r="M2377">
        <v>3.6285493959999999</v>
      </c>
      <c r="N2377">
        <v>0</v>
      </c>
      <c r="O2377" t="s">
        <v>169</v>
      </c>
      <c r="P2377" t="s">
        <v>2833</v>
      </c>
      <c r="Q2377" t="s">
        <v>164</v>
      </c>
      <c r="R2377">
        <f ca="1">RAND()*(Validation[[#This Row],[Range1_High]]-Validation[[#This Row],[Range1_Low]])+Validation[[#This Row],[Range1_Low]]</f>
        <v>1588.4139305399081</v>
      </c>
      <c r="S2377">
        <f>Validation[[#This Row],[Range2_High]]</f>
        <v>0</v>
      </c>
      <c r="T2377" t="str" cm="1">
        <f t="array" aca="1" ref="T2377" ca="1">RoundToTwoSigFigs(Validation[[#This Row],[Test Reading]]*Validation[[#This Row],[Mult]]+Validation[[#This Row],[Base]]) &amp;" "&amp;Validation[[#This Row],[Uncert_Units]]</f>
        <v>3.6 °F</v>
      </c>
      <c r="U2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V2377" t="b">
        <f ca="1">Validation[[#This Row],[Desired Result]]=Validation[[#This Row],[Result]]</f>
        <v>1</v>
      </c>
      <c r="W2377" t="b">
        <v>1</v>
      </c>
      <c r="X2377" t="b">
        <f>Validation[[#This Row],[Range1_Low]]&gt;=Validation[[#This Row],[Range1_High]]</f>
        <v>0</v>
      </c>
      <c r="Y2377" s="111" t="s">
        <v>2843</v>
      </c>
    </row>
    <row r="2378" spans="1:25" ht="16.5" thickTop="1" thickBot="1" x14ac:dyDescent="0.3">
      <c r="A2378" t="s">
        <v>68</v>
      </c>
      <c r="B2378" t="s">
        <v>78</v>
      </c>
      <c r="C2378">
        <v>0</v>
      </c>
      <c r="D2378">
        <v>250</v>
      </c>
      <c r="E2378">
        <v>0.1</v>
      </c>
      <c r="F2378" t="s">
        <v>23</v>
      </c>
      <c r="G2378" t="s">
        <v>23</v>
      </c>
      <c r="H2378">
        <v>0</v>
      </c>
      <c r="I2378">
        <v>0</v>
      </c>
      <c r="J2378" t="s">
        <v>2833</v>
      </c>
      <c r="K2378">
        <v>2.6783437879999998</v>
      </c>
      <c r="L2378">
        <v>0</v>
      </c>
      <c r="M2378">
        <v>2.6774646350000002</v>
      </c>
      <c r="N2378">
        <v>0</v>
      </c>
      <c r="O2378" t="s">
        <v>169</v>
      </c>
      <c r="P2378" t="s">
        <v>2833</v>
      </c>
      <c r="Q2378" t="s">
        <v>164</v>
      </c>
      <c r="R2378">
        <f ca="1">RAND()*(Validation[[#This Row],[Range1_High]]-Validation[[#This Row],[Range1_Low]])+Validation[[#This Row],[Range1_Low]]</f>
        <v>90.91701498668067</v>
      </c>
      <c r="S2378">
        <f>Validation[[#This Row],[Range2_High]]</f>
        <v>0</v>
      </c>
      <c r="T2378" t="str" cm="1">
        <f t="array" aca="1" ref="T2378" ca="1">RoundToTwoSigFigs(Validation[[#This Row],[Test Reading]]*Validation[[#This Row],[Mult]]+Validation[[#This Row],[Base]]) &amp;" "&amp;Validation[[#This Row],[Uncert_Units]]</f>
        <v>2.7 °C</v>
      </c>
      <c r="U2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V2378" t="b">
        <f ca="1">Validation[[#This Row],[Desired Result]]=Validation[[#This Row],[Result]]</f>
        <v>1</v>
      </c>
      <c r="W2378" t="b">
        <v>0</v>
      </c>
      <c r="X2378" t="b">
        <f>Validation[[#This Row],[Range1_Low]]&gt;=Validation[[#This Row],[Range1_High]]</f>
        <v>0</v>
      </c>
      <c r="Y2378" s="111" t="s">
        <v>2845</v>
      </c>
    </row>
    <row r="2379" spans="1:25" ht="16.5" thickTop="1" thickBot="1" x14ac:dyDescent="0.3">
      <c r="A2379" t="s">
        <v>68</v>
      </c>
      <c r="B2379" t="s">
        <v>79</v>
      </c>
      <c r="C2379" s="113">
        <v>-238</v>
      </c>
      <c r="D2379" s="113">
        <v>752</v>
      </c>
      <c r="E2379">
        <v>1</v>
      </c>
      <c r="F2379" t="s">
        <v>26</v>
      </c>
      <c r="G2379" t="s">
        <v>26</v>
      </c>
      <c r="H2379">
        <v>0</v>
      </c>
      <c r="I2379">
        <v>0</v>
      </c>
      <c r="J2379" t="s">
        <v>2833</v>
      </c>
      <c r="K2379">
        <v>2.0140532379999998</v>
      </c>
      <c r="L2379">
        <v>0</v>
      </c>
      <c r="M2379">
        <v>1.9998869969999999</v>
      </c>
      <c r="N2379">
        <v>0</v>
      </c>
      <c r="O2379" t="s">
        <v>169</v>
      </c>
      <c r="P2379" t="s">
        <v>2833</v>
      </c>
      <c r="Q2379" t="s">
        <v>165</v>
      </c>
      <c r="R2379">
        <f ca="1">RAND()*(Validation[[#This Row],[Range1_High]]-Validation[[#This Row],[Range1_Low]])+Validation[[#This Row],[Range1_Low]]</f>
        <v>-222.36708468302351</v>
      </c>
      <c r="S2379">
        <f>Validation[[#This Row],[Range2_High]]</f>
        <v>0</v>
      </c>
      <c r="T2379" t="str" cm="1">
        <f t="array" aca="1" ref="T2379" ca="1">RoundToTwoSigFigs(Validation[[#This Row],[Test Reading]]*Validation[[#This Row],[Mult]]+Validation[[#This Row],[Base]]) &amp;" "&amp;Validation[[#This Row],[Uncert_Units]]</f>
        <v>2 °F</v>
      </c>
      <c r="U2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V2379" t="b">
        <f ca="1">Validation[[#This Row],[Desired Result]]=Validation[[#This Row],[Result]]</f>
        <v>1</v>
      </c>
      <c r="W2379" t="b">
        <v>1</v>
      </c>
      <c r="X2379" t="b">
        <f>Validation[[#This Row],[Range1_Low]]&gt;=Validation[[#This Row],[Range1_High]]</f>
        <v>0</v>
      </c>
      <c r="Y2379" s="111" t="s">
        <v>2843</v>
      </c>
    </row>
    <row r="2380" spans="1:25" ht="16.5" thickTop="1" thickBot="1" x14ac:dyDescent="0.3">
      <c r="A2380" t="s">
        <v>68</v>
      </c>
      <c r="B2380" t="s">
        <v>79</v>
      </c>
      <c r="C2380">
        <v>-250</v>
      </c>
      <c r="D2380">
        <v>-150</v>
      </c>
      <c r="E2380">
        <v>0.1</v>
      </c>
      <c r="F2380" t="s">
        <v>23</v>
      </c>
      <c r="G2380" t="s">
        <v>23</v>
      </c>
      <c r="H2380">
        <v>0</v>
      </c>
      <c r="I2380">
        <v>0</v>
      </c>
      <c r="J2380" t="s">
        <v>2833</v>
      </c>
      <c r="K2380">
        <v>2.2146411810000002</v>
      </c>
      <c r="L2380">
        <v>0</v>
      </c>
      <c r="M2380">
        <v>2.2134449200000001</v>
      </c>
      <c r="N2380">
        <v>0</v>
      </c>
      <c r="O2380" t="s">
        <v>169</v>
      </c>
      <c r="P2380" t="s">
        <v>2833</v>
      </c>
      <c r="Q2380" t="s">
        <v>165</v>
      </c>
      <c r="R2380">
        <f ca="1">RAND()*(Validation[[#This Row],[Range1_High]]-Validation[[#This Row],[Range1_Low]])+Validation[[#This Row],[Range1_Low]]</f>
        <v>-215.11502430643628</v>
      </c>
      <c r="S2380">
        <f>Validation[[#This Row],[Range2_High]]</f>
        <v>0</v>
      </c>
      <c r="T2380" t="str" cm="1">
        <f t="array" aca="1" ref="T2380" ca="1">RoundToTwoSigFigs(Validation[[#This Row],[Test Reading]]*Validation[[#This Row],[Mult]]+Validation[[#This Row],[Base]]) &amp;" "&amp;Validation[[#This Row],[Uncert_Units]]</f>
        <v>2.2 °C</v>
      </c>
      <c r="U2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V2380" t="b">
        <f ca="1">Validation[[#This Row],[Desired Result]]=Validation[[#This Row],[Result]]</f>
        <v>1</v>
      </c>
      <c r="W2380" t="b">
        <v>0</v>
      </c>
      <c r="X2380" t="b">
        <f>Validation[[#This Row],[Range1_Low]]&gt;=Validation[[#This Row],[Range1_High]]</f>
        <v>0</v>
      </c>
      <c r="Y2380" s="111" t="s">
        <v>2845</v>
      </c>
    </row>
    <row r="2381" spans="1:25" ht="16.5" thickTop="1" thickBot="1" x14ac:dyDescent="0.3">
      <c r="A2381" t="s">
        <v>68</v>
      </c>
      <c r="B2381" t="s">
        <v>79</v>
      </c>
      <c r="C2381" s="113">
        <v>-150</v>
      </c>
      <c r="D2381" s="113">
        <v>400</v>
      </c>
      <c r="E2381">
        <v>0.1</v>
      </c>
      <c r="F2381" t="s">
        <v>23</v>
      </c>
      <c r="G2381" t="s">
        <v>23</v>
      </c>
      <c r="H2381">
        <v>0</v>
      </c>
      <c r="I2381">
        <v>0</v>
      </c>
      <c r="J2381" t="s">
        <v>2833</v>
      </c>
      <c r="K2381">
        <v>1.0694359710000001</v>
      </c>
      <c r="L2381">
        <v>0</v>
      </c>
      <c r="M2381">
        <v>1.0673826689999999</v>
      </c>
      <c r="N2381">
        <v>0</v>
      </c>
      <c r="O2381" t="s">
        <v>169</v>
      </c>
      <c r="P2381" t="s">
        <v>2833</v>
      </c>
      <c r="Q2381" t="s">
        <v>165</v>
      </c>
      <c r="R2381">
        <f ca="1">RAND()*(Validation[[#This Row],[Range1_High]]-Validation[[#This Row],[Range1_Low]])+Validation[[#This Row],[Range1_Low]]</f>
        <v>47.041209067967969</v>
      </c>
      <c r="S2381">
        <f>Validation[[#This Row],[Range2_High]]</f>
        <v>0</v>
      </c>
      <c r="T2381" t="str" cm="1">
        <f t="array" aca="1" ref="T2381" ca="1">RoundToTwoSigFigs(Validation[[#This Row],[Test Reading]]*Validation[[#This Row],[Mult]]+Validation[[#This Row],[Base]]) &amp;" "&amp;Validation[[#This Row],[Uncert_Units]]</f>
        <v>1.1 °C</v>
      </c>
      <c r="U2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V2381" t="b">
        <f ca="1">Validation[[#This Row],[Desired Result]]=Validation[[#This Row],[Result]]</f>
        <v>1</v>
      </c>
      <c r="W2381" t="b">
        <v>1</v>
      </c>
      <c r="X2381" t="b">
        <f>Validation[[#This Row],[Range1_Low]]&gt;=Validation[[#This Row],[Range1_High]]</f>
        <v>0</v>
      </c>
      <c r="Y2381" s="111" t="s">
        <v>2843</v>
      </c>
    </row>
    <row r="2382" spans="1:25" ht="15.75" thickTop="1" x14ac:dyDescent="0.25">
      <c r="A2382" t="s">
        <v>68</v>
      </c>
      <c r="B2382" t="s">
        <v>79</v>
      </c>
      <c r="C2382">
        <v>-418</v>
      </c>
      <c r="D2382">
        <v>-238</v>
      </c>
      <c r="E2382">
        <v>1</v>
      </c>
      <c r="F2382" t="s">
        <v>26</v>
      </c>
      <c r="G2382" t="s">
        <v>26</v>
      </c>
      <c r="H2382">
        <v>0</v>
      </c>
      <c r="I2382">
        <v>0</v>
      </c>
      <c r="J2382" t="s">
        <v>2833</v>
      </c>
      <c r="K2382">
        <v>4.010259799</v>
      </c>
      <c r="L2382">
        <v>0</v>
      </c>
      <c r="M2382">
        <v>4.001691224</v>
      </c>
      <c r="N2382">
        <v>0</v>
      </c>
      <c r="O2382" t="s">
        <v>169</v>
      </c>
      <c r="P2382" t="s">
        <v>2833</v>
      </c>
      <c r="Q2382" t="s">
        <v>165</v>
      </c>
      <c r="R2382">
        <f ca="1">RAND()*(Validation[[#This Row],[Range1_High]]-Validation[[#This Row],[Range1_Low]])+Validation[[#This Row],[Range1_Low]]</f>
        <v>-314.4334631105541</v>
      </c>
      <c r="S2382">
        <f>Validation[[#This Row],[Range2_High]]</f>
        <v>0</v>
      </c>
      <c r="T2382" t="str" cm="1">
        <f t="array" aca="1" ref="T2382" ca="1">RoundToTwoSigFigs(Validation[[#This Row],[Test Reading]]*Validation[[#This Row],[Mult]]+Validation[[#This Row],[Base]]) &amp;" "&amp;Validation[[#This Row],[Uncert_Units]]</f>
        <v>4 °F</v>
      </c>
      <c r="U2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V2382" t="b">
        <f ca="1">Validation[[#This Row],[Desired Result]]=Validation[[#This Row],[Result]]</f>
        <v>1</v>
      </c>
      <c r="W2382" t="b">
        <v>0</v>
      </c>
      <c r="X2382" t="b">
        <f>Validation[[#This Row],[Range1_Low]]&gt;=Validation[[#This Row],[Range1_High]]</f>
        <v>0</v>
      </c>
      <c r="Y2382" s="111" t="s">
        <v>2845</v>
      </c>
    </row>
    <row r="2383" spans="1:25" ht="15.75" thickBot="1" x14ac:dyDescent="0.3">
      <c r="A2383" t="s">
        <v>68</v>
      </c>
      <c r="B2383" t="s">
        <v>79</v>
      </c>
      <c r="C2383">
        <v>-418</v>
      </c>
      <c r="D2383">
        <v>-238</v>
      </c>
      <c r="E2383">
        <v>0.1</v>
      </c>
      <c r="F2383" t="s">
        <v>26</v>
      </c>
      <c r="G2383" t="s">
        <v>26</v>
      </c>
      <c r="H2383">
        <v>0</v>
      </c>
      <c r="I2383">
        <v>0</v>
      </c>
      <c r="J2383" t="s">
        <v>2833</v>
      </c>
      <c r="K2383">
        <v>3.9624103019999999</v>
      </c>
      <c r="L2383">
        <v>0</v>
      </c>
      <c r="M2383">
        <v>3.9602440140000001</v>
      </c>
      <c r="N2383">
        <v>0</v>
      </c>
      <c r="O2383" t="s">
        <v>169</v>
      </c>
      <c r="P2383" t="s">
        <v>2833</v>
      </c>
      <c r="Q2383" t="s">
        <v>165</v>
      </c>
      <c r="R2383">
        <f ca="1">RAND()*(Validation[[#This Row],[Range1_High]]-Validation[[#This Row],[Range1_Low]])+Validation[[#This Row],[Range1_Low]]</f>
        <v>-279.04834161984979</v>
      </c>
      <c r="S2383">
        <f>Validation[[#This Row],[Range2_High]]</f>
        <v>0</v>
      </c>
      <c r="T2383" t="str" cm="1">
        <f t="array" aca="1" ref="T2383" ca="1">RoundToTwoSigFigs(Validation[[#This Row],[Test Reading]]*Validation[[#This Row],[Mult]]+Validation[[#This Row],[Base]]) &amp;" "&amp;Validation[[#This Row],[Uncert_Units]]</f>
        <v>4 °F</v>
      </c>
      <c r="U2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V2383" t="b">
        <f ca="1">Validation[[#This Row],[Desired Result]]=Validation[[#This Row],[Result]]</f>
        <v>1</v>
      </c>
      <c r="W2383" t="b">
        <v>0</v>
      </c>
      <c r="X2383" t="b">
        <f>Validation[[#This Row],[Range1_Low]]&gt;=Validation[[#This Row],[Range1_High]]</f>
        <v>0</v>
      </c>
      <c r="Y2383" s="111" t="s">
        <v>2845</v>
      </c>
    </row>
    <row r="2384" spans="1:25" ht="16.5" thickTop="1" thickBot="1" x14ac:dyDescent="0.3">
      <c r="A2384" t="s">
        <v>54</v>
      </c>
      <c r="B2384" t="s">
        <v>3</v>
      </c>
      <c r="C2384" s="113">
        <v>0.33</v>
      </c>
      <c r="D2384" s="113">
        <v>3.3000099999999999</v>
      </c>
      <c r="E2384">
        <v>1.0000000000000001E-5</v>
      </c>
      <c r="F2384" t="s">
        <v>6</v>
      </c>
      <c r="G2384" t="s">
        <v>5</v>
      </c>
      <c r="H2384">
        <v>0</v>
      </c>
      <c r="I2384">
        <v>0</v>
      </c>
      <c r="J2384" t="s">
        <v>2833</v>
      </c>
      <c r="K2384">
        <v>6.8066000000000004</v>
      </c>
      <c r="L2384">
        <v>57.529000000000003</v>
      </c>
      <c r="M2384">
        <v>6.4957000000000003</v>
      </c>
      <c r="N2384">
        <v>57.593000000000004</v>
      </c>
      <c r="O2384" t="s">
        <v>2833</v>
      </c>
      <c r="P2384" t="s">
        <v>2833</v>
      </c>
      <c r="Q2384" t="s">
        <v>2833</v>
      </c>
      <c r="R2384">
        <f ca="1">RAND()*(Validation[[#This Row],[Range1_High]]-Validation[[#This Row],[Range1_Low]])+Validation[[#This Row],[Range1_Low]]</f>
        <v>2.8721337648932188</v>
      </c>
      <c r="S2384">
        <f>Validation[[#This Row],[Range2_High]]</f>
        <v>0</v>
      </c>
      <c r="T2384" t="str" cm="1">
        <f t="array" aca="1" ref="T2384" ca="1">RoundToTwoSigFigs(Validation[[#This Row],[Test Reading]]*Validation[[#This Row],[Mult]]+Validation[[#This Row],[Base]]) &amp;" "&amp;Validation[[#This Row],[Uncert_Units]]</f>
        <v>170 µV</v>
      </c>
      <c r="U2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V2384" t="b">
        <f ca="1">Validation[[#This Row],[Desired Result]]=Validation[[#This Row],[Result]]</f>
        <v>1</v>
      </c>
      <c r="W2384" t="b">
        <v>1</v>
      </c>
      <c r="X2384" t="b">
        <f>Validation[[#This Row],[Range1_Low]]&gt;=Validation[[#This Row],[Range1_High]]</f>
        <v>0</v>
      </c>
      <c r="Y2384" s="111" t="s">
        <v>2843</v>
      </c>
    </row>
    <row r="2385" spans="1:25" ht="16.5" thickTop="1" thickBot="1" x14ac:dyDescent="0.3">
      <c r="A2385" t="s">
        <v>55</v>
      </c>
      <c r="B2385" t="s">
        <v>3</v>
      </c>
      <c r="C2385" s="113">
        <v>0.1</v>
      </c>
      <c r="D2385" s="113">
        <v>1</v>
      </c>
      <c r="E2385">
        <v>9.9999999999999995E-8</v>
      </c>
      <c r="F2385" t="s">
        <v>6</v>
      </c>
      <c r="G2385" t="s">
        <v>5</v>
      </c>
      <c r="H2385">
        <v>0</v>
      </c>
      <c r="I2385">
        <v>0</v>
      </c>
      <c r="J2385" t="s">
        <v>2833</v>
      </c>
      <c r="K2385">
        <v>0.44094</v>
      </c>
      <c r="L2385">
        <v>5.99</v>
      </c>
      <c r="M2385">
        <v>0.43908999999999998</v>
      </c>
      <c r="N2385">
        <v>5.9911000000000003</v>
      </c>
      <c r="O2385" t="s">
        <v>2833</v>
      </c>
      <c r="P2385" t="s">
        <v>2833</v>
      </c>
      <c r="Q2385" t="s">
        <v>2833</v>
      </c>
      <c r="R2385">
        <f ca="1">RAND()*(Validation[[#This Row],[Range1_High]]-Validation[[#This Row],[Range1_Low]])+Validation[[#This Row],[Range1_Low]]</f>
        <v>0.24645054681373568</v>
      </c>
      <c r="S2385">
        <f>Validation[[#This Row],[Range2_High]]</f>
        <v>0</v>
      </c>
      <c r="T2385" t="str" cm="1">
        <f t="array" aca="1" ref="T2385" ca="1">RoundToTwoSigFigs(Validation[[#This Row],[Test Reading]]*Validation[[#This Row],[Mult]]+Validation[[#This Row],[Base]]) &amp;" "&amp;Validation[[#This Row],[Uncert_Units]]</f>
        <v>1.9 µV</v>
      </c>
      <c r="U2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µV</v>
      </c>
      <c r="V2385" t="b">
        <f ca="1">Validation[[#This Row],[Desired Result]]=Validation[[#This Row],[Result]]</f>
        <v>1</v>
      </c>
      <c r="W2385" t="b">
        <v>1</v>
      </c>
      <c r="X2385" t="b">
        <f>Validation[[#This Row],[Range1_Low]]&gt;=Validation[[#This Row],[Range1_High]]</f>
        <v>0</v>
      </c>
      <c r="Y2385" s="111" t="s">
        <v>2843</v>
      </c>
    </row>
    <row r="2386" spans="1:25" ht="16.5" thickTop="1" thickBot="1" x14ac:dyDescent="0.3">
      <c r="A2386" t="s">
        <v>55</v>
      </c>
      <c r="B2386" t="s">
        <v>3</v>
      </c>
      <c r="C2386">
        <v>1</v>
      </c>
      <c r="D2386">
        <v>10</v>
      </c>
      <c r="E2386">
        <v>0.01</v>
      </c>
      <c r="F2386" t="s">
        <v>6</v>
      </c>
      <c r="G2386" t="s">
        <v>5</v>
      </c>
      <c r="H2386">
        <v>0</v>
      </c>
      <c r="I2386">
        <v>0</v>
      </c>
      <c r="J2386" t="s">
        <v>2833</v>
      </c>
      <c r="K2386">
        <v>5800</v>
      </c>
      <c r="L2386">
        <v>2.7807999999999999E-2</v>
      </c>
      <c r="M2386">
        <v>5799.7</v>
      </c>
      <c r="N2386">
        <v>2.7777E-2</v>
      </c>
      <c r="O2386" t="s">
        <v>2833</v>
      </c>
      <c r="P2386" t="s">
        <v>2833</v>
      </c>
      <c r="Q2386" t="s">
        <v>2833</v>
      </c>
      <c r="R2386">
        <f ca="1">RAND()*(Validation[[#This Row],[Range1_High]]-Validation[[#This Row],[Range1_Low]])+Validation[[#This Row],[Range1_Low]]</f>
        <v>8.4420884102160514</v>
      </c>
      <c r="S2386">
        <f>Validation[[#This Row],[Range2_High]]</f>
        <v>0</v>
      </c>
      <c r="T2386" t="str" cm="1">
        <f t="array" aca="1" ref="T2386" ca="1">RoundToTwoSigFigs(Validation[[#This Row],[Test Reading]]*Validation[[#This Row],[Mult]]+Validation[[#This Row],[Base]]) &amp;" "&amp;Validation[[#This Row],[Uncert_Units]]</f>
        <v>5800 µV</v>
      </c>
      <c r="U2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386" t="b">
        <f ca="1">Validation[[#This Row],[Desired Result]]=Validation[[#This Row],[Result]]</f>
        <v>1</v>
      </c>
      <c r="W2386" t="b">
        <v>0</v>
      </c>
      <c r="X2386" t="b">
        <f>Validation[[#This Row],[Range1_Low]]&gt;=Validation[[#This Row],[Range1_High]]</f>
        <v>0</v>
      </c>
      <c r="Y2386" s="111" t="s">
        <v>2845</v>
      </c>
    </row>
    <row r="2387" spans="1:25" ht="16.5" thickTop="1" thickBot="1" x14ac:dyDescent="0.3">
      <c r="A2387" t="s">
        <v>55</v>
      </c>
      <c r="B2387" t="s">
        <v>3</v>
      </c>
      <c r="C2387" s="113">
        <v>10</v>
      </c>
      <c r="D2387" s="113">
        <v>100</v>
      </c>
      <c r="E2387">
        <v>1E-4</v>
      </c>
      <c r="F2387" t="s">
        <v>6</v>
      </c>
      <c r="G2387" t="s">
        <v>5</v>
      </c>
      <c r="H2387">
        <v>0</v>
      </c>
      <c r="I2387">
        <v>0</v>
      </c>
      <c r="J2387" t="s">
        <v>2833</v>
      </c>
      <c r="K2387">
        <v>48.99</v>
      </c>
      <c r="L2387">
        <v>7.6505000000000001</v>
      </c>
      <c r="M2387">
        <v>48.722999999999999</v>
      </c>
      <c r="N2387">
        <v>7.6513999999999998</v>
      </c>
      <c r="O2387" t="s">
        <v>2833</v>
      </c>
      <c r="P2387" t="s">
        <v>2833</v>
      </c>
      <c r="Q2387" t="s">
        <v>2833</v>
      </c>
      <c r="R2387">
        <f ca="1">RAND()*(Validation[[#This Row],[Range1_High]]-Validation[[#This Row],[Range1_Low]])+Validation[[#This Row],[Range1_Low]]</f>
        <v>43.340217650679833</v>
      </c>
      <c r="S2387">
        <f>Validation[[#This Row],[Range2_High]]</f>
        <v>0</v>
      </c>
      <c r="T2387" t="str" cm="1">
        <f t="array" aca="1" ref="T2387" ca="1">RoundToTwoSigFigs(Validation[[#This Row],[Test Reading]]*Validation[[#This Row],[Mult]]+Validation[[#This Row],[Base]]) &amp;" "&amp;Validation[[#This Row],[Uncert_Units]]</f>
        <v>380 µV</v>
      </c>
      <c r="U2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V2387" t="b">
        <f ca="1">Validation[[#This Row],[Desired Result]]=Validation[[#This Row],[Result]]</f>
        <v>1</v>
      </c>
      <c r="W2387" t="b">
        <v>1</v>
      </c>
      <c r="X2387" t="b">
        <f>Validation[[#This Row],[Range1_Low]]&gt;=Validation[[#This Row],[Range1_High]]</f>
        <v>0</v>
      </c>
      <c r="Y2387" s="111" t="s">
        <v>2843</v>
      </c>
    </row>
    <row r="2388" spans="1:25" ht="16.5" thickTop="1" thickBot="1" x14ac:dyDescent="0.3">
      <c r="A2388" t="s">
        <v>68</v>
      </c>
      <c r="B2388" t="s">
        <v>3</v>
      </c>
      <c r="C2388" s="113">
        <v>1</v>
      </c>
      <c r="D2388" s="113">
        <v>10</v>
      </c>
      <c r="E2388">
        <v>1E-3</v>
      </c>
      <c r="F2388" t="s">
        <v>6</v>
      </c>
      <c r="G2388" t="s">
        <v>5</v>
      </c>
      <c r="H2388">
        <v>0</v>
      </c>
      <c r="I2388">
        <v>0</v>
      </c>
      <c r="J2388" t="s">
        <v>2833</v>
      </c>
      <c r="K2388">
        <v>653.72</v>
      </c>
      <c r="L2388">
        <v>74.370999999999995</v>
      </c>
      <c r="M2388">
        <v>653.16999999999996</v>
      </c>
      <c r="N2388">
        <v>74.328999999999994</v>
      </c>
      <c r="O2388" t="s">
        <v>2833</v>
      </c>
      <c r="P2388" t="s">
        <v>2833</v>
      </c>
      <c r="Q2388" t="s">
        <v>2833</v>
      </c>
      <c r="R2388">
        <f ca="1">RAND()*(Validation[[#This Row],[Range1_High]]-Validation[[#This Row],[Range1_Low]])+Validation[[#This Row],[Range1_Low]]</f>
        <v>6.869816817962068</v>
      </c>
      <c r="S2388">
        <f>Validation[[#This Row],[Range2_High]]</f>
        <v>0</v>
      </c>
      <c r="T2388" t="str" cm="1">
        <f t="array" aca="1" ref="T2388" ca="1">RoundToTwoSigFigs(Validation[[#This Row],[Test Reading]]*Validation[[#This Row],[Mult]]+Validation[[#This Row],[Base]]) &amp;" "&amp;Validation[[#This Row],[Uncert_Units]]</f>
        <v>1200 µV</v>
      </c>
      <c r="U2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V2388" t="b">
        <f ca="1">Validation[[#This Row],[Desired Result]]=Validation[[#This Row],[Result]]</f>
        <v>1</v>
      </c>
      <c r="W2388" t="b">
        <v>1</v>
      </c>
      <c r="X2388" t="b">
        <f>Validation[[#This Row],[Range1_Low]]&gt;=Validation[[#This Row],[Range1_High]]</f>
        <v>0</v>
      </c>
      <c r="Y2388" s="111" t="s">
        <v>2843</v>
      </c>
    </row>
    <row r="2389" spans="1:25" ht="15.75" thickTop="1" x14ac:dyDescent="0.25">
      <c r="A2389" t="s">
        <v>55</v>
      </c>
      <c r="B2389" t="s">
        <v>3</v>
      </c>
      <c r="C2389">
        <v>0.1</v>
      </c>
      <c r="D2389">
        <v>1</v>
      </c>
      <c r="E2389">
        <v>1E-3</v>
      </c>
      <c r="F2389" t="s">
        <v>6</v>
      </c>
      <c r="G2389" t="s">
        <v>5</v>
      </c>
      <c r="H2389">
        <v>0</v>
      </c>
      <c r="I2389">
        <v>0</v>
      </c>
      <c r="J2389" t="s">
        <v>2833</v>
      </c>
      <c r="K2389">
        <v>580</v>
      </c>
      <c r="L2389">
        <v>4.0017999999999998E-2</v>
      </c>
      <c r="M2389">
        <v>579.96</v>
      </c>
      <c r="N2389">
        <v>3.8571000000000001E-2</v>
      </c>
      <c r="O2389" t="s">
        <v>2833</v>
      </c>
      <c r="P2389" t="s">
        <v>2833</v>
      </c>
      <c r="Q2389" t="s">
        <v>2833</v>
      </c>
      <c r="R2389">
        <f ca="1">RAND()*(Validation[[#This Row],[Range1_High]]-Validation[[#This Row],[Range1_Low]])+Validation[[#This Row],[Range1_Low]]</f>
        <v>0.12993308019083513</v>
      </c>
      <c r="S2389">
        <f>Validation[[#This Row],[Range2_High]]</f>
        <v>0</v>
      </c>
      <c r="T2389" t="str" cm="1">
        <f t="array" aca="1" ref="T2389" ca="1">RoundToTwoSigFigs(Validation[[#This Row],[Test Reading]]*Validation[[#This Row],[Mult]]+Validation[[#This Row],[Base]]) &amp;" "&amp;Validation[[#This Row],[Uncert_Units]]</f>
        <v>580 µV</v>
      </c>
      <c r="U2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389" t="b">
        <f ca="1">Validation[[#This Row],[Desired Result]]=Validation[[#This Row],[Result]]</f>
        <v>1</v>
      </c>
      <c r="W2389" t="b">
        <v>0</v>
      </c>
      <c r="X2389" t="b">
        <f>Validation[[#This Row],[Range1_Low]]&gt;=Validation[[#This Row],[Range1_High]]</f>
        <v>0</v>
      </c>
      <c r="Y2389" s="111" t="s">
        <v>2845</v>
      </c>
    </row>
    <row r="2390" spans="1:25" x14ac:dyDescent="0.25">
      <c r="A2390" t="s">
        <v>54</v>
      </c>
      <c r="B2390" t="s">
        <v>3</v>
      </c>
      <c r="C2390">
        <v>0</v>
      </c>
      <c r="D2390">
        <v>0.33000099999999999</v>
      </c>
      <c r="E2390">
        <v>0.1</v>
      </c>
      <c r="F2390" t="s">
        <v>6</v>
      </c>
      <c r="G2390" t="s">
        <v>4</v>
      </c>
      <c r="H2390">
        <v>0</v>
      </c>
      <c r="I2390">
        <v>0</v>
      </c>
      <c r="J2390" t="s">
        <v>2833</v>
      </c>
      <c r="K2390">
        <v>58</v>
      </c>
      <c r="L2390">
        <v>2.1943E-5</v>
      </c>
      <c r="M2390">
        <v>58</v>
      </c>
      <c r="N2390">
        <v>1.7859E-5</v>
      </c>
      <c r="O2390" t="s">
        <v>2833</v>
      </c>
      <c r="P2390" t="s">
        <v>2833</v>
      </c>
      <c r="Q2390" t="s">
        <v>2833</v>
      </c>
      <c r="R2390">
        <f ca="1">RAND()*(Validation[[#This Row],[Range1_High]]-Validation[[#This Row],[Range1_Low]])+Validation[[#This Row],[Range1_Low]]</f>
        <v>4.1045034799367414E-2</v>
      </c>
      <c r="S2390">
        <f>Validation[[#This Row],[Range2_High]]</f>
        <v>0</v>
      </c>
      <c r="T2390" t="str" cm="1">
        <f t="array" aca="1" ref="T2390" ca="1">RoundToTwoSigFigs(Validation[[#This Row],[Test Reading]]*Validation[[#This Row],[Mult]]+Validation[[#This Row],[Base]]) &amp;" "&amp;Validation[[#This Row],[Uncert_Units]]</f>
        <v>58 mV</v>
      </c>
      <c r="U2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V2390" t="b">
        <f ca="1">Validation[[#This Row],[Desired Result]]=Validation[[#This Row],[Result]]</f>
        <v>1</v>
      </c>
      <c r="W2390" t="b">
        <v>0</v>
      </c>
      <c r="X2390" t="b">
        <f>Validation[[#This Row],[Range1_Low]]&gt;=Validation[[#This Row],[Range1_High]]</f>
        <v>0</v>
      </c>
      <c r="Y2390" s="111" t="s">
        <v>2845</v>
      </c>
    </row>
    <row r="2391" spans="1:25" ht="15.75" thickBot="1" x14ac:dyDescent="0.3">
      <c r="A2391" t="s">
        <v>54</v>
      </c>
      <c r="B2391" t="s">
        <v>3</v>
      </c>
      <c r="C2391">
        <v>0</v>
      </c>
      <c r="D2391">
        <v>0.33000099999999999</v>
      </c>
      <c r="E2391">
        <v>10</v>
      </c>
      <c r="F2391" t="s">
        <v>6</v>
      </c>
      <c r="G2391" t="s">
        <v>4</v>
      </c>
      <c r="H2391">
        <v>0</v>
      </c>
      <c r="I2391">
        <v>0</v>
      </c>
      <c r="J2391" t="s">
        <v>2833</v>
      </c>
      <c r="K2391">
        <v>5800</v>
      </c>
      <c r="L2391">
        <v>8.3200000000000004E-7</v>
      </c>
      <c r="M2391">
        <v>5800</v>
      </c>
      <c r="N2391">
        <v>1.79E-7</v>
      </c>
      <c r="O2391" t="s">
        <v>2833</v>
      </c>
      <c r="P2391" t="s">
        <v>2833</v>
      </c>
      <c r="Q2391" t="s">
        <v>2833</v>
      </c>
      <c r="R2391">
        <f ca="1">RAND()*(Validation[[#This Row],[Range1_High]]-Validation[[#This Row],[Range1_Low]])+Validation[[#This Row],[Range1_Low]]</f>
        <v>0.25430500111971621</v>
      </c>
      <c r="S2391">
        <f>Validation[[#This Row],[Range2_High]]</f>
        <v>0</v>
      </c>
      <c r="T2391" t="str" cm="1">
        <f t="array" aca="1" ref="T2391" ca="1">RoundToTwoSigFigs(Validation[[#This Row],[Test Reading]]*Validation[[#This Row],[Mult]]+Validation[[#This Row],[Base]]) &amp;" "&amp;Validation[[#This Row],[Uncert_Units]]</f>
        <v>5800 mV</v>
      </c>
      <c r="U2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2391" t="b">
        <f ca="1">Validation[[#This Row],[Desired Result]]=Validation[[#This Row],[Result]]</f>
        <v>1</v>
      </c>
      <c r="W2391" t="b">
        <v>0</v>
      </c>
      <c r="X2391" t="b">
        <f>Validation[[#This Row],[Range1_Low]]&gt;=Validation[[#This Row],[Range1_High]]</f>
        <v>0</v>
      </c>
      <c r="Y2391" s="111" t="s">
        <v>2845</v>
      </c>
    </row>
    <row r="2392" spans="1:25" ht="16.5" thickTop="1" thickBot="1" x14ac:dyDescent="0.3">
      <c r="A2392" t="s">
        <v>54</v>
      </c>
      <c r="B2392" t="s">
        <v>46</v>
      </c>
      <c r="C2392" s="113">
        <v>3.3E-3</v>
      </c>
      <c r="D2392" s="113">
        <v>3.3001000000000003E-2</v>
      </c>
      <c r="E2392">
        <v>9.9999999999999995E-7</v>
      </c>
      <c r="F2392" t="s">
        <v>13</v>
      </c>
      <c r="G2392" t="s">
        <v>11</v>
      </c>
      <c r="H2392">
        <v>0</v>
      </c>
      <c r="I2392">
        <v>0</v>
      </c>
      <c r="J2392" t="s">
        <v>2833</v>
      </c>
      <c r="K2392">
        <v>0.44201000000000001</v>
      </c>
      <c r="L2392">
        <v>139.58000000000001</v>
      </c>
      <c r="M2392">
        <v>0.43215999999999999</v>
      </c>
      <c r="N2392">
        <v>139.79</v>
      </c>
      <c r="O2392" t="s">
        <v>2833</v>
      </c>
      <c r="P2392" t="s">
        <v>2833</v>
      </c>
      <c r="Q2392" t="s">
        <v>2833</v>
      </c>
      <c r="R2392">
        <f ca="1">RAND()*(Validation[[#This Row],[Range1_High]]-Validation[[#This Row],[Range1_Low]])+Validation[[#This Row],[Range1_Low]]</f>
        <v>2.7233750784553444E-2</v>
      </c>
      <c r="S2392">
        <f>Validation[[#This Row],[Range2_High]]</f>
        <v>0</v>
      </c>
      <c r="T2392" t="str" cm="1">
        <f t="array" aca="1" ref="T2392" ca="1">RoundToTwoSigFigs(Validation[[#This Row],[Test Reading]]*Validation[[#This Row],[Mult]]+Validation[[#This Row],[Base]]) &amp;" "&amp;Validation[[#This Row],[Uncert_Units]]</f>
        <v>4.2 µA</v>
      </c>
      <c r="U2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V2392" t="b">
        <f ca="1">Validation[[#This Row],[Desired Result]]=Validation[[#This Row],[Result]]</f>
        <v>1</v>
      </c>
      <c r="W2392" t="b">
        <v>1</v>
      </c>
      <c r="X2392" t="b">
        <f>Validation[[#This Row],[Range1_Low]]&gt;=Validation[[#This Row],[Range1_High]]</f>
        <v>0</v>
      </c>
      <c r="Y2392" s="111" t="s">
        <v>2843</v>
      </c>
    </row>
    <row r="2393" spans="1:25" ht="16.5" thickTop="1" thickBot="1" x14ac:dyDescent="0.3">
      <c r="A2393" t="s">
        <v>54</v>
      </c>
      <c r="B2393" t="s">
        <v>46</v>
      </c>
      <c r="C2393" s="113">
        <v>0.33</v>
      </c>
      <c r="D2393" s="113">
        <v>3.0001000000000002</v>
      </c>
      <c r="E2393">
        <v>0.01</v>
      </c>
      <c r="F2393" t="s">
        <v>13</v>
      </c>
      <c r="G2393" t="s">
        <v>12</v>
      </c>
      <c r="H2393">
        <v>0</v>
      </c>
      <c r="I2393">
        <v>0</v>
      </c>
      <c r="J2393" t="s">
        <v>2833</v>
      </c>
      <c r="K2393">
        <v>5.7839999999999998</v>
      </c>
      <c r="L2393">
        <v>5.8643000000000001E-2</v>
      </c>
      <c r="M2393">
        <v>5.7840999999999996</v>
      </c>
      <c r="N2393">
        <v>5.8298999999999997E-2</v>
      </c>
      <c r="O2393" t="s">
        <v>2833</v>
      </c>
      <c r="P2393" t="s">
        <v>2833</v>
      </c>
      <c r="Q2393" t="s">
        <v>2833</v>
      </c>
      <c r="R2393">
        <f ca="1">RAND()*(Validation[[#This Row],[Range1_High]]-Validation[[#This Row],[Range1_Low]])+Validation[[#This Row],[Range1_Low]]</f>
        <v>2.685608029193653</v>
      </c>
      <c r="S2393">
        <f>Validation[[#This Row],[Range2_High]]</f>
        <v>0</v>
      </c>
      <c r="T2393" t="str" cm="1">
        <f t="array" aca="1" ref="T2393" ca="1">RoundToTwoSigFigs(Validation[[#This Row],[Test Reading]]*Validation[[#This Row],[Mult]]+Validation[[#This Row],[Base]]) &amp;" "&amp;Validation[[#This Row],[Uncert_Units]]</f>
        <v>5.9 mA</v>
      </c>
      <c r="U2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V2393" t="b">
        <f ca="1">Validation[[#This Row],[Desired Result]]=Validation[[#This Row],[Result]]</f>
        <v>1</v>
      </c>
      <c r="W2393" t="b">
        <v>1</v>
      </c>
      <c r="X2393" t="b">
        <f>Validation[[#This Row],[Range1_Low]]&gt;=Validation[[#This Row],[Range1_High]]</f>
        <v>0</v>
      </c>
      <c r="Y2393" s="111" t="s">
        <v>2843</v>
      </c>
    </row>
    <row r="2394" spans="1:25" ht="16.5" thickTop="1" thickBot="1" x14ac:dyDescent="0.3">
      <c r="A2394" t="s">
        <v>54</v>
      </c>
      <c r="B2394" t="s">
        <v>46</v>
      </c>
      <c r="C2394" s="113">
        <v>0.33</v>
      </c>
      <c r="D2394" s="113">
        <v>3.0001000000000002</v>
      </c>
      <c r="E2394">
        <v>1.0000000000000001E-5</v>
      </c>
      <c r="F2394" t="s">
        <v>13</v>
      </c>
      <c r="G2394" t="s">
        <v>12</v>
      </c>
      <c r="H2394">
        <v>0</v>
      </c>
      <c r="I2394">
        <v>0</v>
      </c>
      <c r="J2394" t="s">
        <v>2833</v>
      </c>
      <c r="K2394">
        <v>5.1999999999999998E-2</v>
      </c>
      <c r="L2394">
        <v>0.44</v>
      </c>
      <c r="M2394">
        <v>5.0999999999999997E-2</v>
      </c>
      <c r="N2394">
        <v>0.43873000000000001</v>
      </c>
      <c r="O2394" t="s">
        <v>2833</v>
      </c>
      <c r="P2394" t="s">
        <v>2833</v>
      </c>
      <c r="Q2394" t="s">
        <v>2833</v>
      </c>
      <c r="R2394">
        <f ca="1">RAND()*(Validation[[#This Row],[Range1_High]]-Validation[[#This Row],[Range1_Low]])+Validation[[#This Row],[Range1_Low]]</f>
        <v>1.6508595142828375</v>
      </c>
      <c r="S2394">
        <f>Validation[[#This Row],[Range2_High]]</f>
        <v>0</v>
      </c>
      <c r="T2394" t="str" cm="1">
        <f t="array" aca="1" ref="T2394" ca="1">RoundToTwoSigFigs(Validation[[#This Row],[Test Reading]]*Validation[[#This Row],[Mult]]+Validation[[#This Row],[Base]]) &amp;" "&amp;Validation[[#This Row],[Uncert_Units]]</f>
        <v>0.78 mA</v>
      </c>
      <c r="U2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V2394" t="b">
        <f ca="1">Validation[[#This Row],[Desired Result]]=Validation[[#This Row],[Result]]</f>
        <v>1</v>
      </c>
      <c r="W2394" t="b">
        <v>1</v>
      </c>
      <c r="X2394" t="b">
        <f>Validation[[#This Row],[Range1_Low]]&gt;=Validation[[#This Row],[Range1_High]]</f>
        <v>0</v>
      </c>
      <c r="Y2394" s="111" t="s">
        <v>2843</v>
      </c>
    </row>
    <row r="2395" spans="1:25" ht="15.75" thickTop="1" x14ac:dyDescent="0.25">
      <c r="A2395" t="s">
        <v>68</v>
      </c>
      <c r="B2395" t="s">
        <v>46</v>
      </c>
      <c r="C2395">
        <v>0</v>
      </c>
      <c r="D2395">
        <v>1E-4</v>
      </c>
      <c r="E2395">
        <v>1E-8</v>
      </c>
      <c r="F2395" t="s">
        <v>13</v>
      </c>
      <c r="G2395" t="s">
        <v>70</v>
      </c>
      <c r="H2395">
        <v>0</v>
      </c>
      <c r="I2395">
        <v>0</v>
      </c>
      <c r="J2395" t="s">
        <v>2833</v>
      </c>
      <c r="K2395">
        <v>35.368000000000002</v>
      </c>
      <c r="L2395">
        <v>346810</v>
      </c>
      <c r="M2395">
        <v>35.366</v>
      </c>
      <c r="N2395">
        <v>346810</v>
      </c>
      <c r="O2395" t="s">
        <v>2833</v>
      </c>
      <c r="P2395" t="s">
        <v>2833</v>
      </c>
      <c r="Q2395" t="s">
        <v>2833</v>
      </c>
      <c r="R2395">
        <f ca="1">RAND()*(Validation[[#This Row],[Range1_High]]-Validation[[#This Row],[Range1_Low]])+Validation[[#This Row],[Range1_Low]]</f>
        <v>2.8471359434713285E-5</v>
      </c>
      <c r="S2395">
        <f>Validation[[#This Row],[Range2_High]]</f>
        <v>0</v>
      </c>
      <c r="T2395" t="str" cm="1">
        <f t="array" aca="1" ref="T2395" ca="1">RoundToTwoSigFigs(Validation[[#This Row],[Test Reading]]*Validation[[#This Row],[Mult]]+Validation[[#This Row],[Base]]) &amp;" "&amp;Validation[[#This Row],[Uncert_Units]]</f>
        <v>45 nA</v>
      </c>
      <c r="U2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nA</v>
      </c>
      <c r="V2395" t="b">
        <f ca="1">Validation[[#This Row],[Desired Result]]=Validation[[#This Row],[Result]]</f>
        <v>1</v>
      </c>
      <c r="W2395" t="b">
        <v>0</v>
      </c>
      <c r="X2395" t="b">
        <f>Validation[[#This Row],[Range1_Low]]&gt;=Validation[[#This Row],[Range1_High]]</f>
        <v>0</v>
      </c>
      <c r="Y2395" s="111" t="s">
        <v>2845</v>
      </c>
    </row>
    <row r="2396" spans="1:25" ht="15.75" thickBot="1" x14ac:dyDescent="0.3">
      <c r="A2396" t="s">
        <v>55</v>
      </c>
      <c r="B2396" t="s">
        <v>46</v>
      </c>
      <c r="C2396">
        <v>1</v>
      </c>
      <c r="D2396">
        <v>20</v>
      </c>
      <c r="E2396">
        <v>0.1</v>
      </c>
      <c r="F2396" t="s">
        <v>13</v>
      </c>
      <c r="G2396" t="s">
        <v>12</v>
      </c>
      <c r="H2396">
        <v>0</v>
      </c>
      <c r="I2396">
        <v>0</v>
      </c>
      <c r="J2396" t="s">
        <v>2833</v>
      </c>
      <c r="K2396">
        <v>57.735999999999997</v>
      </c>
      <c r="L2396">
        <v>2.5449E-5</v>
      </c>
      <c r="M2396">
        <v>57.734999999999999</v>
      </c>
      <c r="N2396">
        <v>7.0898000000000003E-6</v>
      </c>
      <c r="O2396" t="s">
        <v>2833</v>
      </c>
      <c r="P2396" t="s">
        <v>2833</v>
      </c>
      <c r="Q2396" t="s">
        <v>2833</v>
      </c>
      <c r="R2396">
        <f ca="1">RAND()*(Validation[[#This Row],[Range1_High]]-Validation[[#This Row],[Range1_Low]])+Validation[[#This Row],[Range1_Low]]</f>
        <v>2.2259676043683667</v>
      </c>
      <c r="S2396">
        <f>Validation[[#This Row],[Range2_High]]</f>
        <v>0</v>
      </c>
      <c r="T2396" t="str" cm="1">
        <f t="array" aca="1" ref="T2396" ca="1">RoundToTwoSigFigs(Validation[[#This Row],[Test Reading]]*Validation[[#This Row],[Mult]]+Validation[[#This Row],[Base]]) &amp;" "&amp;Validation[[#This Row],[Uncert_Units]]</f>
        <v>58 mA</v>
      </c>
      <c r="U2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2396" t="b">
        <f ca="1">Validation[[#This Row],[Desired Result]]=Validation[[#This Row],[Result]]</f>
        <v>1</v>
      </c>
      <c r="W2396" t="b">
        <v>0</v>
      </c>
      <c r="X2396" t="b">
        <f>Validation[[#This Row],[Range1_Low]]&gt;=Validation[[#This Row],[Range1_High]]</f>
        <v>0</v>
      </c>
      <c r="Y2396" s="111" t="s">
        <v>2845</v>
      </c>
    </row>
    <row r="2397" spans="1:25" ht="16.5" thickTop="1" thickBot="1" x14ac:dyDescent="0.3">
      <c r="A2397" t="s">
        <v>55</v>
      </c>
      <c r="B2397" t="s">
        <v>46</v>
      </c>
      <c r="C2397" s="113">
        <v>0.01</v>
      </c>
      <c r="D2397" s="113">
        <v>0.1</v>
      </c>
      <c r="E2397">
        <v>1E-8</v>
      </c>
      <c r="F2397" t="s">
        <v>13</v>
      </c>
      <c r="G2397" t="s">
        <v>11</v>
      </c>
      <c r="H2397">
        <v>0</v>
      </c>
      <c r="I2397">
        <v>0</v>
      </c>
      <c r="J2397" t="s">
        <v>2833</v>
      </c>
      <c r="K2397">
        <v>0.67</v>
      </c>
      <c r="L2397">
        <v>40</v>
      </c>
      <c r="M2397">
        <v>0.57450999999999997</v>
      </c>
      <c r="N2397">
        <v>40.857999999999997</v>
      </c>
      <c r="O2397" t="s">
        <v>2833</v>
      </c>
      <c r="P2397" t="s">
        <v>2833</v>
      </c>
      <c r="Q2397" t="s">
        <v>2833</v>
      </c>
      <c r="R2397">
        <f ca="1">RAND()*(Validation[[#This Row],[Range1_High]]-Validation[[#This Row],[Range1_Low]])+Validation[[#This Row],[Range1_Low]]</f>
        <v>4.6626210624520686E-2</v>
      </c>
      <c r="S2397">
        <f>Validation[[#This Row],[Range2_High]]</f>
        <v>0</v>
      </c>
      <c r="T2397" t="str" cm="1">
        <f t="array" aca="1" ref="T2397" ca="1">RoundToTwoSigFigs(Validation[[#This Row],[Test Reading]]*Validation[[#This Row],[Mult]]+Validation[[#This Row],[Base]]) &amp;" "&amp;Validation[[#This Row],[Uncert_Units]]</f>
        <v>2.5 µA</v>
      </c>
      <c r="U2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V2397" t="b">
        <f ca="1">Validation[[#This Row],[Desired Result]]=Validation[[#This Row],[Result]]</f>
        <v>1</v>
      </c>
      <c r="W2397" t="b">
        <v>1</v>
      </c>
      <c r="X2397" t="b">
        <f>Validation[[#This Row],[Range1_Low]]&gt;=Validation[[#This Row],[Range1_High]]</f>
        <v>0</v>
      </c>
      <c r="Y2397" s="111" t="s">
        <v>2843</v>
      </c>
    </row>
    <row r="2398" spans="1:25" ht="16.5" thickTop="1" thickBot="1" x14ac:dyDescent="0.3">
      <c r="A2398" t="s">
        <v>54</v>
      </c>
      <c r="B2398" t="s">
        <v>46</v>
      </c>
      <c r="C2398">
        <v>0</v>
      </c>
      <c r="D2398">
        <v>3.3000999999999999E-4</v>
      </c>
      <c r="E2398">
        <v>0.01</v>
      </c>
      <c r="F2398" t="s">
        <v>13</v>
      </c>
      <c r="G2398" t="s">
        <v>12</v>
      </c>
      <c r="H2398">
        <v>0</v>
      </c>
      <c r="I2398">
        <v>0</v>
      </c>
      <c r="J2398" t="s">
        <v>2833</v>
      </c>
      <c r="K2398">
        <v>5.8</v>
      </c>
      <c r="L2398">
        <v>6.5850999999999999E-6</v>
      </c>
      <c r="M2398">
        <v>5.8</v>
      </c>
      <c r="N2398">
        <v>1.5718999999999999E-6</v>
      </c>
      <c r="O2398" t="s">
        <v>2833</v>
      </c>
      <c r="P2398" t="s">
        <v>2833</v>
      </c>
      <c r="Q2398" t="s">
        <v>2833</v>
      </c>
      <c r="R2398">
        <f ca="1">RAND()*(Validation[[#This Row],[Range1_High]]-Validation[[#This Row],[Range1_Low]])+Validation[[#This Row],[Range1_Low]]</f>
        <v>2.800069046232073E-4</v>
      </c>
      <c r="S2398">
        <f>Validation[[#This Row],[Range2_High]]</f>
        <v>0</v>
      </c>
      <c r="T2398" t="str" cm="1">
        <f t="array" aca="1" ref="T2398" ca="1">RoundToTwoSigFigs(Validation[[#This Row],[Test Reading]]*Validation[[#This Row],[Mult]]+Validation[[#This Row],[Base]]) &amp;" "&amp;Validation[[#This Row],[Uncert_Units]]</f>
        <v>5.8 mA</v>
      </c>
      <c r="U2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2398" t="b">
        <f ca="1">Validation[[#This Row],[Desired Result]]=Validation[[#This Row],[Result]]</f>
        <v>1</v>
      </c>
      <c r="W2398" t="b">
        <v>0</v>
      </c>
      <c r="X2398" t="b">
        <f>Validation[[#This Row],[Range1_Low]]&gt;=Validation[[#This Row],[Range1_High]]</f>
        <v>0</v>
      </c>
      <c r="Y2398" s="111" t="s">
        <v>2845</v>
      </c>
    </row>
    <row r="2399" spans="1:25" ht="16.5" thickTop="1" thickBot="1" x14ac:dyDescent="0.3">
      <c r="A2399" t="s">
        <v>54</v>
      </c>
      <c r="B2399" t="s">
        <v>46</v>
      </c>
      <c r="C2399" s="113">
        <v>3</v>
      </c>
      <c r="D2399" s="113">
        <v>11.000999999999999</v>
      </c>
      <c r="E2399">
        <v>0.01</v>
      </c>
      <c r="F2399" t="s">
        <v>13</v>
      </c>
      <c r="G2399" t="s">
        <v>12</v>
      </c>
      <c r="H2399">
        <v>0</v>
      </c>
      <c r="I2399">
        <v>0</v>
      </c>
      <c r="J2399" t="s">
        <v>2833</v>
      </c>
      <c r="K2399">
        <v>4.4629000000000003</v>
      </c>
      <c r="L2399">
        <v>0.64946999999999999</v>
      </c>
      <c r="M2399">
        <v>4.4596999999999998</v>
      </c>
      <c r="N2399">
        <v>0.64886999999999995</v>
      </c>
      <c r="O2399" t="s">
        <v>2833</v>
      </c>
      <c r="P2399" t="s">
        <v>2833</v>
      </c>
      <c r="Q2399" t="s">
        <v>2833</v>
      </c>
      <c r="R2399">
        <f ca="1">RAND()*(Validation[[#This Row],[Range1_High]]-Validation[[#This Row],[Range1_Low]])+Validation[[#This Row],[Range1_Low]]</f>
        <v>9.8634147169935247</v>
      </c>
      <c r="S2399">
        <f>Validation[[#This Row],[Range2_High]]</f>
        <v>0</v>
      </c>
      <c r="T2399" t="str" cm="1">
        <f t="array" aca="1" ref="T2399" ca="1">RoundToTwoSigFigs(Validation[[#This Row],[Test Reading]]*Validation[[#This Row],[Mult]]+Validation[[#This Row],[Base]]) &amp;" "&amp;Validation[[#This Row],[Uncert_Units]]</f>
        <v>11 mA</v>
      </c>
      <c r="U2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V2399" t="b">
        <f ca="1">Validation[[#This Row],[Desired Result]]=Validation[[#This Row],[Result]]</f>
        <v>1</v>
      </c>
      <c r="W2399" t="b">
        <v>1</v>
      </c>
      <c r="X2399" t="b">
        <f>Validation[[#This Row],[Range1_Low]]&gt;=Validation[[#This Row],[Range1_High]]</f>
        <v>0</v>
      </c>
      <c r="Y2399" s="111" t="s">
        <v>2843</v>
      </c>
    </row>
    <row r="2400" spans="1:25" ht="16.5" thickTop="1" thickBot="1" x14ac:dyDescent="0.3">
      <c r="A2400" t="s">
        <v>55</v>
      </c>
      <c r="B2400" t="s">
        <v>46</v>
      </c>
      <c r="C2400" s="113">
        <v>1</v>
      </c>
      <c r="D2400" s="113">
        <v>20</v>
      </c>
      <c r="E2400">
        <v>1E-3</v>
      </c>
      <c r="F2400" t="s">
        <v>13</v>
      </c>
      <c r="G2400" t="s">
        <v>12</v>
      </c>
      <c r="H2400">
        <v>0</v>
      </c>
      <c r="I2400">
        <v>0</v>
      </c>
      <c r="J2400" t="s">
        <v>2833</v>
      </c>
      <c r="K2400">
        <v>0.57833999999999997</v>
      </c>
      <c r="L2400">
        <v>8.1072999999999996E-4</v>
      </c>
      <c r="M2400">
        <v>0.57808999999999999</v>
      </c>
      <c r="N2400">
        <v>6.9919999999999997E-4</v>
      </c>
      <c r="O2400" t="s">
        <v>2833</v>
      </c>
      <c r="P2400" t="s">
        <v>2833</v>
      </c>
      <c r="Q2400" t="s">
        <v>2833</v>
      </c>
      <c r="R2400">
        <f ca="1">RAND()*(Validation[[#This Row],[Range1_High]]-Validation[[#This Row],[Range1_Low]])+Validation[[#This Row],[Range1_Low]]</f>
        <v>5.7714097765815442</v>
      </c>
      <c r="S2400">
        <f>Validation[[#This Row],[Range2_High]]</f>
        <v>0</v>
      </c>
      <c r="T2400" t="str" cm="1">
        <f t="array" aca="1" ref="T2400" ca="1">RoundToTwoSigFigs(Validation[[#This Row],[Test Reading]]*Validation[[#This Row],[Mult]]+Validation[[#This Row],[Base]]) &amp;" "&amp;Validation[[#This Row],[Uncert_Units]]</f>
        <v>0.58 mA</v>
      </c>
      <c r="U2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V2400" t="b">
        <f ca="1">Validation[[#This Row],[Desired Result]]=Validation[[#This Row],[Result]]</f>
        <v>1</v>
      </c>
      <c r="W2400" t="b">
        <v>1</v>
      </c>
      <c r="X2400" t="b">
        <f>Validation[[#This Row],[Range1_Low]]&gt;=Validation[[#This Row],[Range1_High]]</f>
        <v>0</v>
      </c>
      <c r="Y2400" s="111" t="s">
        <v>2843</v>
      </c>
    </row>
    <row r="2401" spans="1:25" ht="16.5" thickTop="1" thickBot="1" x14ac:dyDescent="0.3">
      <c r="A2401" t="s">
        <v>68</v>
      </c>
      <c r="B2401" t="s">
        <v>46</v>
      </c>
      <c r="C2401" s="113">
        <v>1E-4</v>
      </c>
      <c r="D2401" s="113">
        <v>1E-3</v>
      </c>
      <c r="E2401">
        <v>9.9999999999999995E-7</v>
      </c>
      <c r="F2401" t="s">
        <v>13</v>
      </c>
      <c r="G2401" t="s">
        <v>70</v>
      </c>
      <c r="H2401">
        <v>0</v>
      </c>
      <c r="I2401">
        <v>0</v>
      </c>
      <c r="J2401" t="s">
        <v>2833</v>
      </c>
      <c r="K2401">
        <v>580.76</v>
      </c>
      <c r="L2401">
        <v>159300</v>
      </c>
      <c r="M2401">
        <v>580.72</v>
      </c>
      <c r="N2401">
        <v>159250</v>
      </c>
      <c r="O2401" t="s">
        <v>2833</v>
      </c>
      <c r="P2401" t="s">
        <v>2833</v>
      </c>
      <c r="Q2401" t="s">
        <v>2833</v>
      </c>
      <c r="R2401">
        <f ca="1">RAND()*(Validation[[#This Row],[Range1_High]]-Validation[[#This Row],[Range1_Low]])+Validation[[#This Row],[Range1_Low]]</f>
        <v>5.7519207796273911E-4</v>
      </c>
      <c r="S2401">
        <f>Validation[[#This Row],[Range2_High]]</f>
        <v>0</v>
      </c>
      <c r="T2401" t="str" cm="1">
        <f t="array" aca="1" ref="T2401" ca="1">RoundToTwoSigFigs(Validation[[#This Row],[Test Reading]]*Validation[[#This Row],[Mult]]+Validation[[#This Row],[Base]]) &amp;" "&amp;Validation[[#This Row],[Uncert_Units]]</f>
        <v>670 nA</v>
      </c>
      <c r="U2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nA</v>
      </c>
      <c r="V2401" t="b">
        <f ca="1">Validation[[#This Row],[Desired Result]]=Validation[[#This Row],[Result]]</f>
        <v>1</v>
      </c>
      <c r="W2401" t="b">
        <v>1</v>
      </c>
      <c r="X2401" t="b">
        <f>Validation[[#This Row],[Range1_Low]]&gt;=Validation[[#This Row],[Range1_High]]</f>
        <v>0</v>
      </c>
      <c r="Y2401" s="111" t="s">
        <v>2843</v>
      </c>
    </row>
    <row r="2402" spans="1:25" ht="15.75" thickTop="1" x14ac:dyDescent="0.25">
      <c r="A2402" t="s">
        <v>54</v>
      </c>
      <c r="B2402" t="s">
        <v>46</v>
      </c>
      <c r="C2402">
        <v>3.3E-3</v>
      </c>
      <c r="D2402">
        <v>3.3001000000000003E-2</v>
      </c>
      <c r="E2402">
        <v>1E-4</v>
      </c>
      <c r="F2402" t="s">
        <v>13</v>
      </c>
      <c r="G2402" t="s">
        <v>11</v>
      </c>
      <c r="H2402">
        <v>0</v>
      </c>
      <c r="I2402">
        <v>0</v>
      </c>
      <c r="J2402" t="s">
        <v>2833</v>
      </c>
      <c r="K2402">
        <v>57.982999999999997</v>
      </c>
      <c r="L2402">
        <v>7.2053000000000003</v>
      </c>
      <c r="M2402">
        <v>57.981000000000002</v>
      </c>
      <c r="N2402">
        <v>7.1429999999999998</v>
      </c>
      <c r="O2402" t="s">
        <v>2833</v>
      </c>
      <c r="P2402" t="s">
        <v>2833</v>
      </c>
      <c r="Q2402" t="s">
        <v>2833</v>
      </c>
      <c r="R2402">
        <f ca="1">RAND()*(Validation[[#This Row],[Range1_High]]-Validation[[#This Row],[Range1_Low]])+Validation[[#This Row],[Range1_Low]]</f>
        <v>9.205459748610121E-3</v>
      </c>
      <c r="S2402">
        <f>Validation[[#This Row],[Range2_High]]</f>
        <v>0</v>
      </c>
      <c r="T2402" t="str" cm="1">
        <f t="array" aca="1" ref="T2402" ca="1">RoundToTwoSigFigs(Validation[[#This Row],[Test Reading]]*Validation[[#This Row],[Mult]]+Validation[[#This Row],[Base]]) &amp;" "&amp;Validation[[#This Row],[Uncert_Units]]</f>
        <v>58 µA</v>
      </c>
      <c r="U2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2402" t="b">
        <f ca="1">Validation[[#This Row],[Desired Result]]=Validation[[#This Row],[Result]]</f>
        <v>1</v>
      </c>
      <c r="W2402" t="b">
        <v>0</v>
      </c>
      <c r="X2402" t="b">
        <f>Validation[[#This Row],[Range1_Low]]&gt;=Validation[[#This Row],[Range1_High]]</f>
        <v>0</v>
      </c>
      <c r="Y2402" s="111" t="s">
        <v>2845</v>
      </c>
    </row>
    <row r="2403" spans="1:25" x14ac:dyDescent="0.25">
      <c r="A2403" t="s">
        <v>54</v>
      </c>
      <c r="B2403" t="s">
        <v>58</v>
      </c>
      <c r="C2403">
        <v>1</v>
      </c>
      <c r="D2403">
        <v>11.000999999999999</v>
      </c>
      <c r="E2403">
        <v>1E-3</v>
      </c>
      <c r="F2403" t="s">
        <v>13</v>
      </c>
      <c r="G2403" t="s">
        <v>12</v>
      </c>
      <c r="H2403">
        <v>0</v>
      </c>
      <c r="I2403">
        <v>0</v>
      </c>
      <c r="J2403" t="s">
        <v>2833</v>
      </c>
      <c r="K2403">
        <v>0.16836000000000001</v>
      </c>
      <c r="L2403">
        <v>1.9875</v>
      </c>
      <c r="M2403">
        <v>0.16627</v>
      </c>
      <c r="N2403">
        <v>1.9876</v>
      </c>
      <c r="O2403" t="s">
        <v>2833</v>
      </c>
      <c r="P2403" t="s">
        <v>157</v>
      </c>
      <c r="Q2403" t="s">
        <v>2833</v>
      </c>
      <c r="R2403">
        <f ca="1">RAND()*(Validation[[#This Row],[Range1_High]]-Validation[[#This Row],[Range1_Low]])+Validation[[#This Row],[Range1_Low]]</f>
        <v>1.216991381985395</v>
      </c>
      <c r="S2403">
        <f>Validation[[#This Row],[Range2_High]]</f>
        <v>0</v>
      </c>
      <c r="T2403" t="str" cm="1">
        <f t="array" aca="1" ref="T2403" ca="1">RoundToTwoSigFigs(Validation[[#This Row],[Test Reading]]*Validation[[#This Row],[Mult]]+Validation[[#This Row],[Base]]) &amp;" "&amp;Validation[[#This Row],[Uncert_Units]]</f>
        <v>2.6 mA</v>
      </c>
      <c r="U2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mA</v>
      </c>
      <c r="V2403" t="b">
        <f ca="1">Validation[[#This Row],[Desired Result]]=Validation[[#This Row],[Result]]</f>
        <v>1</v>
      </c>
      <c r="W2403" t="b">
        <v>0</v>
      </c>
      <c r="X2403" t="b">
        <f>Validation[[#This Row],[Range1_Low]]&gt;=Validation[[#This Row],[Range1_High]]</f>
        <v>0</v>
      </c>
      <c r="Y2403" s="111" t="s">
        <v>2845</v>
      </c>
    </row>
    <row r="2404" spans="1:25" ht="15.75" thickBot="1" x14ac:dyDescent="0.3">
      <c r="A2404" t="s">
        <v>54</v>
      </c>
      <c r="B2404" t="s">
        <v>58</v>
      </c>
      <c r="C2404">
        <v>1</v>
      </c>
      <c r="D2404">
        <v>11.000999999999999</v>
      </c>
      <c r="E2404">
        <v>1</v>
      </c>
      <c r="F2404" t="s">
        <v>13</v>
      </c>
      <c r="G2404" t="s">
        <v>12</v>
      </c>
      <c r="H2404">
        <v>0</v>
      </c>
      <c r="I2404">
        <v>0</v>
      </c>
      <c r="J2404" t="s">
        <v>2833</v>
      </c>
      <c r="K2404">
        <v>577.32000000000005</v>
      </c>
      <c r="L2404">
        <v>4.1721000000000001E-2</v>
      </c>
      <c r="M2404">
        <v>577.32000000000005</v>
      </c>
      <c r="N2404">
        <v>4.1612999999999997E-2</v>
      </c>
      <c r="O2404" t="s">
        <v>2833</v>
      </c>
      <c r="P2404" t="s">
        <v>157</v>
      </c>
      <c r="Q2404" t="s">
        <v>2833</v>
      </c>
      <c r="R2404">
        <f ca="1">RAND()*(Validation[[#This Row],[Range1_High]]-Validation[[#This Row],[Range1_Low]])+Validation[[#This Row],[Range1_Low]]</f>
        <v>2.5339764350950023</v>
      </c>
      <c r="S2404">
        <f>Validation[[#This Row],[Range2_High]]</f>
        <v>0</v>
      </c>
      <c r="T2404" t="str" cm="1">
        <f t="array" aca="1" ref="T2404" ca="1">RoundToTwoSigFigs(Validation[[#This Row],[Test Reading]]*Validation[[#This Row],[Mult]]+Validation[[#This Row],[Base]]) &amp;" "&amp;Validation[[#This Row],[Uncert_Units]]</f>
        <v>580 mA</v>
      </c>
      <c r="U2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V2404" t="b">
        <f ca="1">Validation[[#This Row],[Desired Result]]=Validation[[#This Row],[Result]]</f>
        <v>1</v>
      </c>
      <c r="W2404" t="b">
        <v>0</v>
      </c>
      <c r="X2404" t="b">
        <f>Validation[[#This Row],[Range1_Low]]&gt;=Validation[[#This Row],[Range1_High]]</f>
        <v>0</v>
      </c>
      <c r="Y2404" s="111" t="s">
        <v>2845</v>
      </c>
    </row>
    <row r="2405" spans="1:25" ht="16.5" thickTop="1" thickBot="1" x14ac:dyDescent="0.3">
      <c r="A2405" t="s">
        <v>54</v>
      </c>
      <c r="B2405" t="s">
        <v>59</v>
      </c>
      <c r="C2405" s="113">
        <v>60</v>
      </c>
      <c r="D2405" s="113">
        <v>220.01</v>
      </c>
      <c r="E2405">
        <v>10</v>
      </c>
      <c r="F2405" t="s">
        <v>13</v>
      </c>
      <c r="G2405" t="s">
        <v>12</v>
      </c>
      <c r="H2405">
        <v>0</v>
      </c>
      <c r="I2405">
        <v>0</v>
      </c>
      <c r="J2405" t="s">
        <v>2833</v>
      </c>
      <c r="K2405">
        <v>57735</v>
      </c>
      <c r="L2405">
        <v>1.1346999999999999E-2</v>
      </c>
      <c r="M2405">
        <v>57735</v>
      </c>
      <c r="N2405">
        <v>1.1002E-2</v>
      </c>
      <c r="O2405" t="s">
        <v>2833</v>
      </c>
      <c r="P2405" t="s">
        <v>158</v>
      </c>
      <c r="Q2405" t="s">
        <v>2833</v>
      </c>
      <c r="R2405">
        <f ca="1">RAND()*(Validation[[#This Row],[Range1_High]]-Validation[[#This Row],[Range1_Low]])+Validation[[#This Row],[Range1_Low]]</f>
        <v>131.70708630374514</v>
      </c>
      <c r="S2405">
        <f>Validation[[#This Row],[Range2_High]]</f>
        <v>0</v>
      </c>
      <c r="T2405" t="str" cm="1">
        <f t="array" aca="1" ref="T2405" ca="1">RoundToTwoSigFigs(Validation[[#This Row],[Test Reading]]*Validation[[#This Row],[Mult]]+Validation[[#This Row],[Base]]) &amp;" "&amp;Validation[[#This Row],[Uncert_Units]]</f>
        <v>58000 mA</v>
      </c>
      <c r="U2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405" t="b">
        <f ca="1">Validation[[#This Row],[Desired Result]]=Validation[[#This Row],[Result]]</f>
        <v>1</v>
      </c>
      <c r="W2405" t="b">
        <v>1</v>
      </c>
      <c r="X2405" t="b">
        <f>Validation[[#This Row],[Range1_Low]]&gt;=Validation[[#This Row],[Range1_High]]</f>
        <v>0</v>
      </c>
      <c r="Y2405" s="111" t="s">
        <v>2843</v>
      </c>
    </row>
    <row r="2406" spans="1:25" ht="16.5" thickTop="1" thickBot="1" x14ac:dyDescent="0.3">
      <c r="A2406" t="s">
        <v>68</v>
      </c>
      <c r="B2406" t="s">
        <v>59</v>
      </c>
      <c r="C2406">
        <v>20</v>
      </c>
      <c r="D2406">
        <v>204</v>
      </c>
      <c r="E2406">
        <v>10</v>
      </c>
      <c r="F2406" t="s">
        <v>13</v>
      </c>
      <c r="G2406" t="s">
        <v>12</v>
      </c>
      <c r="H2406">
        <v>0</v>
      </c>
      <c r="I2406">
        <v>0</v>
      </c>
      <c r="J2406" t="s">
        <v>2833</v>
      </c>
      <c r="K2406">
        <v>5772.2</v>
      </c>
      <c r="L2406">
        <v>8.8858000000000006E-2</v>
      </c>
      <c r="M2406">
        <v>5772.2</v>
      </c>
      <c r="N2406">
        <v>8.8622999999999993E-2</v>
      </c>
      <c r="O2406" t="s">
        <v>2833</v>
      </c>
      <c r="P2406" t="s">
        <v>158</v>
      </c>
      <c r="Q2406" t="s">
        <v>2833</v>
      </c>
      <c r="R2406">
        <f ca="1">RAND()*(Validation[[#This Row],[Range1_High]]-Validation[[#This Row],[Range1_Low]])+Validation[[#This Row],[Range1_Low]]</f>
        <v>44.317634426890066</v>
      </c>
      <c r="S2406">
        <f>Validation[[#This Row],[Range2_High]]</f>
        <v>0</v>
      </c>
      <c r="T2406" t="str" cm="1">
        <f t="array" aca="1" ref="T2406" ca="1">RoundToTwoSigFigs(Validation[[#This Row],[Test Reading]]*Validation[[#This Row],[Mult]]+Validation[[#This Row],[Base]]) &amp;" "&amp;Validation[[#This Row],[Uncert_Units]]</f>
        <v>5800 mA</v>
      </c>
      <c r="U2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406" t="b">
        <f ca="1">Validation[[#This Row],[Desired Result]]=Validation[[#This Row],[Result]]</f>
        <v>1</v>
      </c>
      <c r="W2406" t="b">
        <v>0</v>
      </c>
      <c r="X2406" t="b">
        <f>Validation[[#This Row],[Range1_Low]]&gt;=Validation[[#This Row],[Range1_High]]</f>
        <v>0</v>
      </c>
      <c r="Y2406" s="111" t="s">
        <v>2845</v>
      </c>
    </row>
    <row r="2407" spans="1:25" ht="16.5" thickTop="1" thickBot="1" x14ac:dyDescent="0.3">
      <c r="A2407" t="s">
        <v>54</v>
      </c>
      <c r="B2407" t="s">
        <v>59</v>
      </c>
      <c r="C2407" s="113">
        <v>60</v>
      </c>
      <c r="D2407" s="113">
        <v>220.01</v>
      </c>
      <c r="E2407">
        <v>1</v>
      </c>
      <c r="F2407" t="s">
        <v>13</v>
      </c>
      <c r="G2407" t="s">
        <v>12</v>
      </c>
      <c r="H2407">
        <v>0</v>
      </c>
      <c r="I2407">
        <v>0</v>
      </c>
      <c r="J2407" t="s">
        <v>2833</v>
      </c>
      <c r="K2407">
        <v>5768.4</v>
      </c>
      <c r="L2407">
        <v>0.11068</v>
      </c>
      <c r="M2407">
        <v>5768.5</v>
      </c>
      <c r="N2407">
        <v>0.10982</v>
      </c>
      <c r="O2407" t="s">
        <v>2833</v>
      </c>
      <c r="P2407" t="s">
        <v>158</v>
      </c>
      <c r="Q2407" t="s">
        <v>2833</v>
      </c>
      <c r="R2407">
        <f ca="1">RAND()*(Validation[[#This Row],[Range1_High]]-Validation[[#This Row],[Range1_Low]])+Validation[[#This Row],[Range1_Low]]</f>
        <v>116.36662425470158</v>
      </c>
      <c r="S2407">
        <f>Validation[[#This Row],[Range2_High]]</f>
        <v>0</v>
      </c>
      <c r="T2407" t="str" cm="1">
        <f t="array" aca="1" ref="T2407" ca="1">RoundToTwoSigFigs(Validation[[#This Row],[Test Reading]]*Validation[[#This Row],[Mult]]+Validation[[#This Row],[Base]]) &amp;" "&amp;Validation[[#This Row],[Uncert_Units]]</f>
        <v>5800 mA</v>
      </c>
      <c r="U2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407" t="b">
        <f ca="1">Validation[[#This Row],[Desired Result]]=Validation[[#This Row],[Result]]</f>
        <v>1</v>
      </c>
      <c r="W2407" t="b">
        <v>1</v>
      </c>
      <c r="X2407" t="b">
        <f>Validation[[#This Row],[Range1_Low]]&gt;=Validation[[#This Row],[Range1_High]]</f>
        <v>0</v>
      </c>
      <c r="Y2407" s="111" t="s">
        <v>2843</v>
      </c>
    </row>
    <row r="2408" spans="1:25" ht="16.5" thickTop="1" thickBot="1" x14ac:dyDescent="0.3">
      <c r="A2408" t="s">
        <v>68</v>
      </c>
      <c r="B2408" t="s">
        <v>59</v>
      </c>
      <c r="C2408">
        <v>20</v>
      </c>
      <c r="D2408">
        <v>204</v>
      </c>
      <c r="E2408">
        <v>0.1</v>
      </c>
      <c r="F2408" t="s">
        <v>13</v>
      </c>
      <c r="G2408" t="s">
        <v>12</v>
      </c>
      <c r="H2408">
        <v>0</v>
      </c>
      <c r="I2408">
        <v>0</v>
      </c>
      <c r="J2408" t="s">
        <v>2833</v>
      </c>
      <c r="K2408">
        <v>52.695</v>
      </c>
      <c r="L2408">
        <v>1.9168000000000001</v>
      </c>
      <c r="M2408">
        <v>52.600999999999999</v>
      </c>
      <c r="N2408">
        <v>1.917</v>
      </c>
      <c r="O2408" t="s">
        <v>2833</v>
      </c>
      <c r="P2408" t="s">
        <v>158</v>
      </c>
      <c r="Q2408" t="s">
        <v>2833</v>
      </c>
      <c r="R2408">
        <f ca="1">RAND()*(Validation[[#This Row],[Range1_High]]-Validation[[#This Row],[Range1_Low]])+Validation[[#This Row],[Range1_Low]]</f>
        <v>121.61810961360365</v>
      </c>
      <c r="S2408">
        <f>Validation[[#This Row],[Range2_High]]</f>
        <v>0</v>
      </c>
      <c r="T2408" t="str" cm="1">
        <f t="array" aca="1" ref="T2408" ca="1">RoundToTwoSigFigs(Validation[[#This Row],[Test Reading]]*Validation[[#This Row],[Mult]]+Validation[[#This Row],[Base]]) &amp;" "&amp;Validation[[#This Row],[Uncert_Units]]</f>
        <v>290 mA</v>
      </c>
      <c r="U2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V2408" t="b">
        <f ca="1">Validation[[#This Row],[Desired Result]]=Validation[[#This Row],[Result]]</f>
        <v>1</v>
      </c>
      <c r="W2408" t="b">
        <v>0</v>
      </c>
      <c r="X2408" t="b">
        <f>Validation[[#This Row],[Range1_Low]]&gt;=Validation[[#This Row],[Range1_High]]</f>
        <v>0</v>
      </c>
      <c r="Y2408" s="111" t="s">
        <v>2845</v>
      </c>
    </row>
    <row r="2409" spans="1:25" ht="16.5" thickTop="1" thickBot="1" x14ac:dyDescent="0.3">
      <c r="A2409" t="s">
        <v>54</v>
      </c>
      <c r="B2409" t="s">
        <v>60</v>
      </c>
      <c r="C2409" s="113">
        <v>150</v>
      </c>
      <c r="D2409" s="113">
        <v>550.01</v>
      </c>
      <c r="E2409">
        <v>0.01</v>
      </c>
      <c r="F2409" t="s">
        <v>13</v>
      </c>
      <c r="G2409" t="s">
        <v>12</v>
      </c>
      <c r="H2409">
        <v>0</v>
      </c>
      <c r="I2409">
        <v>0</v>
      </c>
      <c r="J2409" t="s">
        <v>2833</v>
      </c>
      <c r="K2409">
        <v>19</v>
      </c>
      <c r="L2409">
        <v>2.2000000000000002</v>
      </c>
      <c r="M2409">
        <v>-17.053000000000001</v>
      </c>
      <c r="N2409">
        <v>2.1654</v>
      </c>
      <c r="O2409" t="s">
        <v>2833</v>
      </c>
      <c r="P2409" t="s">
        <v>159</v>
      </c>
      <c r="Q2409" t="s">
        <v>2833</v>
      </c>
      <c r="R2409">
        <f ca="1">RAND()*(Validation[[#This Row],[Range1_High]]-Validation[[#This Row],[Range1_Low]])+Validation[[#This Row],[Range1_Low]]</f>
        <v>459.3001324376184</v>
      </c>
      <c r="S2409">
        <f>Validation[[#This Row],[Range2_High]]</f>
        <v>0</v>
      </c>
      <c r="T2409" t="str" cm="1">
        <f t="array" aca="1" ref="T2409" ca="1">RoundToTwoSigFigs(Validation[[#This Row],[Test Reading]]*Validation[[#This Row],[Mult]]+Validation[[#This Row],[Base]]) &amp;" "&amp;Validation[[#This Row],[Uncert_Units]]</f>
        <v>1000 mA</v>
      </c>
      <c r="U2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V2409" t="b">
        <f ca="1">Validation[[#This Row],[Desired Result]]=Validation[[#This Row],[Result]]</f>
        <v>1</v>
      </c>
      <c r="W2409" t="b">
        <v>1</v>
      </c>
      <c r="X2409" t="b">
        <f>Validation[[#This Row],[Range1_Low]]&gt;=Validation[[#This Row],[Range1_High]]</f>
        <v>0</v>
      </c>
      <c r="Y2409" s="111" t="s">
        <v>2843</v>
      </c>
    </row>
    <row r="2410" spans="1:25" ht="16.5" thickTop="1" thickBot="1" x14ac:dyDescent="0.3">
      <c r="A2410" t="s">
        <v>54</v>
      </c>
      <c r="B2410" t="s">
        <v>60</v>
      </c>
      <c r="C2410" s="113">
        <v>550</v>
      </c>
      <c r="D2410" s="113">
        <v>1025</v>
      </c>
      <c r="E2410">
        <v>1</v>
      </c>
      <c r="F2410" t="s">
        <v>13</v>
      </c>
      <c r="G2410" t="s">
        <v>12</v>
      </c>
      <c r="H2410">
        <v>0</v>
      </c>
      <c r="I2410">
        <v>0</v>
      </c>
      <c r="J2410" t="s">
        <v>2833</v>
      </c>
      <c r="K2410">
        <v>209.6</v>
      </c>
      <c r="L2410">
        <v>2.1949000000000001</v>
      </c>
      <c r="M2410">
        <v>208.5</v>
      </c>
      <c r="N2410">
        <v>2.1945000000000001</v>
      </c>
      <c r="O2410" t="s">
        <v>2833</v>
      </c>
      <c r="P2410" t="s">
        <v>159</v>
      </c>
      <c r="Q2410" t="s">
        <v>2833</v>
      </c>
      <c r="R2410">
        <f ca="1">RAND()*(Validation[[#This Row],[Range1_High]]-Validation[[#This Row],[Range1_Low]])+Validation[[#This Row],[Range1_Low]]</f>
        <v>855.17361866094529</v>
      </c>
      <c r="S2410">
        <f>Validation[[#This Row],[Range2_High]]</f>
        <v>0</v>
      </c>
      <c r="T2410" t="str" cm="1">
        <f t="array" aca="1" ref="T2410" ca="1">RoundToTwoSigFigs(Validation[[#This Row],[Test Reading]]*Validation[[#This Row],[Mult]]+Validation[[#This Row],[Base]]) &amp;" "&amp;Validation[[#This Row],[Uncert_Units]]</f>
        <v>2100 mA</v>
      </c>
      <c r="U2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V2410" t="b">
        <f ca="1">Validation[[#This Row],[Desired Result]]=Validation[[#This Row],[Result]]</f>
        <v>1</v>
      </c>
      <c r="W2410" t="b">
        <v>1</v>
      </c>
      <c r="X2410" t="b">
        <f>Validation[[#This Row],[Range1_Low]]&gt;=Validation[[#This Row],[Range1_High]]</f>
        <v>0</v>
      </c>
      <c r="Y2410" s="111" t="s">
        <v>2843</v>
      </c>
    </row>
    <row r="2411" spans="1:25" ht="15.75" thickTop="1" x14ac:dyDescent="0.25">
      <c r="A2411" t="s">
        <v>54</v>
      </c>
      <c r="B2411" t="s">
        <v>60</v>
      </c>
      <c r="C2411">
        <v>55</v>
      </c>
      <c r="D2411">
        <v>150.01</v>
      </c>
      <c r="E2411">
        <v>0.1</v>
      </c>
      <c r="F2411" t="s">
        <v>13</v>
      </c>
      <c r="G2411" t="s">
        <v>12</v>
      </c>
      <c r="H2411">
        <v>0</v>
      </c>
      <c r="I2411">
        <v>0</v>
      </c>
      <c r="J2411" t="s">
        <v>2833</v>
      </c>
      <c r="K2411">
        <v>19.451000000000001</v>
      </c>
      <c r="L2411">
        <v>1.9578</v>
      </c>
      <c r="M2411">
        <v>19.379000000000001</v>
      </c>
      <c r="N2411">
        <v>1.9579</v>
      </c>
      <c r="O2411" t="s">
        <v>2833</v>
      </c>
      <c r="P2411" t="s">
        <v>159</v>
      </c>
      <c r="Q2411" t="s">
        <v>2833</v>
      </c>
      <c r="R2411">
        <f ca="1">RAND()*(Validation[[#This Row],[Range1_High]]-Validation[[#This Row],[Range1_Low]])+Validation[[#This Row],[Range1_Low]]</f>
        <v>99.578447873150125</v>
      </c>
      <c r="S2411">
        <f>Validation[[#This Row],[Range2_High]]</f>
        <v>0</v>
      </c>
      <c r="T2411" t="str" cm="1">
        <f t="array" aca="1" ref="T2411" ca="1">RoundToTwoSigFigs(Validation[[#This Row],[Test Reading]]*Validation[[#This Row],[Mult]]+Validation[[#This Row],[Base]]) &amp;" "&amp;Validation[[#This Row],[Uncert_Units]]</f>
        <v>210 mA</v>
      </c>
      <c r="U2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V2411" t="b">
        <f ca="1">Validation[[#This Row],[Desired Result]]=Validation[[#This Row],[Result]]</f>
        <v>1</v>
      </c>
      <c r="W2411" t="b">
        <v>0</v>
      </c>
      <c r="X2411" t="b">
        <f>Validation[[#This Row],[Range1_Low]]&gt;=Validation[[#This Row],[Range1_High]]</f>
        <v>0</v>
      </c>
      <c r="Y2411" s="111" t="s">
        <v>2845</v>
      </c>
    </row>
    <row r="2412" spans="1:25" ht="15.75" thickBot="1" x14ac:dyDescent="0.3">
      <c r="A2412" t="s">
        <v>68</v>
      </c>
      <c r="B2412" t="s">
        <v>60</v>
      </c>
      <c r="C2412">
        <v>5</v>
      </c>
      <c r="D2412">
        <v>51</v>
      </c>
      <c r="E2412">
        <v>10</v>
      </c>
      <c r="F2412" t="s">
        <v>13</v>
      </c>
      <c r="G2412" t="s">
        <v>12</v>
      </c>
      <c r="H2412">
        <v>0</v>
      </c>
      <c r="I2412">
        <v>0</v>
      </c>
      <c r="J2412" t="s">
        <v>2833</v>
      </c>
      <c r="K2412">
        <v>5773.5</v>
      </c>
      <c r="L2412">
        <v>2.1536E-2</v>
      </c>
      <c r="M2412">
        <v>5773.5</v>
      </c>
      <c r="N2412">
        <v>2.0587999999999999E-2</v>
      </c>
      <c r="O2412" t="s">
        <v>2833</v>
      </c>
      <c r="P2412" t="s">
        <v>159</v>
      </c>
      <c r="Q2412" t="s">
        <v>2833</v>
      </c>
      <c r="R2412">
        <f ca="1">RAND()*(Validation[[#This Row],[Range1_High]]-Validation[[#This Row],[Range1_Low]])+Validation[[#This Row],[Range1_Low]]</f>
        <v>13.410371647525951</v>
      </c>
      <c r="S2412">
        <f>Validation[[#This Row],[Range2_High]]</f>
        <v>0</v>
      </c>
      <c r="T2412" t="str" cm="1">
        <f t="array" aca="1" ref="T2412" ca="1">RoundToTwoSigFigs(Validation[[#This Row],[Test Reading]]*Validation[[#This Row],[Mult]]+Validation[[#This Row],[Base]]) &amp;" "&amp;Validation[[#This Row],[Uncert_Units]]</f>
        <v>5800 mA</v>
      </c>
      <c r="U2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412" t="b">
        <f ca="1">Validation[[#This Row],[Desired Result]]=Validation[[#This Row],[Result]]</f>
        <v>1</v>
      </c>
      <c r="W2412" t="b">
        <v>0</v>
      </c>
      <c r="X2412" t="b">
        <f>Validation[[#This Row],[Range1_Low]]&gt;=Validation[[#This Row],[Range1_High]]</f>
        <v>0</v>
      </c>
      <c r="Y2412" s="111" t="s">
        <v>2845</v>
      </c>
    </row>
    <row r="2413" spans="1:25" ht="16.5" thickTop="1" thickBot="1" x14ac:dyDescent="0.3">
      <c r="A2413" t="s">
        <v>55</v>
      </c>
      <c r="B2413" t="s">
        <v>7</v>
      </c>
      <c r="C2413" s="113">
        <v>10000000</v>
      </c>
      <c r="D2413" s="113">
        <v>100000000</v>
      </c>
      <c r="E2413">
        <v>1000</v>
      </c>
      <c r="F2413" t="s">
        <v>102</v>
      </c>
      <c r="G2413" t="s">
        <v>176</v>
      </c>
      <c r="H2413">
        <v>0</v>
      </c>
      <c r="I2413">
        <v>0</v>
      </c>
      <c r="J2413" t="s">
        <v>2833</v>
      </c>
      <c r="K2413">
        <v>1.2</v>
      </c>
      <c r="L2413">
        <v>5.7999999999999995E-7</v>
      </c>
      <c r="M2413">
        <v>1.1777</v>
      </c>
      <c r="N2413">
        <v>5.7756000000000004E-7</v>
      </c>
      <c r="O2413" t="s">
        <v>2833</v>
      </c>
      <c r="P2413" t="s">
        <v>2833</v>
      </c>
      <c r="Q2413" t="s">
        <v>2833</v>
      </c>
      <c r="R2413">
        <f ca="1">RAND()*(Validation[[#This Row],[Range1_High]]-Validation[[#This Row],[Range1_Low]])+Validation[[#This Row],[Range1_Low]]</f>
        <v>80105037.277188212</v>
      </c>
      <c r="S2413">
        <f>Validation[[#This Row],[Range2_High]]</f>
        <v>0</v>
      </c>
      <c r="T2413" t="str" cm="1">
        <f t="array" aca="1" ref="T2413" ca="1">RoundToTwoSigFigs(Validation[[#This Row],[Test Reading]]*Validation[[#This Row],[Mult]]+Validation[[#This Row],[Base]]) &amp;" "&amp;Validation[[#This Row],[Uncert_Units]]</f>
        <v>48 kΩ</v>
      </c>
      <c r="U2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kΩ</v>
      </c>
      <c r="V2413" t="b">
        <f ca="1">Validation[[#This Row],[Desired Result]]=Validation[[#This Row],[Result]]</f>
        <v>1</v>
      </c>
      <c r="W2413" t="b">
        <v>1</v>
      </c>
      <c r="X2413" t="b">
        <f>Validation[[#This Row],[Range1_Low]]&gt;=Validation[[#This Row],[Range1_High]]</f>
        <v>0</v>
      </c>
      <c r="Y2413" s="111" t="s">
        <v>2843</v>
      </c>
    </row>
    <row r="2414" spans="1:25" ht="16.5" thickTop="1" thickBot="1" x14ac:dyDescent="0.3">
      <c r="A2414" t="s">
        <v>54</v>
      </c>
      <c r="B2414" t="s">
        <v>7</v>
      </c>
      <c r="C2414" s="113">
        <v>110</v>
      </c>
      <c r="D2414" s="113">
        <v>330.01</v>
      </c>
      <c r="E2414">
        <v>0.1</v>
      </c>
      <c r="F2414" t="s">
        <v>102</v>
      </c>
      <c r="G2414" t="s">
        <v>48</v>
      </c>
      <c r="H2414">
        <v>0</v>
      </c>
      <c r="I2414">
        <v>0</v>
      </c>
      <c r="J2414" t="s">
        <v>2833</v>
      </c>
      <c r="K2414">
        <v>61.466000000000001</v>
      </c>
      <c r="L2414">
        <v>0.18435000000000001</v>
      </c>
      <c r="M2414">
        <v>61.46</v>
      </c>
      <c r="N2414">
        <v>0.18304999999999999</v>
      </c>
      <c r="O2414" t="s">
        <v>2833</v>
      </c>
      <c r="P2414" t="s">
        <v>2833</v>
      </c>
      <c r="Q2414" t="s">
        <v>2833</v>
      </c>
      <c r="R2414">
        <f ca="1">RAND()*(Validation[[#This Row],[Range1_High]]-Validation[[#This Row],[Range1_Low]])+Validation[[#This Row],[Range1_Low]]</f>
        <v>201.56745346704955</v>
      </c>
      <c r="S2414">
        <f>Validation[[#This Row],[Range2_High]]</f>
        <v>0</v>
      </c>
      <c r="T2414" t="str" cm="1">
        <f t="array" aca="1" ref="T2414" ca="1">RoundToTwoSigFigs(Validation[[#This Row],[Test Reading]]*Validation[[#This Row],[Mult]]+Validation[[#This Row],[Base]]) &amp;" "&amp;Validation[[#This Row],[Uncert_Units]]</f>
        <v>99 mΩ</v>
      </c>
      <c r="U2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mΩ</v>
      </c>
      <c r="V2414" t="b">
        <f ca="1">Validation[[#This Row],[Desired Result]]=Validation[[#This Row],[Result]]</f>
        <v>1</v>
      </c>
      <c r="W2414" t="b">
        <v>1</v>
      </c>
      <c r="X2414" t="b">
        <f>Validation[[#This Row],[Range1_Low]]&gt;=Validation[[#This Row],[Range1_High]]</f>
        <v>0</v>
      </c>
      <c r="Y2414" s="111" t="s">
        <v>2843</v>
      </c>
    </row>
    <row r="2415" spans="1:25" ht="16.5" thickTop="1" thickBot="1" x14ac:dyDescent="0.3">
      <c r="A2415" t="s">
        <v>54</v>
      </c>
      <c r="B2415" t="s">
        <v>7</v>
      </c>
      <c r="C2415" s="113">
        <v>11000</v>
      </c>
      <c r="D2415" s="113">
        <v>33001</v>
      </c>
      <c r="E2415">
        <v>10</v>
      </c>
      <c r="F2415" t="s">
        <v>102</v>
      </c>
      <c r="G2415" t="s">
        <v>49</v>
      </c>
      <c r="H2415">
        <v>0</v>
      </c>
      <c r="I2415">
        <v>0</v>
      </c>
      <c r="J2415" t="s">
        <v>2833</v>
      </c>
      <c r="K2415">
        <v>5.6614000000000004</v>
      </c>
      <c r="L2415">
        <v>5.2695000000000003E-5</v>
      </c>
      <c r="M2415">
        <v>5.6604999999999999</v>
      </c>
      <c r="N2415">
        <v>5.2621000000000003E-5</v>
      </c>
      <c r="O2415" t="s">
        <v>2833</v>
      </c>
      <c r="P2415" t="s">
        <v>2833</v>
      </c>
      <c r="Q2415" t="s">
        <v>2833</v>
      </c>
      <c r="R2415">
        <f ca="1">RAND()*(Validation[[#This Row],[Range1_High]]-Validation[[#This Row],[Range1_Low]])+Validation[[#This Row],[Range1_Low]]</f>
        <v>31559.309776077182</v>
      </c>
      <c r="S2415">
        <f>Validation[[#This Row],[Range2_High]]</f>
        <v>0</v>
      </c>
      <c r="T2415" t="str" cm="1">
        <f t="array" aca="1" ref="T2415" ca="1">RoundToTwoSigFigs(Validation[[#This Row],[Test Reading]]*Validation[[#This Row],[Mult]]+Validation[[#This Row],[Base]]) &amp;" "&amp;Validation[[#This Row],[Uncert_Units]]</f>
        <v>7.3 Ω</v>
      </c>
      <c r="U2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Ω</v>
      </c>
      <c r="V2415" t="b">
        <f ca="1">Validation[[#This Row],[Desired Result]]=Validation[[#This Row],[Result]]</f>
        <v>1</v>
      </c>
      <c r="W2415" t="b">
        <v>1</v>
      </c>
      <c r="X2415" t="b">
        <f>Validation[[#This Row],[Range1_Low]]&gt;=Validation[[#This Row],[Range1_High]]</f>
        <v>0</v>
      </c>
      <c r="Y2415" s="111" t="s">
        <v>2843</v>
      </c>
    </row>
    <row r="2416" spans="1:25" ht="16.5" thickTop="1" thickBot="1" x14ac:dyDescent="0.3">
      <c r="A2416" t="s">
        <v>55</v>
      </c>
      <c r="B2416" t="s">
        <v>7</v>
      </c>
      <c r="C2416" s="113">
        <v>100000</v>
      </c>
      <c r="D2416" s="113">
        <v>1000000</v>
      </c>
      <c r="E2416">
        <v>0.1</v>
      </c>
      <c r="F2416" t="s">
        <v>102</v>
      </c>
      <c r="G2416" t="s">
        <v>49</v>
      </c>
      <c r="H2416">
        <v>0</v>
      </c>
      <c r="I2416">
        <v>0</v>
      </c>
      <c r="J2416" t="s">
        <v>2833</v>
      </c>
      <c r="K2416">
        <v>2.2999999999999998</v>
      </c>
      <c r="L2416">
        <v>1.8E-5</v>
      </c>
      <c r="M2416">
        <v>2.2686999999999999</v>
      </c>
      <c r="N2416">
        <v>1.7870999999999999E-5</v>
      </c>
      <c r="O2416" t="s">
        <v>2833</v>
      </c>
      <c r="P2416" t="s">
        <v>2833</v>
      </c>
      <c r="Q2416" t="s">
        <v>2833</v>
      </c>
      <c r="R2416">
        <f ca="1">RAND()*(Validation[[#This Row],[Range1_High]]-Validation[[#This Row],[Range1_Low]])+Validation[[#This Row],[Range1_Low]]</f>
        <v>742313.65091838816</v>
      </c>
      <c r="S2416">
        <f>Validation[[#This Row],[Range2_High]]</f>
        <v>0</v>
      </c>
      <c r="T2416" t="str" cm="1">
        <f t="array" aca="1" ref="T2416" ca="1">RoundToTwoSigFigs(Validation[[#This Row],[Test Reading]]*Validation[[#This Row],[Mult]]+Validation[[#This Row],[Base]]) &amp;" "&amp;Validation[[#This Row],[Uncert_Units]]</f>
        <v>16 Ω</v>
      </c>
      <c r="U2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Ω</v>
      </c>
      <c r="V2416" t="b">
        <f ca="1">Validation[[#This Row],[Desired Result]]=Validation[[#This Row],[Result]]</f>
        <v>1</v>
      </c>
      <c r="W2416" t="b">
        <v>1</v>
      </c>
      <c r="X2416" t="b">
        <f>Validation[[#This Row],[Range1_Low]]&gt;=Validation[[#This Row],[Range1_High]]</f>
        <v>0</v>
      </c>
      <c r="Y2416" s="111" t="s">
        <v>2843</v>
      </c>
    </row>
    <row r="2417" spans="1:25" ht="16.5" thickTop="1" thickBot="1" x14ac:dyDescent="0.3">
      <c r="A2417" t="s">
        <v>54</v>
      </c>
      <c r="B2417" t="s">
        <v>7</v>
      </c>
      <c r="C2417" s="113">
        <v>11000000</v>
      </c>
      <c r="D2417" s="113">
        <v>33001000</v>
      </c>
      <c r="E2417">
        <v>100000</v>
      </c>
      <c r="F2417" t="s">
        <v>102</v>
      </c>
      <c r="G2417" t="s">
        <v>50</v>
      </c>
      <c r="H2417">
        <v>0</v>
      </c>
      <c r="I2417">
        <v>0</v>
      </c>
      <c r="J2417" t="s">
        <v>2833</v>
      </c>
      <c r="K2417">
        <v>54.575000000000003</v>
      </c>
      <c r="L2417">
        <v>4.9851999999999999E-7</v>
      </c>
      <c r="M2417">
        <v>54.575000000000003</v>
      </c>
      <c r="N2417">
        <v>4.9846000000000003E-7</v>
      </c>
      <c r="O2417" t="s">
        <v>2833</v>
      </c>
      <c r="P2417" t="s">
        <v>2833</v>
      </c>
      <c r="Q2417" t="s">
        <v>2833</v>
      </c>
      <c r="R2417">
        <f ca="1">RAND()*(Validation[[#This Row],[Range1_High]]-Validation[[#This Row],[Range1_Low]])+Validation[[#This Row],[Range1_Low]]</f>
        <v>24940922.079929825</v>
      </c>
      <c r="S2417">
        <f>Validation[[#This Row],[Range2_High]]</f>
        <v>0</v>
      </c>
      <c r="T2417" t="str" cm="1">
        <f t="array" aca="1" ref="T2417" ca="1">RoundToTwoSigFigs(Validation[[#This Row],[Test Reading]]*Validation[[#This Row],[Mult]]+Validation[[#This Row],[Base]]) &amp;" "&amp;Validation[[#This Row],[Uncert_Units]]</f>
        <v>67 kΩ</v>
      </c>
      <c r="U2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kΩ</v>
      </c>
      <c r="V2417" t="b">
        <f ca="1">Validation[[#This Row],[Desired Result]]=Validation[[#This Row],[Result]]</f>
        <v>1</v>
      </c>
      <c r="W2417" t="b">
        <v>1</v>
      </c>
      <c r="X2417" t="b">
        <f>Validation[[#This Row],[Range1_Low]]&gt;=Validation[[#This Row],[Range1_High]]</f>
        <v>0</v>
      </c>
      <c r="Y2417" s="111" t="s">
        <v>2843</v>
      </c>
    </row>
    <row r="2418" spans="1:25" ht="16.5" thickTop="1" thickBot="1" x14ac:dyDescent="0.3">
      <c r="A2418" t="s">
        <v>54</v>
      </c>
      <c r="B2418" t="s">
        <v>7</v>
      </c>
      <c r="C2418" s="113">
        <v>1100</v>
      </c>
      <c r="D2418" s="113">
        <v>3300.1</v>
      </c>
      <c r="E2418">
        <v>0.1</v>
      </c>
      <c r="F2418" t="s">
        <v>102</v>
      </c>
      <c r="G2418" t="s">
        <v>49</v>
      </c>
      <c r="H2418">
        <v>0</v>
      </c>
      <c r="I2418">
        <v>0</v>
      </c>
      <c r="J2418" t="s">
        <v>2833</v>
      </c>
      <c r="K2418">
        <v>0.25</v>
      </c>
      <c r="L2418">
        <v>1.0329E-4</v>
      </c>
      <c r="M2418">
        <v>0.23666000000000001</v>
      </c>
      <c r="N2418">
        <v>1.0325E-4</v>
      </c>
      <c r="O2418" t="s">
        <v>2833</v>
      </c>
      <c r="P2418" t="s">
        <v>2833</v>
      </c>
      <c r="Q2418" t="s">
        <v>2833</v>
      </c>
      <c r="R2418">
        <f ca="1">RAND()*(Validation[[#This Row],[Range1_High]]-Validation[[#This Row],[Range1_Low]])+Validation[[#This Row],[Range1_Low]]</f>
        <v>1603.2724654104136</v>
      </c>
      <c r="S2418">
        <f>Validation[[#This Row],[Range2_High]]</f>
        <v>0</v>
      </c>
      <c r="T2418" t="str" cm="1">
        <f t="array" aca="1" ref="T2418" ca="1">RoundToTwoSigFigs(Validation[[#This Row],[Test Reading]]*Validation[[#This Row],[Mult]]+Validation[[#This Row],[Base]]) &amp;" "&amp;Validation[[#This Row],[Uncert_Units]]</f>
        <v>0.42 Ω</v>
      </c>
      <c r="U2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Ω</v>
      </c>
      <c r="V2418" t="b">
        <f ca="1">Validation[[#This Row],[Desired Result]]=Validation[[#This Row],[Result]]</f>
        <v>1</v>
      </c>
      <c r="W2418" t="b">
        <v>1</v>
      </c>
      <c r="X2418" t="b">
        <f>Validation[[#This Row],[Range1_Low]]&gt;=Validation[[#This Row],[Range1_High]]</f>
        <v>0</v>
      </c>
      <c r="Y2418" s="111" t="s">
        <v>2843</v>
      </c>
    </row>
    <row r="2419" spans="1:25" ht="16.5" thickTop="1" thickBot="1" x14ac:dyDescent="0.3">
      <c r="A2419" t="s">
        <v>54</v>
      </c>
      <c r="B2419" t="s">
        <v>7</v>
      </c>
      <c r="C2419">
        <v>0</v>
      </c>
      <c r="D2419">
        <v>11.000999999999999</v>
      </c>
      <c r="E2419">
        <v>10</v>
      </c>
      <c r="F2419" t="s">
        <v>102</v>
      </c>
      <c r="G2419" t="s">
        <v>48</v>
      </c>
      <c r="H2419">
        <v>0</v>
      </c>
      <c r="I2419">
        <v>0</v>
      </c>
      <c r="J2419" t="s">
        <v>2833</v>
      </c>
      <c r="K2419">
        <v>5800</v>
      </c>
      <c r="L2419">
        <v>3.8767000000000001E-4</v>
      </c>
      <c r="M2419">
        <v>5800</v>
      </c>
      <c r="N2419">
        <v>2.9433999999999998E-4</v>
      </c>
      <c r="O2419" t="s">
        <v>2833</v>
      </c>
      <c r="P2419" t="s">
        <v>2833</v>
      </c>
      <c r="Q2419" t="s">
        <v>2833</v>
      </c>
      <c r="R2419">
        <f ca="1">RAND()*(Validation[[#This Row],[Range1_High]]-Validation[[#This Row],[Range1_Low]])+Validation[[#This Row],[Range1_Low]]</f>
        <v>6.9909601309658651</v>
      </c>
      <c r="S2419">
        <f>Validation[[#This Row],[Range2_High]]</f>
        <v>0</v>
      </c>
      <c r="T2419" t="str" cm="1">
        <f t="array" aca="1" ref="T2419" ca="1">RoundToTwoSigFigs(Validation[[#This Row],[Test Reading]]*Validation[[#This Row],[Mult]]+Validation[[#This Row],[Base]]) &amp;" "&amp;Validation[[#This Row],[Uncert_Units]]</f>
        <v>5800 mΩ</v>
      </c>
      <c r="U2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V2419" t="b">
        <f ca="1">Validation[[#This Row],[Desired Result]]=Validation[[#This Row],[Result]]</f>
        <v>1</v>
      </c>
      <c r="W2419" t="b">
        <v>0</v>
      </c>
      <c r="X2419" t="b">
        <f>Validation[[#This Row],[Range1_Low]]&gt;=Validation[[#This Row],[Range1_High]]</f>
        <v>0</v>
      </c>
      <c r="Y2419" s="111" t="s">
        <v>2845</v>
      </c>
    </row>
    <row r="2420" spans="1:25" ht="16.5" thickTop="1" thickBot="1" x14ac:dyDescent="0.3">
      <c r="A2420" t="s">
        <v>54</v>
      </c>
      <c r="B2420" t="s">
        <v>7</v>
      </c>
      <c r="C2420" s="113">
        <v>33000000</v>
      </c>
      <c r="D2420" s="113">
        <v>110010000</v>
      </c>
      <c r="E2420">
        <v>100000</v>
      </c>
      <c r="F2420" t="s">
        <v>102</v>
      </c>
      <c r="G2420" t="s">
        <v>50</v>
      </c>
      <c r="H2420">
        <v>0</v>
      </c>
      <c r="I2420">
        <v>0</v>
      </c>
      <c r="J2420" t="s">
        <v>2833</v>
      </c>
      <c r="K2420">
        <v>14.462999999999999</v>
      </c>
      <c r="L2420">
        <v>5.6975000000000001E-6</v>
      </c>
      <c r="M2420">
        <v>14.465</v>
      </c>
      <c r="N2420">
        <v>5.6973999999999999E-6</v>
      </c>
      <c r="O2420" t="s">
        <v>2833</v>
      </c>
      <c r="P2420" t="s">
        <v>2833</v>
      </c>
      <c r="Q2420" t="s">
        <v>2833</v>
      </c>
      <c r="R2420">
        <f ca="1">RAND()*(Validation[[#This Row],[Range1_High]]-Validation[[#This Row],[Range1_Low]])+Validation[[#This Row],[Range1_Low]]</f>
        <v>102461889.59501469</v>
      </c>
      <c r="S2420">
        <f>Validation[[#This Row],[Range2_High]]</f>
        <v>0</v>
      </c>
      <c r="T2420" t="str" cm="1">
        <f t="array" aca="1" ref="T2420" ca="1">RoundToTwoSigFigs(Validation[[#This Row],[Test Reading]]*Validation[[#This Row],[Mult]]+Validation[[#This Row],[Base]]) &amp;" "&amp;Validation[[#This Row],[Uncert_Units]]</f>
        <v>600 kΩ</v>
      </c>
      <c r="U2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kΩ</v>
      </c>
      <c r="V2420" t="b">
        <f ca="1">Validation[[#This Row],[Desired Result]]=Validation[[#This Row],[Result]]</f>
        <v>1</v>
      </c>
      <c r="W2420" t="b">
        <v>1</v>
      </c>
      <c r="X2420" t="b">
        <f>Validation[[#This Row],[Range1_Low]]&gt;=Validation[[#This Row],[Range1_High]]</f>
        <v>0</v>
      </c>
      <c r="Y2420" s="111" t="s">
        <v>2843</v>
      </c>
    </row>
    <row r="2421" spans="1:25" ht="15.75" thickTop="1" x14ac:dyDescent="0.25">
      <c r="A2421" t="s">
        <v>56</v>
      </c>
      <c r="B2421" t="s">
        <v>7</v>
      </c>
      <c r="C2421">
        <v>1000</v>
      </c>
      <c r="D2421">
        <v>10000</v>
      </c>
      <c r="E2421">
        <v>1E-4</v>
      </c>
      <c r="F2421" t="s">
        <v>102</v>
      </c>
      <c r="G2421" t="s">
        <v>71</v>
      </c>
      <c r="H2421">
        <v>0</v>
      </c>
      <c r="I2421">
        <v>0</v>
      </c>
      <c r="J2421" t="s">
        <v>2833</v>
      </c>
      <c r="K2421">
        <v>66.558580000000006</v>
      </c>
      <c r="L2421">
        <v>6.6055710000000004E-2</v>
      </c>
      <c r="M2421">
        <v>41.389360000000003</v>
      </c>
      <c r="N2421">
        <v>6.7687049999999999E-2</v>
      </c>
      <c r="O2421" t="s">
        <v>2833</v>
      </c>
      <c r="P2421" t="s">
        <v>2833</v>
      </c>
      <c r="Q2421" t="s">
        <v>2833</v>
      </c>
      <c r="R2421">
        <f ca="1">RAND()*(Validation[[#This Row],[Range1_High]]-Validation[[#This Row],[Range1_Low]])+Validation[[#This Row],[Range1_Low]]</f>
        <v>9483.307396379616</v>
      </c>
      <c r="S2421">
        <f>Validation[[#This Row],[Range2_High]]</f>
        <v>0</v>
      </c>
      <c r="T2421" t="str" cm="1">
        <f t="array" aca="1" ref="T2421" ca="1">RoundToTwoSigFigs(Validation[[#This Row],[Test Reading]]*Validation[[#This Row],[Mult]]+Validation[[#This Row],[Base]]) &amp;" "&amp;Validation[[#This Row],[Uncert_Units]]</f>
        <v>690 µΩ</v>
      </c>
      <c r="U2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µΩ</v>
      </c>
      <c r="V2421" t="b">
        <f ca="1">Validation[[#This Row],[Desired Result]]=Validation[[#This Row],[Result]]</f>
        <v>1</v>
      </c>
      <c r="W2421" t="b">
        <v>0</v>
      </c>
      <c r="X2421" t="b">
        <f>Validation[[#This Row],[Range1_Low]]&gt;=Validation[[#This Row],[Range1_High]]</f>
        <v>0</v>
      </c>
      <c r="Y2421" s="111" t="s">
        <v>2845</v>
      </c>
    </row>
    <row r="2422" spans="1:25" x14ac:dyDescent="0.25">
      <c r="A2422" t="s">
        <v>55</v>
      </c>
      <c r="B2422" t="s">
        <v>7</v>
      </c>
      <c r="C2422">
        <v>0</v>
      </c>
      <c r="D2422">
        <v>10</v>
      </c>
      <c r="E2422">
        <v>1.0000000000000001E-5</v>
      </c>
      <c r="F2422" t="s">
        <v>102</v>
      </c>
      <c r="G2422" t="s">
        <v>22</v>
      </c>
      <c r="H2422">
        <v>0</v>
      </c>
      <c r="I2422">
        <v>0</v>
      </c>
      <c r="J2422" t="s">
        <v>2833</v>
      </c>
      <c r="K2422">
        <v>65</v>
      </c>
      <c r="L2422">
        <v>17</v>
      </c>
      <c r="M2422">
        <v>61.667999999999999</v>
      </c>
      <c r="N2422">
        <v>17.321000000000002</v>
      </c>
      <c r="O2422" t="s">
        <v>2833</v>
      </c>
      <c r="P2422" t="s">
        <v>2833</v>
      </c>
      <c r="Q2422" t="s">
        <v>2833</v>
      </c>
      <c r="R2422">
        <f ca="1">RAND()*(Validation[[#This Row],[Range1_High]]-Validation[[#This Row],[Range1_Low]])+Validation[[#This Row],[Range1_Low]]</f>
        <v>8.8030998504423401</v>
      </c>
      <c r="S2422">
        <f>Validation[[#This Row],[Range2_High]]</f>
        <v>0</v>
      </c>
      <c r="T2422" t="str" cm="1">
        <f t="array" aca="1" ref="T2422" ca="1">RoundToTwoSigFigs(Validation[[#This Row],[Test Reading]]*Validation[[#This Row],[Mult]]+Validation[[#This Row],[Base]]) &amp;" "&amp;Validation[[#This Row],[Uncert_Units]]</f>
        <v>210 µΩ</v>
      </c>
      <c r="U2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µΩ</v>
      </c>
      <c r="V2422" t="b">
        <f ca="1">Validation[[#This Row],[Desired Result]]=Validation[[#This Row],[Result]]</f>
        <v>1</v>
      </c>
      <c r="W2422" t="b">
        <v>0</v>
      </c>
      <c r="X2422" t="b">
        <f>Validation[[#This Row],[Range1_Low]]&gt;=Validation[[#This Row],[Range1_High]]</f>
        <v>0</v>
      </c>
      <c r="Y2422" s="111" t="s">
        <v>2845</v>
      </c>
    </row>
    <row r="2423" spans="1:25" x14ac:dyDescent="0.25">
      <c r="A2423" t="s">
        <v>54</v>
      </c>
      <c r="B2423" t="s">
        <v>7</v>
      </c>
      <c r="C2423">
        <v>0</v>
      </c>
      <c r="D2423">
        <v>11.000999999999999</v>
      </c>
      <c r="E2423">
        <v>0.01</v>
      </c>
      <c r="F2423" t="s">
        <v>102</v>
      </c>
      <c r="G2423" t="s">
        <v>48</v>
      </c>
      <c r="H2423">
        <v>0</v>
      </c>
      <c r="I2423">
        <v>0</v>
      </c>
      <c r="J2423" t="s">
        <v>2833</v>
      </c>
      <c r="K2423">
        <v>12.939</v>
      </c>
      <c r="L2423">
        <v>0.12581000000000001</v>
      </c>
      <c r="M2423">
        <v>12.935</v>
      </c>
      <c r="N2423">
        <v>0.12525</v>
      </c>
      <c r="O2423" t="s">
        <v>2833</v>
      </c>
      <c r="P2423" t="s">
        <v>2833</v>
      </c>
      <c r="Q2423" t="s">
        <v>2833</v>
      </c>
      <c r="R2423">
        <f ca="1">RAND()*(Validation[[#This Row],[Range1_High]]-Validation[[#This Row],[Range1_Low]])+Validation[[#This Row],[Range1_Low]]</f>
        <v>3.9828681661722127</v>
      </c>
      <c r="S2423">
        <f>Validation[[#This Row],[Range2_High]]</f>
        <v>0</v>
      </c>
      <c r="T2423" t="str" cm="1">
        <f t="array" aca="1" ref="T2423" ca="1">RoundToTwoSigFigs(Validation[[#This Row],[Test Reading]]*Validation[[#This Row],[Mult]]+Validation[[#This Row],[Base]]) &amp;" "&amp;Validation[[#This Row],[Uncert_Units]]</f>
        <v>13 mΩ</v>
      </c>
      <c r="U2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V2423" t="b">
        <f ca="1">Validation[[#This Row],[Desired Result]]=Validation[[#This Row],[Result]]</f>
        <v>1</v>
      </c>
      <c r="W2423" t="b">
        <v>0</v>
      </c>
      <c r="X2423" t="b">
        <f>Validation[[#This Row],[Range1_Low]]&gt;=Validation[[#This Row],[Range1_High]]</f>
        <v>0</v>
      </c>
      <c r="Y2423" s="111" t="s">
        <v>2845</v>
      </c>
    </row>
    <row r="2424" spans="1:25" ht="15.75" thickBot="1" x14ac:dyDescent="0.3">
      <c r="A2424" t="s">
        <v>56</v>
      </c>
      <c r="B2424" t="s">
        <v>7</v>
      </c>
      <c r="C2424">
        <v>0</v>
      </c>
      <c r="D2424">
        <v>1000</v>
      </c>
      <c r="E2424">
        <v>1E-3</v>
      </c>
      <c r="F2424" t="s">
        <v>102</v>
      </c>
      <c r="G2424" t="s">
        <v>71</v>
      </c>
      <c r="H2424">
        <v>0</v>
      </c>
      <c r="I2424">
        <v>0</v>
      </c>
      <c r="J2424" t="s">
        <v>2833</v>
      </c>
      <c r="K2424">
        <v>600.322</v>
      </c>
      <c r="L2424">
        <v>9.648081E-2</v>
      </c>
      <c r="M2424">
        <v>579.44470000000001</v>
      </c>
      <c r="N2424">
        <v>6.4835800000000001E-3</v>
      </c>
      <c r="O2424" t="s">
        <v>2833</v>
      </c>
      <c r="P2424" t="s">
        <v>2833</v>
      </c>
      <c r="Q2424" t="s">
        <v>2833</v>
      </c>
      <c r="R2424">
        <f ca="1">RAND()*(Validation[[#This Row],[Range1_High]]-Validation[[#This Row],[Range1_Low]])+Validation[[#This Row],[Range1_Low]]</f>
        <v>606.18213375942821</v>
      </c>
      <c r="S2424">
        <f>Validation[[#This Row],[Range2_High]]</f>
        <v>0</v>
      </c>
      <c r="T2424" t="str" cm="1">
        <f t="array" aca="1" ref="T2424" ca="1">RoundToTwoSigFigs(Validation[[#This Row],[Test Reading]]*Validation[[#This Row],[Mult]]+Validation[[#This Row],[Base]]) &amp;" "&amp;Validation[[#This Row],[Uncert_Units]]</f>
        <v>660 µΩ</v>
      </c>
      <c r="U2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µΩ</v>
      </c>
      <c r="V2424" t="b">
        <f ca="1">Validation[[#This Row],[Desired Result]]=Validation[[#This Row],[Result]]</f>
        <v>1</v>
      </c>
      <c r="W2424" t="b">
        <v>0</v>
      </c>
      <c r="X2424" t="b">
        <f>Validation[[#This Row],[Range1_Low]]&gt;=Validation[[#This Row],[Range1_High]]</f>
        <v>0</v>
      </c>
      <c r="Y2424" s="111" t="s">
        <v>2845</v>
      </c>
    </row>
    <row r="2425" spans="1:25" ht="16.5" thickTop="1" thickBot="1" x14ac:dyDescent="0.3">
      <c r="A2425" t="s">
        <v>55</v>
      </c>
      <c r="B2425" t="s">
        <v>7</v>
      </c>
      <c r="C2425" s="113">
        <v>10000</v>
      </c>
      <c r="D2425" s="113">
        <v>100000</v>
      </c>
      <c r="E2425">
        <v>0.01</v>
      </c>
      <c r="F2425" t="s">
        <v>102</v>
      </c>
      <c r="G2425" t="s">
        <v>48</v>
      </c>
      <c r="H2425">
        <v>0</v>
      </c>
      <c r="I2425">
        <v>0</v>
      </c>
      <c r="J2425" t="s">
        <v>2833</v>
      </c>
      <c r="K2425">
        <v>58</v>
      </c>
      <c r="L2425">
        <v>1.2E-2</v>
      </c>
      <c r="M2425">
        <v>53.872999999999998</v>
      </c>
      <c r="N2425">
        <v>1.2026999999999999E-2</v>
      </c>
      <c r="O2425" t="s">
        <v>2833</v>
      </c>
      <c r="P2425" t="s">
        <v>2833</v>
      </c>
      <c r="Q2425" t="s">
        <v>2833</v>
      </c>
      <c r="R2425">
        <f ca="1">RAND()*(Validation[[#This Row],[Range1_High]]-Validation[[#This Row],[Range1_Low]])+Validation[[#This Row],[Range1_Low]]</f>
        <v>79165.862795634384</v>
      </c>
      <c r="S2425">
        <f>Validation[[#This Row],[Range2_High]]</f>
        <v>0</v>
      </c>
      <c r="T2425" t="str" cm="1">
        <f t="array" aca="1" ref="T2425" ca="1">RoundToTwoSigFigs(Validation[[#This Row],[Test Reading]]*Validation[[#This Row],[Mult]]+Validation[[#This Row],[Base]]) &amp;" "&amp;Validation[[#This Row],[Uncert_Units]]</f>
        <v>1000 mΩ</v>
      </c>
      <c r="U2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mΩ</v>
      </c>
      <c r="V2425" t="b">
        <f ca="1">Validation[[#This Row],[Desired Result]]=Validation[[#This Row],[Result]]</f>
        <v>1</v>
      </c>
      <c r="W2425" t="b">
        <v>1</v>
      </c>
      <c r="X2425" t="b">
        <f>Validation[[#This Row],[Range1_Low]]&gt;=Validation[[#This Row],[Range1_High]]</f>
        <v>0</v>
      </c>
      <c r="Y2425" s="111" t="s">
        <v>2843</v>
      </c>
    </row>
    <row r="2426" spans="1:25" ht="16.5" thickTop="1" thickBot="1" x14ac:dyDescent="0.3">
      <c r="A2426" t="s">
        <v>55</v>
      </c>
      <c r="B2426" t="s">
        <v>8</v>
      </c>
      <c r="C2426">
        <v>10</v>
      </c>
      <c r="D2426">
        <v>100</v>
      </c>
      <c r="E2426">
        <v>1</v>
      </c>
      <c r="F2426" t="s">
        <v>6</v>
      </c>
      <c r="G2426" t="s">
        <v>4</v>
      </c>
      <c r="H2426">
        <v>300</v>
      </c>
      <c r="I2426">
        <v>1000</v>
      </c>
      <c r="J2426" t="s">
        <v>10</v>
      </c>
      <c r="K2426">
        <v>469.61</v>
      </c>
      <c r="L2426">
        <v>13.691000000000001</v>
      </c>
      <c r="M2426">
        <v>433.99</v>
      </c>
      <c r="N2426">
        <v>13.692</v>
      </c>
      <c r="O2426" t="s">
        <v>2833</v>
      </c>
      <c r="P2426" t="s">
        <v>2833</v>
      </c>
      <c r="Q2426" t="s">
        <v>2833</v>
      </c>
      <c r="R2426" s="100">
        <f ca="1">RAND()*(Validation[[#This Row],[Range1_High]]-Validation[[#This Row],[Range1_Low]])+Validation[[#This Row],[Range1_Low]]</f>
        <v>25.43299744805616</v>
      </c>
      <c r="S2426">
        <f>Validation[[#This Row],[Range2_High]]</f>
        <v>1000</v>
      </c>
      <c r="T2426" t="str" cm="1">
        <f t="array" aca="1" ref="T2426" ca="1">RoundToTwoSigFigs(Validation[[#This Row],[Test Reading]]*Validation[[#This Row],[Mult]]+Validation[[#This Row],[Base]]) &amp;" "&amp;Validation[[#This Row],[Uncert_Units]]</f>
        <v>820 mV</v>
      </c>
      <c r="U2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V2426" t="b">
        <f ca="1">Validation[[#This Row],[Desired Result]]=Validation[[#This Row],[Result]]</f>
        <v>1</v>
      </c>
      <c r="W2426" t="b">
        <v>1</v>
      </c>
      <c r="X2426" t="b">
        <f>Validation[[#This Row],[Range1_Low]]&gt;=Validation[[#This Row],[Range1_High]]</f>
        <v>0</v>
      </c>
      <c r="Y2426" s="112"/>
    </row>
    <row r="2427" spans="1:25" ht="16.5" thickTop="1" thickBot="1" x14ac:dyDescent="0.3">
      <c r="A2427" t="s">
        <v>55</v>
      </c>
      <c r="B2427" t="s">
        <v>8</v>
      </c>
      <c r="C2427" s="113">
        <v>1</v>
      </c>
      <c r="D2427" s="113">
        <v>10</v>
      </c>
      <c r="E2427">
        <v>0.01</v>
      </c>
      <c r="F2427" t="s">
        <v>6</v>
      </c>
      <c r="G2427" t="s">
        <v>4</v>
      </c>
      <c r="H2427">
        <v>1E-3</v>
      </c>
      <c r="I2427">
        <v>0.04</v>
      </c>
      <c r="J2427" t="s">
        <v>10</v>
      </c>
      <c r="K2427">
        <v>5.7845000000000004</v>
      </c>
      <c r="L2427">
        <v>1.5263000000000001E-2</v>
      </c>
      <c r="M2427">
        <v>5.7839999999999998</v>
      </c>
      <c r="N2427">
        <v>1.5049999999999999E-2</v>
      </c>
      <c r="O2427" t="s">
        <v>2833</v>
      </c>
      <c r="P2427" t="s">
        <v>2833</v>
      </c>
      <c r="Q2427" t="s">
        <v>2833</v>
      </c>
      <c r="R2427">
        <f ca="1">RAND()*(Validation[[#This Row],[Range1_High]]-Validation[[#This Row],[Range1_Low]])+Validation[[#This Row],[Range1_Low]]</f>
        <v>6.6611969273892253</v>
      </c>
      <c r="S2427">
        <f>Validation[[#This Row],[Range2_High]]</f>
        <v>0.04</v>
      </c>
      <c r="T2427" t="str" cm="1">
        <f t="array" aca="1" ref="T2427" ca="1">RoundToTwoSigFigs(Validation[[#This Row],[Test Reading]]*Validation[[#This Row],[Mult]]+Validation[[#This Row],[Base]]) &amp;" "&amp;Validation[[#This Row],[Uncert_Units]]</f>
        <v>5.9 mV</v>
      </c>
      <c r="U2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V2427" t="b">
        <f ca="1">Validation[[#This Row],[Desired Result]]=Validation[[#This Row],[Result]]</f>
        <v>1</v>
      </c>
      <c r="W2427" t="b">
        <v>1</v>
      </c>
      <c r="X2427" t="b">
        <f>Validation[[#This Row],[Range1_Low]]&gt;=Validation[[#This Row],[Range1_High]]</f>
        <v>0</v>
      </c>
      <c r="Y2427" s="111" t="s">
        <v>2843</v>
      </c>
    </row>
    <row r="2428" spans="1:25" ht="15.75" thickTop="1" x14ac:dyDescent="0.25">
      <c r="A2428" t="s">
        <v>68</v>
      </c>
      <c r="B2428" t="s">
        <v>8</v>
      </c>
      <c r="C2428">
        <v>0</v>
      </c>
      <c r="D2428">
        <v>0.1</v>
      </c>
      <c r="E2428">
        <v>1E-3</v>
      </c>
      <c r="F2428" t="s">
        <v>6</v>
      </c>
      <c r="G2428" t="s">
        <v>5</v>
      </c>
      <c r="H2428">
        <v>0.01</v>
      </c>
      <c r="I2428">
        <v>2</v>
      </c>
      <c r="J2428" t="s">
        <v>10</v>
      </c>
      <c r="K2428">
        <v>578.33000000000004</v>
      </c>
      <c r="L2428">
        <v>131.69</v>
      </c>
      <c r="M2428">
        <v>578.32000000000005</v>
      </c>
      <c r="N2428">
        <v>131.46</v>
      </c>
      <c r="O2428" t="s">
        <v>2833</v>
      </c>
      <c r="P2428" t="s">
        <v>2833</v>
      </c>
      <c r="Q2428" t="s">
        <v>2833</v>
      </c>
      <c r="R2428">
        <f ca="1">RAND()*(Validation[[#This Row],[Range1_High]]-Validation[[#This Row],[Range1_Low]])+Validation[[#This Row],[Range1_Low]]</f>
        <v>1.7474792441973332E-2</v>
      </c>
      <c r="S2428">
        <f>Validation[[#This Row],[Range2_High]]</f>
        <v>2</v>
      </c>
      <c r="T2428" t="str" cm="1">
        <f t="array" aca="1" ref="T2428" ca="1">RoundToTwoSigFigs(Validation[[#This Row],[Test Reading]]*Validation[[#This Row],[Mult]]+Validation[[#This Row],[Base]]) &amp;" "&amp;Validation[[#This Row],[Uncert_Units]]</f>
        <v>580 µV</v>
      </c>
      <c r="U2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428" t="b">
        <f ca="1">Validation[[#This Row],[Desired Result]]=Validation[[#This Row],[Result]]</f>
        <v>1</v>
      </c>
      <c r="W2428" t="b">
        <v>0</v>
      </c>
      <c r="X2428" t="b">
        <f>Validation[[#This Row],[Range1_Low]]&gt;=Validation[[#This Row],[Range1_High]]</f>
        <v>0</v>
      </c>
      <c r="Y2428" s="111" t="s">
        <v>2845</v>
      </c>
    </row>
    <row r="2429" spans="1:25" x14ac:dyDescent="0.25">
      <c r="A2429" t="s">
        <v>55</v>
      </c>
      <c r="B2429" t="s">
        <v>8</v>
      </c>
      <c r="C2429">
        <v>1</v>
      </c>
      <c r="D2429">
        <v>10</v>
      </c>
      <c r="E2429">
        <v>0.1</v>
      </c>
      <c r="F2429" t="s">
        <v>6</v>
      </c>
      <c r="G2429" t="s">
        <v>4</v>
      </c>
      <c r="H2429">
        <v>8000</v>
      </c>
      <c r="I2429">
        <v>10000</v>
      </c>
      <c r="J2429" t="s">
        <v>10</v>
      </c>
      <c r="K2429">
        <v>46</v>
      </c>
      <c r="L2429">
        <v>170.24</v>
      </c>
      <c r="M2429">
        <v>20.344000000000001</v>
      </c>
      <c r="N2429">
        <v>172.48</v>
      </c>
      <c r="O2429" t="s">
        <v>2833</v>
      </c>
      <c r="P2429" t="s">
        <v>2833</v>
      </c>
      <c r="Q2429" t="s">
        <v>2833</v>
      </c>
      <c r="R2429">
        <f ca="1">RAND()*(Validation[[#This Row],[Range1_High]]-Validation[[#This Row],[Range1_Low]])+Validation[[#This Row],[Range1_Low]]</f>
        <v>2.4295745381915825</v>
      </c>
      <c r="S2429">
        <f>Validation[[#This Row],[Range2_High]]</f>
        <v>10000</v>
      </c>
      <c r="T2429" t="str" cm="1">
        <f t="array" aca="1" ref="T2429" ca="1">RoundToTwoSigFigs(Validation[[#This Row],[Test Reading]]*Validation[[#This Row],[Mult]]+Validation[[#This Row],[Base]]) &amp;" "&amp;Validation[[#This Row],[Uncert_Units]]</f>
        <v>460 mV</v>
      </c>
      <c r="U2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V2429" t="b">
        <f ca="1">Validation[[#This Row],[Desired Result]]=Validation[[#This Row],[Result]]</f>
        <v>1</v>
      </c>
      <c r="W2429" t="b">
        <v>0</v>
      </c>
      <c r="X2429" t="b">
        <f>Validation[[#This Row],[Range1_Low]]&gt;=Validation[[#This Row],[Range1_High]]</f>
        <v>0</v>
      </c>
      <c r="Y2429" s="111" t="s">
        <v>2845</v>
      </c>
    </row>
    <row r="2430" spans="1:25" ht="15.75" thickBot="1" x14ac:dyDescent="0.3">
      <c r="A2430" t="s">
        <v>55</v>
      </c>
      <c r="B2430" t="s">
        <v>8</v>
      </c>
      <c r="C2430">
        <v>0</v>
      </c>
      <c r="D2430">
        <v>0.01</v>
      </c>
      <c r="E2430">
        <v>1E-3</v>
      </c>
      <c r="F2430" t="s">
        <v>6</v>
      </c>
      <c r="G2430" t="s">
        <v>5</v>
      </c>
      <c r="H2430">
        <v>1000</v>
      </c>
      <c r="I2430">
        <v>4000</v>
      </c>
      <c r="J2430" t="s">
        <v>10</v>
      </c>
      <c r="K2430">
        <v>573.98</v>
      </c>
      <c r="L2430">
        <v>42637</v>
      </c>
      <c r="M2430">
        <v>570.55999999999995</v>
      </c>
      <c r="N2430">
        <v>42634</v>
      </c>
      <c r="O2430" t="s">
        <v>2833</v>
      </c>
      <c r="P2430" t="s">
        <v>2833</v>
      </c>
      <c r="Q2430" t="s">
        <v>2833</v>
      </c>
      <c r="R2430">
        <f ca="1">RAND()*(Validation[[#This Row],[Range1_High]]-Validation[[#This Row],[Range1_Low]])+Validation[[#This Row],[Range1_Low]]</f>
        <v>1.2553841424325174E-3</v>
      </c>
      <c r="S2430">
        <f>Validation[[#This Row],[Range2_High]]</f>
        <v>4000</v>
      </c>
      <c r="T2430" t="str" cm="1">
        <f t="array" aca="1" ref="T2430" ca="1">RoundToTwoSigFigs(Validation[[#This Row],[Test Reading]]*Validation[[#This Row],[Mult]]+Validation[[#This Row],[Base]]) &amp;" "&amp;Validation[[#This Row],[Uncert_Units]]</f>
        <v>630 µV</v>
      </c>
      <c r="U2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V2430" t="b">
        <f ca="1">Validation[[#This Row],[Desired Result]]=Validation[[#This Row],[Result]]</f>
        <v>0</v>
      </c>
      <c r="W2430" t="b">
        <v>1</v>
      </c>
      <c r="X2430" t="b">
        <f>Validation[[#This Row],[Range1_Low]]&gt;=Validation[[#This Row],[Range1_High]]</f>
        <v>0</v>
      </c>
      <c r="Y2430" s="111" t="s">
        <v>2845</v>
      </c>
    </row>
    <row r="2431" spans="1:25" ht="16.5" thickTop="1" thickBot="1" x14ac:dyDescent="0.3">
      <c r="A2431" t="s">
        <v>55</v>
      </c>
      <c r="B2431" t="s">
        <v>8</v>
      </c>
      <c r="C2431" s="113">
        <v>1</v>
      </c>
      <c r="D2431" s="113">
        <v>10</v>
      </c>
      <c r="E2431">
        <v>0.01</v>
      </c>
      <c r="F2431" t="s">
        <v>6</v>
      </c>
      <c r="G2431" t="s">
        <v>4</v>
      </c>
      <c r="H2431">
        <v>4000</v>
      </c>
      <c r="I2431">
        <v>8000</v>
      </c>
      <c r="J2431" t="s">
        <v>10</v>
      </c>
      <c r="K2431">
        <v>15</v>
      </c>
      <c r="L2431">
        <v>46.329000000000001</v>
      </c>
      <c r="M2431">
        <v>9.49</v>
      </c>
      <c r="N2431">
        <v>46.546999999999997</v>
      </c>
      <c r="O2431" t="s">
        <v>2833</v>
      </c>
      <c r="P2431" t="s">
        <v>2833</v>
      </c>
      <c r="Q2431" t="s">
        <v>2833</v>
      </c>
      <c r="R2431">
        <f ca="1">RAND()*(Validation[[#This Row],[Range1_High]]-Validation[[#This Row],[Range1_Low]])+Validation[[#This Row],[Range1_Low]]</f>
        <v>8.6877787437376988</v>
      </c>
      <c r="S2431">
        <f>Validation[[#This Row],[Range2_High]]</f>
        <v>8000</v>
      </c>
      <c r="T2431" t="str" cm="1">
        <f t="array" aca="1" ref="T2431" ca="1">RoundToTwoSigFigs(Validation[[#This Row],[Test Reading]]*Validation[[#This Row],[Mult]]+Validation[[#This Row],[Base]]) &amp;" "&amp;Validation[[#This Row],[Uncert_Units]]</f>
        <v>420 mV</v>
      </c>
      <c r="U2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V2431" t="b">
        <f ca="1">Validation[[#This Row],[Desired Result]]=Validation[[#This Row],[Result]]</f>
        <v>0</v>
      </c>
      <c r="W2431" t="b">
        <v>1</v>
      </c>
      <c r="X2431" t="b">
        <f>Validation[[#This Row],[Range1_Low]]&gt;=Validation[[#This Row],[Range1_High]]</f>
        <v>0</v>
      </c>
      <c r="Y2431" s="111" t="s">
        <v>2843</v>
      </c>
    </row>
    <row r="2432" spans="1:25" ht="16.5" thickTop="1" thickBot="1" x14ac:dyDescent="0.3">
      <c r="A2432" t="s">
        <v>55</v>
      </c>
      <c r="B2432" t="s">
        <v>8</v>
      </c>
      <c r="C2432">
        <v>10</v>
      </c>
      <c r="D2432">
        <v>20</v>
      </c>
      <c r="E2432">
        <v>1</v>
      </c>
      <c r="F2432" t="s">
        <v>6</v>
      </c>
      <c r="G2432" t="s">
        <v>4</v>
      </c>
      <c r="H2432">
        <v>100</v>
      </c>
      <c r="I2432">
        <v>300</v>
      </c>
      <c r="J2432" t="s">
        <v>10</v>
      </c>
      <c r="K2432">
        <v>573.82000000000005</v>
      </c>
      <c r="L2432">
        <v>0.64234000000000002</v>
      </c>
      <c r="M2432">
        <v>542.91999999999996</v>
      </c>
      <c r="N2432">
        <v>0.64214000000000004</v>
      </c>
      <c r="O2432" t="s">
        <v>2833</v>
      </c>
      <c r="P2432" t="s">
        <v>2833</v>
      </c>
      <c r="Q2432" t="s">
        <v>2833</v>
      </c>
      <c r="R2432">
        <f ca="1">RAND()*(Validation[[#This Row],[Range1_High]]-Validation[[#This Row],[Range1_Low]])+Validation[[#This Row],[Range1_Low]]</f>
        <v>16.802251554649686</v>
      </c>
      <c r="S2432">
        <f>Validation[[#This Row],[Range2_High]]</f>
        <v>300</v>
      </c>
      <c r="T2432" t="str" cm="1">
        <f t="array" aca="1" ref="T2432" ca="1">RoundToTwoSigFigs(Validation[[#This Row],[Test Reading]]*Validation[[#This Row],[Mult]]+Validation[[#This Row],[Base]]) &amp;" "&amp;Validation[[#This Row],[Uncert_Units]]</f>
        <v>580 mV</v>
      </c>
      <c r="U2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V2432" t="b">
        <f ca="1">Validation[[#This Row],[Desired Result]]=Validation[[#This Row],[Result]]</f>
        <v>0</v>
      </c>
      <c r="W2432" t="b">
        <v>1</v>
      </c>
      <c r="X2432" t="b">
        <f>Validation[[#This Row],[Range1_Low]]&gt;=Validation[[#This Row],[Range1_High]]</f>
        <v>0</v>
      </c>
      <c r="Y2432" s="111" t="s">
        <v>2845</v>
      </c>
    </row>
    <row r="2433" spans="1:25" ht="16.5" thickTop="1" thickBot="1" x14ac:dyDescent="0.3">
      <c r="A2433" t="s">
        <v>54</v>
      </c>
      <c r="B2433" t="s">
        <v>8</v>
      </c>
      <c r="C2433" s="113">
        <v>33</v>
      </c>
      <c r="D2433" s="113">
        <v>330.01</v>
      </c>
      <c r="E2433">
        <v>1E-3</v>
      </c>
      <c r="F2433" t="s">
        <v>6</v>
      </c>
      <c r="G2433" t="s">
        <v>4</v>
      </c>
      <c r="H2433">
        <v>20</v>
      </c>
      <c r="I2433">
        <v>50.01</v>
      </c>
      <c r="J2433" t="s">
        <v>10</v>
      </c>
      <c r="K2433">
        <v>22</v>
      </c>
      <c r="L2433">
        <v>1.4</v>
      </c>
      <c r="M2433">
        <v>10.266</v>
      </c>
      <c r="N2433">
        <v>1.3912</v>
      </c>
      <c r="O2433" t="s">
        <v>2833</v>
      </c>
      <c r="P2433" t="s">
        <v>2833</v>
      </c>
      <c r="Q2433" t="s">
        <v>2833</v>
      </c>
      <c r="R2433">
        <f ca="1">RAND()*(Validation[[#This Row],[Range1_High]]-Validation[[#This Row],[Range1_Low]])+Validation[[#This Row],[Range1_Low]]</f>
        <v>322.12003976217295</v>
      </c>
      <c r="S2433">
        <f>Validation[[#This Row],[Range2_High]]</f>
        <v>50.01</v>
      </c>
      <c r="T2433" t="str" cm="1">
        <f t="array" aca="1" ref="T2433" ca="1">RoundToTwoSigFigs(Validation[[#This Row],[Test Reading]]*Validation[[#This Row],[Mult]]+Validation[[#This Row],[Base]]) &amp;" "&amp;Validation[[#This Row],[Uncert_Units]]</f>
        <v>470 mV</v>
      </c>
      <c r="U2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V2433" t="b">
        <f ca="1">Validation[[#This Row],[Desired Result]]=Validation[[#This Row],[Result]]</f>
        <v>1</v>
      </c>
      <c r="W2433" t="b">
        <v>1</v>
      </c>
      <c r="X2433" t="b">
        <f>Validation[[#This Row],[Range1_Low]]&gt;=Validation[[#This Row],[Range1_High]]</f>
        <v>0</v>
      </c>
      <c r="Y2433" s="111" t="s">
        <v>2843</v>
      </c>
    </row>
    <row r="2434" spans="1:25" ht="16.5" thickTop="1" thickBot="1" x14ac:dyDescent="0.3">
      <c r="A2434" t="s">
        <v>55</v>
      </c>
      <c r="B2434" t="s">
        <v>8</v>
      </c>
      <c r="C2434" s="113">
        <v>0.1</v>
      </c>
      <c r="D2434" s="113">
        <v>1</v>
      </c>
      <c r="E2434">
        <v>1.0000000000000001E-5</v>
      </c>
      <c r="F2434" t="s">
        <v>6</v>
      </c>
      <c r="G2434" t="s">
        <v>5</v>
      </c>
      <c r="H2434">
        <v>300</v>
      </c>
      <c r="I2434">
        <v>1000</v>
      </c>
      <c r="J2434" t="s">
        <v>10</v>
      </c>
      <c r="K2434">
        <v>120</v>
      </c>
      <c r="L2434">
        <v>12000</v>
      </c>
      <c r="M2434">
        <v>110.73</v>
      </c>
      <c r="N2434">
        <v>11675</v>
      </c>
      <c r="O2434" t="s">
        <v>2833</v>
      </c>
      <c r="P2434" t="s">
        <v>2833</v>
      </c>
      <c r="Q2434" t="s">
        <v>2833</v>
      </c>
      <c r="R2434">
        <f ca="1">RAND()*(Validation[[#This Row],[Range1_High]]-Validation[[#This Row],[Range1_Low]])+Validation[[#This Row],[Range1_Low]]</f>
        <v>0.49871312194630346</v>
      </c>
      <c r="S2434">
        <f>Validation[[#This Row],[Range2_High]]</f>
        <v>1000</v>
      </c>
      <c r="T2434" t="str" cm="1">
        <f t="array" aca="1" ref="T2434" ca="1">RoundToTwoSigFigs(Validation[[#This Row],[Test Reading]]*Validation[[#This Row],[Mult]]+Validation[[#This Row],[Base]]) &amp;" "&amp;Validation[[#This Row],[Uncert_Units]]</f>
        <v>6100 µV</v>
      </c>
      <c r="U2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V2434" t="b">
        <f ca="1">Validation[[#This Row],[Desired Result]]=Validation[[#This Row],[Result]]</f>
        <v>1</v>
      </c>
      <c r="W2434" t="b">
        <v>1</v>
      </c>
      <c r="X2434" t="b">
        <f>Validation[[#This Row],[Range1_Low]]&gt;=Validation[[#This Row],[Range1_High]]</f>
        <v>0</v>
      </c>
      <c r="Y2434" s="111" t="s">
        <v>2843</v>
      </c>
    </row>
    <row r="2435" spans="1:25" ht="16.5" thickTop="1" thickBot="1" x14ac:dyDescent="0.3">
      <c r="A2435" t="s">
        <v>55</v>
      </c>
      <c r="B2435" t="s">
        <v>8</v>
      </c>
      <c r="C2435" s="113">
        <v>20</v>
      </c>
      <c r="D2435" s="113">
        <v>100</v>
      </c>
      <c r="E2435">
        <v>0.01</v>
      </c>
      <c r="F2435" t="s">
        <v>6</v>
      </c>
      <c r="G2435" t="s">
        <v>4</v>
      </c>
      <c r="H2435">
        <v>50</v>
      </c>
      <c r="I2435">
        <v>100</v>
      </c>
      <c r="J2435" t="s">
        <v>10</v>
      </c>
      <c r="K2435">
        <v>22</v>
      </c>
      <c r="L2435">
        <v>1.2047000000000001</v>
      </c>
      <c r="M2435">
        <v>18.315000000000001</v>
      </c>
      <c r="N2435">
        <v>1.2311000000000001</v>
      </c>
      <c r="O2435" t="s">
        <v>2833</v>
      </c>
      <c r="P2435" t="s">
        <v>2833</v>
      </c>
      <c r="Q2435" t="s">
        <v>2833</v>
      </c>
      <c r="R2435">
        <f ca="1">RAND()*(Validation[[#This Row],[Range1_High]]-Validation[[#This Row],[Range1_Low]])+Validation[[#This Row],[Range1_Low]]</f>
        <v>80.887562816644831</v>
      </c>
      <c r="S2435">
        <f>Validation[[#This Row],[Range2_High]]</f>
        <v>100</v>
      </c>
      <c r="T2435" t="str" cm="1">
        <f t="array" aca="1" ref="T2435" ca="1">RoundToTwoSigFigs(Validation[[#This Row],[Test Reading]]*Validation[[#This Row],[Mult]]+Validation[[#This Row],[Base]]) &amp;" "&amp;Validation[[#This Row],[Uncert_Units]]</f>
        <v>120 mV</v>
      </c>
      <c r="U2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V2435" t="b">
        <f ca="1">Validation[[#This Row],[Desired Result]]=Validation[[#This Row],[Result]]</f>
        <v>0</v>
      </c>
      <c r="W2435" t="b">
        <v>1</v>
      </c>
      <c r="X2435" t="b">
        <f>Validation[[#This Row],[Range1_Low]]&gt;=Validation[[#This Row],[Range1_High]]</f>
        <v>0</v>
      </c>
      <c r="Y2435" s="111" t="s">
        <v>2843</v>
      </c>
    </row>
    <row r="2436" spans="1:25" ht="16.5" thickTop="1" thickBot="1" x14ac:dyDescent="0.3">
      <c r="A2436" t="s">
        <v>55</v>
      </c>
      <c r="B2436" t="s">
        <v>8</v>
      </c>
      <c r="C2436" s="113">
        <v>0.01</v>
      </c>
      <c r="D2436" s="113">
        <v>0.1</v>
      </c>
      <c r="E2436">
        <v>9.9999999999999995E-7</v>
      </c>
      <c r="F2436" t="s">
        <v>6</v>
      </c>
      <c r="G2436" t="s">
        <v>5</v>
      </c>
      <c r="H2436">
        <v>1E-3</v>
      </c>
      <c r="I2436">
        <v>0.04</v>
      </c>
      <c r="J2436" t="s">
        <v>10</v>
      </c>
      <c r="K2436">
        <v>5.4</v>
      </c>
      <c r="L2436">
        <v>83.01</v>
      </c>
      <c r="M2436">
        <v>5.3446999999999996</v>
      </c>
      <c r="N2436">
        <v>83</v>
      </c>
      <c r="O2436" t="s">
        <v>2833</v>
      </c>
      <c r="P2436" t="s">
        <v>2833</v>
      </c>
      <c r="Q2436" t="s">
        <v>2833</v>
      </c>
      <c r="R2436">
        <f ca="1">RAND()*(Validation[[#This Row],[Range1_High]]-Validation[[#This Row],[Range1_Low]])+Validation[[#This Row],[Range1_Low]]</f>
        <v>8.4466847874795095E-2</v>
      </c>
      <c r="S2436">
        <f>Validation[[#This Row],[Range2_High]]</f>
        <v>0.04</v>
      </c>
      <c r="T2436" t="str" cm="1">
        <f t="array" aca="1" ref="T2436" ca="1">RoundToTwoSigFigs(Validation[[#This Row],[Test Reading]]*Validation[[#This Row],[Mult]]+Validation[[#This Row],[Base]]) &amp;" "&amp;Validation[[#This Row],[Uncert_Units]]</f>
        <v>12 µV</v>
      </c>
      <c r="U2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V2436" t="b">
        <f ca="1">Validation[[#This Row],[Desired Result]]=Validation[[#This Row],[Result]]</f>
        <v>1</v>
      </c>
      <c r="W2436" t="b">
        <v>1</v>
      </c>
      <c r="X2436" t="b">
        <f>Validation[[#This Row],[Range1_Low]]&gt;=Validation[[#This Row],[Range1_High]]</f>
        <v>0</v>
      </c>
      <c r="Y2436" s="111" t="s">
        <v>2843</v>
      </c>
    </row>
    <row r="2437" spans="1:25" ht="16.5" thickTop="1" thickBot="1" x14ac:dyDescent="0.3">
      <c r="A2437" t="s">
        <v>55</v>
      </c>
      <c r="B2437" t="s">
        <v>8</v>
      </c>
      <c r="C2437" s="113">
        <v>100</v>
      </c>
      <c r="D2437" s="113">
        <v>330</v>
      </c>
      <c r="E2437">
        <v>0.01</v>
      </c>
      <c r="F2437" t="s">
        <v>6</v>
      </c>
      <c r="G2437" t="s">
        <v>4</v>
      </c>
      <c r="H2437">
        <v>20</v>
      </c>
      <c r="I2437">
        <v>50</v>
      </c>
      <c r="J2437" t="s">
        <v>10</v>
      </c>
      <c r="K2437">
        <v>23</v>
      </c>
      <c r="L2437">
        <v>1.4</v>
      </c>
      <c r="M2437">
        <v>23.187999999999999</v>
      </c>
      <c r="N2437">
        <v>1.3875999999999999</v>
      </c>
      <c r="O2437" t="s">
        <v>2833</v>
      </c>
      <c r="P2437" t="s">
        <v>2833</v>
      </c>
      <c r="Q2437" t="s">
        <v>2833</v>
      </c>
      <c r="R2437">
        <f ca="1">RAND()*(Validation[[#This Row],[Range1_High]]-Validation[[#This Row],[Range1_Low]])+Validation[[#This Row],[Range1_Low]]</f>
        <v>263.42376478015797</v>
      </c>
      <c r="S2437">
        <f>Validation[[#This Row],[Range2_High]]</f>
        <v>50</v>
      </c>
      <c r="T2437" t="str" cm="1">
        <f t="array" aca="1" ref="T2437" ca="1">RoundToTwoSigFigs(Validation[[#This Row],[Test Reading]]*Validation[[#This Row],[Mult]]+Validation[[#This Row],[Base]]) &amp;" "&amp;Validation[[#This Row],[Uncert_Units]]</f>
        <v>390 mV</v>
      </c>
      <c r="U2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mV</v>
      </c>
      <c r="V2437" t="b">
        <f ca="1">Validation[[#This Row],[Desired Result]]=Validation[[#This Row],[Result]]</f>
        <v>0</v>
      </c>
      <c r="W2437" t="b">
        <v>1</v>
      </c>
      <c r="X2437" t="b">
        <f>Validation[[#This Row],[Range1_Low]]&gt;=Validation[[#This Row],[Range1_High]]</f>
        <v>0</v>
      </c>
      <c r="Y2437" s="111" t="s">
        <v>2843</v>
      </c>
    </row>
    <row r="2438" spans="1:25" ht="16.5" thickTop="1" thickBot="1" x14ac:dyDescent="0.3">
      <c r="A2438" t="s">
        <v>55</v>
      </c>
      <c r="B2438" t="s">
        <v>8</v>
      </c>
      <c r="C2438" s="113">
        <v>0.1</v>
      </c>
      <c r="D2438" s="113">
        <v>1</v>
      </c>
      <c r="E2438">
        <v>1.0000000000000001E-5</v>
      </c>
      <c r="F2438" t="s">
        <v>6</v>
      </c>
      <c r="G2438" t="s">
        <v>5</v>
      </c>
      <c r="H2438">
        <v>20</v>
      </c>
      <c r="I2438">
        <v>50</v>
      </c>
      <c r="J2438" t="s">
        <v>10</v>
      </c>
      <c r="K2438">
        <v>24</v>
      </c>
      <c r="L2438">
        <v>350</v>
      </c>
      <c r="M2438">
        <v>23.693000000000001</v>
      </c>
      <c r="N2438">
        <v>345.87</v>
      </c>
      <c r="O2438" t="s">
        <v>2833</v>
      </c>
      <c r="P2438" t="s">
        <v>2833</v>
      </c>
      <c r="Q2438" t="s">
        <v>2833</v>
      </c>
      <c r="R2438">
        <f ca="1">RAND()*(Validation[[#This Row],[Range1_High]]-Validation[[#This Row],[Range1_Low]])+Validation[[#This Row],[Range1_Low]]</f>
        <v>0.30010157781065799</v>
      </c>
      <c r="S2438">
        <f>Validation[[#This Row],[Range2_High]]</f>
        <v>50</v>
      </c>
      <c r="T2438" t="str" cm="1">
        <f t="array" aca="1" ref="T2438" ca="1">RoundToTwoSigFigs(Validation[[#This Row],[Test Reading]]*Validation[[#This Row],[Mult]]+Validation[[#This Row],[Base]]) &amp;" "&amp;Validation[[#This Row],[Uncert_Units]]</f>
        <v>130 µV</v>
      </c>
      <c r="U2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V2438" t="b">
        <f ca="1">Validation[[#This Row],[Desired Result]]=Validation[[#This Row],[Result]]</f>
        <v>0</v>
      </c>
      <c r="W2438" t="b">
        <v>1</v>
      </c>
      <c r="X2438" t="b">
        <f>Validation[[#This Row],[Range1_Low]]&gt;=Validation[[#This Row],[Range1_High]]</f>
        <v>0</v>
      </c>
      <c r="Y2438" s="111" t="s">
        <v>2843</v>
      </c>
    </row>
    <row r="2439" spans="1:25" ht="16.5" thickTop="1" thickBot="1" x14ac:dyDescent="0.3">
      <c r="A2439" t="s">
        <v>55</v>
      </c>
      <c r="B2439" t="s">
        <v>8</v>
      </c>
      <c r="C2439">
        <v>0</v>
      </c>
      <c r="D2439">
        <v>0.01</v>
      </c>
      <c r="E2439">
        <v>1E-8</v>
      </c>
      <c r="F2439" t="s">
        <v>6</v>
      </c>
      <c r="G2439" t="s">
        <v>5</v>
      </c>
      <c r="H2439">
        <v>1000</v>
      </c>
      <c r="I2439">
        <v>4000</v>
      </c>
      <c r="J2439" t="s">
        <v>10</v>
      </c>
      <c r="K2439">
        <v>23</v>
      </c>
      <c r="L2439">
        <v>80000</v>
      </c>
      <c r="M2439">
        <v>22.678999999999998</v>
      </c>
      <c r="N2439">
        <v>79411</v>
      </c>
      <c r="O2439" t="s">
        <v>2833</v>
      </c>
      <c r="P2439" t="s">
        <v>2833</v>
      </c>
      <c r="Q2439" t="s">
        <v>2833</v>
      </c>
      <c r="R2439">
        <f ca="1">RAND()*(Validation[[#This Row],[Range1_High]]-Validation[[#This Row],[Range1_Low]])+Validation[[#This Row],[Range1_Low]]</f>
        <v>1.8540081142196429E-3</v>
      </c>
      <c r="S2439">
        <f>Validation[[#This Row],[Range2_High]]</f>
        <v>4000</v>
      </c>
      <c r="T2439" t="str" cm="1">
        <f t="array" aca="1" ref="T2439" ca="1">RoundToTwoSigFigs(Validation[[#This Row],[Test Reading]]*Validation[[#This Row],[Mult]]+Validation[[#This Row],[Base]]) &amp;" "&amp;Validation[[#This Row],[Uncert_Units]]</f>
        <v>170 µV</v>
      </c>
      <c r="U2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V2439" t="b">
        <f ca="1">Validation[[#This Row],[Desired Result]]=Validation[[#This Row],[Result]]</f>
        <v>0</v>
      </c>
      <c r="W2439" t="b">
        <v>1</v>
      </c>
      <c r="X2439" t="b">
        <f>Validation[[#This Row],[Range1_Low]]&gt;=Validation[[#This Row],[Range1_High]]</f>
        <v>0</v>
      </c>
      <c r="Y2439" s="111" t="s">
        <v>2845</v>
      </c>
    </row>
    <row r="2440" spans="1:25" ht="16.5" thickTop="1" thickBot="1" x14ac:dyDescent="0.3">
      <c r="A2440" t="s">
        <v>54</v>
      </c>
      <c r="B2440" t="s">
        <v>8</v>
      </c>
      <c r="C2440" s="113">
        <v>330</v>
      </c>
      <c r="D2440" s="113">
        <v>1020.01</v>
      </c>
      <c r="E2440">
        <v>1E-3</v>
      </c>
      <c r="F2440" t="s">
        <v>6</v>
      </c>
      <c r="G2440" t="s">
        <v>4</v>
      </c>
      <c r="H2440">
        <v>10</v>
      </c>
      <c r="I2440">
        <v>10.01</v>
      </c>
      <c r="J2440" t="s">
        <v>10</v>
      </c>
      <c r="K2440">
        <v>64</v>
      </c>
      <c r="L2440">
        <v>1</v>
      </c>
      <c r="M2440">
        <v>23.23</v>
      </c>
      <c r="N2440">
        <v>1.0398000000000001</v>
      </c>
      <c r="O2440" t="s">
        <v>2833</v>
      </c>
      <c r="P2440" t="s">
        <v>2833</v>
      </c>
      <c r="Q2440" t="s">
        <v>2833</v>
      </c>
      <c r="R2440">
        <f ca="1">RAND()*(Validation[[#This Row],[Range1_High]]-Validation[[#This Row],[Range1_Low]])+Validation[[#This Row],[Range1_Low]]</f>
        <v>552.57393524270378</v>
      </c>
      <c r="S2440">
        <f>Validation[[#This Row],[Range2_High]]</f>
        <v>10.01</v>
      </c>
      <c r="T2440" t="str" cm="1">
        <f t="array" aca="1" ref="T2440" ca="1">RoundToTwoSigFigs(Validation[[#This Row],[Test Reading]]*Validation[[#This Row],[Mult]]+Validation[[#This Row],[Base]]) &amp;" "&amp;Validation[[#This Row],[Uncert_Units]]</f>
        <v>620 mV</v>
      </c>
      <c r="U2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V2440" t="b">
        <f ca="1">Validation[[#This Row],[Desired Result]]=Validation[[#This Row],[Result]]</f>
        <v>1</v>
      </c>
      <c r="W2440" t="b">
        <v>1</v>
      </c>
      <c r="X2440" t="b">
        <f>Validation[[#This Row],[Range1_Low]]&gt;=Validation[[#This Row],[Range1_High]]</f>
        <v>0</v>
      </c>
      <c r="Y2440" s="111" t="s">
        <v>2843</v>
      </c>
    </row>
    <row r="2441" spans="1:25" ht="16.5" thickTop="1" thickBot="1" x14ac:dyDescent="0.3">
      <c r="A2441" t="s">
        <v>55</v>
      </c>
      <c r="B2441" t="s">
        <v>8</v>
      </c>
      <c r="C2441" s="113">
        <v>1</v>
      </c>
      <c r="D2441" s="113">
        <v>10</v>
      </c>
      <c r="E2441">
        <v>0.01</v>
      </c>
      <c r="F2441" t="s">
        <v>6</v>
      </c>
      <c r="G2441" t="s">
        <v>4</v>
      </c>
      <c r="H2441">
        <v>50</v>
      </c>
      <c r="I2441">
        <v>100</v>
      </c>
      <c r="J2441" t="s">
        <v>10</v>
      </c>
      <c r="K2441">
        <v>5.3091999999999997</v>
      </c>
      <c r="L2441">
        <v>0.59367999999999999</v>
      </c>
      <c r="M2441">
        <v>5.2965</v>
      </c>
      <c r="N2441">
        <v>0.59386000000000005</v>
      </c>
      <c r="O2441" t="s">
        <v>2833</v>
      </c>
      <c r="P2441" t="s">
        <v>2833</v>
      </c>
      <c r="Q2441" t="s">
        <v>2833</v>
      </c>
      <c r="R2441">
        <f ca="1">RAND()*(Validation[[#This Row],[Range1_High]]-Validation[[#This Row],[Range1_Low]])+Validation[[#This Row],[Range1_Low]]</f>
        <v>7.6999351967075906</v>
      </c>
      <c r="S2441">
        <f>Validation[[#This Row],[Range2_High]]</f>
        <v>100</v>
      </c>
      <c r="T2441" t="str" cm="1">
        <f t="array" aca="1" ref="T2441" ca="1">RoundToTwoSigFigs(Validation[[#This Row],[Test Reading]]*Validation[[#This Row],[Mult]]+Validation[[#This Row],[Base]]) &amp;" "&amp;Validation[[#This Row],[Uncert_Units]]</f>
        <v>9.9 mV</v>
      </c>
      <c r="U2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mV</v>
      </c>
      <c r="V2441" t="b">
        <f ca="1">Validation[[#This Row],[Desired Result]]=Validation[[#This Row],[Result]]</f>
        <v>0</v>
      </c>
      <c r="W2441" t="b">
        <v>1</v>
      </c>
      <c r="X2441" t="b">
        <f>Validation[[#This Row],[Range1_Low]]&gt;=Validation[[#This Row],[Range1_High]]</f>
        <v>0</v>
      </c>
      <c r="Y2441" s="111" t="s">
        <v>2843</v>
      </c>
    </row>
    <row r="2442" spans="1:25" ht="16.5" thickTop="1" thickBot="1" x14ac:dyDescent="0.3">
      <c r="A2442" t="s">
        <v>54</v>
      </c>
      <c r="B2442" t="s">
        <v>8</v>
      </c>
      <c r="C2442" s="113">
        <v>330</v>
      </c>
      <c r="D2442" s="113">
        <v>1020.01</v>
      </c>
      <c r="E2442">
        <v>1</v>
      </c>
      <c r="F2442" t="s">
        <v>6</v>
      </c>
      <c r="G2442" t="s">
        <v>4</v>
      </c>
      <c r="H2442">
        <v>10</v>
      </c>
      <c r="I2442">
        <v>10.01</v>
      </c>
      <c r="J2442" t="s">
        <v>10</v>
      </c>
      <c r="K2442">
        <v>5769</v>
      </c>
      <c r="L2442">
        <v>0.12912000000000001</v>
      </c>
      <c r="M2442">
        <v>5769.1</v>
      </c>
      <c r="N2442">
        <v>0.12875</v>
      </c>
      <c r="O2442" t="s">
        <v>2833</v>
      </c>
      <c r="P2442" t="s">
        <v>2833</v>
      </c>
      <c r="Q2442" t="s">
        <v>2833</v>
      </c>
      <c r="R2442">
        <f ca="1">RAND()*(Validation[[#This Row],[Range1_High]]-Validation[[#This Row],[Range1_Low]])+Validation[[#This Row],[Range1_Low]]</f>
        <v>330.79479533107155</v>
      </c>
      <c r="S2442">
        <f>Validation[[#This Row],[Range2_High]]</f>
        <v>10.01</v>
      </c>
      <c r="T2442" t="str" cm="1">
        <f t="array" aca="1" ref="T2442" ca="1">RoundToTwoSigFigs(Validation[[#This Row],[Test Reading]]*Validation[[#This Row],[Mult]]+Validation[[#This Row],[Base]]) &amp;" "&amp;Validation[[#This Row],[Uncert_Units]]</f>
        <v>5800 mV</v>
      </c>
      <c r="U2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2442" t="b">
        <f ca="1">Validation[[#This Row],[Desired Result]]=Validation[[#This Row],[Result]]</f>
        <v>1</v>
      </c>
      <c r="W2442" t="b">
        <v>1</v>
      </c>
      <c r="X2442" t="b">
        <f>Validation[[#This Row],[Range1_Low]]&gt;=Validation[[#This Row],[Range1_High]]</f>
        <v>0</v>
      </c>
      <c r="Y2442" s="111" t="s">
        <v>2843</v>
      </c>
    </row>
    <row r="2443" spans="1:25" ht="16.5" thickTop="1" thickBot="1" x14ac:dyDescent="0.3">
      <c r="A2443" t="s">
        <v>55</v>
      </c>
      <c r="B2443" t="s">
        <v>8</v>
      </c>
      <c r="C2443" s="113">
        <v>100</v>
      </c>
      <c r="D2443" s="113">
        <v>330</v>
      </c>
      <c r="E2443">
        <v>0.1</v>
      </c>
      <c r="F2443" t="s">
        <v>6</v>
      </c>
      <c r="G2443" t="s">
        <v>4</v>
      </c>
      <c r="H2443">
        <v>50</v>
      </c>
      <c r="I2443">
        <v>100</v>
      </c>
      <c r="J2443" t="s">
        <v>10</v>
      </c>
      <c r="K2443">
        <v>24.914000000000001</v>
      </c>
      <c r="L2443">
        <v>3.4942000000000002</v>
      </c>
      <c r="M2443">
        <v>28.927</v>
      </c>
      <c r="N2443">
        <v>3.4523000000000001</v>
      </c>
      <c r="O2443" t="s">
        <v>2833</v>
      </c>
      <c r="P2443" t="s">
        <v>2833</v>
      </c>
      <c r="Q2443" t="s">
        <v>2833</v>
      </c>
      <c r="R2443">
        <f ca="1">RAND()*(Validation[[#This Row],[Range1_High]]-Validation[[#This Row],[Range1_Low]])+Validation[[#This Row],[Range1_Low]]</f>
        <v>230.91073198153677</v>
      </c>
      <c r="S2443">
        <f>Validation[[#This Row],[Range2_High]]</f>
        <v>100</v>
      </c>
      <c r="T2443" t="str" cm="1">
        <f t="array" aca="1" ref="T2443" ca="1">RoundToTwoSigFigs(Validation[[#This Row],[Test Reading]]*Validation[[#This Row],[Mult]]+Validation[[#This Row],[Base]]) &amp;" "&amp;Validation[[#This Row],[Uncert_Units]]</f>
        <v>830 mV</v>
      </c>
      <c r="U2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mV</v>
      </c>
      <c r="V2443" t="b">
        <f ca="1">Validation[[#This Row],[Desired Result]]=Validation[[#This Row],[Result]]</f>
        <v>1</v>
      </c>
      <c r="W2443" t="b">
        <v>1</v>
      </c>
      <c r="X2443" t="b">
        <f>Validation[[#This Row],[Range1_Low]]&gt;=Validation[[#This Row],[Range1_High]]</f>
        <v>0</v>
      </c>
      <c r="Y2443" s="111" t="s">
        <v>2843</v>
      </c>
    </row>
    <row r="2444" spans="1:25" ht="16.5" thickTop="1" thickBot="1" x14ac:dyDescent="0.3">
      <c r="A2444" t="s">
        <v>54</v>
      </c>
      <c r="B2444" t="s">
        <v>8</v>
      </c>
      <c r="C2444">
        <v>33</v>
      </c>
      <c r="D2444">
        <v>330.01</v>
      </c>
      <c r="E2444">
        <v>1</v>
      </c>
      <c r="F2444" t="s">
        <v>6</v>
      </c>
      <c r="G2444" t="s">
        <v>4</v>
      </c>
      <c r="H2444">
        <v>20</v>
      </c>
      <c r="I2444">
        <v>50.01</v>
      </c>
      <c r="J2444" t="s">
        <v>10</v>
      </c>
      <c r="K2444">
        <v>564.6</v>
      </c>
      <c r="L2444">
        <v>0.55034000000000005</v>
      </c>
      <c r="M2444">
        <v>564.55999999999995</v>
      </c>
      <c r="N2444">
        <v>0.55020999999999998</v>
      </c>
      <c r="O2444" t="s">
        <v>2833</v>
      </c>
      <c r="P2444" t="s">
        <v>2833</v>
      </c>
      <c r="Q2444" t="s">
        <v>2833</v>
      </c>
      <c r="R2444">
        <f ca="1">RAND()*(Validation[[#This Row],[Range1_High]]-Validation[[#This Row],[Range1_Low]])+Validation[[#This Row],[Range1_Low]]</f>
        <v>282.24738439494729</v>
      </c>
      <c r="S2444">
        <f>Validation[[#This Row],[Range2_High]]</f>
        <v>50.01</v>
      </c>
      <c r="T2444" t="str" cm="1">
        <f t="array" aca="1" ref="T2444" ca="1">RoundToTwoSigFigs(Validation[[#This Row],[Test Reading]]*Validation[[#This Row],[Mult]]+Validation[[#This Row],[Base]]) &amp;" "&amp;Validation[[#This Row],[Uncert_Units]]</f>
        <v>720 mV</v>
      </c>
      <c r="U2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V2444" t="b">
        <f ca="1">Validation[[#This Row],[Desired Result]]=Validation[[#This Row],[Result]]</f>
        <v>1</v>
      </c>
      <c r="W2444" t="b">
        <v>1</v>
      </c>
      <c r="X2444" t="b">
        <f>Validation[[#This Row],[Range1_Low]]&gt;=Validation[[#This Row],[Range1_High]]</f>
        <v>0</v>
      </c>
      <c r="Y2444" s="111" t="s">
        <v>2845</v>
      </c>
    </row>
    <row r="2445" spans="1:25" ht="16.5" thickTop="1" thickBot="1" x14ac:dyDescent="0.3">
      <c r="A2445" t="s">
        <v>54</v>
      </c>
      <c r="B2445" t="s">
        <v>8</v>
      </c>
      <c r="C2445" s="113">
        <v>330</v>
      </c>
      <c r="D2445" s="113">
        <v>1020.01</v>
      </c>
      <c r="E2445">
        <v>0.1</v>
      </c>
      <c r="F2445" t="s">
        <v>6</v>
      </c>
      <c r="G2445" t="s">
        <v>4</v>
      </c>
      <c r="H2445">
        <v>1</v>
      </c>
      <c r="I2445">
        <v>5.01</v>
      </c>
      <c r="J2445" t="s">
        <v>10</v>
      </c>
      <c r="K2445">
        <v>446.23</v>
      </c>
      <c r="L2445">
        <v>0.66766000000000003</v>
      </c>
      <c r="M2445">
        <v>446.26</v>
      </c>
      <c r="N2445">
        <v>0.66722999999999999</v>
      </c>
      <c r="O2445" t="s">
        <v>2833</v>
      </c>
      <c r="P2445" t="s">
        <v>2833</v>
      </c>
      <c r="Q2445" t="s">
        <v>2833</v>
      </c>
      <c r="R2445">
        <f ca="1">RAND()*(Validation[[#This Row],[Range1_High]]-Validation[[#This Row],[Range1_Low]])+Validation[[#This Row],[Range1_Low]]</f>
        <v>479.81160940783889</v>
      </c>
      <c r="S2445">
        <f>Validation[[#This Row],[Range2_High]]</f>
        <v>5.01</v>
      </c>
      <c r="T2445" t="str" cm="1">
        <f t="array" aca="1" ref="T2445" ca="1">RoundToTwoSigFigs(Validation[[#This Row],[Test Reading]]*Validation[[#This Row],[Mult]]+Validation[[#This Row],[Base]]) &amp;" "&amp;Validation[[#This Row],[Uncert_Units]]</f>
        <v>770 mV</v>
      </c>
      <c r="U2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V2445" t="b">
        <f ca="1">Validation[[#This Row],[Desired Result]]=Validation[[#This Row],[Result]]</f>
        <v>0</v>
      </c>
      <c r="W2445" t="b">
        <v>1</v>
      </c>
      <c r="X2445" t="b">
        <f>Validation[[#This Row],[Range1_Low]]&gt;=Validation[[#This Row],[Range1_High]]</f>
        <v>0</v>
      </c>
      <c r="Y2445" s="111" t="s">
        <v>2843</v>
      </c>
    </row>
    <row r="2446" spans="1:25" ht="16.5" thickTop="1" thickBot="1" x14ac:dyDescent="0.3">
      <c r="A2446" t="s">
        <v>54</v>
      </c>
      <c r="B2446" t="s">
        <v>8</v>
      </c>
      <c r="C2446" s="113">
        <v>3.3</v>
      </c>
      <c r="D2446" s="113">
        <v>33.000999999999998</v>
      </c>
      <c r="E2446">
        <v>0.01</v>
      </c>
      <c r="F2446" t="s">
        <v>6</v>
      </c>
      <c r="G2446" t="s">
        <v>4</v>
      </c>
      <c r="H2446">
        <v>50</v>
      </c>
      <c r="I2446">
        <v>100.01</v>
      </c>
      <c r="J2446" t="s">
        <v>10</v>
      </c>
      <c r="K2446">
        <v>3.8797000000000001</v>
      </c>
      <c r="L2446">
        <v>2.6158000000000001</v>
      </c>
      <c r="M2446">
        <v>3.8711000000000002</v>
      </c>
      <c r="N2446">
        <v>2.6160000000000001</v>
      </c>
      <c r="O2446" t="s">
        <v>2833</v>
      </c>
      <c r="P2446" t="s">
        <v>2833</v>
      </c>
      <c r="Q2446" t="s">
        <v>2833</v>
      </c>
      <c r="R2446">
        <f ca="1">RAND()*(Validation[[#This Row],[Range1_High]]-Validation[[#This Row],[Range1_Low]])+Validation[[#This Row],[Range1_Low]]</f>
        <v>19.771001109139295</v>
      </c>
      <c r="S2446">
        <f>Validation[[#This Row],[Range2_High]]</f>
        <v>100.01</v>
      </c>
      <c r="T2446" t="str" cm="1">
        <f t="array" aca="1" ref="T2446" ca="1">RoundToTwoSigFigs(Validation[[#This Row],[Test Reading]]*Validation[[#This Row],[Mult]]+Validation[[#This Row],[Base]]) &amp;" "&amp;Validation[[#This Row],[Uncert_Units]]</f>
        <v>56 mV</v>
      </c>
      <c r="U2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mV</v>
      </c>
      <c r="V2446" t="b">
        <f ca="1">Validation[[#This Row],[Desired Result]]=Validation[[#This Row],[Result]]</f>
        <v>1</v>
      </c>
      <c r="W2446" t="b">
        <v>1</v>
      </c>
      <c r="X2446" t="b">
        <f>Validation[[#This Row],[Range1_Low]]&gt;=Validation[[#This Row],[Range1_High]]</f>
        <v>0</v>
      </c>
      <c r="Y2446" s="111" t="s">
        <v>2843</v>
      </c>
    </row>
    <row r="2447" spans="1:25" ht="16.5" thickTop="1" thickBot="1" x14ac:dyDescent="0.3">
      <c r="A2447" t="s">
        <v>55</v>
      </c>
      <c r="B2447" t="s">
        <v>8</v>
      </c>
      <c r="C2447" s="113">
        <v>0.01</v>
      </c>
      <c r="D2447" s="113">
        <v>0.1</v>
      </c>
      <c r="E2447">
        <v>1E-8</v>
      </c>
      <c r="F2447" t="s">
        <v>6</v>
      </c>
      <c r="G2447" t="s">
        <v>5</v>
      </c>
      <c r="H2447">
        <v>4000</v>
      </c>
      <c r="I2447">
        <v>8000</v>
      </c>
      <c r="J2447" t="s">
        <v>10</v>
      </c>
      <c r="K2447">
        <v>120</v>
      </c>
      <c r="L2447">
        <v>46000</v>
      </c>
      <c r="M2447">
        <v>92.256</v>
      </c>
      <c r="N2447">
        <v>46261</v>
      </c>
      <c r="O2447" t="s">
        <v>2833</v>
      </c>
      <c r="P2447" t="s">
        <v>2833</v>
      </c>
      <c r="Q2447" t="s">
        <v>2833</v>
      </c>
      <c r="R2447">
        <f ca="1">RAND()*(Validation[[#This Row],[Range1_High]]-Validation[[#This Row],[Range1_Low]])+Validation[[#This Row],[Range1_Low]]</f>
        <v>1.4786061301284639E-2</v>
      </c>
      <c r="S2447">
        <f>Validation[[#This Row],[Range2_High]]</f>
        <v>8000</v>
      </c>
      <c r="T2447" t="str" cm="1">
        <f t="array" aca="1" ref="T2447" ca="1">RoundToTwoSigFigs(Validation[[#This Row],[Test Reading]]*Validation[[#This Row],[Mult]]+Validation[[#This Row],[Base]]) &amp;" "&amp;Validation[[#This Row],[Uncert_Units]]</f>
        <v>800 µV</v>
      </c>
      <c r="U2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µV</v>
      </c>
      <c r="V2447" t="b">
        <f ca="1">Validation[[#This Row],[Desired Result]]=Validation[[#This Row],[Result]]</f>
        <v>0</v>
      </c>
      <c r="W2447" t="b">
        <v>1</v>
      </c>
      <c r="X2447" t="b">
        <f>Validation[[#This Row],[Range1_Low]]&gt;=Validation[[#This Row],[Range1_High]]</f>
        <v>0</v>
      </c>
      <c r="Y2447" s="111" t="s">
        <v>2843</v>
      </c>
    </row>
    <row r="2448" spans="1:25" ht="16.5" thickTop="1" thickBot="1" x14ac:dyDescent="0.3">
      <c r="A2448" t="s">
        <v>55</v>
      </c>
      <c r="B2448" t="s">
        <v>8</v>
      </c>
      <c r="C2448">
        <v>0</v>
      </c>
      <c r="D2448">
        <v>0.01</v>
      </c>
      <c r="E2448">
        <v>1.0000000000000001E-5</v>
      </c>
      <c r="F2448" t="s">
        <v>6</v>
      </c>
      <c r="G2448" t="s">
        <v>5</v>
      </c>
      <c r="H2448">
        <v>50</v>
      </c>
      <c r="I2448">
        <v>100</v>
      </c>
      <c r="J2448" t="s">
        <v>10</v>
      </c>
      <c r="K2448">
        <v>10.061999999999999</v>
      </c>
      <c r="L2448">
        <v>5001.3</v>
      </c>
      <c r="M2448">
        <v>10.045999999999999</v>
      </c>
      <c r="N2448">
        <v>5001.8</v>
      </c>
      <c r="O2448" t="s">
        <v>2833</v>
      </c>
      <c r="P2448" t="s">
        <v>2833</v>
      </c>
      <c r="Q2448" t="s">
        <v>2833</v>
      </c>
      <c r="R2448">
        <f ca="1">RAND()*(Validation[[#This Row],[Range1_High]]-Validation[[#This Row],[Range1_Low]])+Validation[[#This Row],[Range1_Low]]</f>
        <v>5.0010804811283236E-3</v>
      </c>
      <c r="S2448">
        <f>Validation[[#This Row],[Range2_High]]</f>
        <v>100</v>
      </c>
      <c r="T2448" t="str" cm="1">
        <f t="array" aca="1" ref="T2448" ca="1">RoundToTwoSigFigs(Validation[[#This Row],[Test Reading]]*Validation[[#This Row],[Mult]]+Validation[[#This Row],[Base]]) &amp;" "&amp;Validation[[#This Row],[Uncert_Units]]</f>
        <v>35 µV</v>
      </c>
      <c r="U2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µV</v>
      </c>
      <c r="V2448" t="b">
        <f ca="1">Validation[[#This Row],[Desired Result]]=Validation[[#This Row],[Result]]</f>
        <v>1</v>
      </c>
      <c r="W2448" t="b">
        <v>1</v>
      </c>
      <c r="X2448" t="b">
        <f>Validation[[#This Row],[Range1_Low]]&gt;=Validation[[#This Row],[Range1_High]]</f>
        <v>0</v>
      </c>
      <c r="Y2448" s="111" t="s">
        <v>2845</v>
      </c>
    </row>
    <row r="2449" spans="1:25" ht="16.5" thickTop="1" thickBot="1" x14ac:dyDescent="0.3">
      <c r="A2449" t="s">
        <v>55</v>
      </c>
      <c r="B2449" t="s">
        <v>8</v>
      </c>
      <c r="C2449" s="113">
        <v>0.1</v>
      </c>
      <c r="D2449" s="113">
        <v>1</v>
      </c>
      <c r="E2449">
        <v>9.9999999999999995E-7</v>
      </c>
      <c r="F2449" t="s">
        <v>6</v>
      </c>
      <c r="G2449" t="s">
        <v>5</v>
      </c>
      <c r="H2449">
        <v>100</v>
      </c>
      <c r="I2449">
        <v>300</v>
      </c>
      <c r="J2449" t="s">
        <v>10</v>
      </c>
      <c r="K2449">
        <v>120</v>
      </c>
      <c r="L2449">
        <v>3500</v>
      </c>
      <c r="M2449">
        <v>116.47</v>
      </c>
      <c r="N2449">
        <v>3463.3</v>
      </c>
      <c r="O2449" t="s">
        <v>2833</v>
      </c>
      <c r="P2449" t="s">
        <v>2833</v>
      </c>
      <c r="Q2449" t="s">
        <v>2833</v>
      </c>
      <c r="R2449">
        <f ca="1">RAND()*(Validation[[#This Row],[Range1_High]]-Validation[[#This Row],[Range1_Low]])+Validation[[#This Row],[Range1_Low]]</f>
        <v>0.93744783124352571</v>
      </c>
      <c r="S2449">
        <f>Validation[[#This Row],[Range2_High]]</f>
        <v>300</v>
      </c>
      <c r="T2449" t="str" cm="1">
        <f t="array" aca="1" ref="T2449" ca="1">RoundToTwoSigFigs(Validation[[#This Row],[Test Reading]]*Validation[[#This Row],[Mult]]+Validation[[#This Row],[Base]]) &amp;" "&amp;Validation[[#This Row],[Uncert_Units]]</f>
        <v>3400 µV</v>
      </c>
      <c r="U2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µV</v>
      </c>
      <c r="V2449" t="b">
        <f ca="1">Validation[[#This Row],[Desired Result]]=Validation[[#This Row],[Result]]</f>
        <v>1</v>
      </c>
      <c r="W2449" t="b">
        <v>1</v>
      </c>
      <c r="X2449" t="b">
        <f>Validation[[#This Row],[Range1_Low]]&gt;=Validation[[#This Row],[Range1_High]]</f>
        <v>0</v>
      </c>
      <c r="Y2449" s="111" t="s">
        <v>2843</v>
      </c>
    </row>
    <row r="2450" spans="1:25" ht="16.5" thickTop="1" thickBot="1" x14ac:dyDescent="0.3">
      <c r="A2450" t="s">
        <v>55</v>
      </c>
      <c r="B2450" t="s">
        <v>8</v>
      </c>
      <c r="C2450" s="113">
        <v>100</v>
      </c>
      <c r="D2450" s="113">
        <v>330</v>
      </c>
      <c r="E2450">
        <v>0.01</v>
      </c>
      <c r="F2450" t="s">
        <v>6</v>
      </c>
      <c r="G2450" t="s">
        <v>4</v>
      </c>
      <c r="H2450">
        <v>1</v>
      </c>
      <c r="I2450">
        <v>20</v>
      </c>
      <c r="J2450" t="s">
        <v>10</v>
      </c>
      <c r="K2450">
        <v>23</v>
      </c>
      <c r="L2450">
        <v>0.7</v>
      </c>
      <c r="M2450">
        <v>23.291</v>
      </c>
      <c r="N2450">
        <v>0.69333999999999996</v>
      </c>
      <c r="O2450" t="s">
        <v>2833</v>
      </c>
      <c r="P2450" t="s">
        <v>2833</v>
      </c>
      <c r="Q2450" t="s">
        <v>2833</v>
      </c>
      <c r="R2450">
        <f ca="1">RAND()*(Validation[[#This Row],[Range1_High]]-Validation[[#This Row],[Range1_Low]])+Validation[[#This Row],[Range1_Low]]</f>
        <v>299.42065127243262</v>
      </c>
      <c r="S2450">
        <f>Validation[[#This Row],[Range2_High]]</f>
        <v>20</v>
      </c>
      <c r="T2450" t="str" cm="1">
        <f t="array" aca="1" ref="T2450" ca="1">RoundToTwoSigFigs(Validation[[#This Row],[Test Reading]]*Validation[[#This Row],[Mult]]+Validation[[#This Row],[Base]]) &amp;" "&amp;Validation[[#This Row],[Uncert_Units]]</f>
        <v>230 mV</v>
      </c>
      <c r="U2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V2450" t="b">
        <f ca="1">Validation[[#This Row],[Desired Result]]=Validation[[#This Row],[Result]]</f>
        <v>1</v>
      </c>
      <c r="W2450" t="b">
        <v>1</v>
      </c>
      <c r="X2450" t="b">
        <f>Validation[[#This Row],[Range1_Low]]&gt;=Validation[[#This Row],[Range1_High]]</f>
        <v>0</v>
      </c>
      <c r="Y2450" s="111" t="s">
        <v>2843</v>
      </c>
    </row>
    <row r="2451" spans="1:25" ht="16.5" thickTop="1" thickBot="1" x14ac:dyDescent="0.3">
      <c r="A2451" t="s">
        <v>55</v>
      </c>
      <c r="B2451" t="s">
        <v>8</v>
      </c>
      <c r="C2451" s="113">
        <v>1</v>
      </c>
      <c r="D2451" s="113">
        <v>10</v>
      </c>
      <c r="E2451">
        <v>1.0000000000000001E-5</v>
      </c>
      <c r="F2451" t="s">
        <v>6</v>
      </c>
      <c r="G2451" t="s">
        <v>4</v>
      </c>
      <c r="H2451">
        <v>50</v>
      </c>
      <c r="I2451">
        <v>100</v>
      </c>
      <c r="J2451" t="s">
        <v>10</v>
      </c>
      <c r="K2451">
        <v>0.27</v>
      </c>
      <c r="L2451">
        <v>0.93759000000000003</v>
      </c>
      <c r="M2451">
        <v>0.22603999999999999</v>
      </c>
      <c r="N2451">
        <v>0.94120999999999999</v>
      </c>
      <c r="O2451" t="s">
        <v>2833</v>
      </c>
      <c r="P2451" t="s">
        <v>2833</v>
      </c>
      <c r="Q2451" t="s">
        <v>2833</v>
      </c>
      <c r="R2451">
        <f ca="1">RAND()*(Validation[[#This Row],[Range1_High]]-Validation[[#This Row],[Range1_Low]])+Validation[[#This Row],[Range1_Low]]</f>
        <v>3.6028277063206158</v>
      </c>
      <c r="S2451">
        <f>Validation[[#This Row],[Range2_High]]</f>
        <v>100</v>
      </c>
      <c r="T2451" t="str" cm="1">
        <f t="array" aca="1" ref="T2451" ca="1">RoundToTwoSigFigs(Validation[[#This Row],[Test Reading]]*Validation[[#This Row],[Mult]]+Validation[[#This Row],[Base]]) &amp;" "&amp;Validation[[#This Row],[Uncert_Units]]</f>
        <v>3.6 mV</v>
      </c>
      <c r="U2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V2451" t="b">
        <f ca="1">Validation[[#This Row],[Desired Result]]=Validation[[#This Row],[Result]]</f>
        <v>0</v>
      </c>
      <c r="W2451" t="b">
        <v>1</v>
      </c>
      <c r="X2451" t="b">
        <f>Validation[[#This Row],[Range1_Low]]&gt;=Validation[[#This Row],[Range1_High]]</f>
        <v>0</v>
      </c>
      <c r="Y2451" s="111" t="s">
        <v>2843</v>
      </c>
    </row>
    <row r="2452" spans="1:25" ht="16.5" thickTop="1" thickBot="1" x14ac:dyDescent="0.3">
      <c r="A2452" t="s">
        <v>55</v>
      </c>
      <c r="B2452" t="s">
        <v>8</v>
      </c>
      <c r="C2452" s="113">
        <v>1</v>
      </c>
      <c r="D2452" s="113">
        <v>10</v>
      </c>
      <c r="E2452">
        <v>1.0000000000000001E-5</v>
      </c>
      <c r="F2452" t="s">
        <v>6</v>
      </c>
      <c r="G2452" t="s">
        <v>4</v>
      </c>
      <c r="H2452">
        <v>2000</v>
      </c>
      <c r="I2452">
        <v>4000</v>
      </c>
      <c r="J2452" t="s">
        <v>10</v>
      </c>
      <c r="K2452">
        <v>12</v>
      </c>
      <c r="L2452">
        <v>46.037999999999997</v>
      </c>
      <c r="M2452">
        <v>8.06</v>
      </c>
      <c r="N2452">
        <v>46.328000000000003</v>
      </c>
      <c r="O2452" t="s">
        <v>2833</v>
      </c>
      <c r="P2452" t="s">
        <v>2833</v>
      </c>
      <c r="Q2452" t="s">
        <v>2833</v>
      </c>
      <c r="R2452">
        <f ca="1">RAND()*(Validation[[#This Row],[Range1_High]]-Validation[[#This Row],[Range1_Low]])+Validation[[#This Row],[Range1_Low]]</f>
        <v>5.9755030822891664</v>
      </c>
      <c r="S2452">
        <f>Validation[[#This Row],[Range2_High]]</f>
        <v>4000</v>
      </c>
      <c r="T2452" t="str" cm="1">
        <f t="array" aca="1" ref="T2452" ca="1">RoundToTwoSigFigs(Validation[[#This Row],[Test Reading]]*Validation[[#This Row],[Mult]]+Validation[[#This Row],[Base]]) &amp;" "&amp;Validation[[#This Row],[Uncert_Units]]</f>
        <v>290 mV</v>
      </c>
      <c r="U2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V2452" t="b">
        <f ca="1">Validation[[#This Row],[Desired Result]]=Validation[[#This Row],[Result]]</f>
        <v>1</v>
      </c>
      <c r="W2452" t="b">
        <v>1</v>
      </c>
      <c r="X2452" t="b">
        <f>Validation[[#This Row],[Range1_Low]]&gt;=Validation[[#This Row],[Range1_High]]</f>
        <v>0</v>
      </c>
      <c r="Y2452" s="111" t="s">
        <v>2843</v>
      </c>
    </row>
    <row r="2453" spans="1:25" ht="15.75" thickTop="1" x14ac:dyDescent="0.25">
      <c r="A2453" t="s">
        <v>55</v>
      </c>
      <c r="B2453" t="s">
        <v>8</v>
      </c>
      <c r="C2453">
        <v>20</v>
      </c>
      <c r="D2453">
        <v>100</v>
      </c>
      <c r="E2453">
        <v>0.01</v>
      </c>
      <c r="F2453" t="s">
        <v>6</v>
      </c>
      <c r="G2453" t="s">
        <v>4</v>
      </c>
      <c r="H2453">
        <v>1E-3</v>
      </c>
      <c r="I2453">
        <v>0.04</v>
      </c>
      <c r="J2453" t="s">
        <v>10</v>
      </c>
      <c r="K2453">
        <v>6.5042</v>
      </c>
      <c r="L2453">
        <v>0.22022</v>
      </c>
      <c r="M2453">
        <v>6.5015000000000001</v>
      </c>
      <c r="N2453">
        <v>0.22022</v>
      </c>
      <c r="O2453" t="s">
        <v>2833</v>
      </c>
      <c r="P2453" t="s">
        <v>2833</v>
      </c>
      <c r="Q2453" t="s">
        <v>2833</v>
      </c>
      <c r="R2453">
        <f ca="1">RAND()*(Validation[[#This Row],[Range1_High]]-Validation[[#This Row],[Range1_Low]])+Validation[[#This Row],[Range1_Low]]</f>
        <v>76.660285546771945</v>
      </c>
      <c r="S2453">
        <f>Validation[[#This Row],[Range2_High]]</f>
        <v>0.04</v>
      </c>
      <c r="T2453" t="str" cm="1">
        <f t="array" aca="1" ref="T2453" ca="1">RoundToTwoSigFigs(Validation[[#This Row],[Test Reading]]*Validation[[#This Row],[Mult]]+Validation[[#This Row],[Base]]) &amp;" "&amp;Validation[[#This Row],[Uncert_Units]]</f>
        <v>23 mV</v>
      </c>
      <c r="U2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V2453" t="b">
        <f ca="1">Validation[[#This Row],[Desired Result]]=Validation[[#This Row],[Result]]</f>
        <v>1</v>
      </c>
      <c r="W2453" t="b">
        <v>0</v>
      </c>
      <c r="X2453" t="b">
        <f>Validation[[#This Row],[Range1_Low]]&gt;=Validation[[#This Row],[Range1_High]]</f>
        <v>0</v>
      </c>
      <c r="Y2453" s="111" t="s">
        <v>2845</v>
      </c>
    </row>
    <row r="2454" spans="1:25" ht="15.75" thickBot="1" x14ac:dyDescent="0.3">
      <c r="A2454" t="s">
        <v>55</v>
      </c>
      <c r="B2454" t="s">
        <v>8</v>
      </c>
      <c r="C2454">
        <v>0</v>
      </c>
      <c r="D2454">
        <v>0.01</v>
      </c>
      <c r="E2454">
        <v>1E-3</v>
      </c>
      <c r="F2454" t="s">
        <v>6</v>
      </c>
      <c r="G2454" t="s">
        <v>5</v>
      </c>
      <c r="H2454">
        <v>20</v>
      </c>
      <c r="I2454">
        <v>50</v>
      </c>
      <c r="J2454" t="s">
        <v>10</v>
      </c>
      <c r="K2454">
        <v>577.38</v>
      </c>
      <c r="L2454">
        <v>14.459</v>
      </c>
      <c r="M2454">
        <v>577.37</v>
      </c>
      <c r="N2454">
        <v>14.2</v>
      </c>
      <c r="O2454" t="s">
        <v>2833</v>
      </c>
      <c r="P2454" t="s">
        <v>2833</v>
      </c>
      <c r="Q2454" t="s">
        <v>2833</v>
      </c>
      <c r="R2454">
        <f ca="1">RAND()*(Validation[[#This Row],[Range1_High]]-Validation[[#This Row],[Range1_Low]])+Validation[[#This Row],[Range1_Low]]</f>
        <v>7.4957528356494945E-3</v>
      </c>
      <c r="S2454">
        <f>Validation[[#This Row],[Range2_High]]</f>
        <v>50</v>
      </c>
      <c r="T2454" t="str" cm="1">
        <f t="array" aca="1" ref="T2454" ca="1">RoundToTwoSigFigs(Validation[[#This Row],[Test Reading]]*Validation[[#This Row],[Mult]]+Validation[[#This Row],[Base]]) &amp;" "&amp;Validation[[#This Row],[Uncert_Units]]</f>
        <v>580 µV</v>
      </c>
      <c r="U2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V2454" t="b">
        <f ca="1">Validation[[#This Row],[Desired Result]]=Validation[[#This Row],[Result]]</f>
        <v>1</v>
      </c>
      <c r="W2454" t="b">
        <v>0</v>
      </c>
      <c r="X2454" t="b">
        <f>Validation[[#This Row],[Range1_Low]]&gt;=Validation[[#This Row],[Range1_High]]</f>
        <v>0</v>
      </c>
      <c r="Y2454" s="111" t="s">
        <v>2845</v>
      </c>
    </row>
    <row r="2455" spans="1:25" ht="16.5" thickTop="1" thickBot="1" x14ac:dyDescent="0.3">
      <c r="A2455" t="s">
        <v>55</v>
      </c>
      <c r="B2455" t="s">
        <v>8</v>
      </c>
      <c r="C2455" s="113">
        <v>10</v>
      </c>
      <c r="D2455" s="113">
        <v>20</v>
      </c>
      <c r="E2455">
        <v>0.01</v>
      </c>
      <c r="F2455" t="s">
        <v>6</v>
      </c>
      <c r="G2455" t="s">
        <v>4</v>
      </c>
      <c r="H2455">
        <v>1</v>
      </c>
      <c r="I2455">
        <v>20</v>
      </c>
      <c r="J2455" t="s">
        <v>10</v>
      </c>
      <c r="K2455">
        <v>5.7568999999999999</v>
      </c>
      <c r="L2455">
        <v>0.16470000000000001</v>
      </c>
      <c r="M2455">
        <v>5.7573999999999996</v>
      </c>
      <c r="N2455">
        <v>0.16425000000000001</v>
      </c>
      <c r="O2455" t="s">
        <v>2833</v>
      </c>
      <c r="P2455" t="s">
        <v>2833</v>
      </c>
      <c r="Q2455" t="s">
        <v>2833</v>
      </c>
      <c r="R2455">
        <f ca="1">RAND()*(Validation[[#This Row],[Range1_High]]-Validation[[#This Row],[Range1_Low]])+Validation[[#This Row],[Range1_Low]]</f>
        <v>13.889800549861455</v>
      </c>
      <c r="S2455">
        <f>Validation[[#This Row],[Range2_High]]</f>
        <v>20</v>
      </c>
      <c r="T2455" t="str" cm="1">
        <f t="array" aca="1" ref="T2455" ca="1">RoundToTwoSigFigs(Validation[[#This Row],[Test Reading]]*Validation[[#This Row],[Mult]]+Validation[[#This Row],[Base]]) &amp;" "&amp;Validation[[#This Row],[Uncert_Units]]</f>
        <v>8 mV</v>
      </c>
      <c r="U2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mV</v>
      </c>
      <c r="V2455" t="b">
        <f ca="1">Validation[[#This Row],[Desired Result]]=Validation[[#This Row],[Result]]</f>
        <v>0</v>
      </c>
      <c r="W2455" t="b">
        <v>1</v>
      </c>
      <c r="X2455" t="b">
        <f>Validation[[#This Row],[Range1_Low]]&gt;=Validation[[#This Row],[Range1_High]]</f>
        <v>0</v>
      </c>
      <c r="Y2455" s="111" t="s">
        <v>2843</v>
      </c>
    </row>
    <row r="2456" spans="1:25" ht="16.5" thickTop="1" thickBot="1" x14ac:dyDescent="0.3">
      <c r="A2456" t="s">
        <v>55</v>
      </c>
      <c r="B2456" t="s">
        <v>8</v>
      </c>
      <c r="C2456" s="113">
        <v>1</v>
      </c>
      <c r="D2456" s="113">
        <v>10</v>
      </c>
      <c r="E2456">
        <v>1.0000000000000001E-5</v>
      </c>
      <c r="F2456" t="s">
        <v>6</v>
      </c>
      <c r="G2456" t="s">
        <v>4</v>
      </c>
      <c r="H2456">
        <v>1E-3</v>
      </c>
      <c r="I2456">
        <v>0.04</v>
      </c>
      <c r="J2456" t="s">
        <v>10</v>
      </c>
      <c r="K2456">
        <v>0.46</v>
      </c>
      <c r="L2456">
        <v>9.1967999999999994E-2</v>
      </c>
      <c r="M2456">
        <v>0.45057000000000003</v>
      </c>
      <c r="N2456">
        <v>9.2197000000000001E-2</v>
      </c>
      <c r="O2456" t="s">
        <v>2833</v>
      </c>
      <c r="P2456" t="s">
        <v>2833</v>
      </c>
      <c r="Q2456" t="s">
        <v>2833</v>
      </c>
      <c r="R2456">
        <f ca="1">RAND()*(Validation[[#This Row],[Range1_High]]-Validation[[#This Row],[Range1_Low]])+Validation[[#This Row],[Range1_Low]]</f>
        <v>9.0450053510738471</v>
      </c>
      <c r="S2456">
        <f>Validation[[#This Row],[Range2_High]]</f>
        <v>0.04</v>
      </c>
      <c r="T2456" t="str" cm="1">
        <f t="array" aca="1" ref="T2456" ca="1">RoundToTwoSigFigs(Validation[[#This Row],[Test Reading]]*Validation[[#This Row],[Mult]]+Validation[[#This Row],[Base]]) &amp;" "&amp;Validation[[#This Row],[Uncert_Units]]</f>
        <v>1.3 mV</v>
      </c>
      <c r="U2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V2456" t="b">
        <f ca="1">Validation[[#This Row],[Desired Result]]=Validation[[#This Row],[Result]]</f>
        <v>0</v>
      </c>
      <c r="W2456" t="b">
        <v>1</v>
      </c>
      <c r="X2456" t="b">
        <f>Validation[[#This Row],[Range1_Low]]&gt;=Validation[[#This Row],[Range1_High]]</f>
        <v>0</v>
      </c>
      <c r="Y2456" s="111" t="s">
        <v>2843</v>
      </c>
    </row>
    <row r="2457" spans="1:25" ht="16.5" thickTop="1" thickBot="1" x14ac:dyDescent="0.3">
      <c r="A2457" t="s">
        <v>55</v>
      </c>
      <c r="B2457" t="s">
        <v>8</v>
      </c>
      <c r="C2457" s="113">
        <v>100</v>
      </c>
      <c r="D2457" s="113">
        <v>330</v>
      </c>
      <c r="E2457">
        <v>1</v>
      </c>
      <c r="F2457" t="s">
        <v>6</v>
      </c>
      <c r="G2457" t="s">
        <v>4</v>
      </c>
      <c r="H2457">
        <v>1</v>
      </c>
      <c r="I2457">
        <v>20</v>
      </c>
      <c r="J2457" t="s">
        <v>10</v>
      </c>
      <c r="K2457">
        <v>565.1</v>
      </c>
      <c r="L2457">
        <v>0.19691</v>
      </c>
      <c r="M2457">
        <v>565.03</v>
      </c>
      <c r="N2457">
        <v>0.19677</v>
      </c>
      <c r="O2457" t="s">
        <v>2833</v>
      </c>
      <c r="P2457" t="s">
        <v>2833</v>
      </c>
      <c r="Q2457" t="s">
        <v>2833</v>
      </c>
      <c r="R2457" s="100">
        <f ca="1">RAND()*(Validation[[#This Row],[Range1_High]]-Validation[[#This Row],[Range1_Low]])+Validation[[#This Row],[Range1_Low]]</f>
        <v>227.6586935123766</v>
      </c>
      <c r="S2457">
        <f>Validation[[#This Row],[Range2_High]]</f>
        <v>20</v>
      </c>
      <c r="T2457" t="str" cm="1">
        <f t="array" aca="1" ref="T2457" ca="1">RoundToTwoSigFigs(Validation[[#This Row],[Test Reading]]*Validation[[#This Row],[Mult]]+Validation[[#This Row],[Base]]) &amp;" "&amp;Validation[[#This Row],[Uncert_Units]]</f>
        <v>610 mV</v>
      </c>
      <c r="U2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V2457" t="b">
        <f ca="1">Validation[[#This Row],[Desired Result]]=Validation[[#This Row],[Result]]</f>
        <v>0</v>
      </c>
      <c r="W2457" t="b">
        <v>1</v>
      </c>
      <c r="X2457" t="b">
        <f>Validation[[#This Row],[Range1_Low]]&gt;=Validation[[#This Row],[Range1_High]]</f>
        <v>0</v>
      </c>
      <c r="Y2457" s="111" t="s">
        <v>2844</v>
      </c>
    </row>
    <row r="2458" spans="1:25" ht="16.5" thickTop="1" thickBot="1" x14ac:dyDescent="0.3">
      <c r="A2458" t="s">
        <v>55</v>
      </c>
      <c r="B2458" t="s">
        <v>8</v>
      </c>
      <c r="C2458">
        <v>0</v>
      </c>
      <c r="D2458">
        <v>0.01</v>
      </c>
      <c r="E2458">
        <v>9.9999999999999995E-7</v>
      </c>
      <c r="F2458" t="s">
        <v>6</v>
      </c>
      <c r="G2458" t="s">
        <v>5</v>
      </c>
      <c r="H2458">
        <v>1E-3</v>
      </c>
      <c r="I2458">
        <v>0.04</v>
      </c>
      <c r="J2458" t="s">
        <v>10</v>
      </c>
      <c r="K2458">
        <v>4.5</v>
      </c>
      <c r="L2458">
        <v>310.77</v>
      </c>
      <c r="M2458">
        <v>4.4226000000000001</v>
      </c>
      <c r="N2458">
        <v>310.57</v>
      </c>
      <c r="O2458" t="s">
        <v>2833</v>
      </c>
      <c r="P2458" t="s">
        <v>2833</v>
      </c>
      <c r="Q2458" t="s">
        <v>2833</v>
      </c>
      <c r="R2458">
        <f ca="1">RAND()*(Validation[[#This Row],[Range1_High]]-Validation[[#This Row],[Range1_Low]])+Validation[[#This Row],[Range1_Low]]</f>
        <v>2.5998031451879232E-3</v>
      </c>
      <c r="S2458">
        <f>Validation[[#This Row],[Range2_High]]</f>
        <v>0.04</v>
      </c>
      <c r="T2458" t="str" cm="1">
        <f t="array" aca="1" ref="T2458" ca="1">RoundToTwoSigFigs(Validation[[#This Row],[Test Reading]]*Validation[[#This Row],[Mult]]+Validation[[#This Row],[Base]]) &amp;" "&amp;Validation[[#This Row],[Uncert_Units]]</f>
        <v>5.3 µV</v>
      </c>
      <c r="U2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µV</v>
      </c>
      <c r="V2458" t="b">
        <f ca="1">Validation[[#This Row],[Desired Result]]=Validation[[#This Row],[Result]]</f>
        <v>1</v>
      </c>
      <c r="W2458" t="b">
        <v>0</v>
      </c>
      <c r="X2458" t="b">
        <f>Validation[[#This Row],[Range1_Low]]&gt;=Validation[[#This Row],[Range1_High]]</f>
        <v>0</v>
      </c>
      <c r="Y2458" s="111" t="s">
        <v>2845</v>
      </c>
    </row>
    <row r="2459" spans="1:25" ht="16.5" thickTop="1" thickBot="1" x14ac:dyDescent="0.3">
      <c r="A2459" t="s">
        <v>54</v>
      </c>
      <c r="B2459" t="s">
        <v>8</v>
      </c>
      <c r="C2459" s="113">
        <v>0.33</v>
      </c>
      <c r="D2459" s="113">
        <v>3.3001</v>
      </c>
      <c r="E2459">
        <v>1E-4</v>
      </c>
      <c r="F2459" t="s">
        <v>6</v>
      </c>
      <c r="G2459" t="s">
        <v>4</v>
      </c>
      <c r="H2459">
        <v>20</v>
      </c>
      <c r="I2459">
        <v>50.01</v>
      </c>
      <c r="J2459" t="s">
        <v>10</v>
      </c>
      <c r="K2459">
        <v>7.3710999999999999E-2</v>
      </c>
      <c r="L2459">
        <v>1.1548</v>
      </c>
      <c r="M2459">
        <v>7.3371000000000006E-2</v>
      </c>
      <c r="N2459">
        <v>1.1549</v>
      </c>
      <c r="O2459" t="s">
        <v>2833</v>
      </c>
      <c r="P2459" t="s">
        <v>2833</v>
      </c>
      <c r="Q2459" t="s">
        <v>2833</v>
      </c>
      <c r="R2459">
        <f ca="1">RAND()*(Validation[[#This Row],[Range1_High]]-Validation[[#This Row],[Range1_Low]])+Validation[[#This Row],[Range1_Low]]</f>
        <v>0.84019907471743704</v>
      </c>
      <c r="S2459">
        <f>Validation[[#This Row],[Range2_High]]</f>
        <v>50.01</v>
      </c>
      <c r="T2459" t="str" cm="1">
        <f t="array" aca="1" ref="T2459" ca="1">RoundToTwoSigFigs(Validation[[#This Row],[Test Reading]]*Validation[[#This Row],[Mult]]+Validation[[#This Row],[Base]]) &amp;" "&amp;Validation[[#This Row],[Uncert_Units]]</f>
        <v>1 mV</v>
      </c>
      <c r="U2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mV</v>
      </c>
      <c r="V2459" t="b">
        <f ca="1">Validation[[#This Row],[Desired Result]]=Validation[[#This Row],[Result]]</f>
        <v>0</v>
      </c>
      <c r="W2459" t="b">
        <v>1</v>
      </c>
      <c r="X2459" t="b">
        <f>Validation[[#This Row],[Range1_Low]]&gt;=Validation[[#This Row],[Range1_High]]</f>
        <v>0</v>
      </c>
      <c r="Y2459" s="111" t="s">
        <v>2843</v>
      </c>
    </row>
    <row r="2460" spans="1:25" ht="16.5" thickTop="1" thickBot="1" x14ac:dyDescent="0.3">
      <c r="A2460" t="s">
        <v>55</v>
      </c>
      <c r="B2460" t="s">
        <v>8</v>
      </c>
      <c r="C2460" s="113">
        <v>0.01</v>
      </c>
      <c r="D2460" s="113">
        <v>0.1</v>
      </c>
      <c r="E2460">
        <v>1.0000000000000001E-5</v>
      </c>
      <c r="F2460" t="s">
        <v>6</v>
      </c>
      <c r="G2460" t="s">
        <v>5</v>
      </c>
      <c r="H2460">
        <v>2000</v>
      </c>
      <c r="I2460">
        <v>4000</v>
      </c>
      <c r="J2460" t="s">
        <v>10</v>
      </c>
      <c r="K2460">
        <v>110</v>
      </c>
      <c r="L2460">
        <v>46000</v>
      </c>
      <c r="M2460">
        <v>80.808999999999997</v>
      </c>
      <c r="N2460">
        <v>46223</v>
      </c>
      <c r="O2460" t="s">
        <v>2833</v>
      </c>
      <c r="P2460" t="s">
        <v>2833</v>
      </c>
      <c r="Q2460" t="s">
        <v>2833</v>
      </c>
      <c r="R2460">
        <f ca="1">RAND()*(Validation[[#This Row],[Range1_High]]-Validation[[#This Row],[Range1_Low]])+Validation[[#This Row],[Range1_Low]]</f>
        <v>5.174775859717088E-2</v>
      </c>
      <c r="S2460">
        <f>Validation[[#This Row],[Range2_High]]</f>
        <v>4000</v>
      </c>
      <c r="T2460" t="str" cm="1">
        <f t="array" aca="1" ref="T2460" ca="1">RoundToTwoSigFigs(Validation[[#This Row],[Test Reading]]*Validation[[#This Row],[Mult]]+Validation[[#This Row],[Base]]) &amp;" "&amp;Validation[[#This Row],[Uncert_Units]]</f>
        <v>2500 µV</v>
      </c>
      <c r="U2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V2460" t="b">
        <f ca="1">Validation[[#This Row],[Desired Result]]=Validation[[#This Row],[Result]]</f>
        <v>1</v>
      </c>
      <c r="W2460" t="b">
        <v>1</v>
      </c>
      <c r="X2460" t="b">
        <f>Validation[[#This Row],[Range1_Low]]&gt;=Validation[[#This Row],[Range1_High]]</f>
        <v>0</v>
      </c>
      <c r="Y2460" s="111" t="s">
        <v>2843</v>
      </c>
    </row>
    <row r="2461" spans="1:25" ht="15.75" thickTop="1" x14ac:dyDescent="0.25">
      <c r="A2461" t="s">
        <v>55</v>
      </c>
      <c r="B2461" t="s">
        <v>8</v>
      </c>
      <c r="C2461">
        <v>0</v>
      </c>
      <c r="D2461">
        <v>0.01</v>
      </c>
      <c r="E2461">
        <v>1.0000000000000001E-5</v>
      </c>
      <c r="F2461" t="s">
        <v>6</v>
      </c>
      <c r="G2461" t="s">
        <v>5</v>
      </c>
      <c r="H2461">
        <v>300</v>
      </c>
      <c r="I2461">
        <v>1000</v>
      </c>
      <c r="J2461" t="s">
        <v>10</v>
      </c>
      <c r="K2461">
        <v>18</v>
      </c>
      <c r="L2461">
        <v>45403</v>
      </c>
      <c r="M2461">
        <v>13.84</v>
      </c>
      <c r="N2461">
        <v>45406</v>
      </c>
      <c r="O2461" t="s">
        <v>2833</v>
      </c>
      <c r="P2461" t="s">
        <v>2833</v>
      </c>
      <c r="Q2461" t="s">
        <v>2833</v>
      </c>
      <c r="R2461">
        <f ca="1">RAND()*(Validation[[#This Row],[Range1_High]]-Validation[[#This Row],[Range1_Low]])+Validation[[#This Row],[Range1_Low]]</f>
        <v>9.8530601239339554E-3</v>
      </c>
      <c r="S2461">
        <f>Validation[[#This Row],[Range2_High]]</f>
        <v>1000</v>
      </c>
      <c r="T2461" t="str" cm="1">
        <f t="array" aca="1" ref="T2461" ca="1">RoundToTwoSigFigs(Validation[[#This Row],[Test Reading]]*Validation[[#This Row],[Mult]]+Validation[[#This Row],[Base]]) &amp;" "&amp;Validation[[#This Row],[Uncert_Units]]</f>
        <v>470 µV</v>
      </c>
      <c r="U2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µV</v>
      </c>
      <c r="V2461" t="b">
        <f ca="1">Validation[[#This Row],[Desired Result]]=Validation[[#This Row],[Result]]</f>
        <v>1</v>
      </c>
      <c r="W2461" t="b">
        <v>0</v>
      </c>
      <c r="X2461" t="b">
        <f>Validation[[#This Row],[Range1_Low]]&gt;=Validation[[#This Row],[Range1_High]]</f>
        <v>0</v>
      </c>
      <c r="Y2461" s="111" t="s">
        <v>2845</v>
      </c>
    </row>
    <row r="2462" spans="1:25" x14ac:dyDescent="0.25">
      <c r="A2462" t="s">
        <v>54</v>
      </c>
      <c r="B2462" t="s">
        <v>8</v>
      </c>
      <c r="C2462">
        <v>0</v>
      </c>
      <c r="D2462">
        <v>3.3009999999999998E-2</v>
      </c>
      <c r="E2462">
        <v>1.0000000000000001E-5</v>
      </c>
      <c r="F2462" t="s">
        <v>6</v>
      </c>
      <c r="G2462" t="s">
        <v>5</v>
      </c>
      <c r="H2462">
        <v>10</v>
      </c>
      <c r="I2462">
        <v>20.010000000000002</v>
      </c>
      <c r="J2462" t="s">
        <v>10</v>
      </c>
      <c r="K2462">
        <v>25</v>
      </c>
      <c r="L2462">
        <v>1718.2</v>
      </c>
      <c r="M2462">
        <v>23.853999999999999</v>
      </c>
      <c r="N2462">
        <v>1717.9</v>
      </c>
      <c r="O2462" t="s">
        <v>2833</v>
      </c>
      <c r="P2462" t="s">
        <v>2833</v>
      </c>
      <c r="Q2462" t="s">
        <v>2833</v>
      </c>
      <c r="R2462">
        <f ca="1">RAND()*(Validation[[#This Row],[Range1_High]]-Validation[[#This Row],[Range1_Low]])+Validation[[#This Row],[Range1_Low]]</f>
        <v>7.6219523848342552E-3</v>
      </c>
      <c r="S2462">
        <f>Validation[[#This Row],[Range2_High]]</f>
        <v>20.010000000000002</v>
      </c>
      <c r="T2462" t="str" cm="1">
        <f t="array" aca="1" ref="T2462" ca="1">RoundToTwoSigFigs(Validation[[#This Row],[Test Reading]]*Validation[[#This Row],[Mult]]+Validation[[#This Row],[Base]]) &amp;" "&amp;Validation[[#This Row],[Uncert_Units]]</f>
        <v>38 µV</v>
      </c>
      <c r="U2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V2462" t="b">
        <f ca="1">Validation[[#This Row],[Desired Result]]=Validation[[#This Row],[Result]]</f>
        <v>1</v>
      </c>
      <c r="W2462" t="b">
        <v>0</v>
      </c>
      <c r="X2462" t="b">
        <f>Validation[[#This Row],[Range1_Low]]&gt;=Validation[[#This Row],[Range1_High]]</f>
        <v>0</v>
      </c>
      <c r="Y2462" s="111" t="s">
        <v>2845</v>
      </c>
    </row>
    <row r="2463" spans="1:25" ht="15.75" thickBot="1" x14ac:dyDescent="0.3">
      <c r="A2463" t="s">
        <v>55</v>
      </c>
      <c r="B2463" t="s">
        <v>8</v>
      </c>
      <c r="C2463">
        <v>10</v>
      </c>
      <c r="D2463">
        <v>20</v>
      </c>
      <c r="E2463">
        <v>1</v>
      </c>
      <c r="F2463" t="s">
        <v>6</v>
      </c>
      <c r="G2463" t="s">
        <v>4</v>
      </c>
      <c r="H2463">
        <v>50</v>
      </c>
      <c r="I2463">
        <v>100</v>
      </c>
      <c r="J2463" t="s">
        <v>10</v>
      </c>
      <c r="K2463">
        <v>577.03</v>
      </c>
      <c r="L2463">
        <v>5.5989999999999998E-2</v>
      </c>
      <c r="M2463">
        <v>572.42999999999995</v>
      </c>
      <c r="N2463">
        <v>5.5786000000000002E-2</v>
      </c>
      <c r="O2463" t="s">
        <v>2833</v>
      </c>
      <c r="P2463" t="s">
        <v>2833</v>
      </c>
      <c r="Q2463" t="s">
        <v>2833</v>
      </c>
      <c r="R2463">
        <f ca="1">RAND()*(Validation[[#This Row],[Range1_High]]-Validation[[#This Row],[Range1_Low]])+Validation[[#This Row],[Range1_Low]]</f>
        <v>12.011995749882853</v>
      </c>
      <c r="S2463">
        <f>Validation[[#This Row],[Range2_High]]</f>
        <v>100</v>
      </c>
      <c r="T2463" t="str" cm="1">
        <f t="array" aca="1" ref="T2463" ca="1">RoundToTwoSigFigs(Validation[[#This Row],[Test Reading]]*Validation[[#This Row],[Mult]]+Validation[[#This Row],[Base]]) &amp;" "&amp;Validation[[#This Row],[Uncert_Units]]</f>
        <v>580 mV</v>
      </c>
      <c r="U2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V2463" t="b">
        <f ca="1">Validation[[#This Row],[Desired Result]]=Validation[[#This Row],[Result]]</f>
        <v>1</v>
      </c>
      <c r="W2463" t="b">
        <v>0</v>
      </c>
      <c r="X2463" t="b">
        <f>Validation[[#This Row],[Range1_Low]]&gt;=Validation[[#This Row],[Range1_High]]</f>
        <v>0</v>
      </c>
      <c r="Y2463" s="111" t="s">
        <v>2845</v>
      </c>
    </row>
    <row r="2464" spans="1:25" ht="16.5" thickTop="1" thickBot="1" x14ac:dyDescent="0.3">
      <c r="A2464" t="s">
        <v>55</v>
      </c>
      <c r="B2464" t="s">
        <v>8</v>
      </c>
      <c r="C2464" s="113">
        <v>0.1</v>
      </c>
      <c r="D2464" s="113">
        <v>1</v>
      </c>
      <c r="E2464">
        <v>1E-3</v>
      </c>
      <c r="F2464" t="s">
        <v>6</v>
      </c>
      <c r="G2464" t="s">
        <v>4</v>
      </c>
      <c r="H2464">
        <v>8000</v>
      </c>
      <c r="I2464">
        <v>10000</v>
      </c>
      <c r="J2464" t="s">
        <v>10</v>
      </c>
      <c r="K2464">
        <v>4.5999999999999996</v>
      </c>
      <c r="L2464">
        <v>170.12</v>
      </c>
      <c r="M2464">
        <v>1.1559999999999999</v>
      </c>
      <c r="N2464">
        <v>173.35</v>
      </c>
      <c r="O2464" t="s">
        <v>2833</v>
      </c>
      <c r="P2464" t="s">
        <v>2833</v>
      </c>
      <c r="Q2464" t="s">
        <v>2833</v>
      </c>
      <c r="R2464">
        <f ca="1">RAND()*(Validation[[#This Row],[Range1_High]]-Validation[[#This Row],[Range1_Low]])+Validation[[#This Row],[Range1_Low]]</f>
        <v>0.66859657451421384</v>
      </c>
      <c r="S2464">
        <f>Validation[[#This Row],[Range2_High]]</f>
        <v>10000</v>
      </c>
      <c r="T2464" t="str" cm="1">
        <f t="array" aca="1" ref="T2464" ca="1">RoundToTwoSigFigs(Validation[[#This Row],[Test Reading]]*Validation[[#This Row],[Mult]]+Validation[[#This Row],[Base]]) &amp;" "&amp;Validation[[#This Row],[Uncert_Units]]</f>
        <v>120 mV</v>
      </c>
      <c r="U2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V2464" t="b">
        <f ca="1">Validation[[#This Row],[Desired Result]]=Validation[[#This Row],[Result]]</f>
        <v>1</v>
      </c>
      <c r="W2464" t="b">
        <v>1</v>
      </c>
      <c r="X2464" t="b">
        <f>Validation[[#This Row],[Range1_Low]]&gt;=Validation[[#This Row],[Range1_High]]</f>
        <v>0</v>
      </c>
      <c r="Y2464" s="111" t="s">
        <v>2843</v>
      </c>
    </row>
    <row r="2465" spans="1:25" ht="16.5" thickTop="1" thickBot="1" x14ac:dyDescent="0.3">
      <c r="A2465" t="s">
        <v>55</v>
      </c>
      <c r="B2465" t="s">
        <v>8</v>
      </c>
      <c r="C2465" s="113">
        <v>100</v>
      </c>
      <c r="D2465" s="113">
        <v>330</v>
      </c>
      <c r="E2465">
        <v>0.1</v>
      </c>
      <c r="F2465" t="s">
        <v>6</v>
      </c>
      <c r="G2465" t="s">
        <v>4</v>
      </c>
      <c r="H2465">
        <v>0.04</v>
      </c>
      <c r="I2465">
        <v>1</v>
      </c>
      <c r="J2465" t="s">
        <v>10</v>
      </c>
      <c r="K2465">
        <v>49.031999999999996</v>
      </c>
      <c r="L2465">
        <v>0.41284999999999999</v>
      </c>
      <c r="M2465">
        <v>48.982999999999997</v>
      </c>
      <c r="N2465">
        <v>0.41271000000000002</v>
      </c>
      <c r="O2465" t="s">
        <v>2833</v>
      </c>
      <c r="P2465" t="s">
        <v>2833</v>
      </c>
      <c r="Q2465" t="s">
        <v>2833</v>
      </c>
      <c r="R2465">
        <f ca="1">RAND()*(Validation[[#This Row],[Range1_High]]-Validation[[#This Row],[Range1_Low]])+Validation[[#This Row],[Range1_Low]]</f>
        <v>111.15025532733033</v>
      </c>
      <c r="S2465">
        <f>Validation[[#This Row],[Range2_High]]</f>
        <v>1</v>
      </c>
      <c r="T2465" t="str" cm="1">
        <f t="array" aca="1" ref="T2465" ca="1">RoundToTwoSigFigs(Validation[[#This Row],[Test Reading]]*Validation[[#This Row],[Mult]]+Validation[[#This Row],[Base]]) &amp;" "&amp;Validation[[#This Row],[Uncert_Units]]</f>
        <v>95 mV</v>
      </c>
      <c r="U2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V2465" t="b">
        <f ca="1">Validation[[#This Row],[Desired Result]]=Validation[[#This Row],[Result]]</f>
        <v>0</v>
      </c>
      <c r="W2465" t="b">
        <v>1</v>
      </c>
      <c r="X2465" t="b">
        <f>Validation[[#This Row],[Range1_Low]]&gt;=Validation[[#This Row],[Range1_High]]</f>
        <v>0</v>
      </c>
      <c r="Y2465" s="111" t="s">
        <v>2843</v>
      </c>
    </row>
    <row r="2466" spans="1:25" ht="16.5" thickTop="1" thickBot="1" x14ac:dyDescent="0.3">
      <c r="A2466" t="s">
        <v>68</v>
      </c>
      <c r="B2466" t="s">
        <v>8</v>
      </c>
      <c r="C2466" s="113">
        <v>0.1</v>
      </c>
      <c r="D2466" s="113">
        <v>1</v>
      </c>
      <c r="E2466">
        <v>1E-4</v>
      </c>
      <c r="F2466" t="s">
        <v>6</v>
      </c>
      <c r="G2466" t="s">
        <v>5</v>
      </c>
      <c r="H2466">
        <v>2</v>
      </c>
      <c r="I2466">
        <v>20</v>
      </c>
      <c r="J2466" t="s">
        <v>10</v>
      </c>
      <c r="K2466">
        <v>850</v>
      </c>
      <c r="L2466">
        <v>1737.8</v>
      </c>
      <c r="M2466">
        <v>810.33</v>
      </c>
      <c r="N2466">
        <v>1737.8</v>
      </c>
      <c r="O2466" t="s">
        <v>2833</v>
      </c>
      <c r="P2466" t="s">
        <v>2833</v>
      </c>
      <c r="Q2466" t="s">
        <v>2833</v>
      </c>
      <c r="R2466">
        <f ca="1">RAND()*(Validation[[#This Row],[Range1_High]]-Validation[[#This Row],[Range1_Low]])+Validation[[#This Row],[Range1_Low]]</f>
        <v>0.2756231424245742</v>
      </c>
      <c r="S2466">
        <f>Validation[[#This Row],[Range2_High]]</f>
        <v>20</v>
      </c>
      <c r="T2466" t="str" cm="1">
        <f t="array" aca="1" ref="T2466" ca="1">RoundToTwoSigFigs(Validation[[#This Row],[Test Reading]]*Validation[[#This Row],[Mult]]+Validation[[#This Row],[Base]]) &amp;" "&amp;Validation[[#This Row],[Uncert_Units]]</f>
        <v>1300 µV</v>
      </c>
      <c r="U2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V2466" t="b">
        <f ca="1">Validation[[#This Row],[Desired Result]]=Validation[[#This Row],[Result]]</f>
        <v>1</v>
      </c>
      <c r="W2466" t="b">
        <v>1</v>
      </c>
      <c r="X2466" t="b">
        <f>Validation[[#This Row],[Range1_Low]]&gt;=Validation[[#This Row],[Range1_High]]</f>
        <v>0</v>
      </c>
      <c r="Y2466" s="111" t="s">
        <v>2843</v>
      </c>
    </row>
    <row r="2467" spans="1:25" ht="16.5" thickTop="1" thickBot="1" x14ac:dyDescent="0.3">
      <c r="A2467" t="s">
        <v>55</v>
      </c>
      <c r="B2467" t="s">
        <v>8</v>
      </c>
      <c r="C2467" s="113">
        <v>10</v>
      </c>
      <c r="D2467" s="113">
        <v>20</v>
      </c>
      <c r="E2467">
        <v>1.0000000000000001E-5</v>
      </c>
      <c r="F2467" t="s">
        <v>6</v>
      </c>
      <c r="G2467" t="s">
        <v>4</v>
      </c>
      <c r="H2467">
        <v>1E-3</v>
      </c>
      <c r="I2467">
        <v>0.04</v>
      </c>
      <c r="J2467" t="s">
        <v>10</v>
      </c>
      <c r="K2467">
        <v>4.7</v>
      </c>
      <c r="L2467">
        <v>0.23</v>
      </c>
      <c r="M2467">
        <v>4.6185999999999998</v>
      </c>
      <c r="N2467">
        <v>0.23291000000000001</v>
      </c>
      <c r="O2467" t="s">
        <v>2833</v>
      </c>
      <c r="P2467" t="s">
        <v>2833</v>
      </c>
      <c r="Q2467" t="s">
        <v>2833</v>
      </c>
      <c r="R2467">
        <f ca="1">RAND()*(Validation[[#This Row],[Range1_High]]-Validation[[#This Row],[Range1_Low]])+Validation[[#This Row],[Range1_Low]]</f>
        <v>17.37117788950302</v>
      </c>
      <c r="S2467">
        <f>Validation[[#This Row],[Range2_High]]</f>
        <v>0.04</v>
      </c>
      <c r="T2467" t="str" cm="1">
        <f t="array" aca="1" ref="T2467" ca="1">RoundToTwoSigFigs(Validation[[#This Row],[Test Reading]]*Validation[[#This Row],[Mult]]+Validation[[#This Row],[Base]]) &amp;" "&amp;Validation[[#This Row],[Uncert_Units]]</f>
        <v>8.7 mV</v>
      </c>
      <c r="U2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mV</v>
      </c>
      <c r="V2467" t="b">
        <f ca="1">Validation[[#This Row],[Desired Result]]=Validation[[#This Row],[Result]]</f>
        <v>1</v>
      </c>
      <c r="W2467" t="b">
        <v>1</v>
      </c>
      <c r="X2467" t="b">
        <f>Validation[[#This Row],[Range1_Low]]&gt;=Validation[[#This Row],[Range1_High]]</f>
        <v>0</v>
      </c>
      <c r="Y2467" s="111" t="s">
        <v>2843</v>
      </c>
    </row>
    <row r="2468" spans="1:25" ht="16.5" thickTop="1" thickBot="1" x14ac:dyDescent="0.3">
      <c r="A2468" t="s">
        <v>54</v>
      </c>
      <c r="B2468" t="s">
        <v>8</v>
      </c>
      <c r="C2468" s="113">
        <v>3.3000000000000002E-2</v>
      </c>
      <c r="D2468" s="113">
        <v>0.33001000000000003</v>
      </c>
      <c r="E2468">
        <v>9.9999999999999995E-7</v>
      </c>
      <c r="F2468" t="s">
        <v>6</v>
      </c>
      <c r="G2468" t="s">
        <v>5</v>
      </c>
      <c r="H2468">
        <v>50</v>
      </c>
      <c r="I2468">
        <v>100.01</v>
      </c>
      <c r="J2468" t="s">
        <v>10</v>
      </c>
      <c r="K2468">
        <v>200</v>
      </c>
      <c r="L2468">
        <v>2700</v>
      </c>
      <c r="M2468">
        <v>196.5</v>
      </c>
      <c r="N2468">
        <v>2656.4</v>
      </c>
      <c r="O2468" t="s">
        <v>2833</v>
      </c>
      <c r="P2468" t="s">
        <v>2833</v>
      </c>
      <c r="Q2468" t="s">
        <v>2833</v>
      </c>
      <c r="R2468">
        <f ca="1">RAND()*(Validation[[#This Row],[Range1_High]]-Validation[[#This Row],[Range1_Low]])+Validation[[#This Row],[Range1_Low]]</f>
        <v>6.2765001144382965E-2</v>
      </c>
      <c r="S2468">
        <f>Validation[[#This Row],[Range2_High]]</f>
        <v>100.01</v>
      </c>
      <c r="T2468" t="str" cm="1">
        <f t="array" aca="1" ref="T2468" ca="1">RoundToTwoSigFigs(Validation[[#This Row],[Test Reading]]*Validation[[#This Row],[Mult]]+Validation[[#This Row],[Base]]) &amp;" "&amp;Validation[[#This Row],[Uncert_Units]]</f>
        <v>370 µV</v>
      </c>
      <c r="U2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V2468" t="b">
        <f ca="1">Validation[[#This Row],[Desired Result]]=Validation[[#This Row],[Result]]</f>
        <v>1</v>
      </c>
      <c r="W2468" t="b">
        <v>1</v>
      </c>
      <c r="X2468" t="b">
        <f>Validation[[#This Row],[Range1_Low]]&gt;=Validation[[#This Row],[Range1_High]]</f>
        <v>0</v>
      </c>
      <c r="Y2468" s="111" t="s">
        <v>2843</v>
      </c>
    </row>
    <row r="2469" spans="1:25" ht="16.5" thickTop="1" thickBot="1" x14ac:dyDescent="0.3">
      <c r="A2469" t="s">
        <v>54</v>
      </c>
      <c r="B2469" t="s">
        <v>8</v>
      </c>
      <c r="C2469">
        <v>33</v>
      </c>
      <c r="D2469">
        <v>330.01</v>
      </c>
      <c r="E2469">
        <v>10</v>
      </c>
      <c r="F2469" t="s">
        <v>6</v>
      </c>
      <c r="G2469" t="s">
        <v>4</v>
      </c>
      <c r="H2469">
        <v>0.01</v>
      </c>
      <c r="I2469">
        <v>4.5010000000000001E-2</v>
      </c>
      <c r="J2469" t="s">
        <v>10</v>
      </c>
      <c r="K2469">
        <v>5799.7</v>
      </c>
      <c r="L2469">
        <v>1.0862E-2</v>
      </c>
      <c r="M2469">
        <v>5799.7</v>
      </c>
      <c r="N2469">
        <v>1.0822E-2</v>
      </c>
      <c r="O2469" t="s">
        <v>2833</v>
      </c>
      <c r="P2469" t="s">
        <v>2833</v>
      </c>
      <c r="Q2469" t="s">
        <v>2833</v>
      </c>
      <c r="R2469">
        <f ca="1">RAND()*(Validation[[#This Row],[Range1_High]]-Validation[[#This Row],[Range1_Low]])+Validation[[#This Row],[Range1_Low]]</f>
        <v>250.18161021228894</v>
      </c>
      <c r="S2469">
        <f>Validation[[#This Row],[Range2_High]]</f>
        <v>4.5010000000000001E-2</v>
      </c>
      <c r="T2469" t="str" cm="1">
        <f t="array" aca="1" ref="T2469" ca="1">RoundToTwoSigFigs(Validation[[#This Row],[Test Reading]]*Validation[[#This Row],[Mult]]+Validation[[#This Row],[Base]]) &amp;" "&amp;Validation[[#This Row],[Uncert_Units]]</f>
        <v>5800 mV</v>
      </c>
      <c r="U2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V2469" t="b">
        <f ca="1">Validation[[#This Row],[Desired Result]]=Validation[[#This Row],[Result]]</f>
        <v>1</v>
      </c>
      <c r="W2469" t="b">
        <v>0</v>
      </c>
      <c r="X2469" t="b">
        <f>Validation[[#This Row],[Range1_Low]]&gt;=Validation[[#This Row],[Range1_High]]</f>
        <v>0</v>
      </c>
      <c r="Y2469" s="111" t="s">
        <v>2845</v>
      </c>
    </row>
    <row r="2470" spans="1:25" ht="16.5" thickTop="1" thickBot="1" x14ac:dyDescent="0.3">
      <c r="A2470" t="s">
        <v>55</v>
      </c>
      <c r="B2470" t="s">
        <v>8</v>
      </c>
      <c r="C2470" s="113">
        <v>100</v>
      </c>
      <c r="D2470" s="113">
        <v>330</v>
      </c>
      <c r="E2470">
        <v>1E-3</v>
      </c>
      <c r="F2470" t="s">
        <v>6</v>
      </c>
      <c r="G2470" t="s">
        <v>4</v>
      </c>
      <c r="H2470">
        <v>20</v>
      </c>
      <c r="I2470">
        <v>50</v>
      </c>
      <c r="J2470" t="s">
        <v>10</v>
      </c>
      <c r="K2470">
        <v>23</v>
      </c>
      <c r="L2470">
        <v>1.4</v>
      </c>
      <c r="M2470">
        <v>23.053999999999998</v>
      </c>
      <c r="N2470">
        <v>1.3878999999999999</v>
      </c>
      <c r="O2470" t="s">
        <v>2833</v>
      </c>
      <c r="P2470" t="s">
        <v>2833</v>
      </c>
      <c r="Q2470" t="s">
        <v>2833</v>
      </c>
      <c r="R2470">
        <f ca="1">RAND()*(Validation[[#This Row],[Range1_High]]-Validation[[#This Row],[Range1_Low]])+Validation[[#This Row],[Range1_Low]]</f>
        <v>326.09883245322828</v>
      </c>
      <c r="S2470">
        <f>Validation[[#This Row],[Range2_High]]</f>
        <v>50</v>
      </c>
      <c r="T2470" t="str" cm="1">
        <f t="array" aca="1" ref="T2470" ca="1">RoundToTwoSigFigs(Validation[[#This Row],[Test Reading]]*Validation[[#This Row],[Mult]]+Validation[[#This Row],[Base]]) &amp;" "&amp;Validation[[#This Row],[Uncert_Units]]</f>
        <v>480 mV</v>
      </c>
      <c r="U2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V2470" t="b">
        <f ca="1">Validation[[#This Row],[Desired Result]]=Validation[[#This Row],[Result]]</f>
        <v>0</v>
      </c>
      <c r="W2470" t="b">
        <v>1</v>
      </c>
      <c r="X2470" t="b">
        <f>Validation[[#This Row],[Range1_Low]]&gt;=Validation[[#This Row],[Range1_High]]</f>
        <v>0</v>
      </c>
      <c r="Y2470" s="111" t="s">
        <v>2843</v>
      </c>
    </row>
    <row r="2471" spans="1:25" ht="16.5" thickTop="1" thickBot="1" x14ac:dyDescent="0.3">
      <c r="A2471" t="s">
        <v>55</v>
      </c>
      <c r="B2471" t="s">
        <v>8</v>
      </c>
      <c r="C2471">
        <v>0</v>
      </c>
      <c r="D2471">
        <v>0.01</v>
      </c>
      <c r="E2471">
        <v>9.9999999999999995E-8</v>
      </c>
      <c r="F2471" t="s">
        <v>6</v>
      </c>
      <c r="G2471" t="s">
        <v>5</v>
      </c>
      <c r="H2471">
        <v>4000</v>
      </c>
      <c r="I2471">
        <v>8000</v>
      </c>
      <c r="J2471" t="s">
        <v>10</v>
      </c>
      <c r="K2471">
        <v>31</v>
      </c>
      <c r="L2471">
        <v>228990</v>
      </c>
      <c r="M2471">
        <v>30.12</v>
      </c>
      <c r="N2471">
        <v>228890</v>
      </c>
      <c r="O2471" t="s">
        <v>2833</v>
      </c>
      <c r="P2471" t="s">
        <v>2833</v>
      </c>
      <c r="Q2471" t="s">
        <v>2833</v>
      </c>
      <c r="R2471">
        <f ca="1">RAND()*(Validation[[#This Row],[Range1_High]]-Validation[[#This Row],[Range1_Low]])+Validation[[#This Row],[Range1_Low]]</f>
        <v>8.1694233311100685E-3</v>
      </c>
      <c r="S2471">
        <f>Validation[[#This Row],[Range2_High]]</f>
        <v>8000</v>
      </c>
      <c r="T2471" t="str" cm="1">
        <f t="array" aca="1" ref="T2471" ca="1">RoundToTwoSigFigs(Validation[[#This Row],[Test Reading]]*Validation[[#This Row],[Mult]]+Validation[[#This Row],[Base]]) &amp;" "&amp;Validation[[#This Row],[Uncert_Units]]</f>
        <v>1900 µV</v>
      </c>
      <c r="U2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V2471" t="b">
        <f ca="1">Validation[[#This Row],[Desired Result]]=Validation[[#This Row],[Result]]</f>
        <v>1</v>
      </c>
      <c r="W2471" t="b">
        <v>1</v>
      </c>
      <c r="X2471" t="b">
        <f>Validation[[#This Row],[Range1_Low]]&gt;=Validation[[#This Row],[Range1_High]]</f>
        <v>0</v>
      </c>
      <c r="Y2471" s="111" t="s">
        <v>2845</v>
      </c>
    </row>
    <row r="2472" spans="1:25" ht="16.5" thickTop="1" thickBot="1" x14ac:dyDescent="0.3">
      <c r="A2472" t="s">
        <v>55</v>
      </c>
      <c r="B2472" t="s">
        <v>8</v>
      </c>
      <c r="C2472" s="113">
        <v>1</v>
      </c>
      <c r="D2472" s="113">
        <v>10</v>
      </c>
      <c r="E2472">
        <v>1E-4</v>
      </c>
      <c r="F2472" t="s">
        <v>6</v>
      </c>
      <c r="G2472" t="s">
        <v>4</v>
      </c>
      <c r="H2472">
        <v>1</v>
      </c>
      <c r="I2472">
        <v>20</v>
      </c>
      <c r="J2472" t="s">
        <v>10</v>
      </c>
      <c r="K2472">
        <v>0.28000000000000003</v>
      </c>
      <c r="L2472">
        <v>0.16156000000000001</v>
      </c>
      <c r="M2472">
        <v>0.23294999999999999</v>
      </c>
      <c r="N2472">
        <v>0.16397</v>
      </c>
      <c r="O2472" t="s">
        <v>2833</v>
      </c>
      <c r="P2472" t="s">
        <v>2833</v>
      </c>
      <c r="Q2472" t="s">
        <v>2833</v>
      </c>
      <c r="R2472">
        <f ca="1">RAND()*(Validation[[#This Row],[Range1_High]]-Validation[[#This Row],[Range1_Low]])+Validation[[#This Row],[Range1_Low]]</f>
        <v>1.6058675745668411</v>
      </c>
      <c r="S2472">
        <f>Validation[[#This Row],[Range2_High]]</f>
        <v>20</v>
      </c>
      <c r="T2472" t="str" cm="1">
        <f t="array" aca="1" ref="T2472" ca="1">RoundToTwoSigFigs(Validation[[#This Row],[Test Reading]]*Validation[[#This Row],[Mult]]+Validation[[#This Row],[Base]]) &amp;" "&amp;Validation[[#This Row],[Uncert_Units]]</f>
        <v>0.54 mV</v>
      </c>
      <c r="U2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mV</v>
      </c>
      <c r="V2472" t="b">
        <f ca="1">Validation[[#This Row],[Desired Result]]=Validation[[#This Row],[Result]]</f>
        <v>1</v>
      </c>
      <c r="W2472" t="b">
        <v>1</v>
      </c>
      <c r="X2472" t="b">
        <f>Validation[[#This Row],[Range1_Low]]&gt;=Validation[[#This Row],[Range1_High]]</f>
        <v>0</v>
      </c>
      <c r="Y2472" s="111" t="s">
        <v>2843</v>
      </c>
    </row>
    <row r="2473" spans="1:25" ht="16.5" thickTop="1" thickBot="1" x14ac:dyDescent="0.3">
      <c r="A2473" t="s">
        <v>55</v>
      </c>
      <c r="B2473" t="s">
        <v>8</v>
      </c>
      <c r="C2473" s="113">
        <v>0.01</v>
      </c>
      <c r="D2473" s="113">
        <v>0.1</v>
      </c>
      <c r="E2473">
        <v>9.9999999999999995E-8</v>
      </c>
      <c r="F2473" t="s">
        <v>6</v>
      </c>
      <c r="G2473" t="s">
        <v>5</v>
      </c>
      <c r="H2473">
        <v>50</v>
      </c>
      <c r="I2473">
        <v>100</v>
      </c>
      <c r="J2473" t="s">
        <v>10</v>
      </c>
      <c r="K2473">
        <v>6</v>
      </c>
      <c r="L2473">
        <v>906.02</v>
      </c>
      <c r="M2473">
        <v>5.9729999999999999</v>
      </c>
      <c r="N2473">
        <v>906.03</v>
      </c>
      <c r="O2473" t="s">
        <v>2833</v>
      </c>
      <c r="P2473" t="s">
        <v>2833</v>
      </c>
      <c r="Q2473" t="s">
        <v>2833</v>
      </c>
      <c r="R2473">
        <f ca="1">RAND()*(Validation[[#This Row],[Range1_High]]-Validation[[#This Row],[Range1_Low]])+Validation[[#This Row],[Range1_Low]]</f>
        <v>8.5499691447280313E-2</v>
      </c>
      <c r="S2473">
        <f>Validation[[#This Row],[Range2_High]]</f>
        <v>100</v>
      </c>
      <c r="T2473" t="str" cm="1">
        <f t="array" aca="1" ref="T2473" ca="1">RoundToTwoSigFigs(Validation[[#This Row],[Test Reading]]*Validation[[#This Row],[Mult]]+Validation[[#This Row],[Base]]) &amp;" "&amp;Validation[[#This Row],[Uncert_Units]]</f>
        <v>83 µV</v>
      </c>
      <c r="U2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µV</v>
      </c>
      <c r="V2473" t="b">
        <f ca="1">Validation[[#This Row],[Desired Result]]=Validation[[#This Row],[Result]]</f>
        <v>1</v>
      </c>
      <c r="W2473" t="b">
        <v>1</v>
      </c>
      <c r="X2473" t="b">
        <f>Validation[[#This Row],[Range1_Low]]&gt;=Validation[[#This Row],[Range1_High]]</f>
        <v>0</v>
      </c>
      <c r="Y2473" s="111" t="s">
        <v>2843</v>
      </c>
    </row>
    <row r="2474" spans="1:25" ht="16.5" thickTop="1" thickBot="1" x14ac:dyDescent="0.3">
      <c r="A2474" t="s">
        <v>55</v>
      </c>
      <c r="B2474" t="s">
        <v>8</v>
      </c>
      <c r="C2474" s="113">
        <v>1</v>
      </c>
      <c r="D2474" s="113">
        <v>10</v>
      </c>
      <c r="E2474">
        <v>9.9999999999999995E-7</v>
      </c>
      <c r="F2474" t="s">
        <v>6</v>
      </c>
      <c r="G2474" t="s">
        <v>4</v>
      </c>
      <c r="H2474">
        <v>2000</v>
      </c>
      <c r="I2474">
        <v>4000</v>
      </c>
      <c r="J2474" t="s">
        <v>10</v>
      </c>
      <c r="K2474">
        <v>12</v>
      </c>
      <c r="L2474">
        <v>46</v>
      </c>
      <c r="M2474">
        <v>8.0599000000000007</v>
      </c>
      <c r="N2474">
        <v>46.328000000000003</v>
      </c>
      <c r="O2474" t="s">
        <v>2833</v>
      </c>
      <c r="P2474" t="s">
        <v>2833</v>
      </c>
      <c r="Q2474" t="s">
        <v>2833</v>
      </c>
      <c r="R2474">
        <f ca="1">RAND()*(Validation[[#This Row],[Range1_High]]-Validation[[#This Row],[Range1_Low]])+Validation[[#This Row],[Range1_Low]]</f>
        <v>5.5104073195637833</v>
      </c>
      <c r="S2474">
        <f>Validation[[#This Row],[Range2_High]]</f>
        <v>4000</v>
      </c>
      <c r="T2474" t="str" cm="1">
        <f t="array" aca="1" ref="T2474" ca="1">RoundToTwoSigFigs(Validation[[#This Row],[Test Reading]]*Validation[[#This Row],[Mult]]+Validation[[#This Row],[Base]]) &amp;" "&amp;Validation[[#This Row],[Uncert_Units]]</f>
        <v>270 mV</v>
      </c>
      <c r="U2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V2474" t="b">
        <f ca="1">Validation[[#This Row],[Desired Result]]=Validation[[#This Row],[Result]]</f>
        <v>1</v>
      </c>
      <c r="W2474" t="b">
        <v>1</v>
      </c>
      <c r="X2474" t="b">
        <f>Validation[[#This Row],[Range1_Low]]&gt;=Validation[[#This Row],[Range1_High]]</f>
        <v>0</v>
      </c>
      <c r="Y2474" s="111" t="s">
        <v>2843</v>
      </c>
    </row>
    <row r="2475" spans="1:25" ht="16.5" thickTop="1" thickBot="1" x14ac:dyDescent="0.3">
      <c r="A2475" t="s">
        <v>54</v>
      </c>
      <c r="B2475" t="s">
        <v>8</v>
      </c>
      <c r="C2475" s="113">
        <v>0.33</v>
      </c>
      <c r="D2475" s="113">
        <v>3.3001</v>
      </c>
      <c r="E2475">
        <v>0.01</v>
      </c>
      <c r="F2475" t="s">
        <v>6</v>
      </c>
      <c r="G2475" t="s">
        <v>4</v>
      </c>
      <c r="H2475">
        <v>0.01</v>
      </c>
      <c r="I2475">
        <v>4.5010000000000001E-2</v>
      </c>
      <c r="J2475" t="s">
        <v>10</v>
      </c>
      <c r="K2475">
        <v>5.7718999999999996</v>
      </c>
      <c r="L2475">
        <v>0.10338</v>
      </c>
      <c r="M2475">
        <v>5.7717000000000001</v>
      </c>
      <c r="N2475">
        <v>0.10332</v>
      </c>
      <c r="O2475" t="s">
        <v>2833</v>
      </c>
      <c r="P2475" t="s">
        <v>2833</v>
      </c>
      <c r="Q2475" t="s">
        <v>2833</v>
      </c>
      <c r="R2475">
        <f ca="1">RAND()*(Validation[[#This Row],[Range1_High]]-Validation[[#This Row],[Range1_Low]])+Validation[[#This Row],[Range1_Low]]</f>
        <v>0.54904466325881518</v>
      </c>
      <c r="S2475">
        <f>Validation[[#This Row],[Range2_High]]</f>
        <v>4.5010000000000001E-2</v>
      </c>
      <c r="T2475" t="str" cm="1">
        <f t="array" aca="1" ref="T2475" ca="1">RoundToTwoSigFigs(Validation[[#This Row],[Test Reading]]*Validation[[#This Row],[Mult]]+Validation[[#This Row],[Base]]) &amp;" "&amp;Validation[[#This Row],[Uncert_Units]]</f>
        <v>5.8 mV</v>
      </c>
      <c r="U2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V2475" t="b">
        <f ca="1">Validation[[#This Row],[Desired Result]]=Validation[[#This Row],[Result]]</f>
        <v>1</v>
      </c>
      <c r="W2475" t="b">
        <v>1</v>
      </c>
      <c r="X2475" t="b">
        <f>Validation[[#This Row],[Range1_Low]]&gt;=Validation[[#This Row],[Range1_High]]</f>
        <v>0</v>
      </c>
      <c r="Y2475" s="111" t="s">
        <v>2843</v>
      </c>
    </row>
    <row r="2476" spans="1:25" ht="16.5" thickTop="1" thickBot="1" x14ac:dyDescent="0.3">
      <c r="A2476" t="s">
        <v>54</v>
      </c>
      <c r="B2476" t="s">
        <v>8</v>
      </c>
      <c r="C2476" s="113">
        <v>3.3</v>
      </c>
      <c r="D2476" s="113">
        <v>33.000999999999998</v>
      </c>
      <c r="E2476">
        <v>1E-3</v>
      </c>
      <c r="F2476" t="s">
        <v>6</v>
      </c>
      <c r="G2476" t="s">
        <v>4</v>
      </c>
      <c r="H2476">
        <v>0.01</v>
      </c>
      <c r="I2476">
        <v>4.5010000000000001E-2</v>
      </c>
      <c r="J2476" t="s">
        <v>10</v>
      </c>
      <c r="K2476">
        <v>0.98726000000000003</v>
      </c>
      <c r="L2476">
        <v>0.57660999999999996</v>
      </c>
      <c r="M2476">
        <v>0.98668</v>
      </c>
      <c r="N2476">
        <v>0.57662000000000002</v>
      </c>
      <c r="O2476" t="s">
        <v>2833</v>
      </c>
      <c r="P2476" t="s">
        <v>2833</v>
      </c>
      <c r="Q2476" t="s">
        <v>2833</v>
      </c>
      <c r="R2476">
        <f ca="1">RAND()*(Validation[[#This Row],[Range1_High]]-Validation[[#This Row],[Range1_Low]])+Validation[[#This Row],[Range1_Low]]</f>
        <v>20.042039219081445</v>
      </c>
      <c r="S2476">
        <f>Validation[[#This Row],[Range2_High]]</f>
        <v>4.5010000000000001E-2</v>
      </c>
      <c r="T2476" t="str" cm="1">
        <f t="array" aca="1" ref="T2476" ca="1">RoundToTwoSigFigs(Validation[[#This Row],[Test Reading]]*Validation[[#This Row],[Mult]]+Validation[[#This Row],[Base]]) &amp;" "&amp;Validation[[#This Row],[Uncert_Units]]</f>
        <v>13 mV</v>
      </c>
      <c r="U2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V2476" t="b">
        <f ca="1">Validation[[#This Row],[Desired Result]]=Validation[[#This Row],[Result]]</f>
        <v>1</v>
      </c>
      <c r="W2476" t="b">
        <v>1</v>
      </c>
      <c r="X2476" t="b">
        <f>Validation[[#This Row],[Range1_Low]]&gt;=Validation[[#This Row],[Range1_High]]</f>
        <v>0</v>
      </c>
      <c r="Y2476" s="111" t="s">
        <v>2843</v>
      </c>
    </row>
    <row r="2477" spans="1:25" ht="16.5" thickTop="1" thickBot="1" x14ac:dyDescent="0.3">
      <c r="A2477" t="s">
        <v>54</v>
      </c>
      <c r="B2477" t="s">
        <v>8</v>
      </c>
      <c r="C2477">
        <v>0</v>
      </c>
      <c r="D2477">
        <v>3.3009999999999998E-2</v>
      </c>
      <c r="E2477">
        <v>0.01</v>
      </c>
      <c r="F2477" t="s">
        <v>6</v>
      </c>
      <c r="G2477" t="s">
        <v>5</v>
      </c>
      <c r="H2477">
        <v>10</v>
      </c>
      <c r="I2477">
        <v>20.010000000000002</v>
      </c>
      <c r="J2477" t="s">
        <v>10</v>
      </c>
      <c r="K2477">
        <v>5800</v>
      </c>
      <c r="L2477">
        <v>16.202000000000002</v>
      </c>
      <c r="M2477">
        <v>5800</v>
      </c>
      <c r="N2477">
        <v>15.714</v>
      </c>
      <c r="O2477" t="s">
        <v>2833</v>
      </c>
      <c r="P2477" t="s">
        <v>2833</v>
      </c>
      <c r="Q2477" t="s">
        <v>2833</v>
      </c>
      <c r="R2477">
        <f ca="1">RAND()*(Validation[[#This Row],[Range1_High]]-Validation[[#This Row],[Range1_Low]])+Validation[[#This Row],[Range1_Low]]</f>
        <v>3.0195382947229312E-2</v>
      </c>
      <c r="S2477">
        <f>Validation[[#This Row],[Range2_High]]</f>
        <v>20.010000000000002</v>
      </c>
      <c r="T2477" t="str" cm="1">
        <f t="array" aca="1" ref="T2477" ca="1">RoundToTwoSigFigs(Validation[[#This Row],[Test Reading]]*Validation[[#This Row],[Mult]]+Validation[[#This Row],[Base]]) &amp;" "&amp;Validation[[#This Row],[Uncert_Units]]</f>
        <v>5800 µV</v>
      </c>
      <c r="U2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V2477" t="b">
        <f ca="1">Validation[[#This Row],[Desired Result]]=Validation[[#This Row],[Result]]</f>
        <v>1</v>
      </c>
      <c r="W2477" t="b">
        <v>0</v>
      </c>
      <c r="X2477" t="b">
        <f>Validation[[#This Row],[Range1_Low]]&gt;=Validation[[#This Row],[Range1_High]]</f>
        <v>0</v>
      </c>
      <c r="Y2477" s="111" t="s">
        <v>2845</v>
      </c>
    </row>
    <row r="2478" spans="1:25" ht="16.5" thickTop="1" thickBot="1" x14ac:dyDescent="0.3">
      <c r="A2478" t="s">
        <v>54</v>
      </c>
      <c r="B2478" t="s">
        <v>8</v>
      </c>
      <c r="C2478" s="113">
        <v>3.3</v>
      </c>
      <c r="D2478" s="113">
        <v>33.000999999999998</v>
      </c>
      <c r="E2478">
        <v>1E-4</v>
      </c>
      <c r="F2478" t="s">
        <v>6</v>
      </c>
      <c r="G2478" t="s">
        <v>4</v>
      </c>
      <c r="H2478">
        <v>50</v>
      </c>
      <c r="I2478">
        <v>100.01</v>
      </c>
      <c r="J2478" t="s">
        <v>10</v>
      </c>
      <c r="K2478">
        <v>2.2999999999999998</v>
      </c>
      <c r="L2478">
        <v>2.7</v>
      </c>
      <c r="M2478">
        <v>2.3079000000000001</v>
      </c>
      <c r="N2478">
        <v>2.6577000000000002</v>
      </c>
      <c r="O2478" t="s">
        <v>2833</v>
      </c>
      <c r="P2478" t="s">
        <v>2833</v>
      </c>
      <c r="Q2478" t="s">
        <v>2833</v>
      </c>
      <c r="R2478">
        <f ca="1">RAND()*(Validation[[#This Row],[Range1_High]]-Validation[[#This Row],[Range1_Low]])+Validation[[#This Row],[Range1_Low]]</f>
        <v>26.969840382182646</v>
      </c>
      <c r="S2478">
        <f>Validation[[#This Row],[Range2_High]]</f>
        <v>100.01</v>
      </c>
      <c r="T2478" t="str" cm="1">
        <f t="array" aca="1" ref="T2478" ca="1">RoundToTwoSigFigs(Validation[[#This Row],[Test Reading]]*Validation[[#This Row],[Mult]]+Validation[[#This Row],[Base]]) &amp;" "&amp;Validation[[#This Row],[Uncert_Units]]</f>
        <v>75 mV</v>
      </c>
      <c r="U2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V2478" t="b">
        <f ca="1">Validation[[#This Row],[Desired Result]]=Validation[[#This Row],[Result]]</f>
        <v>0</v>
      </c>
      <c r="W2478" t="b">
        <v>1</v>
      </c>
      <c r="X2478" t="b">
        <f>Validation[[#This Row],[Range1_Low]]&gt;=Validation[[#This Row],[Range1_High]]</f>
        <v>0</v>
      </c>
      <c r="Y2478" s="111" t="s">
        <v>2843</v>
      </c>
    </row>
    <row r="2479" spans="1:25" ht="16.5" thickTop="1" thickBot="1" x14ac:dyDescent="0.3">
      <c r="A2479" t="s">
        <v>55</v>
      </c>
      <c r="B2479" t="s">
        <v>8</v>
      </c>
      <c r="C2479" s="113">
        <v>10</v>
      </c>
      <c r="D2479" s="113">
        <v>20</v>
      </c>
      <c r="E2479">
        <v>1.0000000000000001E-5</v>
      </c>
      <c r="F2479" t="s">
        <v>6</v>
      </c>
      <c r="G2479" t="s">
        <v>4</v>
      </c>
      <c r="H2479">
        <v>50</v>
      </c>
      <c r="I2479">
        <v>100</v>
      </c>
      <c r="J2479" t="s">
        <v>10</v>
      </c>
      <c r="K2479">
        <v>2.4</v>
      </c>
      <c r="L2479">
        <v>1.4</v>
      </c>
      <c r="M2479">
        <v>2.3767</v>
      </c>
      <c r="N2479">
        <v>1.3889</v>
      </c>
      <c r="O2479" t="s">
        <v>2833</v>
      </c>
      <c r="P2479" t="s">
        <v>2833</v>
      </c>
      <c r="Q2479" t="s">
        <v>2833</v>
      </c>
      <c r="R2479">
        <f ca="1">RAND()*(Validation[[#This Row],[Range1_High]]-Validation[[#This Row],[Range1_Low]])+Validation[[#This Row],[Range1_Low]]</f>
        <v>17.617722601901093</v>
      </c>
      <c r="S2479">
        <f>Validation[[#This Row],[Range2_High]]</f>
        <v>100</v>
      </c>
      <c r="T2479" t="str" cm="1">
        <f t="array" aca="1" ref="T2479" ca="1">RoundToTwoSigFigs(Validation[[#This Row],[Test Reading]]*Validation[[#This Row],[Mult]]+Validation[[#This Row],[Base]]) &amp;" "&amp;Validation[[#This Row],[Uncert_Units]]</f>
        <v>27 mV</v>
      </c>
      <c r="U2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mV</v>
      </c>
      <c r="V2479" t="b">
        <f ca="1">Validation[[#This Row],[Desired Result]]=Validation[[#This Row],[Result]]</f>
        <v>0</v>
      </c>
      <c r="W2479" t="b">
        <v>1</v>
      </c>
      <c r="X2479" t="b">
        <f>Validation[[#This Row],[Range1_Low]]&gt;=Validation[[#This Row],[Range1_High]]</f>
        <v>0</v>
      </c>
      <c r="Y2479" s="111" t="s">
        <v>2843</v>
      </c>
    </row>
    <row r="2480" spans="1:25" ht="16.5" thickTop="1" thickBot="1" x14ac:dyDescent="0.3">
      <c r="A2480" t="s">
        <v>55</v>
      </c>
      <c r="B2480" t="s">
        <v>8</v>
      </c>
      <c r="C2480">
        <v>0</v>
      </c>
      <c r="D2480">
        <v>0.01</v>
      </c>
      <c r="E2480">
        <v>1E-8</v>
      </c>
      <c r="F2480" t="s">
        <v>6</v>
      </c>
      <c r="G2480" t="s">
        <v>5</v>
      </c>
      <c r="H2480">
        <v>4000</v>
      </c>
      <c r="I2480">
        <v>8000</v>
      </c>
      <c r="J2480" t="s">
        <v>10</v>
      </c>
      <c r="K2480">
        <v>31</v>
      </c>
      <c r="L2480">
        <v>230000</v>
      </c>
      <c r="M2480">
        <v>30.119</v>
      </c>
      <c r="N2480">
        <v>228890</v>
      </c>
      <c r="O2480" t="s">
        <v>2833</v>
      </c>
      <c r="P2480" t="s">
        <v>2833</v>
      </c>
      <c r="Q2480" t="s">
        <v>2833</v>
      </c>
      <c r="R2480">
        <f ca="1">RAND()*(Validation[[#This Row],[Range1_High]]-Validation[[#This Row],[Range1_Low]])+Validation[[#This Row],[Range1_Low]]</f>
        <v>2.0106341047351384E-3</v>
      </c>
      <c r="S2480">
        <f>Validation[[#This Row],[Range2_High]]</f>
        <v>8000</v>
      </c>
      <c r="T2480" t="str" cm="1">
        <f t="array" aca="1" ref="T2480" ca="1">RoundToTwoSigFigs(Validation[[#This Row],[Test Reading]]*Validation[[#This Row],[Mult]]+Validation[[#This Row],[Base]]) &amp;" "&amp;Validation[[#This Row],[Uncert_Units]]</f>
        <v>490 µV</v>
      </c>
      <c r="U2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µV</v>
      </c>
      <c r="V2480" t="b">
        <f ca="1">Validation[[#This Row],[Desired Result]]=Validation[[#This Row],[Result]]</f>
        <v>1</v>
      </c>
      <c r="W2480" t="b">
        <v>0</v>
      </c>
      <c r="X2480" t="b">
        <f>Validation[[#This Row],[Range1_Low]]&gt;=Validation[[#This Row],[Range1_High]]</f>
        <v>0</v>
      </c>
      <c r="Y2480" s="111" t="s">
        <v>2845</v>
      </c>
    </row>
    <row r="2481" spans="1:25" ht="16.5" thickTop="1" thickBot="1" x14ac:dyDescent="0.3">
      <c r="A2481" t="s">
        <v>55</v>
      </c>
      <c r="B2481" t="s">
        <v>8</v>
      </c>
      <c r="C2481" s="113">
        <v>10</v>
      </c>
      <c r="D2481" s="113">
        <v>100</v>
      </c>
      <c r="E2481">
        <v>1E-4</v>
      </c>
      <c r="F2481" t="s">
        <v>6</v>
      </c>
      <c r="G2481" t="s">
        <v>4</v>
      </c>
      <c r="H2481">
        <v>100</v>
      </c>
      <c r="I2481">
        <v>300</v>
      </c>
      <c r="J2481" t="s">
        <v>10</v>
      </c>
      <c r="K2481">
        <v>15</v>
      </c>
      <c r="L2481">
        <v>4.6028000000000002</v>
      </c>
      <c r="M2481">
        <v>11.574999999999999</v>
      </c>
      <c r="N2481">
        <v>4.6268000000000002</v>
      </c>
      <c r="O2481" t="s">
        <v>2833</v>
      </c>
      <c r="P2481" t="s">
        <v>2833</v>
      </c>
      <c r="Q2481" t="s">
        <v>2833</v>
      </c>
      <c r="R2481">
        <f ca="1">RAND()*(Validation[[#This Row],[Range1_High]]-Validation[[#This Row],[Range1_Low]])+Validation[[#This Row],[Range1_Low]]</f>
        <v>41.408480271031564</v>
      </c>
      <c r="S2481">
        <f>Validation[[#This Row],[Range2_High]]</f>
        <v>300</v>
      </c>
      <c r="T2481" t="str" cm="1">
        <f t="array" aca="1" ref="T2481" ca="1">RoundToTwoSigFigs(Validation[[#This Row],[Test Reading]]*Validation[[#This Row],[Mult]]+Validation[[#This Row],[Base]]) &amp;" "&amp;Validation[[#This Row],[Uncert_Units]]</f>
        <v>210 mV</v>
      </c>
      <c r="U2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V2481" t="b">
        <f ca="1">Validation[[#This Row],[Desired Result]]=Validation[[#This Row],[Result]]</f>
        <v>1</v>
      </c>
      <c r="W2481" t="b">
        <v>1</v>
      </c>
      <c r="X2481" t="b">
        <f>Validation[[#This Row],[Range1_Low]]&gt;=Validation[[#This Row],[Range1_High]]</f>
        <v>0</v>
      </c>
      <c r="Y2481" s="111" t="s">
        <v>2843</v>
      </c>
    </row>
    <row r="2482" spans="1:25" ht="16.5" thickTop="1" thickBot="1" x14ac:dyDescent="0.3">
      <c r="A2482" t="s">
        <v>55</v>
      </c>
      <c r="B2482" t="s">
        <v>8</v>
      </c>
      <c r="C2482">
        <v>0</v>
      </c>
      <c r="D2482">
        <v>0.01</v>
      </c>
      <c r="E2482">
        <v>9.9999999999999995E-8</v>
      </c>
      <c r="F2482" t="s">
        <v>6</v>
      </c>
      <c r="G2482" t="s">
        <v>5</v>
      </c>
      <c r="H2482">
        <v>1E-3</v>
      </c>
      <c r="I2482">
        <v>0.04</v>
      </c>
      <c r="J2482" t="s">
        <v>10</v>
      </c>
      <c r="K2482">
        <v>4.5</v>
      </c>
      <c r="L2482">
        <v>312.16000000000003</v>
      </c>
      <c r="M2482">
        <v>4.3853</v>
      </c>
      <c r="N2482">
        <v>312.11</v>
      </c>
      <c r="O2482" t="s">
        <v>2833</v>
      </c>
      <c r="P2482" t="s">
        <v>2833</v>
      </c>
      <c r="Q2482" t="s">
        <v>2833</v>
      </c>
      <c r="R2482">
        <f ca="1">RAND()*(Validation[[#This Row],[Range1_High]]-Validation[[#This Row],[Range1_Low]])+Validation[[#This Row],[Range1_Low]]</f>
        <v>5.9079887215285896E-4</v>
      </c>
      <c r="S2482">
        <f>Validation[[#This Row],[Range2_High]]</f>
        <v>0.04</v>
      </c>
      <c r="T2482" t="str" cm="1">
        <f t="array" aca="1" ref="T2482" ca="1">RoundToTwoSigFigs(Validation[[#This Row],[Test Reading]]*Validation[[#This Row],[Mult]]+Validation[[#This Row],[Base]]) &amp;" "&amp;Validation[[#This Row],[Uncert_Units]]</f>
        <v>4.7 µV</v>
      </c>
      <c r="U2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µV</v>
      </c>
      <c r="V2482" t="b">
        <f ca="1">Validation[[#This Row],[Desired Result]]=Validation[[#This Row],[Result]]</f>
        <v>0</v>
      </c>
      <c r="W2482" t="b">
        <v>1</v>
      </c>
      <c r="X2482" t="b">
        <f>Validation[[#This Row],[Range1_Low]]&gt;=Validation[[#This Row],[Range1_High]]</f>
        <v>0</v>
      </c>
      <c r="Y2482" s="111" t="s">
        <v>2845</v>
      </c>
    </row>
    <row r="2483" spans="1:25" ht="16.5" thickTop="1" thickBot="1" x14ac:dyDescent="0.3">
      <c r="A2483" t="s">
        <v>55</v>
      </c>
      <c r="B2483" t="s">
        <v>8</v>
      </c>
      <c r="C2483" s="113">
        <v>1</v>
      </c>
      <c r="D2483" s="113">
        <v>10</v>
      </c>
      <c r="E2483">
        <v>9.9999999999999995E-7</v>
      </c>
      <c r="F2483" t="s">
        <v>6</v>
      </c>
      <c r="G2483" t="s">
        <v>4</v>
      </c>
      <c r="H2483">
        <v>8000</v>
      </c>
      <c r="I2483">
        <v>10000</v>
      </c>
      <c r="J2483" t="s">
        <v>10</v>
      </c>
      <c r="K2483">
        <v>46</v>
      </c>
      <c r="L2483">
        <v>170</v>
      </c>
      <c r="M2483">
        <v>11.528</v>
      </c>
      <c r="N2483">
        <v>173.36</v>
      </c>
      <c r="O2483" t="s">
        <v>2833</v>
      </c>
      <c r="P2483" t="s">
        <v>2833</v>
      </c>
      <c r="Q2483" t="s">
        <v>2833</v>
      </c>
      <c r="R2483">
        <f ca="1">RAND()*(Validation[[#This Row],[Range1_High]]-Validation[[#This Row],[Range1_Low]])+Validation[[#This Row],[Range1_Low]]</f>
        <v>9.1104181152081676</v>
      </c>
      <c r="S2483">
        <f>Validation[[#This Row],[Range2_High]]</f>
        <v>10000</v>
      </c>
      <c r="T2483" t="str" cm="1">
        <f t="array" aca="1" ref="T2483" ca="1">RoundToTwoSigFigs(Validation[[#This Row],[Test Reading]]*Validation[[#This Row],[Mult]]+Validation[[#This Row],[Base]]) &amp;" "&amp;Validation[[#This Row],[Uncert_Units]]</f>
        <v>1600 mV</v>
      </c>
      <c r="U2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mV</v>
      </c>
      <c r="V2483" t="b">
        <f ca="1">Validation[[#This Row],[Desired Result]]=Validation[[#This Row],[Result]]</f>
        <v>1</v>
      </c>
      <c r="W2483" t="b">
        <v>1</v>
      </c>
      <c r="X2483" t="b">
        <f>Validation[[#This Row],[Range1_Low]]&gt;=Validation[[#This Row],[Range1_High]]</f>
        <v>0</v>
      </c>
      <c r="Y2483" s="111" t="s">
        <v>2843</v>
      </c>
    </row>
    <row r="2484" spans="1:25" ht="16.5" thickTop="1" thickBot="1" x14ac:dyDescent="0.3">
      <c r="A2484" t="s">
        <v>54</v>
      </c>
      <c r="B2484" t="s">
        <v>8</v>
      </c>
      <c r="C2484" s="113">
        <v>330</v>
      </c>
      <c r="D2484" s="113">
        <v>1020.01</v>
      </c>
      <c r="E2484">
        <v>1</v>
      </c>
      <c r="F2484" t="s">
        <v>6</v>
      </c>
      <c r="G2484" t="s">
        <v>4</v>
      </c>
      <c r="H2484">
        <v>5</v>
      </c>
      <c r="I2484">
        <v>10.01</v>
      </c>
      <c r="J2484" t="s">
        <v>10</v>
      </c>
      <c r="K2484">
        <v>5769</v>
      </c>
      <c r="L2484">
        <v>0.12912000000000001</v>
      </c>
      <c r="M2484">
        <v>5769.1</v>
      </c>
      <c r="N2484">
        <v>0.12875</v>
      </c>
      <c r="O2484" t="s">
        <v>2833</v>
      </c>
      <c r="P2484" t="s">
        <v>2833</v>
      </c>
      <c r="Q2484" t="s">
        <v>2833</v>
      </c>
      <c r="R2484">
        <f ca="1">RAND()*(Validation[[#This Row],[Range1_High]]-Validation[[#This Row],[Range1_Low]])+Validation[[#This Row],[Range1_Low]]</f>
        <v>695.13197903375863</v>
      </c>
      <c r="S2484">
        <f>Validation[[#This Row],[Range2_High]]</f>
        <v>10.01</v>
      </c>
      <c r="T2484" t="str" cm="1">
        <f t="array" aca="1" ref="T2484" ca="1">RoundToTwoSigFigs(Validation[[#This Row],[Test Reading]]*Validation[[#This Row],[Mult]]+Validation[[#This Row],[Base]]) &amp;" "&amp;Validation[[#This Row],[Uncert_Units]]</f>
        <v>5900 mV</v>
      </c>
      <c r="U2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V2484" t="b">
        <f ca="1">Validation[[#This Row],[Desired Result]]=Validation[[#This Row],[Result]]</f>
        <v>1</v>
      </c>
      <c r="W2484" t="b">
        <v>1</v>
      </c>
      <c r="X2484" t="b">
        <f>Validation[[#This Row],[Range1_Low]]&gt;=Validation[[#This Row],[Range1_High]]</f>
        <v>0</v>
      </c>
      <c r="Y2484" s="111" t="s">
        <v>2843</v>
      </c>
    </row>
    <row r="2485" spans="1:25" ht="16.5" thickTop="1" thickBot="1" x14ac:dyDescent="0.3">
      <c r="A2485" t="s">
        <v>54</v>
      </c>
      <c r="B2485" t="s">
        <v>8</v>
      </c>
      <c r="C2485" s="113">
        <v>33</v>
      </c>
      <c r="D2485" s="113">
        <v>330.01</v>
      </c>
      <c r="E2485">
        <v>0.01</v>
      </c>
      <c r="F2485" t="s">
        <v>6</v>
      </c>
      <c r="G2485" t="s">
        <v>4</v>
      </c>
      <c r="H2485">
        <v>10</v>
      </c>
      <c r="I2485">
        <v>20.010000000000002</v>
      </c>
      <c r="J2485" t="s">
        <v>10</v>
      </c>
      <c r="K2485">
        <v>24</v>
      </c>
      <c r="L2485">
        <v>1.0331999999999999</v>
      </c>
      <c r="M2485">
        <v>10.795999999999999</v>
      </c>
      <c r="N2485">
        <v>1.0388999999999999</v>
      </c>
      <c r="O2485" t="s">
        <v>2833</v>
      </c>
      <c r="P2485" t="s">
        <v>2833</v>
      </c>
      <c r="Q2485" t="s">
        <v>2833</v>
      </c>
      <c r="R2485">
        <f ca="1">RAND()*(Validation[[#This Row],[Range1_High]]-Validation[[#This Row],[Range1_Low]])+Validation[[#This Row],[Range1_Low]]</f>
        <v>84.239920419990028</v>
      </c>
      <c r="S2485">
        <f>Validation[[#This Row],[Range2_High]]</f>
        <v>20.010000000000002</v>
      </c>
      <c r="T2485" t="str" cm="1">
        <f t="array" aca="1" ref="T2485" ca="1">RoundToTwoSigFigs(Validation[[#This Row],[Test Reading]]*Validation[[#This Row],[Mult]]+Validation[[#This Row],[Base]]) &amp;" "&amp;Validation[[#This Row],[Uncert_Units]]</f>
        <v>110 mV</v>
      </c>
      <c r="U2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V2485" t="b">
        <f ca="1">Validation[[#This Row],[Desired Result]]=Validation[[#This Row],[Result]]</f>
        <v>1</v>
      </c>
      <c r="W2485" t="b">
        <v>1</v>
      </c>
      <c r="X2485" t="b">
        <f>Validation[[#This Row],[Range1_Low]]&gt;=Validation[[#This Row],[Range1_High]]</f>
        <v>0</v>
      </c>
      <c r="Y2485" s="111" t="s">
        <v>2843</v>
      </c>
    </row>
    <row r="2486" spans="1:25" ht="16.5" thickTop="1" thickBot="1" x14ac:dyDescent="0.3">
      <c r="A2486" t="s">
        <v>55</v>
      </c>
      <c r="B2486" t="s">
        <v>8</v>
      </c>
      <c r="C2486" s="113">
        <v>1</v>
      </c>
      <c r="D2486" s="113">
        <v>10</v>
      </c>
      <c r="E2486">
        <v>1E-4</v>
      </c>
      <c r="F2486" t="s">
        <v>6</v>
      </c>
      <c r="G2486" t="s">
        <v>4</v>
      </c>
      <c r="H2486">
        <v>1E-3</v>
      </c>
      <c r="I2486">
        <v>0.04</v>
      </c>
      <c r="J2486" t="s">
        <v>10</v>
      </c>
      <c r="K2486">
        <v>0.46</v>
      </c>
      <c r="L2486">
        <v>9.2019000000000004E-2</v>
      </c>
      <c r="M2486">
        <v>0.45379999999999998</v>
      </c>
      <c r="N2486">
        <v>9.1994000000000006E-2</v>
      </c>
      <c r="O2486" t="s">
        <v>2833</v>
      </c>
      <c r="P2486" t="s">
        <v>2833</v>
      </c>
      <c r="Q2486" t="s">
        <v>2833</v>
      </c>
      <c r="R2486">
        <f ca="1">RAND()*(Validation[[#This Row],[Range1_High]]-Validation[[#This Row],[Range1_Low]])+Validation[[#This Row],[Range1_Low]]</f>
        <v>1.1398088334150511</v>
      </c>
      <c r="S2486">
        <f>Validation[[#This Row],[Range2_High]]</f>
        <v>0.04</v>
      </c>
      <c r="T2486" t="str" cm="1">
        <f t="array" aca="1" ref="T2486" ca="1">RoundToTwoSigFigs(Validation[[#This Row],[Test Reading]]*Validation[[#This Row],[Mult]]+Validation[[#This Row],[Base]]) &amp;" "&amp;Validation[[#This Row],[Uncert_Units]]</f>
        <v>0.56 mV</v>
      </c>
      <c r="U2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mV</v>
      </c>
      <c r="V2486" t="b">
        <f ca="1">Validation[[#This Row],[Desired Result]]=Validation[[#This Row],[Result]]</f>
        <v>1</v>
      </c>
      <c r="W2486" t="b">
        <v>1</v>
      </c>
      <c r="X2486" t="b">
        <f>Validation[[#This Row],[Range1_Low]]&gt;=Validation[[#This Row],[Range1_High]]</f>
        <v>0</v>
      </c>
      <c r="Y2486" s="111" t="s">
        <v>2843</v>
      </c>
    </row>
    <row r="2487" spans="1:25" ht="16.5" thickTop="1" thickBot="1" x14ac:dyDescent="0.3">
      <c r="A2487" t="s">
        <v>54</v>
      </c>
      <c r="B2487" t="s">
        <v>8</v>
      </c>
      <c r="C2487" s="113">
        <v>3.3000000000000002E-2</v>
      </c>
      <c r="D2487" s="113">
        <v>0.33001000000000003</v>
      </c>
      <c r="E2487">
        <v>1E-3</v>
      </c>
      <c r="F2487" t="s">
        <v>6</v>
      </c>
      <c r="G2487" t="s">
        <v>5</v>
      </c>
      <c r="H2487">
        <v>50</v>
      </c>
      <c r="I2487">
        <v>100.01</v>
      </c>
      <c r="J2487" t="s">
        <v>10</v>
      </c>
      <c r="K2487">
        <v>582.19000000000005</v>
      </c>
      <c r="L2487">
        <v>1932.6</v>
      </c>
      <c r="M2487">
        <v>582.1</v>
      </c>
      <c r="N2487">
        <v>1932.5</v>
      </c>
      <c r="O2487" t="s">
        <v>2833</v>
      </c>
      <c r="P2487" t="s">
        <v>2833</v>
      </c>
      <c r="Q2487" t="s">
        <v>2833</v>
      </c>
      <c r="R2487">
        <f ca="1">RAND()*(Validation[[#This Row],[Range1_High]]-Validation[[#This Row],[Range1_Low]])+Validation[[#This Row],[Range1_Low]]</f>
        <v>4.5459569394193752E-2</v>
      </c>
      <c r="S2487">
        <f>Validation[[#This Row],[Range2_High]]</f>
        <v>100.01</v>
      </c>
      <c r="T2487" t="str" cm="1">
        <f t="array" aca="1" ref="T2487" ca="1">RoundToTwoSigFigs(Validation[[#This Row],[Test Reading]]*Validation[[#This Row],[Mult]]+Validation[[#This Row],[Base]]) &amp;" "&amp;Validation[[#This Row],[Uncert_Units]]</f>
        <v>670 µV</v>
      </c>
      <c r="U2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µV</v>
      </c>
      <c r="V2487" t="b">
        <f ca="1">Validation[[#This Row],[Desired Result]]=Validation[[#This Row],[Result]]</f>
        <v>0</v>
      </c>
      <c r="W2487" t="b">
        <v>1</v>
      </c>
      <c r="X2487" t="b">
        <f>Validation[[#This Row],[Range1_Low]]&gt;=Validation[[#This Row],[Range1_High]]</f>
        <v>0</v>
      </c>
      <c r="Y2487" s="111" t="s">
        <v>2843</v>
      </c>
    </row>
    <row r="2488" spans="1:25" ht="16.5" thickTop="1" thickBot="1" x14ac:dyDescent="0.3">
      <c r="A2488" t="s">
        <v>55</v>
      </c>
      <c r="B2488" t="s">
        <v>8</v>
      </c>
      <c r="C2488" s="113">
        <v>1</v>
      </c>
      <c r="D2488" s="113">
        <v>10</v>
      </c>
      <c r="E2488">
        <v>1E-3</v>
      </c>
      <c r="F2488" t="s">
        <v>6</v>
      </c>
      <c r="G2488" t="s">
        <v>4</v>
      </c>
      <c r="H2488">
        <v>8000</v>
      </c>
      <c r="I2488">
        <v>10000</v>
      </c>
      <c r="J2488" t="s">
        <v>10</v>
      </c>
      <c r="K2488">
        <v>46</v>
      </c>
      <c r="L2488">
        <v>170.12</v>
      </c>
      <c r="M2488">
        <v>11.584</v>
      </c>
      <c r="N2488">
        <v>173.35</v>
      </c>
      <c r="O2488" t="s">
        <v>2833</v>
      </c>
      <c r="P2488" t="s">
        <v>2833</v>
      </c>
      <c r="Q2488" t="s">
        <v>2833</v>
      </c>
      <c r="R2488">
        <f ca="1">RAND()*(Validation[[#This Row],[Range1_High]]-Validation[[#This Row],[Range1_Low]])+Validation[[#This Row],[Range1_Low]]</f>
        <v>6.5089047011535666</v>
      </c>
      <c r="S2488">
        <f>Validation[[#This Row],[Range2_High]]</f>
        <v>10000</v>
      </c>
      <c r="T2488" t="str" cm="1">
        <f t="array" aca="1" ref="T2488" ca="1">RoundToTwoSigFigs(Validation[[#This Row],[Test Reading]]*Validation[[#This Row],[Mult]]+Validation[[#This Row],[Base]]) &amp;" "&amp;Validation[[#This Row],[Uncert_Units]]</f>
        <v>1200 mV</v>
      </c>
      <c r="U2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V2488" t="b">
        <f ca="1">Validation[[#This Row],[Desired Result]]=Validation[[#This Row],[Result]]</f>
        <v>1</v>
      </c>
      <c r="W2488" t="b">
        <v>1</v>
      </c>
      <c r="X2488" t="b">
        <f>Validation[[#This Row],[Range1_Low]]&gt;=Validation[[#This Row],[Range1_High]]</f>
        <v>0</v>
      </c>
      <c r="Y2488" s="111" t="s">
        <v>2843</v>
      </c>
    </row>
    <row r="2489" spans="1:25" ht="16.5" thickTop="1" thickBot="1" x14ac:dyDescent="0.3">
      <c r="A2489" t="s">
        <v>55</v>
      </c>
      <c r="B2489" t="s">
        <v>8</v>
      </c>
      <c r="C2489">
        <v>0.01</v>
      </c>
      <c r="D2489">
        <v>0.1</v>
      </c>
      <c r="E2489">
        <v>1E-8</v>
      </c>
      <c r="F2489" t="s">
        <v>6</v>
      </c>
      <c r="G2489" t="s">
        <v>5</v>
      </c>
      <c r="H2489">
        <v>8000</v>
      </c>
      <c r="I2489">
        <v>10000</v>
      </c>
      <c r="J2489" t="s">
        <v>10</v>
      </c>
      <c r="K2489">
        <v>450</v>
      </c>
      <c r="L2489">
        <v>170000</v>
      </c>
      <c r="M2489">
        <v>115.4</v>
      </c>
      <c r="N2489">
        <v>173280</v>
      </c>
      <c r="O2489" t="s">
        <v>2833</v>
      </c>
      <c r="P2489" t="s">
        <v>2833</v>
      </c>
      <c r="Q2489" t="s">
        <v>2833</v>
      </c>
      <c r="R2489">
        <f ca="1">RAND()*(Validation[[#This Row],[Range1_High]]-Validation[[#This Row],[Range1_Low]])+Validation[[#This Row],[Range1_Low]]</f>
        <v>1.5865185718183378E-2</v>
      </c>
      <c r="S2489">
        <f>Validation[[#This Row],[Range2_High]]</f>
        <v>10000</v>
      </c>
      <c r="T2489" t="str" cm="1">
        <f t="array" aca="1" ref="T2489" ca="1">RoundToTwoSigFigs(Validation[[#This Row],[Test Reading]]*Validation[[#This Row],[Mult]]+Validation[[#This Row],[Base]]) &amp;" "&amp;Validation[[#This Row],[Uncert_Units]]</f>
        <v>3100 µV</v>
      </c>
      <c r="U2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µV</v>
      </c>
      <c r="V2489" t="b">
        <f ca="1">Validation[[#This Row],[Desired Result]]=Validation[[#This Row],[Result]]</f>
        <v>1</v>
      </c>
      <c r="W2489" t="b">
        <v>0</v>
      </c>
      <c r="X2489" t="b">
        <f>Validation[[#This Row],[Range1_Low]]&gt;=Validation[[#This Row],[Range1_High]]</f>
        <v>0</v>
      </c>
      <c r="Y2489" s="111" t="s">
        <v>2845</v>
      </c>
    </row>
    <row r="2490" spans="1:25" ht="16.5" thickTop="1" thickBot="1" x14ac:dyDescent="0.3">
      <c r="A2490" t="s">
        <v>55</v>
      </c>
      <c r="B2490" t="s">
        <v>8</v>
      </c>
      <c r="C2490" s="113">
        <v>0.1</v>
      </c>
      <c r="D2490" s="113">
        <v>1</v>
      </c>
      <c r="E2490">
        <v>9.9999999999999995E-7</v>
      </c>
      <c r="F2490" t="s">
        <v>6</v>
      </c>
      <c r="G2490" t="s">
        <v>5</v>
      </c>
      <c r="H2490">
        <v>0.04</v>
      </c>
      <c r="I2490">
        <v>1</v>
      </c>
      <c r="J2490" t="s">
        <v>10</v>
      </c>
      <c r="K2490">
        <v>24</v>
      </c>
      <c r="L2490">
        <v>82</v>
      </c>
      <c r="M2490">
        <v>23.53</v>
      </c>
      <c r="N2490">
        <v>80.441000000000003</v>
      </c>
      <c r="O2490" t="s">
        <v>2833</v>
      </c>
      <c r="P2490" t="s">
        <v>2833</v>
      </c>
      <c r="Q2490" t="s">
        <v>2833</v>
      </c>
      <c r="R2490">
        <f ca="1">RAND()*(Validation[[#This Row],[Range1_High]]-Validation[[#This Row],[Range1_Low]])+Validation[[#This Row],[Range1_Low]]</f>
        <v>0.80310555785166859</v>
      </c>
      <c r="S2490">
        <f>Validation[[#This Row],[Range2_High]]</f>
        <v>1</v>
      </c>
      <c r="T2490" t="str" cm="1">
        <f t="array" aca="1" ref="T2490" ca="1">RoundToTwoSigFigs(Validation[[#This Row],[Test Reading]]*Validation[[#This Row],[Mult]]+Validation[[#This Row],[Base]]) &amp;" "&amp;Validation[[#This Row],[Uncert_Units]]</f>
        <v>90 µV</v>
      </c>
      <c r="U2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V2490" t="b">
        <f ca="1">Validation[[#This Row],[Desired Result]]=Validation[[#This Row],[Result]]</f>
        <v>1</v>
      </c>
      <c r="W2490" t="b">
        <v>1</v>
      </c>
      <c r="X2490" t="b">
        <f>Validation[[#This Row],[Range1_Low]]&gt;=Validation[[#This Row],[Range1_High]]</f>
        <v>0</v>
      </c>
      <c r="Y2490" s="111" t="s">
        <v>2843</v>
      </c>
    </row>
    <row r="2491" spans="1:25" ht="16.5" thickTop="1" thickBot="1" x14ac:dyDescent="0.3">
      <c r="A2491" t="s">
        <v>55</v>
      </c>
      <c r="B2491" t="s">
        <v>8</v>
      </c>
      <c r="C2491" s="113">
        <v>10</v>
      </c>
      <c r="D2491" s="113">
        <v>100</v>
      </c>
      <c r="E2491">
        <v>1E-4</v>
      </c>
      <c r="F2491" t="s">
        <v>6</v>
      </c>
      <c r="G2491" t="s">
        <v>4</v>
      </c>
      <c r="H2491">
        <v>300</v>
      </c>
      <c r="I2491">
        <v>1000</v>
      </c>
      <c r="J2491" t="s">
        <v>10</v>
      </c>
      <c r="K2491">
        <v>46</v>
      </c>
      <c r="L2491">
        <v>17.018999999999998</v>
      </c>
      <c r="M2491">
        <v>12.318</v>
      </c>
      <c r="N2491">
        <v>17.334</v>
      </c>
      <c r="O2491" t="s">
        <v>2833</v>
      </c>
      <c r="P2491" t="s">
        <v>2833</v>
      </c>
      <c r="Q2491" t="s">
        <v>2833</v>
      </c>
      <c r="R2491">
        <f ca="1">RAND()*(Validation[[#This Row],[Range1_High]]-Validation[[#This Row],[Range1_Low]])+Validation[[#This Row],[Range1_Low]]</f>
        <v>32.146081808342444</v>
      </c>
      <c r="S2491">
        <f>Validation[[#This Row],[Range2_High]]</f>
        <v>1000</v>
      </c>
      <c r="T2491" t="str" cm="1">
        <f t="array" aca="1" ref="T2491" ca="1">RoundToTwoSigFigs(Validation[[#This Row],[Test Reading]]*Validation[[#This Row],[Mult]]+Validation[[#This Row],[Base]]) &amp;" "&amp;Validation[[#This Row],[Uncert_Units]]</f>
        <v>590 mV</v>
      </c>
      <c r="U2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V2491" t="b">
        <f ca="1">Validation[[#This Row],[Desired Result]]=Validation[[#This Row],[Result]]</f>
        <v>1</v>
      </c>
      <c r="W2491" t="b">
        <v>1</v>
      </c>
      <c r="X2491" t="b">
        <f>Validation[[#This Row],[Range1_Low]]&gt;=Validation[[#This Row],[Range1_High]]</f>
        <v>0</v>
      </c>
      <c r="Y2491" s="111" t="s">
        <v>2843</v>
      </c>
    </row>
    <row r="2492" spans="1:25" ht="16.5" thickTop="1" thickBot="1" x14ac:dyDescent="0.3">
      <c r="A2492" t="s">
        <v>55</v>
      </c>
      <c r="B2492" t="s">
        <v>8</v>
      </c>
      <c r="C2492" s="113">
        <v>10</v>
      </c>
      <c r="D2492" s="113">
        <v>20</v>
      </c>
      <c r="E2492">
        <v>1E-3</v>
      </c>
      <c r="F2492" t="s">
        <v>6</v>
      </c>
      <c r="G2492" t="s">
        <v>4</v>
      </c>
      <c r="H2492">
        <v>300</v>
      </c>
      <c r="I2492">
        <v>1000</v>
      </c>
      <c r="J2492" t="s">
        <v>10</v>
      </c>
      <c r="K2492">
        <v>19</v>
      </c>
      <c r="L2492">
        <v>17.087</v>
      </c>
      <c r="M2492">
        <v>12.388999999999999</v>
      </c>
      <c r="N2492">
        <v>17.324000000000002</v>
      </c>
      <c r="O2492" t="s">
        <v>2833</v>
      </c>
      <c r="P2492" t="s">
        <v>2833</v>
      </c>
      <c r="Q2492" t="s">
        <v>2833</v>
      </c>
      <c r="R2492" s="100">
        <f ca="1">RAND()*(Validation[[#This Row],[Range1_High]]-Validation[[#This Row],[Range1_Low]])+Validation[[#This Row],[Range1_Low]]</f>
        <v>16.863760416854852</v>
      </c>
      <c r="S2492">
        <f>Validation[[#This Row],[Range2_High]]</f>
        <v>1000</v>
      </c>
      <c r="T2492" t="str" cm="1">
        <f t="array" aca="1" ref="T2492" ca="1">RoundToTwoSigFigs(Validation[[#This Row],[Test Reading]]*Validation[[#This Row],[Mult]]+Validation[[#This Row],[Base]]) &amp;" "&amp;Validation[[#This Row],[Uncert_Units]]</f>
        <v>310 mV</v>
      </c>
      <c r="U2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V2492" t="b">
        <f ca="1">Validation[[#This Row],[Desired Result]]=Validation[[#This Row],[Result]]</f>
        <v>0</v>
      </c>
      <c r="W2492" t="b">
        <v>1</v>
      </c>
      <c r="X2492" t="b">
        <f>Validation[[#This Row],[Range1_Low]]&gt;=Validation[[#This Row],[Range1_High]]</f>
        <v>0</v>
      </c>
      <c r="Y2492" s="111" t="s">
        <v>2844</v>
      </c>
    </row>
    <row r="2493" spans="1:25" ht="16.5" thickTop="1" thickBot="1" x14ac:dyDescent="0.3">
      <c r="A2493" t="s">
        <v>55</v>
      </c>
      <c r="B2493" t="s">
        <v>8</v>
      </c>
      <c r="C2493">
        <v>1</v>
      </c>
      <c r="D2493">
        <v>10</v>
      </c>
      <c r="E2493">
        <v>0.1</v>
      </c>
      <c r="F2493" t="s">
        <v>6</v>
      </c>
      <c r="G2493" t="s">
        <v>4</v>
      </c>
      <c r="H2493">
        <v>2000</v>
      </c>
      <c r="I2493">
        <v>4000</v>
      </c>
      <c r="J2493" t="s">
        <v>10</v>
      </c>
      <c r="K2493">
        <v>35.390999999999998</v>
      </c>
      <c r="L2493">
        <v>43.95</v>
      </c>
      <c r="M2493">
        <v>33.018000000000001</v>
      </c>
      <c r="N2493">
        <v>43.95</v>
      </c>
      <c r="O2493" t="s">
        <v>2833</v>
      </c>
      <c r="P2493" t="s">
        <v>2833</v>
      </c>
      <c r="Q2493" t="s">
        <v>2833</v>
      </c>
      <c r="R2493">
        <f ca="1">RAND()*(Validation[[#This Row],[Range1_High]]-Validation[[#This Row],[Range1_Low]])+Validation[[#This Row],[Range1_Low]]</f>
        <v>7.4196185733512898</v>
      </c>
      <c r="S2493">
        <f>Validation[[#This Row],[Range2_High]]</f>
        <v>4000</v>
      </c>
      <c r="T2493" t="str" cm="1">
        <f t="array" aca="1" ref="T2493" ca="1">RoundToTwoSigFigs(Validation[[#This Row],[Test Reading]]*Validation[[#This Row],[Mult]]+Validation[[#This Row],[Base]]) &amp;" "&amp;Validation[[#This Row],[Uncert_Units]]</f>
        <v>360 mV</v>
      </c>
      <c r="U2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V2493" t="b">
        <f ca="1">Validation[[#This Row],[Desired Result]]=Validation[[#This Row],[Result]]</f>
        <v>1</v>
      </c>
      <c r="W2493" t="b">
        <v>0</v>
      </c>
      <c r="X2493" t="b">
        <f>Validation[[#This Row],[Range1_Low]]&gt;=Validation[[#This Row],[Range1_High]]</f>
        <v>0</v>
      </c>
      <c r="Y2493" s="111" t="s">
        <v>2845</v>
      </c>
    </row>
    <row r="2494" spans="1:25" ht="16.5" thickTop="1" thickBot="1" x14ac:dyDescent="0.3">
      <c r="A2494" t="s">
        <v>54</v>
      </c>
      <c r="B2494" t="s">
        <v>8</v>
      </c>
      <c r="C2494" s="113">
        <v>0.33</v>
      </c>
      <c r="D2494" s="113">
        <v>3.3001</v>
      </c>
      <c r="E2494">
        <v>1E-3</v>
      </c>
      <c r="F2494" t="s">
        <v>6</v>
      </c>
      <c r="G2494" t="s">
        <v>4</v>
      </c>
      <c r="H2494">
        <v>4.4999999999999998E-2</v>
      </c>
      <c r="I2494">
        <v>10.00001</v>
      </c>
      <c r="J2494" t="s">
        <v>10</v>
      </c>
      <c r="K2494">
        <v>0.52675000000000005</v>
      </c>
      <c r="L2494">
        <v>0.24887000000000001</v>
      </c>
      <c r="M2494">
        <v>0.52639999999999998</v>
      </c>
      <c r="N2494">
        <v>0.24884999999999999</v>
      </c>
      <c r="O2494" t="s">
        <v>2833</v>
      </c>
      <c r="P2494" t="s">
        <v>2833</v>
      </c>
      <c r="Q2494" t="s">
        <v>2833</v>
      </c>
      <c r="R2494">
        <f ca="1">RAND()*(Validation[[#This Row],[Range1_High]]-Validation[[#This Row],[Range1_Low]])+Validation[[#This Row],[Range1_Low]]</f>
        <v>0.75383552036568147</v>
      </c>
      <c r="S2494">
        <f>Validation[[#This Row],[Range2_High]]</f>
        <v>10.00001</v>
      </c>
      <c r="T2494" t="str" cm="1">
        <f t="array" aca="1" ref="T2494" ca="1">RoundToTwoSigFigs(Validation[[#This Row],[Test Reading]]*Validation[[#This Row],[Mult]]+Validation[[#This Row],[Base]]) &amp;" "&amp;Validation[[#This Row],[Uncert_Units]]</f>
        <v>0.71 mV</v>
      </c>
      <c r="U2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mV</v>
      </c>
      <c r="V2494" t="b">
        <f ca="1">Validation[[#This Row],[Desired Result]]=Validation[[#This Row],[Result]]</f>
        <v>0</v>
      </c>
      <c r="W2494" t="b">
        <v>1</v>
      </c>
      <c r="X2494" t="b">
        <f>Validation[[#This Row],[Range1_Low]]&gt;=Validation[[#This Row],[Range1_High]]</f>
        <v>0</v>
      </c>
      <c r="Y2494" s="111" t="s">
        <v>2843</v>
      </c>
    </row>
    <row r="2495" spans="1:25" ht="16.5" thickTop="1" thickBot="1" x14ac:dyDescent="0.3">
      <c r="A2495" t="s">
        <v>55</v>
      </c>
      <c r="B2495" t="s">
        <v>17</v>
      </c>
      <c r="C2495" s="113">
        <v>1000000</v>
      </c>
      <c r="D2495" s="113">
        <v>10000000</v>
      </c>
      <c r="E2495">
        <v>100</v>
      </c>
      <c r="F2495" t="s">
        <v>9</v>
      </c>
      <c r="G2495" t="s">
        <v>9</v>
      </c>
      <c r="H2495">
        <v>0</v>
      </c>
      <c r="I2495">
        <v>0</v>
      </c>
      <c r="J2495" t="s">
        <v>2833</v>
      </c>
      <c r="K2495">
        <v>1.3573999999999999E-2</v>
      </c>
      <c r="L2495">
        <v>1.2799E-7</v>
      </c>
      <c r="M2495">
        <v>1.3571E-2</v>
      </c>
      <c r="N2495">
        <v>1.2799E-7</v>
      </c>
      <c r="O2495" t="s">
        <v>2833</v>
      </c>
      <c r="P2495" t="s">
        <v>2833</v>
      </c>
      <c r="Q2495" t="s">
        <v>2833</v>
      </c>
      <c r="R2495">
        <f ca="1">RAND()*(Validation[[#This Row],[Range1_High]]-Validation[[#This Row],[Range1_Low]])+Validation[[#This Row],[Range1_Low]]</f>
        <v>1578113.4848589487</v>
      </c>
      <c r="S2495">
        <f>Validation[[#This Row],[Range2_High]]</f>
        <v>0</v>
      </c>
      <c r="T2495" t="str" cm="1">
        <f t="array" aca="1" ref="T2495" ca="1">RoundToTwoSigFigs(Validation[[#This Row],[Test Reading]]*Validation[[#This Row],[Mult]]+Validation[[#This Row],[Base]]) &amp;" "&amp;Validation[[#This Row],[Uncert_Units]]</f>
        <v>0.22 Hz</v>
      </c>
      <c r="U2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Hz</v>
      </c>
      <c r="V2495" t="b">
        <f ca="1">Validation[[#This Row],[Desired Result]]=Validation[[#This Row],[Result]]</f>
        <v>1</v>
      </c>
      <c r="W2495" t="b">
        <v>1</v>
      </c>
      <c r="X2495" t="b">
        <f>Validation[[#This Row],[Range1_Low]]&gt;=Validation[[#This Row],[Range1_High]]</f>
        <v>0</v>
      </c>
      <c r="Y2495" s="111" t="s">
        <v>2843</v>
      </c>
    </row>
    <row r="2496" spans="1:25" ht="16.5" thickTop="1" thickBot="1" x14ac:dyDescent="0.3">
      <c r="A2496" t="s">
        <v>55</v>
      </c>
      <c r="B2496" t="s">
        <v>17</v>
      </c>
      <c r="C2496" s="113">
        <v>10000</v>
      </c>
      <c r="D2496" s="113">
        <v>100000</v>
      </c>
      <c r="E2496">
        <v>100</v>
      </c>
      <c r="F2496" t="s">
        <v>9</v>
      </c>
      <c r="G2496" t="s">
        <v>9</v>
      </c>
      <c r="H2496">
        <v>0</v>
      </c>
      <c r="I2496">
        <v>0</v>
      </c>
      <c r="J2496" t="s">
        <v>2833</v>
      </c>
      <c r="K2496">
        <v>5.7844E-2</v>
      </c>
      <c r="L2496">
        <v>5.7843999999999997E-5</v>
      </c>
      <c r="M2496">
        <v>5.7844E-2</v>
      </c>
      <c r="N2496">
        <v>1.571E-8</v>
      </c>
      <c r="O2496" t="s">
        <v>2833</v>
      </c>
      <c r="P2496" t="s">
        <v>2833</v>
      </c>
      <c r="Q2496" t="s">
        <v>2833</v>
      </c>
      <c r="R2496">
        <f ca="1">RAND()*(Validation[[#This Row],[Range1_High]]-Validation[[#This Row],[Range1_Low]])+Validation[[#This Row],[Range1_Low]]</f>
        <v>95849.108912594122</v>
      </c>
      <c r="S2496">
        <f>Validation[[#This Row],[Range2_High]]</f>
        <v>0</v>
      </c>
      <c r="T2496" t="str" cm="1">
        <f t="array" aca="1" ref="T2496" ca="1">RoundToTwoSigFigs(Validation[[#This Row],[Test Reading]]*Validation[[#This Row],[Mult]]+Validation[[#This Row],[Base]]) &amp;" "&amp;Validation[[#This Row],[Uncert_Units]]</f>
        <v>5.6 Hz</v>
      </c>
      <c r="U2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Hz</v>
      </c>
      <c r="V2496" t="b">
        <f ca="1">Validation[[#This Row],[Desired Result]]=Validation[[#This Row],[Result]]</f>
        <v>1</v>
      </c>
      <c r="W2496" t="b">
        <v>1</v>
      </c>
      <c r="X2496" t="b">
        <f>Validation[[#This Row],[Range1_Low]]&gt;=Validation[[#This Row],[Range1_High]]</f>
        <v>0</v>
      </c>
      <c r="Y2496" s="111" t="s">
        <v>2843</v>
      </c>
    </row>
    <row r="2497" spans="1:25" ht="15.75" thickTop="1" x14ac:dyDescent="0.25">
      <c r="A2497" t="s">
        <v>55</v>
      </c>
      <c r="B2497" t="s">
        <v>17</v>
      </c>
      <c r="C2497">
        <v>1000000</v>
      </c>
      <c r="D2497">
        <v>10000000</v>
      </c>
      <c r="E2497">
        <v>10</v>
      </c>
      <c r="F2497" t="s">
        <v>9</v>
      </c>
      <c r="G2497" t="s">
        <v>9</v>
      </c>
      <c r="H2497">
        <v>0</v>
      </c>
      <c r="I2497">
        <v>0</v>
      </c>
      <c r="J2497" t="s">
        <v>2833</v>
      </c>
      <c r="K2497">
        <v>1.9518000000000001E-4</v>
      </c>
      <c r="L2497">
        <v>1.2919999999999999E-7</v>
      </c>
      <c r="M2497">
        <v>1.3836999999999999E-4</v>
      </c>
      <c r="N2497">
        <v>1.2921E-7</v>
      </c>
      <c r="O2497" t="s">
        <v>2833</v>
      </c>
      <c r="P2497" t="s">
        <v>2833</v>
      </c>
      <c r="Q2497" t="s">
        <v>2833</v>
      </c>
      <c r="R2497">
        <f ca="1">RAND()*(Validation[[#This Row],[Range1_High]]-Validation[[#This Row],[Range1_Low]])+Validation[[#This Row],[Range1_Low]]</f>
        <v>4233916.9985638149</v>
      </c>
      <c r="S2497">
        <f>Validation[[#This Row],[Range2_High]]</f>
        <v>0</v>
      </c>
      <c r="T2497" t="str" cm="1">
        <f t="array" aca="1" ref="T2497" ca="1">RoundToTwoSigFigs(Validation[[#This Row],[Test Reading]]*Validation[[#This Row],[Mult]]+Validation[[#This Row],[Base]]) &amp;" "&amp;Validation[[#This Row],[Uncert_Units]]</f>
        <v>0.55 Hz</v>
      </c>
      <c r="U2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Hz</v>
      </c>
      <c r="V2497" t="b">
        <f ca="1">Validation[[#This Row],[Desired Result]]=Validation[[#This Row],[Result]]</f>
        <v>1</v>
      </c>
      <c r="W2497" t="b">
        <v>0</v>
      </c>
      <c r="X2497" t="b">
        <f>Validation[[#This Row],[Range1_Low]]&gt;=Validation[[#This Row],[Range1_High]]</f>
        <v>0</v>
      </c>
      <c r="Y2497" s="111" t="s">
        <v>2845</v>
      </c>
    </row>
    <row r="2498" spans="1:25" x14ac:dyDescent="0.25">
      <c r="A2498" t="s">
        <v>54</v>
      </c>
      <c r="B2498" t="s">
        <v>17</v>
      </c>
      <c r="C2498">
        <v>1200000</v>
      </c>
      <c r="D2498">
        <v>2000000</v>
      </c>
      <c r="E2498">
        <v>100000</v>
      </c>
      <c r="F2498" t="s">
        <v>9</v>
      </c>
      <c r="G2498" t="s">
        <v>10</v>
      </c>
      <c r="H2498">
        <v>0</v>
      </c>
      <c r="I2498">
        <v>0</v>
      </c>
      <c r="J2498" t="s">
        <v>2833</v>
      </c>
      <c r="K2498">
        <v>57.732999999999997</v>
      </c>
      <c r="L2498">
        <v>4.5960999999999999E-6</v>
      </c>
      <c r="M2498">
        <v>57.734000000000002</v>
      </c>
      <c r="N2498">
        <v>1.4028999999999999E-6</v>
      </c>
      <c r="O2498" t="s">
        <v>2833</v>
      </c>
      <c r="P2498" t="s">
        <v>2833</v>
      </c>
      <c r="Q2498" t="s">
        <v>2833</v>
      </c>
      <c r="R2498">
        <f ca="1">RAND()*(Validation[[#This Row],[Range1_High]]-Validation[[#This Row],[Range1_Low]])+Validation[[#This Row],[Range1_Low]]</f>
        <v>1478956.1409536861</v>
      </c>
      <c r="S2498">
        <f>Validation[[#This Row],[Range2_High]]</f>
        <v>0</v>
      </c>
      <c r="T2498" t="str" cm="1">
        <f t="array" aca="1" ref="T2498" ca="1">RoundToTwoSigFigs(Validation[[#This Row],[Test Reading]]*Validation[[#This Row],[Mult]]+Validation[[#This Row],[Base]]) &amp;" "&amp;Validation[[#This Row],[Uncert_Units]]</f>
        <v>65 kHz</v>
      </c>
      <c r="U2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kHz</v>
      </c>
      <c r="V2498" t="b">
        <f ca="1">Validation[[#This Row],[Desired Result]]=Validation[[#This Row],[Result]]</f>
        <v>1</v>
      </c>
      <c r="W2498" t="b">
        <v>0</v>
      </c>
      <c r="X2498" t="b">
        <f>Validation[[#This Row],[Range1_Low]]&gt;=Validation[[#This Row],[Range1_High]]</f>
        <v>0</v>
      </c>
      <c r="Y2498" s="111" t="s">
        <v>2845</v>
      </c>
    </row>
    <row r="2499" spans="1:25" x14ac:dyDescent="0.25">
      <c r="A2499" t="s">
        <v>54</v>
      </c>
      <c r="B2499" t="s">
        <v>17</v>
      </c>
      <c r="C2499">
        <v>12000</v>
      </c>
      <c r="D2499">
        <v>120010</v>
      </c>
      <c r="E2499">
        <v>1000</v>
      </c>
      <c r="F2499" t="s">
        <v>9</v>
      </c>
      <c r="G2499" t="s">
        <v>9</v>
      </c>
      <c r="H2499">
        <v>0</v>
      </c>
      <c r="I2499">
        <v>0</v>
      </c>
      <c r="J2499" t="s">
        <v>2833</v>
      </c>
      <c r="K2499">
        <v>577.75</v>
      </c>
      <c r="L2499">
        <v>1.9059E-6</v>
      </c>
      <c r="M2499">
        <v>577.61</v>
      </c>
      <c r="N2499">
        <v>9.6075000000000008E-7</v>
      </c>
      <c r="O2499" t="s">
        <v>2833</v>
      </c>
      <c r="P2499" t="s">
        <v>2833</v>
      </c>
      <c r="Q2499" t="s">
        <v>2833</v>
      </c>
      <c r="R2499">
        <f ca="1">RAND()*(Validation[[#This Row],[Range1_High]]-Validation[[#This Row],[Range1_Low]])+Validation[[#This Row],[Range1_Low]]</f>
        <v>49103.869938806507</v>
      </c>
      <c r="S2499">
        <f>Validation[[#This Row],[Range2_High]]</f>
        <v>0</v>
      </c>
      <c r="T2499" t="str" cm="1">
        <f t="array" aca="1" ref="T2499" ca="1">RoundToTwoSigFigs(Validation[[#This Row],[Test Reading]]*Validation[[#This Row],[Mult]]+Validation[[#This Row],[Base]]) &amp;" "&amp;Validation[[#This Row],[Uncert_Units]]</f>
        <v>580 Hz</v>
      </c>
      <c r="U2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V2499" t="b">
        <f ca="1">Validation[[#This Row],[Desired Result]]=Validation[[#This Row],[Result]]</f>
        <v>1</v>
      </c>
      <c r="W2499" t="b">
        <v>0</v>
      </c>
      <c r="X2499" t="b">
        <f>Validation[[#This Row],[Range1_Low]]&gt;=Validation[[#This Row],[Range1_High]]</f>
        <v>0</v>
      </c>
      <c r="Y2499" s="111" t="s">
        <v>2845</v>
      </c>
    </row>
    <row r="2500" spans="1:25" ht="15.75" thickBot="1" x14ac:dyDescent="0.3">
      <c r="A2500" t="s">
        <v>54</v>
      </c>
      <c r="B2500" t="s">
        <v>17</v>
      </c>
      <c r="C2500">
        <v>0</v>
      </c>
      <c r="D2500">
        <v>120.001</v>
      </c>
      <c r="E2500">
        <v>1E-3</v>
      </c>
      <c r="F2500" t="s">
        <v>9</v>
      </c>
      <c r="G2500" t="s">
        <v>9</v>
      </c>
      <c r="H2500">
        <v>0</v>
      </c>
      <c r="I2500">
        <v>0</v>
      </c>
      <c r="J2500" t="s">
        <v>2833</v>
      </c>
      <c r="K2500">
        <v>6.0000000000000001E-3</v>
      </c>
      <c r="L2500">
        <v>1.2999999999999999E-5</v>
      </c>
      <c r="M2500">
        <v>1.2888999999999999E-3</v>
      </c>
      <c r="N2500">
        <v>2.8E-5</v>
      </c>
      <c r="O2500" t="s">
        <v>2833</v>
      </c>
      <c r="P2500" t="s">
        <v>2833</v>
      </c>
      <c r="Q2500" t="s">
        <v>2833</v>
      </c>
      <c r="R2500">
        <f ca="1">RAND()*(Validation[[#This Row],[Range1_High]]-Validation[[#This Row],[Range1_Low]])+Validation[[#This Row],[Range1_Low]]</f>
        <v>42.849894229847123</v>
      </c>
      <c r="S2500">
        <f>Validation[[#This Row],[Range2_High]]</f>
        <v>0</v>
      </c>
      <c r="T2500" t="str" cm="1">
        <f t="array" aca="1" ref="T2500" ca="1">RoundToTwoSigFigs(Validation[[#This Row],[Test Reading]]*Validation[[#This Row],[Mult]]+Validation[[#This Row],[Base]]) &amp;" "&amp;Validation[[#This Row],[Uncert_Units]]</f>
        <v>0.0066 Hz</v>
      </c>
      <c r="U2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0.0066 Hz</v>
      </c>
      <c r="V2500" t="b">
        <f ca="1">Validation[[#This Row],[Desired Result]]=Validation[[#This Row],[Result]]</f>
        <v>1</v>
      </c>
      <c r="W2500" t="b">
        <v>0</v>
      </c>
      <c r="X2500" t="b">
        <f>Validation[[#This Row],[Range1_Low]]&gt;=Validation[[#This Row],[Range1_High]]</f>
        <v>0</v>
      </c>
      <c r="Y2500" s="111" t="s">
        <v>2845</v>
      </c>
    </row>
    <row r="2501" spans="1:25" ht="16.5" thickTop="1" thickBot="1" x14ac:dyDescent="0.3">
      <c r="A2501" t="s">
        <v>55</v>
      </c>
      <c r="B2501" t="s">
        <v>17</v>
      </c>
      <c r="C2501" s="113">
        <v>1000</v>
      </c>
      <c r="D2501" s="113">
        <v>10000</v>
      </c>
      <c r="E2501">
        <v>10</v>
      </c>
      <c r="F2501" t="s">
        <v>9</v>
      </c>
      <c r="G2501" t="s">
        <v>9</v>
      </c>
      <c r="H2501">
        <v>0</v>
      </c>
      <c r="I2501">
        <v>0</v>
      </c>
      <c r="J2501" t="s">
        <v>2833</v>
      </c>
      <c r="K2501">
        <v>5.7844000000000003E-3</v>
      </c>
      <c r="L2501">
        <v>1.571E-8</v>
      </c>
      <c r="M2501">
        <v>5.7844000000000003E-3</v>
      </c>
      <c r="N2501">
        <v>1.571E-8</v>
      </c>
      <c r="O2501" t="s">
        <v>2833</v>
      </c>
      <c r="P2501" t="s">
        <v>2833</v>
      </c>
      <c r="Q2501" t="s">
        <v>2833</v>
      </c>
      <c r="R2501">
        <f ca="1">RAND()*(Validation[[#This Row],[Range1_High]]-Validation[[#This Row],[Range1_Low]])+Validation[[#This Row],[Range1_Low]]</f>
        <v>3384.4504027699109</v>
      </c>
      <c r="S2501">
        <f>Validation[[#This Row],[Range2_High]]</f>
        <v>0</v>
      </c>
      <c r="T2501" t="str" cm="1">
        <f t="array" aca="1" ref="T2501" ca="1">RoundToTwoSigFigs(Validation[[#This Row],[Test Reading]]*Validation[[#This Row],[Mult]]+Validation[[#This Row],[Base]]) &amp;" "&amp;Validation[[#This Row],[Uncert_Units]]</f>
        <v>0.0058 Hz</v>
      </c>
      <c r="U2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V2501" t="b">
        <f ca="1">Validation[[#This Row],[Desired Result]]=Validation[[#This Row],[Result]]</f>
        <v>1</v>
      </c>
      <c r="W2501" t="b">
        <v>1</v>
      </c>
      <c r="X2501" t="b">
        <f>Validation[[#This Row],[Range1_Low]]&gt;=Validation[[#This Row],[Range1_High]]</f>
        <v>0</v>
      </c>
      <c r="Y2501" s="111" t="s">
        <v>2843</v>
      </c>
    </row>
    <row r="2502" spans="1:25" ht="16.5" thickTop="1" thickBot="1" x14ac:dyDescent="0.3">
      <c r="A2502" t="s">
        <v>54</v>
      </c>
      <c r="B2502" t="s">
        <v>47</v>
      </c>
      <c r="C2502" s="113">
        <v>3.3000000000000002E-2</v>
      </c>
      <c r="D2502" s="113">
        <v>0.33001000000000003</v>
      </c>
      <c r="E2502">
        <v>1.0000000000000001E-5</v>
      </c>
      <c r="F2502" t="s">
        <v>13</v>
      </c>
      <c r="G2502" t="s">
        <v>12</v>
      </c>
      <c r="H2502">
        <v>1</v>
      </c>
      <c r="I2502">
        <v>5.01</v>
      </c>
      <c r="J2502" t="s">
        <v>10</v>
      </c>
      <c r="K2502">
        <v>5.8000000000000003E-2</v>
      </c>
      <c r="L2502">
        <v>1.2</v>
      </c>
      <c r="M2502">
        <v>5.7825000000000001E-2</v>
      </c>
      <c r="N2502">
        <v>1.1583000000000001</v>
      </c>
      <c r="O2502" t="s">
        <v>2833</v>
      </c>
      <c r="P2502" t="s">
        <v>2833</v>
      </c>
      <c r="Q2502" t="s">
        <v>2833</v>
      </c>
      <c r="R2502">
        <f ca="1">RAND()*(Validation[[#This Row],[Range1_High]]-Validation[[#This Row],[Range1_Low]])+Validation[[#This Row],[Range1_Low]]</f>
        <v>0.19832467867882314</v>
      </c>
      <c r="S2502">
        <f>Validation[[#This Row],[Range2_High]]</f>
        <v>5.01</v>
      </c>
      <c r="T2502" t="str" cm="1">
        <f t="array" aca="1" ref="T2502" ca="1">RoundToTwoSigFigs(Validation[[#This Row],[Test Reading]]*Validation[[#This Row],[Mult]]+Validation[[#This Row],[Base]]) &amp;" "&amp;Validation[[#This Row],[Uncert_Units]]</f>
        <v>0.3 mA</v>
      </c>
      <c r="U2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mA</v>
      </c>
      <c r="V2502" t="b">
        <f ca="1">Validation[[#This Row],[Desired Result]]=Validation[[#This Row],[Result]]</f>
        <v>1</v>
      </c>
      <c r="W2502" t="b">
        <v>1</v>
      </c>
      <c r="X2502" t="b">
        <f>Validation[[#This Row],[Range1_Low]]&gt;=Validation[[#This Row],[Range1_High]]</f>
        <v>0</v>
      </c>
      <c r="Y2502" s="111" t="s">
        <v>2843</v>
      </c>
    </row>
    <row r="2503" spans="1:25" ht="16.5" thickTop="1" thickBot="1" x14ac:dyDescent="0.3">
      <c r="A2503" t="s">
        <v>54</v>
      </c>
      <c r="B2503" t="s">
        <v>47</v>
      </c>
      <c r="C2503">
        <v>3.3E-4</v>
      </c>
      <c r="D2503">
        <v>3.3000999999999998E-3</v>
      </c>
      <c r="E2503">
        <v>1E-4</v>
      </c>
      <c r="F2503" t="s">
        <v>13</v>
      </c>
      <c r="G2503" t="s">
        <v>11</v>
      </c>
      <c r="H2503">
        <v>1</v>
      </c>
      <c r="I2503">
        <v>5.01</v>
      </c>
      <c r="J2503" t="s">
        <v>10</v>
      </c>
      <c r="K2503">
        <v>57.686</v>
      </c>
      <c r="L2503">
        <v>176.15</v>
      </c>
      <c r="M2503">
        <v>57.686</v>
      </c>
      <c r="N2503">
        <v>176.12</v>
      </c>
      <c r="O2503" t="s">
        <v>2833</v>
      </c>
      <c r="P2503" t="s">
        <v>2833</v>
      </c>
      <c r="Q2503" t="s">
        <v>2833</v>
      </c>
      <c r="R2503">
        <f ca="1">RAND()*(Validation[[#This Row],[Range1_High]]-Validation[[#This Row],[Range1_Low]])+Validation[[#This Row],[Range1_Low]]</f>
        <v>2.2769498638854548E-3</v>
      </c>
      <c r="S2503">
        <f>Validation[[#This Row],[Range2_High]]</f>
        <v>5.01</v>
      </c>
      <c r="T2503" t="str" cm="1">
        <f t="array" aca="1" ref="T2503" ca="1">RoundToTwoSigFigs(Validation[[#This Row],[Test Reading]]*Validation[[#This Row],[Mult]]+Validation[[#This Row],[Base]]) &amp;" "&amp;Validation[[#This Row],[Uncert_Units]]</f>
        <v>58 µA</v>
      </c>
      <c r="U2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2503" t="b">
        <f ca="1">Validation[[#This Row],[Desired Result]]=Validation[[#This Row],[Result]]</f>
        <v>1</v>
      </c>
      <c r="W2503" t="b">
        <v>0</v>
      </c>
      <c r="X2503" t="b">
        <f>Validation[[#This Row],[Range1_Low]]&gt;=Validation[[#This Row],[Range1_High]]</f>
        <v>0</v>
      </c>
      <c r="Y2503" s="111" t="s">
        <v>2845</v>
      </c>
    </row>
    <row r="2504" spans="1:25" ht="16.5" thickTop="1" thickBot="1" x14ac:dyDescent="0.3">
      <c r="A2504" t="s">
        <v>55</v>
      </c>
      <c r="B2504" t="s">
        <v>47</v>
      </c>
      <c r="C2504" s="113">
        <v>1</v>
      </c>
      <c r="D2504" s="113">
        <v>10</v>
      </c>
      <c r="E2504">
        <v>0.01</v>
      </c>
      <c r="F2504" t="s">
        <v>13</v>
      </c>
      <c r="G2504" t="s">
        <v>12</v>
      </c>
      <c r="H2504">
        <v>0.05</v>
      </c>
      <c r="I2504">
        <v>1</v>
      </c>
      <c r="J2504" t="s">
        <v>10</v>
      </c>
      <c r="K2504">
        <v>5.7925000000000004</v>
      </c>
      <c r="L2504">
        <v>2.3675999999999999E-2</v>
      </c>
      <c r="M2504">
        <v>5.7849000000000004</v>
      </c>
      <c r="N2504">
        <v>2.3706000000000001E-2</v>
      </c>
      <c r="O2504" t="s">
        <v>2833</v>
      </c>
      <c r="P2504" t="s">
        <v>2833</v>
      </c>
      <c r="Q2504" t="s">
        <v>2833</v>
      </c>
      <c r="R2504">
        <f ca="1">RAND()*(Validation[[#This Row],[Range1_High]]-Validation[[#This Row],[Range1_Low]])+Validation[[#This Row],[Range1_Low]]</f>
        <v>9.5657418080540761</v>
      </c>
      <c r="S2504">
        <f>Validation[[#This Row],[Range2_High]]</f>
        <v>1</v>
      </c>
      <c r="T2504" t="str" cm="1">
        <f t="array" aca="1" ref="T2504" ca="1">RoundToTwoSigFigs(Validation[[#This Row],[Test Reading]]*Validation[[#This Row],[Mult]]+Validation[[#This Row],[Base]]) &amp;" "&amp;Validation[[#This Row],[Uncert_Units]]</f>
        <v>6 mA</v>
      </c>
      <c r="U2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V2504" t="b">
        <f ca="1">Validation[[#This Row],[Desired Result]]=Validation[[#This Row],[Result]]</f>
        <v>0</v>
      </c>
      <c r="W2504" t="b">
        <v>1</v>
      </c>
      <c r="X2504" t="b">
        <f>Validation[[#This Row],[Range1_Low]]&gt;=Validation[[#This Row],[Range1_High]]</f>
        <v>0</v>
      </c>
      <c r="Y2504" s="111" t="s">
        <v>2843</v>
      </c>
    </row>
    <row r="2505" spans="1:25" ht="16.5" thickTop="1" thickBot="1" x14ac:dyDescent="0.3">
      <c r="A2505" t="s">
        <v>55</v>
      </c>
      <c r="B2505" t="s">
        <v>47</v>
      </c>
      <c r="C2505">
        <v>1E-3</v>
      </c>
      <c r="D2505">
        <v>0.01</v>
      </c>
      <c r="E2505">
        <v>1E-4</v>
      </c>
      <c r="F2505" t="s">
        <v>13</v>
      </c>
      <c r="G2505" t="s">
        <v>11</v>
      </c>
      <c r="H2505">
        <v>4.4999999999999998E-2</v>
      </c>
      <c r="I2505">
        <v>0.1</v>
      </c>
      <c r="J2505" t="s">
        <v>10</v>
      </c>
      <c r="K2505">
        <v>57.749000000000002</v>
      </c>
      <c r="L2505">
        <v>79.009</v>
      </c>
      <c r="M2505">
        <v>57.741999999999997</v>
      </c>
      <c r="N2505">
        <v>74.17</v>
      </c>
      <c r="O2505" t="s">
        <v>2833</v>
      </c>
      <c r="P2505" t="s">
        <v>2833</v>
      </c>
      <c r="Q2505" t="s">
        <v>2833</v>
      </c>
      <c r="R2505">
        <f ca="1">RAND()*(Validation[[#This Row],[Range1_High]]-Validation[[#This Row],[Range1_Low]])+Validation[[#This Row],[Range1_Low]]</f>
        <v>5.1826613478644567E-3</v>
      </c>
      <c r="S2505">
        <f>Validation[[#This Row],[Range2_High]]</f>
        <v>0.1</v>
      </c>
      <c r="T2505" t="str" cm="1">
        <f t="array" aca="1" ref="T2505" ca="1">RoundToTwoSigFigs(Validation[[#This Row],[Test Reading]]*Validation[[#This Row],[Mult]]+Validation[[#This Row],[Base]]) &amp;" "&amp;Validation[[#This Row],[Uncert_Units]]</f>
        <v>58 µA</v>
      </c>
      <c r="U2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2505" t="b">
        <f ca="1">Validation[[#This Row],[Desired Result]]=Validation[[#This Row],[Result]]</f>
        <v>1</v>
      </c>
      <c r="W2505" t="b">
        <v>1</v>
      </c>
      <c r="X2505" t="b">
        <f>Validation[[#This Row],[Range1_Low]]&gt;=Validation[[#This Row],[Range1_High]]</f>
        <v>0</v>
      </c>
      <c r="Y2505" s="111" t="s">
        <v>2845</v>
      </c>
    </row>
    <row r="2506" spans="1:25" ht="16.5" thickTop="1" thickBot="1" x14ac:dyDescent="0.3">
      <c r="A2506" t="s">
        <v>54</v>
      </c>
      <c r="B2506" t="s">
        <v>47</v>
      </c>
      <c r="C2506" s="113">
        <v>11</v>
      </c>
      <c r="D2506" s="113">
        <v>20.501000000000001</v>
      </c>
      <c r="E2506">
        <v>1</v>
      </c>
      <c r="F2506" t="s">
        <v>13</v>
      </c>
      <c r="G2506" t="s">
        <v>12</v>
      </c>
      <c r="H2506">
        <v>5</v>
      </c>
      <c r="I2506">
        <v>5.01</v>
      </c>
      <c r="J2506" t="s">
        <v>10</v>
      </c>
      <c r="K2506">
        <v>437.55</v>
      </c>
      <c r="L2506">
        <v>23.603000000000002</v>
      </c>
      <c r="M2506">
        <v>437.54</v>
      </c>
      <c r="N2506">
        <v>23.602</v>
      </c>
      <c r="O2506" t="s">
        <v>2833</v>
      </c>
      <c r="P2506" t="s">
        <v>2833</v>
      </c>
      <c r="Q2506" t="s">
        <v>2833</v>
      </c>
      <c r="R2506">
        <f ca="1">RAND()*(Validation[[#This Row],[Range1_High]]-Validation[[#This Row],[Range1_Low]])+Validation[[#This Row],[Range1_Low]]</f>
        <v>11.66320391344242</v>
      </c>
      <c r="S2506">
        <f>Validation[[#This Row],[Range2_High]]</f>
        <v>5.01</v>
      </c>
      <c r="T2506" t="str" cm="1">
        <f t="array" aca="1" ref="T2506" ca="1">RoundToTwoSigFigs(Validation[[#This Row],[Test Reading]]*Validation[[#This Row],[Mult]]+Validation[[#This Row],[Base]]) &amp;" "&amp;Validation[[#This Row],[Uncert_Units]]</f>
        <v>710 mA</v>
      </c>
      <c r="U2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V2506" t="b">
        <f ca="1">Validation[[#This Row],[Desired Result]]=Validation[[#This Row],[Result]]</f>
        <v>1</v>
      </c>
      <c r="W2506" t="b">
        <v>1</v>
      </c>
      <c r="X2506" t="b">
        <f>Validation[[#This Row],[Range1_Low]]&gt;=Validation[[#This Row],[Range1_High]]</f>
        <v>0</v>
      </c>
      <c r="Y2506" s="111" t="s">
        <v>2843</v>
      </c>
    </row>
    <row r="2507" spans="1:25" ht="15.75" thickTop="1" x14ac:dyDescent="0.25">
      <c r="A2507" t="s">
        <v>54</v>
      </c>
      <c r="B2507" t="s">
        <v>47</v>
      </c>
      <c r="C2507">
        <v>3</v>
      </c>
      <c r="D2507">
        <v>11.000999999999999</v>
      </c>
      <c r="E2507">
        <v>0.1</v>
      </c>
      <c r="F2507" t="s">
        <v>13</v>
      </c>
      <c r="G2507" t="s">
        <v>12</v>
      </c>
      <c r="H2507">
        <v>0.1</v>
      </c>
      <c r="I2507">
        <v>1.0000100000000001</v>
      </c>
      <c r="J2507" t="s">
        <v>10</v>
      </c>
      <c r="K2507">
        <v>57.411999999999999</v>
      </c>
      <c r="L2507">
        <v>0.20433000000000001</v>
      </c>
      <c r="M2507">
        <v>57.411000000000001</v>
      </c>
      <c r="N2507">
        <v>0.20413000000000001</v>
      </c>
      <c r="O2507" t="s">
        <v>2833</v>
      </c>
      <c r="P2507" t="s">
        <v>2833</v>
      </c>
      <c r="Q2507" t="s">
        <v>2833</v>
      </c>
      <c r="R2507">
        <f ca="1">RAND()*(Validation[[#This Row],[Range1_High]]-Validation[[#This Row],[Range1_Low]])+Validation[[#This Row],[Range1_Low]]</f>
        <v>10.367267368252637</v>
      </c>
      <c r="S2507">
        <f>Validation[[#This Row],[Range2_High]]</f>
        <v>1.0000100000000001</v>
      </c>
      <c r="T2507" t="str" cm="1">
        <f t="array" aca="1" ref="T2507" ca="1">RoundToTwoSigFigs(Validation[[#This Row],[Test Reading]]*Validation[[#This Row],[Mult]]+Validation[[#This Row],[Base]]) &amp;" "&amp;Validation[[#This Row],[Uncert_Units]]</f>
        <v>60 mA</v>
      </c>
      <c r="U2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V2507" t="b">
        <f ca="1">Validation[[#This Row],[Desired Result]]=Validation[[#This Row],[Result]]</f>
        <v>1</v>
      </c>
      <c r="W2507" t="b">
        <v>0</v>
      </c>
      <c r="X2507" t="b">
        <f>Validation[[#This Row],[Range1_Low]]&gt;=Validation[[#This Row],[Range1_High]]</f>
        <v>0</v>
      </c>
      <c r="Y2507" s="111" t="s">
        <v>2845</v>
      </c>
    </row>
    <row r="2508" spans="1:25" ht="15.75" thickBot="1" x14ac:dyDescent="0.3">
      <c r="A2508" t="s">
        <v>54</v>
      </c>
      <c r="B2508" t="s">
        <v>47</v>
      </c>
      <c r="C2508">
        <v>0</v>
      </c>
      <c r="D2508">
        <v>3.3000999999999999E-4</v>
      </c>
      <c r="E2508">
        <v>1E-8</v>
      </c>
      <c r="F2508" t="s">
        <v>13</v>
      </c>
      <c r="G2508" t="s">
        <v>11</v>
      </c>
      <c r="H2508">
        <v>30</v>
      </c>
      <c r="I2508">
        <v>30.1</v>
      </c>
      <c r="J2508" t="s">
        <v>10</v>
      </c>
      <c r="K2508">
        <v>0.62</v>
      </c>
      <c r="L2508">
        <v>18000</v>
      </c>
      <c r="M2508">
        <v>0.46198</v>
      </c>
      <c r="N2508">
        <v>18475</v>
      </c>
      <c r="O2508" t="s">
        <v>2833</v>
      </c>
      <c r="P2508" t="s">
        <v>2833</v>
      </c>
      <c r="Q2508" t="s">
        <v>2833</v>
      </c>
      <c r="R2508">
        <f ca="1">RAND()*(Validation[[#This Row],[Range1_High]]-Validation[[#This Row],[Range1_Low]])+Validation[[#This Row],[Range1_Low]]</f>
        <v>1.363195168771925E-5</v>
      </c>
      <c r="S2508">
        <f>Validation[[#This Row],[Range2_High]]</f>
        <v>30.1</v>
      </c>
      <c r="T2508" t="str" cm="1">
        <f t="array" aca="1" ref="T2508" ca="1">RoundToTwoSigFigs(Validation[[#This Row],[Test Reading]]*Validation[[#This Row],[Mult]]+Validation[[#This Row],[Base]]) &amp;" "&amp;Validation[[#This Row],[Uncert_Units]]</f>
        <v>0.87 µA</v>
      </c>
      <c r="U2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µA</v>
      </c>
      <c r="V2508" t="b">
        <f ca="1">Validation[[#This Row],[Desired Result]]=Validation[[#This Row],[Result]]</f>
        <v>1</v>
      </c>
      <c r="W2508" t="b">
        <v>0</v>
      </c>
      <c r="X2508" t="b">
        <f>Validation[[#This Row],[Range1_Low]]&gt;=Validation[[#This Row],[Range1_High]]</f>
        <v>0</v>
      </c>
      <c r="Y2508" s="111" t="s">
        <v>2845</v>
      </c>
    </row>
    <row r="2509" spans="1:25" ht="16.5" thickTop="1" thickBot="1" x14ac:dyDescent="0.3">
      <c r="A2509" t="s">
        <v>54</v>
      </c>
      <c r="B2509" t="s">
        <v>47</v>
      </c>
      <c r="C2509" s="113">
        <v>3.3E-3</v>
      </c>
      <c r="D2509" s="113">
        <v>3.3001000000000003E-2</v>
      </c>
      <c r="E2509">
        <v>9.9999999999999995E-7</v>
      </c>
      <c r="F2509" t="s">
        <v>13</v>
      </c>
      <c r="G2509" t="s">
        <v>11</v>
      </c>
      <c r="H2509">
        <v>0.01</v>
      </c>
      <c r="I2509">
        <v>2.001E-2</v>
      </c>
      <c r="J2509" t="s">
        <v>10</v>
      </c>
      <c r="K2509">
        <v>4.0896999999999997</v>
      </c>
      <c r="L2509">
        <v>2048.8000000000002</v>
      </c>
      <c r="M2509">
        <v>4.1185</v>
      </c>
      <c r="N2509">
        <v>2039.5</v>
      </c>
      <c r="O2509" t="s">
        <v>2833</v>
      </c>
      <c r="P2509" t="s">
        <v>2833</v>
      </c>
      <c r="Q2509" t="s">
        <v>2833</v>
      </c>
      <c r="R2509">
        <f ca="1">RAND()*(Validation[[#This Row],[Range1_High]]-Validation[[#This Row],[Range1_Low]])+Validation[[#This Row],[Range1_Low]]</f>
        <v>2.0012198215084532E-2</v>
      </c>
      <c r="S2509">
        <f>Validation[[#This Row],[Range2_High]]</f>
        <v>2.001E-2</v>
      </c>
      <c r="T2509" t="str" cm="1">
        <f t="array" aca="1" ref="T2509" ca="1">RoundToTwoSigFigs(Validation[[#This Row],[Test Reading]]*Validation[[#This Row],[Mult]]+Validation[[#This Row],[Base]]) &amp;" "&amp;Validation[[#This Row],[Uncert_Units]]</f>
        <v>45 µA</v>
      </c>
      <c r="U2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V2509" t="b">
        <f ca="1">Validation[[#This Row],[Desired Result]]=Validation[[#This Row],[Result]]</f>
        <v>1</v>
      </c>
      <c r="W2509" t="b">
        <v>1</v>
      </c>
      <c r="X2509" t="b">
        <f>Validation[[#This Row],[Range1_Low]]&gt;=Validation[[#This Row],[Range1_High]]</f>
        <v>0</v>
      </c>
      <c r="Y2509" s="111" t="s">
        <v>2843</v>
      </c>
    </row>
    <row r="2510" spans="1:25" ht="15.75" thickTop="1" x14ac:dyDescent="0.25">
      <c r="A2510" t="s">
        <v>55</v>
      </c>
      <c r="B2510" t="s">
        <v>47</v>
      </c>
      <c r="C2510">
        <v>0.1</v>
      </c>
      <c r="D2510">
        <v>1</v>
      </c>
      <c r="E2510">
        <v>0.01</v>
      </c>
      <c r="F2510" t="s">
        <v>13</v>
      </c>
      <c r="G2510" t="s">
        <v>12</v>
      </c>
      <c r="H2510">
        <v>0.1</v>
      </c>
      <c r="I2510">
        <v>5</v>
      </c>
      <c r="J2510" t="s">
        <v>10</v>
      </c>
      <c r="K2510">
        <v>5.7670000000000003</v>
      </c>
      <c r="L2510">
        <v>0.17953</v>
      </c>
      <c r="M2510">
        <v>5.7663000000000002</v>
      </c>
      <c r="N2510">
        <v>0.17826</v>
      </c>
      <c r="O2510" t="s">
        <v>2833</v>
      </c>
      <c r="P2510" t="s">
        <v>2833</v>
      </c>
      <c r="Q2510" t="s">
        <v>2833</v>
      </c>
      <c r="R2510">
        <f ca="1">RAND()*(Validation[[#This Row],[Range1_High]]-Validation[[#This Row],[Range1_Low]])+Validation[[#This Row],[Range1_Low]]</f>
        <v>0.15390747361141444</v>
      </c>
      <c r="S2510">
        <f>Validation[[#This Row],[Range2_High]]</f>
        <v>5</v>
      </c>
      <c r="T2510" t="str" cm="1">
        <f t="array" aca="1" ref="T2510" ca="1">RoundToTwoSigFigs(Validation[[#This Row],[Test Reading]]*Validation[[#This Row],[Mult]]+Validation[[#This Row],[Base]]) &amp;" "&amp;Validation[[#This Row],[Uncert_Units]]</f>
        <v>5.8 mA</v>
      </c>
      <c r="U2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V2510" t="b">
        <f ca="1">Validation[[#This Row],[Desired Result]]=Validation[[#This Row],[Result]]</f>
        <v>1</v>
      </c>
      <c r="W2510" t="b">
        <v>0</v>
      </c>
      <c r="X2510" t="b">
        <f>Validation[[#This Row],[Range1_Low]]&gt;=Validation[[#This Row],[Range1_High]]</f>
        <v>0</v>
      </c>
      <c r="Y2510" s="111" t="s">
        <v>2845</v>
      </c>
    </row>
    <row r="2511" spans="1:25" ht="15.75" thickBot="1" x14ac:dyDescent="0.3">
      <c r="A2511" t="s">
        <v>54</v>
      </c>
      <c r="B2511" t="s">
        <v>47</v>
      </c>
      <c r="C2511">
        <v>0</v>
      </c>
      <c r="D2511">
        <v>3.3000999999999999E-4</v>
      </c>
      <c r="E2511">
        <v>9.9999999999999995E-8</v>
      </c>
      <c r="F2511" t="s">
        <v>13</v>
      </c>
      <c r="G2511" t="s">
        <v>11</v>
      </c>
      <c r="H2511">
        <v>0.02</v>
      </c>
      <c r="I2511">
        <v>4.5010000000000001E-2</v>
      </c>
      <c r="J2511" t="s">
        <v>10</v>
      </c>
      <c r="K2511">
        <v>0.13</v>
      </c>
      <c r="L2511">
        <v>1700</v>
      </c>
      <c r="M2511">
        <v>0.12620000000000001</v>
      </c>
      <c r="N2511">
        <v>1707.4</v>
      </c>
      <c r="O2511" t="s">
        <v>2833</v>
      </c>
      <c r="P2511" t="s">
        <v>2833</v>
      </c>
      <c r="Q2511" t="s">
        <v>2833</v>
      </c>
      <c r="R2511">
        <f ca="1">RAND()*(Validation[[#This Row],[Range1_High]]-Validation[[#This Row],[Range1_Low]])+Validation[[#This Row],[Range1_Low]]</f>
        <v>2.9876868682842474E-4</v>
      </c>
      <c r="S2511">
        <f>Validation[[#This Row],[Range2_High]]</f>
        <v>4.5010000000000001E-2</v>
      </c>
      <c r="T2511" t="str" cm="1">
        <f t="array" aca="1" ref="T2511" ca="1">RoundToTwoSigFigs(Validation[[#This Row],[Test Reading]]*Validation[[#This Row],[Mult]]+Validation[[#This Row],[Base]]) &amp;" "&amp;Validation[[#This Row],[Uncert_Units]]</f>
        <v>0.64 µA</v>
      </c>
      <c r="U2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V2511" t="b">
        <f ca="1">Validation[[#This Row],[Desired Result]]=Validation[[#This Row],[Result]]</f>
        <v>0</v>
      </c>
      <c r="W2511" t="b">
        <v>0</v>
      </c>
      <c r="X2511" t="b">
        <f>Validation[[#This Row],[Range1_Low]]&gt;=Validation[[#This Row],[Range1_High]]</f>
        <v>0</v>
      </c>
      <c r="Y2511" s="111" t="s">
        <v>2845</v>
      </c>
    </row>
    <row r="2512" spans="1:25" ht="16.5" thickTop="1" thickBot="1" x14ac:dyDescent="0.3">
      <c r="A2512" t="s">
        <v>55</v>
      </c>
      <c r="B2512" t="s">
        <v>47</v>
      </c>
      <c r="C2512" s="113">
        <v>1E-4</v>
      </c>
      <c r="D2512" s="113">
        <v>1E-3</v>
      </c>
      <c r="E2512">
        <v>1E-8</v>
      </c>
      <c r="F2512" t="s">
        <v>13</v>
      </c>
      <c r="G2512" t="s">
        <v>11</v>
      </c>
      <c r="H2512">
        <v>1E-3</v>
      </c>
      <c r="I2512">
        <v>0.02</v>
      </c>
      <c r="J2512" t="s">
        <v>10</v>
      </c>
      <c r="K2512">
        <v>0.25</v>
      </c>
      <c r="L2512">
        <v>4600.3</v>
      </c>
      <c r="M2512">
        <v>0.23363</v>
      </c>
      <c r="N2512">
        <v>4616.5</v>
      </c>
      <c r="O2512" t="s">
        <v>2833</v>
      </c>
      <c r="P2512" t="s">
        <v>2833</v>
      </c>
      <c r="Q2512" t="s">
        <v>2833</v>
      </c>
      <c r="R2512">
        <f ca="1">RAND()*(Validation[[#This Row],[Range1_High]]-Validation[[#This Row],[Range1_Low]])+Validation[[#This Row],[Range1_Low]]</f>
        <v>3.2209412021275098E-4</v>
      </c>
      <c r="S2512">
        <f>Validation[[#This Row],[Range2_High]]</f>
        <v>0.02</v>
      </c>
      <c r="T2512" t="str" cm="1">
        <f t="array" aca="1" ref="T2512" ca="1">RoundToTwoSigFigs(Validation[[#This Row],[Test Reading]]*Validation[[#This Row],[Mult]]+Validation[[#This Row],[Base]]) &amp;" "&amp;Validation[[#This Row],[Uncert_Units]]</f>
        <v>1.7 µA</v>
      </c>
      <c r="U2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V2512" t="b">
        <f ca="1">Validation[[#This Row],[Desired Result]]=Validation[[#This Row],[Result]]</f>
        <v>1</v>
      </c>
      <c r="W2512" t="b">
        <v>1</v>
      </c>
      <c r="X2512" t="b">
        <f>Validation[[#This Row],[Range1_Low]]&gt;=Validation[[#This Row],[Range1_High]]</f>
        <v>0</v>
      </c>
      <c r="Y2512" s="111" t="s">
        <v>2843</v>
      </c>
    </row>
    <row r="2513" spans="1:25" ht="16.5" thickTop="1" thickBot="1" x14ac:dyDescent="0.3">
      <c r="A2513" t="s">
        <v>55</v>
      </c>
      <c r="B2513" t="s">
        <v>47</v>
      </c>
      <c r="C2513" s="113">
        <v>0.1</v>
      </c>
      <c r="D2513" s="113">
        <v>1</v>
      </c>
      <c r="E2513">
        <v>1.0000000000000001E-5</v>
      </c>
      <c r="F2513" t="s">
        <v>13</v>
      </c>
      <c r="G2513" t="s">
        <v>12</v>
      </c>
      <c r="H2513">
        <v>4.4999999999999998E-2</v>
      </c>
      <c r="I2513">
        <v>0.1</v>
      </c>
      <c r="J2513" t="s">
        <v>10</v>
      </c>
      <c r="K2513">
        <v>0.24</v>
      </c>
      <c r="L2513">
        <v>0.92</v>
      </c>
      <c r="M2513">
        <v>0.23100999999999999</v>
      </c>
      <c r="N2513">
        <v>0.92427000000000004</v>
      </c>
      <c r="O2513" t="s">
        <v>2833</v>
      </c>
      <c r="P2513" t="s">
        <v>2833</v>
      </c>
      <c r="Q2513" t="s">
        <v>2833</v>
      </c>
      <c r="R2513">
        <f ca="1">RAND()*(Validation[[#This Row],[Range1_High]]-Validation[[#This Row],[Range1_Low]])+Validation[[#This Row],[Range1_Low]]</f>
        <v>0.90852434005437199</v>
      </c>
      <c r="S2513">
        <f>Validation[[#This Row],[Range2_High]]</f>
        <v>0.1</v>
      </c>
      <c r="T2513" t="str" cm="1">
        <f t="array" aca="1" ref="T2513" ca="1">RoundToTwoSigFigs(Validation[[#This Row],[Test Reading]]*Validation[[#This Row],[Mult]]+Validation[[#This Row],[Base]]) &amp;" "&amp;Validation[[#This Row],[Uncert_Units]]</f>
        <v>1.1 mA</v>
      </c>
      <c r="U2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V2513" t="b">
        <f ca="1">Validation[[#This Row],[Desired Result]]=Validation[[#This Row],[Result]]</f>
        <v>1</v>
      </c>
      <c r="W2513" t="b">
        <v>1</v>
      </c>
      <c r="X2513" t="b">
        <f>Validation[[#This Row],[Range1_Low]]&gt;=Validation[[#This Row],[Range1_High]]</f>
        <v>0</v>
      </c>
      <c r="Y2513" s="111" t="s">
        <v>2843</v>
      </c>
    </row>
    <row r="2514" spans="1:25" ht="16.5" thickTop="1" thickBot="1" x14ac:dyDescent="0.3">
      <c r="A2514" t="s">
        <v>68</v>
      </c>
      <c r="B2514" t="s">
        <v>47</v>
      </c>
      <c r="C2514" s="113">
        <v>0.1</v>
      </c>
      <c r="D2514" s="113">
        <v>1.04</v>
      </c>
      <c r="E2514">
        <v>0.01</v>
      </c>
      <c r="F2514" t="s">
        <v>13</v>
      </c>
      <c r="G2514" t="s">
        <v>12</v>
      </c>
      <c r="H2514">
        <v>0.01</v>
      </c>
      <c r="I2514">
        <v>2</v>
      </c>
      <c r="J2514" t="s">
        <v>10</v>
      </c>
      <c r="K2514">
        <v>5.9116</v>
      </c>
      <c r="L2514">
        <v>0.47821000000000002</v>
      </c>
      <c r="M2514">
        <v>5.8383000000000003</v>
      </c>
      <c r="N2514">
        <v>0.47621000000000002</v>
      </c>
      <c r="O2514" t="s">
        <v>2833</v>
      </c>
      <c r="P2514" t="s">
        <v>2833</v>
      </c>
      <c r="Q2514" t="s">
        <v>2833</v>
      </c>
      <c r="R2514">
        <f ca="1">RAND()*(Validation[[#This Row],[Range1_High]]-Validation[[#This Row],[Range1_Low]])+Validation[[#This Row],[Range1_Low]]</f>
        <v>0.62608630984150027</v>
      </c>
      <c r="S2514">
        <f>Validation[[#This Row],[Range2_High]]</f>
        <v>2</v>
      </c>
      <c r="T2514" t="str" cm="1">
        <f t="array" aca="1" ref="T2514" ca="1">RoundToTwoSigFigs(Validation[[#This Row],[Test Reading]]*Validation[[#This Row],[Mult]]+Validation[[#This Row],[Base]]) &amp;" "&amp;Validation[[#This Row],[Uncert_Units]]</f>
        <v>6.2 mA</v>
      </c>
      <c r="U2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V2514" t="b">
        <f ca="1">Validation[[#This Row],[Desired Result]]=Validation[[#This Row],[Result]]</f>
        <v>1</v>
      </c>
      <c r="W2514" t="b">
        <v>1</v>
      </c>
      <c r="X2514" t="b">
        <f>Validation[[#This Row],[Range1_Low]]&gt;=Validation[[#This Row],[Range1_High]]</f>
        <v>0</v>
      </c>
      <c r="Y2514" s="111" t="s">
        <v>2843</v>
      </c>
    </row>
    <row r="2515" spans="1:25" ht="16.5" thickTop="1" thickBot="1" x14ac:dyDescent="0.3">
      <c r="A2515" t="s">
        <v>55</v>
      </c>
      <c r="B2515" t="s">
        <v>47</v>
      </c>
      <c r="C2515" s="113">
        <v>0.1</v>
      </c>
      <c r="D2515" s="113">
        <v>1</v>
      </c>
      <c r="E2515">
        <v>9.9999999999999995E-7</v>
      </c>
      <c r="F2515" t="s">
        <v>13</v>
      </c>
      <c r="G2515" t="s">
        <v>12</v>
      </c>
      <c r="H2515">
        <v>5</v>
      </c>
      <c r="I2515">
        <v>20</v>
      </c>
      <c r="J2515" t="s">
        <v>10</v>
      </c>
      <c r="K2515">
        <v>0.27</v>
      </c>
      <c r="L2515">
        <v>3.5</v>
      </c>
      <c r="M2515">
        <v>0.22313</v>
      </c>
      <c r="N2515">
        <v>3.5466000000000002</v>
      </c>
      <c r="O2515" t="s">
        <v>2833</v>
      </c>
      <c r="P2515" t="s">
        <v>2833</v>
      </c>
      <c r="Q2515" t="s">
        <v>2833</v>
      </c>
      <c r="R2515">
        <f ca="1">RAND()*(Validation[[#This Row],[Range1_High]]-Validation[[#This Row],[Range1_Low]])+Validation[[#This Row],[Range1_Low]]</f>
        <v>0.88042678239477856</v>
      </c>
      <c r="S2515">
        <f>Validation[[#This Row],[Range2_High]]</f>
        <v>20</v>
      </c>
      <c r="T2515" t="str" cm="1">
        <f t="array" aca="1" ref="T2515" ca="1">RoundToTwoSigFigs(Validation[[#This Row],[Test Reading]]*Validation[[#This Row],[Mult]]+Validation[[#This Row],[Base]]) &amp;" "&amp;Validation[[#This Row],[Uncert_Units]]</f>
        <v>3.4 mA</v>
      </c>
      <c r="U2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V2515" t="b">
        <f ca="1">Validation[[#This Row],[Desired Result]]=Validation[[#This Row],[Result]]</f>
        <v>0</v>
      </c>
      <c r="W2515" t="b">
        <v>1</v>
      </c>
      <c r="X2515" t="b">
        <f>Validation[[#This Row],[Range1_Low]]&gt;=Validation[[#This Row],[Range1_High]]</f>
        <v>0</v>
      </c>
      <c r="Y2515" s="111" t="s">
        <v>2843</v>
      </c>
    </row>
    <row r="2516" spans="1:25" ht="16.5" thickTop="1" thickBot="1" x14ac:dyDescent="0.3">
      <c r="A2516" t="s">
        <v>55</v>
      </c>
      <c r="B2516" t="s">
        <v>47</v>
      </c>
      <c r="C2516">
        <v>1</v>
      </c>
      <c r="D2516">
        <v>10</v>
      </c>
      <c r="E2516">
        <v>0.1</v>
      </c>
      <c r="F2516" t="s">
        <v>13</v>
      </c>
      <c r="G2516" t="s">
        <v>12</v>
      </c>
      <c r="H2516">
        <v>1</v>
      </c>
      <c r="I2516">
        <v>5</v>
      </c>
      <c r="J2516" t="s">
        <v>10</v>
      </c>
      <c r="K2516">
        <v>57.725000000000001</v>
      </c>
      <c r="L2516">
        <v>4.4886000000000002E-2</v>
      </c>
      <c r="M2516">
        <v>57.722000000000001</v>
      </c>
      <c r="N2516">
        <v>4.4888999999999998E-2</v>
      </c>
      <c r="O2516" t="s">
        <v>2833</v>
      </c>
      <c r="P2516" t="s">
        <v>2833</v>
      </c>
      <c r="Q2516" t="s">
        <v>2833</v>
      </c>
      <c r="R2516">
        <f ca="1">RAND()*(Validation[[#This Row],[Range1_High]]-Validation[[#This Row],[Range1_Low]])+Validation[[#This Row],[Range1_Low]]</f>
        <v>3.4621595117519233</v>
      </c>
      <c r="S2516">
        <f>Validation[[#This Row],[Range2_High]]</f>
        <v>5</v>
      </c>
      <c r="T2516" t="str" cm="1">
        <f t="array" aca="1" ref="T2516" ca="1">RoundToTwoSigFigs(Validation[[#This Row],[Test Reading]]*Validation[[#This Row],[Mult]]+Validation[[#This Row],[Base]]) &amp;" "&amp;Validation[[#This Row],[Uncert_Units]]</f>
        <v>58 mA</v>
      </c>
      <c r="U2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2516" t="b">
        <f ca="1">Validation[[#This Row],[Desired Result]]=Validation[[#This Row],[Result]]</f>
        <v>1</v>
      </c>
      <c r="W2516" t="b">
        <v>0</v>
      </c>
      <c r="X2516" t="b">
        <f>Validation[[#This Row],[Range1_Low]]&gt;=Validation[[#This Row],[Range1_High]]</f>
        <v>0</v>
      </c>
      <c r="Y2516" s="111" t="s">
        <v>2845</v>
      </c>
    </row>
    <row r="2517" spans="1:25" ht="16.5" thickTop="1" thickBot="1" x14ac:dyDescent="0.3">
      <c r="A2517" t="s">
        <v>55</v>
      </c>
      <c r="B2517" t="s">
        <v>47</v>
      </c>
      <c r="C2517" s="113">
        <v>0.01</v>
      </c>
      <c r="D2517" s="113">
        <v>0.1</v>
      </c>
      <c r="E2517">
        <v>1.0000000000000001E-5</v>
      </c>
      <c r="F2517" t="s">
        <v>13</v>
      </c>
      <c r="G2517" t="s">
        <v>11</v>
      </c>
      <c r="H2517">
        <v>20</v>
      </c>
      <c r="I2517">
        <v>50</v>
      </c>
      <c r="J2517" t="s">
        <v>10</v>
      </c>
      <c r="K2517">
        <v>51</v>
      </c>
      <c r="L2517">
        <v>4738</v>
      </c>
      <c r="M2517">
        <v>45.823</v>
      </c>
      <c r="N2517">
        <v>4745.2</v>
      </c>
      <c r="O2517" t="s">
        <v>2833</v>
      </c>
      <c r="P2517" t="s">
        <v>2833</v>
      </c>
      <c r="Q2517" t="s">
        <v>2833</v>
      </c>
      <c r="R2517">
        <f ca="1">RAND()*(Validation[[#This Row],[Range1_High]]-Validation[[#This Row],[Range1_Low]])+Validation[[#This Row],[Range1_Low]]</f>
        <v>9.6955226919825832E-2</v>
      </c>
      <c r="S2517">
        <f>Validation[[#This Row],[Range2_High]]</f>
        <v>50</v>
      </c>
      <c r="T2517" t="str" cm="1">
        <f t="array" aca="1" ref="T2517" ca="1">RoundToTwoSigFigs(Validation[[#This Row],[Test Reading]]*Validation[[#This Row],[Mult]]+Validation[[#This Row],[Base]]) &amp;" "&amp;Validation[[#This Row],[Uncert_Units]]</f>
        <v>510 µA</v>
      </c>
      <c r="U2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µA</v>
      </c>
      <c r="V2517" t="b">
        <f ca="1">Validation[[#This Row],[Desired Result]]=Validation[[#This Row],[Result]]</f>
        <v>1</v>
      </c>
      <c r="W2517" t="b">
        <v>1</v>
      </c>
      <c r="X2517" t="b">
        <f>Validation[[#This Row],[Range1_Low]]&gt;=Validation[[#This Row],[Range1_High]]</f>
        <v>0</v>
      </c>
      <c r="Y2517" s="111" t="s">
        <v>2843</v>
      </c>
    </row>
    <row r="2518" spans="1:25" ht="15.75" thickTop="1" x14ac:dyDescent="0.25">
      <c r="A2518" t="s">
        <v>55</v>
      </c>
      <c r="B2518" t="s">
        <v>47</v>
      </c>
      <c r="C2518">
        <v>0</v>
      </c>
      <c r="D2518">
        <v>1E-4</v>
      </c>
      <c r="E2518">
        <v>1.0000000000000001E-9</v>
      </c>
      <c r="F2518" t="s">
        <v>13</v>
      </c>
      <c r="G2518" t="s">
        <v>11</v>
      </c>
      <c r="H2518">
        <v>1E-3</v>
      </c>
      <c r="I2518">
        <v>0.02</v>
      </c>
      <c r="J2518" t="s">
        <v>10</v>
      </c>
      <c r="K2518">
        <v>7.6999999999999999E-2</v>
      </c>
      <c r="L2518">
        <v>4200</v>
      </c>
      <c r="M2518">
        <v>7.6633000000000007E-2</v>
      </c>
      <c r="N2518">
        <v>4198.8999999999996</v>
      </c>
      <c r="O2518" t="s">
        <v>2833</v>
      </c>
      <c r="P2518" t="s">
        <v>2833</v>
      </c>
      <c r="Q2518" t="s">
        <v>2833</v>
      </c>
      <c r="R2518">
        <f ca="1">RAND()*(Validation[[#This Row],[Range1_High]]-Validation[[#This Row],[Range1_Low]])+Validation[[#This Row],[Range1_Low]]</f>
        <v>8.0122354342033867E-5</v>
      </c>
      <c r="S2518">
        <f>Validation[[#This Row],[Range2_High]]</f>
        <v>0.02</v>
      </c>
      <c r="T2518" t="str" cm="1">
        <f t="array" aca="1" ref="T2518" ca="1">RoundToTwoSigFigs(Validation[[#This Row],[Test Reading]]*Validation[[#This Row],[Mult]]+Validation[[#This Row],[Base]]) &amp;" "&amp;Validation[[#This Row],[Uncert_Units]]</f>
        <v>0.41 µA</v>
      </c>
      <c r="U2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V2518" t="b">
        <f ca="1">Validation[[#This Row],[Desired Result]]=Validation[[#This Row],[Result]]</f>
        <v>0</v>
      </c>
      <c r="W2518" t="b">
        <v>1</v>
      </c>
      <c r="X2518" t="b">
        <f>Validation[[#This Row],[Range1_Low]]&gt;=Validation[[#This Row],[Range1_High]]</f>
        <v>0</v>
      </c>
      <c r="Y2518" s="111" t="s">
        <v>2845</v>
      </c>
    </row>
    <row r="2519" spans="1:25" ht="15.75" thickBot="1" x14ac:dyDescent="0.3">
      <c r="A2519" t="s">
        <v>54</v>
      </c>
      <c r="B2519" t="s">
        <v>47</v>
      </c>
      <c r="C2519">
        <v>1.1000000000000001</v>
      </c>
      <c r="D2519">
        <v>3.0009999999999999</v>
      </c>
      <c r="E2519">
        <v>1E-3</v>
      </c>
      <c r="F2519" t="s">
        <v>13</v>
      </c>
      <c r="G2519" t="s">
        <v>12</v>
      </c>
      <c r="H2519">
        <v>5</v>
      </c>
      <c r="I2519">
        <v>10</v>
      </c>
      <c r="J2519" t="s">
        <v>10</v>
      </c>
      <c r="K2519">
        <v>5.8</v>
      </c>
      <c r="L2519">
        <v>29</v>
      </c>
      <c r="M2519">
        <v>5.78</v>
      </c>
      <c r="N2519">
        <v>28.866</v>
      </c>
      <c r="O2519" t="s">
        <v>2833</v>
      </c>
      <c r="P2519" t="s">
        <v>2833</v>
      </c>
      <c r="Q2519" t="s">
        <v>2833</v>
      </c>
      <c r="R2519">
        <f ca="1">RAND()*(Validation[[#This Row],[Range1_High]]-Validation[[#This Row],[Range1_Low]])+Validation[[#This Row],[Range1_Low]]</f>
        <v>2.1063571821598073</v>
      </c>
      <c r="S2519">
        <f>Validation[[#This Row],[Range2_High]]</f>
        <v>10</v>
      </c>
      <c r="T2519" t="str" cm="1">
        <f t="array" aca="1" ref="T2519" ca="1">RoundToTwoSigFigs(Validation[[#This Row],[Test Reading]]*Validation[[#This Row],[Mult]]+Validation[[#This Row],[Base]]) &amp;" "&amp;Validation[[#This Row],[Uncert_Units]]</f>
        <v>67 mA</v>
      </c>
      <c r="U2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mA</v>
      </c>
      <c r="V2519" t="b">
        <f ca="1">Validation[[#This Row],[Desired Result]]=Validation[[#This Row],[Result]]</f>
        <v>1</v>
      </c>
      <c r="W2519" t="b">
        <v>0</v>
      </c>
      <c r="X2519" t="b">
        <f>Validation[[#This Row],[Range1_Low]]&gt;=Validation[[#This Row],[Range1_High]]</f>
        <v>0</v>
      </c>
      <c r="Y2519" s="111" t="s">
        <v>2845</v>
      </c>
    </row>
    <row r="2520" spans="1:25" ht="16.5" thickTop="1" thickBot="1" x14ac:dyDescent="0.3">
      <c r="A2520" t="s">
        <v>54</v>
      </c>
      <c r="B2520" t="s">
        <v>47</v>
      </c>
      <c r="C2520" s="113">
        <v>1.1000000000000001</v>
      </c>
      <c r="D2520" s="113">
        <v>3.0009999999999999</v>
      </c>
      <c r="E2520">
        <v>1E-4</v>
      </c>
      <c r="F2520" t="s">
        <v>13</v>
      </c>
      <c r="G2520" t="s">
        <v>12</v>
      </c>
      <c r="H2520">
        <v>1</v>
      </c>
      <c r="I2520">
        <v>5.01</v>
      </c>
      <c r="J2520" t="s">
        <v>10</v>
      </c>
      <c r="K2520">
        <v>1.3</v>
      </c>
      <c r="L2520">
        <v>6.9</v>
      </c>
      <c r="M2520">
        <v>1.1552</v>
      </c>
      <c r="N2520">
        <v>6.9282000000000004</v>
      </c>
      <c r="O2520" t="s">
        <v>2833</v>
      </c>
      <c r="P2520" t="s">
        <v>2833</v>
      </c>
      <c r="Q2520" t="s">
        <v>2833</v>
      </c>
      <c r="R2520">
        <f ca="1">RAND()*(Validation[[#This Row],[Range1_High]]-Validation[[#This Row],[Range1_Low]])+Validation[[#This Row],[Range1_Low]]</f>
        <v>2.4170522243615435</v>
      </c>
      <c r="S2520">
        <f>Validation[[#This Row],[Range2_High]]</f>
        <v>5.01</v>
      </c>
      <c r="T2520" t="str" cm="1">
        <f t="array" aca="1" ref="T2520" ca="1">RoundToTwoSigFigs(Validation[[#This Row],[Test Reading]]*Validation[[#This Row],[Mult]]+Validation[[#This Row],[Base]]) &amp;" "&amp;Validation[[#This Row],[Uncert_Units]]</f>
        <v>18 mA</v>
      </c>
      <c r="U2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mA</v>
      </c>
      <c r="V2520" t="b">
        <f ca="1">Validation[[#This Row],[Desired Result]]=Validation[[#This Row],[Result]]</f>
        <v>0</v>
      </c>
      <c r="W2520" t="b">
        <v>1</v>
      </c>
      <c r="X2520" t="b">
        <f>Validation[[#This Row],[Range1_Low]]&gt;=Validation[[#This Row],[Range1_High]]</f>
        <v>0</v>
      </c>
      <c r="Y2520" s="111" t="s">
        <v>2843</v>
      </c>
    </row>
    <row r="2521" spans="1:25" ht="16.5" thickTop="1" thickBot="1" x14ac:dyDescent="0.3">
      <c r="A2521" t="s">
        <v>55</v>
      </c>
      <c r="B2521" t="s">
        <v>47</v>
      </c>
      <c r="C2521">
        <v>0</v>
      </c>
      <c r="D2521">
        <v>1E-4</v>
      </c>
      <c r="E2521">
        <v>9.9999999999999995E-7</v>
      </c>
      <c r="F2521" t="s">
        <v>13</v>
      </c>
      <c r="G2521" t="s">
        <v>11</v>
      </c>
      <c r="H2521">
        <v>0.02</v>
      </c>
      <c r="I2521">
        <v>4.4999999999999998E-2</v>
      </c>
      <c r="J2521" t="s">
        <v>10</v>
      </c>
      <c r="K2521">
        <v>0.57594000000000001</v>
      </c>
      <c r="L2521">
        <v>378.74</v>
      </c>
      <c r="M2521">
        <v>0.57591999999999999</v>
      </c>
      <c r="N2521">
        <v>377.44</v>
      </c>
      <c r="O2521" t="s">
        <v>2833</v>
      </c>
      <c r="P2521" t="s">
        <v>2833</v>
      </c>
      <c r="Q2521" t="s">
        <v>2833</v>
      </c>
      <c r="R2521">
        <f ca="1">RAND()*(Validation[[#This Row],[Range1_High]]-Validation[[#This Row],[Range1_Low]])+Validation[[#This Row],[Range1_Low]]</f>
        <v>1.8123351330212944E-5</v>
      </c>
      <c r="S2521">
        <f>Validation[[#This Row],[Range2_High]]</f>
        <v>4.4999999999999998E-2</v>
      </c>
      <c r="T2521" t="str" cm="1">
        <f t="array" aca="1" ref="T2521" ca="1">RoundToTwoSigFigs(Validation[[#This Row],[Test Reading]]*Validation[[#This Row],[Mult]]+Validation[[#This Row],[Base]]) &amp;" "&amp;Validation[[#This Row],[Uncert_Units]]</f>
        <v>0.58 µA</v>
      </c>
      <c r="U2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V2521" t="b">
        <f ca="1">Validation[[#This Row],[Desired Result]]=Validation[[#This Row],[Result]]</f>
        <v>1</v>
      </c>
      <c r="W2521" t="b">
        <v>0</v>
      </c>
      <c r="X2521" t="b">
        <f>Validation[[#This Row],[Range1_Low]]&gt;=Validation[[#This Row],[Range1_High]]</f>
        <v>0</v>
      </c>
      <c r="Y2521" s="111" t="s">
        <v>2845</v>
      </c>
    </row>
    <row r="2522" spans="1:25" ht="16.5" thickTop="1" thickBot="1" x14ac:dyDescent="0.3">
      <c r="A2522" t="s">
        <v>55</v>
      </c>
      <c r="B2522" t="s">
        <v>47</v>
      </c>
      <c r="C2522" s="113">
        <v>1E-4</v>
      </c>
      <c r="D2522" s="113">
        <v>1E-3</v>
      </c>
      <c r="E2522">
        <v>9.9999999999999995E-7</v>
      </c>
      <c r="F2522" t="s">
        <v>13</v>
      </c>
      <c r="G2522" t="s">
        <v>11</v>
      </c>
      <c r="H2522">
        <v>0.02</v>
      </c>
      <c r="I2522">
        <v>4.4999999999999998E-2</v>
      </c>
      <c r="J2522" t="s">
        <v>10</v>
      </c>
      <c r="K2522">
        <v>5.7533000000000003</v>
      </c>
      <c r="L2522">
        <v>346.75</v>
      </c>
      <c r="M2522">
        <v>5.7531999999999996</v>
      </c>
      <c r="N2522">
        <v>345.32</v>
      </c>
      <c r="O2522" t="s">
        <v>2833</v>
      </c>
      <c r="P2522" t="s">
        <v>2833</v>
      </c>
      <c r="Q2522" t="s">
        <v>2833</v>
      </c>
      <c r="R2522">
        <f ca="1">RAND()*(Validation[[#This Row],[Range1_High]]-Validation[[#This Row],[Range1_Low]])+Validation[[#This Row],[Range1_Low]]</f>
        <v>8.0688463183365463E-4</v>
      </c>
      <c r="S2522">
        <f>Validation[[#This Row],[Range2_High]]</f>
        <v>4.4999999999999998E-2</v>
      </c>
      <c r="T2522" t="str" cm="1">
        <f t="array" aca="1" ref="T2522" ca="1">RoundToTwoSigFigs(Validation[[#This Row],[Test Reading]]*Validation[[#This Row],[Mult]]+Validation[[#This Row],[Base]]) &amp;" "&amp;Validation[[#This Row],[Uncert_Units]]</f>
        <v>6 µA</v>
      </c>
      <c r="U2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V2522" t="b">
        <f ca="1">Validation[[#This Row],[Desired Result]]=Validation[[#This Row],[Result]]</f>
        <v>1</v>
      </c>
      <c r="W2522" t="b">
        <v>1</v>
      </c>
      <c r="X2522" t="b">
        <f>Validation[[#This Row],[Range1_Low]]&gt;=Validation[[#This Row],[Range1_High]]</f>
        <v>0</v>
      </c>
      <c r="Y2522" s="111" t="s">
        <v>2843</v>
      </c>
    </row>
    <row r="2523" spans="1:25" ht="16.5" thickTop="1" thickBot="1" x14ac:dyDescent="0.3">
      <c r="A2523" t="s">
        <v>54</v>
      </c>
      <c r="B2523" t="s">
        <v>47</v>
      </c>
      <c r="C2523">
        <v>0</v>
      </c>
      <c r="D2523">
        <v>3.3000999999999999E-4</v>
      </c>
      <c r="E2523">
        <v>1E-3</v>
      </c>
      <c r="F2523" t="s">
        <v>13</v>
      </c>
      <c r="G2523" t="s">
        <v>11</v>
      </c>
      <c r="H2523">
        <v>0.02</v>
      </c>
      <c r="I2523">
        <v>4.5010000000000001E-2</v>
      </c>
      <c r="J2523" t="s">
        <v>10</v>
      </c>
      <c r="K2523">
        <v>577.36</v>
      </c>
      <c r="L2523">
        <v>1.3673999999999999</v>
      </c>
      <c r="M2523">
        <v>577.35</v>
      </c>
      <c r="N2523">
        <v>1.2795000000000001</v>
      </c>
      <c r="O2523" t="s">
        <v>2833</v>
      </c>
      <c r="P2523" t="s">
        <v>2833</v>
      </c>
      <c r="Q2523" t="s">
        <v>2833</v>
      </c>
      <c r="R2523">
        <f ca="1">RAND()*(Validation[[#This Row],[Range1_High]]-Validation[[#This Row],[Range1_Low]])+Validation[[#This Row],[Range1_Low]]</f>
        <v>8.8709130820898189E-5</v>
      </c>
      <c r="S2523">
        <f>Validation[[#This Row],[Range2_High]]</f>
        <v>4.5010000000000001E-2</v>
      </c>
      <c r="T2523" t="str" cm="1">
        <f t="array" aca="1" ref="T2523" ca="1">RoundToTwoSigFigs(Validation[[#This Row],[Test Reading]]*Validation[[#This Row],[Mult]]+Validation[[#This Row],[Base]]) &amp;" "&amp;Validation[[#This Row],[Uncert_Units]]</f>
        <v>580 µA</v>
      </c>
      <c r="U2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V2523" t="b">
        <f ca="1">Validation[[#This Row],[Desired Result]]=Validation[[#This Row],[Result]]</f>
        <v>1</v>
      </c>
      <c r="W2523" t="b">
        <v>0</v>
      </c>
      <c r="X2523" t="b">
        <f>Validation[[#This Row],[Range1_Low]]&gt;=Validation[[#This Row],[Range1_High]]</f>
        <v>0</v>
      </c>
      <c r="Y2523" s="111" t="s">
        <v>2845</v>
      </c>
    </row>
    <row r="2524" spans="1:25" ht="16.5" thickTop="1" thickBot="1" x14ac:dyDescent="0.3">
      <c r="A2524" t="s">
        <v>55</v>
      </c>
      <c r="B2524" t="s">
        <v>47</v>
      </c>
      <c r="C2524" s="113">
        <v>10</v>
      </c>
      <c r="D2524" s="113">
        <v>20</v>
      </c>
      <c r="E2524">
        <v>1E-3</v>
      </c>
      <c r="F2524" t="s">
        <v>13</v>
      </c>
      <c r="G2524" t="s">
        <v>12</v>
      </c>
      <c r="H2524">
        <v>1</v>
      </c>
      <c r="I2524">
        <v>5</v>
      </c>
      <c r="J2524" t="s">
        <v>10</v>
      </c>
      <c r="K2524">
        <v>0</v>
      </c>
      <c r="L2524">
        <v>0.95</v>
      </c>
      <c r="M2524">
        <v>1.1000000000000001</v>
      </c>
      <c r="N2524">
        <v>0.65900000000000003</v>
      </c>
      <c r="O2524" t="s">
        <v>2833</v>
      </c>
      <c r="P2524" t="s">
        <v>2833</v>
      </c>
      <c r="Q2524" t="s">
        <v>2833</v>
      </c>
      <c r="R2524">
        <f ca="1">RAND()*(Validation[[#This Row],[Range1_High]]-Validation[[#This Row],[Range1_Low]])+Validation[[#This Row],[Range1_Low]]</f>
        <v>11.683545896050925</v>
      </c>
      <c r="S2524">
        <f>Validation[[#This Row],[Range2_High]]</f>
        <v>5</v>
      </c>
      <c r="T2524" t="str" cm="1">
        <f t="array" aca="1" ref="T2524" ca="1">RoundToTwoSigFigs(Validation[[#This Row],[Test Reading]]*Validation[[#This Row],[Mult]]+Validation[[#This Row],[Base]]) &amp;" "&amp;Validation[[#This Row],[Uncert_Units]]</f>
        <v>11 mA</v>
      </c>
      <c r="U2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V2524" t="b">
        <f ca="1">Validation[[#This Row],[Desired Result]]=Validation[[#This Row],[Result]]</f>
        <v>1</v>
      </c>
      <c r="W2524" t="b">
        <v>1</v>
      </c>
      <c r="X2524" t="b">
        <f>Validation[[#This Row],[Range1_Low]]&gt;=Validation[[#This Row],[Range1_High]]</f>
        <v>0</v>
      </c>
      <c r="Y2524" s="111" t="s">
        <v>2843</v>
      </c>
    </row>
    <row r="2525" spans="1:25" ht="16.5" thickTop="1" thickBot="1" x14ac:dyDescent="0.3">
      <c r="A2525" t="s">
        <v>54</v>
      </c>
      <c r="B2525" t="s">
        <v>47</v>
      </c>
      <c r="C2525">
        <v>3.3E-4</v>
      </c>
      <c r="D2525">
        <v>3.3000999999999998E-3</v>
      </c>
      <c r="E2525">
        <v>1.0000000000000001E-5</v>
      </c>
      <c r="F2525" t="s">
        <v>13</v>
      </c>
      <c r="G2525" t="s">
        <v>11</v>
      </c>
      <c r="H2525">
        <v>0.01</v>
      </c>
      <c r="I2525">
        <v>2.001E-2</v>
      </c>
      <c r="J2525" t="s">
        <v>10</v>
      </c>
      <c r="K2525">
        <v>5.4199000000000002</v>
      </c>
      <c r="L2525">
        <v>1301.8</v>
      </c>
      <c r="M2525">
        <v>5.4195000000000002</v>
      </c>
      <c r="N2525">
        <v>1301.8</v>
      </c>
      <c r="O2525" t="s">
        <v>2833</v>
      </c>
      <c r="P2525" t="s">
        <v>2833</v>
      </c>
      <c r="Q2525" t="s">
        <v>2833</v>
      </c>
      <c r="R2525">
        <f ca="1">RAND()*(Validation[[#This Row],[Range1_High]]-Validation[[#This Row],[Range1_Low]])+Validation[[#This Row],[Range1_Low]]</f>
        <v>1.2464223743911605E-3</v>
      </c>
      <c r="S2525">
        <f>Validation[[#This Row],[Range2_High]]</f>
        <v>2.001E-2</v>
      </c>
      <c r="T2525" t="str" cm="1">
        <f t="array" aca="1" ref="T2525" ca="1">RoundToTwoSigFigs(Validation[[#This Row],[Test Reading]]*Validation[[#This Row],[Mult]]+Validation[[#This Row],[Base]]) &amp;" "&amp;Validation[[#This Row],[Uncert_Units]]</f>
        <v>7 µA</v>
      </c>
      <c r="U2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V2525" t="b">
        <f ca="1">Validation[[#This Row],[Desired Result]]=Validation[[#This Row],[Result]]</f>
        <v>0</v>
      </c>
      <c r="W2525" t="b">
        <v>1</v>
      </c>
      <c r="X2525" t="b">
        <f>Validation[[#This Row],[Range1_Low]]&gt;=Validation[[#This Row],[Range1_High]]</f>
        <v>0</v>
      </c>
      <c r="Y2525" s="111" t="s">
        <v>2845</v>
      </c>
    </row>
    <row r="2526" spans="1:25" ht="16.5" thickTop="1" thickBot="1" x14ac:dyDescent="0.3">
      <c r="A2526" t="s">
        <v>55</v>
      </c>
      <c r="B2526" t="s">
        <v>47</v>
      </c>
      <c r="C2526" s="113">
        <v>1E-4</v>
      </c>
      <c r="D2526" s="113">
        <v>1E-3</v>
      </c>
      <c r="E2526">
        <v>9.9999999999999995E-7</v>
      </c>
      <c r="F2526" t="s">
        <v>13</v>
      </c>
      <c r="G2526" t="s">
        <v>11</v>
      </c>
      <c r="H2526">
        <v>4.4999999999999998E-2</v>
      </c>
      <c r="I2526">
        <v>0.1</v>
      </c>
      <c r="J2526" t="s">
        <v>10</v>
      </c>
      <c r="K2526">
        <v>5.7742000000000004</v>
      </c>
      <c r="L2526">
        <v>74.831999999999994</v>
      </c>
      <c r="M2526">
        <v>5.7740999999999998</v>
      </c>
      <c r="N2526">
        <v>73.332999999999998</v>
      </c>
      <c r="O2526" t="s">
        <v>2833</v>
      </c>
      <c r="P2526" t="s">
        <v>2833</v>
      </c>
      <c r="Q2526" t="s">
        <v>2833</v>
      </c>
      <c r="R2526">
        <f ca="1">RAND()*(Validation[[#This Row],[Range1_High]]-Validation[[#This Row],[Range1_Low]])+Validation[[#This Row],[Range1_Low]]</f>
        <v>4.4923945120936451E-4</v>
      </c>
      <c r="S2526">
        <f>Validation[[#This Row],[Range2_High]]</f>
        <v>0.1</v>
      </c>
      <c r="T2526" t="str" cm="1">
        <f t="array" aca="1" ref="T2526" ca="1">RoundToTwoSigFigs(Validation[[#This Row],[Test Reading]]*Validation[[#This Row],[Mult]]+Validation[[#This Row],[Base]]) &amp;" "&amp;Validation[[#This Row],[Uncert_Units]]</f>
        <v>5.8 µA</v>
      </c>
      <c r="U2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V2526" t="b">
        <f ca="1">Validation[[#This Row],[Desired Result]]=Validation[[#This Row],[Result]]</f>
        <v>1</v>
      </c>
      <c r="W2526" t="b">
        <v>1</v>
      </c>
      <c r="X2526" t="b">
        <f>Validation[[#This Row],[Range1_Low]]&gt;=Validation[[#This Row],[Range1_High]]</f>
        <v>0</v>
      </c>
      <c r="Y2526" s="111" t="s">
        <v>2843</v>
      </c>
    </row>
    <row r="2527" spans="1:25" ht="16.5" thickTop="1" thickBot="1" x14ac:dyDescent="0.3">
      <c r="A2527" t="s">
        <v>55</v>
      </c>
      <c r="B2527" t="s">
        <v>47</v>
      </c>
      <c r="C2527" s="113">
        <v>1E-4</v>
      </c>
      <c r="D2527" s="113">
        <v>1E-3</v>
      </c>
      <c r="E2527">
        <v>1.0000000000000001E-9</v>
      </c>
      <c r="F2527" t="s">
        <v>13</v>
      </c>
      <c r="G2527" t="s">
        <v>11</v>
      </c>
      <c r="H2527">
        <v>0.1</v>
      </c>
      <c r="I2527">
        <v>5</v>
      </c>
      <c r="J2527" t="s">
        <v>10</v>
      </c>
      <c r="K2527">
        <v>0.25</v>
      </c>
      <c r="L2527">
        <v>354.91</v>
      </c>
      <c r="M2527">
        <v>0.23008999999999999</v>
      </c>
      <c r="N2527">
        <v>364.09</v>
      </c>
      <c r="O2527" t="s">
        <v>2833</v>
      </c>
      <c r="P2527" t="s">
        <v>2833</v>
      </c>
      <c r="Q2527" t="s">
        <v>2833</v>
      </c>
      <c r="R2527">
        <f ca="1">RAND()*(Validation[[#This Row],[Range1_High]]-Validation[[#This Row],[Range1_Low]])+Validation[[#This Row],[Range1_Low]]</f>
        <v>2.9779730473785082E-4</v>
      </c>
      <c r="S2527">
        <f>Validation[[#This Row],[Range2_High]]</f>
        <v>5</v>
      </c>
      <c r="T2527" t="str" cm="1">
        <f t="array" aca="1" ref="T2527" ca="1">RoundToTwoSigFigs(Validation[[#This Row],[Test Reading]]*Validation[[#This Row],[Mult]]+Validation[[#This Row],[Base]]) &amp;" "&amp;Validation[[#This Row],[Uncert_Units]]</f>
        <v>0.36 µA</v>
      </c>
      <c r="U2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µA</v>
      </c>
      <c r="V2527" t="b">
        <f ca="1">Validation[[#This Row],[Desired Result]]=Validation[[#This Row],[Result]]</f>
        <v>0</v>
      </c>
      <c r="W2527" t="b">
        <v>1</v>
      </c>
      <c r="X2527" t="b">
        <f>Validation[[#This Row],[Range1_Low]]&gt;=Validation[[#This Row],[Range1_High]]</f>
        <v>0</v>
      </c>
      <c r="Y2527" s="111" t="s">
        <v>2843</v>
      </c>
    </row>
    <row r="2528" spans="1:25" ht="16.5" thickTop="1" thickBot="1" x14ac:dyDescent="0.3">
      <c r="A2528" t="s">
        <v>54</v>
      </c>
      <c r="B2528" t="s">
        <v>47</v>
      </c>
      <c r="C2528" s="113">
        <v>3.3E-4</v>
      </c>
      <c r="D2528" s="113">
        <v>3.3000999999999998E-3</v>
      </c>
      <c r="E2528">
        <v>9.9999999999999995E-8</v>
      </c>
      <c r="F2528" t="s">
        <v>13</v>
      </c>
      <c r="G2528" t="s">
        <v>11</v>
      </c>
      <c r="H2528">
        <v>10</v>
      </c>
      <c r="I2528">
        <v>30</v>
      </c>
      <c r="J2528" t="s">
        <v>10</v>
      </c>
      <c r="K2528">
        <v>0.7</v>
      </c>
      <c r="L2528">
        <v>12000</v>
      </c>
      <c r="M2528">
        <v>0.69338999999999995</v>
      </c>
      <c r="N2528">
        <v>11547</v>
      </c>
      <c r="O2528" t="s">
        <v>2833</v>
      </c>
      <c r="P2528" t="s">
        <v>2833</v>
      </c>
      <c r="Q2528" t="s">
        <v>2833</v>
      </c>
      <c r="R2528">
        <f ca="1">RAND()*(Validation[[#This Row],[Range1_High]]-Validation[[#This Row],[Range1_Low]])+Validation[[#This Row],[Range1_Low]]</f>
        <v>1.9036797754658603E-3</v>
      </c>
      <c r="S2528">
        <f>Validation[[#This Row],[Range2_High]]</f>
        <v>30</v>
      </c>
      <c r="T2528" t="str" cm="1">
        <f t="array" aca="1" ref="T2528" ca="1">RoundToTwoSigFigs(Validation[[#This Row],[Test Reading]]*Validation[[#This Row],[Mult]]+Validation[[#This Row],[Base]]) &amp;" "&amp;Validation[[#This Row],[Uncert_Units]]</f>
        <v>24 µA</v>
      </c>
      <c r="U2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V2528" t="b">
        <f ca="1">Validation[[#This Row],[Desired Result]]=Validation[[#This Row],[Result]]</f>
        <v>1</v>
      </c>
      <c r="W2528" t="b">
        <v>1</v>
      </c>
      <c r="X2528" t="b">
        <f>Validation[[#This Row],[Range1_Low]]&gt;=Validation[[#This Row],[Range1_High]]</f>
        <v>0</v>
      </c>
      <c r="Y2528" s="111" t="s">
        <v>2843</v>
      </c>
    </row>
    <row r="2529" spans="1:25" ht="16.5" thickTop="1" thickBot="1" x14ac:dyDescent="0.3">
      <c r="A2529" t="s">
        <v>68</v>
      </c>
      <c r="B2529" t="s">
        <v>47</v>
      </c>
      <c r="C2529">
        <v>1.0000000000000001E-5</v>
      </c>
      <c r="D2529">
        <v>1.0399999999999999E-4</v>
      </c>
      <c r="E2529">
        <v>9.9999999999999995E-7</v>
      </c>
      <c r="F2529" t="s">
        <v>13</v>
      </c>
      <c r="G2529" t="s">
        <v>11</v>
      </c>
      <c r="H2529">
        <v>0.01</v>
      </c>
      <c r="I2529">
        <v>2</v>
      </c>
      <c r="J2529" t="s">
        <v>10</v>
      </c>
      <c r="K2529">
        <v>0.73980999999999997</v>
      </c>
      <c r="L2529">
        <v>857.29</v>
      </c>
      <c r="M2529">
        <v>0.73978999999999995</v>
      </c>
      <c r="N2529">
        <v>855.77</v>
      </c>
      <c r="O2529" t="s">
        <v>2833</v>
      </c>
      <c r="P2529" t="s">
        <v>2833</v>
      </c>
      <c r="Q2529" t="s">
        <v>2833</v>
      </c>
      <c r="R2529">
        <f ca="1">RAND()*(Validation[[#This Row],[Range1_High]]-Validation[[#This Row],[Range1_Low]])+Validation[[#This Row],[Range1_Low]]</f>
        <v>8.9196622080430426E-5</v>
      </c>
      <c r="S2529">
        <f>Validation[[#This Row],[Range2_High]]</f>
        <v>2</v>
      </c>
      <c r="T2529" t="str" cm="1">
        <f t="array" aca="1" ref="T2529" ca="1">RoundToTwoSigFigs(Validation[[#This Row],[Test Reading]]*Validation[[#This Row],[Mult]]+Validation[[#This Row],[Base]]) &amp;" "&amp;Validation[[#This Row],[Uncert_Units]]</f>
        <v>0.82 µA</v>
      </c>
      <c r="U2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µA</v>
      </c>
      <c r="V2529" t="b">
        <f ca="1">Validation[[#This Row],[Desired Result]]=Validation[[#This Row],[Result]]</f>
        <v>1</v>
      </c>
      <c r="W2529" t="b">
        <v>0</v>
      </c>
      <c r="X2529" t="b">
        <f>Validation[[#This Row],[Range1_Low]]&gt;=Validation[[#This Row],[Range1_High]]</f>
        <v>0</v>
      </c>
      <c r="Y2529" s="111" t="s">
        <v>2845</v>
      </c>
    </row>
    <row r="2530" spans="1:25" ht="16.5" thickTop="1" thickBot="1" x14ac:dyDescent="0.3">
      <c r="A2530" t="s">
        <v>54</v>
      </c>
      <c r="B2530" t="s">
        <v>47</v>
      </c>
      <c r="C2530" s="113">
        <v>3.3E-3</v>
      </c>
      <c r="D2530" s="113">
        <v>3.3001000000000003E-2</v>
      </c>
      <c r="E2530">
        <v>1E-8</v>
      </c>
      <c r="F2530" t="s">
        <v>13</v>
      </c>
      <c r="G2530" t="s">
        <v>11</v>
      </c>
      <c r="H2530">
        <v>0.01</v>
      </c>
      <c r="I2530">
        <v>2.001E-2</v>
      </c>
      <c r="J2530" t="s">
        <v>10</v>
      </c>
      <c r="K2530">
        <v>2.4</v>
      </c>
      <c r="L2530">
        <v>2100</v>
      </c>
      <c r="M2530">
        <v>2.3005</v>
      </c>
      <c r="N2530">
        <v>2087.6</v>
      </c>
      <c r="O2530" t="s">
        <v>2833</v>
      </c>
      <c r="P2530" t="s">
        <v>2833</v>
      </c>
      <c r="Q2530" t="s">
        <v>2833</v>
      </c>
      <c r="R2530">
        <f ca="1">RAND()*(Validation[[#This Row],[Range1_High]]-Validation[[#This Row],[Range1_Low]])+Validation[[#This Row],[Range1_Low]]</f>
        <v>2.3941144130091459E-2</v>
      </c>
      <c r="S2530">
        <f>Validation[[#This Row],[Range2_High]]</f>
        <v>2.001E-2</v>
      </c>
      <c r="T2530" t="str" cm="1">
        <f t="array" aca="1" ref="T2530" ca="1">RoundToTwoSigFigs(Validation[[#This Row],[Test Reading]]*Validation[[#This Row],[Mult]]+Validation[[#This Row],[Base]]) &amp;" "&amp;Validation[[#This Row],[Uncert_Units]]</f>
        <v>53 µA</v>
      </c>
      <c r="U2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µA</v>
      </c>
      <c r="V2530" t="b">
        <f ca="1">Validation[[#This Row],[Desired Result]]=Validation[[#This Row],[Result]]</f>
        <v>1</v>
      </c>
      <c r="W2530" t="b">
        <v>1</v>
      </c>
      <c r="X2530" t="b">
        <f>Validation[[#This Row],[Range1_Low]]&gt;=Validation[[#This Row],[Range1_High]]</f>
        <v>0</v>
      </c>
      <c r="Y2530" s="111" t="s">
        <v>2843</v>
      </c>
    </row>
    <row r="2531" spans="1:25" ht="15.75" thickTop="1" x14ac:dyDescent="0.25">
      <c r="A2531" t="s">
        <v>68</v>
      </c>
      <c r="B2531" t="s">
        <v>47</v>
      </c>
      <c r="C2531">
        <v>1.0000000000000001E-5</v>
      </c>
      <c r="D2531">
        <v>1.0399999999999999E-4</v>
      </c>
      <c r="E2531">
        <v>9.9999999999999995E-8</v>
      </c>
      <c r="F2531" t="s">
        <v>13</v>
      </c>
      <c r="G2531" t="s">
        <v>11</v>
      </c>
      <c r="H2531">
        <v>0.01</v>
      </c>
      <c r="I2531">
        <v>2</v>
      </c>
      <c r="J2531" t="s">
        <v>10</v>
      </c>
      <c r="K2531">
        <v>0.47</v>
      </c>
      <c r="L2531">
        <v>1227.5</v>
      </c>
      <c r="M2531">
        <v>0.46660000000000001</v>
      </c>
      <c r="N2531">
        <v>1227</v>
      </c>
      <c r="O2531" t="s">
        <v>2833</v>
      </c>
      <c r="P2531" t="s">
        <v>2833</v>
      </c>
      <c r="Q2531" t="s">
        <v>2833</v>
      </c>
      <c r="R2531">
        <f ca="1">RAND()*(Validation[[#This Row],[Range1_High]]-Validation[[#This Row],[Range1_Low]])+Validation[[#This Row],[Range1_Low]]</f>
        <v>9.9948874989159699E-5</v>
      </c>
      <c r="S2531">
        <f>Validation[[#This Row],[Range2_High]]</f>
        <v>2</v>
      </c>
      <c r="T2531" t="str" cm="1">
        <f t="array" aca="1" ref="T2531" ca="1">RoundToTwoSigFigs(Validation[[#This Row],[Test Reading]]*Validation[[#This Row],[Mult]]+Validation[[#This Row],[Base]]) &amp;" "&amp;Validation[[#This Row],[Uncert_Units]]</f>
        <v>0.59 µA</v>
      </c>
      <c r="U2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V2531" t="b">
        <f ca="1">Validation[[#This Row],[Desired Result]]=Validation[[#This Row],[Result]]</f>
        <v>1</v>
      </c>
      <c r="W2531" t="b">
        <v>0</v>
      </c>
      <c r="X2531" t="b">
        <f>Validation[[#This Row],[Range1_Low]]&gt;=Validation[[#This Row],[Range1_High]]</f>
        <v>0</v>
      </c>
      <c r="Y2531" s="111" t="s">
        <v>2845</v>
      </c>
    </row>
    <row r="2532" spans="1:25" x14ac:dyDescent="0.25">
      <c r="A2532" t="s">
        <v>54</v>
      </c>
      <c r="B2532" t="s">
        <v>47</v>
      </c>
      <c r="C2532">
        <v>11</v>
      </c>
      <c r="D2532">
        <v>20.501000000000001</v>
      </c>
      <c r="E2532">
        <v>1E-4</v>
      </c>
      <c r="F2532" t="s">
        <v>13</v>
      </c>
      <c r="G2532" t="s">
        <v>12</v>
      </c>
      <c r="H2532">
        <v>5</v>
      </c>
      <c r="I2532">
        <v>5.01</v>
      </c>
      <c r="J2532" t="s">
        <v>10</v>
      </c>
      <c r="K2532">
        <v>5.9</v>
      </c>
      <c r="L2532">
        <v>35</v>
      </c>
      <c r="M2532">
        <v>5.7742000000000004</v>
      </c>
      <c r="N2532">
        <v>34.640999999999998</v>
      </c>
      <c r="O2532" t="s">
        <v>2833</v>
      </c>
      <c r="P2532" t="s">
        <v>2833</v>
      </c>
      <c r="Q2532" t="s">
        <v>2833</v>
      </c>
      <c r="R2532">
        <f ca="1">RAND()*(Validation[[#This Row],[Range1_High]]-Validation[[#This Row],[Range1_Low]])+Validation[[#This Row],[Range1_Low]]</f>
        <v>14.611869553650472</v>
      </c>
      <c r="S2532">
        <f>Validation[[#This Row],[Range2_High]]</f>
        <v>5.01</v>
      </c>
      <c r="T2532" t="str" cm="1">
        <f t="array" aca="1" ref="T2532" ca="1">RoundToTwoSigFigs(Validation[[#This Row],[Test Reading]]*Validation[[#This Row],[Mult]]+Validation[[#This Row],[Base]]) &amp;" "&amp;Validation[[#This Row],[Uncert_Units]]</f>
        <v>520 mA</v>
      </c>
      <c r="U2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V2532" t="b">
        <f ca="1">Validation[[#This Row],[Desired Result]]=Validation[[#This Row],[Result]]</f>
        <v>1</v>
      </c>
      <c r="W2532" t="b">
        <v>0</v>
      </c>
      <c r="X2532" t="b">
        <f>Validation[[#This Row],[Range1_Low]]&gt;=Validation[[#This Row],[Range1_High]]</f>
        <v>0</v>
      </c>
      <c r="Y2532" s="111" t="s">
        <v>2845</v>
      </c>
    </row>
    <row r="2533" spans="1:25" ht="15.75" thickBot="1" x14ac:dyDescent="0.3">
      <c r="A2533" t="s">
        <v>54</v>
      </c>
      <c r="B2533" t="s">
        <v>47</v>
      </c>
      <c r="C2533">
        <v>1.1000000000000001</v>
      </c>
      <c r="D2533">
        <v>3.0009999999999999</v>
      </c>
      <c r="E2533">
        <v>1E-4</v>
      </c>
      <c r="F2533" t="s">
        <v>13</v>
      </c>
      <c r="G2533" t="s">
        <v>12</v>
      </c>
      <c r="H2533">
        <v>0.01</v>
      </c>
      <c r="I2533">
        <v>4.5010000000000001E-2</v>
      </c>
      <c r="J2533" t="s">
        <v>10</v>
      </c>
      <c r="K2533">
        <v>0.12</v>
      </c>
      <c r="L2533">
        <v>2.1</v>
      </c>
      <c r="M2533">
        <v>0.11676</v>
      </c>
      <c r="N2533">
        <v>2.0785</v>
      </c>
      <c r="O2533" t="s">
        <v>2833</v>
      </c>
      <c r="P2533" t="s">
        <v>2833</v>
      </c>
      <c r="Q2533" t="s">
        <v>2833</v>
      </c>
      <c r="R2533">
        <f ca="1">RAND()*(Validation[[#This Row],[Range1_High]]-Validation[[#This Row],[Range1_Low]])+Validation[[#This Row],[Range1_Low]]</f>
        <v>2.6534862122950136</v>
      </c>
      <c r="S2533">
        <f>Validation[[#This Row],[Range2_High]]</f>
        <v>4.5010000000000001E-2</v>
      </c>
      <c r="T2533" t="str" cm="1">
        <f t="array" aca="1" ref="T2533" ca="1">RoundToTwoSigFigs(Validation[[#This Row],[Test Reading]]*Validation[[#This Row],[Mult]]+Validation[[#This Row],[Base]]) &amp;" "&amp;Validation[[#This Row],[Uncert_Units]]</f>
        <v>5.7 mA</v>
      </c>
      <c r="U2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mA</v>
      </c>
      <c r="V2533" t="b">
        <f ca="1">Validation[[#This Row],[Desired Result]]=Validation[[#This Row],[Result]]</f>
        <v>1</v>
      </c>
      <c r="W2533" t="b">
        <v>0</v>
      </c>
      <c r="X2533" t="b">
        <f>Validation[[#This Row],[Range1_Low]]&gt;=Validation[[#This Row],[Range1_High]]</f>
        <v>0</v>
      </c>
      <c r="Y2533" s="111" t="s">
        <v>2845</v>
      </c>
    </row>
    <row r="2534" spans="1:25" ht="16.5" thickTop="1" thickBot="1" x14ac:dyDescent="0.3">
      <c r="A2534" t="s">
        <v>54</v>
      </c>
      <c r="B2534" t="s">
        <v>47</v>
      </c>
      <c r="C2534" s="113">
        <v>3.3E-3</v>
      </c>
      <c r="D2534" s="113">
        <v>3.3001000000000003E-2</v>
      </c>
      <c r="E2534">
        <v>9.9999999999999995E-7</v>
      </c>
      <c r="F2534" t="s">
        <v>13</v>
      </c>
      <c r="G2534" t="s">
        <v>11</v>
      </c>
      <c r="H2534">
        <v>10</v>
      </c>
      <c r="I2534">
        <v>30</v>
      </c>
      <c r="J2534" t="s">
        <v>10</v>
      </c>
      <c r="K2534">
        <v>5.5293999999999999</v>
      </c>
      <c r="L2534">
        <v>4595.5</v>
      </c>
      <c r="M2534">
        <v>5.5179</v>
      </c>
      <c r="N2534">
        <v>4595.8</v>
      </c>
      <c r="O2534" t="s">
        <v>2833</v>
      </c>
      <c r="P2534" t="s">
        <v>2833</v>
      </c>
      <c r="Q2534" t="s">
        <v>2833</v>
      </c>
      <c r="R2534">
        <f ca="1">RAND()*(Validation[[#This Row],[Range1_High]]-Validation[[#This Row],[Range1_Low]])+Validation[[#This Row],[Range1_Low]]</f>
        <v>7.8672293382885967E-3</v>
      </c>
      <c r="S2534">
        <f>Validation[[#This Row],[Range2_High]]</f>
        <v>30</v>
      </c>
      <c r="T2534" t="str" cm="1">
        <f t="array" aca="1" ref="T2534" ca="1">RoundToTwoSigFigs(Validation[[#This Row],[Test Reading]]*Validation[[#This Row],[Mult]]+Validation[[#This Row],[Base]]) &amp;" "&amp;Validation[[#This Row],[Uncert_Units]]</f>
        <v>42 µA</v>
      </c>
      <c r="U2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V2534" t="b">
        <f ca="1">Validation[[#This Row],[Desired Result]]=Validation[[#This Row],[Result]]</f>
        <v>1</v>
      </c>
      <c r="W2534" t="b">
        <v>1</v>
      </c>
      <c r="X2534" t="b">
        <f>Validation[[#This Row],[Range1_Low]]&gt;=Validation[[#This Row],[Range1_High]]</f>
        <v>0</v>
      </c>
      <c r="Y2534" s="111" t="s">
        <v>2843</v>
      </c>
    </row>
    <row r="2535" spans="1:25" ht="16.5" thickTop="1" thickBot="1" x14ac:dyDescent="0.3">
      <c r="A2535" t="s">
        <v>55</v>
      </c>
      <c r="B2535" t="s">
        <v>47</v>
      </c>
      <c r="C2535">
        <v>10</v>
      </c>
      <c r="D2535">
        <v>20</v>
      </c>
      <c r="E2535">
        <v>0.1</v>
      </c>
      <c r="F2535" t="s">
        <v>13</v>
      </c>
      <c r="G2535" t="s">
        <v>12</v>
      </c>
      <c r="H2535">
        <v>0.05</v>
      </c>
      <c r="I2535">
        <v>1</v>
      </c>
      <c r="J2535" t="s">
        <v>10</v>
      </c>
      <c r="K2535">
        <v>57.758000000000003</v>
      </c>
      <c r="L2535">
        <v>7.6264000000000002E-3</v>
      </c>
      <c r="M2535">
        <v>57.8</v>
      </c>
      <c r="N2535">
        <v>7.6299999999999996E-3</v>
      </c>
      <c r="O2535" t="s">
        <v>2833</v>
      </c>
      <c r="P2535" t="s">
        <v>2833</v>
      </c>
      <c r="Q2535" t="s">
        <v>2833</v>
      </c>
      <c r="R2535">
        <f ca="1">RAND()*(Validation[[#This Row],[Range1_High]]-Validation[[#This Row],[Range1_Low]])+Validation[[#This Row],[Range1_Low]]</f>
        <v>13.590708514631086</v>
      </c>
      <c r="S2535">
        <f>Validation[[#This Row],[Range2_High]]</f>
        <v>1</v>
      </c>
      <c r="T2535" t="str" cm="1">
        <f t="array" aca="1" ref="T2535" ca="1">RoundToTwoSigFigs(Validation[[#This Row],[Test Reading]]*Validation[[#This Row],[Mult]]+Validation[[#This Row],[Base]]) &amp;" "&amp;Validation[[#This Row],[Uncert_Units]]</f>
        <v>58 mA</v>
      </c>
      <c r="U2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2535" t="b">
        <f ca="1">Validation[[#This Row],[Desired Result]]=Validation[[#This Row],[Result]]</f>
        <v>1</v>
      </c>
      <c r="W2535" t="b">
        <v>0</v>
      </c>
      <c r="X2535" t="b">
        <f>Validation[[#This Row],[Range1_Low]]&gt;=Validation[[#This Row],[Range1_High]]</f>
        <v>0</v>
      </c>
      <c r="Y2535" s="111" t="s">
        <v>2845</v>
      </c>
    </row>
    <row r="2536" spans="1:25" ht="16.5" thickTop="1" thickBot="1" x14ac:dyDescent="0.3">
      <c r="A2536" t="s">
        <v>68</v>
      </c>
      <c r="B2536" t="s">
        <v>47</v>
      </c>
      <c r="C2536" s="113">
        <v>1</v>
      </c>
      <c r="D2536" s="113">
        <v>10.4</v>
      </c>
      <c r="E2536">
        <v>0.1</v>
      </c>
      <c r="F2536" t="s">
        <v>13</v>
      </c>
      <c r="G2536" t="s">
        <v>12</v>
      </c>
      <c r="H2536">
        <v>0.01</v>
      </c>
      <c r="I2536">
        <v>2</v>
      </c>
      <c r="J2536" t="s">
        <v>10</v>
      </c>
      <c r="K2536">
        <v>60.057000000000002</v>
      </c>
      <c r="L2536">
        <v>0.58243</v>
      </c>
      <c r="M2536">
        <v>60.055</v>
      </c>
      <c r="N2536">
        <v>0.58052000000000004</v>
      </c>
      <c r="O2536" t="s">
        <v>2833</v>
      </c>
      <c r="P2536" t="s">
        <v>2833</v>
      </c>
      <c r="Q2536" t="s">
        <v>2833</v>
      </c>
      <c r="R2536">
        <f ca="1">RAND()*(Validation[[#This Row],[Range1_High]]-Validation[[#This Row],[Range1_Low]])+Validation[[#This Row],[Range1_Low]]</f>
        <v>4.4996991723345268</v>
      </c>
      <c r="S2536">
        <f>Validation[[#This Row],[Range2_High]]</f>
        <v>2</v>
      </c>
      <c r="T2536" t="str" cm="1">
        <f t="array" aca="1" ref="T2536" ca="1">RoundToTwoSigFigs(Validation[[#This Row],[Test Reading]]*Validation[[#This Row],[Mult]]+Validation[[#This Row],[Base]]) &amp;" "&amp;Validation[[#This Row],[Uncert_Units]]</f>
        <v>63 mA</v>
      </c>
      <c r="U2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V2536" t="b">
        <f ca="1">Validation[[#This Row],[Desired Result]]=Validation[[#This Row],[Result]]</f>
        <v>1</v>
      </c>
      <c r="W2536" t="b">
        <v>1</v>
      </c>
      <c r="X2536" t="b">
        <f>Validation[[#This Row],[Range1_Low]]&gt;=Validation[[#This Row],[Range1_High]]</f>
        <v>0</v>
      </c>
      <c r="Y2536" s="111" t="s">
        <v>2843</v>
      </c>
    </row>
    <row r="2537" spans="1:25" ht="16.5" thickTop="1" thickBot="1" x14ac:dyDescent="0.3">
      <c r="A2537" t="s">
        <v>55</v>
      </c>
      <c r="B2537" t="s">
        <v>47</v>
      </c>
      <c r="C2537" s="113">
        <v>1E-3</v>
      </c>
      <c r="D2537" s="113">
        <v>0.01</v>
      </c>
      <c r="E2537">
        <v>1E-8</v>
      </c>
      <c r="F2537" t="s">
        <v>13</v>
      </c>
      <c r="G2537" t="s">
        <v>11</v>
      </c>
      <c r="H2537">
        <v>20</v>
      </c>
      <c r="I2537">
        <v>50</v>
      </c>
      <c r="J2537" t="s">
        <v>10</v>
      </c>
      <c r="K2537">
        <v>5.0999999999999996</v>
      </c>
      <c r="L2537">
        <v>4700</v>
      </c>
      <c r="M2537">
        <v>4.5719000000000003</v>
      </c>
      <c r="N2537">
        <v>4747.8999999999996</v>
      </c>
      <c r="O2537" t="s">
        <v>2833</v>
      </c>
      <c r="P2537" t="s">
        <v>2833</v>
      </c>
      <c r="Q2537" t="s">
        <v>2833</v>
      </c>
      <c r="R2537">
        <f ca="1">RAND()*(Validation[[#This Row],[Range1_High]]-Validation[[#This Row],[Range1_Low]])+Validation[[#This Row],[Range1_Low]]</f>
        <v>7.6513616284934315E-3</v>
      </c>
      <c r="S2537">
        <f>Validation[[#This Row],[Range2_High]]</f>
        <v>50</v>
      </c>
      <c r="T2537" t="str" cm="1">
        <f t="array" aca="1" ref="T2537" ca="1">RoundToTwoSigFigs(Validation[[#This Row],[Test Reading]]*Validation[[#This Row],[Mult]]+Validation[[#This Row],[Base]]) &amp;" "&amp;Validation[[#This Row],[Uncert_Units]]</f>
        <v>41 µA</v>
      </c>
      <c r="U2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V2537" t="b">
        <f ca="1">Validation[[#This Row],[Desired Result]]=Validation[[#This Row],[Result]]</f>
        <v>0</v>
      </c>
      <c r="W2537" t="b">
        <v>1</v>
      </c>
      <c r="X2537" t="b">
        <f>Validation[[#This Row],[Range1_Low]]&gt;=Validation[[#This Row],[Range1_High]]</f>
        <v>0</v>
      </c>
      <c r="Y2537" s="111" t="s">
        <v>2843</v>
      </c>
    </row>
    <row r="2538" spans="1:25" ht="16.5" thickTop="1" thickBot="1" x14ac:dyDescent="0.3">
      <c r="A2538" t="s">
        <v>54</v>
      </c>
      <c r="B2538" t="s">
        <v>47</v>
      </c>
      <c r="C2538" s="113">
        <v>3.3E-4</v>
      </c>
      <c r="D2538" s="113">
        <v>3.3000999999999998E-3</v>
      </c>
      <c r="E2538">
        <v>9.9999999999999995E-7</v>
      </c>
      <c r="F2538" t="s">
        <v>13</v>
      </c>
      <c r="G2538" t="s">
        <v>11</v>
      </c>
      <c r="H2538">
        <v>30</v>
      </c>
      <c r="I2538">
        <v>30.1</v>
      </c>
      <c r="J2538" t="s">
        <v>10</v>
      </c>
      <c r="K2538">
        <v>0.7</v>
      </c>
      <c r="L2538">
        <v>12000</v>
      </c>
      <c r="M2538">
        <v>0.7339</v>
      </c>
      <c r="N2538">
        <v>11536</v>
      </c>
      <c r="O2538" t="s">
        <v>2833</v>
      </c>
      <c r="P2538" t="s">
        <v>2833</v>
      </c>
      <c r="Q2538" t="s">
        <v>2833</v>
      </c>
      <c r="R2538">
        <f ca="1">RAND()*(Validation[[#This Row],[Range1_High]]-Validation[[#This Row],[Range1_Low]])+Validation[[#This Row],[Range1_Low]]</f>
        <v>1.4871936805884564E-3</v>
      </c>
      <c r="S2538">
        <f>Validation[[#This Row],[Range2_High]]</f>
        <v>30.1</v>
      </c>
      <c r="T2538" t="str" cm="1">
        <f t="array" aca="1" ref="T2538" ca="1">RoundToTwoSigFigs(Validation[[#This Row],[Test Reading]]*Validation[[#This Row],[Mult]]+Validation[[#This Row],[Base]]) &amp;" "&amp;Validation[[#This Row],[Uncert_Units]]</f>
        <v>19 µA</v>
      </c>
      <c r="U2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V2538" t="b">
        <f ca="1">Validation[[#This Row],[Desired Result]]=Validation[[#This Row],[Result]]</f>
        <v>1</v>
      </c>
      <c r="W2538" t="b">
        <v>1</v>
      </c>
      <c r="X2538" t="b">
        <f>Validation[[#This Row],[Range1_Low]]&gt;=Validation[[#This Row],[Range1_High]]</f>
        <v>0</v>
      </c>
      <c r="Y2538" s="111" t="s">
        <v>2843</v>
      </c>
    </row>
    <row r="2539" spans="1:25" ht="16.5" thickTop="1" thickBot="1" x14ac:dyDescent="0.3">
      <c r="A2539" t="s">
        <v>55</v>
      </c>
      <c r="B2539" t="s">
        <v>47</v>
      </c>
      <c r="C2539">
        <v>0</v>
      </c>
      <c r="D2539">
        <v>1E-4</v>
      </c>
      <c r="E2539">
        <v>1E-4</v>
      </c>
      <c r="F2539" t="s">
        <v>13</v>
      </c>
      <c r="G2539" t="s">
        <v>11</v>
      </c>
      <c r="H2539">
        <v>4.4999999999999998E-2</v>
      </c>
      <c r="I2539">
        <v>5</v>
      </c>
      <c r="J2539" t="s">
        <v>10</v>
      </c>
      <c r="K2539">
        <v>57.735999999999997</v>
      </c>
      <c r="L2539">
        <v>1.1861999999999999</v>
      </c>
      <c r="M2539">
        <v>57.734999999999999</v>
      </c>
      <c r="N2539">
        <v>0.96331999999999995</v>
      </c>
      <c r="O2539" t="s">
        <v>2833</v>
      </c>
      <c r="P2539" t="s">
        <v>2833</v>
      </c>
      <c r="Q2539" t="s">
        <v>2833</v>
      </c>
      <c r="R2539">
        <f ca="1">RAND()*(Validation[[#This Row],[Range1_High]]-Validation[[#This Row],[Range1_Low]])+Validation[[#This Row],[Range1_Low]]</f>
        <v>4.9451967561092707E-5</v>
      </c>
      <c r="S2539">
        <f>Validation[[#This Row],[Range2_High]]</f>
        <v>5</v>
      </c>
      <c r="T2539" t="str" cm="1">
        <f t="array" aca="1" ref="T2539" ca="1">RoundToTwoSigFigs(Validation[[#This Row],[Test Reading]]*Validation[[#This Row],[Mult]]+Validation[[#This Row],[Base]]) &amp;" "&amp;Validation[[#This Row],[Uncert_Units]]</f>
        <v>58 µA</v>
      </c>
      <c r="U2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V2539" t="b">
        <f ca="1">Validation[[#This Row],[Desired Result]]=Validation[[#This Row],[Result]]</f>
        <v>1</v>
      </c>
      <c r="W2539" t="b">
        <v>0</v>
      </c>
      <c r="X2539" t="b">
        <f>Validation[[#This Row],[Range1_Low]]&gt;=Validation[[#This Row],[Range1_High]]</f>
        <v>0</v>
      </c>
      <c r="Y2539" s="111" t="s">
        <v>2845</v>
      </c>
    </row>
    <row r="2540" spans="1:25" ht="16.5" thickTop="1" thickBot="1" x14ac:dyDescent="0.3">
      <c r="A2540" t="s">
        <v>54</v>
      </c>
      <c r="B2540" t="s">
        <v>47</v>
      </c>
      <c r="C2540">
        <v>3.3E-4</v>
      </c>
      <c r="D2540">
        <v>3.3000999999999998E-3</v>
      </c>
      <c r="E2540">
        <v>1E-4</v>
      </c>
      <c r="F2540" t="s">
        <v>13</v>
      </c>
      <c r="G2540" t="s">
        <v>11</v>
      </c>
      <c r="H2540" s="113">
        <v>5</v>
      </c>
      <c r="I2540" s="113">
        <v>10.01</v>
      </c>
      <c r="J2540" t="s">
        <v>10</v>
      </c>
      <c r="K2540">
        <v>57.432000000000002</v>
      </c>
      <c r="L2540">
        <v>1053.3</v>
      </c>
      <c r="M2540">
        <v>57.432000000000002</v>
      </c>
      <c r="N2540">
        <v>1053.2</v>
      </c>
      <c r="O2540" t="s">
        <v>2833</v>
      </c>
      <c r="P2540" t="s">
        <v>2833</v>
      </c>
      <c r="Q2540" t="s">
        <v>2833</v>
      </c>
      <c r="R2540">
        <f ca="1">RAND()*(Validation[[#This Row],[Range1_High]]-Validation[[#This Row],[Range1_Low]])+Validation[[#This Row],[Range1_Low]]</f>
        <v>2.2863856492046997E-3</v>
      </c>
      <c r="S2540">
        <f>Validation[[#This Row],[Range2_High]]</f>
        <v>10.01</v>
      </c>
      <c r="T2540" t="str" cm="1">
        <f t="array" aca="1" ref="T2540" ca="1">RoundToTwoSigFigs(Validation[[#This Row],[Test Reading]]*Validation[[#This Row],[Mult]]+Validation[[#This Row],[Base]]) &amp;" "&amp;Validation[[#This Row],[Uncert_Units]]</f>
        <v>60 µA</v>
      </c>
      <c r="U2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V2540" t="b">
        <f ca="1">Validation[[#This Row],[Desired Result]]=Validation[[#This Row],[Result]]</f>
        <v>0</v>
      </c>
      <c r="W2540" t="b">
        <v>1</v>
      </c>
      <c r="X2540" t="b">
        <f>Validation[[#This Row],[Range1_Low]]&gt;=Validation[[#This Row],[Range1_High]]</f>
        <v>0</v>
      </c>
      <c r="Y2540" s="114" t="s">
        <v>2846</v>
      </c>
    </row>
    <row r="2541" spans="1:25" ht="16.5" thickTop="1" thickBot="1" x14ac:dyDescent="0.3">
      <c r="A2541" t="s">
        <v>54</v>
      </c>
      <c r="B2541" t="s">
        <v>47</v>
      </c>
      <c r="C2541" s="113">
        <v>0.33</v>
      </c>
      <c r="D2541" s="113">
        <v>1.1000099999999999</v>
      </c>
      <c r="E2541">
        <v>1E-3</v>
      </c>
      <c r="F2541" t="s">
        <v>13</v>
      </c>
      <c r="G2541" t="s">
        <v>12</v>
      </c>
      <c r="H2541">
        <v>4.4999999999999998E-2</v>
      </c>
      <c r="I2541">
        <v>1.0000100000000001</v>
      </c>
      <c r="J2541" t="s">
        <v>10</v>
      </c>
      <c r="K2541">
        <v>0.52825</v>
      </c>
      <c r="L2541">
        <v>0.38235000000000002</v>
      </c>
      <c r="M2541">
        <v>0.52822999999999998</v>
      </c>
      <c r="N2541">
        <v>0.38200000000000001</v>
      </c>
      <c r="O2541" t="s">
        <v>2833</v>
      </c>
      <c r="P2541" t="s">
        <v>2833</v>
      </c>
      <c r="Q2541" t="s">
        <v>2833</v>
      </c>
      <c r="R2541">
        <f ca="1">RAND()*(Validation[[#This Row],[Range1_High]]-Validation[[#This Row],[Range1_Low]])+Validation[[#This Row],[Range1_Low]]</f>
        <v>0.63434119453417925</v>
      </c>
      <c r="S2541">
        <f>Validation[[#This Row],[Range2_High]]</f>
        <v>1.0000100000000001</v>
      </c>
      <c r="T2541" t="str" cm="1">
        <f t="array" aca="1" ref="T2541" ca="1">RoundToTwoSigFigs(Validation[[#This Row],[Test Reading]]*Validation[[#This Row],[Mult]]+Validation[[#This Row],[Base]]) &amp;" "&amp;Validation[[#This Row],[Uncert_Units]]</f>
        <v>0.77 mA</v>
      </c>
      <c r="U2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mA</v>
      </c>
      <c r="V2541" t="b">
        <f ca="1">Validation[[#This Row],[Desired Result]]=Validation[[#This Row],[Result]]</f>
        <v>0</v>
      </c>
      <c r="W2541" t="b">
        <v>1</v>
      </c>
      <c r="X2541" t="b">
        <f>Validation[[#This Row],[Range1_Low]]&gt;=Validation[[#This Row],[Range1_High]]</f>
        <v>0</v>
      </c>
      <c r="Y2541" s="111" t="s">
        <v>2843</v>
      </c>
    </row>
    <row r="2542" spans="1:25" ht="16.5" thickTop="1" thickBot="1" x14ac:dyDescent="0.3">
      <c r="A2542" t="s">
        <v>54</v>
      </c>
      <c r="B2542" t="s">
        <v>47</v>
      </c>
      <c r="C2542" s="113">
        <v>3.3E-3</v>
      </c>
      <c r="D2542" s="113">
        <v>3.3001000000000003E-2</v>
      </c>
      <c r="E2542">
        <v>1.0000000000000001E-5</v>
      </c>
      <c r="F2542" t="s">
        <v>13</v>
      </c>
      <c r="G2542" t="s">
        <v>11</v>
      </c>
      <c r="H2542">
        <v>4.4999999999999998E-2</v>
      </c>
      <c r="I2542">
        <v>1.0000100000000001</v>
      </c>
      <c r="J2542" t="s">
        <v>10</v>
      </c>
      <c r="K2542">
        <v>57.584000000000003</v>
      </c>
      <c r="L2542">
        <v>84.81</v>
      </c>
      <c r="M2542">
        <v>57.582999999999998</v>
      </c>
      <c r="N2542">
        <v>84.671999999999997</v>
      </c>
      <c r="O2542" t="s">
        <v>2833</v>
      </c>
      <c r="P2542" t="s">
        <v>2833</v>
      </c>
      <c r="Q2542" t="s">
        <v>2833</v>
      </c>
      <c r="R2542">
        <f ca="1">RAND()*(Validation[[#This Row],[Range1_High]]-Validation[[#This Row],[Range1_Low]])+Validation[[#This Row],[Range1_Low]]</f>
        <v>1.3764836506154291E-2</v>
      </c>
      <c r="S2542">
        <f>Validation[[#This Row],[Range2_High]]</f>
        <v>1.0000100000000001</v>
      </c>
      <c r="T2542" t="str" cm="1">
        <f t="array" aca="1" ref="T2542" ca="1">RoundToTwoSigFigs(Validation[[#This Row],[Test Reading]]*Validation[[#This Row],[Mult]]+Validation[[#This Row],[Base]]) &amp;" "&amp;Validation[[#This Row],[Uncert_Units]]</f>
        <v>59 µA</v>
      </c>
      <c r="U2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V2542" t="b">
        <f ca="1">Validation[[#This Row],[Desired Result]]=Validation[[#This Row],[Result]]</f>
        <v>0</v>
      </c>
      <c r="W2542" t="b">
        <v>1</v>
      </c>
      <c r="X2542" t="b">
        <f>Validation[[#This Row],[Range1_Low]]&gt;=Validation[[#This Row],[Range1_High]]</f>
        <v>0</v>
      </c>
      <c r="Y2542" s="111" t="s">
        <v>2843</v>
      </c>
    </row>
    <row r="2543" spans="1:25" ht="16.5" thickTop="1" thickBot="1" x14ac:dyDescent="0.3">
      <c r="A2543" t="s">
        <v>54</v>
      </c>
      <c r="B2543" t="s">
        <v>47</v>
      </c>
      <c r="C2543" s="113">
        <v>0.33</v>
      </c>
      <c r="D2543" s="113">
        <v>1.1000099999999999</v>
      </c>
      <c r="E2543">
        <v>0.01</v>
      </c>
      <c r="F2543" t="s">
        <v>13</v>
      </c>
      <c r="G2543" t="s">
        <v>12</v>
      </c>
      <c r="H2543">
        <v>5</v>
      </c>
      <c r="I2543">
        <v>10</v>
      </c>
      <c r="J2543" t="s">
        <v>10</v>
      </c>
      <c r="K2543">
        <v>7.0907999999999998</v>
      </c>
      <c r="L2543">
        <v>28.073</v>
      </c>
      <c r="M2543">
        <v>7.0891000000000002</v>
      </c>
      <c r="N2543">
        <v>28.073</v>
      </c>
      <c r="O2543" t="s">
        <v>2833</v>
      </c>
      <c r="P2543" t="s">
        <v>2833</v>
      </c>
      <c r="Q2543" t="s">
        <v>2833</v>
      </c>
      <c r="R2543">
        <f ca="1">RAND()*(Validation[[#This Row],[Range1_High]]-Validation[[#This Row],[Range1_Low]])+Validation[[#This Row],[Range1_Low]]</f>
        <v>1.0315883164231356</v>
      </c>
      <c r="S2543">
        <f>Validation[[#This Row],[Range2_High]]</f>
        <v>10</v>
      </c>
      <c r="T2543" t="str" cm="1">
        <f t="array" aca="1" ref="T2543" ca="1">RoundToTwoSigFigs(Validation[[#This Row],[Test Reading]]*Validation[[#This Row],[Mult]]+Validation[[#This Row],[Base]]) &amp;" "&amp;Validation[[#This Row],[Uncert_Units]]</f>
        <v>36 mA</v>
      </c>
      <c r="U2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V2543" t="b">
        <f ca="1">Validation[[#This Row],[Desired Result]]=Validation[[#This Row],[Result]]</f>
        <v>1</v>
      </c>
      <c r="W2543" t="b">
        <v>1</v>
      </c>
      <c r="X2543" t="b">
        <f>Validation[[#This Row],[Range1_Low]]&gt;=Validation[[#This Row],[Range1_High]]</f>
        <v>0</v>
      </c>
      <c r="Y2543" s="111" t="s">
        <v>2843</v>
      </c>
    </row>
    <row r="2544" spans="1:25" ht="16.5" thickTop="1" thickBot="1" x14ac:dyDescent="0.3">
      <c r="A2544" t="s">
        <v>68</v>
      </c>
      <c r="B2544" t="s">
        <v>47</v>
      </c>
      <c r="C2544" s="113">
        <v>1E-4</v>
      </c>
      <c r="D2544" s="113">
        <v>1.0399999999999999E-3</v>
      </c>
      <c r="E2544">
        <v>1.0000000000000001E-5</v>
      </c>
      <c r="F2544" t="s">
        <v>13</v>
      </c>
      <c r="G2544" t="s">
        <v>11</v>
      </c>
      <c r="H2544">
        <v>0.01</v>
      </c>
      <c r="I2544">
        <v>2</v>
      </c>
      <c r="J2544" t="s">
        <v>10</v>
      </c>
      <c r="K2544">
        <v>5.8400999999999996</v>
      </c>
      <c r="L2544">
        <v>353.65</v>
      </c>
      <c r="M2544">
        <v>5.8398000000000003</v>
      </c>
      <c r="N2544">
        <v>351.6</v>
      </c>
      <c r="O2544" t="s">
        <v>2833</v>
      </c>
      <c r="P2544" t="s">
        <v>2833</v>
      </c>
      <c r="Q2544" t="s">
        <v>2833</v>
      </c>
      <c r="R2544">
        <f ca="1">RAND()*(Validation[[#This Row],[Range1_High]]-Validation[[#This Row],[Range1_Low]])+Validation[[#This Row],[Range1_Low]]</f>
        <v>8.6936020519081281E-4</v>
      </c>
      <c r="S2544">
        <f>Validation[[#This Row],[Range2_High]]</f>
        <v>2</v>
      </c>
      <c r="T2544" t="str" cm="1">
        <f t="array" aca="1" ref="T2544" ca="1">RoundToTwoSigFigs(Validation[[#This Row],[Test Reading]]*Validation[[#This Row],[Mult]]+Validation[[#This Row],[Base]]) &amp;" "&amp;Validation[[#This Row],[Uncert_Units]]</f>
        <v>6.1 µA</v>
      </c>
      <c r="U2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V2544" t="b">
        <f ca="1">Validation[[#This Row],[Desired Result]]=Validation[[#This Row],[Result]]</f>
        <v>1</v>
      </c>
      <c r="W2544" t="b">
        <v>1</v>
      </c>
      <c r="X2544" t="b">
        <f>Validation[[#This Row],[Range1_Low]]&gt;=Validation[[#This Row],[Range1_High]]</f>
        <v>0</v>
      </c>
      <c r="Y2544" s="111" t="s">
        <v>2843</v>
      </c>
    </row>
    <row r="2545" spans="1:25" ht="16.5" thickTop="1" thickBot="1" x14ac:dyDescent="0.3">
      <c r="A2545" t="s">
        <v>55</v>
      </c>
      <c r="B2545" t="s">
        <v>47</v>
      </c>
      <c r="C2545" s="113">
        <v>1E-4</v>
      </c>
      <c r="D2545" s="113">
        <v>1E-3</v>
      </c>
      <c r="E2545">
        <v>9.9999999999999995E-8</v>
      </c>
      <c r="F2545" t="s">
        <v>13</v>
      </c>
      <c r="G2545" t="s">
        <v>11</v>
      </c>
      <c r="H2545">
        <v>0.02</v>
      </c>
      <c r="I2545">
        <v>4.4999999999999998E-2</v>
      </c>
      <c r="J2545" t="s">
        <v>10</v>
      </c>
      <c r="K2545">
        <v>0.55630000000000002</v>
      </c>
      <c r="L2545">
        <v>1491.3</v>
      </c>
      <c r="M2545">
        <v>0.55586000000000002</v>
      </c>
      <c r="N2545">
        <v>1490.6</v>
      </c>
      <c r="O2545" t="s">
        <v>2833</v>
      </c>
      <c r="P2545" t="s">
        <v>2833</v>
      </c>
      <c r="Q2545" t="s">
        <v>2833</v>
      </c>
      <c r="R2545">
        <f ca="1">RAND()*(Validation[[#This Row],[Range1_High]]-Validation[[#This Row],[Range1_Low]])+Validation[[#This Row],[Range1_Low]]</f>
        <v>5.8940424124009612E-4</v>
      </c>
      <c r="S2545">
        <f>Validation[[#This Row],[Range2_High]]</f>
        <v>4.4999999999999998E-2</v>
      </c>
      <c r="T2545" t="str" cm="1">
        <f t="array" aca="1" ref="T2545" ca="1">RoundToTwoSigFigs(Validation[[#This Row],[Test Reading]]*Validation[[#This Row],[Mult]]+Validation[[#This Row],[Base]]) &amp;" "&amp;Validation[[#This Row],[Uncert_Units]]</f>
        <v>1.4 µA</v>
      </c>
      <c r="U2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V2545" t="b">
        <f ca="1">Validation[[#This Row],[Desired Result]]=Validation[[#This Row],[Result]]</f>
        <v>1</v>
      </c>
      <c r="W2545" t="b">
        <v>1</v>
      </c>
      <c r="X2545" t="b">
        <f>Validation[[#This Row],[Range1_Low]]&gt;=Validation[[#This Row],[Range1_High]]</f>
        <v>0</v>
      </c>
      <c r="Y2545" s="111" t="s">
        <v>2843</v>
      </c>
    </row>
    <row r="2546" spans="1:25" ht="16.5" thickTop="1" thickBot="1" x14ac:dyDescent="0.3">
      <c r="A2546" t="s">
        <v>54</v>
      </c>
      <c r="B2546" t="s">
        <v>47</v>
      </c>
      <c r="C2546">
        <v>0.33</v>
      </c>
      <c r="D2546">
        <v>1.1000099999999999</v>
      </c>
      <c r="E2546">
        <v>0.1</v>
      </c>
      <c r="F2546" t="s">
        <v>13</v>
      </c>
      <c r="G2546" t="s">
        <v>12</v>
      </c>
      <c r="H2546">
        <v>4.4999999999999998E-2</v>
      </c>
      <c r="I2546">
        <v>1.0000100000000001</v>
      </c>
      <c r="J2546" t="s">
        <v>10</v>
      </c>
      <c r="K2546">
        <v>57.734999999999999</v>
      </c>
      <c r="L2546">
        <v>5.4079999999999996E-3</v>
      </c>
      <c r="M2546">
        <v>57.734999999999999</v>
      </c>
      <c r="N2546">
        <v>5.3017999999999997E-3</v>
      </c>
      <c r="O2546" t="s">
        <v>2833</v>
      </c>
      <c r="P2546" t="s">
        <v>2833</v>
      </c>
      <c r="Q2546" t="s">
        <v>2833</v>
      </c>
      <c r="R2546">
        <f ca="1">RAND()*(Validation[[#This Row],[Range1_High]]-Validation[[#This Row],[Range1_Low]])+Validation[[#This Row],[Range1_Low]]</f>
        <v>0.52767006513176939</v>
      </c>
      <c r="S2546">
        <f>Validation[[#This Row],[Range2_High]]</f>
        <v>1.0000100000000001</v>
      </c>
      <c r="T2546" t="str" cm="1">
        <f t="array" aca="1" ref="T2546" ca="1">RoundToTwoSigFigs(Validation[[#This Row],[Test Reading]]*Validation[[#This Row],[Mult]]+Validation[[#This Row],[Base]]) &amp;" "&amp;Validation[[#This Row],[Uncert_Units]]</f>
        <v>58 mA</v>
      </c>
      <c r="U2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V2546" t="b">
        <f ca="1">Validation[[#This Row],[Desired Result]]=Validation[[#This Row],[Result]]</f>
        <v>1</v>
      </c>
      <c r="W2546" t="b">
        <v>0</v>
      </c>
      <c r="X2546" t="b">
        <f>Validation[[#This Row],[Range1_Low]]&gt;=Validation[[#This Row],[Range1_High]]</f>
        <v>0</v>
      </c>
      <c r="Y2546" s="111" t="s">
        <v>2845</v>
      </c>
    </row>
    <row r="2547" spans="1:25" ht="16.5" thickTop="1" thickBot="1" x14ac:dyDescent="0.3">
      <c r="A2547" t="s">
        <v>54</v>
      </c>
      <c r="B2547" t="s">
        <v>47</v>
      </c>
      <c r="C2547" s="113">
        <v>3.3E-4</v>
      </c>
      <c r="D2547" s="113">
        <v>3.3000999999999998E-3</v>
      </c>
      <c r="E2547">
        <v>1.0000000000000001E-5</v>
      </c>
      <c r="F2547" t="s">
        <v>13</v>
      </c>
      <c r="G2547" t="s">
        <v>11</v>
      </c>
      <c r="H2547">
        <v>10</v>
      </c>
      <c r="I2547">
        <v>30</v>
      </c>
      <c r="J2547" t="s">
        <v>10</v>
      </c>
      <c r="K2547">
        <v>3.6591999999999998</v>
      </c>
      <c r="L2547">
        <v>11103</v>
      </c>
      <c r="M2547">
        <v>3.7772999999999999</v>
      </c>
      <c r="N2547">
        <v>10742</v>
      </c>
      <c r="O2547" t="s">
        <v>2833</v>
      </c>
      <c r="P2547" t="s">
        <v>2833</v>
      </c>
      <c r="Q2547" t="s">
        <v>2833</v>
      </c>
      <c r="R2547">
        <f ca="1">RAND()*(Validation[[#This Row],[Range1_High]]-Validation[[#This Row],[Range1_Low]])+Validation[[#This Row],[Range1_Low]]</f>
        <v>1.7313921852466052E-3</v>
      </c>
      <c r="S2547">
        <f>Validation[[#This Row],[Range2_High]]</f>
        <v>30</v>
      </c>
      <c r="T2547" t="str" cm="1">
        <f t="array" aca="1" ref="T2547" ca="1">RoundToTwoSigFigs(Validation[[#This Row],[Test Reading]]*Validation[[#This Row],[Mult]]+Validation[[#This Row],[Base]]) &amp;" "&amp;Validation[[#This Row],[Uncert_Units]]</f>
        <v>23 µA</v>
      </c>
      <c r="U2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V2547" t="b">
        <f ca="1">Validation[[#This Row],[Desired Result]]=Validation[[#This Row],[Result]]</f>
        <v>1</v>
      </c>
      <c r="W2547" t="b">
        <v>1</v>
      </c>
      <c r="X2547" t="b">
        <f>Validation[[#This Row],[Range1_Low]]&gt;=Validation[[#This Row],[Range1_High]]</f>
        <v>0</v>
      </c>
      <c r="Y2547" s="111" t="s">
        <v>2843</v>
      </c>
    </row>
    <row r="2548" spans="1:25" ht="16.5" thickTop="1" thickBot="1" x14ac:dyDescent="0.3">
      <c r="A2548" t="s">
        <v>54</v>
      </c>
      <c r="B2548" t="s">
        <v>47</v>
      </c>
      <c r="C2548" s="113">
        <v>3.3E-4</v>
      </c>
      <c r="D2548" s="113">
        <v>3.3000999999999998E-3</v>
      </c>
      <c r="E2548">
        <v>9.9999999999999995E-8</v>
      </c>
      <c r="F2548" t="s">
        <v>13</v>
      </c>
      <c r="G2548" t="s">
        <v>11</v>
      </c>
      <c r="H2548">
        <v>4.4999999999999998E-2</v>
      </c>
      <c r="I2548">
        <v>1.0000100000000001</v>
      </c>
      <c r="J2548" t="s">
        <v>10</v>
      </c>
      <c r="K2548">
        <v>0.18</v>
      </c>
      <c r="L2548">
        <v>1200</v>
      </c>
      <c r="M2548">
        <v>0.17651</v>
      </c>
      <c r="N2548">
        <v>1154.4000000000001</v>
      </c>
      <c r="O2548" t="s">
        <v>2833</v>
      </c>
      <c r="P2548" t="s">
        <v>2833</v>
      </c>
      <c r="Q2548" t="s">
        <v>2833</v>
      </c>
      <c r="R2548">
        <f ca="1">RAND()*(Validation[[#This Row],[Range1_High]]-Validation[[#This Row],[Range1_Low]])+Validation[[#This Row],[Range1_Low]]</f>
        <v>7.5169182703024515E-4</v>
      </c>
      <c r="S2548">
        <f>Validation[[#This Row],[Range2_High]]</f>
        <v>1.0000100000000001</v>
      </c>
      <c r="T2548" t="str" cm="1">
        <f t="array" aca="1" ref="T2548" ca="1">RoundToTwoSigFigs(Validation[[#This Row],[Test Reading]]*Validation[[#This Row],[Mult]]+Validation[[#This Row],[Base]]) &amp;" "&amp;Validation[[#This Row],[Uncert_Units]]</f>
        <v>1.1 µA</v>
      </c>
      <c r="U2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V2548" t="b">
        <f ca="1">Validation[[#This Row],[Desired Result]]=Validation[[#This Row],[Result]]</f>
        <v>1</v>
      </c>
      <c r="W2548" t="b">
        <v>1</v>
      </c>
      <c r="X2548" t="b">
        <f>Validation[[#This Row],[Range1_Low]]&gt;=Validation[[#This Row],[Range1_High]]</f>
        <v>0</v>
      </c>
      <c r="Y2548" s="111" t="s">
        <v>2843</v>
      </c>
    </row>
    <row r="2549" spans="1:25" ht="16.5" thickTop="1" thickBot="1" x14ac:dyDescent="0.3">
      <c r="A2549" t="s">
        <v>54</v>
      </c>
      <c r="B2549" t="s">
        <v>61</v>
      </c>
      <c r="C2549" s="113">
        <v>110</v>
      </c>
      <c r="D2549" s="113">
        <v>205.01</v>
      </c>
      <c r="E2549">
        <v>0.1</v>
      </c>
      <c r="F2549" t="s">
        <v>13</v>
      </c>
      <c r="G2549" t="s">
        <v>12</v>
      </c>
      <c r="H2549">
        <v>4.4999999999999998E-2</v>
      </c>
      <c r="I2549">
        <v>0.10001</v>
      </c>
      <c r="J2549" t="s">
        <v>10</v>
      </c>
      <c r="K2549">
        <v>46.786999999999999</v>
      </c>
      <c r="L2549">
        <v>2.3923999999999999</v>
      </c>
      <c r="M2549">
        <v>46.65</v>
      </c>
      <c r="N2549">
        <v>2.3915999999999999</v>
      </c>
      <c r="O2549" t="s">
        <v>2833</v>
      </c>
      <c r="P2549" t="s">
        <v>157</v>
      </c>
      <c r="Q2549" t="s">
        <v>2833</v>
      </c>
      <c r="R2549">
        <f ca="1">RAND()*(Validation[[#This Row],[Range1_High]]-Validation[[#This Row],[Range1_Low]])+Validation[[#This Row],[Range1_Low]]</f>
        <v>156.23186820056742</v>
      </c>
      <c r="S2549">
        <f>Validation[[#This Row],[Range2_High]]</f>
        <v>0.10001</v>
      </c>
      <c r="T2549" t="str" cm="1">
        <f t="array" aca="1" ref="T2549" ca="1">RoundToTwoSigFigs(Validation[[#This Row],[Test Reading]]*Validation[[#This Row],[Mult]]+Validation[[#This Row],[Base]]) &amp;" "&amp;Validation[[#This Row],[Uncert_Units]]</f>
        <v>420 mA</v>
      </c>
      <c r="U2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V2549" t="b">
        <f ca="1">Validation[[#This Row],[Desired Result]]=Validation[[#This Row],[Result]]</f>
        <v>0</v>
      </c>
      <c r="W2549" t="b">
        <v>1</v>
      </c>
      <c r="X2549" t="b">
        <f>Validation[[#This Row],[Range1_Low]]&gt;=Validation[[#This Row],[Range1_High]]</f>
        <v>0</v>
      </c>
      <c r="Y2549" s="111" t="s">
        <v>2843</v>
      </c>
    </row>
    <row r="2550" spans="1:25" ht="15.75" thickTop="1" x14ac:dyDescent="0.25">
      <c r="A2550" t="s">
        <v>54</v>
      </c>
      <c r="B2550" t="s">
        <v>61</v>
      </c>
      <c r="C2550">
        <v>1</v>
      </c>
      <c r="D2550">
        <v>11.000999999999999</v>
      </c>
      <c r="E2550">
        <v>1</v>
      </c>
      <c r="F2550" t="s">
        <v>13</v>
      </c>
      <c r="G2550" t="s">
        <v>12</v>
      </c>
      <c r="H2550">
        <v>5</v>
      </c>
      <c r="I2550">
        <v>10</v>
      </c>
      <c r="J2550" t="s">
        <v>10</v>
      </c>
      <c r="K2550">
        <v>575.98</v>
      </c>
      <c r="L2550">
        <v>10.476000000000001</v>
      </c>
      <c r="M2550">
        <v>575.96</v>
      </c>
      <c r="N2550">
        <v>10.474</v>
      </c>
      <c r="O2550" t="s">
        <v>2833</v>
      </c>
      <c r="P2550" t="s">
        <v>157</v>
      </c>
      <c r="Q2550" t="s">
        <v>2833</v>
      </c>
      <c r="R2550">
        <f ca="1">RAND()*(Validation[[#This Row],[Range1_High]]-Validation[[#This Row],[Range1_Low]])+Validation[[#This Row],[Range1_Low]]</f>
        <v>10.205913812493714</v>
      </c>
      <c r="S2550">
        <f>Validation[[#This Row],[Range2_High]]</f>
        <v>10</v>
      </c>
      <c r="T2550" t="str" cm="1">
        <f t="array" aca="1" ref="T2550" ca="1">RoundToTwoSigFigs(Validation[[#This Row],[Test Reading]]*Validation[[#This Row],[Mult]]+Validation[[#This Row],[Base]]) &amp;" "&amp;Validation[[#This Row],[Uncert_Units]]</f>
        <v>680 mA</v>
      </c>
      <c r="U2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V2550" t="b">
        <f ca="1">Validation[[#This Row],[Desired Result]]=Validation[[#This Row],[Result]]</f>
        <v>1</v>
      </c>
      <c r="W2550" t="b">
        <v>1</v>
      </c>
      <c r="X2550" t="b">
        <f>Validation[[#This Row],[Range1_Low]]&gt;=Validation[[#This Row],[Range1_High]]</f>
        <v>0</v>
      </c>
      <c r="Y2550" s="111" t="s">
        <v>2845</v>
      </c>
    </row>
    <row r="2551" spans="1:25" x14ac:dyDescent="0.25">
      <c r="A2551" t="s">
        <v>54</v>
      </c>
      <c r="B2551" t="s">
        <v>61</v>
      </c>
      <c r="C2551">
        <v>30</v>
      </c>
      <c r="D2551">
        <v>110.01</v>
      </c>
      <c r="E2551">
        <v>1</v>
      </c>
      <c r="F2551" t="s">
        <v>13</v>
      </c>
      <c r="G2551" t="s">
        <v>12</v>
      </c>
      <c r="H2551">
        <v>4.4999999999999998E-2</v>
      </c>
      <c r="I2551">
        <v>0.10001</v>
      </c>
      <c r="J2551" t="s">
        <v>10</v>
      </c>
      <c r="K2551">
        <v>568.42999999999995</v>
      </c>
      <c r="L2551">
        <v>0.54491000000000001</v>
      </c>
      <c r="M2551">
        <v>568.44000000000005</v>
      </c>
      <c r="N2551">
        <v>0.54347000000000001</v>
      </c>
      <c r="O2551" t="s">
        <v>2833</v>
      </c>
      <c r="P2551" t="s">
        <v>157</v>
      </c>
      <c r="Q2551" t="s">
        <v>2833</v>
      </c>
      <c r="R2551">
        <f ca="1">RAND()*(Validation[[#This Row],[Range1_High]]-Validation[[#This Row],[Range1_Low]])+Validation[[#This Row],[Range1_Low]]</f>
        <v>102.97601450488003</v>
      </c>
      <c r="S2551">
        <f>Validation[[#This Row],[Range2_High]]</f>
        <v>0.10001</v>
      </c>
      <c r="T2551" t="str" cm="1">
        <f t="array" aca="1" ref="T2551" ca="1">RoundToTwoSigFigs(Validation[[#This Row],[Test Reading]]*Validation[[#This Row],[Mult]]+Validation[[#This Row],[Base]]) &amp;" "&amp;Validation[[#This Row],[Uncert_Units]]</f>
        <v>620 mA</v>
      </c>
      <c r="U2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V2551" t="b">
        <f ca="1">Validation[[#This Row],[Desired Result]]=Validation[[#This Row],[Result]]</f>
        <v>0</v>
      </c>
      <c r="W2551" t="b">
        <v>0</v>
      </c>
      <c r="X2551" t="b">
        <f>Validation[[#This Row],[Range1_Low]]&gt;=Validation[[#This Row],[Range1_High]]</f>
        <v>0</v>
      </c>
      <c r="Y2551" s="111" t="s">
        <v>2845</v>
      </c>
    </row>
    <row r="2552" spans="1:25" x14ac:dyDescent="0.25">
      <c r="A2552" t="s">
        <v>54</v>
      </c>
      <c r="B2552" t="s">
        <v>61</v>
      </c>
      <c r="C2552">
        <v>1</v>
      </c>
      <c r="D2552">
        <v>11.000999999999999</v>
      </c>
      <c r="E2552">
        <v>0.01</v>
      </c>
      <c r="F2552" t="s">
        <v>13</v>
      </c>
      <c r="G2552" t="s">
        <v>12</v>
      </c>
      <c r="H2552">
        <v>1</v>
      </c>
      <c r="I2552">
        <v>5.01</v>
      </c>
      <c r="J2552" t="s">
        <v>10</v>
      </c>
      <c r="K2552">
        <v>12.361000000000001</v>
      </c>
      <c r="L2552">
        <v>7.1186999999999996</v>
      </c>
      <c r="M2552">
        <v>12.349</v>
      </c>
      <c r="N2552">
        <v>7.1191000000000004</v>
      </c>
      <c r="O2552" t="s">
        <v>2833</v>
      </c>
      <c r="P2552" t="s">
        <v>157</v>
      </c>
      <c r="Q2552" t="s">
        <v>2833</v>
      </c>
      <c r="R2552">
        <f ca="1">RAND()*(Validation[[#This Row],[Range1_High]]-Validation[[#This Row],[Range1_Low]])+Validation[[#This Row],[Range1_Low]]</f>
        <v>7.1053412395874718</v>
      </c>
      <c r="S2552">
        <f>Validation[[#This Row],[Range2_High]]</f>
        <v>5.01</v>
      </c>
      <c r="T2552" t="str" cm="1">
        <f t="array" aca="1" ref="T2552" ca="1">RoundToTwoSigFigs(Validation[[#This Row],[Test Reading]]*Validation[[#This Row],[Mult]]+Validation[[#This Row],[Base]]) &amp;" "&amp;Validation[[#This Row],[Uncert_Units]]</f>
        <v>63 mA</v>
      </c>
      <c r="U2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V2552" t="b">
        <f ca="1">Validation[[#This Row],[Desired Result]]=Validation[[#This Row],[Result]]</f>
        <v>1</v>
      </c>
      <c r="W2552" t="b">
        <v>0</v>
      </c>
      <c r="X2552" t="b">
        <f>Validation[[#This Row],[Range1_Low]]&gt;=Validation[[#This Row],[Range1_High]]</f>
        <v>0</v>
      </c>
      <c r="Y2552" s="111" t="s">
        <v>2845</v>
      </c>
    </row>
    <row r="2553" spans="1:25" x14ac:dyDescent="0.25">
      <c r="A2553" t="s">
        <v>54</v>
      </c>
      <c r="B2553" t="s">
        <v>61</v>
      </c>
      <c r="C2553">
        <v>110</v>
      </c>
      <c r="D2553">
        <v>205.01</v>
      </c>
      <c r="E2553">
        <v>1</v>
      </c>
      <c r="F2553" t="s">
        <v>13</v>
      </c>
      <c r="G2553" t="s">
        <v>12</v>
      </c>
      <c r="H2553">
        <v>5</v>
      </c>
      <c r="I2553">
        <v>5.01</v>
      </c>
      <c r="J2553" t="s">
        <v>10</v>
      </c>
      <c r="K2553">
        <v>79.069999999999993</v>
      </c>
      <c r="L2553">
        <v>34.896999999999998</v>
      </c>
      <c r="M2553">
        <v>123.66</v>
      </c>
      <c r="N2553">
        <v>34.491</v>
      </c>
      <c r="O2553" t="s">
        <v>2833</v>
      </c>
      <c r="P2553" t="s">
        <v>157</v>
      </c>
      <c r="Q2553" t="s">
        <v>2833</v>
      </c>
      <c r="R2553">
        <f ca="1">RAND()*(Validation[[#This Row],[Range1_High]]-Validation[[#This Row],[Range1_Low]])+Validation[[#This Row],[Range1_Low]]</f>
        <v>151.96021954807773</v>
      </c>
      <c r="S2553">
        <f>Validation[[#This Row],[Range2_High]]</f>
        <v>5.01</v>
      </c>
      <c r="T2553" t="str" cm="1">
        <f t="array" aca="1" ref="T2553" ca="1">RoundToTwoSigFigs(Validation[[#This Row],[Test Reading]]*Validation[[#This Row],[Mult]]+Validation[[#This Row],[Base]]) &amp;" "&amp;Validation[[#This Row],[Uncert_Units]]</f>
        <v>5400 mA</v>
      </c>
      <c r="U2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mA</v>
      </c>
      <c r="V2553" t="b">
        <f ca="1">Validation[[#This Row],[Desired Result]]=Validation[[#This Row],[Result]]</f>
        <v>1</v>
      </c>
      <c r="W2553" t="b">
        <v>0</v>
      </c>
      <c r="X2553" t="b">
        <f>Validation[[#This Row],[Range1_Low]]&gt;=Validation[[#This Row],[Range1_High]]</f>
        <v>0</v>
      </c>
      <c r="Y2553" s="111" t="s">
        <v>2845</v>
      </c>
    </row>
    <row r="2554" spans="1:25" ht="15.75" thickBot="1" x14ac:dyDescent="0.3">
      <c r="A2554" t="s">
        <v>54</v>
      </c>
      <c r="B2554" t="s">
        <v>61</v>
      </c>
      <c r="C2554">
        <v>1</v>
      </c>
      <c r="D2554">
        <v>11.000999999999999</v>
      </c>
      <c r="E2554">
        <v>0.1</v>
      </c>
      <c r="F2554" t="s">
        <v>13</v>
      </c>
      <c r="G2554" t="s">
        <v>12</v>
      </c>
      <c r="H2554">
        <v>10</v>
      </c>
      <c r="I2554">
        <v>10.01</v>
      </c>
      <c r="J2554" t="s">
        <v>10</v>
      </c>
      <c r="K2554">
        <v>76.668000000000006</v>
      </c>
      <c r="L2554">
        <v>27.611000000000001</v>
      </c>
      <c r="M2554">
        <v>76.638000000000005</v>
      </c>
      <c r="N2554">
        <v>27.611999999999998</v>
      </c>
      <c r="O2554" t="s">
        <v>2833</v>
      </c>
      <c r="P2554" t="s">
        <v>157</v>
      </c>
      <c r="Q2554" t="s">
        <v>2833</v>
      </c>
      <c r="R2554">
        <f ca="1">RAND()*(Validation[[#This Row],[Range1_High]]-Validation[[#This Row],[Range1_Low]])+Validation[[#This Row],[Range1_Low]]</f>
        <v>1.4221930500509108</v>
      </c>
      <c r="S2554">
        <f>Validation[[#This Row],[Range2_High]]</f>
        <v>10.01</v>
      </c>
      <c r="T2554" t="str" cm="1">
        <f t="array" aca="1" ref="T2554" ca="1">RoundToTwoSigFigs(Validation[[#This Row],[Test Reading]]*Validation[[#This Row],[Mult]]+Validation[[#This Row],[Base]]) &amp;" "&amp;Validation[[#This Row],[Uncert_Units]]</f>
        <v>120 mA</v>
      </c>
      <c r="U2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V2554" t="b">
        <f ca="1">Validation[[#This Row],[Desired Result]]=Validation[[#This Row],[Result]]</f>
        <v>1</v>
      </c>
      <c r="W2554" t="b">
        <v>0</v>
      </c>
      <c r="X2554" t="b">
        <f>Validation[[#This Row],[Range1_Low]]&gt;=Validation[[#This Row],[Range1_High]]</f>
        <v>0</v>
      </c>
      <c r="Y2554" s="111" t="s">
        <v>2845</v>
      </c>
    </row>
    <row r="2555" spans="1:25" ht="16.5" thickTop="1" thickBot="1" x14ac:dyDescent="0.3">
      <c r="A2555" t="s">
        <v>54</v>
      </c>
      <c r="B2555" t="s">
        <v>61</v>
      </c>
      <c r="C2555" s="113">
        <v>30</v>
      </c>
      <c r="D2555" s="113">
        <v>110.01</v>
      </c>
      <c r="E2555">
        <v>0.1</v>
      </c>
      <c r="F2555" t="s">
        <v>13</v>
      </c>
      <c r="G2555" t="s">
        <v>12</v>
      </c>
      <c r="H2555">
        <v>4.4999999999999998E-2</v>
      </c>
      <c r="I2555">
        <v>0.10001</v>
      </c>
      <c r="J2555" t="s">
        <v>10</v>
      </c>
      <c r="K2555">
        <v>36.579000000000001</v>
      </c>
      <c r="L2555">
        <v>1.9251</v>
      </c>
      <c r="M2555">
        <v>36.551000000000002</v>
      </c>
      <c r="N2555">
        <v>1.9245000000000001</v>
      </c>
      <c r="O2555" t="s">
        <v>2833</v>
      </c>
      <c r="P2555" t="s">
        <v>157</v>
      </c>
      <c r="Q2555" t="s">
        <v>2833</v>
      </c>
      <c r="R2555">
        <f ca="1">RAND()*(Validation[[#This Row],[Range1_High]]-Validation[[#This Row],[Range1_Low]])+Validation[[#This Row],[Range1_Low]]</f>
        <v>93.59120008746838</v>
      </c>
      <c r="S2555">
        <f>Validation[[#This Row],[Range2_High]]</f>
        <v>0.10001</v>
      </c>
      <c r="T2555" t="str" cm="1">
        <f t="array" aca="1" ref="T2555" ca="1">RoundToTwoSigFigs(Validation[[#This Row],[Test Reading]]*Validation[[#This Row],[Mult]]+Validation[[#This Row],[Base]]) &amp;" "&amp;Validation[[#This Row],[Uncert_Units]]</f>
        <v>220 mA</v>
      </c>
      <c r="U2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V2555" t="b">
        <f ca="1">Validation[[#This Row],[Desired Result]]=Validation[[#This Row],[Result]]</f>
        <v>0</v>
      </c>
      <c r="W2555" t="b">
        <v>1</v>
      </c>
      <c r="X2555" t="b">
        <f>Validation[[#This Row],[Range1_Low]]&gt;=Validation[[#This Row],[Range1_High]]</f>
        <v>0</v>
      </c>
      <c r="Y2555" s="111" t="s">
        <v>2843</v>
      </c>
    </row>
    <row r="2556" spans="1:25" ht="15.75" thickTop="1" x14ac:dyDescent="0.25">
      <c r="A2556" t="s">
        <v>54</v>
      </c>
      <c r="B2556" t="s">
        <v>61</v>
      </c>
      <c r="C2556">
        <v>110</v>
      </c>
      <c r="D2556">
        <v>205.01</v>
      </c>
      <c r="E2556">
        <v>10</v>
      </c>
      <c r="F2556" t="s">
        <v>13</v>
      </c>
      <c r="G2556" t="s">
        <v>12</v>
      </c>
      <c r="H2556">
        <v>0.1</v>
      </c>
      <c r="I2556">
        <v>1.0000100000000001</v>
      </c>
      <c r="J2556" t="s">
        <v>10</v>
      </c>
      <c r="K2556">
        <v>5786.7</v>
      </c>
      <c r="L2556">
        <v>0.20930000000000001</v>
      </c>
      <c r="M2556">
        <v>5786.8</v>
      </c>
      <c r="N2556">
        <v>0.20663999999999999</v>
      </c>
      <c r="O2556" t="s">
        <v>2833</v>
      </c>
      <c r="P2556" t="s">
        <v>157</v>
      </c>
      <c r="Q2556" t="s">
        <v>2833</v>
      </c>
      <c r="R2556">
        <f ca="1">RAND()*(Validation[[#This Row],[Range1_High]]-Validation[[#This Row],[Range1_Low]])+Validation[[#This Row],[Range1_Low]]</f>
        <v>161.41000350795099</v>
      </c>
      <c r="S2556">
        <f>Validation[[#This Row],[Range2_High]]</f>
        <v>1.0000100000000001</v>
      </c>
      <c r="T2556" t="str" cm="1">
        <f t="array" aca="1" ref="T2556" ca="1">RoundToTwoSigFigs(Validation[[#This Row],[Test Reading]]*Validation[[#This Row],[Mult]]+Validation[[#This Row],[Base]]) &amp;" "&amp;Validation[[#This Row],[Uncert_Units]]</f>
        <v>5800 mA</v>
      </c>
      <c r="U2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556" t="b">
        <f ca="1">Validation[[#This Row],[Desired Result]]=Validation[[#This Row],[Result]]</f>
        <v>1</v>
      </c>
      <c r="W2556" t="b">
        <v>0</v>
      </c>
      <c r="X2556" t="b">
        <f>Validation[[#This Row],[Range1_Low]]&gt;=Validation[[#This Row],[Range1_High]]</f>
        <v>0</v>
      </c>
      <c r="Y2556" s="111" t="s">
        <v>2845</v>
      </c>
    </row>
    <row r="2557" spans="1:25" ht="15.75" thickBot="1" x14ac:dyDescent="0.3">
      <c r="A2557" t="s">
        <v>54</v>
      </c>
      <c r="B2557" t="s">
        <v>61</v>
      </c>
      <c r="C2557">
        <v>110</v>
      </c>
      <c r="D2557">
        <v>205.01</v>
      </c>
      <c r="E2557">
        <v>0.1</v>
      </c>
      <c r="F2557" t="s">
        <v>13</v>
      </c>
      <c r="G2557" t="s">
        <v>12</v>
      </c>
      <c r="H2557">
        <v>1</v>
      </c>
      <c r="I2557">
        <v>5</v>
      </c>
      <c r="J2557" t="s">
        <v>10</v>
      </c>
      <c r="K2557">
        <v>58</v>
      </c>
      <c r="L2557">
        <v>35</v>
      </c>
      <c r="M2557">
        <v>58.262</v>
      </c>
      <c r="N2557">
        <v>34.697000000000003</v>
      </c>
      <c r="O2557" t="s">
        <v>2833</v>
      </c>
      <c r="P2557" t="s">
        <v>157</v>
      </c>
      <c r="Q2557" t="s">
        <v>2833</v>
      </c>
      <c r="R2557">
        <f ca="1">RAND()*(Validation[[#This Row],[Range1_High]]-Validation[[#This Row],[Range1_Low]])+Validation[[#This Row],[Range1_Low]]</f>
        <v>133.8732354010902</v>
      </c>
      <c r="S2557">
        <f>Validation[[#This Row],[Range2_High]]</f>
        <v>5</v>
      </c>
      <c r="T2557" t="str" cm="1">
        <f t="array" aca="1" ref="T2557" ca="1">RoundToTwoSigFigs(Validation[[#This Row],[Test Reading]]*Validation[[#This Row],[Mult]]+Validation[[#This Row],[Base]]) &amp;" "&amp;Validation[[#This Row],[Uncert_Units]]</f>
        <v>4700 mA</v>
      </c>
      <c r="U2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mA</v>
      </c>
      <c r="V2557" t="b">
        <f ca="1">Validation[[#This Row],[Desired Result]]=Validation[[#This Row],[Result]]</f>
        <v>1</v>
      </c>
      <c r="W2557" t="b">
        <v>1</v>
      </c>
      <c r="X2557" t="b">
        <f>Validation[[#This Row],[Range1_Low]]&gt;=Validation[[#This Row],[Range1_High]]</f>
        <v>0</v>
      </c>
      <c r="Y2557" s="111" t="s">
        <v>2845</v>
      </c>
    </row>
    <row r="2558" spans="1:25" ht="16.5" thickTop="1" thickBot="1" x14ac:dyDescent="0.3">
      <c r="A2558" t="s">
        <v>54</v>
      </c>
      <c r="B2558" t="s">
        <v>61</v>
      </c>
      <c r="C2558" s="113">
        <v>30</v>
      </c>
      <c r="D2558" s="113">
        <v>110.01</v>
      </c>
      <c r="E2558">
        <v>0.01</v>
      </c>
      <c r="F2558" t="s">
        <v>13</v>
      </c>
      <c r="G2558" t="s">
        <v>12</v>
      </c>
      <c r="H2558">
        <v>4.4999999999999998E-2</v>
      </c>
      <c r="I2558">
        <v>0.10001</v>
      </c>
      <c r="J2558" t="s">
        <v>10</v>
      </c>
      <c r="K2558">
        <v>12</v>
      </c>
      <c r="L2558">
        <v>2.1</v>
      </c>
      <c r="M2558">
        <v>11.984</v>
      </c>
      <c r="N2558">
        <v>2.0859999999999999</v>
      </c>
      <c r="O2558" t="s">
        <v>2833</v>
      </c>
      <c r="P2558" t="s">
        <v>157</v>
      </c>
      <c r="Q2558" t="s">
        <v>2833</v>
      </c>
      <c r="R2558">
        <f ca="1">RAND()*(Validation[[#This Row],[Range1_High]]-Validation[[#This Row],[Range1_Low]])+Validation[[#This Row],[Range1_Low]]</f>
        <v>84.973332898997313</v>
      </c>
      <c r="S2558">
        <f>Validation[[#This Row],[Range2_High]]</f>
        <v>0.10001</v>
      </c>
      <c r="T2558" t="str" cm="1">
        <f t="array" aca="1" ref="T2558" ca="1">RoundToTwoSigFigs(Validation[[#This Row],[Test Reading]]*Validation[[#This Row],[Mult]]+Validation[[#This Row],[Base]]) &amp;" "&amp;Validation[[#This Row],[Uncert_Units]]</f>
        <v>190 mA</v>
      </c>
      <c r="U2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V2558" t="b">
        <f ca="1">Validation[[#This Row],[Desired Result]]=Validation[[#This Row],[Result]]</f>
        <v>0</v>
      </c>
      <c r="W2558" t="b">
        <v>1</v>
      </c>
      <c r="X2558" t="b">
        <f>Validation[[#This Row],[Range1_Low]]&gt;=Validation[[#This Row],[Range1_High]]</f>
        <v>0</v>
      </c>
      <c r="Y2558" s="111" t="s">
        <v>2843</v>
      </c>
    </row>
    <row r="2559" spans="1:25" ht="15.75" thickTop="1" x14ac:dyDescent="0.25">
      <c r="A2559" t="s">
        <v>54</v>
      </c>
      <c r="B2559" t="s">
        <v>61</v>
      </c>
      <c r="C2559">
        <v>1</v>
      </c>
      <c r="D2559">
        <v>11.000999999999999</v>
      </c>
      <c r="E2559">
        <v>10</v>
      </c>
      <c r="F2559" t="s">
        <v>13</v>
      </c>
      <c r="G2559" t="s">
        <v>12</v>
      </c>
      <c r="H2559">
        <v>4.4999999999999998E-2</v>
      </c>
      <c r="I2559">
        <v>1.0000100000000001</v>
      </c>
      <c r="J2559" t="s">
        <v>10</v>
      </c>
      <c r="K2559">
        <v>5800</v>
      </c>
      <c r="L2559">
        <v>4.7349999999999996E-3</v>
      </c>
      <c r="M2559">
        <v>5800</v>
      </c>
      <c r="N2559">
        <v>4.5976999999999997E-3</v>
      </c>
      <c r="O2559" t="s">
        <v>2833</v>
      </c>
      <c r="P2559" t="s">
        <v>157</v>
      </c>
      <c r="Q2559" t="s">
        <v>2833</v>
      </c>
      <c r="R2559">
        <f ca="1">RAND()*(Validation[[#This Row],[Range1_High]]-Validation[[#This Row],[Range1_Low]])+Validation[[#This Row],[Range1_Low]]</f>
        <v>6.1580320834833238</v>
      </c>
      <c r="S2559">
        <f>Validation[[#This Row],[Range2_High]]</f>
        <v>1.0000100000000001</v>
      </c>
      <c r="T2559" t="str" cm="1">
        <f t="array" aca="1" ref="T2559" ca="1">RoundToTwoSigFigs(Validation[[#This Row],[Test Reading]]*Validation[[#This Row],[Mult]]+Validation[[#This Row],[Base]]) &amp;" "&amp;Validation[[#This Row],[Uncert_Units]]</f>
        <v>5800 mA</v>
      </c>
      <c r="U2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559" t="b">
        <f ca="1">Validation[[#This Row],[Desired Result]]=Validation[[#This Row],[Result]]</f>
        <v>1</v>
      </c>
      <c r="W2559" t="b">
        <v>0</v>
      </c>
      <c r="X2559" t="b">
        <f>Validation[[#This Row],[Range1_Low]]&gt;=Validation[[#This Row],[Range1_High]]</f>
        <v>0</v>
      </c>
      <c r="Y2559" s="111" t="s">
        <v>2845</v>
      </c>
    </row>
    <row r="2560" spans="1:25" x14ac:dyDescent="0.25">
      <c r="A2560" t="s">
        <v>54</v>
      </c>
      <c r="B2560" t="s">
        <v>61</v>
      </c>
      <c r="C2560">
        <v>110</v>
      </c>
      <c r="D2560">
        <v>205.01</v>
      </c>
      <c r="E2560">
        <v>10</v>
      </c>
      <c r="F2560" t="s">
        <v>13</v>
      </c>
      <c r="G2560" t="s">
        <v>12</v>
      </c>
      <c r="H2560">
        <v>4.4999999999999998E-2</v>
      </c>
      <c r="I2560">
        <v>0.10001</v>
      </c>
      <c r="J2560" t="s">
        <v>10</v>
      </c>
      <c r="K2560">
        <v>5788.7</v>
      </c>
      <c r="L2560">
        <v>0.17673</v>
      </c>
      <c r="M2560">
        <v>5788.8</v>
      </c>
      <c r="N2560">
        <v>0.17407</v>
      </c>
      <c r="O2560" t="s">
        <v>2833</v>
      </c>
      <c r="P2560" t="s">
        <v>157</v>
      </c>
      <c r="Q2560" t="s">
        <v>2833</v>
      </c>
      <c r="R2560">
        <f ca="1">RAND()*(Validation[[#This Row],[Range1_High]]-Validation[[#This Row],[Range1_Low]])+Validation[[#This Row],[Range1_Low]]</f>
        <v>132.51748687753437</v>
      </c>
      <c r="S2560">
        <f>Validation[[#This Row],[Range2_High]]</f>
        <v>0.10001</v>
      </c>
      <c r="T2560" t="str" cm="1">
        <f t="array" aca="1" ref="T2560" ca="1">RoundToTwoSigFigs(Validation[[#This Row],[Test Reading]]*Validation[[#This Row],[Mult]]+Validation[[#This Row],[Base]]) &amp;" "&amp;Validation[[#This Row],[Uncert_Units]]</f>
        <v>5800 mA</v>
      </c>
      <c r="U2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V2560" t="b">
        <f ca="1">Validation[[#This Row],[Desired Result]]=Validation[[#This Row],[Result]]</f>
        <v>1</v>
      </c>
      <c r="W2560" t="b">
        <v>0</v>
      </c>
      <c r="X2560" t="b">
        <f>Validation[[#This Row],[Range1_Low]]&gt;=Validation[[#This Row],[Range1_High]]</f>
        <v>0</v>
      </c>
      <c r="Y2560" s="111" t="s">
        <v>2845</v>
      </c>
    </row>
    <row r="2561" spans="1:25" ht="15.75" thickBot="1" x14ac:dyDescent="0.3">
      <c r="A2561" t="s">
        <v>54</v>
      </c>
      <c r="B2561" t="s">
        <v>62</v>
      </c>
      <c r="C2561">
        <v>22</v>
      </c>
      <c r="D2561">
        <v>60.000999999999998</v>
      </c>
      <c r="E2561">
        <v>0.1</v>
      </c>
      <c r="F2561" t="s">
        <v>13</v>
      </c>
      <c r="G2561" t="s">
        <v>12</v>
      </c>
      <c r="H2561">
        <v>0.01</v>
      </c>
      <c r="I2561">
        <v>4.5010000000000001E-2</v>
      </c>
      <c r="J2561" t="s">
        <v>10</v>
      </c>
      <c r="K2561">
        <v>24.504000000000001</v>
      </c>
      <c r="L2561">
        <v>2.6608999999999998</v>
      </c>
      <c r="M2561">
        <v>24.465</v>
      </c>
      <c r="N2561">
        <v>2.6608000000000001</v>
      </c>
      <c r="O2561" t="s">
        <v>2833</v>
      </c>
      <c r="P2561" t="s">
        <v>158</v>
      </c>
      <c r="Q2561" t="s">
        <v>2833</v>
      </c>
      <c r="R2561">
        <f ca="1">RAND()*(Validation[[#This Row],[Range1_High]]-Validation[[#This Row],[Range1_Low]])+Validation[[#This Row],[Range1_Low]]</f>
        <v>35.142498899455674</v>
      </c>
      <c r="S2561">
        <f>Validation[[#This Row],[Range2_High]]</f>
        <v>4.5010000000000001E-2</v>
      </c>
      <c r="T2561" t="str" cm="1">
        <f t="array" aca="1" ref="T2561" ca="1">RoundToTwoSigFigs(Validation[[#This Row],[Test Reading]]*Validation[[#This Row],[Mult]]+Validation[[#This Row],[Base]]) &amp;" "&amp;Validation[[#This Row],[Uncert_Units]]</f>
        <v>120 mA</v>
      </c>
      <c r="U2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V2561" t="b">
        <f ca="1">Validation[[#This Row],[Desired Result]]=Validation[[#This Row],[Result]]</f>
        <v>1</v>
      </c>
      <c r="W2561" t="b">
        <v>0</v>
      </c>
      <c r="X2561" t="b">
        <f>Validation[[#This Row],[Range1_Low]]&gt;=Validation[[#This Row],[Range1_High]]</f>
        <v>0</v>
      </c>
      <c r="Y2561" s="111" t="s">
        <v>2845</v>
      </c>
    </row>
    <row r="2562" spans="1:25" ht="16.5" thickTop="1" thickBot="1" x14ac:dyDescent="0.3">
      <c r="A2562" t="s">
        <v>54</v>
      </c>
      <c r="B2562" t="s">
        <v>62</v>
      </c>
      <c r="C2562" s="113">
        <v>220</v>
      </c>
      <c r="D2562" s="113">
        <v>410.01</v>
      </c>
      <c r="E2562">
        <v>0.1</v>
      </c>
      <c r="F2562" t="s">
        <v>13</v>
      </c>
      <c r="G2562" t="s">
        <v>12</v>
      </c>
      <c r="H2562">
        <v>1</v>
      </c>
      <c r="I2562">
        <v>5</v>
      </c>
      <c r="J2562" t="s">
        <v>10</v>
      </c>
      <c r="K2562">
        <v>120</v>
      </c>
      <c r="L2562">
        <v>35</v>
      </c>
      <c r="M2562">
        <v>115.69</v>
      </c>
      <c r="N2562">
        <v>34.698</v>
      </c>
      <c r="O2562" t="s">
        <v>2833</v>
      </c>
      <c r="P2562" t="s">
        <v>158</v>
      </c>
      <c r="Q2562" t="s">
        <v>2833</v>
      </c>
      <c r="R2562">
        <f ca="1">RAND()*(Validation[[#This Row],[Range1_High]]-Validation[[#This Row],[Range1_Low]])+Validation[[#This Row],[Range1_Low]]</f>
        <v>382.44119412032182</v>
      </c>
      <c r="S2562">
        <f>Validation[[#This Row],[Range2_High]]</f>
        <v>5</v>
      </c>
      <c r="T2562" t="str" cm="1">
        <f t="array" aca="1" ref="T2562" ca="1">RoundToTwoSigFigs(Validation[[#This Row],[Test Reading]]*Validation[[#This Row],[Mult]]+Validation[[#This Row],[Base]]) &amp;" "&amp;Validation[[#This Row],[Uncert_Units]]</f>
        <v>14000 mA</v>
      </c>
      <c r="U2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V2562" t="b">
        <f ca="1">Validation[[#This Row],[Desired Result]]=Validation[[#This Row],[Result]]</f>
        <v>1</v>
      </c>
      <c r="W2562" t="b">
        <v>1</v>
      </c>
      <c r="X2562" t="b">
        <f>Validation[[#This Row],[Range1_Low]]&gt;=Validation[[#This Row],[Range1_High]]</f>
        <v>0</v>
      </c>
      <c r="Y2562" s="111" t="s">
        <v>2843</v>
      </c>
    </row>
    <row r="2563" spans="1:25" ht="16.5" thickTop="1" thickBot="1" x14ac:dyDescent="0.3">
      <c r="A2563" t="s">
        <v>54</v>
      </c>
      <c r="B2563" t="s">
        <v>62</v>
      </c>
      <c r="C2563" s="113">
        <v>220</v>
      </c>
      <c r="D2563" s="113">
        <v>410.01</v>
      </c>
      <c r="E2563">
        <v>1</v>
      </c>
      <c r="F2563" t="s">
        <v>13</v>
      </c>
      <c r="G2563" t="s">
        <v>12</v>
      </c>
      <c r="H2563">
        <v>0.1</v>
      </c>
      <c r="I2563">
        <v>1.0000100000000001</v>
      </c>
      <c r="J2563" t="s">
        <v>10</v>
      </c>
      <c r="K2563">
        <v>396.27</v>
      </c>
      <c r="L2563">
        <v>2.2061000000000002</v>
      </c>
      <c r="M2563">
        <v>396.12</v>
      </c>
      <c r="N2563">
        <v>2.2050000000000001</v>
      </c>
      <c r="O2563" t="s">
        <v>2833</v>
      </c>
      <c r="P2563" t="s">
        <v>158</v>
      </c>
      <c r="Q2563" t="s">
        <v>2833</v>
      </c>
      <c r="R2563">
        <f ca="1">RAND()*(Validation[[#This Row],[Range1_High]]-Validation[[#This Row],[Range1_Low]])+Validation[[#This Row],[Range1_Low]]</f>
        <v>368.05082201287649</v>
      </c>
      <c r="S2563">
        <f>Validation[[#This Row],[Range2_High]]</f>
        <v>1.0000100000000001</v>
      </c>
      <c r="T2563" t="str" cm="1">
        <f t="array" aca="1" ref="T2563" ca="1">RoundToTwoSigFigs(Validation[[#This Row],[Test Reading]]*Validation[[#This Row],[Mult]]+Validation[[#This Row],[Base]]) &amp;" "&amp;Validation[[#This Row],[Uncert_Units]]</f>
        <v>1200 mA</v>
      </c>
      <c r="U2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V2563" t="b">
        <f ca="1">Validation[[#This Row],[Desired Result]]=Validation[[#This Row],[Result]]</f>
        <v>1</v>
      </c>
      <c r="W2563" t="b">
        <v>1</v>
      </c>
      <c r="X2563" t="b">
        <f>Validation[[#This Row],[Range1_Low]]&gt;=Validation[[#This Row],[Range1_High]]</f>
        <v>0</v>
      </c>
      <c r="Y2563" s="111" t="s">
        <v>2843</v>
      </c>
    </row>
    <row r="2564" spans="1:25" ht="15.75" thickTop="1" x14ac:dyDescent="0.25">
      <c r="A2564" t="s">
        <v>54</v>
      </c>
      <c r="B2564" t="s">
        <v>62</v>
      </c>
      <c r="C2564">
        <v>22</v>
      </c>
      <c r="D2564">
        <v>60.000999999999998</v>
      </c>
      <c r="E2564">
        <v>0.1</v>
      </c>
      <c r="F2564" t="s">
        <v>13</v>
      </c>
      <c r="G2564" t="s">
        <v>12</v>
      </c>
      <c r="H2564">
        <v>10</v>
      </c>
      <c r="I2564">
        <v>10.01</v>
      </c>
      <c r="J2564" t="s">
        <v>10</v>
      </c>
      <c r="K2564">
        <v>52</v>
      </c>
      <c r="L2564">
        <v>30.419</v>
      </c>
      <c r="M2564">
        <v>37.46</v>
      </c>
      <c r="N2564">
        <v>30.419</v>
      </c>
      <c r="O2564" t="s">
        <v>2833</v>
      </c>
      <c r="P2564" t="s">
        <v>158</v>
      </c>
      <c r="Q2564" t="s">
        <v>2833</v>
      </c>
      <c r="R2564">
        <f ca="1">RAND()*(Validation[[#This Row],[Range1_High]]-Validation[[#This Row],[Range1_Low]])+Validation[[#This Row],[Range1_Low]]</f>
        <v>51.709147957576334</v>
      </c>
      <c r="S2564">
        <f>Validation[[#This Row],[Range2_High]]</f>
        <v>10.01</v>
      </c>
      <c r="T2564" t="str" cm="1">
        <f t="array" aca="1" ref="T2564" ca="1">RoundToTwoSigFigs(Validation[[#This Row],[Test Reading]]*Validation[[#This Row],[Mult]]+Validation[[#This Row],[Base]]) &amp;" "&amp;Validation[[#This Row],[Uncert_Units]]</f>
        <v>1600 mA</v>
      </c>
      <c r="U2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V2564" t="b">
        <f ca="1">Validation[[#This Row],[Desired Result]]=Validation[[#This Row],[Result]]</f>
        <v>1</v>
      </c>
      <c r="W2564" t="b">
        <v>0</v>
      </c>
      <c r="X2564" t="b">
        <f>Validation[[#This Row],[Range1_Low]]&gt;=Validation[[#This Row],[Range1_High]]</f>
        <v>0</v>
      </c>
      <c r="Y2564" s="111" t="s">
        <v>2845</v>
      </c>
    </row>
    <row r="2565" spans="1:25" ht="15.75" thickBot="1" x14ac:dyDescent="0.3">
      <c r="A2565" t="s">
        <v>54</v>
      </c>
      <c r="B2565" t="s">
        <v>62</v>
      </c>
      <c r="C2565">
        <v>60</v>
      </c>
      <c r="D2565">
        <v>220.01</v>
      </c>
      <c r="E2565">
        <v>100</v>
      </c>
      <c r="F2565" t="s">
        <v>13</v>
      </c>
      <c r="G2565" t="s">
        <v>12</v>
      </c>
      <c r="H2565">
        <v>0.1</v>
      </c>
      <c r="I2565">
        <v>1.0000100000000001</v>
      </c>
      <c r="J2565" t="s">
        <v>10</v>
      </c>
      <c r="K2565">
        <v>58000</v>
      </c>
      <c r="L2565">
        <v>1.392E-2</v>
      </c>
      <c r="M2565">
        <v>58000</v>
      </c>
      <c r="N2565">
        <v>1.3793E-2</v>
      </c>
      <c r="O2565" t="s">
        <v>2833</v>
      </c>
      <c r="P2565" t="s">
        <v>158</v>
      </c>
      <c r="Q2565" t="s">
        <v>2833</v>
      </c>
      <c r="R2565">
        <f ca="1">RAND()*(Validation[[#This Row],[Range1_High]]-Validation[[#This Row],[Range1_Low]])+Validation[[#This Row],[Range1_Low]]</f>
        <v>198.58108959870845</v>
      </c>
      <c r="S2565">
        <f>Validation[[#This Row],[Range2_High]]</f>
        <v>1.0000100000000001</v>
      </c>
      <c r="T2565" t="str" cm="1">
        <f t="array" aca="1" ref="T2565" ca="1">RoundToTwoSigFigs(Validation[[#This Row],[Test Reading]]*Validation[[#This Row],[Mult]]+Validation[[#This Row],[Base]]) &amp;" "&amp;Validation[[#This Row],[Uncert_Units]]</f>
        <v>58000 mA</v>
      </c>
      <c r="U2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V2565" t="b">
        <f ca="1">Validation[[#This Row],[Desired Result]]=Validation[[#This Row],[Result]]</f>
        <v>1</v>
      </c>
      <c r="W2565" t="b">
        <v>0</v>
      </c>
      <c r="X2565" t="b">
        <f>Validation[[#This Row],[Range1_Low]]&gt;=Validation[[#This Row],[Range1_High]]</f>
        <v>0</v>
      </c>
      <c r="Y2565" s="111" t="s">
        <v>2845</v>
      </c>
    </row>
    <row r="2566" spans="1:25" ht="16.5" thickTop="1" thickBot="1" x14ac:dyDescent="0.3">
      <c r="A2566" t="s">
        <v>54</v>
      </c>
      <c r="B2566" t="s">
        <v>62</v>
      </c>
      <c r="C2566" s="113">
        <v>220</v>
      </c>
      <c r="D2566" s="113">
        <v>410.01</v>
      </c>
      <c r="E2566">
        <v>1</v>
      </c>
      <c r="F2566" t="s">
        <v>13</v>
      </c>
      <c r="G2566" t="s">
        <v>12</v>
      </c>
      <c r="H2566">
        <v>5</v>
      </c>
      <c r="I2566">
        <v>5.01</v>
      </c>
      <c r="J2566" t="s">
        <v>10</v>
      </c>
      <c r="K2566">
        <v>120</v>
      </c>
      <c r="L2566">
        <v>35</v>
      </c>
      <c r="M2566">
        <v>148.62</v>
      </c>
      <c r="N2566">
        <v>34.646000000000001</v>
      </c>
      <c r="O2566" t="s">
        <v>2833</v>
      </c>
      <c r="P2566" t="s">
        <v>158</v>
      </c>
      <c r="Q2566" t="s">
        <v>2833</v>
      </c>
      <c r="R2566">
        <f ca="1">RAND()*(Validation[[#This Row],[Range1_High]]-Validation[[#This Row],[Range1_Low]])+Validation[[#This Row],[Range1_Low]]</f>
        <v>298.33448850790717</v>
      </c>
      <c r="S2566">
        <f>Validation[[#This Row],[Range2_High]]</f>
        <v>5.01</v>
      </c>
      <c r="T2566" t="str" cm="1">
        <f t="array" aca="1" ref="T2566" ca="1">RoundToTwoSigFigs(Validation[[#This Row],[Test Reading]]*Validation[[#This Row],[Mult]]+Validation[[#This Row],[Base]]) &amp;" "&amp;Validation[[#This Row],[Uncert_Units]]</f>
        <v>11000 mA</v>
      </c>
      <c r="U2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V2566" t="b">
        <f ca="1">Validation[[#This Row],[Desired Result]]=Validation[[#This Row],[Result]]</f>
        <v>1</v>
      </c>
      <c r="W2566" t="b">
        <v>1</v>
      </c>
      <c r="X2566" t="b">
        <f>Validation[[#This Row],[Range1_Low]]&gt;=Validation[[#This Row],[Range1_High]]</f>
        <v>0</v>
      </c>
      <c r="Y2566" s="111" t="s">
        <v>2843</v>
      </c>
    </row>
    <row r="2567" spans="1:25" ht="16.5" thickTop="1" thickBot="1" x14ac:dyDescent="0.3">
      <c r="A2567" t="s">
        <v>54</v>
      </c>
      <c r="B2567" t="s">
        <v>62</v>
      </c>
      <c r="C2567" s="113">
        <v>220</v>
      </c>
      <c r="D2567" s="113">
        <v>410.01</v>
      </c>
      <c r="E2567">
        <v>0.1</v>
      </c>
      <c r="F2567" t="s">
        <v>13</v>
      </c>
      <c r="G2567" t="s">
        <v>12</v>
      </c>
      <c r="H2567">
        <v>0.1</v>
      </c>
      <c r="I2567">
        <v>1.0000100000000001</v>
      </c>
      <c r="J2567" t="s">
        <v>10</v>
      </c>
      <c r="K2567">
        <v>98</v>
      </c>
      <c r="L2567">
        <v>2.6065</v>
      </c>
      <c r="M2567">
        <v>88.046000000000006</v>
      </c>
      <c r="N2567">
        <v>2.6269</v>
      </c>
      <c r="O2567" t="s">
        <v>2833</v>
      </c>
      <c r="P2567" t="s">
        <v>158</v>
      </c>
      <c r="Q2567" t="s">
        <v>2833</v>
      </c>
      <c r="R2567">
        <f ca="1">RAND()*(Validation[[#This Row],[Range1_High]]-Validation[[#This Row],[Range1_Low]])+Validation[[#This Row],[Range1_Low]]</f>
        <v>276.94572142521781</v>
      </c>
      <c r="S2567">
        <f>Validation[[#This Row],[Range2_High]]</f>
        <v>1.0000100000000001</v>
      </c>
      <c r="T2567" t="str" cm="1">
        <f t="array" aca="1" ref="T2567" ca="1">RoundToTwoSigFigs(Validation[[#This Row],[Test Reading]]*Validation[[#This Row],[Mult]]+Validation[[#This Row],[Base]]) &amp;" "&amp;Validation[[#This Row],[Uncert_Units]]</f>
        <v>820 mA</v>
      </c>
      <c r="U2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9800 mA</v>
      </c>
      <c r="V2567" t="b">
        <f ca="1">Validation[[#This Row],[Desired Result]]=Validation[[#This Row],[Result]]</f>
        <v>0</v>
      </c>
      <c r="W2567" t="b">
        <v>1</v>
      </c>
      <c r="X2567" t="b">
        <f>Validation[[#This Row],[Range1_Low]]&gt;=Validation[[#This Row],[Range1_High]]</f>
        <v>0</v>
      </c>
      <c r="Y2567" s="111" t="s">
        <v>2843</v>
      </c>
    </row>
    <row r="2568" spans="1:25" ht="15.75" thickTop="1" x14ac:dyDescent="0.25">
      <c r="A2568" t="s">
        <v>54</v>
      </c>
      <c r="B2568" t="s">
        <v>63</v>
      </c>
      <c r="C2568">
        <v>55</v>
      </c>
      <c r="D2568">
        <v>150.01</v>
      </c>
      <c r="E2568">
        <v>0.01</v>
      </c>
      <c r="F2568" t="s">
        <v>13</v>
      </c>
      <c r="G2568" t="s">
        <v>12</v>
      </c>
      <c r="H2568">
        <v>5</v>
      </c>
      <c r="I2568">
        <v>10</v>
      </c>
      <c r="J2568" t="s">
        <v>10</v>
      </c>
      <c r="K2568">
        <v>290</v>
      </c>
      <c r="L2568">
        <v>28.936</v>
      </c>
      <c r="M2568">
        <v>288.14</v>
      </c>
      <c r="N2568">
        <v>28.936</v>
      </c>
      <c r="O2568" t="s">
        <v>2833</v>
      </c>
      <c r="P2568" t="s">
        <v>159</v>
      </c>
      <c r="Q2568" t="s">
        <v>2833</v>
      </c>
      <c r="R2568">
        <f ca="1">RAND()*(Validation[[#This Row],[Range1_High]]-Validation[[#This Row],[Range1_Low]])+Validation[[#This Row],[Range1_Low]]</f>
        <v>101.72883945254085</v>
      </c>
      <c r="S2568">
        <f>Validation[[#This Row],[Range2_High]]</f>
        <v>10</v>
      </c>
      <c r="T2568" t="str" cm="1">
        <f t="array" aca="1" ref="T2568" ca="1">RoundToTwoSigFigs(Validation[[#This Row],[Test Reading]]*Validation[[#This Row],[Mult]]+Validation[[#This Row],[Base]]) &amp;" "&amp;Validation[[#This Row],[Uncert_Units]]</f>
        <v>3200 mA</v>
      </c>
      <c r="U2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mA</v>
      </c>
      <c r="V2568" t="b">
        <f ca="1">Validation[[#This Row],[Desired Result]]=Validation[[#This Row],[Result]]</f>
        <v>1</v>
      </c>
      <c r="W2568" t="b">
        <v>0</v>
      </c>
      <c r="X2568" t="b">
        <f>Validation[[#This Row],[Range1_Low]]&gt;=Validation[[#This Row],[Range1_High]]</f>
        <v>0</v>
      </c>
      <c r="Y2568" s="111" t="s">
        <v>2845</v>
      </c>
    </row>
    <row r="2569" spans="1:25" ht="15.75" thickBot="1" x14ac:dyDescent="0.3">
      <c r="A2569" t="s">
        <v>54</v>
      </c>
      <c r="B2569" t="s">
        <v>63</v>
      </c>
      <c r="C2569">
        <v>55</v>
      </c>
      <c r="D2569">
        <v>150.01</v>
      </c>
      <c r="E2569">
        <v>1</v>
      </c>
      <c r="F2569" t="s">
        <v>13</v>
      </c>
      <c r="G2569" t="s">
        <v>12</v>
      </c>
      <c r="H2569">
        <v>0.01</v>
      </c>
      <c r="I2569">
        <v>4.4999999999999998E-2</v>
      </c>
      <c r="J2569" t="s">
        <v>10</v>
      </c>
      <c r="K2569">
        <v>530.85</v>
      </c>
      <c r="L2569">
        <v>1.3025</v>
      </c>
      <c r="M2569">
        <v>530.83000000000004</v>
      </c>
      <c r="N2569">
        <v>1.3019000000000001</v>
      </c>
      <c r="O2569" t="s">
        <v>2833</v>
      </c>
      <c r="P2569" t="s">
        <v>159</v>
      </c>
      <c r="Q2569" t="s">
        <v>2833</v>
      </c>
      <c r="R2569">
        <f ca="1">RAND()*(Validation[[#This Row],[Range1_High]]-Validation[[#This Row],[Range1_Low]])+Validation[[#This Row],[Range1_Low]]</f>
        <v>95.498024191178644</v>
      </c>
      <c r="S2569">
        <f>Validation[[#This Row],[Range2_High]]</f>
        <v>4.4999999999999998E-2</v>
      </c>
      <c r="T2569" t="str" cm="1">
        <f t="array" aca="1" ref="T2569" ca="1">RoundToTwoSigFigs(Validation[[#This Row],[Test Reading]]*Validation[[#This Row],[Mult]]+Validation[[#This Row],[Base]]) &amp;" "&amp;Validation[[#This Row],[Uncert_Units]]</f>
        <v>660 mA</v>
      </c>
      <c r="U2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V2569" t="b">
        <f ca="1">Validation[[#This Row],[Desired Result]]=Validation[[#This Row],[Result]]</f>
        <v>0</v>
      </c>
      <c r="W2569" t="b">
        <v>1</v>
      </c>
      <c r="X2569" t="b">
        <f>Validation[[#This Row],[Range1_Low]]&gt;=Validation[[#This Row],[Range1_High]]</f>
        <v>0</v>
      </c>
      <c r="Y2569" s="111" t="s">
        <v>2845</v>
      </c>
    </row>
    <row r="2570" spans="1:25" ht="16.5" thickTop="1" thickBot="1" x14ac:dyDescent="0.3">
      <c r="A2570" t="s">
        <v>54</v>
      </c>
      <c r="B2570" t="s">
        <v>63</v>
      </c>
      <c r="C2570" s="113">
        <v>550</v>
      </c>
      <c r="D2570" s="113">
        <v>1030</v>
      </c>
      <c r="E2570">
        <v>10</v>
      </c>
      <c r="F2570" t="s">
        <v>13</v>
      </c>
      <c r="G2570" t="s">
        <v>12</v>
      </c>
      <c r="H2570">
        <v>1</v>
      </c>
      <c r="I2570">
        <v>1.0000100000000001</v>
      </c>
      <c r="J2570" t="s">
        <v>10</v>
      </c>
      <c r="K2570">
        <v>5503.5</v>
      </c>
      <c r="L2570">
        <v>0.96336999999999995</v>
      </c>
      <c r="M2570">
        <v>5504.3</v>
      </c>
      <c r="N2570">
        <v>0.96038000000000001</v>
      </c>
      <c r="O2570" t="s">
        <v>2833</v>
      </c>
      <c r="P2570" t="s">
        <v>159</v>
      </c>
      <c r="Q2570" t="s">
        <v>2833</v>
      </c>
      <c r="R2570">
        <f ca="1">RAND()*(Validation[[#This Row],[Range1_High]]-Validation[[#This Row],[Range1_Low]])+Validation[[#This Row],[Range1_Low]]</f>
        <v>709.65829715315988</v>
      </c>
      <c r="S2570">
        <f>Validation[[#This Row],[Range2_High]]</f>
        <v>1.0000100000000001</v>
      </c>
      <c r="T2570" t="str" cm="1">
        <f t="array" aca="1" ref="T2570" ca="1">RoundToTwoSigFigs(Validation[[#This Row],[Test Reading]]*Validation[[#This Row],[Mult]]+Validation[[#This Row],[Base]]) &amp;" "&amp;Validation[[#This Row],[Uncert_Units]]</f>
        <v>6200 mA</v>
      </c>
      <c r="U2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V2570" t="b">
        <f ca="1">Validation[[#This Row],[Desired Result]]=Validation[[#This Row],[Result]]</f>
        <v>1</v>
      </c>
      <c r="W2570" t="b">
        <v>1</v>
      </c>
      <c r="X2570" t="b">
        <f>Validation[[#This Row],[Range1_Low]]&gt;=Validation[[#This Row],[Range1_High]]</f>
        <v>0</v>
      </c>
      <c r="Y2570" s="111" t="s">
        <v>2843</v>
      </c>
    </row>
    <row r="2571" spans="1:25" ht="15.75" thickTop="1" x14ac:dyDescent="0.25">
      <c r="A2571" t="s">
        <v>54</v>
      </c>
      <c r="B2571" t="s">
        <v>63</v>
      </c>
      <c r="C2571">
        <v>55</v>
      </c>
      <c r="D2571">
        <v>150.01</v>
      </c>
      <c r="E2571">
        <v>1E-3</v>
      </c>
      <c r="F2571" t="s">
        <v>13</v>
      </c>
      <c r="G2571" t="s">
        <v>12</v>
      </c>
      <c r="H2571">
        <v>10</v>
      </c>
      <c r="I2571">
        <v>10.01</v>
      </c>
      <c r="J2571" t="s">
        <v>10</v>
      </c>
      <c r="K2571">
        <v>290</v>
      </c>
      <c r="L2571">
        <v>29</v>
      </c>
      <c r="M2571">
        <v>288.13</v>
      </c>
      <c r="N2571">
        <v>28.936</v>
      </c>
      <c r="O2571" t="s">
        <v>2833</v>
      </c>
      <c r="P2571" t="s">
        <v>159</v>
      </c>
      <c r="Q2571" t="s">
        <v>2833</v>
      </c>
      <c r="R2571">
        <f ca="1">RAND()*(Validation[[#This Row],[Range1_High]]-Validation[[#This Row],[Range1_Low]])+Validation[[#This Row],[Range1_Low]]</f>
        <v>81.355009535585481</v>
      </c>
      <c r="S2571">
        <f>Validation[[#This Row],[Range2_High]]</f>
        <v>10.01</v>
      </c>
      <c r="T2571" t="str" cm="1">
        <f t="array" aca="1" ref="T2571" ca="1">RoundToTwoSigFigs(Validation[[#This Row],[Test Reading]]*Validation[[#This Row],[Mult]]+Validation[[#This Row],[Base]]) &amp;" "&amp;Validation[[#This Row],[Uncert_Units]]</f>
        <v>2600 mA</v>
      </c>
      <c r="U2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V2571" t="b">
        <f ca="1">Validation[[#This Row],[Desired Result]]=Validation[[#This Row],[Result]]</f>
        <v>1</v>
      </c>
      <c r="W2571" t="b">
        <v>0</v>
      </c>
      <c r="X2571" t="b">
        <f>Validation[[#This Row],[Range1_Low]]&gt;=Validation[[#This Row],[Range1_High]]</f>
        <v>0</v>
      </c>
      <c r="Y2571" s="111" t="s">
        <v>2845</v>
      </c>
    </row>
    <row r="2572" spans="1:25" x14ac:dyDescent="0.25">
      <c r="A2572" t="s">
        <v>54</v>
      </c>
      <c r="B2572" t="s">
        <v>63</v>
      </c>
      <c r="C2572">
        <v>150</v>
      </c>
      <c r="D2572">
        <v>550.01</v>
      </c>
      <c r="E2572">
        <v>10</v>
      </c>
      <c r="F2572" t="s">
        <v>13</v>
      </c>
      <c r="G2572" t="s">
        <v>12</v>
      </c>
      <c r="H2572">
        <v>0.1</v>
      </c>
      <c r="I2572">
        <v>1.0000100000000001</v>
      </c>
      <c r="J2572" t="s">
        <v>10</v>
      </c>
      <c r="K2572">
        <v>5764</v>
      </c>
      <c r="L2572">
        <v>0.34064</v>
      </c>
      <c r="M2572">
        <v>5763.9</v>
      </c>
      <c r="N2572">
        <v>0.33996999999999999</v>
      </c>
      <c r="O2572" t="s">
        <v>2833</v>
      </c>
      <c r="P2572" t="s">
        <v>159</v>
      </c>
      <c r="Q2572" t="s">
        <v>2833</v>
      </c>
      <c r="R2572">
        <f ca="1">RAND()*(Validation[[#This Row],[Range1_High]]-Validation[[#This Row],[Range1_Low]])+Validation[[#This Row],[Range1_Low]]</f>
        <v>467.26608689985528</v>
      </c>
      <c r="S2572">
        <f>Validation[[#This Row],[Range2_High]]</f>
        <v>1.0000100000000001</v>
      </c>
      <c r="T2572" t="str" cm="1">
        <f t="array" aca="1" ref="T2572" ca="1">RoundToTwoSigFigs(Validation[[#This Row],[Test Reading]]*Validation[[#This Row],[Mult]]+Validation[[#This Row],[Base]]) &amp;" "&amp;Validation[[#This Row],[Uncert_Units]]</f>
        <v>5900 mA</v>
      </c>
      <c r="U2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mA</v>
      </c>
      <c r="V2572" t="b">
        <f ca="1">Validation[[#This Row],[Desired Result]]=Validation[[#This Row],[Result]]</f>
        <v>0</v>
      </c>
      <c r="W2572" t="b">
        <v>1</v>
      </c>
      <c r="X2572" t="b">
        <f>Validation[[#This Row],[Range1_Low]]&gt;=Validation[[#This Row],[Range1_High]]</f>
        <v>0</v>
      </c>
      <c r="Y2572" s="111" t="s">
        <v>2845</v>
      </c>
    </row>
    <row r="2573" spans="1:25" x14ac:dyDescent="0.25">
      <c r="A2573" t="s">
        <v>54</v>
      </c>
      <c r="B2573" t="s">
        <v>63</v>
      </c>
      <c r="C2573">
        <v>55</v>
      </c>
      <c r="D2573">
        <v>150.01</v>
      </c>
      <c r="E2573">
        <v>0.01</v>
      </c>
      <c r="F2573" t="s">
        <v>13</v>
      </c>
      <c r="G2573" t="s">
        <v>12</v>
      </c>
      <c r="H2573">
        <v>0.1</v>
      </c>
      <c r="I2573">
        <v>1</v>
      </c>
      <c r="J2573" t="s">
        <v>10</v>
      </c>
      <c r="K2573">
        <v>49</v>
      </c>
      <c r="L2573">
        <v>2.6</v>
      </c>
      <c r="M2573">
        <v>2.2593000000000001</v>
      </c>
      <c r="N2573">
        <v>2.1147999999999998</v>
      </c>
      <c r="O2573" t="s">
        <v>2833</v>
      </c>
      <c r="P2573" t="s">
        <v>159</v>
      </c>
      <c r="Q2573" t="s">
        <v>2833</v>
      </c>
      <c r="R2573">
        <f ca="1">RAND()*(Validation[[#This Row],[Range1_High]]-Validation[[#This Row],[Range1_Low]])+Validation[[#This Row],[Range1_Low]]</f>
        <v>96.102946352709552</v>
      </c>
      <c r="S2573">
        <f>Validation[[#This Row],[Range2_High]]</f>
        <v>1</v>
      </c>
      <c r="T2573" t="str" cm="1">
        <f t="array" aca="1" ref="T2573" ca="1">RoundToTwoSigFigs(Validation[[#This Row],[Test Reading]]*Validation[[#This Row],[Mult]]+Validation[[#This Row],[Base]]) &amp;" "&amp;Validation[[#This Row],[Uncert_Units]]</f>
        <v>300 mA</v>
      </c>
      <c r="U2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V2573" t="b">
        <f ca="1">Validation[[#This Row],[Desired Result]]=Validation[[#This Row],[Result]]</f>
        <v>1</v>
      </c>
      <c r="W2573" t="b">
        <v>0</v>
      </c>
      <c r="X2573" t="b">
        <f>Validation[[#This Row],[Range1_Low]]&gt;=Validation[[#This Row],[Range1_High]]</f>
        <v>0</v>
      </c>
      <c r="Y2573" s="111" t="s">
        <v>2845</v>
      </c>
    </row>
    <row r="2574" spans="1:25" ht="15.75" thickBot="1" x14ac:dyDescent="0.3">
      <c r="A2574" t="s">
        <v>54</v>
      </c>
      <c r="B2574" t="s">
        <v>14</v>
      </c>
      <c r="C2574">
        <v>3.3000000000000002E-9</v>
      </c>
      <c r="D2574">
        <v>1.0999999999999999E-8</v>
      </c>
      <c r="E2574">
        <v>1.0000000000000001E-9</v>
      </c>
      <c r="F2574" t="s">
        <v>140</v>
      </c>
      <c r="G2574" t="s">
        <v>15</v>
      </c>
      <c r="H2574">
        <v>0</v>
      </c>
      <c r="I2574">
        <v>0</v>
      </c>
      <c r="J2574" t="s">
        <v>2833</v>
      </c>
      <c r="K2574">
        <v>0.57721999999999996</v>
      </c>
      <c r="L2574">
        <v>165280</v>
      </c>
      <c r="M2574">
        <v>0.57721</v>
      </c>
      <c r="N2574">
        <v>160660</v>
      </c>
      <c r="O2574" t="s">
        <v>2833</v>
      </c>
      <c r="P2574" t="s">
        <v>2833</v>
      </c>
      <c r="Q2574" t="s">
        <v>2833</v>
      </c>
      <c r="R2574">
        <f ca="1">RAND()*(Validation[[#This Row],[Range1_High]]-Validation[[#This Row],[Range1_Low]])+Validation[[#This Row],[Range1_Low]]</f>
        <v>1.032247481092237E-8</v>
      </c>
      <c r="S2574">
        <f>Validation[[#This Row],[Range2_High]]</f>
        <v>0</v>
      </c>
      <c r="T2574" t="str" cm="1">
        <f t="array" aca="1" ref="T2574" ca="1">RoundToTwoSigFigs(Validation[[#This Row],[Test Reading]]*Validation[[#This Row],[Mult]]+Validation[[#This Row],[Base]]) &amp;" "&amp;Validation[[#This Row],[Uncert_Units]]</f>
        <v>0.58 nF</v>
      </c>
      <c r="U2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V2574" t="b">
        <f ca="1">Validation[[#This Row],[Desired Result]]=Validation[[#This Row],[Result]]</f>
        <v>1</v>
      </c>
      <c r="W2574" t="b">
        <v>0</v>
      </c>
      <c r="X2574" t="b">
        <f>Validation[[#This Row],[Range1_Low]]&gt;=Validation[[#This Row],[Range1_High]]</f>
        <v>0</v>
      </c>
      <c r="Y2574" s="111" t="s">
        <v>2845</v>
      </c>
    </row>
    <row r="2575" spans="1:25" ht="16.5" thickTop="1" thickBot="1" x14ac:dyDescent="0.3">
      <c r="A2575" t="s">
        <v>54</v>
      </c>
      <c r="B2575" t="s">
        <v>14</v>
      </c>
      <c r="C2575" s="113">
        <v>1.1E-4</v>
      </c>
      <c r="D2575" s="113">
        <v>3.3000999999999999E-4</v>
      </c>
      <c r="E2575">
        <v>1E-8</v>
      </c>
      <c r="F2575" t="s">
        <v>140</v>
      </c>
      <c r="G2575" t="s">
        <v>16</v>
      </c>
      <c r="H2575">
        <v>0</v>
      </c>
      <c r="I2575">
        <v>0</v>
      </c>
      <c r="J2575" t="s">
        <v>2833</v>
      </c>
      <c r="K2575">
        <v>0.35</v>
      </c>
      <c r="L2575">
        <v>5200</v>
      </c>
      <c r="M2575">
        <v>0.34612999999999999</v>
      </c>
      <c r="N2575">
        <v>5199.8</v>
      </c>
      <c r="O2575" t="s">
        <v>2833</v>
      </c>
      <c r="P2575" t="s">
        <v>2833</v>
      </c>
      <c r="Q2575" t="s">
        <v>2833</v>
      </c>
      <c r="R2575">
        <f ca="1">RAND()*(Validation[[#This Row],[Range1_High]]-Validation[[#This Row],[Range1_Low]])+Validation[[#This Row],[Range1_Low]]</f>
        <v>2.9705935171449224E-4</v>
      </c>
      <c r="S2575">
        <f>Validation[[#This Row],[Range2_High]]</f>
        <v>0</v>
      </c>
      <c r="T2575" t="str" cm="1">
        <f t="array" aca="1" ref="T2575" ca="1">RoundToTwoSigFigs(Validation[[#This Row],[Test Reading]]*Validation[[#This Row],[Mult]]+Validation[[#This Row],[Base]]) &amp;" "&amp;Validation[[#This Row],[Uncert_Units]]</f>
        <v>1.9 µF</v>
      </c>
      <c r="U2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µF</v>
      </c>
      <c r="V2575" t="b">
        <f ca="1">Validation[[#This Row],[Desired Result]]=Validation[[#This Row],[Result]]</f>
        <v>1</v>
      </c>
      <c r="W2575" t="b">
        <v>1</v>
      </c>
      <c r="X2575" t="b">
        <f>Validation[[#This Row],[Range1_Low]]&gt;=Validation[[#This Row],[Range1_High]]</f>
        <v>0</v>
      </c>
      <c r="Y2575" s="111" t="s">
        <v>2843</v>
      </c>
    </row>
    <row r="2576" spans="1:25" ht="16.5" thickTop="1" thickBot="1" x14ac:dyDescent="0.3">
      <c r="A2576" t="s">
        <v>54</v>
      </c>
      <c r="B2576" t="s">
        <v>14</v>
      </c>
      <c r="C2576" s="113">
        <v>3.3E-4</v>
      </c>
      <c r="D2576" s="113">
        <v>1.1000999999999999E-3</v>
      </c>
      <c r="E2576">
        <v>9.9999999999999995E-8</v>
      </c>
      <c r="F2576" t="s">
        <v>140</v>
      </c>
      <c r="G2576" t="s">
        <v>16</v>
      </c>
      <c r="H2576">
        <v>0</v>
      </c>
      <c r="I2576">
        <v>0</v>
      </c>
      <c r="J2576" t="s">
        <v>2833</v>
      </c>
      <c r="K2576">
        <v>1.2</v>
      </c>
      <c r="L2576">
        <v>5200</v>
      </c>
      <c r="M2576">
        <v>1.1557999999999999</v>
      </c>
      <c r="N2576">
        <v>5198.3</v>
      </c>
      <c r="O2576" t="s">
        <v>2833</v>
      </c>
      <c r="P2576" t="s">
        <v>2833</v>
      </c>
      <c r="Q2576" t="s">
        <v>2833</v>
      </c>
      <c r="R2576">
        <f ca="1">RAND()*(Validation[[#This Row],[Range1_High]]-Validation[[#This Row],[Range1_Low]])+Validation[[#This Row],[Range1_Low]]</f>
        <v>7.1200455640174772E-4</v>
      </c>
      <c r="S2576">
        <f>Validation[[#This Row],[Range2_High]]</f>
        <v>0</v>
      </c>
      <c r="T2576" t="str" cm="1">
        <f t="array" aca="1" ref="T2576" ca="1">RoundToTwoSigFigs(Validation[[#This Row],[Test Reading]]*Validation[[#This Row],[Mult]]+Validation[[#This Row],[Base]]) &amp;" "&amp;Validation[[#This Row],[Uncert_Units]]</f>
        <v>4.9 µF</v>
      </c>
      <c r="U2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µF</v>
      </c>
      <c r="V2576" t="b">
        <f ca="1">Validation[[#This Row],[Desired Result]]=Validation[[#This Row],[Result]]</f>
        <v>1</v>
      </c>
      <c r="W2576" t="b">
        <v>1</v>
      </c>
      <c r="X2576" t="b">
        <f>Validation[[#This Row],[Range1_Low]]&gt;=Validation[[#This Row],[Range1_High]]</f>
        <v>0</v>
      </c>
      <c r="Y2576" s="111" t="s">
        <v>2843</v>
      </c>
    </row>
    <row r="2577" spans="1:25" ht="16.5" thickTop="1" thickBot="1" x14ac:dyDescent="0.3">
      <c r="A2577" t="s">
        <v>54</v>
      </c>
      <c r="B2577" t="s">
        <v>14</v>
      </c>
      <c r="C2577" s="113">
        <v>3.3E-4</v>
      </c>
      <c r="D2577" s="113">
        <v>1.1000999999999999E-3</v>
      </c>
      <c r="E2577">
        <v>9.9999999999999995E-7</v>
      </c>
      <c r="F2577" t="s">
        <v>140</v>
      </c>
      <c r="G2577" t="s">
        <v>16</v>
      </c>
      <c r="H2577">
        <v>0</v>
      </c>
      <c r="I2577">
        <v>0</v>
      </c>
      <c r="J2577" t="s">
        <v>2833</v>
      </c>
      <c r="K2577">
        <v>1.2193000000000001</v>
      </c>
      <c r="L2577">
        <v>5182.5</v>
      </c>
      <c r="M2577">
        <v>1.2267999999999999</v>
      </c>
      <c r="N2577">
        <v>5155.5</v>
      </c>
      <c r="O2577" t="s">
        <v>2833</v>
      </c>
      <c r="P2577" t="s">
        <v>2833</v>
      </c>
      <c r="Q2577" t="s">
        <v>2833</v>
      </c>
      <c r="R2577">
        <f ca="1">RAND()*(Validation[[#This Row],[Range1_High]]-Validation[[#This Row],[Range1_Low]])+Validation[[#This Row],[Range1_Low]]</f>
        <v>1.0405602733674286E-3</v>
      </c>
      <c r="S2577">
        <f>Validation[[#This Row],[Range2_High]]</f>
        <v>0</v>
      </c>
      <c r="T2577" t="str" cm="1">
        <f t="array" aca="1" ref="T2577" ca="1">RoundToTwoSigFigs(Validation[[#This Row],[Test Reading]]*Validation[[#This Row],[Mult]]+Validation[[#This Row],[Base]]) &amp;" "&amp;Validation[[#This Row],[Uncert_Units]]</f>
        <v>6.6 µF</v>
      </c>
      <c r="U2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µF</v>
      </c>
      <c r="V2577" t="b">
        <f ca="1">Validation[[#This Row],[Desired Result]]=Validation[[#This Row],[Result]]</f>
        <v>1</v>
      </c>
      <c r="W2577" t="b">
        <v>1</v>
      </c>
      <c r="X2577" t="b">
        <f>Validation[[#This Row],[Range1_Low]]&gt;=Validation[[#This Row],[Range1_High]]</f>
        <v>0</v>
      </c>
      <c r="Y2577" s="111" t="s">
        <v>2843</v>
      </c>
    </row>
    <row r="2578" spans="1:25" ht="15.75" thickTop="1" x14ac:dyDescent="0.25">
      <c r="A2578" t="s">
        <v>54</v>
      </c>
      <c r="B2578" t="s">
        <v>14</v>
      </c>
      <c r="C2578">
        <v>3.3000000000000002E-2</v>
      </c>
      <c r="D2578">
        <v>0.11001</v>
      </c>
      <c r="E2578">
        <v>0.01</v>
      </c>
      <c r="F2578" t="s">
        <v>140</v>
      </c>
      <c r="G2578" t="s">
        <v>64</v>
      </c>
      <c r="H2578">
        <v>0</v>
      </c>
      <c r="I2578">
        <v>0</v>
      </c>
      <c r="J2578" t="s">
        <v>2833</v>
      </c>
      <c r="K2578">
        <v>5725.6</v>
      </c>
      <c r="L2578">
        <v>2215.6</v>
      </c>
      <c r="M2578">
        <v>5725.3</v>
      </c>
      <c r="N2578">
        <v>2210.1</v>
      </c>
      <c r="O2578" t="s">
        <v>2833</v>
      </c>
      <c r="P2578" t="s">
        <v>2833</v>
      </c>
      <c r="Q2578" t="s">
        <v>2833</v>
      </c>
      <c r="R2578">
        <f ca="1">RAND()*(Validation[[#This Row],[Range1_High]]-Validation[[#This Row],[Range1_Low]])+Validation[[#This Row],[Range1_Low]]</f>
        <v>5.1774598824690932E-2</v>
      </c>
      <c r="S2578">
        <f>Validation[[#This Row],[Range2_High]]</f>
        <v>0</v>
      </c>
      <c r="T2578" t="str" cm="1">
        <f t="array" aca="1" ref="T2578" ca="1">RoundToTwoSigFigs(Validation[[#This Row],[Test Reading]]*Validation[[#This Row],[Mult]]+Validation[[#This Row],[Base]]) &amp;" "&amp;Validation[[#This Row],[Uncert_Units]]</f>
        <v>5800 µF*</v>
      </c>
      <c r="U2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µF*</v>
      </c>
      <c r="V2578" t="b">
        <f ca="1">Validation[[#This Row],[Desired Result]]=Validation[[#This Row],[Result]]</f>
        <v>1</v>
      </c>
      <c r="W2578" t="b">
        <v>0</v>
      </c>
      <c r="X2578" t="b">
        <f>Validation[[#This Row],[Range1_Low]]&gt;=Validation[[#This Row],[Range1_High]]</f>
        <v>0</v>
      </c>
      <c r="Y2578" s="111" t="s">
        <v>2845</v>
      </c>
    </row>
    <row r="2579" spans="1:25" ht="15.75" thickBot="1" x14ac:dyDescent="0.3">
      <c r="A2579" t="s">
        <v>54</v>
      </c>
      <c r="B2579" t="s">
        <v>14</v>
      </c>
      <c r="C2579">
        <v>2.1999999999999999E-10</v>
      </c>
      <c r="D2579">
        <v>3.3000000000000002E-9</v>
      </c>
      <c r="E2579">
        <v>1E-10</v>
      </c>
      <c r="F2579" t="s">
        <v>140</v>
      </c>
      <c r="G2579" t="s">
        <v>15</v>
      </c>
      <c r="H2579">
        <v>0</v>
      </c>
      <c r="I2579">
        <v>0</v>
      </c>
      <c r="J2579" t="s">
        <v>2833</v>
      </c>
      <c r="K2579">
        <v>5.8705E-2</v>
      </c>
      <c r="L2579">
        <v>2016900</v>
      </c>
      <c r="M2579">
        <v>5.8698E-2</v>
      </c>
      <c r="N2579">
        <v>2014500</v>
      </c>
      <c r="O2579" t="s">
        <v>2833</v>
      </c>
      <c r="P2579" t="s">
        <v>2833</v>
      </c>
      <c r="Q2579" t="s">
        <v>2833</v>
      </c>
      <c r="R2579">
        <f ca="1">RAND()*(Validation[[#This Row],[Range1_High]]-Validation[[#This Row],[Range1_Low]])+Validation[[#This Row],[Range1_Low]]</f>
        <v>3.1466220444945736E-9</v>
      </c>
      <c r="S2579">
        <f>Validation[[#This Row],[Range2_High]]</f>
        <v>0</v>
      </c>
      <c r="T2579" t="str" cm="1">
        <f t="array" aca="1" ref="T2579" ca="1">RoundToTwoSigFigs(Validation[[#This Row],[Test Reading]]*Validation[[#This Row],[Mult]]+Validation[[#This Row],[Base]]) &amp;" "&amp;Validation[[#This Row],[Uncert_Units]]</f>
        <v>0.065 nF</v>
      </c>
      <c r="U2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nF</v>
      </c>
      <c r="V2579" t="b">
        <f ca="1">Validation[[#This Row],[Desired Result]]=Validation[[#This Row],[Result]]</f>
        <v>1</v>
      </c>
      <c r="W2579" t="b">
        <v>0</v>
      </c>
      <c r="X2579" t="b">
        <f>Validation[[#This Row],[Range1_Low]]&gt;=Validation[[#This Row],[Range1_High]]</f>
        <v>0</v>
      </c>
      <c r="Y2579" s="111" t="s">
        <v>2845</v>
      </c>
    </row>
    <row r="2580" spans="1:25" ht="16.5" thickTop="1" thickBot="1" x14ac:dyDescent="0.3">
      <c r="A2580" t="s">
        <v>54</v>
      </c>
      <c r="B2580" t="s">
        <v>14</v>
      </c>
      <c r="C2580" s="113">
        <v>1.0999999999999999E-2</v>
      </c>
      <c r="D2580" s="113">
        <v>3.3001000000000003E-2</v>
      </c>
      <c r="E2580">
        <v>9.9999999999999995E-7</v>
      </c>
      <c r="F2580" t="s">
        <v>140</v>
      </c>
      <c r="G2580" t="s">
        <v>16</v>
      </c>
      <c r="H2580">
        <v>0</v>
      </c>
      <c r="I2580">
        <v>0</v>
      </c>
      <c r="J2580" t="s">
        <v>2833</v>
      </c>
      <c r="K2580">
        <v>35</v>
      </c>
      <c r="L2580">
        <v>8700</v>
      </c>
      <c r="M2580">
        <v>34.642000000000003</v>
      </c>
      <c r="N2580">
        <v>8661.9</v>
      </c>
      <c r="O2580" t="s">
        <v>2833</v>
      </c>
      <c r="P2580" t="s">
        <v>2833</v>
      </c>
      <c r="Q2580" t="s">
        <v>2833</v>
      </c>
      <c r="R2580">
        <f ca="1">RAND()*(Validation[[#This Row],[Range1_High]]-Validation[[#This Row],[Range1_Low]])+Validation[[#This Row],[Range1_Low]]</f>
        <v>3.1373207636950194E-2</v>
      </c>
      <c r="S2580">
        <f>Validation[[#This Row],[Range2_High]]</f>
        <v>0</v>
      </c>
      <c r="T2580" t="str" cm="1">
        <f t="array" aca="1" ref="T2580" ca="1">RoundToTwoSigFigs(Validation[[#This Row],[Test Reading]]*Validation[[#This Row],[Mult]]+Validation[[#This Row],[Base]]) &amp;" "&amp;Validation[[#This Row],[Uncert_Units]]</f>
        <v>310 µF</v>
      </c>
      <c r="U2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µF</v>
      </c>
      <c r="V2580" t="b">
        <f ca="1">Validation[[#This Row],[Desired Result]]=Validation[[#This Row],[Result]]</f>
        <v>1</v>
      </c>
      <c r="W2580" t="b">
        <v>1</v>
      </c>
      <c r="X2580" t="b">
        <f>Validation[[#This Row],[Range1_Low]]&gt;=Validation[[#This Row],[Range1_High]]</f>
        <v>0</v>
      </c>
      <c r="Y2580" s="111" t="s">
        <v>2843</v>
      </c>
    </row>
    <row r="2581" spans="1:25" ht="15.75" thickTop="1" x14ac:dyDescent="0.25">
      <c r="A2581" t="s">
        <v>54</v>
      </c>
      <c r="B2581" t="s">
        <v>14</v>
      </c>
      <c r="C2581">
        <v>2.1999999999999999E-10</v>
      </c>
      <c r="D2581">
        <v>3.3000000000000002E-9</v>
      </c>
      <c r="E2581">
        <v>1E-13</v>
      </c>
      <c r="F2581" t="s">
        <v>140</v>
      </c>
      <c r="G2581" t="s">
        <v>15</v>
      </c>
      <c r="H2581">
        <v>0</v>
      </c>
      <c r="I2581">
        <v>0</v>
      </c>
      <c r="J2581" t="s">
        <v>2833</v>
      </c>
      <c r="K2581">
        <v>1.2E-2</v>
      </c>
      <c r="L2581">
        <v>5800000</v>
      </c>
      <c r="M2581">
        <v>1.155E-2</v>
      </c>
      <c r="N2581">
        <v>5775200</v>
      </c>
      <c r="O2581" t="s">
        <v>2833</v>
      </c>
      <c r="P2581" t="s">
        <v>2833</v>
      </c>
      <c r="Q2581" t="s">
        <v>2833</v>
      </c>
      <c r="R2581">
        <f ca="1">RAND()*(Validation[[#This Row],[Range1_High]]-Validation[[#This Row],[Range1_Low]])+Validation[[#This Row],[Range1_Low]]</f>
        <v>2.4559464811822934E-9</v>
      </c>
      <c r="S2581">
        <f>Validation[[#This Row],[Range2_High]]</f>
        <v>0</v>
      </c>
      <c r="T2581" t="str" cm="1">
        <f t="array" aca="1" ref="T2581" ca="1">RoundToTwoSigFigs(Validation[[#This Row],[Test Reading]]*Validation[[#This Row],[Mult]]+Validation[[#This Row],[Base]]) &amp;" "&amp;Validation[[#This Row],[Uncert_Units]]</f>
        <v>0.026 nF</v>
      </c>
      <c r="U2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nF</v>
      </c>
      <c r="V2581" t="b">
        <f ca="1">Validation[[#This Row],[Desired Result]]=Validation[[#This Row],[Result]]</f>
        <v>1</v>
      </c>
      <c r="W2581" t="b">
        <v>0</v>
      </c>
      <c r="X2581" t="b">
        <f>Validation[[#This Row],[Range1_Low]]&gt;=Validation[[#This Row],[Range1_High]]</f>
        <v>0</v>
      </c>
      <c r="Y2581" s="111" t="s">
        <v>2845</v>
      </c>
    </row>
    <row r="2582" spans="1:25" ht="15.75" thickBot="1" x14ac:dyDescent="0.3">
      <c r="A2582" t="s">
        <v>54</v>
      </c>
      <c r="B2582" t="s">
        <v>91</v>
      </c>
      <c r="C2582">
        <v>1000</v>
      </c>
      <c r="D2582">
        <v>1000.1</v>
      </c>
      <c r="E2582">
        <v>0.1</v>
      </c>
      <c r="F2582" t="s">
        <v>23</v>
      </c>
      <c r="G2582" t="s">
        <v>23</v>
      </c>
      <c r="H2582">
        <v>0</v>
      </c>
      <c r="I2582">
        <v>0</v>
      </c>
      <c r="J2582" t="s">
        <v>2833</v>
      </c>
      <c r="K2582">
        <v>0.25181161499999999</v>
      </c>
      <c r="L2582">
        <v>0</v>
      </c>
      <c r="M2582">
        <v>0.25138628299999999</v>
      </c>
      <c r="N2582">
        <v>0</v>
      </c>
      <c r="O2582" t="s">
        <v>2833</v>
      </c>
      <c r="P2582" t="s">
        <v>2833</v>
      </c>
      <c r="Q2582" t="s">
        <v>160</v>
      </c>
      <c r="R2582">
        <f ca="1">RAND()*(Validation[[#This Row],[Range1_High]]-Validation[[#This Row],[Range1_Low]])+Validation[[#This Row],[Range1_Low]]</f>
        <v>1000.0987473767159</v>
      </c>
      <c r="S2582">
        <f>Validation[[#This Row],[Range2_High]]</f>
        <v>0</v>
      </c>
      <c r="T2582" t="str" cm="1">
        <f t="array" aca="1" ref="T2582" ca="1">RoundToTwoSigFigs(Validation[[#This Row],[Test Reading]]*Validation[[#This Row],[Mult]]+Validation[[#This Row],[Base]]) &amp;" "&amp;Validation[[#This Row],[Uncert_Units]]</f>
        <v>0.25 °C</v>
      </c>
      <c r="U2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V2582" t="b">
        <f ca="1">Validation[[#This Row],[Desired Result]]=Validation[[#This Row],[Result]]</f>
        <v>1</v>
      </c>
      <c r="W2582" t="b">
        <v>0</v>
      </c>
      <c r="X2582" t="b">
        <f>Validation[[#This Row],[Range1_Low]]&gt;=Validation[[#This Row],[Range1_High]]</f>
        <v>0</v>
      </c>
      <c r="Y2582" s="111" t="s">
        <v>2845</v>
      </c>
    </row>
    <row r="2583" spans="1:25" ht="16.5" thickTop="1" thickBot="1" x14ac:dyDescent="0.3">
      <c r="A2583" t="s">
        <v>54</v>
      </c>
      <c r="B2583" t="s">
        <v>91</v>
      </c>
      <c r="C2583" s="113">
        <v>350</v>
      </c>
      <c r="D2583" s="113">
        <v>650.1</v>
      </c>
      <c r="E2583">
        <v>0.1</v>
      </c>
      <c r="F2583" t="s">
        <v>23</v>
      </c>
      <c r="G2583" t="s">
        <v>23</v>
      </c>
      <c r="H2583">
        <v>0</v>
      </c>
      <c r="I2583">
        <v>0</v>
      </c>
      <c r="J2583" t="s">
        <v>2833</v>
      </c>
      <c r="K2583">
        <v>0.19682908399999999</v>
      </c>
      <c r="L2583">
        <v>0</v>
      </c>
      <c r="M2583">
        <v>0.19628464600000001</v>
      </c>
      <c r="N2583">
        <v>0</v>
      </c>
      <c r="O2583" t="s">
        <v>2833</v>
      </c>
      <c r="P2583" t="s">
        <v>2833</v>
      </c>
      <c r="Q2583" t="s">
        <v>160</v>
      </c>
      <c r="R2583">
        <f ca="1">RAND()*(Validation[[#This Row],[Range1_High]]-Validation[[#This Row],[Range1_Low]])+Validation[[#This Row],[Range1_Low]]</f>
        <v>417.32636972779346</v>
      </c>
      <c r="S2583">
        <f>Validation[[#This Row],[Range2_High]]</f>
        <v>0</v>
      </c>
      <c r="T2583" t="str" cm="1">
        <f t="array" aca="1" ref="T2583" ca="1">RoundToTwoSigFigs(Validation[[#This Row],[Test Reading]]*Validation[[#This Row],[Mult]]+Validation[[#This Row],[Base]]) &amp;" "&amp;Validation[[#This Row],[Uncert_Units]]</f>
        <v>0.2 °C</v>
      </c>
      <c r="U2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V2583" t="b">
        <f ca="1">Validation[[#This Row],[Desired Result]]=Validation[[#This Row],[Result]]</f>
        <v>1</v>
      </c>
      <c r="W2583" t="b">
        <v>1</v>
      </c>
      <c r="X2583" t="b">
        <f>Validation[[#This Row],[Range1_Low]]&gt;=Validation[[#This Row],[Range1_High]]</f>
        <v>0</v>
      </c>
      <c r="Y2583" s="111" t="s">
        <v>2843</v>
      </c>
    </row>
    <row r="2584" spans="1:25" ht="15.75" thickTop="1" x14ac:dyDescent="0.25">
      <c r="A2584" t="s">
        <v>55</v>
      </c>
      <c r="B2584" t="s">
        <v>90</v>
      </c>
      <c r="C2584">
        <v>732.00099999999998</v>
      </c>
      <c r="D2584">
        <v>1200</v>
      </c>
      <c r="E2584">
        <v>0.1</v>
      </c>
      <c r="F2584" t="s">
        <v>23</v>
      </c>
      <c r="G2584" t="s">
        <v>23</v>
      </c>
      <c r="H2584">
        <v>0</v>
      </c>
      <c r="I2584">
        <v>0</v>
      </c>
      <c r="J2584" t="s">
        <v>2833</v>
      </c>
      <c r="K2584">
        <v>7.6446990000000006E-2</v>
      </c>
      <c r="L2584">
        <v>0</v>
      </c>
      <c r="M2584">
        <v>7.1753449999999996E-2</v>
      </c>
      <c r="N2584">
        <v>0</v>
      </c>
      <c r="O2584" t="s">
        <v>2833</v>
      </c>
      <c r="P2584" t="s">
        <v>2833</v>
      </c>
      <c r="Q2584" t="s">
        <v>161</v>
      </c>
      <c r="R2584">
        <f ca="1">RAND()*(Validation[[#This Row],[Range1_High]]-Validation[[#This Row],[Range1_Low]])+Validation[[#This Row],[Range1_Low]]</f>
        <v>855.61970804287216</v>
      </c>
      <c r="S2584">
        <f>Validation[[#This Row],[Range2_High]]</f>
        <v>0</v>
      </c>
      <c r="T2584" t="str" cm="1">
        <f t="array" aca="1" ref="T2584" ca="1">RoundToTwoSigFigs(Validation[[#This Row],[Test Reading]]*Validation[[#This Row],[Mult]]+Validation[[#This Row],[Base]]) &amp;" "&amp;Validation[[#This Row],[Uncert_Units]]</f>
        <v>0.076 °C</v>
      </c>
      <c r="U2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V2584" t="b">
        <f ca="1">Validation[[#This Row],[Desired Result]]=Validation[[#This Row],[Result]]</f>
        <v>1</v>
      </c>
      <c r="W2584" t="b">
        <v>0</v>
      </c>
      <c r="X2584" t="b">
        <f>Validation[[#This Row],[Range1_Low]]&gt;=Validation[[#This Row],[Range1_High]]</f>
        <v>0</v>
      </c>
      <c r="Y2584" s="111" t="s">
        <v>2845</v>
      </c>
    </row>
    <row r="2585" spans="1:25" ht="15.75" thickBot="1" x14ac:dyDescent="0.3">
      <c r="A2585" t="s">
        <v>54</v>
      </c>
      <c r="B2585" t="s">
        <v>90</v>
      </c>
      <c r="C2585">
        <v>1200</v>
      </c>
      <c r="D2585">
        <v>1200.0999999999999</v>
      </c>
      <c r="E2585">
        <v>1</v>
      </c>
      <c r="F2585" t="s">
        <v>23</v>
      </c>
      <c r="G2585" t="s">
        <v>23</v>
      </c>
      <c r="H2585">
        <v>0</v>
      </c>
      <c r="I2585">
        <v>0</v>
      </c>
      <c r="J2585" t="s">
        <v>2833</v>
      </c>
      <c r="K2585">
        <v>0.63853594400000002</v>
      </c>
      <c r="L2585">
        <v>0</v>
      </c>
      <c r="M2585">
        <v>0.636353528</v>
      </c>
      <c r="N2585">
        <v>0</v>
      </c>
      <c r="O2585" t="s">
        <v>2833</v>
      </c>
      <c r="P2585" t="s">
        <v>2833</v>
      </c>
      <c r="Q2585" t="s">
        <v>161</v>
      </c>
      <c r="R2585">
        <f ca="1">RAND()*(Validation[[#This Row],[Range1_High]]-Validation[[#This Row],[Range1_Low]])+Validation[[#This Row],[Range1_Low]]</f>
        <v>1200.0306796937441</v>
      </c>
      <c r="S2585">
        <f>Validation[[#This Row],[Range2_High]]</f>
        <v>0</v>
      </c>
      <c r="T2585" t="str" cm="1">
        <f t="array" aca="1" ref="T2585" ca="1">RoundToTwoSigFigs(Validation[[#This Row],[Test Reading]]*Validation[[#This Row],[Mult]]+Validation[[#This Row],[Base]]) &amp;" "&amp;Validation[[#This Row],[Uncert_Units]]</f>
        <v>0.64 °C</v>
      </c>
      <c r="U2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V2585" t="b">
        <f ca="1">Validation[[#This Row],[Desired Result]]=Validation[[#This Row],[Result]]</f>
        <v>1</v>
      </c>
      <c r="W2585" t="b">
        <v>0</v>
      </c>
      <c r="X2585" t="b">
        <f>Validation[[#This Row],[Range1_Low]]&gt;=Validation[[#This Row],[Range1_High]]</f>
        <v>0</v>
      </c>
      <c r="Y2585" s="111" t="s">
        <v>2845</v>
      </c>
    </row>
    <row r="2586" spans="1:25" ht="16.5" thickTop="1" thickBot="1" x14ac:dyDescent="0.3">
      <c r="A2586" t="s">
        <v>54</v>
      </c>
      <c r="B2586" t="s">
        <v>90</v>
      </c>
      <c r="C2586" s="113">
        <v>760</v>
      </c>
      <c r="D2586" s="113">
        <v>1200</v>
      </c>
      <c r="E2586">
        <v>0.1</v>
      </c>
      <c r="F2586" t="s">
        <v>23</v>
      </c>
      <c r="G2586" t="s">
        <v>23</v>
      </c>
      <c r="H2586">
        <v>0</v>
      </c>
      <c r="I2586">
        <v>0</v>
      </c>
      <c r="J2586" t="s">
        <v>2833</v>
      </c>
      <c r="K2586">
        <v>0.27502981300000001</v>
      </c>
      <c r="L2586">
        <v>0</v>
      </c>
      <c r="M2586">
        <v>0.27376233</v>
      </c>
      <c r="N2586">
        <v>0</v>
      </c>
      <c r="O2586" t="s">
        <v>2833</v>
      </c>
      <c r="P2586" t="s">
        <v>2833</v>
      </c>
      <c r="Q2586" t="s">
        <v>161</v>
      </c>
      <c r="R2586">
        <f ca="1">RAND()*(Validation[[#This Row],[Range1_High]]-Validation[[#This Row],[Range1_Low]])+Validation[[#This Row],[Range1_Low]]</f>
        <v>1166.6464330019282</v>
      </c>
      <c r="S2586">
        <f>Validation[[#This Row],[Range2_High]]</f>
        <v>0</v>
      </c>
      <c r="T2586" t="str" cm="1">
        <f t="array" aca="1" ref="T2586" ca="1">RoundToTwoSigFigs(Validation[[#This Row],[Test Reading]]*Validation[[#This Row],[Mult]]+Validation[[#This Row],[Base]]) &amp;" "&amp;Validation[[#This Row],[Uncert_Units]]</f>
        <v>0.28 °C</v>
      </c>
      <c r="U2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V2586" t="b">
        <f ca="1">Validation[[#This Row],[Desired Result]]=Validation[[#This Row],[Result]]</f>
        <v>1</v>
      </c>
      <c r="W2586" t="b">
        <v>1</v>
      </c>
      <c r="X2586" t="b">
        <f>Validation[[#This Row],[Range1_Low]]&gt;=Validation[[#This Row],[Range1_High]]</f>
        <v>0</v>
      </c>
      <c r="Y2586" s="111" t="s">
        <v>2843</v>
      </c>
    </row>
    <row r="2587" spans="1:25" ht="16.5" thickTop="1" thickBot="1" x14ac:dyDescent="0.3">
      <c r="A2587" t="s">
        <v>54</v>
      </c>
      <c r="B2587" t="s">
        <v>89</v>
      </c>
      <c r="C2587" s="113">
        <v>-25</v>
      </c>
      <c r="D2587" s="113">
        <v>120.1</v>
      </c>
      <c r="E2587">
        <v>0.1</v>
      </c>
      <c r="F2587" t="s">
        <v>23</v>
      </c>
      <c r="G2587" t="s">
        <v>23</v>
      </c>
      <c r="H2587">
        <v>0</v>
      </c>
      <c r="I2587">
        <v>0</v>
      </c>
      <c r="J2587" t="s">
        <v>2833</v>
      </c>
      <c r="K2587">
        <v>0.204276027</v>
      </c>
      <c r="L2587">
        <v>0</v>
      </c>
      <c r="M2587">
        <v>0.19653324699999999</v>
      </c>
      <c r="N2587">
        <v>0</v>
      </c>
      <c r="O2587" t="s">
        <v>2833</v>
      </c>
      <c r="P2587" t="s">
        <v>2833</v>
      </c>
      <c r="Q2587" t="s">
        <v>111</v>
      </c>
      <c r="R2587">
        <f ca="1">RAND()*(Validation[[#This Row],[Range1_High]]-Validation[[#This Row],[Range1_Low]])+Validation[[#This Row],[Range1_Low]]</f>
        <v>115.75974240056095</v>
      </c>
      <c r="S2587">
        <f>Validation[[#This Row],[Range2_High]]</f>
        <v>0</v>
      </c>
      <c r="T2587" t="str" cm="1">
        <f t="array" aca="1" ref="T2587" ca="1">RoundToTwoSigFigs(Validation[[#This Row],[Test Reading]]*Validation[[#This Row],[Mult]]+Validation[[#This Row],[Base]]) &amp;" "&amp;Validation[[#This Row],[Uncert_Units]]</f>
        <v>0.2 °C</v>
      </c>
      <c r="U2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V2587" t="b">
        <f ca="1">Validation[[#This Row],[Desired Result]]=Validation[[#This Row],[Result]]</f>
        <v>1</v>
      </c>
      <c r="W2587" t="b">
        <v>1</v>
      </c>
      <c r="X2587" t="b">
        <f>Validation[[#This Row],[Range1_Low]]&gt;=Validation[[#This Row],[Range1_High]]</f>
        <v>0</v>
      </c>
      <c r="Y2587" s="111" t="s">
        <v>2843</v>
      </c>
    </row>
    <row r="2588" spans="1:25" ht="16.5" thickTop="1" thickBot="1" x14ac:dyDescent="0.3">
      <c r="A2588" t="s">
        <v>54</v>
      </c>
      <c r="B2588" t="s">
        <v>89</v>
      </c>
      <c r="C2588" s="113">
        <v>-100</v>
      </c>
      <c r="D2588" s="113">
        <v>-24.9</v>
      </c>
      <c r="E2588">
        <v>0.1</v>
      </c>
      <c r="F2588" t="s">
        <v>23</v>
      </c>
      <c r="G2588" t="s">
        <v>23</v>
      </c>
      <c r="H2588">
        <v>0</v>
      </c>
      <c r="I2588">
        <v>0</v>
      </c>
      <c r="J2588" t="s">
        <v>2833</v>
      </c>
      <c r="K2588">
        <v>0.22869477099999999</v>
      </c>
      <c r="L2588">
        <v>0</v>
      </c>
      <c r="M2588">
        <v>0.218525158</v>
      </c>
      <c r="N2588">
        <v>0</v>
      </c>
      <c r="O2588" t="s">
        <v>2833</v>
      </c>
      <c r="P2588" t="s">
        <v>2833</v>
      </c>
      <c r="Q2588" t="s">
        <v>111</v>
      </c>
      <c r="R2588">
        <f ca="1">RAND()*(Validation[[#This Row],[Range1_High]]-Validation[[#This Row],[Range1_Low]])+Validation[[#This Row],[Range1_Low]]</f>
        <v>-93.970810405939702</v>
      </c>
      <c r="S2588">
        <f>Validation[[#This Row],[Range2_High]]</f>
        <v>0</v>
      </c>
      <c r="T2588" t="str" cm="1">
        <f t="array" aca="1" ref="T2588" ca="1">RoundToTwoSigFigs(Validation[[#This Row],[Test Reading]]*Validation[[#This Row],[Mult]]+Validation[[#This Row],[Base]]) &amp;" "&amp;Validation[[#This Row],[Uncert_Units]]</f>
        <v>0.23 °C</v>
      </c>
      <c r="U2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V2588" t="b">
        <f ca="1">Validation[[#This Row],[Desired Result]]=Validation[[#This Row],[Result]]</f>
        <v>1</v>
      </c>
      <c r="W2588" t="b">
        <v>1</v>
      </c>
      <c r="X2588" t="b">
        <f>Validation[[#This Row],[Range1_Low]]&gt;=Validation[[#This Row],[Range1_High]]</f>
        <v>0</v>
      </c>
      <c r="Y2588" s="111" t="s">
        <v>2843</v>
      </c>
    </row>
    <row r="2589" spans="1:25" ht="16.5" thickTop="1" thickBot="1" x14ac:dyDescent="0.3">
      <c r="A2589" t="s">
        <v>55</v>
      </c>
      <c r="B2589" t="s">
        <v>92</v>
      </c>
      <c r="C2589">
        <v>816.00099999999998</v>
      </c>
      <c r="D2589">
        <v>1300</v>
      </c>
      <c r="E2589">
        <v>1</v>
      </c>
      <c r="F2589" t="s">
        <v>23</v>
      </c>
      <c r="G2589" t="s">
        <v>23</v>
      </c>
      <c r="H2589">
        <v>0</v>
      </c>
      <c r="I2589">
        <v>0</v>
      </c>
      <c r="J2589" t="s">
        <v>2833</v>
      </c>
      <c r="K2589">
        <v>0.58598839400000002</v>
      </c>
      <c r="L2589">
        <v>0</v>
      </c>
      <c r="M2589">
        <v>0.57919205200000001</v>
      </c>
      <c r="N2589">
        <v>0</v>
      </c>
      <c r="O2589" t="s">
        <v>2833</v>
      </c>
      <c r="P2589" t="s">
        <v>2833</v>
      </c>
      <c r="Q2589" t="s">
        <v>162</v>
      </c>
      <c r="R2589">
        <f ca="1">RAND()*(Validation[[#This Row],[Range1_High]]-Validation[[#This Row],[Range1_Low]])+Validation[[#This Row],[Range1_Low]]</f>
        <v>1240.5103876072012</v>
      </c>
      <c r="S2589">
        <f>Validation[[#This Row],[Range2_High]]</f>
        <v>0</v>
      </c>
      <c r="T2589" t="str" cm="1">
        <f t="array" aca="1" ref="T2589" ca="1">RoundToTwoSigFigs(Validation[[#This Row],[Test Reading]]*Validation[[#This Row],[Mult]]+Validation[[#This Row],[Base]]) &amp;" "&amp;Validation[[#This Row],[Uncert_Units]]</f>
        <v>0.59 °C</v>
      </c>
      <c r="U2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V2589" t="b">
        <f ca="1">Validation[[#This Row],[Desired Result]]=Validation[[#This Row],[Result]]</f>
        <v>1</v>
      </c>
      <c r="W2589" t="b">
        <v>0</v>
      </c>
      <c r="X2589" t="b">
        <f>Validation[[#This Row],[Range1_Low]]&gt;=Validation[[#This Row],[Range1_High]]</f>
        <v>0</v>
      </c>
      <c r="Y2589" s="111" t="s">
        <v>2845</v>
      </c>
    </row>
    <row r="2590" spans="1:25" ht="16.5" thickTop="1" thickBot="1" x14ac:dyDescent="0.3">
      <c r="A2590" t="s">
        <v>54</v>
      </c>
      <c r="B2590" t="s">
        <v>92</v>
      </c>
      <c r="C2590" s="113">
        <v>120</v>
      </c>
      <c r="D2590" s="113">
        <v>410.1</v>
      </c>
      <c r="E2590">
        <v>1</v>
      </c>
      <c r="F2590" t="s">
        <v>23</v>
      </c>
      <c r="G2590" t="s">
        <v>23</v>
      </c>
      <c r="H2590">
        <v>0</v>
      </c>
      <c r="I2590">
        <v>0</v>
      </c>
      <c r="J2590" t="s">
        <v>2833</v>
      </c>
      <c r="K2590">
        <v>0.62103417999999999</v>
      </c>
      <c r="L2590">
        <v>0</v>
      </c>
      <c r="M2590">
        <v>0.614625486</v>
      </c>
      <c r="N2590">
        <v>0</v>
      </c>
      <c r="O2590" t="s">
        <v>2833</v>
      </c>
      <c r="P2590" t="s">
        <v>2833</v>
      </c>
      <c r="Q2590" t="s">
        <v>162</v>
      </c>
      <c r="R2590">
        <f ca="1">RAND()*(Validation[[#This Row],[Range1_High]]-Validation[[#This Row],[Range1_Low]])+Validation[[#This Row],[Range1_Low]]</f>
        <v>186.66338051145127</v>
      </c>
      <c r="S2590">
        <f>Validation[[#This Row],[Range2_High]]</f>
        <v>0</v>
      </c>
      <c r="T2590" t="str" cm="1">
        <f t="array" aca="1" ref="T2590" ca="1">RoundToTwoSigFigs(Validation[[#This Row],[Test Reading]]*Validation[[#This Row],[Mult]]+Validation[[#This Row],[Base]]) &amp;" "&amp;Validation[[#This Row],[Uncert_Units]]</f>
        <v>0.62 °C</v>
      </c>
      <c r="U2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V2590" t="b">
        <f ca="1">Validation[[#This Row],[Desired Result]]=Validation[[#This Row],[Result]]</f>
        <v>1</v>
      </c>
      <c r="W2590" t="b">
        <v>1</v>
      </c>
      <c r="X2590" t="b">
        <f>Validation[[#This Row],[Range1_Low]]&gt;=Validation[[#This Row],[Range1_High]]</f>
        <v>0</v>
      </c>
      <c r="Y2590" s="111" t="s">
        <v>2843</v>
      </c>
    </row>
    <row r="2591" spans="1:25" ht="16.5" thickTop="1" thickBot="1" x14ac:dyDescent="0.3">
      <c r="A2591" t="s">
        <v>54</v>
      </c>
      <c r="B2591" t="s">
        <v>92</v>
      </c>
      <c r="C2591" s="113">
        <v>410</v>
      </c>
      <c r="D2591" s="113">
        <v>1300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2833</v>
      </c>
      <c r="K2591">
        <v>0.321968492</v>
      </c>
      <c r="L2591">
        <v>0</v>
      </c>
      <c r="M2591">
        <v>0.31887923899999998</v>
      </c>
      <c r="N2591">
        <v>0</v>
      </c>
      <c r="O2591" t="s">
        <v>2833</v>
      </c>
      <c r="P2591" t="s">
        <v>2833</v>
      </c>
      <c r="Q2591" t="s">
        <v>162</v>
      </c>
      <c r="R2591">
        <f ca="1">RAND()*(Validation[[#This Row],[Range1_High]]-Validation[[#This Row],[Range1_Low]])+Validation[[#This Row],[Range1_Low]]</f>
        <v>811.15689453440655</v>
      </c>
      <c r="S2591">
        <f>Validation[[#This Row],[Range2_High]]</f>
        <v>0</v>
      </c>
      <c r="T2591" t="str" cm="1">
        <f t="array" aca="1" ref="T2591" ca="1">RoundToTwoSigFigs(Validation[[#This Row],[Test Reading]]*Validation[[#This Row],[Mult]]+Validation[[#This Row],[Base]]) &amp;" "&amp;Validation[[#This Row],[Uncert_Units]]</f>
        <v>0.32 °C</v>
      </c>
      <c r="U2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V2591" t="b">
        <f ca="1">Validation[[#This Row],[Desired Result]]=Validation[[#This Row],[Result]]</f>
        <v>1</v>
      </c>
      <c r="W2591" t="b">
        <v>1</v>
      </c>
      <c r="X2591" t="b">
        <f>Validation[[#This Row],[Range1_Low]]&gt;=Validation[[#This Row],[Range1_High]]</f>
        <v>0</v>
      </c>
      <c r="Y2591" s="111" t="s">
        <v>2843</v>
      </c>
    </row>
    <row r="2592" spans="1:25" ht="16.5" thickTop="1" thickBot="1" x14ac:dyDescent="0.3">
      <c r="A2592" t="s">
        <v>54</v>
      </c>
      <c r="B2592" t="s">
        <v>92</v>
      </c>
      <c r="C2592" s="113">
        <v>-100</v>
      </c>
      <c r="D2592" s="113">
        <v>-24.9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2833</v>
      </c>
      <c r="K2592">
        <v>0.26967921099999997</v>
      </c>
      <c r="L2592">
        <v>0</v>
      </c>
      <c r="M2592">
        <v>0.26325360399999997</v>
      </c>
      <c r="N2592">
        <v>0</v>
      </c>
      <c r="O2592" t="s">
        <v>2833</v>
      </c>
      <c r="P2592" t="s">
        <v>2833</v>
      </c>
      <c r="Q2592" t="s">
        <v>162</v>
      </c>
      <c r="R2592">
        <f ca="1">RAND()*(Validation[[#This Row],[Range1_High]]-Validation[[#This Row],[Range1_Low]])+Validation[[#This Row],[Range1_Low]]</f>
        <v>-70.846452798658191</v>
      </c>
      <c r="S2592">
        <f>Validation[[#This Row],[Range2_High]]</f>
        <v>0</v>
      </c>
      <c r="T2592" t="str" cm="1">
        <f t="array" aca="1" ref="T2592" ca="1">RoundToTwoSigFigs(Validation[[#This Row],[Test Reading]]*Validation[[#This Row],[Mult]]+Validation[[#This Row],[Base]]) &amp;" "&amp;Validation[[#This Row],[Uncert_Units]]</f>
        <v>0.27 °C</v>
      </c>
      <c r="U2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V2592" t="b">
        <f ca="1">Validation[[#This Row],[Desired Result]]=Validation[[#This Row],[Result]]</f>
        <v>1</v>
      </c>
      <c r="W2592" t="b">
        <v>1</v>
      </c>
      <c r="X2592" t="b">
        <f>Validation[[#This Row],[Range1_Low]]&gt;=Validation[[#This Row],[Range1_High]]</f>
        <v>0</v>
      </c>
      <c r="Y2592" s="111" t="s">
        <v>2843</v>
      </c>
    </row>
    <row r="2593" spans="1:25" ht="15.75" thickTop="1" x14ac:dyDescent="0.25">
      <c r="A2593" t="s">
        <v>55</v>
      </c>
      <c r="B2593" t="s">
        <v>93</v>
      </c>
      <c r="C2593">
        <v>593.00099999999998</v>
      </c>
      <c r="D2593">
        <v>1204</v>
      </c>
      <c r="E2593">
        <v>0.1</v>
      </c>
      <c r="F2593" t="s">
        <v>23</v>
      </c>
      <c r="G2593" t="s">
        <v>23</v>
      </c>
      <c r="H2593">
        <v>0</v>
      </c>
      <c r="I2593">
        <v>0</v>
      </c>
      <c r="J2593" t="s">
        <v>2833</v>
      </c>
      <c r="K2593">
        <v>0.100632445</v>
      </c>
      <c r="L2593">
        <v>0</v>
      </c>
      <c r="M2593">
        <v>7.7848530999999999E-2</v>
      </c>
      <c r="N2593">
        <v>0</v>
      </c>
      <c r="O2593" t="s">
        <v>2833</v>
      </c>
      <c r="P2593" t="s">
        <v>2833</v>
      </c>
      <c r="Q2593" t="s">
        <v>163</v>
      </c>
      <c r="R2593">
        <f ca="1">RAND()*(Validation[[#This Row],[Range1_High]]-Validation[[#This Row],[Range1_Low]])+Validation[[#This Row],[Range1_Low]]</f>
        <v>789.72331164977038</v>
      </c>
      <c r="S2593">
        <f>Validation[[#This Row],[Range2_High]]</f>
        <v>0</v>
      </c>
      <c r="T2593" t="str" cm="1">
        <f t="array" aca="1" ref="T2593" ca="1">RoundToTwoSigFigs(Validation[[#This Row],[Test Reading]]*Validation[[#This Row],[Mult]]+Validation[[#This Row],[Base]]) &amp;" "&amp;Validation[[#This Row],[Uncert_Units]]</f>
        <v>0.1 °C</v>
      </c>
      <c r="U2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V2593" t="b">
        <f ca="1">Validation[[#This Row],[Desired Result]]=Validation[[#This Row],[Result]]</f>
        <v>1</v>
      </c>
      <c r="W2593" t="b">
        <v>0</v>
      </c>
      <c r="X2593" t="b">
        <f>Validation[[#This Row],[Range1_Low]]&gt;=Validation[[#This Row],[Range1_High]]</f>
        <v>0</v>
      </c>
      <c r="Y2593" s="111" t="s">
        <v>2845</v>
      </c>
    </row>
    <row r="2594" spans="1:25" x14ac:dyDescent="0.25">
      <c r="A2594" t="s">
        <v>55</v>
      </c>
      <c r="B2594" t="s">
        <v>94</v>
      </c>
      <c r="C2594">
        <v>0</v>
      </c>
      <c r="D2594">
        <v>593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2833</v>
      </c>
      <c r="K2594">
        <v>0.59680179700000002</v>
      </c>
      <c r="L2594">
        <v>0</v>
      </c>
      <c r="M2594">
        <v>0.58080813600000003</v>
      </c>
      <c r="N2594">
        <v>0</v>
      </c>
      <c r="O2594" t="s">
        <v>2833</v>
      </c>
      <c r="P2594" t="s">
        <v>2833</v>
      </c>
      <c r="Q2594" t="s">
        <v>164</v>
      </c>
      <c r="R2594">
        <f ca="1">RAND()*(Validation[[#This Row],[Range1_High]]-Validation[[#This Row],[Range1_Low]])+Validation[[#This Row],[Range1_Low]]</f>
        <v>540.51483317799568</v>
      </c>
      <c r="S2594">
        <f>Validation[[#This Row],[Range2_High]]</f>
        <v>0</v>
      </c>
      <c r="T2594" t="str" cm="1">
        <f t="array" aca="1" ref="T2594" ca="1">RoundToTwoSigFigs(Validation[[#This Row],[Test Reading]]*Validation[[#This Row],[Mult]]+Validation[[#This Row],[Base]]) &amp;" "&amp;Validation[[#This Row],[Uncert_Units]]</f>
        <v>0.6 °C</v>
      </c>
      <c r="U2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2594" t="b">
        <f ca="1">Validation[[#This Row],[Desired Result]]=Validation[[#This Row],[Result]]</f>
        <v>1</v>
      </c>
      <c r="W2594" t="b">
        <v>0</v>
      </c>
      <c r="X2594" t="b">
        <f>Validation[[#This Row],[Range1_Low]]&gt;=Validation[[#This Row],[Range1_High]]</f>
        <v>0</v>
      </c>
      <c r="Y2594" s="111" t="s">
        <v>2845</v>
      </c>
    </row>
    <row r="2595" spans="1:25" ht="15.75" thickBot="1" x14ac:dyDescent="0.3">
      <c r="A2595" t="s">
        <v>55</v>
      </c>
      <c r="B2595" t="s">
        <v>94</v>
      </c>
      <c r="C2595">
        <v>1204.001</v>
      </c>
      <c r="D2595">
        <v>1768</v>
      </c>
      <c r="E2595">
        <v>0.1</v>
      </c>
      <c r="F2595" t="s">
        <v>23</v>
      </c>
      <c r="G2595" t="s">
        <v>23</v>
      </c>
      <c r="H2595">
        <v>0</v>
      </c>
      <c r="I2595">
        <v>0</v>
      </c>
      <c r="J2595" t="s">
        <v>2833</v>
      </c>
      <c r="K2595">
        <v>0.11141328</v>
      </c>
      <c r="L2595">
        <v>0</v>
      </c>
      <c r="M2595">
        <v>9.1358763999999995E-2</v>
      </c>
      <c r="N2595">
        <v>0</v>
      </c>
      <c r="O2595" t="s">
        <v>2833</v>
      </c>
      <c r="P2595" t="s">
        <v>2833</v>
      </c>
      <c r="Q2595" t="s">
        <v>164</v>
      </c>
      <c r="R2595">
        <f ca="1">RAND()*(Validation[[#This Row],[Range1_High]]-Validation[[#This Row],[Range1_Low]])+Validation[[#This Row],[Range1_Low]]</f>
        <v>1295.4617278981154</v>
      </c>
      <c r="S2595">
        <f>Validation[[#This Row],[Range2_High]]</f>
        <v>0</v>
      </c>
      <c r="T2595" t="str" cm="1">
        <f t="array" aca="1" ref="T2595" ca="1">RoundToTwoSigFigs(Validation[[#This Row],[Test Reading]]*Validation[[#This Row],[Mult]]+Validation[[#This Row],[Base]]) &amp;" "&amp;Validation[[#This Row],[Uncert_Units]]</f>
        <v>0.11 °C</v>
      </c>
      <c r="U2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V2595" t="b">
        <f ca="1">Validation[[#This Row],[Desired Result]]=Validation[[#This Row],[Result]]</f>
        <v>1</v>
      </c>
      <c r="W2595" t="b">
        <v>0</v>
      </c>
      <c r="X2595" t="b">
        <f>Validation[[#This Row],[Range1_Low]]&gt;=Validation[[#This Row],[Range1_High]]</f>
        <v>0</v>
      </c>
      <c r="Y2595" s="111" t="s">
        <v>2845</v>
      </c>
    </row>
    <row r="2596" spans="1:25" ht="16.5" thickTop="1" thickBot="1" x14ac:dyDescent="0.3">
      <c r="A2596" t="s">
        <v>54</v>
      </c>
      <c r="B2596" t="s">
        <v>95</v>
      </c>
      <c r="C2596" s="113">
        <v>0</v>
      </c>
      <c r="D2596" s="113">
        <v>120.1</v>
      </c>
      <c r="E2596">
        <v>1</v>
      </c>
      <c r="F2596" t="s">
        <v>23</v>
      </c>
      <c r="G2596" t="s">
        <v>23</v>
      </c>
      <c r="H2596">
        <v>0</v>
      </c>
      <c r="I2596">
        <v>0</v>
      </c>
      <c r="J2596" t="s">
        <v>2833</v>
      </c>
      <c r="K2596">
        <v>0.61187724499999996</v>
      </c>
      <c r="L2596">
        <v>0</v>
      </c>
      <c r="M2596">
        <v>0.60713677099999996</v>
      </c>
      <c r="N2596">
        <v>0</v>
      </c>
      <c r="O2596" t="s">
        <v>2833</v>
      </c>
      <c r="P2596" t="s">
        <v>2833</v>
      </c>
      <c r="Q2596" t="s">
        <v>165</v>
      </c>
      <c r="R2596">
        <f ca="1">RAND()*(Validation[[#This Row],[Range1_High]]-Validation[[#This Row],[Range1_Low]])+Validation[[#This Row],[Range1_Low]]</f>
        <v>58.968171265033178</v>
      </c>
      <c r="S2596">
        <f>Validation[[#This Row],[Range2_High]]</f>
        <v>0</v>
      </c>
      <c r="T2596" t="str" cm="1">
        <f t="array" aca="1" ref="T2596" ca="1">RoundToTwoSigFigs(Validation[[#This Row],[Test Reading]]*Validation[[#This Row],[Mult]]+Validation[[#This Row],[Base]]) &amp;" "&amp;Validation[[#This Row],[Uncert_Units]]</f>
        <v>0.61 °C</v>
      </c>
      <c r="U2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V2596" t="b">
        <f ca="1">Validation[[#This Row],[Desired Result]]=Validation[[#This Row],[Result]]</f>
        <v>1</v>
      </c>
      <c r="W2596" t="b">
        <v>1</v>
      </c>
      <c r="X2596" t="b">
        <f>Validation[[#This Row],[Range1_Low]]&gt;=Validation[[#This Row],[Range1_High]]</f>
        <v>0</v>
      </c>
      <c r="Y2596" s="111" t="s">
        <v>2843</v>
      </c>
    </row>
    <row r="2597" spans="1:25" ht="15.75" thickTop="1" x14ac:dyDescent="0.25">
      <c r="A2597" t="s">
        <v>54</v>
      </c>
      <c r="B2597" t="s">
        <v>96</v>
      </c>
      <c r="C2597">
        <v>800</v>
      </c>
      <c r="D2597">
        <v>800.1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2833</v>
      </c>
      <c r="K2597">
        <v>0.73018583500000001</v>
      </c>
      <c r="L2597">
        <v>0</v>
      </c>
      <c r="M2597">
        <v>0.72012434299999994</v>
      </c>
      <c r="N2597">
        <v>0</v>
      </c>
      <c r="O2597" t="s">
        <v>2833</v>
      </c>
      <c r="P2597" t="s">
        <v>2833</v>
      </c>
      <c r="Q2597" t="s">
        <v>166</v>
      </c>
      <c r="R2597">
        <f ca="1">RAND()*(Validation[[#This Row],[Range1_High]]-Validation[[#This Row],[Range1_Low]])+Validation[[#This Row],[Range1_Low]]</f>
        <v>800.00525833726874</v>
      </c>
      <c r="S2597">
        <f>Validation[[#This Row],[Range2_High]]</f>
        <v>0</v>
      </c>
      <c r="T2597" t="str" cm="1">
        <f t="array" aca="1" ref="T2597" ca="1">RoundToTwoSigFigs(Validation[[#This Row],[Test Reading]]*Validation[[#This Row],[Mult]]+Validation[[#This Row],[Base]]) &amp;" "&amp;Validation[[#This Row],[Uncert_Units]]</f>
        <v>0.73 °C</v>
      </c>
      <c r="U2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V2597" t="b">
        <f ca="1">Validation[[#This Row],[Desired Result]]=Validation[[#This Row],[Result]]</f>
        <v>1</v>
      </c>
      <c r="W2597" t="b">
        <v>0</v>
      </c>
      <c r="X2597" t="b">
        <f>Validation[[#This Row],[Range1_Low]]&gt;=Validation[[#This Row],[Range1_High]]</f>
        <v>0</v>
      </c>
      <c r="Y2597" s="111" t="s">
        <v>2845</v>
      </c>
    </row>
    <row r="2598" spans="1:25" x14ac:dyDescent="0.25">
      <c r="A2598" t="s">
        <v>54</v>
      </c>
      <c r="B2598" t="s">
        <v>96</v>
      </c>
      <c r="C2598">
        <v>-200</v>
      </c>
      <c r="D2598">
        <v>0.1</v>
      </c>
      <c r="E2598">
        <v>0.1</v>
      </c>
      <c r="F2598" t="s">
        <v>23</v>
      </c>
      <c r="G2598" t="s">
        <v>23</v>
      </c>
      <c r="H2598">
        <v>0</v>
      </c>
      <c r="I2598">
        <v>0</v>
      </c>
      <c r="J2598" t="s">
        <v>2833</v>
      </c>
      <c r="K2598">
        <v>0.13102279</v>
      </c>
      <c r="L2598">
        <v>0</v>
      </c>
      <c r="M2598">
        <v>0.116270806</v>
      </c>
      <c r="N2598">
        <v>0</v>
      </c>
      <c r="O2598" t="s">
        <v>2833</v>
      </c>
      <c r="P2598" t="s">
        <v>2833</v>
      </c>
      <c r="Q2598" t="s">
        <v>166</v>
      </c>
      <c r="R2598">
        <f ca="1">RAND()*(Validation[[#This Row],[Range1_High]]-Validation[[#This Row],[Range1_Low]])+Validation[[#This Row],[Range1_Low]]</f>
        <v>-35.679094940826076</v>
      </c>
      <c r="S2598">
        <f>Validation[[#This Row],[Range2_High]]</f>
        <v>0</v>
      </c>
      <c r="T2598" t="str" cm="1">
        <f t="array" aca="1" ref="T2598" ca="1">RoundToTwoSigFigs(Validation[[#This Row],[Test Reading]]*Validation[[#This Row],[Mult]]+Validation[[#This Row],[Base]]) &amp;" "&amp;Validation[[#This Row],[Uncert_Units]]</f>
        <v>0.13 °C</v>
      </c>
      <c r="U2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V2598" t="b">
        <f ca="1">Validation[[#This Row],[Desired Result]]=Validation[[#This Row],[Result]]</f>
        <v>1</v>
      </c>
      <c r="W2598" t="b">
        <v>0</v>
      </c>
      <c r="X2598" t="b">
        <f>Validation[[#This Row],[Range1_Low]]&gt;=Validation[[#This Row],[Range1_High]]</f>
        <v>0</v>
      </c>
      <c r="Y2598" s="111" t="s">
        <v>2845</v>
      </c>
    </row>
    <row r="2599" spans="1:25" x14ac:dyDescent="0.25">
      <c r="A2599" t="s">
        <v>55</v>
      </c>
      <c r="B2599" t="s">
        <v>96</v>
      </c>
      <c r="C2599">
        <v>426.66800000000001</v>
      </c>
      <c r="D2599">
        <v>648.88900000000001</v>
      </c>
      <c r="E2599">
        <v>0.01</v>
      </c>
      <c r="F2599" t="s">
        <v>23</v>
      </c>
      <c r="G2599" t="s">
        <v>23</v>
      </c>
      <c r="H2599">
        <v>0</v>
      </c>
      <c r="I2599">
        <v>0</v>
      </c>
      <c r="J2599" t="s">
        <v>2833</v>
      </c>
      <c r="K2599">
        <v>1.5887353999999999E-2</v>
      </c>
      <c r="L2599">
        <v>0</v>
      </c>
      <c r="M2599">
        <v>1.5272493999999999E-2</v>
      </c>
      <c r="N2599">
        <v>0</v>
      </c>
      <c r="O2599" t="s">
        <v>2833</v>
      </c>
      <c r="P2599" t="s">
        <v>2833</v>
      </c>
      <c r="Q2599" t="s">
        <v>166</v>
      </c>
      <c r="R2599">
        <f ca="1">RAND()*(Validation[[#This Row],[Range1_High]]-Validation[[#This Row],[Range1_Low]])+Validation[[#This Row],[Range1_Low]]</f>
        <v>636.71834417561126</v>
      </c>
      <c r="S2599">
        <f>Validation[[#This Row],[Range2_High]]</f>
        <v>0</v>
      </c>
      <c r="T2599" t="str" cm="1">
        <f t="array" aca="1" ref="T2599" ca="1">RoundToTwoSigFigs(Validation[[#This Row],[Test Reading]]*Validation[[#This Row],[Mult]]+Validation[[#This Row],[Base]]) &amp;" "&amp;Validation[[#This Row],[Uncert_Units]]</f>
        <v>0.016 °C</v>
      </c>
      <c r="U2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V2599" t="b">
        <f ca="1">Validation[[#This Row],[Desired Result]]=Validation[[#This Row],[Result]]</f>
        <v>1</v>
      </c>
      <c r="W2599" t="b">
        <v>0</v>
      </c>
      <c r="X2599" t="b">
        <f>Validation[[#This Row],[Range1_Low]]&gt;=Validation[[#This Row],[Range1_High]]</f>
        <v>0</v>
      </c>
      <c r="Y2599" s="111" t="s">
        <v>2845</v>
      </c>
    </row>
    <row r="2600" spans="1:25" ht="15.75" thickBot="1" x14ac:dyDescent="0.3">
      <c r="A2600" t="s">
        <v>55</v>
      </c>
      <c r="B2600" t="s">
        <v>96</v>
      </c>
      <c r="C2600">
        <v>648.89</v>
      </c>
      <c r="D2600">
        <v>850</v>
      </c>
      <c r="E2600">
        <v>0.01</v>
      </c>
      <c r="F2600" t="s">
        <v>23</v>
      </c>
      <c r="G2600" t="s">
        <v>23</v>
      </c>
      <c r="H2600">
        <v>0</v>
      </c>
      <c r="I2600">
        <v>0</v>
      </c>
      <c r="J2600" t="s">
        <v>2833</v>
      </c>
      <c r="K2600">
        <v>1.9744199E-2</v>
      </c>
      <c r="L2600">
        <v>0</v>
      </c>
      <c r="M2600">
        <v>1.8879818999999999E-2</v>
      </c>
      <c r="N2600">
        <v>0</v>
      </c>
      <c r="O2600" t="s">
        <v>2833</v>
      </c>
      <c r="P2600" t="s">
        <v>2833</v>
      </c>
      <c r="Q2600" t="s">
        <v>166</v>
      </c>
      <c r="R2600">
        <f ca="1">RAND()*(Validation[[#This Row],[Range1_High]]-Validation[[#This Row],[Range1_Low]])+Validation[[#This Row],[Range1_Low]]</f>
        <v>749.71636345075422</v>
      </c>
      <c r="S2600">
        <f>Validation[[#This Row],[Range2_High]]</f>
        <v>0</v>
      </c>
      <c r="T2600" t="str" cm="1">
        <f t="array" aca="1" ref="T2600" ca="1">RoundToTwoSigFigs(Validation[[#This Row],[Test Reading]]*Validation[[#This Row],[Mult]]+Validation[[#This Row],[Base]]) &amp;" "&amp;Validation[[#This Row],[Uncert_Units]]</f>
        <v>0.02 °C</v>
      </c>
      <c r="U2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V2600" t="b">
        <f ca="1">Validation[[#This Row],[Desired Result]]=Validation[[#This Row],[Result]]</f>
        <v>1</v>
      </c>
      <c r="W2600" t="b">
        <v>0</v>
      </c>
      <c r="X2600" t="b">
        <f>Validation[[#This Row],[Range1_Low]]&gt;=Validation[[#This Row],[Range1_High]]</f>
        <v>0</v>
      </c>
      <c r="Y2600" s="111" t="s">
        <v>2845</v>
      </c>
    </row>
    <row r="2601" spans="1:25" ht="16.5" thickTop="1" thickBot="1" x14ac:dyDescent="0.3">
      <c r="A2601" t="s">
        <v>54</v>
      </c>
      <c r="B2601" t="s">
        <v>96</v>
      </c>
      <c r="C2601" s="113">
        <v>400</v>
      </c>
      <c r="D2601" s="113">
        <v>630.1</v>
      </c>
      <c r="E2601">
        <v>1</v>
      </c>
      <c r="F2601" t="s">
        <v>23</v>
      </c>
      <c r="G2601" t="s">
        <v>23</v>
      </c>
      <c r="H2601">
        <v>0</v>
      </c>
      <c r="I2601">
        <v>0</v>
      </c>
      <c r="J2601" t="s">
        <v>2833</v>
      </c>
      <c r="K2601">
        <v>0.64153956300000003</v>
      </c>
      <c r="L2601">
        <v>0</v>
      </c>
      <c r="M2601">
        <v>0.63006406500000001</v>
      </c>
      <c r="N2601">
        <v>0</v>
      </c>
      <c r="O2601" t="s">
        <v>2833</v>
      </c>
      <c r="P2601" t="s">
        <v>2833</v>
      </c>
      <c r="Q2601" t="s">
        <v>166</v>
      </c>
      <c r="R2601">
        <f ca="1">RAND()*(Validation[[#This Row],[Range1_High]]-Validation[[#This Row],[Range1_Low]])+Validation[[#This Row],[Range1_Low]]</f>
        <v>432.74540578357562</v>
      </c>
      <c r="S2601">
        <f>Validation[[#This Row],[Range2_High]]</f>
        <v>0</v>
      </c>
      <c r="T2601" t="str" cm="1">
        <f t="array" aca="1" ref="T2601" ca="1">RoundToTwoSigFigs(Validation[[#This Row],[Test Reading]]*Validation[[#This Row],[Mult]]+Validation[[#This Row],[Base]]) &amp;" "&amp;Validation[[#This Row],[Uncert_Units]]</f>
        <v>0.64 °C</v>
      </c>
      <c r="U2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V2601" t="b">
        <f ca="1">Validation[[#This Row],[Desired Result]]=Validation[[#This Row],[Result]]</f>
        <v>1</v>
      </c>
      <c r="W2601" t="b">
        <v>1</v>
      </c>
      <c r="X2601" t="b">
        <f>Validation[[#This Row],[Range1_Low]]&gt;=Validation[[#This Row],[Range1_High]]</f>
        <v>0</v>
      </c>
      <c r="Y2601" s="111" t="s">
        <v>2843</v>
      </c>
    </row>
    <row r="2602" spans="1:25" ht="15.75" thickTop="1" x14ac:dyDescent="0.25">
      <c r="A2602" t="s">
        <v>55</v>
      </c>
      <c r="B2602" t="s">
        <v>96</v>
      </c>
      <c r="C2602">
        <v>1E-3</v>
      </c>
      <c r="D2602">
        <v>204.44399999999999</v>
      </c>
      <c r="E2602">
        <v>1</v>
      </c>
      <c r="F2602" t="s">
        <v>23</v>
      </c>
      <c r="G2602" t="s">
        <v>23</v>
      </c>
      <c r="H2602">
        <v>0</v>
      </c>
      <c r="I2602">
        <v>0</v>
      </c>
      <c r="J2602" t="s">
        <v>2833</v>
      </c>
      <c r="K2602">
        <v>0.57758812199999998</v>
      </c>
      <c r="L2602">
        <v>0</v>
      </c>
      <c r="M2602">
        <v>0.57739760600000001</v>
      </c>
      <c r="N2602">
        <v>0</v>
      </c>
      <c r="O2602" t="s">
        <v>2833</v>
      </c>
      <c r="P2602" t="s">
        <v>2833</v>
      </c>
      <c r="Q2602" t="s">
        <v>166</v>
      </c>
      <c r="R2602">
        <f ca="1">RAND()*(Validation[[#This Row],[Range1_High]]-Validation[[#This Row],[Range1_Low]])+Validation[[#This Row],[Range1_Low]]</f>
        <v>166.37000086065922</v>
      </c>
      <c r="S2602">
        <f>Validation[[#This Row],[Range2_High]]</f>
        <v>0</v>
      </c>
      <c r="T2602" t="str" cm="1">
        <f t="array" aca="1" ref="T2602" ca="1">RoundToTwoSigFigs(Validation[[#This Row],[Test Reading]]*Validation[[#This Row],[Mult]]+Validation[[#This Row],[Base]]) &amp;" "&amp;Validation[[#This Row],[Uncert_Units]]</f>
        <v>0.58 °C</v>
      </c>
      <c r="U2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602" t="b">
        <f ca="1">Validation[[#This Row],[Desired Result]]=Validation[[#This Row],[Result]]</f>
        <v>1</v>
      </c>
      <c r="W2602" t="b">
        <v>0</v>
      </c>
      <c r="X2602" t="b">
        <f>Validation[[#This Row],[Range1_Low]]&gt;=Validation[[#This Row],[Range1_High]]</f>
        <v>0</v>
      </c>
      <c r="Y2602" s="111" t="s">
        <v>2845</v>
      </c>
    </row>
    <row r="2603" spans="1:25" x14ac:dyDescent="0.25">
      <c r="A2603" t="s">
        <v>54</v>
      </c>
      <c r="B2603" t="s">
        <v>97</v>
      </c>
      <c r="C2603">
        <v>0</v>
      </c>
      <c r="D2603">
        <v>100.1</v>
      </c>
      <c r="E2603">
        <v>1</v>
      </c>
      <c r="F2603" t="s">
        <v>23</v>
      </c>
      <c r="G2603" t="s">
        <v>23</v>
      </c>
      <c r="H2603">
        <v>0</v>
      </c>
      <c r="I2603">
        <v>0</v>
      </c>
      <c r="J2603" t="s">
        <v>2833</v>
      </c>
      <c r="K2603">
        <v>0.59806418900000002</v>
      </c>
      <c r="L2603">
        <v>0</v>
      </c>
      <c r="M2603">
        <v>0.58573755999999999</v>
      </c>
      <c r="N2603">
        <v>0</v>
      </c>
      <c r="O2603" t="s">
        <v>2833</v>
      </c>
      <c r="P2603" t="s">
        <v>2833</v>
      </c>
      <c r="Q2603" t="s">
        <v>167</v>
      </c>
      <c r="R2603">
        <f ca="1">RAND()*(Validation[[#This Row],[Range1_High]]-Validation[[#This Row],[Range1_Low]])+Validation[[#This Row],[Range1_Low]]</f>
        <v>6.359594745308601</v>
      </c>
      <c r="S2603">
        <f>Validation[[#This Row],[Range2_High]]</f>
        <v>0</v>
      </c>
      <c r="T2603" t="str" cm="1">
        <f t="array" aca="1" ref="T2603" ca="1">RoundToTwoSigFigs(Validation[[#This Row],[Test Reading]]*Validation[[#This Row],[Mult]]+Validation[[#This Row],[Base]]) &amp;" "&amp;Validation[[#This Row],[Uncert_Units]]</f>
        <v>0.6 °C</v>
      </c>
      <c r="U2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V2603" t="b">
        <f ca="1">Validation[[#This Row],[Desired Result]]=Validation[[#This Row],[Result]]</f>
        <v>1</v>
      </c>
      <c r="W2603" t="b">
        <v>0</v>
      </c>
      <c r="X2603" t="b">
        <f>Validation[[#This Row],[Range1_Low]]&gt;=Validation[[#This Row],[Range1_High]]</f>
        <v>0</v>
      </c>
      <c r="Y2603" s="111" t="s">
        <v>2845</v>
      </c>
    </row>
    <row r="2604" spans="1:25" x14ac:dyDescent="0.25">
      <c r="A2604" t="s">
        <v>55</v>
      </c>
      <c r="B2604" t="s">
        <v>97</v>
      </c>
      <c r="C2604">
        <v>1E-3</v>
      </c>
      <c r="D2604">
        <v>204.44399999999999</v>
      </c>
      <c r="E2604">
        <v>1</v>
      </c>
      <c r="F2604" t="s">
        <v>23</v>
      </c>
      <c r="G2604" t="s">
        <v>23</v>
      </c>
      <c r="H2604">
        <v>0</v>
      </c>
      <c r="I2604">
        <v>0</v>
      </c>
      <c r="J2604" t="s">
        <v>2833</v>
      </c>
      <c r="K2604">
        <v>0.57749190399999994</v>
      </c>
      <c r="L2604">
        <v>0</v>
      </c>
      <c r="M2604">
        <v>0.57739729500000003</v>
      </c>
      <c r="N2604">
        <v>0</v>
      </c>
      <c r="O2604" t="s">
        <v>2833</v>
      </c>
      <c r="P2604" t="s">
        <v>2833</v>
      </c>
      <c r="Q2604" t="s">
        <v>167</v>
      </c>
      <c r="R2604">
        <f ca="1">RAND()*(Validation[[#This Row],[Range1_High]]-Validation[[#This Row],[Range1_Low]])+Validation[[#This Row],[Range1_Low]]</f>
        <v>80.215891093041947</v>
      </c>
      <c r="S2604">
        <f>Validation[[#This Row],[Range2_High]]</f>
        <v>0</v>
      </c>
      <c r="T2604" t="str" cm="1">
        <f t="array" aca="1" ref="T2604" ca="1">RoundToTwoSigFigs(Validation[[#This Row],[Test Reading]]*Validation[[#This Row],[Mult]]+Validation[[#This Row],[Base]]) &amp;" "&amp;Validation[[#This Row],[Uncert_Units]]</f>
        <v>0.58 °C</v>
      </c>
      <c r="U2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V2604" t="b">
        <f ca="1">Validation[[#This Row],[Desired Result]]=Validation[[#This Row],[Result]]</f>
        <v>1</v>
      </c>
      <c r="W2604" t="b">
        <v>0</v>
      </c>
      <c r="X2604" t="b">
        <f>Validation[[#This Row],[Range1_Low]]&gt;=Validation[[#This Row],[Range1_High]]</f>
        <v>0</v>
      </c>
      <c r="Y2604" s="111" t="s">
        <v>2845</v>
      </c>
    </row>
    <row r="2605" spans="1:25" x14ac:dyDescent="0.25">
      <c r="A2605" t="s">
        <v>55</v>
      </c>
      <c r="B2605" t="s">
        <v>97</v>
      </c>
      <c r="C2605">
        <v>1E-3</v>
      </c>
      <c r="D2605">
        <v>204.44399999999999</v>
      </c>
      <c r="E2605">
        <v>0.1</v>
      </c>
      <c r="F2605" t="s">
        <v>23</v>
      </c>
      <c r="G2605" t="s">
        <v>23</v>
      </c>
      <c r="H2605">
        <v>0</v>
      </c>
      <c r="I2605">
        <v>0</v>
      </c>
      <c r="J2605" t="s">
        <v>2833</v>
      </c>
      <c r="K2605">
        <v>5.8437589999999998E-2</v>
      </c>
      <c r="L2605">
        <v>0</v>
      </c>
      <c r="M2605">
        <v>5.8203404E-2</v>
      </c>
      <c r="N2605">
        <v>0</v>
      </c>
      <c r="O2605" t="s">
        <v>2833</v>
      </c>
      <c r="P2605" t="s">
        <v>2833</v>
      </c>
      <c r="Q2605" t="s">
        <v>167</v>
      </c>
      <c r="R2605">
        <f ca="1">RAND()*(Validation[[#This Row],[Range1_High]]-Validation[[#This Row],[Range1_Low]])+Validation[[#This Row],[Range1_Low]]</f>
        <v>139.27815751650456</v>
      </c>
      <c r="S2605">
        <f>Validation[[#This Row],[Range2_High]]</f>
        <v>0</v>
      </c>
      <c r="T2605" t="str" cm="1">
        <f t="array" aca="1" ref="T2605" ca="1">RoundToTwoSigFigs(Validation[[#This Row],[Test Reading]]*Validation[[#This Row],[Mult]]+Validation[[#This Row],[Base]]) &amp;" "&amp;Validation[[#This Row],[Uncert_Units]]</f>
        <v>0.058 °C</v>
      </c>
      <c r="U2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V2605" t="b">
        <f ca="1">Validation[[#This Row],[Desired Result]]=Validation[[#This Row],[Result]]</f>
        <v>1</v>
      </c>
      <c r="W2605" t="b">
        <v>0</v>
      </c>
      <c r="X2605" t="b">
        <f>Validation[[#This Row],[Range1_Low]]&gt;=Validation[[#This Row],[Range1_High]]</f>
        <v>0</v>
      </c>
      <c r="Y2605" s="111" t="s">
        <v>2845</v>
      </c>
    </row>
    <row r="2606" spans="1:25" x14ac:dyDescent="0.25">
      <c r="A2606" t="s">
        <v>55</v>
      </c>
      <c r="B2606" t="s">
        <v>97</v>
      </c>
      <c r="C2606">
        <v>1E-3</v>
      </c>
      <c r="D2606">
        <v>204.44399999999999</v>
      </c>
      <c r="E2606">
        <v>0.01</v>
      </c>
      <c r="F2606" t="s">
        <v>23</v>
      </c>
      <c r="G2606" t="s">
        <v>23</v>
      </c>
      <c r="H2606">
        <v>0</v>
      </c>
      <c r="I2606">
        <v>0</v>
      </c>
      <c r="J2606" t="s">
        <v>2833</v>
      </c>
      <c r="K2606">
        <v>9.7193209999999995E-3</v>
      </c>
      <c r="L2606">
        <v>0</v>
      </c>
      <c r="M2606">
        <v>9.3614249999999996E-3</v>
      </c>
      <c r="N2606">
        <v>0</v>
      </c>
      <c r="O2606" t="s">
        <v>2833</v>
      </c>
      <c r="P2606" t="s">
        <v>2833</v>
      </c>
      <c r="Q2606" t="s">
        <v>167</v>
      </c>
      <c r="R2606">
        <f ca="1">RAND()*(Validation[[#This Row],[Range1_High]]-Validation[[#This Row],[Range1_Low]])+Validation[[#This Row],[Range1_Low]]</f>
        <v>146.25304705528052</v>
      </c>
      <c r="S2606">
        <f>Validation[[#This Row],[Range2_High]]</f>
        <v>0</v>
      </c>
      <c r="T2606" t="str" cm="1">
        <f t="array" aca="1" ref="T2606" ca="1">RoundToTwoSigFigs(Validation[[#This Row],[Test Reading]]*Validation[[#This Row],[Mult]]+Validation[[#This Row],[Base]]) &amp;" "&amp;Validation[[#This Row],[Uncert_Units]]</f>
        <v>0.0097 °C</v>
      </c>
      <c r="U2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V2606" t="b">
        <f ca="1">Validation[[#This Row],[Desired Result]]=Validation[[#This Row],[Result]]</f>
        <v>1</v>
      </c>
      <c r="W2606" t="b">
        <v>0</v>
      </c>
      <c r="X2606" t="b">
        <f>Validation[[#This Row],[Range1_Low]]&gt;=Validation[[#This Row],[Range1_High]]</f>
        <v>0</v>
      </c>
      <c r="Y2606" s="111" t="s">
        <v>2845</v>
      </c>
    </row>
    <row r="2607" spans="1:25" ht="15.75" thickBot="1" x14ac:dyDescent="0.3">
      <c r="A2607" t="s">
        <v>55</v>
      </c>
      <c r="B2607" t="s">
        <v>80</v>
      </c>
      <c r="C2607">
        <v>-454</v>
      </c>
      <c r="D2607">
        <v>300</v>
      </c>
      <c r="E2607">
        <v>1</v>
      </c>
      <c r="F2607" t="s">
        <v>26</v>
      </c>
      <c r="G2607" t="s">
        <v>26</v>
      </c>
      <c r="H2607">
        <v>0</v>
      </c>
      <c r="I2607">
        <v>0</v>
      </c>
      <c r="J2607" t="s">
        <v>2833</v>
      </c>
      <c r="K2607">
        <v>0.60176790400000002</v>
      </c>
      <c r="L2607">
        <v>0</v>
      </c>
      <c r="M2607">
        <v>0.58065532799999997</v>
      </c>
      <c r="N2607">
        <v>0</v>
      </c>
      <c r="O2607" t="s">
        <v>2833</v>
      </c>
      <c r="P2607" t="s">
        <v>2833</v>
      </c>
      <c r="Q2607" t="s">
        <v>160</v>
      </c>
      <c r="R2607">
        <f ca="1">RAND()*(Validation[[#This Row],[Range1_High]]-Validation[[#This Row],[Range1_Low]])+Validation[[#This Row],[Range1_Low]]</f>
        <v>-39.026853789899405</v>
      </c>
      <c r="S2607">
        <f>Validation[[#This Row],[Range2_High]]</f>
        <v>0</v>
      </c>
      <c r="T2607" t="str" cm="1">
        <f t="array" aca="1" ref="T2607" ca="1">RoundToTwoSigFigs(Validation[[#This Row],[Test Reading]]*Validation[[#This Row],[Mult]]+Validation[[#This Row],[Base]]) &amp;" "&amp;Validation[[#This Row],[Uncert_Units]]</f>
        <v>0.6 °F</v>
      </c>
      <c r="U2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2607" t="b">
        <f ca="1">Validation[[#This Row],[Desired Result]]=Validation[[#This Row],[Result]]</f>
        <v>1</v>
      </c>
      <c r="W2607" t="b">
        <v>0</v>
      </c>
      <c r="X2607" t="b">
        <f>Validation[[#This Row],[Range1_Low]]&gt;=Validation[[#This Row],[Range1_High]]</f>
        <v>0</v>
      </c>
      <c r="Y2607" s="111" t="s">
        <v>2845</v>
      </c>
    </row>
    <row r="2608" spans="1:25" ht="16.5" thickTop="1" thickBot="1" x14ac:dyDescent="0.3">
      <c r="A2608" t="s">
        <v>54</v>
      </c>
      <c r="B2608" t="s">
        <v>80</v>
      </c>
      <c r="C2608" s="113">
        <v>-13</v>
      </c>
      <c r="D2608" s="113">
        <v>662.1</v>
      </c>
      <c r="E2608">
        <v>0.1</v>
      </c>
      <c r="F2608" t="s">
        <v>26</v>
      </c>
      <c r="G2608" t="s">
        <v>26</v>
      </c>
      <c r="H2608">
        <v>0</v>
      </c>
      <c r="I2608">
        <v>0</v>
      </c>
      <c r="J2608" t="s">
        <v>2833</v>
      </c>
      <c r="K2608">
        <v>0.30436869799999999</v>
      </c>
      <c r="L2608">
        <v>0</v>
      </c>
      <c r="M2608">
        <v>0.30236860999999998</v>
      </c>
      <c r="N2608">
        <v>0</v>
      </c>
      <c r="O2608" t="s">
        <v>2833</v>
      </c>
      <c r="P2608" t="s">
        <v>2833</v>
      </c>
      <c r="Q2608" t="s">
        <v>160</v>
      </c>
      <c r="R2608">
        <f ca="1">RAND()*(Validation[[#This Row],[Range1_High]]-Validation[[#This Row],[Range1_Low]])+Validation[[#This Row],[Range1_Low]]</f>
        <v>20.455103855622717</v>
      </c>
      <c r="S2608">
        <f>Validation[[#This Row],[Range2_High]]</f>
        <v>0</v>
      </c>
      <c r="T2608" t="str" cm="1">
        <f t="array" aca="1" ref="T2608" ca="1">RoundToTwoSigFigs(Validation[[#This Row],[Test Reading]]*Validation[[#This Row],[Mult]]+Validation[[#This Row],[Base]]) &amp;" "&amp;Validation[[#This Row],[Uncert_Units]]</f>
        <v>0.3 °F</v>
      </c>
      <c r="U2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V2608" t="b">
        <f ca="1">Validation[[#This Row],[Desired Result]]=Validation[[#This Row],[Result]]</f>
        <v>1</v>
      </c>
      <c r="W2608" t="b">
        <v>1</v>
      </c>
      <c r="X2608" t="b">
        <f>Validation[[#This Row],[Range1_Low]]&gt;=Validation[[#This Row],[Range1_High]]</f>
        <v>0</v>
      </c>
      <c r="Y2608" s="111" t="s">
        <v>2843</v>
      </c>
    </row>
    <row r="2609" spans="1:25" ht="15.75" thickTop="1" x14ac:dyDescent="0.25">
      <c r="A2609" t="s">
        <v>55</v>
      </c>
      <c r="B2609" t="s">
        <v>80</v>
      </c>
      <c r="C2609">
        <v>-454</v>
      </c>
      <c r="D2609">
        <v>300</v>
      </c>
      <c r="E2609">
        <v>0.1</v>
      </c>
      <c r="F2609" t="s">
        <v>26</v>
      </c>
      <c r="G2609" t="s">
        <v>26</v>
      </c>
      <c r="H2609">
        <v>0</v>
      </c>
      <c r="I2609">
        <v>0</v>
      </c>
      <c r="J2609" t="s">
        <v>2833</v>
      </c>
      <c r="K2609">
        <v>0.12</v>
      </c>
      <c r="L2609">
        <v>0</v>
      </c>
      <c r="M2609">
        <v>8.4620388000000005E-2</v>
      </c>
      <c r="N2609">
        <v>0</v>
      </c>
      <c r="O2609" t="s">
        <v>2833</v>
      </c>
      <c r="P2609" t="s">
        <v>2833</v>
      </c>
      <c r="Q2609" t="s">
        <v>160</v>
      </c>
      <c r="R2609">
        <f ca="1">RAND()*(Validation[[#This Row],[Range1_High]]-Validation[[#This Row],[Range1_Low]])+Validation[[#This Row],[Range1_Low]]</f>
        <v>-344.12612465915191</v>
      </c>
      <c r="S2609">
        <f>Validation[[#This Row],[Range2_High]]</f>
        <v>0</v>
      </c>
      <c r="T2609" t="str" cm="1">
        <f t="array" aca="1" ref="T2609" ca="1">RoundToTwoSigFigs(Validation[[#This Row],[Test Reading]]*Validation[[#This Row],[Mult]]+Validation[[#This Row],[Base]]) &amp;" "&amp;Validation[[#This Row],[Uncert_Units]]</f>
        <v>0.12 °F</v>
      </c>
      <c r="U2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V2609" t="b">
        <f ca="1">Validation[[#This Row],[Desired Result]]=Validation[[#This Row],[Result]]</f>
        <v>1</v>
      </c>
      <c r="W2609" t="b">
        <v>0</v>
      </c>
      <c r="X2609" t="b">
        <f>Validation[[#This Row],[Range1_Low]]&gt;=Validation[[#This Row],[Range1_High]]</f>
        <v>0</v>
      </c>
      <c r="Y2609" s="111" t="s">
        <v>2845</v>
      </c>
    </row>
    <row r="2610" spans="1:25" ht="15.75" thickBot="1" x14ac:dyDescent="0.3">
      <c r="A2610" t="s">
        <v>55</v>
      </c>
      <c r="B2610" t="s">
        <v>80</v>
      </c>
      <c r="C2610">
        <v>300.00099999999998</v>
      </c>
      <c r="D2610">
        <v>1100</v>
      </c>
      <c r="E2610">
        <v>1</v>
      </c>
      <c r="F2610" t="s">
        <v>26</v>
      </c>
      <c r="G2610" t="s">
        <v>26</v>
      </c>
      <c r="H2610">
        <v>0</v>
      </c>
      <c r="I2610">
        <v>0</v>
      </c>
      <c r="J2610" t="s">
        <v>2833</v>
      </c>
      <c r="K2610">
        <v>0.58298645599999999</v>
      </c>
      <c r="L2610">
        <v>0</v>
      </c>
      <c r="M2610">
        <v>0.58060264399999995</v>
      </c>
      <c r="N2610">
        <v>0</v>
      </c>
      <c r="O2610" t="s">
        <v>2833</v>
      </c>
      <c r="P2610" t="s">
        <v>2833</v>
      </c>
      <c r="Q2610" t="s">
        <v>160</v>
      </c>
      <c r="R2610">
        <f ca="1">RAND()*(Validation[[#This Row],[Range1_High]]-Validation[[#This Row],[Range1_Low]])+Validation[[#This Row],[Range1_Low]]</f>
        <v>1036.7562625746236</v>
      </c>
      <c r="S2610">
        <f>Validation[[#This Row],[Range2_High]]</f>
        <v>0</v>
      </c>
      <c r="T2610" t="str" cm="1">
        <f t="array" aca="1" ref="T2610" ca="1">RoundToTwoSigFigs(Validation[[#This Row],[Test Reading]]*Validation[[#This Row],[Mult]]+Validation[[#This Row],[Base]]) &amp;" "&amp;Validation[[#This Row],[Uncert_Units]]</f>
        <v>0.58 °F</v>
      </c>
      <c r="U2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2610" t="b">
        <f ca="1">Validation[[#This Row],[Desired Result]]=Validation[[#This Row],[Result]]</f>
        <v>1</v>
      </c>
      <c r="W2610" t="b">
        <v>0</v>
      </c>
      <c r="X2610" t="b">
        <f>Validation[[#This Row],[Range1_Low]]&gt;=Validation[[#This Row],[Range1_High]]</f>
        <v>0</v>
      </c>
      <c r="Y2610" s="111" t="s">
        <v>2845</v>
      </c>
    </row>
    <row r="2611" spans="1:25" ht="16.5" thickTop="1" thickBot="1" x14ac:dyDescent="0.3">
      <c r="A2611" t="s">
        <v>54</v>
      </c>
      <c r="B2611" t="s">
        <v>80</v>
      </c>
      <c r="C2611" s="113">
        <v>-148</v>
      </c>
      <c r="D2611" s="113">
        <v>-12.9</v>
      </c>
      <c r="E2611">
        <v>0.1</v>
      </c>
      <c r="F2611" t="s">
        <v>26</v>
      </c>
      <c r="G2611" t="s">
        <v>26</v>
      </c>
      <c r="H2611">
        <v>0</v>
      </c>
      <c r="I2611">
        <v>0</v>
      </c>
      <c r="J2611" t="s">
        <v>2833</v>
      </c>
      <c r="K2611">
        <v>0.34659772799999999</v>
      </c>
      <c r="L2611">
        <v>0</v>
      </c>
      <c r="M2611">
        <v>0.34484265600000003</v>
      </c>
      <c r="N2611">
        <v>0</v>
      </c>
      <c r="O2611" t="s">
        <v>2833</v>
      </c>
      <c r="P2611" t="s">
        <v>2833</v>
      </c>
      <c r="Q2611" t="s">
        <v>160</v>
      </c>
      <c r="R2611">
        <f ca="1">RAND()*(Validation[[#This Row],[Range1_High]]-Validation[[#This Row],[Range1_Low]])+Validation[[#This Row],[Range1_Low]]</f>
        <v>-144.5608647586516</v>
      </c>
      <c r="S2611">
        <f>Validation[[#This Row],[Range2_High]]</f>
        <v>0</v>
      </c>
      <c r="T2611" t="str" cm="1">
        <f t="array" aca="1" ref="T2611" ca="1">RoundToTwoSigFigs(Validation[[#This Row],[Test Reading]]*Validation[[#This Row],[Mult]]+Validation[[#This Row],[Base]]) &amp;" "&amp;Validation[[#This Row],[Uncert_Units]]</f>
        <v>0.35 °F</v>
      </c>
      <c r="U2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V2611" t="b">
        <f ca="1">Validation[[#This Row],[Desired Result]]=Validation[[#This Row],[Result]]</f>
        <v>1</v>
      </c>
      <c r="W2611" t="b">
        <v>1</v>
      </c>
      <c r="X2611" t="b">
        <f>Validation[[#This Row],[Range1_Low]]&gt;=Validation[[#This Row],[Range1_High]]</f>
        <v>0</v>
      </c>
      <c r="Y2611" s="111" t="s">
        <v>2843</v>
      </c>
    </row>
    <row r="2612" spans="1:25" ht="16.5" thickTop="1" thickBot="1" x14ac:dyDescent="0.3">
      <c r="A2612" t="s">
        <v>54</v>
      </c>
      <c r="B2612" t="s">
        <v>81</v>
      </c>
      <c r="C2612" s="113">
        <v>-148</v>
      </c>
      <c r="D2612" s="113">
        <v>-21.9</v>
      </c>
      <c r="E2612">
        <v>1</v>
      </c>
      <c r="F2612" t="s">
        <v>26</v>
      </c>
      <c r="G2612" t="s">
        <v>26</v>
      </c>
      <c r="H2612">
        <v>0</v>
      </c>
      <c r="I2612">
        <v>0</v>
      </c>
      <c r="J2612" t="s">
        <v>2833</v>
      </c>
      <c r="K2612">
        <v>0.69231010500000001</v>
      </c>
      <c r="L2612">
        <v>0</v>
      </c>
      <c r="M2612">
        <v>0.66887580099999999</v>
      </c>
      <c r="N2612">
        <v>0</v>
      </c>
      <c r="O2612" t="s">
        <v>2833</v>
      </c>
      <c r="P2612" t="s">
        <v>2833</v>
      </c>
      <c r="Q2612" t="s">
        <v>161</v>
      </c>
      <c r="R2612">
        <f ca="1">RAND()*(Validation[[#This Row],[Range1_High]]-Validation[[#This Row],[Range1_Low]])+Validation[[#This Row],[Range1_Low]]</f>
        <v>-35.309686731054001</v>
      </c>
      <c r="S2612">
        <f>Validation[[#This Row],[Range2_High]]</f>
        <v>0</v>
      </c>
      <c r="T2612" t="str" cm="1">
        <f t="array" aca="1" ref="T2612" ca="1">RoundToTwoSigFigs(Validation[[#This Row],[Test Reading]]*Validation[[#This Row],[Mult]]+Validation[[#This Row],[Base]]) &amp;" "&amp;Validation[[#This Row],[Uncert_Units]]</f>
        <v>0.69 °F</v>
      </c>
      <c r="U2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V2612" t="b">
        <f ca="1">Validation[[#This Row],[Desired Result]]=Validation[[#This Row],[Result]]</f>
        <v>1</v>
      </c>
      <c r="W2612" t="b">
        <v>1</v>
      </c>
      <c r="X2612" t="b">
        <f>Validation[[#This Row],[Range1_Low]]&gt;=Validation[[#This Row],[Range1_High]]</f>
        <v>0</v>
      </c>
      <c r="Y2612" s="111" t="s">
        <v>2843</v>
      </c>
    </row>
    <row r="2613" spans="1:25" ht="16.5" thickTop="1" thickBot="1" x14ac:dyDescent="0.3">
      <c r="A2613" t="s">
        <v>54</v>
      </c>
      <c r="B2613" t="s">
        <v>81</v>
      </c>
      <c r="C2613" s="113">
        <v>-22</v>
      </c>
      <c r="D2613" s="113">
        <v>302.10000000000002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2833</v>
      </c>
      <c r="K2613">
        <v>0.31531184099999998</v>
      </c>
      <c r="L2613">
        <v>0</v>
      </c>
      <c r="M2613">
        <v>0.302401961</v>
      </c>
      <c r="N2613">
        <v>0</v>
      </c>
      <c r="O2613" t="s">
        <v>2833</v>
      </c>
      <c r="P2613" t="s">
        <v>2833</v>
      </c>
      <c r="Q2613" t="s">
        <v>161</v>
      </c>
      <c r="R2613">
        <f ca="1">RAND()*(Validation[[#This Row],[Range1_High]]-Validation[[#This Row],[Range1_Low]])+Validation[[#This Row],[Range1_Low]]</f>
        <v>218.23831129166837</v>
      </c>
      <c r="S2613">
        <f>Validation[[#This Row],[Range2_High]]</f>
        <v>0</v>
      </c>
      <c r="T2613" t="str" cm="1">
        <f t="array" aca="1" ref="T2613" ca="1">RoundToTwoSigFigs(Validation[[#This Row],[Test Reading]]*Validation[[#This Row],[Mult]]+Validation[[#This Row],[Base]]) &amp;" "&amp;Validation[[#This Row],[Uncert_Units]]</f>
        <v>0.32 °F</v>
      </c>
      <c r="U2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V2613" t="b">
        <f ca="1">Validation[[#This Row],[Desired Result]]=Validation[[#This Row],[Result]]</f>
        <v>1</v>
      </c>
      <c r="W2613" t="b">
        <v>1</v>
      </c>
      <c r="X2613" t="b">
        <f>Validation[[#This Row],[Range1_Low]]&gt;=Validation[[#This Row],[Range1_High]]</f>
        <v>0</v>
      </c>
      <c r="Y2613" s="111" t="s">
        <v>2843</v>
      </c>
    </row>
    <row r="2614" spans="1:25" ht="16.5" thickTop="1" thickBot="1" x14ac:dyDescent="0.3">
      <c r="A2614" t="s">
        <v>54</v>
      </c>
      <c r="B2614" t="s">
        <v>82</v>
      </c>
      <c r="C2614" s="113">
        <v>1832</v>
      </c>
      <c r="D2614" s="113">
        <v>2500</v>
      </c>
      <c r="E2614">
        <v>1</v>
      </c>
      <c r="F2614" t="s">
        <v>26</v>
      </c>
      <c r="G2614" t="s">
        <v>26</v>
      </c>
      <c r="H2614">
        <v>0</v>
      </c>
      <c r="I2614">
        <v>0</v>
      </c>
      <c r="J2614" t="s">
        <v>2833</v>
      </c>
      <c r="K2614">
        <v>1.0285126790000001</v>
      </c>
      <c r="L2614">
        <v>0</v>
      </c>
      <c r="M2614">
        <v>1.013913319</v>
      </c>
      <c r="N2614">
        <v>0</v>
      </c>
      <c r="O2614" t="s">
        <v>2833</v>
      </c>
      <c r="P2614" t="s">
        <v>2833</v>
      </c>
      <c r="Q2614" t="s">
        <v>111</v>
      </c>
      <c r="R2614">
        <f ca="1">RAND()*(Validation[[#This Row],[Range1_High]]-Validation[[#This Row],[Range1_Low]])+Validation[[#This Row],[Range1_Low]]</f>
        <v>1909.1313273228554</v>
      </c>
      <c r="S2614">
        <f>Validation[[#This Row],[Range2_High]]</f>
        <v>0</v>
      </c>
      <c r="T2614" t="str" cm="1">
        <f t="array" aca="1" ref="T2614" ca="1">RoundToTwoSigFigs(Validation[[#This Row],[Test Reading]]*Validation[[#This Row],[Mult]]+Validation[[#This Row],[Base]]) &amp;" "&amp;Validation[[#This Row],[Uncert_Units]]</f>
        <v>1 °F</v>
      </c>
      <c r="U2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V2614" t="b">
        <f ca="1">Validation[[#This Row],[Desired Result]]=Validation[[#This Row],[Result]]</f>
        <v>1</v>
      </c>
      <c r="W2614" t="b">
        <v>1</v>
      </c>
      <c r="X2614" t="b">
        <f>Validation[[#This Row],[Range1_Low]]&gt;=Validation[[#This Row],[Range1_High]]</f>
        <v>0</v>
      </c>
      <c r="Y2614" s="111" t="s">
        <v>2843</v>
      </c>
    </row>
    <row r="2615" spans="1:25" ht="15.75" thickTop="1" x14ac:dyDescent="0.25">
      <c r="A2615" t="s">
        <v>55</v>
      </c>
      <c r="B2615" t="s">
        <v>83</v>
      </c>
      <c r="C2615">
        <v>-150</v>
      </c>
      <c r="D2615">
        <v>700</v>
      </c>
      <c r="E2615">
        <v>0.1</v>
      </c>
      <c r="F2615" t="s">
        <v>26</v>
      </c>
      <c r="G2615" t="s">
        <v>26</v>
      </c>
      <c r="H2615">
        <v>0</v>
      </c>
      <c r="I2615">
        <v>0</v>
      </c>
      <c r="J2615" t="s">
        <v>2833</v>
      </c>
      <c r="K2615">
        <v>0.14000000000000001</v>
      </c>
      <c r="L2615">
        <v>0</v>
      </c>
      <c r="M2615">
        <v>8.8082791999999993E-2</v>
      </c>
      <c r="N2615">
        <v>0</v>
      </c>
      <c r="O2615" t="s">
        <v>2833</v>
      </c>
      <c r="P2615" t="s">
        <v>2833</v>
      </c>
      <c r="Q2615" t="s">
        <v>162</v>
      </c>
      <c r="R2615">
        <f ca="1">RAND()*(Validation[[#This Row],[Range1_High]]-Validation[[#This Row],[Range1_Low]])+Validation[[#This Row],[Range1_Low]]</f>
        <v>413.1513598333529</v>
      </c>
      <c r="S2615">
        <f>Validation[[#This Row],[Range2_High]]</f>
        <v>0</v>
      </c>
      <c r="T2615" t="str" cm="1">
        <f t="array" aca="1" ref="T2615" ca="1">RoundToTwoSigFigs(Validation[[#This Row],[Test Reading]]*Validation[[#This Row],[Mult]]+Validation[[#This Row],[Base]]) &amp;" "&amp;Validation[[#This Row],[Uncert_Units]]</f>
        <v>0.14 °F</v>
      </c>
      <c r="U2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V2615" t="b">
        <f ca="1">Validation[[#This Row],[Desired Result]]=Validation[[#This Row],[Result]]</f>
        <v>1</v>
      </c>
      <c r="W2615" t="b">
        <v>0</v>
      </c>
      <c r="X2615" t="b">
        <f>Validation[[#This Row],[Range1_Low]]&gt;=Validation[[#This Row],[Range1_High]]</f>
        <v>0</v>
      </c>
      <c r="Y2615" s="111" t="s">
        <v>2845</v>
      </c>
    </row>
    <row r="2616" spans="1:25" ht="15.75" thickBot="1" x14ac:dyDescent="0.3">
      <c r="A2616" t="s">
        <v>55</v>
      </c>
      <c r="B2616" t="s">
        <v>83</v>
      </c>
      <c r="C2616">
        <v>700.00099999999998</v>
      </c>
      <c r="D2616">
        <v>1500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J2616" t="s">
        <v>2833</v>
      </c>
      <c r="K2616">
        <v>0.12</v>
      </c>
      <c r="L2616">
        <v>0</v>
      </c>
      <c r="M2616">
        <v>8.7954482E-2</v>
      </c>
      <c r="N2616">
        <v>0</v>
      </c>
      <c r="O2616" t="s">
        <v>2833</v>
      </c>
      <c r="P2616" t="s">
        <v>2833</v>
      </c>
      <c r="Q2616" t="s">
        <v>162</v>
      </c>
      <c r="R2616">
        <f ca="1">RAND()*(Validation[[#This Row],[Range1_High]]-Validation[[#This Row],[Range1_Low]])+Validation[[#This Row],[Range1_Low]]</f>
        <v>1294.5232869361221</v>
      </c>
      <c r="S2616">
        <f>Validation[[#This Row],[Range2_High]]</f>
        <v>0</v>
      </c>
      <c r="T2616" t="str" cm="1">
        <f t="array" aca="1" ref="T2616" ca="1">RoundToTwoSigFigs(Validation[[#This Row],[Test Reading]]*Validation[[#This Row],[Mult]]+Validation[[#This Row],[Base]]) &amp;" "&amp;Validation[[#This Row],[Uncert_Units]]</f>
        <v>0.12 °F</v>
      </c>
      <c r="U2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V2616" t="b">
        <f ca="1">Validation[[#This Row],[Desired Result]]=Validation[[#This Row],[Result]]</f>
        <v>1</v>
      </c>
      <c r="W2616" t="b">
        <v>0</v>
      </c>
      <c r="X2616" t="b">
        <f>Validation[[#This Row],[Range1_Low]]&gt;=Validation[[#This Row],[Range1_High]]</f>
        <v>0</v>
      </c>
      <c r="Y2616" s="111" t="s">
        <v>2845</v>
      </c>
    </row>
    <row r="2617" spans="1:25" ht="16.5" thickTop="1" thickBot="1" x14ac:dyDescent="0.3">
      <c r="A2617" t="s">
        <v>54</v>
      </c>
      <c r="B2617" t="s">
        <v>83</v>
      </c>
      <c r="C2617" s="113">
        <v>248</v>
      </c>
      <c r="D2617" s="113">
        <v>770.1</v>
      </c>
      <c r="E2617">
        <v>0.1</v>
      </c>
      <c r="F2617" t="s">
        <v>26</v>
      </c>
      <c r="G2617" t="s">
        <v>26</v>
      </c>
      <c r="H2617">
        <v>0</v>
      </c>
      <c r="I2617">
        <v>0</v>
      </c>
      <c r="J2617" t="s">
        <v>2833</v>
      </c>
      <c r="K2617">
        <v>0.391502774</v>
      </c>
      <c r="L2617">
        <v>0</v>
      </c>
      <c r="M2617">
        <v>0.38322325200000001</v>
      </c>
      <c r="N2617">
        <v>0</v>
      </c>
      <c r="O2617" t="s">
        <v>2833</v>
      </c>
      <c r="P2617" t="s">
        <v>2833</v>
      </c>
      <c r="Q2617" t="s">
        <v>162</v>
      </c>
      <c r="R2617">
        <f ca="1">RAND()*(Validation[[#This Row],[Range1_High]]-Validation[[#This Row],[Range1_Low]])+Validation[[#This Row],[Range1_Low]]</f>
        <v>452.91473815426457</v>
      </c>
      <c r="S2617">
        <f>Validation[[#This Row],[Range2_High]]</f>
        <v>0</v>
      </c>
      <c r="T2617" t="str" cm="1">
        <f t="array" aca="1" ref="T2617" ca="1">RoundToTwoSigFigs(Validation[[#This Row],[Test Reading]]*Validation[[#This Row],[Mult]]+Validation[[#This Row],[Base]]) &amp;" "&amp;Validation[[#This Row],[Uncert_Units]]</f>
        <v>0.39 °F</v>
      </c>
      <c r="U2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V2617" t="b">
        <f ca="1">Validation[[#This Row],[Desired Result]]=Validation[[#This Row],[Result]]</f>
        <v>1</v>
      </c>
      <c r="W2617" t="b">
        <v>1</v>
      </c>
      <c r="X2617" t="b">
        <f>Validation[[#This Row],[Range1_Low]]&gt;=Validation[[#This Row],[Range1_High]]</f>
        <v>0</v>
      </c>
      <c r="Y2617" s="111" t="s">
        <v>2843</v>
      </c>
    </row>
    <row r="2618" spans="1:25" ht="15.75" thickTop="1" x14ac:dyDescent="0.25">
      <c r="A2618" t="s">
        <v>55</v>
      </c>
      <c r="B2618" t="s">
        <v>83</v>
      </c>
      <c r="C2618">
        <v>-454</v>
      </c>
      <c r="D2618">
        <v>-400.00099999999998</v>
      </c>
      <c r="E2618">
        <v>1</v>
      </c>
      <c r="F2618" t="s">
        <v>26</v>
      </c>
      <c r="G2618" t="s">
        <v>26</v>
      </c>
      <c r="H2618">
        <v>0</v>
      </c>
      <c r="I2618">
        <v>0</v>
      </c>
      <c r="J2618" t="s">
        <v>2833</v>
      </c>
      <c r="K2618">
        <v>1.560324096</v>
      </c>
      <c r="L2618">
        <v>0</v>
      </c>
      <c r="M2618">
        <v>1.5399700780000001</v>
      </c>
      <c r="N2618">
        <v>0</v>
      </c>
      <c r="O2618" t="s">
        <v>2833</v>
      </c>
      <c r="P2618" t="s">
        <v>2833</v>
      </c>
      <c r="Q2618" t="s">
        <v>162</v>
      </c>
      <c r="R2618">
        <f ca="1">RAND()*(Validation[[#This Row],[Range1_High]]-Validation[[#This Row],[Range1_Low]])+Validation[[#This Row],[Range1_Low]]</f>
        <v>-435.1063451275844</v>
      </c>
      <c r="S2618">
        <f>Validation[[#This Row],[Range2_High]]</f>
        <v>0</v>
      </c>
      <c r="T2618" t="str" cm="1">
        <f t="array" aca="1" ref="T2618" ca="1">RoundToTwoSigFigs(Validation[[#This Row],[Test Reading]]*Validation[[#This Row],[Mult]]+Validation[[#This Row],[Base]]) &amp;" "&amp;Validation[[#This Row],[Uncert_Units]]</f>
        <v>1.6 °F</v>
      </c>
      <c r="U2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V2618" t="b">
        <f ca="1">Validation[[#This Row],[Desired Result]]=Validation[[#This Row],[Result]]</f>
        <v>1</v>
      </c>
      <c r="W2618" t="b">
        <v>0</v>
      </c>
      <c r="X2618" t="b">
        <f>Validation[[#This Row],[Range1_Low]]&gt;=Validation[[#This Row],[Range1_High]]</f>
        <v>0</v>
      </c>
      <c r="Y2618" s="111" t="s">
        <v>2845</v>
      </c>
    </row>
    <row r="2619" spans="1:25" x14ac:dyDescent="0.25">
      <c r="A2619" t="s">
        <v>55</v>
      </c>
      <c r="B2619" t="s">
        <v>83</v>
      </c>
      <c r="C2619">
        <v>1500.001</v>
      </c>
      <c r="D2619">
        <v>2372</v>
      </c>
      <c r="E2619">
        <v>0.1</v>
      </c>
      <c r="F2619" t="s">
        <v>26</v>
      </c>
      <c r="G2619" t="s">
        <v>26</v>
      </c>
      <c r="H2619">
        <v>0</v>
      </c>
      <c r="I2619">
        <v>0</v>
      </c>
      <c r="J2619" t="s">
        <v>2833</v>
      </c>
      <c r="K2619">
        <v>0.13</v>
      </c>
      <c r="L2619">
        <v>0</v>
      </c>
      <c r="M2619">
        <v>9.4805566999999993E-2</v>
      </c>
      <c r="N2619">
        <v>0</v>
      </c>
      <c r="O2619" t="s">
        <v>2833</v>
      </c>
      <c r="P2619" t="s">
        <v>2833</v>
      </c>
      <c r="Q2619" t="s">
        <v>162</v>
      </c>
      <c r="R2619">
        <f ca="1">RAND()*(Validation[[#This Row],[Range1_High]]-Validation[[#This Row],[Range1_Low]])+Validation[[#This Row],[Range1_Low]]</f>
        <v>1589.4436569213806</v>
      </c>
      <c r="S2619">
        <f>Validation[[#This Row],[Range2_High]]</f>
        <v>0</v>
      </c>
      <c r="T2619" t="str" cm="1">
        <f t="array" aca="1" ref="T2619" ca="1">RoundToTwoSigFigs(Validation[[#This Row],[Test Reading]]*Validation[[#This Row],[Mult]]+Validation[[#This Row],[Base]]) &amp;" "&amp;Validation[[#This Row],[Uncert_Units]]</f>
        <v>0.13 °F</v>
      </c>
      <c r="U2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V2619" t="b">
        <f ca="1">Validation[[#This Row],[Desired Result]]=Validation[[#This Row],[Result]]</f>
        <v>1</v>
      </c>
      <c r="W2619" t="b">
        <v>0</v>
      </c>
      <c r="X2619" t="b">
        <f>Validation[[#This Row],[Range1_Low]]&gt;=Validation[[#This Row],[Range1_High]]</f>
        <v>0</v>
      </c>
      <c r="Y2619" s="111" t="s">
        <v>2845</v>
      </c>
    </row>
    <row r="2620" spans="1:25" x14ac:dyDescent="0.25">
      <c r="A2620" t="s">
        <v>54</v>
      </c>
      <c r="B2620" t="s">
        <v>85</v>
      </c>
      <c r="C2620">
        <v>3213</v>
      </c>
      <c r="D2620">
        <v>3213.1</v>
      </c>
      <c r="E2620">
        <v>1</v>
      </c>
      <c r="F2620" t="s">
        <v>26</v>
      </c>
      <c r="G2620" t="s">
        <v>26</v>
      </c>
      <c r="H2620">
        <v>0</v>
      </c>
      <c r="I2620">
        <v>0</v>
      </c>
      <c r="J2620" t="s">
        <v>2833</v>
      </c>
      <c r="K2620">
        <v>1.142432525</v>
      </c>
      <c r="L2620">
        <v>0</v>
      </c>
      <c r="M2620">
        <v>1.1191292580000001</v>
      </c>
      <c r="N2620">
        <v>0</v>
      </c>
      <c r="O2620" t="s">
        <v>2833</v>
      </c>
      <c r="P2620" t="s">
        <v>2833</v>
      </c>
      <c r="Q2620" t="s">
        <v>164</v>
      </c>
      <c r="R2620">
        <f ca="1">RAND()*(Validation[[#This Row],[Range1_High]]-Validation[[#This Row],[Range1_Low]])+Validation[[#This Row],[Range1_Low]]</f>
        <v>3213.0718053150053</v>
      </c>
      <c r="S2620">
        <f>Validation[[#This Row],[Range2_High]]</f>
        <v>0</v>
      </c>
      <c r="T2620" t="str" cm="1">
        <f t="array" aca="1" ref="T2620" ca="1">RoundToTwoSigFigs(Validation[[#This Row],[Test Reading]]*Validation[[#This Row],[Mult]]+Validation[[#This Row],[Base]]) &amp;" "&amp;Validation[[#This Row],[Uncert_Units]]</f>
        <v>1.1 °F</v>
      </c>
      <c r="U2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V2620" t="b">
        <f ca="1">Validation[[#This Row],[Desired Result]]=Validation[[#This Row],[Result]]</f>
        <v>1</v>
      </c>
      <c r="W2620" t="b">
        <v>0</v>
      </c>
      <c r="X2620" t="b">
        <f>Validation[[#This Row],[Range1_Low]]&gt;=Validation[[#This Row],[Range1_High]]</f>
        <v>0</v>
      </c>
      <c r="Y2620" s="111" t="s">
        <v>2845</v>
      </c>
    </row>
    <row r="2621" spans="1:25" x14ac:dyDescent="0.25">
      <c r="A2621" t="s">
        <v>55</v>
      </c>
      <c r="B2621" t="s">
        <v>85</v>
      </c>
      <c r="C2621">
        <v>1100.001</v>
      </c>
      <c r="D2621">
        <v>2200</v>
      </c>
      <c r="E2621">
        <v>1</v>
      </c>
      <c r="F2621" t="s">
        <v>26</v>
      </c>
      <c r="G2621" t="s">
        <v>26</v>
      </c>
      <c r="H2621">
        <v>0</v>
      </c>
      <c r="I2621">
        <v>0</v>
      </c>
      <c r="J2621" t="s">
        <v>2833</v>
      </c>
      <c r="K2621">
        <v>0.62833487399999999</v>
      </c>
      <c r="L2621">
        <v>0</v>
      </c>
      <c r="M2621">
        <v>0.58489566299999995</v>
      </c>
      <c r="N2621">
        <v>0</v>
      </c>
      <c r="O2621" t="s">
        <v>2833</v>
      </c>
      <c r="P2621" t="s">
        <v>2833</v>
      </c>
      <c r="Q2621" t="s">
        <v>164</v>
      </c>
      <c r="R2621">
        <f ca="1">RAND()*(Validation[[#This Row],[Range1_High]]-Validation[[#This Row],[Range1_Low]])+Validation[[#This Row],[Range1_Low]]</f>
        <v>1866.3832114697279</v>
      </c>
      <c r="S2621">
        <f>Validation[[#This Row],[Range2_High]]</f>
        <v>0</v>
      </c>
      <c r="T2621" t="str" cm="1">
        <f t="array" aca="1" ref="T2621" ca="1">RoundToTwoSigFigs(Validation[[#This Row],[Test Reading]]*Validation[[#This Row],[Mult]]+Validation[[#This Row],[Base]]) &amp;" "&amp;Validation[[#This Row],[Uncert_Units]]</f>
        <v>0.63 °F</v>
      </c>
      <c r="U2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V2621" t="b">
        <f ca="1">Validation[[#This Row],[Desired Result]]=Validation[[#This Row],[Result]]</f>
        <v>1</v>
      </c>
      <c r="W2621" t="b">
        <v>0</v>
      </c>
      <c r="X2621" t="b">
        <f>Validation[[#This Row],[Range1_Low]]&gt;=Validation[[#This Row],[Range1_High]]</f>
        <v>0</v>
      </c>
      <c r="Y2621" s="111" t="s">
        <v>2845</v>
      </c>
    </row>
    <row r="2622" spans="1:25" x14ac:dyDescent="0.25">
      <c r="A2622" t="s">
        <v>55</v>
      </c>
      <c r="B2622" t="s">
        <v>86</v>
      </c>
      <c r="C2622">
        <v>200</v>
      </c>
      <c r="D2622">
        <v>752</v>
      </c>
      <c r="E2622">
        <v>1</v>
      </c>
      <c r="F2622" t="s">
        <v>26</v>
      </c>
      <c r="G2622" t="s">
        <v>26</v>
      </c>
      <c r="H2622">
        <v>0</v>
      </c>
      <c r="I2622">
        <v>0</v>
      </c>
      <c r="J2622" t="s">
        <v>2833</v>
      </c>
      <c r="K2622">
        <v>0.59634521399999996</v>
      </c>
      <c r="L2622">
        <v>0</v>
      </c>
      <c r="M2622">
        <v>0.58043484899999997</v>
      </c>
      <c r="N2622">
        <v>0</v>
      </c>
      <c r="O2622" t="s">
        <v>2833</v>
      </c>
      <c r="P2622" t="s">
        <v>2833</v>
      </c>
      <c r="Q2622" t="s">
        <v>165</v>
      </c>
      <c r="R2622">
        <f ca="1">RAND()*(Validation[[#This Row],[Range1_High]]-Validation[[#This Row],[Range1_Low]])+Validation[[#This Row],[Range1_Low]]</f>
        <v>675.38912231424251</v>
      </c>
      <c r="S2622">
        <f>Validation[[#This Row],[Range2_High]]</f>
        <v>0</v>
      </c>
      <c r="T2622" t="str" cm="1">
        <f t="array" aca="1" ref="T2622" ca="1">RoundToTwoSigFigs(Validation[[#This Row],[Test Reading]]*Validation[[#This Row],[Mult]]+Validation[[#This Row],[Base]]) &amp;" "&amp;Validation[[#This Row],[Uncert_Units]]</f>
        <v>0.6 °F</v>
      </c>
      <c r="U2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V2622" t="b">
        <f ca="1">Validation[[#This Row],[Desired Result]]=Validation[[#This Row],[Result]]</f>
        <v>1</v>
      </c>
      <c r="W2622" t="b">
        <v>0</v>
      </c>
      <c r="X2622" t="b">
        <f>Validation[[#This Row],[Range1_Low]]&gt;=Validation[[#This Row],[Range1_High]]</f>
        <v>0</v>
      </c>
      <c r="Y2622" s="111" t="s">
        <v>2845</v>
      </c>
    </row>
    <row r="2623" spans="1:25" x14ac:dyDescent="0.25">
      <c r="A2623" t="s">
        <v>54</v>
      </c>
      <c r="B2623" t="s">
        <v>86</v>
      </c>
      <c r="C2623">
        <v>752</v>
      </c>
      <c r="D2623">
        <v>752.1</v>
      </c>
      <c r="E2623">
        <v>0.1</v>
      </c>
      <c r="F2623" t="s">
        <v>26</v>
      </c>
      <c r="G2623" t="s">
        <v>26</v>
      </c>
      <c r="H2623">
        <v>0</v>
      </c>
      <c r="I2623">
        <v>0</v>
      </c>
      <c r="J2623" t="s">
        <v>2833</v>
      </c>
      <c r="K2623">
        <v>0.17895368</v>
      </c>
      <c r="L2623">
        <v>0</v>
      </c>
      <c r="M2623">
        <v>0.17487064799999999</v>
      </c>
      <c r="N2623">
        <v>0</v>
      </c>
      <c r="O2623" t="s">
        <v>2833</v>
      </c>
      <c r="P2623" t="s">
        <v>2833</v>
      </c>
      <c r="Q2623" t="s">
        <v>165</v>
      </c>
      <c r="R2623">
        <f ca="1">RAND()*(Validation[[#This Row],[Range1_High]]-Validation[[#This Row],[Range1_Low]])+Validation[[#This Row],[Range1_Low]]</f>
        <v>752.02551113337302</v>
      </c>
      <c r="S2623">
        <f>Validation[[#This Row],[Range2_High]]</f>
        <v>0</v>
      </c>
      <c r="T2623" t="str" cm="1">
        <f t="array" aca="1" ref="T2623" ca="1">RoundToTwoSigFigs(Validation[[#This Row],[Test Reading]]*Validation[[#This Row],[Mult]]+Validation[[#This Row],[Base]]) &amp;" "&amp;Validation[[#This Row],[Uncert_Units]]</f>
        <v>0.18 °F</v>
      </c>
      <c r="U2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V2623" t="b">
        <f ca="1">Validation[[#This Row],[Desired Result]]=Validation[[#This Row],[Result]]</f>
        <v>1</v>
      </c>
      <c r="W2623" t="b">
        <v>0</v>
      </c>
      <c r="X2623" t="b">
        <f>Validation[[#This Row],[Range1_Low]]&gt;=Validation[[#This Row],[Range1_High]]</f>
        <v>0</v>
      </c>
      <c r="Y2623" s="111" t="s">
        <v>2845</v>
      </c>
    </row>
    <row r="2624" spans="1:25" x14ac:dyDescent="0.25">
      <c r="A2624" t="s">
        <v>55</v>
      </c>
      <c r="B2624" t="s">
        <v>87</v>
      </c>
      <c r="C2624">
        <v>800.00099999999998</v>
      </c>
      <c r="D2624">
        <v>1200</v>
      </c>
      <c r="E2624">
        <v>1</v>
      </c>
      <c r="F2624" t="s">
        <v>26</v>
      </c>
      <c r="G2624" t="s">
        <v>26</v>
      </c>
      <c r="H2624">
        <v>0</v>
      </c>
      <c r="I2624">
        <v>0</v>
      </c>
      <c r="J2624" t="s">
        <v>2833</v>
      </c>
      <c r="K2624">
        <v>0.57876960799999999</v>
      </c>
      <c r="L2624">
        <v>0</v>
      </c>
      <c r="M2624">
        <v>0.57791094499999995</v>
      </c>
      <c r="N2624">
        <v>0</v>
      </c>
      <c r="O2624" t="s">
        <v>2833</v>
      </c>
      <c r="P2624" t="s">
        <v>2833</v>
      </c>
      <c r="Q2624" t="s">
        <v>166</v>
      </c>
      <c r="R2624">
        <f ca="1">RAND()*(Validation[[#This Row],[Range1_High]]-Validation[[#This Row],[Range1_Low]])+Validation[[#This Row],[Range1_Low]]</f>
        <v>947.17005499313746</v>
      </c>
      <c r="S2624">
        <f>Validation[[#This Row],[Range2_High]]</f>
        <v>0</v>
      </c>
      <c r="T2624" t="str" cm="1">
        <f t="array" aca="1" ref="T2624" ca="1">RoundToTwoSigFigs(Validation[[#This Row],[Test Reading]]*Validation[[#This Row],[Mult]]+Validation[[#This Row],[Base]]) &amp;" "&amp;Validation[[#This Row],[Uncert_Units]]</f>
        <v>0.58 °F</v>
      </c>
      <c r="U2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2624" t="b">
        <f ca="1">Validation[[#This Row],[Desired Result]]=Validation[[#This Row],[Result]]</f>
        <v>1</v>
      </c>
      <c r="W2624" t="b">
        <v>0</v>
      </c>
      <c r="X2624" t="b">
        <f>Validation[[#This Row],[Range1_Low]]&gt;=Validation[[#This Row],[Range1_High]]</f>
        <v>0</v>
      </c>
      <c r="Y2624" s="111" t="s">
        <v>2845</v>
      </c>
    </row>
    <row r="2625" spans="1:25" x14ac:dyDescent="0.25">
      <c r="A2625" t="s">
        <v>54</v>
      </c>
      <c r="B2625" t="s">
        <v>87</v>
      </c>
      <c r="C2625">
        <v>1472</v>
      </c>
      <c r="D2625">
        <v>1472.1</v>
      </c>
      <c r="E2625">
        <v>1</v>
      </c>
      <c r="F2625" t="s">
        <v>26</v>
      </c>
      <c r="G2625" t="s">
        <v>26</v>
      </c>
      <c r="H2625">
        <v>0</v>
      </c>
      <c r="I2625">
        <v>0</v>
      </c>
      <c r="J2625" t="s">
        <v>2833</v>
      </c>
      <c r="K2625">
        <v>0.73899948299999996</v>
      </c>
      <c r="L2625">
        <v>0</v>
      </c>
      <c r="M2625">
        <v>0.72905963500000004</v>
      </c>
      <c r="N2625">
        <v>0</v>
      </c>
      <c r="O2625" t="s">
        <v>2833</v>
      </c>
      <c r="P2625" t="s">
        <v>2833</v>
      </c>
      <c r="Q2625" t="s">
        <v>166</v>
      </c>
      <c r="R2625">
        <f ca="1">RAND()*(Validation[[#This Row],[Range1_High]]-Validation[[#This Row],[Range1_Low]])+Validation[[#This Row],[Range1_Low]]</f>
        <v>1472.0630539635195</v>
      </c>
      <c r="S2625">
        <f>Validation[[#This Row],[Range2_High]]</f>
        <v>0</v>
      </c>
      <c r="T2625" t="str" cm="1">
        <f t="array" aca="1" ref="T2625" ca="1">RoundToTwoSigFigs(Validation[[#This Row],[Test Reading]]*Validation[[#This Row],[Mult]]+Validation[[#This Row],[Base]]) &amp;" "&amp;Validation[[#This Row],[Uncert_Units]]</f>
        <v>0.74 °F</v>
      </c>
      <c r="U2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V2625" t="b">
        <f ca="1">Validation[[#This Row],[Desired Result]]=Validation[[#This Row],[Result]]</f>
        <v>1</v>
      </c>
      <c r="W2625" t="b">
        <v>0</v>
      </c>
      <c r="X2625" t="b">
        <f>Validation[[#This Row],[Range1_Low]]&gt;=Validation[[#This Row],[Range1_High]]</f>
        <v>0</v>
      </c>
      <c r="Y2625" s="111" t="s">
        <v>2845</v>
      </c>
    </row>
    <row r="2626" spans="1:25" x14ac:dyDescent="0.25">
      <c r="A2626" t="s">
        <v>55</v>
      </c>
      <c r="B2626" t="s">
        <v>88</v>
      </c>
      <c r="C2626">
        <v>800.00099999999998</v>
      </c>
      <c r="D2626">
        <v>1200</v>
      </c>
      <c r="E2626">
        <v>0.01</v>
      </c>
      <c r="F2626" t="s">
        <v>26</v>
      </c>
      <c r="G2626" t="s">
        <v>26</v>
      </c>
      <c r="H2626">
        <v>0</v>
      </c>
      <c r="I2626">
        <v>0</v>
      </c>
      <c r="J2626" t="s">
        <v>2833</v>
      </c>
      <c r="K2626">
        <v>2.7080151E-2</v>
      </c>
      <c r="L2626">
        <v>0</v>
      </c>
      <c r="M2626">
        <v>2.5908679E-2</v>
      </c>
      <c r="N2626">
        <v>0</v>
      </c>
      <c r="O2626" t="s">
        <v>2833</v>
      </c>
      <c r="P2626" t="s">
        <v>2833</v>
      </c>
      <c r="Q2626" t="s">
        <v>167</v>
      </c>
      <c r="R2626">
        <f ca="1">RAND()*(Validation[[#This Row],[Range1_High]]-Validation[[#This Row],[Range1_Low]])+Validation[[#This Row],[Range1_Low]]</f>
        <v>1057.9245511865947</v>
      </c>
      <c r="S2626">
        <f>Validation[[#This Row],[Range2_High]]</f>
        <v>0</v>
      </c>
      <c r="T2626" t="str" cm="1">
        <f t="array" aca="1" ref="T2626" ca="1">RoundToTwoSigFigs(Validation[[#This Row],[Test Reading]]*Validation[[#This Row],[Mult]]+Validation[[#This Row],[Base]]) &amp;" "&amp;Validation[[#This Row],[Uncert_Units]]</f>
        <v>0.027 °F</v>
      </c>
      <c r="U2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V2626" t="b">
        <f ca="1">Validation[[#This Row],[Desired Result]]=Validation[[#This Row],[Result]]</f>
        <v>1</v>
      </c>
      <c r="W2626" t="b">
        <v>0</v>
      </c>
      <c r="X2626" t="b">
        <f>Validation[[#This Row],[Range1_Low]]&gt;=Validation[[#This Row],[Range1_High]]</f>
        <v>0</v>
      </c>
      <c r="Y2626" s="111" t="s">
        <v>2845</v>
      </c>
    </row>
    <row r="2627" spans="1:25" x14ac:dyDescent="0.25">
      <c r="A2627" t="s">
        <v>55</v>
      </c>
      <c r="B2627" t="s">
        <v>88</v>
      </c>
      <c r="C2627">
        <v>-320</v>
      </c>
      <c r="D2627">
        <v>32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2833</v>
      </c>
      <c r="K2627">
        <v>0.57761182700000002</v>
      </c>
      <c r="L2627">
        <v>0</v>
      </c>
      <c r="M2627">
        <v>0.57737769000000005</v>
      </c>
      <c r="N2627">
        <v>0</v>
      </c>
      <c r="O2627" t="s">
        <v>2833</v>
      </c>
      <c r="P2627" t="s">
        <v>2833</v>
      </c>
      <c r="Q2627" t="s">
        <v>167</v>
      </c>
      <c r="R2627">
        <f ca="1">RAND()*(Validation[[#This Row],[Range1_High]]-Validation[[#This Row],[Range1_Low]])+Validation[[#This Row],[Range1_Low]]</f>
        <v>-289.5753929471984</v>
      </c>
      <c r="S2627">
        <f>Validation[[#This Row],[Range2_High]]</f>
        <v>0</v>
      </c>
      <c r="T2627" t="str" cm="1">
        <f t="array" aca="1" ref="T2627" ca="1">RoundToTwoSigFigs(Validation[[#This Row],[Test Reading]]*Validation[[#This Row],[Mult]]+Validation[[#This Row],[Base]]) &amp;" "&amp;Validation[[#This Row],[Uncert_Units]]</f>
        <v>0.58 °F</v>
      </c>
      <c r="U2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V2627" t="b">
        <f ca="1">Validation[[#This Row],[Desired Result]]=Validation[[#This Row],[Result]]</f>
        <v>1</v>
      </c>
      <c r="W2627" t="b">
        <v>0</v>
      </c>
      <c r="X2627" t="b">
        <f>Validation[[#This Row],[Range1_Low]]&gt;=Validation[[#This Row],[Range1_High]]</f>
        <v>0</v>
      </c>
      <c r="Y2627" s="111" t="s">
        <v>2845</v>
      </c>
    </row>
    <row r="2628" spans="1:25" ht="15.75" thickBot="1" x14ac:dyDescent="0.3">
      <c r="A2628" t="s">
        <v>55</v>
      </c>
      <c r="B2628" t="s">
        <v>88</v>
      </c>
      <c r="C2628">
        <v>32.000999999999998</v>
      </c>
      <c r="D2628">
        <v>400</v>
      </c>
      <c r="E2628">
        <v>0.01</v>
      </c>
      <c r="F2628" t="s">
        <v>26</v>
      </c>
      <c r="G2628" t="s">
        <v>26</v>
      </c>
      <c r="H2628">
        <v>0</v>
      </c>
      <c r="I2628">
        <v>0</v>
      </c>
      <c r="J2628" t="s">
        <v>2833</v>
      </c>
      <c r="K2628">
        <v>1.6E-2</v>
      </c>
      <c r="L2628">
        <v>0</v>
      </c>
      <c r="M2628">
        <v>1.4466336999999999E-2</v>
      </c>
      <c r="N2628">
        <v>0</v>
      </c>
      <c r="O2628" t="s">
        <v>2833</v>
      </c>
      <c r="P2628" t="s">
        <v>2833</v>
      </c>
      <c r="Q2628" t="s">
        <v>167</v>
      </c>
      <c r="R2628">
        <f ca="1">RAND()*(Validation[[#This Row],[Range1_High]]-Validation[[#This Row],[Range1_Low]])+Validation[[#This Row],[Range1_Low]]</f>
        <v>349.75422826900689</v>
      </c>
      <c r="S2628">
        <f>Validation[[#This Row],[Range2_High]]</f>
        <v>0</v>
      </c>
      <c r="T2628" t="str" cm="1">
        <f t="array" aca="1" ref="T2628" ca="1">RoundToTwoSigFigs(Validation[[#This Row],[Test Reading]]*Validation[[#This Row],[Mult]]+Validation[[#This Row],[Base]]) &amp;" "&amp;Validation[[#This Row],[Uncert_Units]]</f>
        <v>0.016 °F</v>
      </c>
      <c r="U2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V2628" t="b">
        <f ca="1">Validation[[#This Row],[Desired Result]]=Validation[[#This Row],[Result]]</f>
        <v>1</v>
      </c>
      <c r="W2628" t="b">
        <v>0</v>
      </c>
      <c r="X2628" t="b">
        <f>Validation[[#This Row],[Range1_Low]]&gt;=Validation[[#This Row],[Range1_High]]</f>
        <v>0</v>
      </c>
      <c r="Y2628" s="111" t="s">
        <v>2845</v>
      </c>
    </row>
    <row r="2629" spans="1:25" ht="16.5" thickTop="1" thickBot="1" x14ac:dyDescent="0.3">
      <c r="A2629" t="s">
        <v>54</v>
      </c>
      <c r="B2629" t="s">
        <v>98</v>
      </c>
      <c r="C2629" s="115">
        <v>1.0900000000000001E-4</v>
      </c>
      <c r="D2629" s="115">
        <v>1.0900999999999999E-6</v>
      </c>
      <c r="E2629">
        <v>1E-8</v>
      </c>
      <c r="F2629" t="s">
        <v>152</v>
      </c>
      <c r="G2629" t="s">
        <v>152</v>
      </c>
      <c r="H2629">
        <v>0</v>
      </c>
      <c r="I2629">
        <v>0</v>
      </c>
      <c r="J2629" t="s">
        <v>2833</v>
      </c>
      <c r="K2629">
        <v>0</v>
      </c>
      <c r="L2629">
        <v>3.5E-4</v>
      </c>
      <c r="M2629">
        <v>0</v>
      </c>
      <c r="N2629">
        <v>0</v>
      </c>
      <c r="O2629" t="s">
        <v>2833</v>
      </c>
      <c r="P2629" t="s">
        <v>2833</v>
      </c>
      <c r="Q2629" t="s">
        <v>2833</v>
      </c>
      <c r="R2629" s="100">
        <f ca="1">RAND()*(Validation[[#This Row],[Range1_High]]-Validation[[#This Row],[Range1_Low]])+Validation[[#This Row],[Range1_Low]]</f>
        <v>9.9224459482545786E-6</v>
      </c>
      <c r="S2629">
        <f>Validation[[#This Row],[Range2_High]]</f>
        <v>0</v>
      </c>
      <c r="T2629" t="str" cm="1">
        <f t="array" aca="1" ref="T2629" ca="1">RoundToTwoSigFigs(Validation[[#This Row],[Test Reading]]*Validation[[#This Row],[Mult]]+Validation[[#This Row],[Base]]) &amp;" "&amp;Validation[[#This Row],[Uncert_Units]]</f>
        <v>0.0000000035 W</v>
      </c>
      <c r="U2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0.000000067 W</v>
      </c>
      <c r="V2629" t="b">
        <f ca="1">Validation[[#This Row],[Desired Result]]=Validation[[#This Row],[Result]]</f>
        <v>0</v>
      </c>
      <c r="W2629" t="b">
        <v>1</v>
      </c>
      <c r="X2629" t="b">
        <f>Validation[[#This Row],[Range1_Low]]&gt;=Validation[[#This Row],[Range1_High]]</f>
        <v>1</v>
      </c>
      <c r="Y2629" s="111" t="s">
        <v>2842</v>
      </c>
    </row>
    <row r="2630" spans="1:25" ht="15.75" thickTop="1" x14ac:dyDescent="0.25">
      <c r="A2630" t="s">
        <v>54</v>
      </c>
      <c r="B2630" t="s">
        <v>98</v>
      </c>
      <c r="C2630">
        <v>0</v>
      </c>
      <c r="D2630">
        <v>1.0900000000000001E-4</v>
      </c>
      <c r="E2630">
        <v>1.0000000000000001E-9</v>
      </c>
      <c r="F2630" t="s">
        <v>152</v>
      </c>
      <c r="G2630" t="s">
        <v>152</v>
      </c>
      <c r="H2630">
        <v>0</v>
      </c>
      <c r="I2630">
        <v>0</v>
      </c>
      <c r="J2630" t="s">
        <v>2833</v>
      </c>
      <c r="K2630">
        <v>0</v>
      </c>
      <c r="L2630">
        <v>3.5999999999999999E-3</v>
      </c>
      <c r="M2630">
        <v>0</v>
      </c>
      <c r="N2630">
        <v>0</v>
      </c>
      <c r="O2630" t="s">
        <v>2833</v>
      </c>
      <c r="P2630" t="s">
        <v>2833</v>
      </c>
      <c r="Q2630" t="s">
        <v>2833</v>
      </c>
      <c r="R2630">
        <f ca="1">RAND()*(Validation[[#This Row],[Range1_High]]-Validation[[#This Row],[Range1_Low]])+Validation[[#This Row],[Range1_Low]]</f>
        <v>6.1676240650242244E-5</v>
      </c>
      <c r="S2630">
        <f>Validation[[#This Row],[Range2_High]]</f>
        <v>0</v>
      </c>
      <c r="T2630" t="str" cm="1">
        <f t="array" aca="1" ref="T2630" ca="1">RoundToTwoSigFigs(Validation[[#This Row],[Test Reading]]*Validation[[#This Row],[Mult]]+Validation[[#This Row],[Base]]) &amp;" "&amp;Validation[[#This Row],[Uncert_Units]]</f>
        <v>0.00000022 W</v>
      </c>
      <c r="U2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0.00000022 W</v>
      </c>
      <c r="V2630" t="b">
        <f ca="1">Validation[[#This Row],[Desired Result]]=Validation[[#This Row],[Result]]</f>
        <v>1</v>
      </c>
      <c r="W2630" t="b">
        <v>0</v>
      </c>
      <c r="X2630" t="b">
        <f>Validation[[#This Row],[Range1_Low]]&gt;=Validation[[#This Row],[Range1_High]]</f>
        <v>0</v>
      </c>
      <c r="Y2630" s="111" t="s">
        <v>2845</v>
      </c>
    </row>
    <row r="2631" spans="1:25" ht="15.75" thickBot="1" x14ac:dyDescent="0.3">
      <c r="A2631" t="s">
        <v>54</v>
      </c>
      <c r="B2631" t="s">
        <v>98</v>
      </c>
      <c r="C2631">
        <v>1.09E-3</v>
      </c>
      <c r="D2631">
        <v>1.0900099999999999E-2</v>
      </c>
      <c r="E2631">
        <v>9.9999999999999995E-7</v>
      </c>
      <c r="F2631" t="s">
        <v>152</v>
      </c>
      <c r="G2631" t="s">
        <v>152</v>
      </c>
      <c r="H2631">
        <v>0</v>
      </c>
      <c r="I2631">
        <v>0</v>
      </c>
      <c r="J2631" t="s">
        <v>2833</v>
      </c>
      <c r="K2631">
        <v>0</v>
      </c>
      <c r="L2631">
        <v>5.8093000000000001E-4</v>
      </c>
      <c r="M2631">
        <v>0</v>
      </c>
      <c r="N2631">
        <v>0</v>
      </c>
      <c r="O2631" t="s">
        <v>2833</v>
      </c>
      <c r="P2631" t="s">
        <v>2833</v>
      </c>
      <c r="Q2631" t="s">
        <v>2833</v>
      </c>
      <c r="R2631">
        <f ca="1">RAND()*(Validation[[#This Row],[Range1_High]]-Validation[[#This Row],[Range1_Low]])+Validation[[#This Row],[Range1_Low]]</f>
        <v>1.0989320450445644E-3</v>
      </c>
      <c r="S2631">
        <f>Validation[[#This Row],[Range2_High]]</f>
        <v>0</v>
      </c>
      <c r="T2631" t="str" cm="1">
        <f t="array" aca="1" ref="T2631" ca="1">RoundToTwoSigFigs(Validation[[#This Row],[Test Reading]]*Validation[[#This Row],[Mult]]+Validation[[#This Row],[Base]]) &amp;" "&amp;Validation[[#This Row],[Uncert_Units]]</f>
        <v>0.00000064 W</v>
      </c>
      <c r="U2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0.00000064 W</v>
      </c>
      <c r="V2631" t="b">
        <f ca="1">Validation[[#This Row],[Desired Result]]=Validation[[#This Row],[Result]]</f>
        <v>1</v>
      </c>
      <c r="W2631" t="b">
        <v>0</v>
      </c>
      <c r="X2631" t="b">
        <f>Validation[[#This Row],[Range1_Low]]&gt;=Validation[[#This Row],[Range1_High]]</f>
        <v>0</v>
      </c>
      <c r="Y2631" s="111" t="s">
        <v>2845</v>
      </c>
    </row>
    <row r="2632" spans="1:25" ht="16.5" thickTop="1" thickBot="1" x14ac:dyDescent="0.3">
      <c r="A2632" t="s">
        <v>54</v>
      </c>
      <c r="B2632" t="s">
        <v>98</v>
      </c>
      <c r="C2632" s="113">
        <v>1.0900000000000001</v>
      </c>
      <c r="D2632" s="113">
        <v>10.9001</v>
      </c>
      <c r="E2632">
        <v>1E-4</v>
      </c>
      <c r="F2632" t="s">
        <v>152</v>
      </c>
      <c r="G2632" t="s">
        <v>152</v>
      </c>
      <c r="H2632">
        <v>0</v>
      </c>
      <c r="I2632">
        <v>0</v>
      </c>
      <c r="J2632" t="s">
        <v>2833</v>
      </c>
      <c r="K2632">
        <v>0</v>
      </c>
      <c r="L2632">
        <v>2.3000000000000001E-4</v>
      </c>
      <c r="M2632">
        <v>0</v>
      </c>
      <c r="N2632">
        <v>0</v>
      </c>
      <c r="O2632" t="s">
        <v>2833</v>
      </c>
      <c r="P2632" t="s">
        <v>2833</v>
      </c>
      <c r="Q2632" t="s">
        <v>2833</v>
      </c>
      <c r="R2632">
        <f ca="1">RAND()*(Validation[[#This Row],[Range1_High]]-Validation[[#This Row],[Range1_Low]])+Validation[[#This Row],[Range1_Low]]</f>
        <v>10.349123899558696</v>
      </c>
      <c r="S2632">
        <f>Validation[[#This Row],[Range2_High]]</f>
        <v>0</v>
      </c>
      <c r="T2632" t="str" cm="1">
        <f t="array" aca="1" ref="T2632" ca="1">RoundToTwoSigFigs(Validation[[#This Row],[Test Reading]]*Validation[[#This Row],[Mult]]+Validation[[#This Row],[Base]]) &amp;" "&amp;Validation[[#This Row],[Uncert_Units]]</f>
        <v>0.0024 W</v>
      </c>
      <c r="U2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0.0024 W</v>
      </c>
      <c r="V2632" t="b">
        <f ca="1">Validation[[#This Row],[Desired Result]]=Validation[[#This Row],[Result]]</f>
        <v>1</v>
      </c>
      <c r="W2632" t="b">
        <v>1</v>
      </c>
      <c r="X2632" t="b">
        <f>Validation[[#This Row],[Range1_Low]]&gt;=Validation[[#This Row],[Range1_High]]</f>
        <v>0</v>
      </c>
      <c r="Y2632" s="111" t="s">
        <v>2843</v>
      </c>
    </row>
    <row r="2633" spans="1:25" ht="16.5" thickTop="1" thickBot="1" x14ac:dyDescent="0.3">
      <c r="A2633" t="s">
        <v>54</v>
      </c>
      <c r="B2633" t="s">
        <v>98</v>
      </c>
      <c r="C2633">
        <v>1.09E-3</v>
      </c>
      <c r="D2633">
        <v>1.0900099999999999E-2</v>
      </c>
      <c r="E2633">
        <v>1E-3</v>
      </c>
      <c r="F2633" t="s">
        <v>152</v>
      </c>
      <c r="G2633" t="s">
        <v>152</v>
      </c>
      <c r="H2633">
        <v>0</v>
      </c>
      <c r="I2633">
        <v>0</v>
      </c>
      <c r="J2633" t="s">
        <v>2833</v>
      </c>
      <c r="K2633">
        <v>0</v>
      </c>
      <c r="L2633">
        <v>0.53210999999999997</v>
      </c>
      <c r="M2633">
        <v>0</v>
      </c>
      <c r="N2633">
        <v>0</v>
      </c>
      <c r="O2633" t="s">
        <v>2833</v>
      </c>
      <c r="P2633" t="s">
        <v>2833</v>
      </c>
      <c r="Q2633" t="s">
        <v>2833</v>
      </c>
      <c r="R2633">
        <f ca="1">RAND()*(Validation[[#This Row],[Range1_High]]-Validation[[#This Row],[Range1_Low]])+Validation[[#This Row],[Range1_Low]]</f>
        <v>1.1437527370525989E-3</v>
      </c>
      <c r="S2633">
        <f>Validation[[#This Row],[Range2_High]]</f>
        <v>0</v>
      </c>
      <c r="T2633" t="str" cm="1">
        <f t="array" aca="1" ref="T2633" ca="1">RoundToTwoSigFigs(Validation[[#This Row],[Test Reading]]*Validation[[#This Row],[Mult]]+Validation[[#This Row],[Base]]) &amp;" "&amp;Validation[[#This Row],[Uncert_Units]]</f>
        <v>0.00061 W</v>
      </c>
      <c r="U2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0.00061 W</v>
      </c>
      <c r="V2633" t="b">
        <f ca="1">Validation[[#This Row],[Desired Result]]=Validation[[#This Row],[Result]]</f>
        <v>1</v>
      </c>
      <c r="W2633" t="b">
        <v>0</v>
      </c>
      <c r="X2633" t="b">
        <f>Validation[[#This Row],[Range1_Low]]&gt;=Validation[[#This Row],[Range1_High]]</f>
        <v>0</v>
      </c>
      <c r="Y2633" s="111" t="s">
        <v>2845</v>
      </c>
    </row>
    <row r="2634" spans="1:25" ht="16.5" thickTop="1" thickBot="1" x14ac:dyDescent="0.3">
      <c r="A2634" t="s">
        <v>54</v>
      </c>
      <c r="B2634" t="s">
        <v>98</v>
      </c>
      <c r="C2634" s="113">
        <v>109</v>
      </c>
      <c r="D2634" s="113">
        <v>330.00009999999997</v>
      </c>
      <c r="E2634">
        <v>1E-3</v>
      </c>
      <c r="F2634" t="s">
        <v>152</v>
      </c>
      <c r="G2634" t="s">
        <v>152</v>
      </c>
      <c r="H2634">
        <v>0</v>
      </c>
      <c r="I2634">
        <v>0</v>
      </c>
      <c r="J2634" t="s">
        <v>2833</v>
      </c>
      <c r="K2634">
        <v>0</v>
      </c>
      <c r="L2634">
        <v>1.4999999999999999E-4</v>
      </c>
      <c r="M2634">
        <v>0</v>
      </c>
      <c r="N2634">
        <v>0</v>
      </c>
      <c r="O2634" t="s">
        <v>2833</v>
      </c>
      <c r="P2634" t="s">
        <v>2833</v>
      </c>
      <c r="Q2634" t="s">
        <v>2833</v>
      </c>
      <c r="R2634">
        <f ca="1">RAND()*(Validation[[#This Row],[Range1_High]]-Validation[[#This Row],[Range1_Low]])+Validation[[#This Row],[Range1_Low]]</f>
        <v>203.11016627085564</v>
      </c>
      <c r="S2634">
        <f>Validation[[#This Row],[Range2_High]]</f>
        <v>0</v>
      </c>
      <c r="T2634" t="str" cm="1">
        <f t="array" aca="1" ref="T2634" ca="1">RoundToTwoSigFigs(Validation[[#This Row],[Test Reading]]*Validation[[#This Row],[Mult]]+Validation[[#This Row],[Base]]) &amp;" "&amp;Validation[[#This Row],[Uncert_Units]]</f>
        <v>0.03 W</v>
      </c>
      <c r="U2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 W</v>
      </c>
      <c r="V2634" t="b">
        <f ca="1">Validation[[#This Row],[Desired Result]]=Validation[[#This Row],[Result]]</f>
        <v>1</v>
      </c>
      <c r="W2634" t="b">
        <v>1</v>
      </c>
      <c r="X2634" t="b">
        <f>Validation[[#This Row],[Range1_Low]]&gt;=Validation[[#This Row],[Range1_High]]</f>
        <v>0</v>
      </c>
      <c r="Y2634" s="111" t="s">
        <v>2843</v>
      </c>
    </row>
    <row r="2635" spans="1:25" ht="16.5" thickTop="1" thickBot="1" x14ac:dyDescent="0.3">
      <c r="A2635" t="s">
        <v>54</v>
      </c>
      <c r="B2635" t="s">
        <v>99</v>
      </c>
      <c r="C2635" s="113">
        <v>990</v>
      </c>
      <c r="D2635" s="113">
        <v>3630.1</v>
      </c>
      <c r="E2635">
        <v>10</v>
      </c>
      <c r="F2635" t="s">
        <v>100</v>
      </c>
      <c r="G2635" t="s">
        <v>100</v>
      </c>
      <c r="H2635">
        <v>0</v>
      </c>
      <c r="I2635">
        <v>0</v>
      </c>
      <c r="J2635" t="s">
        <v>2833</v>
      </c>
      <c r="K2635">
        <v>0</v>
      </c>
      <c r="L2635">
        <v>6.1979000000000001E-3</v>
      </c>
      <c r="M2635">
        <v>0</v>
      </c>
      <c r="N2635">
        <v>0</v>
      </c>
      <c r="O2635" t="s">
        <v>2833</v>
      </c>
      <c r="P2635" t="s">
        <v>2833</v>
      </c>
      <c r="Q2635" t="s">
        <v>2833</v>
      </c>
      <c r="R2635">
        <f ca="1">RAND()*(Validation[[#This Row],[Range1_High]]-Validation[[#This Row],[Range1_Low]])+Validation[[#This Row],[Range1_Low]]</f>
        <v>2144.3343700251389</v>
      </c>
      <c r="S2635">
        <f>Validation[[#This Row],[Range2_High]]</f>
        <v>0</v>
      </c>
      <c r="T2635" t="str" cm="1">
        <f t="array" aca="1" ref="T2635" ca="1">RoundToTwoSigFigs(Validation[[#This Row],[Test Reading]]*Validation[[#This Row],[Mult]]+Validation[[#This Row],[Base]]) &amp;" "&amp;Validation[[#This Row],[Uncert_Units]]</f>
        <v>13 WAC</v>
      </c>
      <c r="U2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WAC</v>
      </c>
      <c r="V2635" t="b">
        <f ca="1">Validation[[#This Row],[Desired Result]]=Validation[[#This Row],[Result]]</f>
        <v>1</v>
      </c>
      <c r="W2635" t="b">
        <v>1</v>
      </c>
      <c r="X2635" t="b">
        <f>Validation[[#This Row],[Range1_Low]]&gt;=Validation[[#This Row],[Range1_High]]</f>
        <v>0</v>
      </c>
      <c r="Y2635" s="111" t="s">
        <v>2843</v>
      </c>
    </row>
    <row r="2636" spans="1:25" ht="16.5" thickTop="1" thickBot="1" x14ac:dyDescent="0.3">
      <c r="A2636" t="s">
        <v>54</v>
      </c>
      <c r="B2636" t="s">
        <v>99</v>
      </c>
      <c r="C2636" s="113">
        <v>1.0900000000000001E-5</v>
      </c>
      <c r="D2636" s="113">
        <v>1.0900000000000001E-4</v>
      </c>
      <c r="E2636">
        <v>9.9999999999999995E-7</v>
      </c>
      <c r="F2636" t="s">
        <v>100</v>
      </c>
      <c r="G2636" t="s">
        <v>100</v>
      </c>
      <c r="H2636">
        <v>0</v>
      </c>
      <c r="I2636">
        <v>0</v>
      </c>
      <c r="J2636" t="s">
        <v>2833</v>
      </c>
      <c r="K2636">
        <v>0</v>
      </c>
      <c r="L2636">
        <v>5.3319999999999999E-2</v>
      </c>
      <c r="M2636">
        <v>0</v>
      </c>
      <c r="N2636">
        <v>0</v>
      </c>
      <c r="O2636" t="s">
        <v>2833</v>
      </c>
      <c r="P2636" t="s">
        <v>2833</v>
      </c>
      <c r="Q2636" t="s">
        <v>2833</v>
      </c>
      <c r="R2636">
        <f ca="1">RAND()*(Validation[[#This Row],[Range1_High]]-Validation[[#This Row],[Range1_Low]])+Validation[[#This Row],[Range1_Low]]</f>
        <v>2.1037390242523499E-5</v>
      </c>
      <c r="S2636">
        <f>Validation[[#This Row],[Range2_High]]</f>
        <v>0</v>
      </c>
      <c r="T2636" t="str" cm="1">
        <f t="array" aca="1" ref="T2636" ca="1">RoundToTwoSigFigs(Validation[[#This Row],[Test Reading]]*Validation[[#This Row],[Mult]]+Validation[[#This Row],[Base]]) &amp;" "&amp;Validation[[#This Row],[Uncert_Units]]</f>
        <v>0.0000011 WAC</v>
      </c>
      <c r="U2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0.0000011 WAC</v>
      </c>
      <c r="V2636" t="b">
        <f ca="1">Validation[[#This Row],[Desired Result]]=Validation[[#This Row],[Result]]</f>
        <v>1</v>
      </c>
      <c r="W2636" t="b">
        <v>1</v>
      </c>
      <c r="X2636" t="b">
        <f>Validation[[#This Row],[Range1_Low]]&gt;=Validation[[#This Row],[Range1_High]]</f>
        <v>0</v>
      </c>
      <c r="Y2636" s="111" t="s">
        <v>2843</v>
      </c>
    </row>
    <row r="2637" spans="1:25" ht="16.5" thickTop="1" thickBot="1" x14ac:dyDescent="0.3">
      <c r="A2637" t="s">
        <v>54</v>
      </c>
      <c r="B2637" t="s">
        <v>99</v>
      </c>
      <c r="C2637" s="113">
        <v>1.09E-2</v>
      </c>
      <c r="D2637" s="113">
        <v>0.1090001</v>
      </c>
      <c r="E2637">
        <v>1.0000000000000001E-5</v>
      </c>
      <c r="F2637" t="s">
        <v>100</v>
      </c>
      <c r="G2637" t="s">
        <v>100</v>
      </c>
      <c r="H2637">
        <v>0</v>
      </c>
      <c r="I2637">
        <v>0</v>
      </c>
      <c r="J2637" t="s">
        <v>2833</v>
      </c>
      <c r="K2637">
        <v>0</v>
      </c>
      <c r="L2637">
        <v>9.4315999999999996E-4</v>
      </c>
      <c r="M2637">
        <v>0</v>
      </c>
      <c r="N2637">
        <v>0</v>
      </c>
      <c r="O2637" t="s">
        <v>2833</v>
      </c>
      <c r="P2637" t="s">
        <v>2833</v>
      </c>
      <c r="Q2637" t="s">
        <v>2833</v>
      </c>
      <c r="R2637">
        <f ca="1">RAND()*(Validation[[#This Row],[Range1_High]]-Validation[[#This Row],[Range1_Low]])+Validation[[#This Row],[Range1_Low]]</f>
        <v>9.3294100075468317E-2</v>
      </c>
      <c r="S2637">
        <f>Validation[[#This Row],[Range2_High]]</f>
        <v>0</v>
      </c>
      <c r="T2637" t="str" cm="1">
        <f t="array" aca="1" ref="T2637" ca="1">RoundToTwoSigFigs(Validation[[#This Row],[Test Reading]]*Validation[[#This Row],[Mult]]+Validation[[#This Row],[Base]]) &amp;" "&amp;Validation[[#This Row],[Uncert_Units]]</f>
        <v>0.000088 WAC</v>
      </c>
      <c r="U2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0.000088 WAC</v>
      </c>
      <c r="V2637" t="b">
        <f ca="1">Validation[[#This Row],[Desired Result]]=Validation[[#This Row],[Result]]</f>
        <v>1</v>
      </c>
      <c r="W2637" t="b">
        <v>1</v>
      </c>
      <c r="X2637" t="b">
        <f>Validation[[#This Row],[Range1_Low]]&gt;=Validation[[#This Row],[Range1_High]]</f>
        <v>0</v>
      </c>
      <c r="Y2637" s="111" t="s">
        <v>2843</v>
      </c>
    </row>
    <row r="2638" spans="1:25" ht="16.5" thickTop="1" thickBot="1" x14ac:dyDescent="0.3">
      <c r="A2638" t="s">
        <v>54</v>
      </c>
      <c r="B2638" t="s">
        <v>99</v>
      </c>
      <c r="C2638">
        <v>0</v>
      </c>
      <c r="D2638">
        <v>1.0900099999999999E-5</v>
      </c>
      <c r="E2638">
        <v>1E-10</v>
      </c>
      <c r="F2638" t="s">
        <v>100</v>
      </c>
      <c r="G2638" t="s">
        <v>100</v>
      </c>
      <c r="H2638">
        <v>0</v>
      </c>
      <c r="I2638">
        <v>0</v>
      </c>
      <c r="J2638" t="s">
        <v>2833</v>
      </c>
      <c r="K2638">
        <v>0</v>
      </c>
      <c r="L2638">
        <v>2.5000000000000001E-2</v>
      </c>
      <c r="M2638">
        <v>0</v>
      </c>
      <c r="N2638">
        <v>0</v>
      </c>
      <c r="O2638" t="s">
        <v>2833</v>
      </c>
      <c r="P2638" t="s">
        <v>2833</v>
      </c>
      <c r="Q2638" t="s">
        <v>2833</v>
      </c>
      <c r="R2638">
        <f ca="1">RAND()*(Validation[[#This Row],[Range1_High]]-Validation[[#This Row],[Range1_Low]])+Validation[[#This Row],[Range1_Low]]</f>
        <v>5.6076475285196945E-6</v>
      </c>
      <c r="S2638">
        <f>Validation[[#This Row],[Range2_High]]</f>
        <v>0</v>
      </c>
      <c r="T2638" t="str" cm="1">
        <f t="array" aca="1" ref="T2638" ca="1">RoundToTwoSigFigs(Validation[[#This Row],[Test Reading]]*Validation[[#This Row],[Mult]]+Validation[[#This Row],[Base]]) &amp;" "&amp;Validation[[#This Row],[Uncert_Units]]</f>
        <v>0.00000014 WAC</v>
      </c>
      <c r="U2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0.00000014 WAC</v>
      </c>
      <c r="V2638" t="b">
        <f ca="1">Validation[[#This Row],[Desired Result]]=Validation[[#This Row],[Result]]</f>
        <v>1</v>
      </c>
      <c r="W2638" t="b">
        <v>0</v>
      </c>
      <c r="X2638" t="b">
        <f>Validation[[#This Row],[Range1_Low]]&gt;=Validation[[#This Row],[Range1_High]]</f>
        <v>0</v>
      </c>
      <c r="Y2638" s="111" t="s">
        <v>2845</v>
      </c>
    </row>
    <row r="2639" spans="1:25" ht="16.5" thickTop="1" thickBot="1" x14ac:dyDescent="0.3">
      <c r="A2639" t="s">
        <v>54</v>
      </c>
      <c r="B2639" t="s">
        <v>99</v>
      </c>
      <c r="C2639" s="113">
        <v>10.9</v>
      </c>
      <c r="D2639" s="113">
        <v>109.0001</v>
      </c>
      <c r="E2639">
        <v>0.1</v>
      </c>
      <c r="F2639" t="s">
        <v>100</v>
      </c>
      <c r="G2639" t="s">
        <v>100</v>
      </c>
      <c r="H2639">
        <v>0</v>
      </c>
      <c r="I2639">
        <v>0</v>
      </c>
      <c r="J2639" t="s">
        <v>2833</v>
      </c>
      <c r="K2639">
        <v>0</v>
      </c>
      <c r="L2639">
        <v>5.3997000000000003E-3</v>
      </c>
      <c r="M2639">
        <v>0</v>
      </c>
      <c r="N2639">
        <v>0</v>
      </c>
      <c r="O2639" t="s">
        <v>2833</v>
      </c>
      <c r="P2639" t="s">
        <v>2833</v>
      </c>
      <c r="Q2639" t="s">
        <v>2833</v>
      </c>
      <c r="R2639">
        <f ca="1">RAND()*(Validation[[#This Row],[Range1_High]]-Validation[[#This Row],[Range1_Low]])+Validation[[#This Row],[Range1_Low]]</f>
        <v>31.595327675592173</v>
      </c>
      <c r="S2639">
        <f>Validation[[#This Row],[Range2_High]]</f>
        <v>0</v>
      </c>
      <c r="T2639" t="str" cm="1">
        <f t="array" aca="1" ref="T2639" ca="1">RoundToTwoSigFigs(Validation[[#This Row],[Test Reading]]*Validation[[#This Row],[Mult]]+Validation[[#This Row],[Base]]) &amp;" "&amp;Validation[[#This Row],[Uncert_Units]]</f>
        <v>0.17 WAC</v>
      </c>
      <c r="U2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WAC</v>
      </c>
      <c r="V2639" t="b">
        <f ca="1">Validation[[#This Row],[Desired Result]]=Validation[[#This Row],[Result]]</f>
        <v>1</v>
      </c>
      <c r="W2639" t="b">
        <v>1</v>
      </c>
      <c r="X2639" t="b">
        <f>Validation[[#This Row],[Range1_Low]]&gt;=Validation[[#This Row],[Range1_High]]</f>
        <v>0</v>
      </c>
      <c r="Y2639" s="111" t="s">
        <v>2843</v>
      </c>
    </row>
    <row r="2640" spans="1:25" ht="16.5" thickTop="1" thickBot="1" x14ac:dyDescent="0.3">
      <c r="A2640" t="s">
        <v>54</v>
      </c>
      <c r="B2640" t="s">
        <v>99</v>
      </c>
      <c r="C2640" s="113">
        <v>1.0900000000000001E-5</v>
      </c>
      <c r="D2640" s="113">
        <v>1.0900000000000001E-4</v>
      </c>
      <c r="E2640">
        <v>9.9999999999999995E-8</v>
      </c>
      <c r="F2640" t="s">
        <v>100</v>
      </c>
      <c r="G2640" t="s">
        <v>100</v>
      </c>
      <c r="H2640">
        <v>0</v>
      </c>
      <c r="I2640">
        <v>0</v>
      </c>
      <c r="J2640" t="s">
        <v>2833</v>
      </c>
      <c r="K2640">
        <v>0</v>
      </c>
      <c r="L2640">
        <v>5.8884000000000002E-3</v>
      </c>
      <c r="M2640">
        <v>0</v>
      </c>
      <c r="N2640">
        <v>0</v>
      </c>
      <c r="O2640" t="s">
        <v>2833</v>
      </c>
      <c r="P2640" t="s">
        <v>2833</v>
      </c>
      <c r="Q2640" t="s">
        <v>2833</v>
      </c>
      <c r="R2640">
        <f ca="1">RAND()*(Validation[[#This Row],[Range1_High]]-Validation[[#This Row],[Range1_Low]])+Validation[[#This Row],[Range1_Low]]</f>
        <v>9.421934938734619E-5</v>
      </c>
      <c r="S2640">
        <f>Validation[[#This Row],[Range2_High]]</f>
        <v>0</v>
      </c>
      <c r="T2640" t="str" cm="1">
        <f t="array" aca="1" ref="T2640" ca="1">RoundToTwoSigFigs(Validation[[#This Row],[Test Reading]]*Validation[[#This Row],[Mult]]+Validation[[#This Row],[Base]]) &amp;" "&amp;Validation[[#This Row],[Uncert_Units]]</f>
        <v>0.00000055 WAC</v>
      </c>
      <c r="U2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0.00000055 WAC</v>
      </c>
      <c r="V2640" t="b">
        <f ca="1">Validation[[#This Row],[Desired Result]]=Validation[[#This Row],[Result]]</f>
        <v>1</v>
      </c>
      <c r="W2640" t="b">
        <v>1</v>
      </c>
      <c r="X2640" t="b">
        <f>Validation[[#This Row],[Range1_Low]]&gt;=Validation[[#This Row],[Range1_High]]</f>
        <v>0</v>
      </c>
      <c r="Y2640" s="111" t="s">
        <v>2843</v>
      </c>
    </row>
    <row r="2641" spans="1:25" ht="16.5" thickTop="1" thickBot="1" x14ac:dyDescent="0.3">
      <c r="A2641" t="s">
        <v>54</v>
      </c>
      <c r="B2641" t="s">
        <v>99</v>
      </c>
      <c r="C2641" s="113">
        <v>1.0900000000000001E-5</v>
      </c>
      <c r="D2641" s="113">
        <v>1.0900000000000001E-4</v>
      </c>
      <c r="E2641">
        <v>1.0000000000000001E-9</v>
      </c>
      <c r="F2641" t="s">
        <v>100</v>
      </c>
      <c r="G2641" t="s">
        <v>100</v>
      </c>
      <c r="H2641">
        <v>0</v>
      </c>
      <c r="I2641">
        <v>0</v>
      </c>
      <c r="J2641" t="s">
        <v>2833</v>
      </c>
      <c r="K2641">
        <v>0</v>
      </c>
      <c r="L2641">
        <v>2.5999999999999999E-3</v>
      </c>
      <c r="M2641">
        <v>0</v>
      </c>
      <c r="N2641">
        <v>0</v>
      </c>
      <c r="O2641" t="s">
        <v>2833</v>
      </c>
      <c r="P2641" t="s">
        <v>2833</v>
      </c>
      <c r="Q2641" t="s">
        <v>2833</v>
      </c>
      <c r="R2641">
        <f ca="1">RAND()*(Validation[[#This Row],[Range1_High]]-Validation[[#This Row],[Range1_Low]])+Validation[[#This Row],[Range1_Low]]</f>
        <v>2.061123118824665E-5</v>
      </c>
      <c r="S2641">
        <f>Validation[[#This Row],[Range2_High]]</f>
        <v>0</v>
      </c>
      <c r="T2641" t="str" cm="1">
        <f t="array" aca="1" ref="T2641" ca="1">RoundToTwoSigFigs(Validation[[#This Row],[Test Reading]]*Validation[[#This Row],[Mult]]+Validation[[#This Row],[Base]]) &amp;" "&amp;Validation[[#This Row],[Uncert_Units]]</f>
        <v>0.000000054 WAC</v>
      </c>
      <c r="U2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0.000000054 WAC</v>
      </c>
      <c r="V2641" t="b">
        <f ca="1">Validation[[#This Row],[Desired Result]]=Validation[[#This Row],[Result]]</f>
        <v>1</v>
      </c>
      <c r="W2641" t="b">
        <v>1</v>
      </c>
      <c r="X2641" t="b">
        <f>Validation[[#This Row],[Range1_Low]]&gt;=Validation[[#This Row],[Range1_High]]</f>
        <v>0</v>
      </c>
      <c r="Y2641" s="111" t="s">
        <v>2843</v>
      </c>
    </row>
    <row r="2642" spans="1:25" ht="16.5" thickTop="1" thickBot="1" x14ac:dyDescent="0.3">
      <c r="A2642" t="s">
        <v>54</v>
      </c>
      <c r="B2642" t="s">
        <v>99</v>
      </c>
      <c r="C2642" s="113">
        <v>363</v>
      </c>
      <c r="D2642" s="113">
        <v>990.00009999999997</v>
      </c>
      <c r="E2642">
        <v>0.01</v>
      </c>
      <c r="F2642" t="s">
        <v>100</v>
      </c>
      <c r="G2642" t="s">
        <v>100</v>
      </c>
      <c r="H2642">
        <v>0</v>
      </c>
      <c r="I2642">
        <v>0</v>
      </c>
      <c r="J2642" t="s">
        <v>2833</v>
      </c>
      <c r="K2642">
        <v>0</v>
      </c>
      <c r="L2642">
        <v>1E-3</v>
      </c>
      <c r="M2642">
        <v>0</v>
      </c>
      <c r="N2642">
        <v>0</v>
      </c>
      <c r="O2642" t="s">
        <v>2833</v>
      </c>
      <c r="P2642" t="s">
        <v>2833</v>
      </c>
      <c r="Q2642" t="s">
        <v>2833</v>
      </c>
      <c r="R2642">
        <f ca="1">RAND()*(Validation[[#This Row],[Range1_High]]-Validation[[#This Row],[Range1_Low]])+Validation[[#This Row],[Range1_Low]]</f>
        <v>874.60723850943941</v>
      </c>
      <c r="S2642">
        <f>Validation[[#This Row],[Range2_High]]</f>
        <v>0</v>
      </c>
      <c r="T2642" t="str" cm="1">
        <f t="array" aca="1" ref="T2642" ca="1">RoundToTwoSigFigs(Validation[[#This Row],[Test Reading]]*Validation[[#This Row],[Mult]]+Validation[[#This Row],[Base]]) &amp;" "&amp;Validation[[#This Row],[Uncert_Units]]</f>
        <v>0.87 WAC</v>
      </c>
      <c r="U2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WAC</v>
      </c>
      <c r="V2642" t="b">
        <f ca="1">Validation[[#This Row],[Desired Result]]=Validation[[#This Row],[Result]]</f>
        <v>1</v>
      </c>
      <c r="W2642" t="b">
        <v>1</v>
      </c>
      <c r="X2642" t="b">
        <f>Validation[[#This Row],[Range1_Low]]&gt;=Validation[[#This Row],[Range1_High]]</f>
        <v>0</v>
      </c>
      <c r="Y2642" s="111" t="s">
        <v>2843</v>
      </c>
    </row>
    <row r="2643" spans="1:25" ht="16.5" thickTop="1" thickBot="1" x14ac:dyDescent="0.3">
      <c r="A2643" t="s">
        <v>56</v>
      </c>
      <c r="B2643" t="s">
        <v>69</v>
      </c>
      <c r="C2643">
        <v>1E-3</v>
      </c>
      <c r="D2643">
        <v>0.01</v>
      </c>
      <c r="E2643">
        <v>1.0000000000000001E-5</v>
      </c>
      <c r="F2643" t="s">
        <v>6</v>
      </c>
      <c r="G2643" t="s">
        <v>5</v>
      </c>
      <c r="H2643">
        <v>0</v>
      </c>
      <c r="I2643">
        <v>0</v>
      </c>
      <c r="J2643" t="s">
        <v>2833</v>
      </c>
      <c r="K2643">
        <v>5.7983000000000002</v>
      </c>
      <c r="L2643">
        <v>2.7570000000000001</v>
      </c>
      <c r="M2643">
        <v>5.7983000000000002</v>
      </c>
      <c r="N2643">
        <v>2.7323</v>
      </c>
      <c r="O2643" t="s">
        <v>168</v>
      </c>
      <c r="P2643" t="s">
        <v>2833</v>
      </c>
      <c r="Q2643" t="s">
        <v>2833</v>
      </c>
      <c r="R2643">
        <f ca="1">RAND()*(Validation[[#This Row],[Range1_High]]-Validation[[#This Row],[Range1_Low]])+Validation[[#This Row],[Range1_Low]]</f>
        <v>4.8296429016282724E-3</v>
      </c>
      <c r="S2643">
        <f>Validation[[#This Row],[Range2_High]]</f>
        <v>0</v>
      </c>
      <c r="T2643" t="str" cm="1">
        <f t="array" aca="1" ref="T2643" ca="1">RoundToTwoSigFigs(Validation[[#This Row],[Test Reading]]*Validation[[#This Row],[Mult]]+Validation[[#This Row],[Base]]) &amp;" "&amp;Validation[[#This Row],[Uncert_Units]]</f>
        <v>5.8 µV</v>
      </c>
      <c r="U2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V2643" t="b">
        <f ca="1">Validation[[#This Row],[Desired Result]]=Validation[[#This Row],[Result]]</f>
        <v>1</v>
      </c>
      <c r="W2643" t="b">
        <v>0</v>
      </c>
      <c r="X2643" t="b">
        <f>Validation[[#This Row],[Range1_Low]]&gt;=Validation[[#This Row],[Range1_High]]</f>
        <v>0</v>
      </c>
      <c r="Y2643" s="111" t="s">
        <v>2845</v>
      </c>
    </row>
    <row r="2644" spans="1:25" ht="16.5" thickTop="1" thickBot="1" x14ac:dyDescent="0.3">
      <c r="A2644" t="s">
        <v>68</v>
      </c>
      <c r="B2644" t="s">
        <v>72</v>
      </c>
      <c r="C2644" s="113">
        <v>500</v>
      </c>
      <c r="D2644" s="113">
        <v>1000</v>
      </c>
      <c r="E2644">
        <v>100</v>
      </c>
      <c r="F2644" t="s">
        <v>6</v>
      </c>
      <c r="G2644" t="s">
        <v>6</v>
      </c>
      <c r="H2644">
        <v>0</v>
      </c>
      <c r="I2644">
        <v>0</v>
      </c>
      <c r="J2644" t="s">
        <v>2833</v>
      </c>
      <c r="K2644">
        <v>57.066000000000003</v>
      </c>
      <c r="L2644">
        <v>2.4926000000000002E-3</v>
      </c>
      <c r="M2644">
        <v>57.040999999999997</v>
      </c>
      <c r="N2644">
        <v>2.4497E-3</v>
      </c>
      <c r="O2644" t="s">
        <v>153</v>
      </c>
      <c r="P2644" t="s">
        <v>2833</v>
      </c>
      <c r="Q2644" t="s">
        <v>2833</v>
      </c>
      <c r="R2644">
        <f ca="1">RAND()*(Validation[[#This Row],[Range1_High]]-Validation[[#This Row],[Range1_Low]])+Validation[[#This Row],[Range1_Low]]</f>
        <v>764.15306457196675</v>
      </c>
      <c r="S2644">
        <f>Validation[[#This Row],[Range2_High]]</f>
        <v>0</v>
      </c>
      <c r="T2644" t="str" cm="1">
        <f t="array" aca="1" ref="T2644" ca="1">RoundToTwoSigFigs(Validation[[#This Row],[Test Reading]]*Validation[[#This Row],[Mult]]+Validation[[#This Row],[Base]]) &amp;" "&amp;Validation[[#This Row],[Uncert_Units]]</f>
        <v>59 V</v>
      </c>
      <c r="U2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V2644" t="b">
        <f ca="1">Validation[[#This Row],[Desired Result]]=Validation[[#This Row],[Result]]</f>
        <v>1</v>
      </c>
      <c r="W2644" t="b">
        <v>1</v>
      </c>
      <c r="X2644" t="b">
        <f>Validation[[#This Row],[Range1_Low]]&gt;=Validation[[#This Row],[Range1_High]]</f>
        <v>0</v>
      </c>
      <c r="Y2644" s="111" t="s">
        <v>2843</v>
      </c>
    </row>
    <row r="2645" spans="1:25" ht="16.5" thickTop="1" thickBot="1" x14ac:dyDescent="0.3">
      <c r="A2645" t="s">
        <v>68</v>
      </c>
      <c r="B2645" t="s">
        <v>73</v>
      </c>
      <c r="C2645">
        <v>500000000</v>
      </c>
      <c r="D2645">
        <v>1000000000</v>
      </c>
      <c r="E2645">
        <v>10000</v>
      </c>
      <c r="F2645" t="s">
        <v>102</v>
      </c>
      <c r="G2645" t="s">
        <v>50</v>
      </c>
      <c r="H2645">
        <v>0</v>
      </c>
      <c r="I2645">
        <v>0</v>
      </c>
      <c r="J2645" t="s">
        <v>2833</v>
      </c>
      <c r="K2645">
        <v>25</v>
      </c>
      <c r="L2645">
        <v>1.1E-5</v>
      </c>
      <c r="M2645">
        <v>-76.510000000000005</v>
      </c>
      <c r="N2645">
        <v>1.1211E-5</v>
      </c>
      <c r="O2645" t="s">
        <v>153</v>
      </c>
      <c r="P2645" t="s">
        <v>2833</v>
      </c>
      <c r="Q2645" t="s">
        <v>2833</v>
      </c>
      <c r="R2645">
        <f ca="1">RAND()*(Validation[[#This Row],[Range1_High]]-Validation[[#This Row],[Range1_Low]])+Validation[[#This Row],[Range1_Low]]</f>
        <v>668233910.03014994</v>
      </c>
      <c r="S2645">
        <f>Validation[[#This Row],[Range2_High]]</f>
        <v>0</v>
      </c>
      <c r="T2645" t="str" cm="1">
        <f t="array" aca="1" ref="T2645" ca="1">RoundToTwoSigFigs(Validation[[#This Row],[Test Reading]]*Validation[[#This Row],[Mult]]+Validation[[#This Row],[Base]]) &amp;" "&amp;Validation[[#This Row],[Uncert_Units]]</f>
        <v>7400 kΩ</v>
      </c>
      <c r="U2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7400 kΩ</v>
      </c>
      <c r="V2645" t="b">
        <f ca="1">Validation[[#This Row],[Desired Result]]=Validation[[#This Row],[Result]]</f>
        <v>1</v>
      </c>
      <c r="W2645" t="b">
        <v>0</v>
      </c>
      <c r="X2645" t="b">
        <f>Validation[[#This Row],[Range1_Low]]&gt;=Validation[[#This Row],[Range1_High]]</f>
        <v>0</v>
      </c>
      <c r="Y2645" s="111" t="s">
        <v>2845</v>
      </c>
    </row>
    <row r="2646" spans="1:25" ht="16.5" thickTop="1" thickBot="1" x14ac:dyDescent="0.3">
      <c r="A2646" t="s">
        <v>68</v>
      </c>
      <c r="B2646" t="s">
        <v>73</v>
      </c>
      <c r="C2646" s="113">
        <v>250000000</v>
      </c>
      <c r="D2646" s="113">
        <v>500000000</v>
      </c>
      <c r="E2646">
        <v>1000000</v>
      </c>
      <c r="F2646" t="s">
        <v>102</v>
      </c>
      <c r="G2646" t="s">
        <v>50</v>
      </c>
      <c r="H2646">
        <v>0</v>
      </c>
      <c r="I2646">
        <v>0</v>
      </c>
      <c r="J2646" t="s">
        <v>2833</v>
      </c>
      <c r="K2646">
        <v>572.66999999999996</v>
      </c>
      <c r="L2646">
        <v>9.9500999999999998E-6</v>
      </c>
      <c r="M2646">
        <v>572.64</v>
      </c>
      <c r="N2646">
        <v>9.9500999999999998E-6</v>
      </c>
      <c r="O2646" t="s">
        <v>153</v>
      </c>
      <c r="P2646" t="s">
        <v>2833</v>
      </c>
      <c r="Q2646" t="s">
        <v>2833</v>
      </c>
      <c r="R2646">
        <f ca="1">RAND()*(Validation[[#This Row],[Range1_High]]-Validation[[#This Row],[Range1_Low]])+Validation[[#This Row],[Range1_Low]]</f>
        <v>431392142.50910264</v>
      </c>
      <c r="S2646">
        <f>Validation[[#This Row],[Range2_High]]</f>
        <v>0</v>
      </c>
      <c r="T2646" t="str" cm="1">
        <f t="array" aca="1" ref="T2646" ca="1">RoundToTwoSigFigs(Validation[[#This Row],[Test Reading]]*Validation[[#This Row],[Mult]]+Validation[[#This Row],[Base]]) &amp;" "&amp;Validation[[#This Row],[Uncert_Units]]</f>
        <v>4900 kΩ</v>
      </c>
      <c r="U2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kΩ</v>
      </c>
      <c r="V2646" t="b">
        <f ca="1">Validation[[#This Row],[Desired Result]]=Validation[[#This Row],[Result]]</f>
        <v>1</v>
      </c>
      <c r="W2646" t="b">
        <v>1</v>
      </c>
      <c r="X2646" t="b">
        <f>Validation[[#This Row],[Range1_Low]]&gt;=Validation[[#This Row],[Range1_High]]</f>
        <v>0</v>
      </c>
      <c r="Y2646" s="111" t="s">
        <v>2843</v>
      </c>
    </row>
    <row r="2647" spans="1:25" ht="16.5" thickTop="1" thickBot="1" x14ac:dyDescent="0.3">
      <c r="A2647" t="s">
        <v>68</v>
      </c>
      <c r="B2647" t="s">
        <v>73</v>
      </c>
      <c r="C2647">
        <v>250000</v>
      </c>
      <c r="D2647">
        <v>100000000</v>
      </c>
      <c r="E2647">
        <v>100000</v>
      </c>
      <c r="F2647" t="s">
        <v>102</v>
      </c>
      <c r="G2647" t="s">
        <v>50</v>
      </c>
      <c r="H2647">
        <v>0</v>
      </c>
      <c r="I2647">
        <v>0</v>
      </c>
      <c r="J2647" t="s">
        <v>2833</v>
      </c>
      <c r="K2647">
        <v>57.523000000000003</v>
      </c>
      <c r="L2647">
        <v>8.8223000000000002E-6</v>
      </c>
      <c r="M2647">
        <v>57.453000000000003</v>
      </c>
      <c r="N2647">
        <v>8.8227999999999996E-6</v>
      </c>
      <c r="O2647" t="s">
        <v>153</v>
      </c>
      <c r="P2647" t="s">
        <v>2833</v>
      </c>
      <c r="Q2647" t="s">
        <v>2833</v>
      </c>
      <c r="R2647">
        <f ca="1">RAND()*(Validation[[#This Row],[Range1_High]]-Validation[[#This Row],[Range1_Low]])+Validation[[#This Row],[Range1_Low]]</f>
        <v>31174303.291605797</v>
      </c>
      <c r="S2647">
        <f>Validation[[#This Row],[Range2_High]]</f>
        <v>0</v>
      </c>
      <c r="T2647" t="str" cm="1">
        <f t="array" aca="1" ref="T2647" ca="1">RoundToTwoSigFigs(Validation[[#This Row],[Test Reading]]*Validation[[#This Row],[Mult]]+Validation[[#This Row],[Base]]) &amp;" "&amp;Validation[[#This Row],[Uncert_Units]]</f>
        <v>330 kΩ</v>
      </c>
      <c r="U2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kΩ</v>
      </c>
      <c r="V2647" t="b">
        <f ca="1">Validation[[#This Row],[Desired Result]]=Validation[[#This Row],[Result]]</f>
        <v>1</v>
      </c>
      <c r="W2647" t="b">
        <v>0</v>
      </c>
      <c r="X2647" t="b">
        <f>Validation[[#This Row],[Range1_Low]]&gt;=Validation[[#This Row],[Range1_High]]</f>
        <v>0</v>
      </c>
      <c r="Y2647" s="111" t="s">
        <v>2845</v>
      </c>
    </row>
    <row r="2648" spans="1:25" ht="16.5" thickTop="1" thickBot="1" x14ac:dyDescent="0.3">
      <c r="A2648" t="s">
        <v>68</v>
      </c>
      <c r="B2648" t="s">
        <v>74</v>
      </c>
      <c r="C2648" s="113">
        <v>-100</v>
      </c>
      <c r="D2648" s="113">
        <v>150</v>
      </c>
      <c r="E2648">
        <v>0.1</v>
      </c>
      <c r="F2648" t="s">
        <v>23</v>
      </c>
      <c r="G2648" t="s">
        <v>23</v>
      </c>
      <c r="H2648">
        <v>0</v>
      </c>
      <c r="I2648">
        <v>0</v>
      </c>
      <c r="J2648" t="s">
        <v>2833</v>
      </c>
      <c r="K2648">
        <v>1.06646255</v>
      </c>
      <c r="L2648">
        <v>0</v>
      </c>
      <c r="M2648">
        <v>1.0653079700000001</v>
      </c>
      <c r="N2648">
        <v>0</v>
      </c>
      <c r="O2648" t="s">
        <v>169</v>
      </c>
      <c r="P2648" t="s">
        <v>2833</v>
      </c>
      <c r="Q2648" t="s">
        <v>161</v>
      </c>
      <c r="R2648">
        <f ca="1">RAND()*(Validation[[#This Row],[Range1_High]]-Validation[[#This Row],[Range1_Low]])+Validation[[#This Row],[Range1_Low]]</f>
        <v>4.1252589512174893</v>
      </c>
      <c r="S2648">
        <f>Validation[[#This Row],[Range2_High]]</f>
        <v>0</v>
      </c>
      <c r="T2648" t="str" cm="1">
        <f t="array" aca="1" ref="T2648" ca="1">RoundToTwoSigFigs(Validation[[#This Row],[Test Reading]]*Validation[[#This Row],[Mult]]+Validation[[#This Row],[Base]]) &amp;" "&amp;Validation[[#This Row],[Uncert_Units]]</f>
        <v>1.1 °C</v>
      </c>
      <c r="U2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V2648" t="b">
        <f ca="1">Validation[[#This Row],[Desired Result]]=Validation[[#This Row],[Result]]</f>
        <v>1</v>
      </c>
      <c r="W2648" t="b">
        <v>1</v>
      </c>
      <c r="X2648" t="b">
        <f>Validation[[#This Row],[Range1_Low]]&gt;=Validation[[#This Row],[Range1_High]]</f>
        <v>0</v>
      </c>
      <c r="Y2648" s="111" t="s">
        <v>2843</v>
      </c>
    </row>
    <row r="2649" spans="1:25" ht="16.5" thickTop="1" thickBot="1" x14ac:dyDescent="0.3">
      <c r="A2649" t="s">
        <v>68</v>
      </c>
      <c r="B2649" t="s">
        <v>75</v>
      </c>
      <c r="C2649" s="113">
        <v>-148</v>
      </c>
      <c r="D2649" s="113">
        <v>248</v>
      </c>
      <c r="E2649">
        <v>0.1</v>
      </c>
      <c r="F2649" t="s">
        <v>26</v>
      </c>
      <c r="G2649" t="s">
        <v>26</v>
      </c>
      <c r="H2649">
        <v>0</v>
      </c>
      <c r="I2649">
        <v>0</v>
      </c>
      <c r="J2649" t="s">
        <v>2833</v>
      </c>
      <c r="K2649">
        <v>2.0844413880000001</v>
      </c>
      <c r="L2649">
        <v>0</v>
      </c>
      <c r="M2649">
        <v>2.0809036999999999</v>
      </c>
      <c r="N2649">
        <v>0</v>
      </c>
      <c r="O2649" t="s">
        <v>169</v>
      </c>
      <c r="P2649" t="s">
        <v>2833</v>
      </c>
      <c r="Q2649" t="s">
        <v>111</v>
      </c>
      <c r="R2649">
        <f ca="1">RAND()*(Validation[[#This Row],[Range1_High]]-Validation[[#This Row],[Range1_Low]])+Validation[[#This Row],[Range1_Low]]</f>
        <v>-142.34828878673639</v>
      </c>
      <c r="S2649">
        <f>Validation[[#This Row],[Range2_High]]</f>
        <v>0</v>
      </c>
      <c r="T2649" t="str" cm="1">
        <f t="array" aca="1" ref="T2649" ca="1">RoundToTwoSigFigs(Validation[[#This Row],[Test Reading]]*Validation[[#This Row],[Mult]]+Validation[[#This Row],[Base]]) &amp;" "&amp;Validation[[#This Row],[Uncert_Units]]</f>
        <v>2.1 °F</v>
      </c>
      <c r="U2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V2649" t="b">
        <f ca="1">Validation[[#This Row],[Desired Result]]=Validation[[#This Row],[Result]]</f>
        <v>1</v>
      </c>
      <c r="W2649" t="b">
        <v>1</v>
      </c>
      <c r="X2649" t="b">
        <f>Validation[[#This Row],[Range1_Low]]&gt;=Validation[[#This Row],[Range1_High]]</f>
        <v>0</v>
      </c>
      <c r="Y2649" s="111" t="s">
        <v>2843</v>
      </c>
    </row>
    <row r="2650" spans="1:25" ht="16.5" thickTop="1" thickBot="1" x14ac:dyDescent="0.3">
      <c r="A2650" t="s">
        <v>68</v>
      </c>
      <c r="B2650" t="s">
        <v>76</v>
      </c>
      <c r="C2650" s="113">
        <v>-148</v>
      </c>
      <c r="D2650" s="113">
        <v>770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2833</v>
      </c>
      <c r="K2650">
        <v>2.2918456639999998</v>
      </c>
      <c r="L2650">
        <v>0</v>
      </c>
      <c r="M2650">
        <v>2.2894238219999998</v>
      </c>
      <c r="N2650">
        <v>0</v>
      </c>
      <c r="O2650" t="s">
        <v>169</v>
      </c>
      <c r="P2650" t="s">
        <v>2833</v>
      </c>
      <c r="Q2650" t="s">
        <v>162</v>
      </c>
      <c r="R2650">
        <f ca="1">RAND()*(Validation[[#This Row],[Range1_High]]-Validation[[#This Row],[Range1_Low]])+Validation[[#This Row],[Range1_Low]]</f>
        <v>636.62314487647996</v>
      </c>
      <c r="S2650">
        <f>Validation[[#This Row],[Range2_High]]</f>
        <v>0</v>
      </c>
      <c r="T2650" t="str" cm="1">
        <f t="array" aca="1" ref="T2650" ca="1">RoundToTwoSigFigs(Validation[[#This Row],[Test Reading]]*Validation[[#This Row],[Mult]]+Validation[[#This Row],[Base]]) &amp;" "&amp;Validation[[#This Row],[Uncert_Units]]</f>
        <v>2.3 °F</v>
      </c>
      <c r="U2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V2650" t="b">
        <f ca="1">Validation[[#This Row],[Desired Result]]=Validation[[#This Row],[Result]]</f>
        <v>1</v>
      </c>
      <c r="W2650" t="b">
        <v>1</v>
      </c>
      <c r="X2650" t="b">
        <f>Validation[[#This Row],[Range1_Low]]&gt;=Validation[[#This Row],[Range1_High]]</f>
        <v>0</v>
      </c>
      <c r="Y2650" s="111" t="s">
        <v>2843</v>
      </c>
    </row>
    <row r="2651" spans="1:25" ht="16.5" thickTop="1" thickBot="1" x14ac:dyDescent="0.3">
      <c r="A2651" t="s">
        <v>68</v>
      </c>
      <c r="B2651" t="s">
        <v>76</v>
      </c>
      <c r="C2651" s="113">
        <v>-100</v>
      </c>
      <c r="D2651" s="113">
        <v>410</v>
      </c>
      <c r="E2651">
        <v>0.1</v>
      </c>
      <c r="F2651" t="s">
        <v>23</v>
      </c>
      <c r="G2651" t="s">
        <v>23</v>
      </c>
      <c r="H2651">
        <v>0</v>
      </c>
      <c r="I2651">
        <v>0</v>
      </c>
      <c r="J2651" t="s">
        <v>2833</v>
      </c>
      <c r="K2651">
        <v>1.2762020279999999</v>
      </c>
      <c r="L2651">
        <v>0</v>
      </c>
      <c r="M2651">
        <v>1.2748596780000001</v>
      </c>
      <c r="N2651">
        <v>0</v>
      </c>
      <c r="O2651" t="s">
        <v>169</v>
      </c>
      <c r="P2651" t="s">
        <v>2833</v>
      </c>
      <c r="Q2651" t="s">
        <v>162</v>
      </c>
      <c r="R2651">
        <f ca="1">RAND()*(Validation[[#This Row],[Range1_High]]-Validation[[#This Row],[Range1_Low]])+Validation[[#This Row],[Range1_Low]]</f>
        <v>399.44187718523045</v>
      </c>
      <c r="S2651">
        <f>Validation[[#This Row],[Range2_High]]</f>
        <v>0</v>
      </c>
      <c r="T2651" t="str" cm="1">
        <f t="array" aca="1" ref="T2651" ca="1">RoundToTwoSigFigs(Validation[[#This Row],[Test Reading]]*Validation[[#This Row],[Mult]]+Validation[[#This Row],[Base]]) &amp;" "&amp;Validation[[#This Row],[Uncert_Units]]</f>
        <v>1.3 °C</v>
      </c>
      <c r="U2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V2651" t="b">
        <f ca="1">Validation[[#This Row],[Desired Result]]=Validation[[#This Row],[Result]]</f>
        <v>1</v>
      </c>
      <c r="W2651" t="b">
        <v>1</v>
      </c>
      <c r="X2651" t="b">
        <f>Validation[[#This Row],[Range1_Low]]&gt;=Validation[[#This Row],[Range1_High]]</f>
        <v>0</v>
      </c>
      <c r="Y2651" s="111" t="s">
        <v>2843</v>
      </c>
    </row>
    <row r="2652" spans="1:25" ht="16.5" thickTop="1" thickBot="1" x14ac:dyDescent="0.3">
      <c r="A2652" t="s">
        <v>68</v>
      </c>
      <c r="B2652" t="s">
        <v>76</v>
      </c>
      <c r="C2652" s="113">
        <v>-100</v>
      </c>
      <c r="D2652" s="113">
        <v>410</v>
      </c>
      <c r="E2652">
        <v>1</v>
      </c>
      <c r="F2652" t="s">
        <v>23</v>
      </c>
      <c r="G2652" t="s">
        <v>23</v>
      </c>
      <c r="H2652">
        <v>0</v>
      </c>
      <c r="I2652">
        <v>0</v>
      </c>
      <c r="J2652" t="s">
        <v>2833</v>
      </c>
      <c r="K2652">
        <v>1.4031980850000001</v>
      </c>
      <c r="L2652">
        <v>0</v>
      </c>
      <c r="M2652">
        <v>1.3983086920000001</v>
      </c>
      <c r="N2652">
        <v>0</v>
      </c>
      <c r="O2652" t="s">
        <v>169</v>
      </c>
      <c r="P2652" t="s">
        <v>2833</v>
      </c>
      <c r="Q2652" t="s">
        <v>162</v>
      </c>
      <c r="R2652">
        <f ca="1">RAND()*(Validation[[#This Row],[Range1_High]]-Validation[[#This Row],[Range1_Low]])+Validation[[#This Row],[Range1_Low]]</f>
        <v>-45.927407336752069</v>
      </c>
      <c r="S2652">
        <f>Validation[[#This Row],[Range2_High]]</f>
        <v>0</v>
      </c>
      <c r="T2652" t="str" cm="1">
        <f t="array" aca="1" ref="T2652" ca="1">RoundToTwoSigFigs(Validation[[#This Row],[Test Reading]]*Validation[[#This Row],[Mult]]+Validation[[#This Row],[Base]]) &amp;" "&amp;Validation[[#This Row],[Uncert_Units]]</f>
        <v>1.4 °C</v>
      </c>
      <c r="U2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V2652" t="b">
        <f ca="1">Validation[[#This Row],[Desired Result]]=Validation[[#This Row],[Result]]</f>
        <v>1</v>
      </c>
      <c r="W2652" t="b">
        <v>1</v>
      </c>
      <c r="X2652" t="b">
        <f>Validation[[#This Row],[Range1_Low]]&gt;=Validation[[#This Row],[Range1_High]]</f>
        <v>0</v>
      </c>
      <c r="Y2652" s="111" t="s">
        <v>2843</v>
      </c>
    </row>
    <row r="2653" spans="1:25" ht="15.75" thickTop="1" x14ac:dyDescent="0.25">
      <c r="A2653" t="s">
        <v>68</v>
      </c>
      <c r="B2653" t="s">
        <v>77</v>
      </c>
      <c r="C2653">
        <v>0</v>
      </c>
      <c r="D2653">
        <v>250</v>
      </c>
      <c r="E2653">
        <v>0.1</v>
      </c>
      <c r="F2653" t="s">
        <v>23</v>
      </c>
      <c r="G2653" t="s">
        <v>23</v>
      </c>
      <c r="H2653">
        <v>0</v>
      </c>
      <c r="I2653">
        <v>0</v>
      </c>
      <c r="J2653" t="s">
        <v>2833</v>
      </c>
      <c r="K2653">
        <v>2.6783637649999998</v>
      </c>
      <c r="L2653">
        <v>0</v>
      </c>
      <c r="M2653">
        <v>2.6774646350000002</v>
      </c>
      <c r="N2653">
        <v>0</v>
      </c>
      <c r="O2653" t="s">
        <v>169</v>
      </c>
      <c r="P2653" t="s">
        <v>2833</v>
      </c>
      <c r="Q2653" t="s">
        <v>163</v>
      </c>
      <c r="R2653">
        <f ca="1">RAND()*(Validation[[#This Row],[Range1_High]]-Validation[[#This Row],[Range1_Low]])+Validation[[#This Row],[Range1_Low]]</f>
        <v>20.302672367271875</v>
      </c>
      <c r="S2653">
        <f>Validation[[#This Row],[Range2_High]]</f>
        <v>0</v>
      </c>
      <c r="T2653" t="str" cm="1">
        <f t="array" aca="1" ref="T2653" ca="1">RoundToTwoSigFigs(Validation[[#This Row],[Test Reading]]*Validation[[#This Row],[Mult]]+Validation[[#This Row],[Base]]) &amp;" "&amp;Validation[[#This Row],[Uncert_Units]]</f>
        <v>2.7 °C</v>
      </c>
      <c r="U2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V2653" t="b">
        <f ca="1">Validation[[#This Row],[Desired Result]]=Validation[[#This Row],[Result]]</f>
        <v>1</v>
      </c>
      <c r="W2653" t="b">
        <v>0</v>
      </c>
      <c r="X2653" t="b">
        <f>Validation[[#This Row],[Range1_Low]]&gt;=Validation[[#This Row],[Range1_High]]</f>
        <v>0</v>
      </c>
      <c r="Y2653" s="111" t="s">
        <v>2845</v>
      </c>
    </row>
  </sheetData>
  <phoneticPr fontId="19" type="noConversion"/>
  <conditionalFormatting sqref="Y2:Y2425">
    <cfRule type="cellIs" dxfId="3" priority="2" operator="equal">
      <formula>"Validated"</formula>
    </cfRule>
  </conditionalFormatting>
  <conditionalFormatting sqref="W2:X2653">
    <cfRule type="cellIs" dxfId="2" priority="1" operator="equal">
      <formula>TRUE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G43"/>
  <sheetViews>
    <sheetView tabSelected="1" workbookViewId="0">
      <selection activeCell="AA20" sqref="AA20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7" x14ac:dyDescent="0.25">
      <c r="A1" s="81" t="s">
        <v>0</v>
      </c>
      <c r="B1" s="81" t="s">
        <v>154</v>
      </c>
      <c r="C1" s="81" t="s">
        <v>155</v>
      </c>
      <c r="D1" s="81" t="s">
        <v>156</v>
      </c>
      <c r="E1" s="81" t="s">
        <v>173</v>
      </c>
      <c r="F1" s="82" t="s">
        <v>174</v>
      </c>
      <c r="G1" s="94" t="s">
        <v>2830</v>
      </c>
    </row>
    <row r="2" spans="1:7" x14ac:dyDescent="0.25">
      <c r="A2" s="72" t="s">
        <v>3</v>
      </c>
      <c r="B2" s="72"/>
      <c r="C2" s="72"/>
      <c r="D2" s="72"/>
      <c r="E2" s="72" t="s">
        <v>6</v>
      </c>
      <c r="F2" s="83"/>
      <c r="G2" t="str" cm="1">
        <f t="array" ref="G2">GetPolarity(Table3[[#This Row],[meas_unit]],Table3[[#This Row],[secondary_unit]])</f>
        <v>DC</v>
      </c>
    </row>
    <row r="3" spans="1:7" x14ac:dyDescent="0.25">
      <c r="A3" s="73" t="s">
        <v>46</v>
      </c>
      <c r="B3" s="73"/>
      <c r="C3" s="73"/>
      <c r="D3" s="73"/>
      <c r="E3" s="73" t="s">
        <v>13</v>
      </c>
      <c r="F3" s="84"/>
      <c r="G3" t="str" cm="1">
        <f t="array" ref="G3">GetPolarity(Table3[[#This Row],[meas_unit]],Table3[[#This Row],[secondary_unit]])</f>
        <v>DC</v>
      </c>
    </row>
    <row r="4" spans="1:7" x14ac:dyDescent="0.25">
      <c r="A4" s="72" t="s">
        <v>58</v>
      </c>
      <c r="B4" s="72"/>
      <c r="C4" s="72" t="s">
        <v>157</v>
      </c>
      <c r="D4" s="72"/>
      <c r="E4" s="72" t="s">
        <v>13</v>
      </c>
      <c r="F4" s="83"/>
      <c r="G4" t="str" cm="1">
        <f t="array" ref="G4">GetPolarity(Table3[[#This Row],[meas_unit]],Table3[[#This Row],[secondary_unit]])</f>
        <v>DC</v>
      </c>
    </row>
    <row r="5" spans="1:7" x14ac:dyDescent="0.25">
      <c r="A5" s="73" t="s">
        <v>59</v>
      </c>
      <c r="B5" s="73"/>
      <c r="C5" s="73" t="s">
        <v>158</v>
      </c>
      <c r="D5" s="73"/>
      <c r="E5" s="73" t="s">
        <v>13</v>
      </c>
      <c r="F5" s="84"/>
      <c r="G5" t="str" cm="1">
        <f t="array" ref="G5">GetPolarity(Table3[[#This Row],[meas_unit]],Table3[[#This Row],[secondary_unit]])</f>
        <v>DC</v>
      </c>
    </row>
    <row r="6" spans="1:7" x14ac:dyDescent="0.25">
      <c r="A6" s="72" t="s">
        <v>60</v>
      </c>
      <c r="B6" s="72"/>
      <c r="C6" s="72" t="s">
        <v>159</v>
      </c>
      <c r="D6" s="72"/>
      <c r="E6" s="72" t="s">
        <v>13</v>
      </c>
      <c r="F6" s="83"/>
      <c r="G6" t="str" cm="1">
        <f t="array" ref="G6">GetPolarity(Table3[[#This Row],[meas_unit]],Table3[[#This Row],[secondary_unit]])</f>
        <v>DC</v>
      </c>
    </row>
    <row r="7" spans="1:7" x14ac:dyDescent="0.25">
      <c r="A7" s="73" t="s">
        <v>7</v>
      </c>
      <c r="B7" s="73"/>
      <c r="C7" s="73"/>
      <c r="D7" s="73"/>
      <c r="E7" s="73" t="s">
        <v>102</v>
      </c>
      <c r="F7" s="84"/>
      <c r="G7" t="str" cm="1">
        <f t="array" ref="G7">GetPolarity(Table3[[#This Row],[meas_unit]],Table3[[#This Row],[secondary_unit]])</f>
        <v/>
      </c>
    </row>
    <row r="8" spans="1:7" x14ac:dyDescent="0.25">
      <c r="A8" s="72" t="s">
        <v>8</v>
      </c>
      <c r="B8" s="72"/>
      <c r="C8" s="72"/>
      <c r="D8" s="72"/>
      <c r="E8" s="72" t="s">
        <v>6</v>
      </c>
      <c r="F8" s="83" t="s">
        <v>10</v>
      </c>
      <c r="G8" t="str" cm="1">
        <f t="array" ref="G8">GetPolarity(Table3[[#This Row],[meas_unit]],Table3[[#This Row],[secondary_unit]])</f>
        <v>AC</v>
      </c>
    </row>
    <row r="9" spans="1:7" x14ac:dyDescent="0.25">
      <c r="A9" s="73" t="s">
        <v>17</v>
      </c>
      <c r="B9" s="73"/>
      <c r="C9" s="73"/>
      <c r="D9" s="73"/>
      <c r="E9" s="73" t="s">
        <v>9</v>
      </c>
      <c r="F9" s="84"/>
      <c r="G9" t="str" cm="1">
        <f t="array" ref="G9">GetPolarity(Table3[[#This Row],[meas_unit]],Table3[[#This Row],[secondary_unit]])</f>
        <v/>
      </c>
    </row>
    <row r="10" spans="1:7" x14ac:dyDescent="0.25">
      <c r="A10" s="72" t="s">
        <v>47</v>
      </c>
      <c r="B10" s="72"/>
      <c r="C10" s="72"/>
      <c r="D10" s="72"/>
      <c r="E10" s="72" t="s">
        <v>13</v>
      </c>
      <c r="F10" s="83" t="s">
        <v>10</v>
      </c>
      <c r="G10" t="str" cm="1">
        <f t="array" ref="G10">GetPolarity(Table3[[#This Row],[meas_unit]],Table3[[#This Row],[secondary_unit]])</f>
        <v>AC</v>
      </c>
    </row>
    <row r="11" spans="1:7" x14ac:dyDescent="0.25">
      <c r="A11" s="73" t="s">
        <v>61</v>
      </c>
      <c r="B11" s="73"/>
      <c r="C11" s="73" t="s">
        <v>157</v>
      </c>
      <c r="D11" s="73"/>
      <c r="E11" s="73" t="s">
        <v>13</v>
      </c>
      <c r="F11" s="84" t="s">
        <v>10</v>
      </c>
      <c r="G11" t="str" cm="1">
        <f t="array" ref="G11">GetPolarity(Table3[[#This Row],[meas_unit]],Table3[[#This Row],[secondary_unit]])</f>
        <v>AC</v>
      </c>
    </row>
    <row r="12" spans="1:7" x14ac:dyDescent="0.25">
      <c r="A12" s="72" t="s">
        <v>62</v>
      </c>
      <c r="B12" s="72"/>
      <c r="C12" s="72" t="s">
        <v>158</v>
      </c>
      <c r="D12" s="72"/>
      <c r="E12" s="72" t="s">
        <v>13</v>
      </c>
      <c r="F12" s="83" t="s">
        <v>10</v>
      </c>
      <c r="G12" t="str" cm="1">
        <f t="array" ref="G12">GetPolarity(Table3[[#This Row],[meas_unit]],Table3[[#This Row],[secondary_unit]])</f>
        <v>AC</v>
      </c>
    </row>
    <row r="13" spans="1:7" x14ac:dyDescent="0.25">
      <c r="A13" s="73" t="s">
        <v>63</v>
      </c>
      <c r="B13" s="73"/>
      <c r="C13" s="73" t="s">
        <v>159</v>
      </c>
      <c r="D13" s="73"/>
      <c r="E13" s="73" t="s">
        <v>13</v>
      </c>
      <c r="F13" s="84" t="s">
        <v>10</v>
      </c>
      <c r="G13" t="str" cm="1">
        <f t="array" ref="G13">GetPolarity(Table3[[#This Row],[meas_unit]],Table3[[#This Row],[secondary_unit]])</f>
        <v>AC</v>
      </c>
    </row>
    <row r="14" spans="1:7" x14ac:dyDescent="0.25">
      <c r="A14" s="72" t="s">
        <v>14</v>
      </c>
      <c r="B14" s="72"/>
      <c r="C14" s="72"/>
      <c r="D14" s="72"/>
      <c r="E14" s="72" t="s">
        <v>140</v>
      </c>
      <c r="F14" s="83"/>
      <c r="G14" t="str" cm="1">
        <f t="array" ref="G14">GetPolarity(Table3[[#This Row],[meas_unit]],Table3[[#This Row],[secondary_unit]])</f>
        <v/>
      </c>
    </row>
    <row r="15" spans="1:7" x14ac:dyDescent="0.25">
      <c r="A15" s="73" t="s">
        <v>91</v>
      </c>
      <c r="B15" s="73"/>
      <c r="C15" s="73"/>
      <c r="D15" s="73" t="s">
        <v>160</v>
      </c>
      <c r="E15" s="73" t="s">
        <v>23</v>
      </c>
      <c r="F15" s="84"/>
      <c r="G15" t="str" cm="1">
        <f t="array" ref="G15">GetPolarity(Table3[[#This Row],[meas_unit]],Table3[[#This Row],[secondary_unit]])</f>
        <v/>
      </c>
    </row>
    <row r="16" spans="1:7" x14ac:dyDescent="0.25">
      <c r="A16" s="72" t="s">
        <v>90</v>
      </c>
      <c r="B16" s="72"/>
      <c r="C16" s="72"/>
      <c r="D16" s="72" t="s">
        <v>161</v>
      </c>
      <c r="E16" s="72" t="s">
        <v>23</v>
      </c>
      <c r="F16" s="83"/>
      <c r="G16" t="str" cm="1">
        <f t="array" ref="G16">GetPolarity(Table3[[#This Row],[meas_unit]],Table3[[#This Row],[secondary_unit]])</f>
        <v/>
      </c>
    </row>
    <row r="17" spans="1:7" x14ac:dyDescent="0.25">
      <c r="A17" s="73" t="s">
        <v>89</v>
      </c>
      <c r="B17" s="73"/>
      <c r="C17" s="73"/>
      <c r="D17" s="73" t="s">
        <v>111</v>
      </c>
      <c r="E17" s="73" t="s">
        <v>23</v>
      </c>
      <c r="F17" s="84"/>
      <c r="G17" t="str" cm="1">
        <f t="array" ref="G17">GetPolarity(Table3[[#This Row],[meas_unit]],Table3[[#This Row],[secondary_unit]])</f>
        <v/>
      </c>
    </row>
    <row r="18" spans="1:7" x14ac:dyDescent="0.25">
      <c r="A18" s="72" t="s">
        <v>92</v>
      </c>
      <c r="B18" s="72"/>
      <c r="C18" s="72"/>
      <c r="D18" s="72" t="s">
        <v>162</v>
      </c>
      <c r="E18" s="72" t="s">
        <v>23</v>
      </c>
      <c r="F18" s="83"/>
      <c r="G18" t="str" cm="1">
        <f t="array" ref="G18">GetPolarity(Table3[[#This Row],[meas_unit]],Table3[[#This Row],[secondary_unit]])</f>
        <v/>
      </c>
    </row>
    <row r="19" spans="1:7" x14ac:dyDescent="0.25">
      <c r="A19" s="73" t="s">
        <v>93</v>
      </c>
      <c r="B19" s="73"/>
      <c r="C19" s="73"/>
      <c r="D19" s="73" t="s">
        <v>163</v>
      </c>
      <c r="E19" s="73" t="s">
        <v>23</v>
      </c>
      <c r="F19" s="84"/>
      <c r="G19" t="str" cm="1">
        <f t="array" ref="G19">GetPolarity(Table3[[#This Row],[meas_unit]],Table3[[#This Row],[secondary_unit]])</f>
        <v/>
      </c>
    </row>
    <row r="20" spans="1:7" x14ac:dyDescent="0.25">
      <c r="A20" s="72" t="s">
        <v>94</v>
      </c>
      <c r="B20" s="72"/>
      <c r="C20" s="72"/>
      <c r="D20" s="72" t="s">
        <v>164</v>
      </c>
      <c r="E20" s="72" t="s">
        <v>23</v>
      </c>
      <c r="F20" s="83"/>
      <c r="G20" t="str" cm="1">
        <f t="array" ref="G20">GetPolarity(Table3[[#This Row],[meas_unit]],Table3[[#This Row],[secondary_unit]])</f>
        <v/>
      </c>
    </row>
    <row r="21" spans="1:7" x14ac:dyDescent="0.25">
      <c r="A21" s="73" t="s">
        <v>95</v>
      </c>
      <c r="B21" s="73"/>
      <c r="C21" s="73"/>
      <c r="D21" s="73" t="s">
        <v>165</v>
      </c>
      <c r="E21" s="73" t="s">
        <v>23</v>
      </c>
      <c r="F21" s="84"/>
      <c r="G21" t="str" cm="1">
        <f t="array" ref="G21">GetPolarity(Table3[[#This Row],[meas_unit]],Table3[[#This Row],[secondary_unit]])</f>
        <v/>
      </c>
    </row>
    <row r="22" spans="1:7" x14ac:dyDescent="0.25">
      <c r="A22" s="72" t="s">
        <v>96</v>
      </c>
      <c r="B22" s="72"/>
      <c r="C22" s="72"/>
      <c r="D22" s="72" t="s">
        <v>166</v>
      </c>
      <c r="E22" s="72" t="s">
        <v>23</v>
      </c>
      <c r="F22" s="83"/>
      <c r="G22" t="str" cm="1">
        <f t="array" ref="G22">GetPolarity(Table3[[#This Row],[meas_unit]],Table3[[#This Row],[secondary_unit]])</f>
        <v/>
      </c>
    </row>
    <row r="23" spans="1:7" x14ac:dyDescent="0.25">
      <c r="A23" s="73" t="s">
        <v>97</v>
      </c>
      <c r="B23" s="73"/>
      <c r="C23" s="73"/>
      <c r="D23" s="73" t="s">
        <v>167</v>
      </c>
      <c r="E23" s="73" t="s">
        <v>23</v>
      </c>
      <c r="F23" s="84"/>
      <c r="G23" t="str" cm="1">
        <f t="array" ref="G23">GetPolarity(Table3[[#This Row],[meas_unit]],Table3[[#This Row],[secondary_unit]])</f>
        <v/>
      </c>
    </row>
    <row r="24" spans="1:7" x14ac:dyDescent="0.25">
      <c r="A24" s="72" t="s">
        <v>80</v>
      </c>
      <c r="B24" s="72"/>
      <c r="C24" s="72"/>
      <c r="D24" s="72" t="s">
        <v>160</v>
      </c>
      <c r="E24" s="72" t="s">
        <v>26</v>
      </c>
      <c r="F24" s="83"/>
      <c r="G24" t="str" cm="1">
        <f t="array" ref="G24">GetPolarity(Table3[[#This Row],[meas_unit]],Table3[[#This Row],[secondary_unit]])</f>
        <v/>
      </c>
    </row>
    <row r="25" spans="1:7" x14ac:dyDescent="0.25">
      <c r="A25" s="73" t="s">
        <v>81</v>
      </c>
      <c r="B25" s="73"/>
      <c r="C25" s="73"/>
      <c r="D25" s="73" t="s">
        <v>161</v>
      </c>
      <c r="E25" s="73" t="s">
        <v>26</v>
      </c>
      <c r="F25" s="84"/>
      <c r="G25" t="str" cm="1">
        <f t="array" ref="G25">GetPolarity(Table3[[#This Row],[meas_unit]],Table3[[#This Row],[secondary_unit]])</f>
        <v/>
      </c>
    </row>
    <row r="26" spans="1:7" x14ac:dyDescent="0.25">
      <c r="A26" s="72" t="s">
        <v>82</v>
      </c>
      <c r="B26" s="72"/>
      <c r="C26" s="72"/>
      <c r="D26" s="72" t="s">
        <v>111</v>
      </c>
      <c r="E26" s="72" t="s">
        <v>26</v>
      </c>
      <c r="F26" s="83"/>
      <c r="G26" t="str" cm="1">
        <f t="array" ref="G26">GetPolarity(Table3[[#This Row],[meas_unit]],Table3[[#This Row],[secondary_unit]])</f>
        <v/>
      </c>
    </row>
    <row r="27" spans="1:7" x14ac:dyDescent="0.25">
      <c r="A27" s="73" t="s">
        <v>83</v>
      </c>
      <c r="B27" s="73"/>
      <c r="C27" s="73"/>
      <c r="D27" s="73" t="s">
        <v>162</v>
      </c>
      <c r="E27" s="73" t="s">
        <v>26</v>
      </c>
      <c r="F27" s="84"/>
      <c r="G27" t="str" cm="1">
        <f t="array" ref="G27">GetPolarity(Table3[[#This Row],[meas_unit]],Table3[[#This Row],[secondary_unit]])</f>
        <v/>
      </c>
    </row>
    <row r="28" spans="1:7" x14ac:dyDescent="0.25">
      <c r="A28" s="72" t="s">
        <v>84</v>
      </c>
      <c r="B28" s="72"/>
      <c r="C28" s="72"/>
      <c r="D28" s="72" t="s">
        <v>163</v>
      </c>
      <c r="E28" s="72" t="s">
        <v>26</v>
      </c>
      <c r="F28" s="83"/>
      <c r="G28" t="str" cm="1">
        <f t="array" ref="G28">GetPolarity(Table3[[#This Row],[meas_unit]],Table3[[#This Row],[secondary_unit]])</f>
        <v/>
      </c>
    </row>
    <row r="29" spans="1:7" x14ac:dyDescent="0.25">
      <c r="A29" s="73" t="s">
        <v>85</v>
      </c>
      <c r="B29" s="73"/>
      <c r="C29" s="73"/>
      <c r="D29" s="73" t="s">
        <v>164</v>
      </c>
      <c r="E29" s="73" t="s">
        <v>26</v>
      </c>
      <c r="F29" s="84"/>
      <c r="G29" t="str" cm="1">
        <f t="array" ref="G29">GetPolarity(Table3[[#This Row],[meas_unit]],Table3[[#This Row],[secondary_unit]])</f>
        <v/>
      </c>
    </row>
    <row r="30" spans="1:7" x14ac:dyDescent="0.25">
      <c r="A30" s="72" t="s">
        <v>86</v>
      </c>
      <c r="B30" s="72"/>
      <c r="C30" s="72"/>
      <c r="D30" s="72" t="s">
        <v>165</v>
      </c>
      <c r="E30" s="72" t="s">
        <v>26</v>
      </c>
      <c r="F30" s="83"/>
      <c r="G30" t="str" cm="1">
        <f t="array" ref="G30">GetPolarity(Table3[[#This Row],[meas_unit]],Table3[[#This Row],[secondary_unit]])</f>
        <v/>
      </c>
    </row>
    <row r="31" spans="1:7" x14ac:dyDescent="0.25">
      <c r="A31" s="73" t="s">
        <v>87</v>
      </c>
      <c r="B31" s="73"/>
      <c r="C31" s="73"/>
      <c r="D31" s="73" t="s">
        <v>166</v>
      </c>
      <c r="E31" s="73" t="s">
        <v>26</v>
      </c>
      <c r="F31" s="84"/>
      <c r="G31" t="str" cm="1">
        <f t="array" ref="G31">GetPolarity(Table3[[#This Row],[meas_unit]],Table3[[#This Row],[secondary_unit]])</f>
        <v/>
      </c>
    </row>
    <row r="32" spans="1:7" x14ac:dyDescent="0.25">
      <c r="A32" s="72" t="s">
        <v>88</v>
      </c>
      <c r="B32" s="72"/>
      <c r="C32" s="72"/>
      <c r="D32" s="72" t="s">
        <v>167</v>
      </c>
      <c r="E32" s="72" t="s">
        <v>26</v>
      </c>
      <c r="F32" s="83"/>
      <c r="G32" t="str" cm="1">
        <f t="array" ref="G32">GetPolarity(Table3[[#This Row],[meas_unit]],Table3[[#This Row],[secondary_unit]])</f>
        <v/>
      </c>
    </row>
    <row r="33" spans="1:7" x14ac:dyDescent="0.25">
      <c r="A33" s="73" t="s">
        <v>98</v>
      </c>
      <c r="B33" s="73"/>
      <c r="C33" s="73"/>
      <c r="D33" s="73"/>
      <c r="E33" s="73" t="s">
        <v>152</v>
      </c>
      <c r="F33" s="84"/>
      <c r="G33" t="str" cm="1">
        <f t="array" ref="G33">GetPolarity(Table3[[#This Row],[meas_unit]],Table3[[#This Row],[secondary_unit]])</f>
        <v>DC</v>
      </c>
    </row>
    <row r="34" spans="1:7" x14ac:dyDescent="0.25">
      <c r="A34" s="72" t="s">
        <v>99</v>
      </c>
      <c r="B34" s="72"/>
      <c r="C34" s="72"/>
      <c r="D34" s="72"/>
      <c r="E34" s="72" t="s">
        <v>100</v>
      </c>
      <c r="F34" s="83"/>
      <c r="G34" t="str" cm="1">
        <f t="array" ref="G34">GetPolarity(Table3[[#This Row],[meas_unit]],Table3[[#This Row],[secondary_unit]])</f>
        <v>AC</v>
      </c>
    </row>
    <row r="35" spans="1:7" x14ac:dyDescent="0.25">
      <c r="A35" s="73" t="s">
        <v>69</v>
      </c>
      <c r="B35" s="73" t="s">
        <v>168</v>
      </c>
      <c r="C35" s="73"/>
      <c r="D35" s="73"/>
      <c r="E35" s="73" t="s">
        <v>6</v>
      </c>
      <c r="F35" s="84"/>
      <c r="G35" t="str" cm="1">
        <f t="array" ref="G35">GetPolarity(Table3[[#This Row],[meas_unit]],Table3[[#This Row],[secondary_unit]])</f>
        <v>DC</v>
      </c>
    </row>
    <row r="36" spans="1:7" x14ac:dyDescent="0.25">
      <c r="A36" s="72" t="s">
        <v>72</v>
      </c>
      <c r="B36" s="72" t="s">
        <v>153</v>
      </c>
      <c r="C36" s="72"/>
      <c r="D36" s="72"/>
      <c r="E36" s="72" t="s">
        <v>6</v>
      </c>
      <c r="F36" s="83"/>
      <c r="G36" t="str" cm="1">
        <f t="array" ref="G36">GetPolarity(Table3[[#This Row],[meas_unit]],Table3[[#This Row],[secondary_unit]])</f>
        <v>DC</v>
      </c>
    </row>
    <row r="37" spans="1:7" x14ac:dyDescent="0.25">
      <c r="A37" s="73" t="s">
        <v>73</v>
      </c>
      <c r="B37" s="73" t="s">
        <v>153</v>
      </c>
      <c r="C37" s="73"/>
      <c r="D37" s="73"/>
      <c r="E37" s="73" t="s">
        <v>102</v>
      </c>
      <c r="F37" s="84"/>
      <c r="G37" t="str" cm="1">
        <f t="array" ref="G37">GetPolarity(Table3[[#This Row],[meas_unit]],Table3[[#This Row],[secondary_unit]])</f>
        <v/>
      </c>
    </row>
    <row r="38" spans="1:7" x14ac:dyDescent="0.25">
      <c r="A38" s="72" t="s">
        <v>74</v>
      </c>
      <c r="B38" s="72" t="s">
        <v>169</v>
      </c>
      <c r="C38" s="72"/>
      <c r="D38" s="72" t="s">
        <v>161</v>
      </c>
      <c r="E38" s="72"/>
      <c r="F38" s="83"/>
      <c r="G38" t="str" cm="1">
        <f t="array" ref="G38">GetPolarity(Table3[[#This Row],[meas_unit]],Table3[[#This Row],[secondary_unit]])</f>
        <v/>
      </c>
    </row>
    <row r="39" spans="1:7" x14ac:dyDescent="0.25">
      <c r="A39" s="73" t="s">
        <v>75</v>
      </c>
      <c r="B39" s="73" t="s">
        <v>169</v>
      </c>
      <c r="C39" s="73"/>
      <c r="D39" s="73" t="s">
        <v>111</v>
      </c>
      <c r="E39" s="73"/>
      <c r="F39" s="84"/>
      <c r="G39" t="str" cm="1">
        <f t="array" ref="G39">GetPolarity(Table3[[#This Row],[meas_unit]],Table3[[#This Row],[secondary_unit]])</f>
        <v/>
      </c>
    </row>
    <row r="40" spans="1:7" x14ac:dyDescent="0.25">
      <c r="A40" s="72" t="s">
        <v>76</v>
      </c>
      <c r="B40" s="72" t="s">
        <v>169</v>
      </c>
      <c r="C40" s="72"/>
      <c r="D40" s="72" t="s">
        <v>162</v>
      </c>
      <c r="E40" s="72"/>
      <c r="F40" s="83"/>
      <c r="G40" t="str" cm="1">
        <f t="array" ref="G40">GetPolarity(Table3[[#This Row],[meas_unit]],Table3[[#This Row],[secondary_unit]])</f>
        <v/>
      </c>
    </row>
    <row r="41" spans="1:7" x14ac:dyDescent="0.25">
      <c r="A41" s="73" t="s">
        <v>77</v>
      </c>
      <c r="B41" s="73" t="s">
        <v>169</v>
      </c>
      <c r="C41" s="73"/>
      <c r="D41" s="73" t="s">
        <v>163</v>
      </c>
      <c r="E41" s="73"/>
      <c r="F41" s="84"/>
      <c r="G41" t="str" cm="1">
        <f t="array" ref="G41">GetPolarity(Table3[[#This Row],[meas_unit]],Table3[[#This Row],[secondary_unit]])</f>
        <v/>
      </c>
    </row>
    <row r="42" spans="1:7" x14ac:dyDescent="0.25">
      <c r="A42" s="72" t="s">
        <v>78</v>
      </c>
      <c r="B42" s="72" t="s">
        <v>169</v>
      </c>
      <c r="C42" s="72"/>
      <c r="D42" s="72" t="s">
        <v>164</v>
      </c>
      <c r="E42" s="72"/>
      <c r="F42" s="83"/>
      <c r="G42" t="str" cm="1">
        <f t="array" ref="G42">GetPolarity(Table3[[#This Row],[meas_unit]],Table3[[#This Row],[secondary_unit]])</f>
        <v/>
      </c>
    </row>
    <row r="43" spans="1:7" x14ac:dyDescent="0.25">
      <c r="A43" s="79" t="s">
        <v>79</v>
      </c>
      <c r="B43" s="79" t="s">
        <v>169</v>
      </c>
      <c r="C43" s="79"/>
      <c r="D43" s="79" t="s">
        <v>165</v>
      </c>
      <c r="E43" s="79"/>
      <c r="F43" s="80"/>
      <c r="G43" t="str" cm="1">
        <f t="array" ref="G43">GetPolarity(Table3[[#This Row],[meas_unit]],Table3[[#This Row],[secondary_unit]])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topLeftCell="A2623" zoomScaleNormal="100" workbookViewId="0">
      <selection activeCell="P2636" sqref="P2636"/>
    </sheetView>
  </sheetViews>
  <sheetFormatPr defaultRowHeight="15" x14ac:dyDescent="0.25"/>
  <cols>
    <col min="1" max="1" width="11.140625" style="98" bestFit="1" customWidth="1"/>
    <col min="2" max="2" width="14.140625" style="98" bestFit="1" customWidth="1"/>
    <col min="3" max="3" width="14.28515625" style="98" bestFit="1" customWidth="1"/>
    <col min="4" max="4" width="14.7109375" style="98" bestFit="1" customWidth="1"/>
    <col min="5" max="5" width="12" style="98" bestFit="1" customWidth="1"/>
    <col min="6" max="6" width="13.85546875" style="98" bestFit="1" customWidth="1"/>
    <col min="7" max="7" width="15" style="98" bestFit="1" customWidth="1"/>
    <col min="8" max="8" width="14.28515625" style="98" bestFit="1" customWidth="1"/>
    <col min="9" max="9" width="14.7109375" style="98" bestFit="1" customWidth="1"/>
    <col min="10" max="10" width="15.5703125" style="98" bestFit="1" customWidth="1"/>
    <col min="11" max="14" width="12" style="98" bestFit="1" customWidth="1"/>
    <col min="15" max="15" width="10.42578125" style="99" bestFit="1" customWidth="1"/>
    <col min="16" max="16" width="14.85546875" bestFit="1" customWidth="1"/>
  </cols>
  <sheetData>
    <row r="1" spans="1:15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s="99" t="s">
        <v>177</v>
      </c>
    </row>
    <row r="2" spans="1:15" x14ac:dyDescent="0.25">
      <c r="A2" s="98" t="s">
        <v>56</v>
      </c>
      <c r="B2" s="98" t="s">
        <v>69</v>
      </c>
      <c r="C2" s="98">
        <v>0</v>
      </c>
      <c r="D2" s="98">
        <v>1E-3</v>
      </c>
      <c r="E2" s="98">
        <v>1E-8</v>
      </c>
      <c r="F2" s="98" t="s">
        <v>6</v>
      </c>
      <c r="G2" s="98" t="s">
        <v>5</v>
      </c>
      <c r="H2" s="98">
        <v>0</v>
      </c>
      <c r="I2" s="98">
        <v>0</v>
      </c>
      <c r="K2" s="98">
        <v>0.62</v>
      </c>
      <c r="L2" s="98">
        <v>4.5</v>
      </c>
      <c r="M2" s="98">
        <v>2.7845000000000002E-2</v>
      </c>
      <c r="N2" s="98">
        <v>71.95</v>
      </c>
      <c r="O2" s="99" t="s">
        <v>212</v>
      </c>
    </row>
    <row r="3" spans="1:15" x14ac:dyDescent="0.25">
      <c r="A3" s="98" t="s">
        <v>56</v>
      </c>
      <c r="B3" s="98" t="s">
        <v>69</v>
      </c>
      <c r="C3" s="98">
        <v>0</v>
      </c>
      <c r="D3" s="98">
        <v>1E-3</v>
      </c>
      <c r="E3" s="98">
        <v>9.9999999999999995E-8</v>
      </c>
      <c r="F3" s="98" t="s">
        <v>6</v>
      </c>
      <c r="G3" s="98" t="s">
        <v>5</v>
      </c>
      <c r="H3" s="98">
        <v>0</v>
      </c>
      <c r="I3" s="98">
        <v>0</v>
      </c>
      <c r="K3" s="98">
        <v>0.62</v>
      </c>
      <c r="L3" s="98">
        <v>4.5</v>
      </c>
      <c r="M3" s="98">
        <v>6.2206999999999998E-2</v>
      </c>
      <c r="N3" s="98">
        <v>53.073</v>
      </c>
      <c r="O3" s="99" t="s">
        <v>213</v>
      </c>
    </row>
    <row r="4" spans="1:15" x14ac:dyDescent="0.25">
      <c r="A4" s="98" t="s">
        <v>56</v>
      </c>
      <c r="B4" s="98" t="s">
        <v>69</v>
      </c>
      <c r="C4" s="98">
        <v>0</v>
      </c>
      <c r="D4" s="98">
        <v>1E-3</v>
      </c>
      <c r="E4" s="98">
        <v>9.9999999999999995E-7</v>
      </c>
      <c r="F4" s="98" t="s">
        <v>6</v>
      </c>
      <c r="G4" s="98" t="s">
        <v>5</v>
      </c>
      <c r="H4" s="98">
        <v>0</v>
      </c>
      <c r="I4" s="98">
        <v>0</v>
      </c>
      <c r="K4" s="98">
        <v>0.62</v>
      </c>
      <c r="L4" s="98">
        <v>4.5</v>
      </c>
      <c r="M4" s="98">
        <v>0.58020000000000005</v>
      </c>
      <c r="N4" s="98">
        <v>8.2951999999999995</v>
      </c>
      <c r="O4" s="99" t="s">
        <v>214</v>
      </c>
    </row>
    <row r="5" spans="1:15" x14ac:dyDescent="0.25">
      <c r="A5" s="98" t="s">
        <v>56</v>
      </c>
      <c r="B5" s="98" t="s">
        <v>69</v>
      </c>
      <c r="C5" s="98">
        <v>0</v>
      </c>
      <c r="D5" s="98">
        <v>1E-3</v>
      </c>
      <c r="E5" s="98">
        <v>1.0000000000000001E-5</v>
      </c>
      <c r="F5" s="98" t="s">
        <v>6</v>
      </c>
      <c r="G5" s="98" t="s">
        <v>5</v>
      </c>
      <c r="H5" s="98">
        <v>0</v>
      </c>
      <c r="I5" s="98">
        <v>0</v>
      </c>
      <c r="K5" s="98">
        <v>5.8</v>
      </c>
      <c r="L5" s="98">
        <v>0.89276</v>
      </c>
      <c r="M5" s="98">
        <v>5.8</v>
      </c>
      <c r="N5" s="98">
        <v>0.83626</v>
      </c>
      <c r="O5" s="99" t="s">
        <v>215</v>
      </c>
    </row>
    <row r="6" spans="1:15" x14ac:dyDescent="0.25">
      <c r="A6" s="98" t="s">
        <v>56</v>
      </c>
      <c r="B6" s="98" t="s">
        <v>69</v>
      </c>
      <c r="C6" s="98">
        <v>0</v>
      </c>
      <c r="D6" s="98">
        <v>1E-3</v>
      </c>
      <c r="E6" s="98">
        <v>1E-4</v>
      </c>
      <c r="F6" s="98" t="s">
        <v>6</v>
      </c>
      <c r="G6" s="98" t="s">
        <v>5</v>
      </c>
      <c r="H6" s="98">
        <v>0</v>
      </c>
      <c r="I6" s="98">
        <v>0</v>
      </c>
      <c r="K6" s="98">
        <v>58</v>
      </c>
      <c r="L6" s="98">
        <v>0.10624</v>
      </c>
      <c r="M6" s="98">
        <v>58</v>
      </c>
      <c r="N6" s="98">
        <v>8.3632999999999999E-2</v>
      </c>
      <c r="O6" s="99" t="s">
        <v>216</v>
      </c>
    </row>
    <row r="7" spans="1:15" x14ac:dyDescent="0.25">
      <c r="A7" s="98" t="s">
        <v>56</v>
      </c>
      <c r="B7" s="98" t="s">
        <v>69</v>
      </c>
      <c r="C7" s="98">
        <v>0</v>
      </c>
      <c r="D7" s="98">
        <v>1E-3</v>
      </c>
      <c r="E7" s="98">
        <v>1E-3</v>
      </c>
      <c r="F7" s="98" t="s">
        <v>6</v>
      </c>
      <c r="G7" s="98" t="s">
        <v>5</v>
      </c>
      <c r="H7" s="98">
        <v>0</v>
      </c>
      <c r="I7" s="98">
        <v>0</v>
      </c>
      <c r="K7" s="98">
        <v>580</v>
      </c>
      <c r="L7" s="98">
        <v>1.7406000000000001E-2</v>
      </c>
      <c r="M7" s="98">
        <v>580</v>
      </c>
      <c r="N7" s="98">
        <v>8.3633000000000006E-3</v>
      </c>
      <c r="O7" s="99" t="s">
        <v>217</v>
      </c>
    </row>
    <row r="8" spans="1:15" x14ac:dyDescent="0.25">
      <c r="A8" s="98" t="s">
        <v>56</v>
      </c>
      <c r="B8" s="98" t="s">
        <v>69</v>
      </c>
      <c r="C8" s="98">
        <v>1E-3</v>
      </c>
      <c r="D8" s="98">
        <v>0.01</v>
      </c>
      <c r="E8" s="98">
        <v>1E-8</v>
      </c>
      <c r="F8" s="98" t="s">
        <v>6</v>
      </c>
      <c r="G8" s="98" t="s">
        <v>5</v>
      </c>
      <c r="H8" s="98">
        <v>0</v>
      </c>
      <c r="I8" s="98">
        <v>0</v>
      </c>
      <c r="K8" s="98">
        <v>0.62</v>
      </c>
      <c r="L8" s="98">
        <v>4.5</v>
      </c>
      <c r="M8" s="98">
        <v>6.0671999999999997E-2</v>
      </c>
      <c r="N8" s="98">
        <v>48.506</v>
      </c>
      <c r="O8" s="99" t="s">
        <v>218</v>
      </c>
    </row>
    <row r="9" spans="1:15" x14ac:dyDescent="0.25">
      <c r="A9" s="98" t="s">
        <v>56</v>
      </c>
      <c r="B9" s="98" t="s">
        <v>69</v>
      </c>
      <c r="C9" s="98">
        <v>1E-3</v>
      </c>
      <c r="D9" s="98">
        <v>0.01</v>
      </c>
      <c r="E9" s="98">
        <v>9.9999999999999995E-8</v>
      </c>
      <c r="F9" s="98" t="s">
        <v>6</v>
      </c>
      <c r="G9" s="98" t="s">
        <v>5</v>
      </c>
      <c r="H9" s="98">
        <v>0</v>
      </c>
      <c r="I9" s="98">
        <v>0</v>
      </c>
      <c r="K9" s="98">
        <v>0.62</v>
      </c>
      <c r="L9" s="98">
        <v>4.5</v>
      </c>
      <c r="M9" s="98">
        <v>7.6235999999999998E-2</v>
      </c>
      <c r="N9" s="98">
        <v>47.253999999999998</v>
      </c>
      <c r="O9" s="99" t="s">
        <v>219</v>
      </c>
    </row>
    <row r="10" spans="1:15" x14ac:dyDescent="0.25">
      <c r="A10" s="98" t="s">
        <v>56</v>
      </c>
      <c r="B10" s="98" t="s">
        <v>69</v>
      </c>
      <c r="C10" s="98">
        <v>1E-3</v>
      </c>
      <c r="D10" s="98">
        <v>0.01</v>
      </c>
      <c r="E10" s="98">
        <v>9.9999999999999995E-7</v>
      </c>
      <c r="F10" s="98" t="s">
        <v>6</v>
      </c>
      <c r="G10" s="98" t="s">
        <v>5</v>
      </c>
      <c r="H10" s="98">
        <v>0</v>
      </c>
      <c r="I10" s="98">
        <v>0</v>
      </c>
      <c r="K10" s="98">
        <v>0.62</v>
      </c>
      <c r="L10" s="98">
        <v>19.155000000000001</v>
      </c>
      <c r="M10" s="98">
        <v>0.56725000000000003</v>
      </c>
      <c r="N10" s="98">
        <v>22.911999999999999</v>
      </c>
      <c r="O10" s="99" t="s">
        <v>220</v>
      </c>
    </row>
    <row r="11" spans="1:15" x14ac:dyDescent="0.25">
      <c r="A11" s="98" t="s">
        <v>56</v>
      </c>
      <c r="B11" s="98" t="s">
        <v>69</v>
      </c>
      <c r="C11" s="98">
        <v>1E-3</v>
      </c>
      <c r="D11" s="98">
        <v>0.01</v>
      </c>
      <c r="E11" s="98">
        <v>1.0000000000000001E-5</v>
      </c>
      <c r="F11" s="98" t="s">
        <v>6</v>
      </c>
      <c r="G11" s="98" t="s">
        <v>5</v>
      </c>
      <c r="H11" s="98">
        <v>0</v>
      </c>
      <c r="I11" s="98">
        <v>0</v>
      </c>
      <c r="K11" s="98">
        <v>5.7983000000000002</v>
      </c>
      <c r="L11" s="98">
        <v>2.7570000000000001</v>
      </c>
      <c r="M11" s="98">
        <v>5.7983000000000002</v>
      </c>
      <c r="N11" s="98">
        <v>2.7323</v>
      </c>
      <c r="O11" s="99" t="s">
        <v>221</v>
      </c>
    </row>
    <row r="12" spans="1:15" x14ac:dyDescent="0.25">
      <c r="A12" s="98" t="s">
        <v>56</v>
      </c>
      <c r="B12" s="98" t="s">
        <v>69</v>
      </c>
      <c r="C12" s="98">
        <v>1E-3</v>
      </c>
      <c r="D12" s="98">
        <v>0.01</v>
      </c>
      <c r="E12" s="98">
        <v>1E-4</v>
      </c>
      <c r="F12" s="98" t="s">
        <v>6</v>
      </c>
      <c r="G12" s="98" t="s">
        <v>5</v>
      </c>
      <c r="H12" s="98">
        <v>0</v>
      </c>
      <c r="I12" s="98">
        <v>0</v>
      </c>
      <c r="K12" s="98">
        <v>58</v>
      </c>
      <c r="L12" s="98">
        <v>0.2838</v>
      </c>
      <c r="M12" s="98">
        <v>58</v>
      </c>
      <c r="N12" s="98">
        <v>0.27384999999999998</v>
      </c>
      <c r="O12" s="99" t="s">
        <v>222</v>
      </c>
    </row>
    <row r="13" spans="1:15" x14ac:dyDescent="0.25">
      <c r="A13" s="98" t="s">
        <v>56</v>
      </c>
      <c r="B13" s="98" t="s">
        <v>69</v>
      </c>
      <c r="C13" s="98">
        <v>1E-3</v>
      </c>
      <c r="D13" s="98">
        <v>0.01</v>
      </c>
      <c r="E13" s="98">
        <v>1E-3</v>
      </c>
      <c r="F13" s="98" t="s">
        <v>6</v>
      </c>
      <c r="G13" s="98" t="s">
        <v>5</v>
      </c>
      <c r="H13" s="98">
        <v>0</v>
      </c>
      <c r="I13" s="98">
        <v>0</v>
      </c>
      <c r="K13" s="98">
        <v>580</v>
      </c>
      <c r="L13" s="98">
        <v>3.1364000000000003E-2</v>
      </c>
      <c r="M13" s="98">
        <v>580</v>
      </c>
      <c r="N13" s="98">
        <v>2.7386000000000001E-2</v>
      </c>
      <c r="O13" s="99" t="s">
        <v>223</v>
      </c>
    </row>
    <row r="14" spans="1:15" x14ac:dyDescent="0.25">
      <c r="A14" s="98" t="s">
        <v>56</v>
      </c>
      <c r="B14" s="98" t="s">
        <v>69</v>
      </c>
      <c r="C14" s="98">
        <v>0.01</v>
      </c>
      <c r="D14" s="98">
        <v>0.1</v>
      </c>
      <c r="E14" s="98">
        <v>9.9999999999999995E-8</v>
      </c>
      <c r="F14" s="98" t="s">
        <v>6</v>
      </c>
      <c r="G14" s="98" t="s">
        <v>5</v>
      </c>
      <c r="H14" s="98">
        <v>0</v>
      </c>
      <c r="I14" s="98">
        <v>0</v>
      </c>
      <c r="K14" s="98">
        <v>0.48</v>
      </c>
      <c r="L14" s="98">
        <v>37</v>
      </c>
      <c r="M14" s="98">
        <v>0.47363</v>
      </c>
      <c r="N14" s="98">
        <v>36.624000000000002</v>
      </c>
      <c r="O14" s="99" t="s">
        <v>224</v>
      </c>
    </row>
    <row r="15" spans="1:15" x14ac:dyDescent="0.25">
      <c r="A15" s="98" t="s">
        <v>56</v>
      </c>
      <c r="B15" s="98" t="s">
        <v>69</v>
      </c>
      <c r="C15" s="98">
        <v>0.01</v>
      </c>
      <c r="D15" s="98">
        <v>0.1</v>
      </c>
      <c r="E15" s="98">
        <v>9.9999999999999995E-7</v>
      </c>
      <c r="F15" s="98" t="s">
        <v>6</v>
      </c>
      <c r="G15" s="98" t="s">
        <v>5</v>
      </c>
      <c r="H15" s="98">
        <v>0</v>
      </c>
      <c r="I15" s="98">
        <v>0</v>
      </c>
      <c r="K15" s="98">
        <v>0.66959999999999997</v>
      </c>
      <c r="L15" s="98">
        <v>35.075000000000003</v>
      </c>
      <c r="M15" s="98">
        <v>0.66822999999999999</v>
      </c>
      <c r="N15" s="98">
        <v>35.079000000000001</v>
      </c>
      <c r="O15" s="99" t="s">
        <v>225</v>
      </c>
    </row>
    <row r="16" spans="1:15" x14ac:dyDescent="0.25">
      <c r="A16" s="98" t="s">
        <v>56</v>
      </c>
      <c r="B16" s="98" t="s">
        <v>69</v>
      </c>
      <c r="C16" s="98">
        <v>0.01</v>
      </c>
      <c r="D16" s="98">
        <v>0.1</v>
      </c>
      <c r="E16" s="98">
        <v>1.0000000000000001E-5</v>
      </c>
      <c r="F16" s="98" t="s">
        <v>6</v>
      </c>
      <c r="G16" s="98" t="s">
        <v>5</v>
      </c>
      <c r="H16" s="98">
        <v>0</v>
      </c>
      <c r="I16" s="98">
        <v>0</v>
      </c>
      <c r="K16" s="98">
        <v>5.7206999999999999</v>
      </c>
      <c r="L16" s="98">
        <v>14.051</v>
      </c>
      <c r="M16" s="98">
        <v>5.7199</v>
      </c>
      <c r="N16" s="98">
        <v>14.036</v>
      </c>
      <c r="O16" s="99" t="s">
        <v>226</v>
      </c>
    </row>
    <row r="17" spans="1:15" x14ac:dyDescent="0.25">
      <c r="A17" s="98" t="s">
        <v>56</v>
      </c>
      <c r="B17" s="98" t="s">
        <v>69</v>
      </c>
      <c r="C17" s="98">
        <v>0.01</v>
      </c>
      <c r="D17" s="98">
        <v>0.1</v>
      </c>
      <c r="E17" s="98">
        <v>1E-4</v>
      </c>
      <c r="F17" s="98" t="s">
        <v>6</v>
      </c>
      <c r="G17" s="98" t="s">
        <v>5</v>
      </c>
      <c r="H17" s="98">
        <v>0</v>
      </c>
      <c r="I17" s="98">
        <v>0</v>
      </c>
      <c r="K17" s="98">
        <v>57.991</v>
      </c>
      <c r="L17" s="98">
        <v>1.5773999999999999</v>
      </c>
      <c r="M17" s="98">
        <v>57.99</v>
      </c>
      <c r="N17" s="98">
        <v>1.5689</v>
      </c>
      <c r="O17" s="99" t="s">
        <v>227</v>
      </c>
    </row>
    <row r="18" spans="1:15" x14ac:dyDescent="0.25">
      <c r="A18" s="98" t="s">
        <v>56</v>
      </c>
      <c r="B18" s="98" t="s">
        <v>69</v>
      </c>
      <c r="C18" s="98">
        <v>0.01</v>
      </c>
      <c r="D18" s="98">
        <v>0.1</v>
      </c>
      <c r="E18" s="98">
        <v>1E-3</v>
      </c>
      <c r="F18" s="98" t="s">
        <v>6</v>
      </c>
      <c r="G18" s="98" t="s">
        <v>5</v>
      </c>
      <c r="H18" s="98">
        <v>0</v>
      </c>
      <c r="I18" s="98">
        <v>0</v>
      </c>
      <c r="K18" s="98">
        <v>580</v>
      </c>
      <c r="L18" s="98">
        <v>0.16048999999999999</v>
      </c>
      <c r="M18" s="98">
        <v>580</v>
      </c>
      <c r="N18" s="98">
        <v>0.15709999999999999</v>
      </c>
      <c r="O18" s="99" t="s">
        <v>228</v>
      </c>
    </row>
    <row r="19" spans="1:15" x14ac:dyDescent="0.25">
      <c r="A19" s="98" t="s">
        <v>56</v>
      </c>
      <c r="B19" s="98" t="s">
        <v>69</v>
      </c>
      <c r="C19" s="98">
        <v>0.01</v>
      </c>
      <c r="D19" s="98">
        <v>0.1</v>
      </c>
      <c r="E19" s="98">
        <v>0.01</v>
      </c>
      <c r="F19" s="98" t="s">
        <v>6</v>
      </c>
      <c r="G19" s="98" t="s">
        <v>5</v>
      </c>
      <c r="H19" s="98">
        <v>0</v>
      </c>
      <c r="I19" s="98">
        <v>0</v>
      </c>
      <c r="K19" s="98">
        <v>5800</v>
      </c>
      <c r="L19" s="98">
        <v>1.7066999999999999E-2</v>
      </c>
      <c r="M19" s="98">
        <v>5800</v>
      </c>
      <c r="N19" s="98">
        <v>1.5709999999999998E-2</v>
      </c>
      <c r="O19" s="99" t="s">
        <v>229</v>
      </c>
    </row>
    <row r="20" spans="1:15" x14ac:dyDescent="0.25">
      <c r="A20" s="98" t="s">
        <v>56</v>
      </c>
      <c r="B20" s="98" t="s">
        <v>69</v>
      </c>
      <c r="C20" s="98">
        <v>0.1</v>
      </c>
      <c r="D20" s="98">
        <v>1</v>
      </c>
      <c r="E20" s="98">
        <v>9.9999999999999995E-7</v>
      </c>
      <c r="F20" s="98" t="s">
        <v>6</v>
      </c>
      <c r="G20" s="98" t="s">
        <v>5</v>
      </c>
      <c r="H20" s="98">
        <v>0</v>
      </c>
      <c r="I20" s="98">
        <v>0</v>
      </c>
      <c r="K20" s="98">
        <v>4.7</v>
      </c>
      <c r="L20" s="98">
        <v>41</v>
      </c>
      <c r="M20" s="98">
        <v>4.6517999999999997</v>
      </c>
      <c r="N20" s="98">
        <v>40.781999999999996</v>
      </c>
      <c r="O20" s="99" t="s">
        <v>230</v>
      </c>
    </row>
    <row r="21" spans="1:15" x14ac:dyDescent="0.25">
      <c r="A21" s="98" t="s">
        <v>56</v>
      </c>
      <c r="B21" s="98" t="s">
        <v>69</v>
      </c>
      <c r="C21" s="98">
        <v>0.1</v>
      </c>
      <c r="D21" s="98">
        <v>1</v>
      </c>
      <c r="E21" s="98">
        <v>1.0000000000000001E-5</v>
      </c>
      <c r="F21" s="98" t="s">
        <v>6</v>
      </c>
      <c r="G21" s="98" t="s">
        <v>5</v>
      </c>
      <c r="H21" s="98">
        <v>0</v>
      </c>
      <c r="I21" s="98">
        <v>0</v>
      </c>
      <c r="K21" s="98">
        <v>6.5522999999999998</v>
      </c>
      <c r="L21" s="98">
        <v>39.255000000000003</v>
      </c>
      <c r="M21" s="98">
        <v>6.5388999999999999</v>
      </c>
      <c r="N21" s="98">
        <v>39.26</v>
      </c>
      <c r="O21" s="99" t="s">
        <v>231</v>
      </c>
    </row>
    <row r="22" spans="1:15" x14ac:dyDescent="0.25">
      <c r="A22" s="98" t="s">
        <v>56</v>
      </c>
      <c r="B22" s="98" t="s">
        <v>69</v>
      </c>
      <c r="C22" s="98">
        <v>0.1</v>
      </c>
      <c r="D22" s="98">
        <v>1</v>
      </c>
      <c r="E22" s="98">
        <v>1E-4</v>
      </c>
      <c r="F22" s="98" t="s">
        <v>6</v>
      </c>
      <c r="G22" s="98" t="s">
        <v>5</v>
      </c>
      <c r="H22" s="98">
        <v>0</v>
      </c>
      <c r="I22" s="98">
        <v>0</v>
      </c>
      <c r="K22" s="98">
        <v>56.988999999999997</v>
      </c>
      <c r="L22" s="98">
        <v>16.704999999999998</v>
      </c>
      <c r="M22" s="98">
        <v>56.981000000000002</v>
      </c>
      <c r="N22" s="98">
        <v>16.693000000000001</v>
      </c>
      <c r="O22" s="99" t="s">
        <v>232</v>
      </c>
    </row>
    <row r="23" spans="1:15" x14ac:dyDescent="0.25">
      <c r="A23" s="98" t="s">
        <v>56</v>
      </c>
      <c r="B23" s="98" t="s">
        <v>69</v>
      </c>
      <c r="C23" s="98">
        <v>0.1</v>
      </c>
      <c r="D23" s="98">
        <v>1</v>
      </c>
      <c r="E23" s="98">
        <v>1E-3</v>
      </c>
      <c r="F23" s="98" t="s">
        <v>6</v>
      </c>
      <c r="G23" s="98" t="s">
        <v>5</v>
      </c>
      <c r="H23" s="98">
        <v>0</v>
      </c>
      <c r="I23" s="98">
        <v>0</v>
      </c>
      <c r="K23" s="98">
        <v>579.88</v>
      </c>
      <c r="L23" s="98">
        <v>1.9084000000000001</v>
      </c>
      <c r="M23" s="98">
        <v>579.88</v>
      </c>
      <c r="N23" s="98">
        <v>1.9012</v>
      </c>
      <c r="O23" s="99" t="s">
        <v>233</v>
      </c>
    </row>
    <row r="24" spans="1:15" x14ac:dyDescent="0.25">
      <c r="A24" s="98" t="s">
        <v>56</v>
      </c>
      <c r="B24" s="98" t="s">
        <v>69</v>
      </c>
      <c r="C24" s="98">
        <v>0.1</v>
      </c>
      <c r="D24" s="98">
        <v>1</v>
      </c>
      <c r="E24" s="98">
        <v>0.01</v>
      </c>
      <c r="F24" s="98" t="s">
        <v>6</v>
      </c>
      <c r="G24" s="98" t="s">
        <v>5</v>
      </c>
      <c r="H24" s="98">
        <v>0</v>
      </c>
      <c r="I24" s="98">
        <v>0</v>
      </c>
      <c r="K24" s="98">
        <v>5800</v>
      </c>
      <c r="L24" s="98">
        <v>0.19328999999999999</v>
      </c>
      <c r="M24" s="98">
        <v>5800</v>
      </c>
      <c r="N24" s="98">
        <v>0.19042000000000001</v>
      </c>
      <c r="O24" s="99" t="s">
        <v>234</v>
      </c>
    </row>
    <row r="25" spans="1:15" x14ac:dyDescent="0.25">
      <c r="A25" s="98" t="s">
        <v>56</v>
      </c>
      <c r="B25" s="98" t="s">
        <v>69</v>
      </c>
      <c r="C25" s="98">
        <v>0.1</v>
      </c>
      <c r="D25" s="98">
        <v>1</v>
      </c>
      <c r="E25" s="98">
        <v>0.1</v>
      </c>
      <c r="F25" s="98" t="s">
        <v>6</v>
      </c>
      <c r="G25" s="98" t="s">
        <v>5</v>
      </c>
      <c r="H25" s="98">
        <v>0</v>
      </c>
      <c r="I25" s="98">
        <v>0</v>
      </c>
      <c r="K25" s="98">
        <v>58000</v>
      </c>
      <c r="L25" s="98">
        <v>2.0188000000000001E-2</v>
      </c>
      <c r="M25" s="98">
        <v>58000</v>
      </c>
      <c r="N25" s="98">
        <v>1.9042E-2</v>
      </c>
      <c r="O25" s="99" t="s">
        <v>235</v>
      </c>
    </row>
    <row r="26" spans="1:15" x14ac:dyDescent="0.25">
      <c r="A26" s="98" t="s">
        <v>56</v>
      </c>
      <c r="B26" s="98" t="s">
        <v>69</v>
      </c>
      <c r="C26" s="98">
        <v>1</v>
      </c>
      <c r="D26" s="98">
        <v>10</v>
      </c>
      <c r="E26" s="98">
        <v>1.0000000000000001E-5</v>
      </c>
      <c r="F26" s="98" t="s">
        <v>6</v>
      </c>
      <c r="G26" s="98" t="s">
        <v>5</v>
      </c>
      <c r="H26" s="98">
        <v>0</v>
      </c>
      <c r="I26" s="98">
        <v>0</v>
      </c>
      <c r="K26" s="98">
        <v>47</v>
      </c>
      <c r="L26" s="98">
        <v>35</v>
      </c>
      <c r="M26" s="98">
        <v>46.375999999999998</v>
      </c>
      <c r="N26" s="98">
        <v>34.813000000000002</v>
      </c>
      <c r="O26" s="99" t="s">
        <v>236</v>
      </c>
    </row>
    <row r="27" spans="1:15" x14ac:dyDescent="0.25">
      <c r="A27" s="98" t="s">
        <v>56</v>
      </c>
      <c r="B27" s="98" t="s">
        <v>69</v>
      </c>
      <c r="C27" s="98">
        <v>1</v>
      </c>
      <c r="D27" s="98">
        <v>10</v>
      </c>
      <c r="E27" s="98">
        <v>1E-4</v>
      </c>
      <c r="F27" s="98" t="s">
        <v>6</v>
      </c>
      <c r="G27" s="98" t="s">
        <v>5</v>
      </c>
      <c r="H27" s="98">
        <v>0</v>
      </c>
      <c r="I27" s="98">
        <v>0</v>
      </c>
      <c r="K27" s="98">
        <v>66.457999999999998</v>
      </c>
      <c r="L27" s="98">
        <v>33.231999999999999</v>
      </c>
      <c r="M27" s="98">
        <v>66.382000000000005</v>
      </c>
      <c r="N27" s="98">
        <v>33.231999999999999</v>
      </c>
      <c r="O27" s="99" t="s">
        <v>237</v>
      </c>
    </row>
    <row r="28" spans="1:15" x14ac:dyDescent="0.25">
      <c r="A28" s="98" t="s">
        <v>56</v>
      </c>
      <c r="B28" s="98" t="s">
        <v>69</v>
      </c>
      <c r="C28" s="98">
        <v>1</v>
      </c>
      <c r="D28" s="98">
        <v>10</v>
      </c>
      <c r="E28" s="98">
        <v>1E-3</v>
      </c>
      <c r="F28" s="98" t="s">
        <v>6</v>
      </c>
      <c r="G28" s="98" t="s">
        <v>5</v>
      </c>
      <c r="H28" s="98">
        <v>0</v>
      </c>
      <c r="I28" s="98">
        <v>0</v>
      </c>
      <c r="K28" s="98">
        <v>572.80999999999995</v>
      </c>
      <c r="L28" s="98">
        <v>12.879</v>
      </c>
      <c r="M28" s="98">
        <v>572.76</v>
      </c>
      <c r="N28" s="98">
        <v>12.867000000000001</v>
      </c>
      <c r="O28" s="99" t="s">
        <v>238</v>
      </c>
    </row>
    <row r="29" spans="1:15" x14ac:dyDescent="0.25">
      <c r="A29" s="98" t="s">
        <v>56</v>
      </c>
      <c r="B29" s="98" t="s">
        <v>69</v>
      </c>
      <c r="C29" s="98">
        <v>1</v>
      </c>
      <c r="D29" s="98">
        <v>10</v>
      </c>
      <c r="E29" s="98">
        <v>0.01</v>
      </c>
      <c r="F29" s="98" t="s">
        <v>6</v>
      </c>
      <c r="G29" s="98" t="s">
        <v>5</v>
      </c>
      <c r="H29" s="98">
        <v>0</v>
      </c>
      <c r="I29" s="98">
        <v>0</v>
      </c>
      <c r="K29" s="98">
        <v>5799.2</v>
      </c>
      <c r="L29" s="98">
        <v>1.4325000000000001</v>
      </c>
      <c r="M29" s="98">
        <v>5799.1</v>
      </c>
      <c r="N29" s="98">
        <v>1.4258999999999999</v>
      </c>
      <c r="O29" s="99" t="s">
        <v>239</v>
      </c>
    </row>
    <row r="30" spans="1:15" x14ac:dyDescent="0.25">
      <c r="A30" s="98" t="s">
        <v>56</v>
      </c>
      <c r="B30" s="98" t="s">
        <v>69</v>
      </c>
      <c r="C30" s="98">
        <v>1</v>
      </c>
      <c r="D30" s="98">
        <v>10</v>
      </c>
      <c r="E30" s="98">
        <v>0.1</v>
      </c>
      <c r="F30" s="98" t="s">
        <v>6</v>
      </c>
      <c r="G30" s="98" t="s">
        <v>5</v>
      </c>
      <c r="H30" s="98">
        <v>0</v>
      </c>
      <c r="I30" s="98">
        <v>0</v>
      </c>
      <c r="K30" s="98">
        <v>58000</v>
      </c>
      <c r="L30" s="98">
        <v>0.1454</v>
      </c>
      <c r="M30" s="98">
        <v>58000</v>
      </c>
      <c r="N30" s="98">
        <v>0.14276</v>
      </c>
      <c r="O30" s="99" t="s">
        <v>240</v>
      </c>
    </row>
    <row r="31" spans="1:15" x14ac:dyDescent="0.25">
      <c r="A31" s="98" t="s">
        <v>56</v>
      </c>
      <c r="B31" s="98" t="s">
        <v>69</v>
      </c>
      <c r="C31" s="98">
        <v>1</v>
      </c>
      <c r="D31" s="98">
        <v>10</v>
      </c>
      <c r="E31" s="98">
        <v>1</v>
      </c>
      <c r="F31" s="98" t="s">
        <v>6</v>
      </c>
      <c r="G31" s="98" t="s">
        <v>5</v>
      </c>
      <c r="H31" s="98">
        <v>0</v>
      </c>
      <c r="I31" s="98">
        <v>0</v>
      </c>
      <c r="K31" s="98">
        <v>580000</v>
      </c>
      <c r="L31" s="98">
        <v>1.5330999999999999E-2</v>
      </c>
      <c r="M31" s="98">
        <v>580000</v>
      </c>
      <c r="N31" s="98">
        <v>1.4276E-2</v>
      </c>
      <c r="O31" s="99" t="s">
        <v>241</v>
      </c>
    </row>
    <row r="32" spans="1:15" x14ac:dyDescent="0.25">
      <c r="A32" s="98" t="s">
        <v>56</v>
      </c>
      <c r="B32" s="98" t="s">
        <v>69</v>
      </c>
      <c r="C32" s="98">
        <v>10</v>
      </c>
      <c r="D32" s="98">
        <v>100</v>
      </c>
      <c r="E32" s="98">
        <v>1E-4</v>
      </c>
      <c r="F32" s="98" t="s">
        <v>6</v>
      </c>
      <c r="G32" s="98" t="s">
        <v>4</v>
      </c>
      <c r="H32" s="98">
        <v>0</v>
      </c>
      <c r="I32" s="98">
        <v>0</v>
      </c>
      <c r="K32" s="98">
        <v>0.57999999999999996</v>
      </c>
      <c r="L32" s="98">
        <v>4.1000000000000002E-2</v>
      </c>
      <c r="M32" s="98">
        <v>0.57894999999999996</v>
      </c>
      <c r="N32" s="98">
        <v>4.0740999999999999E-2</v>
      </c>
      <c r="O32" s="99" t="s">
        <v>242</v>
      </c>
    </row>
    <row r="33" spans="1:15" x14ac:dyDescent="0.25">
      <c r="A33" s="98" t="s">
        <v>56</v>
      </c>
      <c r="B33" s="98" t="s">
        <v>69</v>
      </c>
      <c r="C33" s="98">
        <v>10</v>
      </c>
      <c r="D33" s="98">
        <v>100</v>
      </c>
      <c r="E33" s="98">
        <v>1E-3</v>
      </c>
      <c r="F33" s="98" t="s">
        <v>6</v>
      </c>
      <c r="G33" s="98" t="s">
        <v>4</v>
      </c>
      <c r="H33" s="98">
        <v>0</v>
      </c>
      <c r="I33" s="98">
        <v>0</v>
      </c>
      <c r="K33" s="98">
        <v>0.74950000000000006</v>
      </c>
      <c r="L33" s="98">
        <v>3.9399000000000003E-2</v>
      </c>
      <c r="M33" s="98">
        <v>0.74878999999999996</v>
      </c>
      <c r="N33" s="98">
        <v>3.9399000000000003E-2</v>
      </c>
      <c r="O33" s="99" t="s">
        <v>243</v>
      </c>
    </row>
    <row r="34" spans="1:15" x14ac:dyDescent="0.25">
      <c r="A34" s="98" t="s">
        <v>56</v>
      </c>
      <c r="B34" s="98" t="s">
        <v>69</v>
      </c>
      <c r="C34" s="98">
        <v>10</v>
      </c>
      <c r="D34" s="98">
        <v>100</v>
      </c>
      <c r="E34" s="98">
        <v>0.01</v>
      </c>
      <c r="F34" s="98" t="s">
        <v>6</v>
      </c>
      <c r="G34" s="98" t="s">
        <v>4</v>
      </c>
      <c r="H34" s="98">
        <v>0</v>
      </c>
      <c r="I34" s="98">
        <v>0</v>
      </c>
      <c r="K34" s="98">
        <v>5.7108999999999996</v>
      </c>
      <c r="L34" s="98">
        <v>1.7264000000000002E-2</v>
      </c>
      <c r="M34" s="98">
        <v>5.7104999999999997</v>
      </c>
      <c r="N34" s="98">
        <v>1.7250999999999999E-2</v>
      </c>
      <c r="O34" s="99" t="s">
        <v>244</v>
      </c>
    </row>
    <row r="35" spans="1:15" x14ac:dyDescent="0.25">
      <c r="A35" s="98" t="s">
        <v>56</v>
      </c>
      <c r="B35" s="98" t="s">
        <v>69</v>
      </c>
      <c r="C35" s="98">
        <v>10</v>
      </c>
      <c r="D35" s="98">
        <v>100</v>
      </c>
      <c r="E35" s="98">
        <v>0.1</v>
      </c>
      <c r="F35" s="98" t="s">
        <v>6</v>
      </c>
      <c r="G35" s="98" t="s">
        <v>4</v>
      </c>
      <c r="H35" s="98">
        <v>0</v>
      </c>
      <c r="I35" s="98">
        <v>0</v>
      </c>
      <c r="K35" s="98">
        <v>57.988999999999997</v>
      </c>
      <c r="L35" s="98">
        <v>1.9846E-3</v>
      </c>
      <c r="M35" s="98">
        <v>57.988999999999997</v>
      </c>
      <c r="N35" s="98">
        <v>1.9773E-3</v>
      </c>
      <c r="O35" s="99" t="s">
        <v>245</v>
      </c>
    </row>
    <row r="36" spans="1:15" x14ac:dyDescent="0.25">
      <c r="A36" s="98" t="s">
        <v>56</v>
      </c>
      <c r="B36" s="98" t="s">
        <v>69</v>
      </c>
      <c r="C36" s="98">
        <v>10</v>
      </c>
      <c r="D36" s="98">
        <v>100</v>
      </c>
      <c r="E36" s="98">
        <v>1</v>
      </c>
      <c r="F36" s="98" t="s">
        <v>6</v>
      </c>
      <c r="G36" s="98" t="s">
        <v>4</v>
      </c>
      <c r="H36" s="98">
        <v>0</v>
      </c>
      <c r="I36" s="98">
        <v>0</v>
      </c>
      <c r="K36" s="98">
        <v>580</v>
      </c>
      <c r="L36" s="98">
        <v>2.0100000000000001E-4</v>
      </c>
      <c r="M36" s="98">
        <v>580</v>
      </c>
      <c r="N36" s="98">
        <v>1.9806000000000001E-4</v>
      </c>
      <c r="O36" s="99" t="s">
        <v>246</v>
      </c>
    </row>
    <row r="37" spans="1:15" x14ac:dyDescent="0.25">
      <c r="A37" s="98" t="s">
        <v>56</v>
      </c>
      <c r="B37" s="98" t="s">
        <v>7</v>
      </c>
      <c r="C37" s="98">
        <v>0</v>
      </c>
      <c r="D37" s="98">
        <v>1000</v>
      </c>
      <c r="E37" s="98">
        <v>9.9999999999999995E-7</v>
      </c>
      <c r="F37" s="98" t="s">
        <v>102</v>
      </c>
      <c r="G37" s="98" t="s">
        <v>71</v>
      </c>
      <c r="H37" s="98">
        <v>0</v>
      </c>
      <c r="I37" s="98">
        <v>0</v>
      </c>
      <c r="K37" s="98">
        <v>3</v>
      </c>
      <c r="L37" s="98">
        <v>0.12</v>
      </c>
      <c r="M37" s="98">
        <v>2.3273220000000001</v>
      </c>
      <c r="N37" s="98">
        <v>8.0813122000000001E-2</v>
      </c>
      <c r="O37" s="99" t="s">
        <v>178</v>
      </c>
    </row>
    <row r="38" spans="1:15" x14ac:dyDescent="0.25">
      <c r="A38" s="98" t="s">
        <v>56</v>
      </c>
      <c r="B38" s="98" t="s">
        <v>7</v>
      </c>
      <c r="C38" s="98">
        <v>0</v>
      </c>
      <c r="D38" s="98">
        <v>1000</v>
      </c>
      <c r="E38" s="98">
        <v>1.0000000000000001E-5</v>
      </c>
      <c r="F38" s="98" t="s">
        <v>102</v>
      </c>
      <c r="G38" s="98" t="s">
        <v>71</v>
      </c>
      <c r="H38" s="98">
        <v>0</v>
      </c>
      <c r="I38" s="98">
        <v>0</v>
      </c>
      <c r="K38" s="98">
        <v>3</v>
      </c>
      <c r="L38" s="98">
        <v>0.12</v>
      </c>
      <c r="M38" s="98">
        <v>3.963721</v>
      </c>
      <c r="N38" s="98">
        <v>7.9376769999999999E-2</v>
      </c>
      <c r="O38" s="99" t="s">
        <v>179</v>
      </c>
    </row>
    <row r="39" spans="1:15" x14ac:dyDescent="0.25">
      <c r="A39" s="98" t="s">
        <v>56</v>
      </c>
      <c r="B39" s="98" t="s">
        <v>7</v>
      </c>
      <c r="C39" s="98">
        <v>0</v>
      </c>
      <c r="D39" s="98">
        <v>1000</v>
      </c>
      <c r="E39" s="98">
        <v>1E-4</v>
      </c>
      <c r="F39" s="98" t="s">
        <v>102</v>
      </c>
      <c r="G39" s="98" t="s">
        <v>71</v>
      </c>
      <c r="H39" s="98">
        <v>0</v>
      </c>
      <c r="I39" s="98">
        <v>0</v>
      </c>
      <c r="K39" s="98">
        <v>63.692799999999998</v>
      </c>
      <c r="L39" s="98">
        <v>6.2659430000000002E-2</v>
      </c>
      <c r="M39" s="98">
        <v>54.207389999999997</v>
      </c>
      <c r="N39" s="98">
        <v>4.7163209999999997E-2</v>
      </c>
      <c r="O39" s="99" t="s">
        <v>180</v>
      </c>
    </row>
    <row r="40" spans="1:15" x14ac:dyDescent="0.25">
      <c r="A40" s="98" t="s">
        <v>56</v>
      </c>
      <c r="B40" s="98" t="s">
        <v>7</v>
      </c>
      <c r="C40" s="98">
        <v>0</v>
      </c>
      <c r="D40" s="98">
        <v>1000</v>
      </c>
      <c r="E40" s="98">
        <v>1E-3</v>
      </c>
      <c r="F40" s="98" t="s">
        <v>102</v>
      </c>
      <c r="G40" s="98" t="s">
        <v>71</v>
      </c>
      <c r="H40" s="98">
        <v>0</v>
      </c>
      <c r="I40" s="98">
        <v>0</v>
      </c>
      <c r="K40" s="98">
        <v>600.322</v>
      </c>
      <c r="L40" s="98">
        <v>9.648081E-2</v>
      </c>
      <c r="M40" s="98">
        <v>579.44470000000001</v>
      </c>
      <c r="N40" s="98">
        <v>6.4835800000000001E-3</v>
      </c>
      <c r="O40" s="99" t="s">
        <v>181</v>
      </c>
    </row>
    <row r="41" spans="1:15" x14ac:dyDescent="0.25">
      <c r="A41" s="98" t="s">
        <v>56</v>
      </c>
      <c r="B41" s="98" t="s">
        <v>7</v>
      </c>
      <c r="C41" s="98">
        <v>0</v>
      </c>
      <c r="D41" s="98">
        <v>1000</v>
      </c>
      <c r="E41" s="98">
        <v>0.01</v>
      </c>
      <c r="F41" s="98" t="s">
        <v>102</v>
      </c>
      <c r="G41" s="98" t="s">
        <v>48</v>
      </c>
      <c r="H41" s="98">
        <v>0</v>
      </c>
      <c r="I41" s="98">
        <v>0</v>
      </c>
      <c r="K41" s="98">
        <v>5.8513330000000003</v>
      </c>
      <c r="L41" s="98">
        <v>2.4804999999999998E-4</v>
      </c>
      <c r="M41" s="98">
        <v>5.799944</v>
      </c>
      <c r="N41" s="98">
        <v>6.5168999999999998E-7</v>
      </c>
      <c r="O41" s="99" t="s">
        <v>182</v>
      </c>
    </row>
    <row r="42" spans="1:15" x14ac:dyDescent="0.25">
      <c r="A42" s="98" t="s">
        <v>56</v>
      </c>
      <c r="B42" s="98" t="s">
        <v>7</v>
      </c>
      <c r="C42" s="98">
        <v>1000</v>
      </c>
      <c r="D42" s="98">
        <v>10000</v>
      </c>
      <c r="E42" s="98">
        <v>1.0000000000000001E-5</v>
      </c>
      <c r="F42" s="98" t="s">
        <v>102</v>
      </c>
      <c r="G42" s="98" t="s">
        <v>71</v>
      </c>
      <c r="H42" s="98">
        <v>0</v>
      </c>
      <c r="I42" s="98">
        <v>0</v>
      </c>
      <c r="K42" s="98">
        <v>24.035060000000001</v>
      </c>
      <c r="L42" s="98">
        <v>6.9213540000000004E-2</v>
      </c>
      <c r="M42" s="98">
        <v>23.295500000000001</v>
      </c>
      <c r="N42" s="98">
        <v>6.9264220000000001E-2</v>
      </c>
      <c r="O42" s="99" t="s">
        <v>183</v>
      </c>
    </row>
    <row r="43" spans="1:15" x14ac:dyDescent="0.25">
      <c r="A43" s="98" t="s">
        <v>56</v>
      </c>
      <c r="B43" s="98" t="s">
        <v>7</v>
      </c>
      <c r="C43" s="98">
        <v>1000</v>
      </c>
      <c r="D43" s="98">
        <v>10000</v>
      </c>
      <c r="E43" s="98">
        <v>1E-4</v>
      </c>
      <c r="F43" s="98" t="s">
        <v>102</v>
      </c>
      <c r="G43" s="98" t="s">
        <v>71</v>
      </c>
      <c r="H43" s="98">
        <v>0</v>
      </c>
      <c r="I43" s="98">
        <v>0</v>
      </c>
      <c r="K43" s="98">
        <v>66.558580000000006</v>
      </c>
      <c r="L43" s="98">
        <v>6.6055710000000004E-2</v>
      </c>
      <c r="M43" s="98">
        <v>41.389360000000003</v>
      </c>
      <c r="N43" s="98">
        <v>6.7687049999999999E-2</v>
      </c>
      <c r="O43" s="99" t="s">
        <v>184</v>
      </c>
    </row>
    <row r="44" spans="1:15" x14ac:dyDescent="0.25">
      <c r="A44" s="98" t="s">
        <v>56</v>
      </c>
      <c r="B44" s="98" t="s">
        <v>7</v>
      </c>
      <c r="C44" s="98">
        <v>1000</v>
      </c>
      <c r="D44" s="98">
        <v>10000</v>
      </c>
      <c r="E44" s="98">
        <v>1E-3</v>
      </c>
      <c r="F44" s="98" t="s">
        <v>102</v>
      </c>
      <c r="G44" s="98" t="s">
        <v>71</v>
      </c>
      <c r="H44" s="98">
        <v>0</v>
      </c>
      <c r="I44" s="98">
        <v>0</v>
      </c>
      <c r="K44" s="98">
        <v>643.21469999999999</v>
      </c>
      <c r="L44" s="98">
        <v>5.475087E-2</v>
      </c>
      <c r="M44" s="98">
        <v>550.19219999999996</v>
      </c>
      <c r="N44" s="98">
        <v>3.7118350000000001E-2</v>
      </c>
      <c r="O44" s="99" t="s">
        <v>185</v>
      </c>
    </row>
    <row r="45" spans="1:15" x14ac:dyDescent="0.25">
      <c r="A45" s="98" t="s">
        <v>56</v>
      </c>
      <c r="B45" s="98" t="s">
        <v>7</v>
      </c>
      <c r="C45" s="98">
        <v>1000</v>
      </c>
      <c r="D45" s="98">
        <v>10000</v>
      </c>
      <c r="E45" s="98">
        <v>0.01</v>
      </c>
      <c r="F45" s="98" t="s">
        <v>102</v>
      </c>
      <c r="G45" s="98" t="s">
        <v>48</v>
      </c>
      <c r="H45" s="98">
        <v>0</v>
      </c>
      <c r="I45" s="98">
        <v>0</v>
      </c>
      <c r="K45" s="98">
        <v>6.0044399999999998</v>
      </c>
      <c r="L45" s="98">
        <v>9.5075599999999995E-5</v>
      </c>
      <c r="M45" s="98">
        <v>5.7959269999999998</v>
      </c>
      <c r="N45" s="98">
        <v>4.8090299999999996E-6</v>
      </c>
      <c r="O45" s="99" t="s">
        <v>186</v>
      </c>
    </row>
    <row r="46" spans="1:15" x14ac:dyDescent="0.25">
      <c r="A46" s="98" t="s">
        <v>56</v>
      </c>
      <c r="B46" s="98" t="s">
        <v>7</v>
      </c>
      <c r="C46" s="98">
        <v>1000</v>
      </c>
      <c r="D46" s="98">
        <v>10000</v>
      </c>
      <c r="E46" s="98">
        <v>0.1</v>
      </c>
      <c r="F46" s="98" t="s">
        <v>102</v>
      </c>
      <c r="G46" s="98" t="s">
        <v>48</v>
      </c>
      <c r="H46" s="98">
        <v>0</v>
      </c>
      <c r="I46" s="98">
        <v>0</v>
      </c>
      <c r="K46" s="98">
        <v>58.513469999999998</v>
      </c>
      <c r="L46" s="98">
        <v>2.47889E-4</v>
      </c>
      <c r="M46" s="98">
        <v>57.999589999999998</v>
      </c>
      <c r="N46" s="98">
        <v>4.8273899999999997E-7</v>
      </c>
      <c r="O46" s="99" t="s">
        <v>187</v>
      </c>
    </row>
    <row r="47" spans="1:15" x14ac:dyDescent="0.25">
      <c r="A47" s="98" t="s">
        <v>56</v>
      </c>
      <c r="B47" s="98" t="s">
        <v>7</v>
      </c>
      <c r="C47" s="98">
        <v>1000</v>
      </c>
      <c r="D47" s="98">
        <v>10000</v>
      </c>
      <c r="E47" s="98">
        <v>10</v>
      </c>
      <c r="F47" s="98" t="s">
        <v>102</v>
      </c>
      <c r="G47" s="98" t="s">
        <v>48</v>
      </c>
      <c r="H47" s="98">
        <v>0</v>
      </c>
      <c r="I47" s="98">
        <v>0</v>
      </c>
      <c r="K47" s="98">
        <v>24.035060000000001</v>
      </c>
      <c r="L47" s="98">
        <v>6.9214000000000005E-5</v>
      </c>
      <c r="M47" s="98">
        <v>23.295500000000001</v>
      </c>
      <c r="N47" s="98">
        <v>6.9264000000000006E-5</v>
      </c>
      <c r="O47" s="99" t="s">
        <v>188</v>
      </c>
    </row>
    <row r="48" spans="1:15" x14ac:dyDescent="0.25">
      <c r="A48" s="98" t="s">
        <v>56</v>
      </c>
      <c r="B48" s="98" t="s">
        <v>7</v>
      </c>
      <c r="C48" s="98">
        <v>1000</v>
      </c>
      <c r="D48" s="98">
        <v>10000</v>
      </c>
      <c r="E48" s="98">
        <v>100</v>
      </c>
      <c r="F48" s="98" t="s">
        <v>102</v>
      </c>
      <c r="G48" s="98" t="s">
        <v>48</v>
      </c>
      <c r="H48" s="98">
        <v>0</v>
      </c>
      <c r="I48" s="98">
        <v>0</v>
      </c>
      <c r="K48" s="98">
        <v>66.558580000000006</v>
      </c>
      <c r="L48" s="98">
        <v>6.6056000000000006E-5</v>
      </c>
      <c r="M48" s="98">
        <v>41.389360000000003</v>
      </c>
      <c r="N48" s="98">
        <v>6.7688000000000007E-5</v>
      </c>
      <c r="O48" s="99" t="s">
        <v>189</v>
      </c>
    </row>
    <row r="49" spans="1:15" x14ac:dyDescent="0.25">
      <c r="A49" s="98" t="s">
        <v>56</v>
      </c>
      <c r="B49" s="98" t="s">
        <v>7</v>
      </c>
      <c r="C49" s="98">
        <v>1000</v>
      </c>
      <c r="D49" s="98">
        <v>10000</v>
      </c>
      <c r="E49" s="98">
        <v>1000</v>
      </c>
      <c r="F49" s="98" t="s">
        <v>102</v>
      </c>
      <c r="G49" s="98" t="s">
        <v>48</v>
      </c>
      <c r="H49" s="98">
        <v>0</v>
      </c>
      <c r="I49" s="98">
        <v>0</v>
      </c>
      <c r="K49" s="98">
        <v>643.21469999999999</v>
      </c>
      <c r="L49" s="98">
        <v>5.4750999999999998E-5</v>
      </c>
      <c r="M49" s="98">
        <v>550.19200000000001</v>
      </c>
      <c r="N49" s="98">
        <v>3.7117999999999999E-5</v>
      </c>
      <c r="O49" s="99" t="s">
        <v>190</v>
      </c>
    </row>
    <row r="50" spans="1:15" x14ac:dyDescent="0.25">
      <c r="A50" s="98" t="s">
        <v>56</v>
      </c>
      <c r="B50" s="98" t="s">
        <v>7</v>
      </c>
      <c r="C50" s="98">
        <v>1000</v>
      </c>
      <c r="D50" s="98">
        <v>10000</v>
      </c>
      <c r="E50" s="98">
        <v>10000</v>
      </c>
      <c r="F50" s="98" t="s">
        <v>102</v>
      </c>
      <c r="G50" s="98" t="s">
        <v>49</v>
      </c>
      <c r="H50" s="98">
        <v>0</v>
      </c>
      <c r="I50" s="98">
        <v>0</v>
      </c>
      <c r="K50" s="98">
        <v>6.0044399999999998</v>
      </c>
      <c r="L50" s="98">
        <v>9.5075999999999997E-8</v>
      </c>
      <c r="M50" s="98">
        <v>5.7959269999999998</v>
      </c>
      <c r="N50" s="98">
        <v>4.8090000000000002E-9</v>
      </c>
      <c r="O50" s="99" t="s">
        <v>1468</v>
      </c>
    </row>
    <row r="51" spans="1:15" x14ac:dyDescent="0.25">
      <c r="A51" s="98" t="s">
        <v>56</v>
      </c>
      <c r="B51" s="98" t="s">
        <v>7</v>
      </c>
      <c r="C51" s="98">
        <v>1000</v>
      </c>
      <c r="D51" s="98">
        <v>10000</v>
      </c>
      <c r="E51" s="98">
        <v>100000</v>
      </c>
      <c r="F51" s="98" t="s">
        <v>102</v>
      </c>
      <c r="G51" s="98" t="s">
        <v>49</v>
      </c>
      <c r="H51" s="98">
        <v>0</v>
      </c>
      <c r="I51" s="98">
        <v>0</v>
      </c>
      <c r="K51" s="98">
        <v>58.513469999999998</v>
      </c>
      <c r="L51" s="98">
        <v>2.47889E-7</v>
      </c>
      <c r="M51" s="98">
        <v>57.999589999999998</v>
      </c>
      <c r="N51" s="98">
        <v>4.8299999999999999E-10</v>
      </c>
      <c r="O51" s="99" t="s">
        <v>191</v>
      </c>
    </row>
    <row r="52" spans="1:15" x14ac:dyDescent="0.25">
      <c r="A52" s="98" t="s">
        <v>56</v>
      </c>
      <c r="B52" s="98" t="s">
        <v>7</v>
      </c>
      <c r="C52" s="98">
        <v>10000</v>
      </c>
      <c r="D52" s="98">
        <v>100000</v>
      </c>
      <c r="E52" s="98">
        <v>1E-4</v>
      </c>
      <c r="F52" s="98" t="s">
        <v>102</v>
      </c>
      <c r="G52" s="98" t="s">
        <v>48</v>
      </c>
      <c r="H52" s="98">
        <v>0</v>
      </c>
      <c r="I52" s="98">
        <v>0</v>
      </c>
      <c r="K52" s="98">
        <v>0.24035100000000001</v>
      </c>
      <c r="L52" s="98">
        <v>6.9214000000000005E-5</v>
      </c>
      <c r="M52" s="98">
        <v>0.232955</v>
      </c>
      <c r="N52" s="98">
        <v>6.9264000000000006E-5</v>
      </c>
      <c r="O52" s="99" t="s">
        <v>192</v>
      </c>
    </row>
    <row r="53" spans="1:15" x14ac:dyDescent="0.25">
      <c r="A53" s="98" t="s">
        <v>56</v>
      </c>
      <c r="B53" s="98" t="s">
        <v>7</v>
      </c>
      <c r="C53" s="98">
        <v>10000</v>
      </c>
      <c r="D53" s="98">
        <v>100000</v>
      </c>
      <c r="E53" s="98">
        <v>1E-3</v>
      </c>
      <c r="F53" s="98" t="s">
        <v>102</v>
      </c>
      <c r="G53" s="98" t="s">
        <v>48</v>
      </c>
      <c r="H53" s="98">
        <v>0</v>
      </c>
      <c r="I53" s="98">
        <v>0</v>
      </c>
      <c r="K53" s="98">
        <v>0.66558600000000001</v>
      </c>
      <c r="L53" s="98">
        <v>6.6056000000000006E-5</v>
      </c>
      <c r="M53" s="98">
        <v>0.41389399999999998</v>
      </c>
      <c r="N53" s="98">
        <v>6.7687000000000004E-5</v>
      </c>
      <c r="O53" s="99" t="s">
        <v>193</v>
      </c>
    </row>
    <row r="54" spans="1:15" x14ac:dyDescent="0.25">
      <c r="A54" s="98" t="s">
        <v>56</v>
      </c>
      <c r="B54" s="98" t="s">
        <v>7</v>
      </c>
      <c r="C54" s="98">
        <v>10000</v>
      </c>
      <c r="D54" s="98">
        <v>100000</v>
      </c>
      <c r="E54" s="98">
        <v>0.01</v>
      </c>
      <c r="F54" s="98" t="s">
        <v>102</v>
      </c>
      <c r="G54" s="98" t="s">
        <v>48</v>
      </c>
      <c r="H54" s="98">
        <v>0</v>
      </c>
      <c r="I54" s="98">
        <v>0</v>
      </c>
      <c r="K54" s="98">
        <v>6.4321469999999996</v>
      </c>
      <c r="L54" s="98">
        <v>5.4750999999999998E-5</v>
      </c>
      <c r="M54" s="98">
        <v>5.5019220000000004</v>
      </c>
      <c r="N54" s="98">
        <v>3.7117999999999999E-5</v>
      </c>
      <c r="O54" s="99" t="s">
        <v>194</v>
      </c>
    </row>
    <row r="55" spans="1:15" x14ac:dyDescent="0.25">
      <c r="A55" s="98" t="s">
        <v>56</v>
      </c>
      <c r="B55" s="98" t="s">
        <v>7</v>
      </c>
      <c r="C55" s="98">
        <v>10000</v>
      </c>
      <c r="D55" s="98">
        <v>100000</v>
      </c>
      <c r="E55" s="98">
        <v>0.1</v>
      </c>
      <c r="F55" s="98" t="s">
        <v>102</v>
      </c>
      <c r="G55" s="98" t="s">
        <v>48</v>
      </c>
      <c r="H55" s="98">
        <v>0</v>
      </c>
      <c r="I55" s="98">
        <v>0</v>
      </c>
      <c r="K55" s="98">
        <v>60.044400000000003</v>
      </c>
      <c r="L55" s="98">
        <v>9.5075999999999996E-5</v>
      </c>
      <c r="M55" s="98">
        <v>57.959269999999997</v>
      </c>
      <c r="N55" s="98">
        <v>4.809E-6</v>
      </c>
      <c r="O55" s="99" t="s">
        <v>195</v>
      </c>
    </row>
    <row r="56" spans="1:15" x14ac:dyDescent="0.25">
      <c r="A56" s="98" t="s">
        <v>56</v>
      </c>
      <c r="B56" s="98" t="s">
        <v>7</v>
      </c>
      <c r="C56" s="98">
        <v>10000</v>
      </c>
      <c r="D56" s="98">
        <v>100000</v>
      </c>
      <c r="E56" s="98">
        <v>1</v>
      </c>
      <c r="F56" s="98" t="s">
        <v>102</v>
      </c>
      <c r="G56" s="98" t="s">
        <v>48</v>
      </c>
      <c r="H56" s="98">
        <v>0</v>
      </c>
      <c r="I56" s="98">
        <v>0</v>
      </c>
      <c r="K56" s="98">
        <v>585.13469999999995</v>
      </c>
      <c r="L56" s="98">
        <v>2.47889E-4</v>
      </c>
      <c r="M56" s="98">
        <v>579.99590000000001</v>
      </c>
      <c r="N56" s="98">
        <v>4.8299999999999997E-7</v>
      </c>
      <c r="O56" s="99" t="s">
        <v>196</v>
      </c>
    </row>
    <row r="57" spans="1:15" x14ac:dyDescent="0.25">
      <c r="A57" s="98" t="s">
        <v>56</v>
      </c>
      <c r="B57" s="98" t="s">
        <v>7</v>
      </c>
      <c r="C57" s="98">
        <v>10000</v>
      </c>
      <c r="D57" s="98">
        <v>100000</v>
      </c>
      <c r="E57" s="98">
        <v>100</v>
      </c>
      <c r="F57" s="98" t="s">
        <v>102</v>
      </c>
      <c r="G57" s="98" t="s">
        <v>49</v>
      </c>
      <c r="H57" s="98">
        <v>0</v>
      </c>
      <c r="I57" s="98">
        <v>0</v>
      </c>
      <c r="K57" s="98">
        <v>0.46937299999999998</v>
      </c>
      <c r="L57" s="98">
        <v>6.9199999999999998E-8</v>
      </c>
      <c r="M57" s="98">
        <v>0.46348800000000001</v>
      </c>
      <c r="N57" s="98">
        <v>6.9300000000000005E-8</v>
      </c>
      <c r="O57" s="99" t="s">
        <v>197</v>
      </c>
    </row>
    <row r="58" spans="1:15" x14ac:dyDescent="0.25">
      <c r="A58" s="98" t="s">
        <v>56</v>
      </c>
      <c r="B58" s="98" t="s">
        <v>7</v>
      </c>
      <c r="C58" s="98">
        <v>10000</v>
      </c>
      <c r="D58" s="98">
        <v>100000</v>
      </c>
      <c r="E58" s="98">
        <v>1000</v>
      </c>
      <c r="F58" s="98" t="s">
        <v>102</v>
      </c>
      <c r="G58" s="98" t="s">
        <v>49</v>
      </c>
      <c r="H58" s="98">
        <v>0</v>
      </c>
      <c r="I58" s="98">
        <v>0</v>
      </c>
      <c r="K58" s="98">
        <v>0.82927600000000001</v>
      </c>
      <c r="L58" s="98">
        <v>6.6699999999999995E-8</v>
      </c>
      <c r="M58" s="98">
        <v>0.61212599999999995</v>
      </c>
      <c r="N58" s="98">
        <v>6.8099999999999994E-8</v>
      </c>
      <c r="O58" s="99" t="s">
        <v>198</v>
      </c>
    </row>
    <row r="59" spans="1:15" x14ac:dyDescent="0.25">
      <c r="A59" s="98" t="s">
        <v>56</v>
      </c>
      <c r="B59" s="98" t="s">
        <v>7</v>
      </c>
      <c r="C59" s="98">
        <v>10000</v>
      </c>
      <c r="D59" s="98">
        <v>100000</v>
      </c>
      <c r="E59" s="98">
        <v>10000</v>
      </c>
      <c r="F59" s="98" t="s">
        <v>102</v>
      </c>
      <c r="G59" s="98" t="s">
        <v>49</v>
      </c>
      <c r="H59" s="98">
        <v>0</v>
      </c>
      <c r="I59" s="98">
        <v>0</v>
      </c>
      <c r="K59" s="98">
        <v>6.4546739999999998</v>
      </c>
      <c r="L59" s="98">
        <v>5.5899999999999998E-8</v>
      </c>
      <c r="M59" s="98">
        <v>5.527107</v>
      </c>
      <c r="N59" s="98">
        <v>3.8700000000000002E-8</v>
      </c>
      <c r="O59" s="99" t="s">
        <v>199</v>
      </c>
    </row>
    <row r="60" spans="1:15" x14ac:dyDescent="0.25">
      <c r="A60" s="98" t="s">
        <v>56</v>
      </c>
      <c r="B60" s="98" t="s">
        <v>7</v>
      </c>
      <c r="C60" s="98">
        <v>10000</v>
      </c>
      <c r="D60" s="98">
        <v>100000</v>
      </c>
      <c r="E60" s="98">
        <v>100000</v>
      </c>
      <c r="F60" s="98" t="s">
        <v>102</v>
      </c>
      <c r="G60" s="98" t="s">
        <v>49</v>
      </c>
      <c r="H60" s="98">
        <v>0</v>
      </c>
      <c r="I60" s="98">
        <v>0</v>
      </c>
      <c r="K60" s="98">
        <v>60.046087</v>
      </c>
      <c r="L60" s="98">
        <v>9.53E-8</v>
      </c>
      <c r="M60" s="98">
        <v>57.96067</v>
      </c>
      <c r="N60" s="98">
        <v>5.0899999999999996E-9</v>
      </c>
      <c r="O60" s="99" t="s">
        <v>200</v>
      </c>
    </row>
    <row r="61" spans="1:15" x14ac:dyDescent="0.25">
      <c r="A61" s="98" t="s">
        <v>56</v>
      </c>
      <c r="B61" s="98" t="s">
        <v>7</v>
      </c>
      <c r="C61" s="98">
        <v>10000</v>
      </c>
      <c r="D61" s="98">
        <v>100000</v>
      </c>
      <c r="E61" s="98">
        <v>1000000</v>
      </c>
      <c r="F61" s="98" t="s">
        <v>102</v>
      </c>
      <c r="G61" s="98" t="s">
        <v>49</v>
      </c>
      <c r="H61" s="98">
        <v>0</v>
      </c>
      <c r="I61" s="98">
        <v>0</v>
      </c>
      <c r="K61" s="98">
        <v>585.13490000000002</v>
      </c>
      <c r="L61" s="98">
        <v>2.48E-7</v>
      </c>
      <c r="M61" s="98">
        <v>579.99599999999998</v>
      </c>
      <c r="N61" s="98">
        <v>5.1E-10</v>
      </c>
      <c r="O61" s="99" t="s">
        <v>201</v>
      </c>
    </row>
    <row r="62" spans="1:15" x14ac:dyDescent="0.25">
      <c r="A62" s="98" t="s">
        <v>56</v>
      </c>
      <c r="B62" s="98" t="s">
        <v>7</v>
      </c>
      <c r="C62" s="98">
        <v>100000</v>
      </c>
      <c r="D62" s="98">
        <v>1000</v>
      </c>
      <c r="E62" s="98">
        <v>1</v>
      </c>
      <c r="F62" s="98" t="s">
        <v>102</v>
      </c>
      <c r="G62" s="98" t="s">
        <v>48</v>
      </c>
      <c r="H62" s="98">
        <v>0</v>
      </c>
      <c r="I62" s="98">
        <v>0</v>
      </c>
      <c r="K62" s="98">
        <v>2.4035060000000001</v>
      </c>
      <c r="L62" s="98">
        <v>6.9214000000000005E-5</v>
      </c>
      <c r="M62" s="98">
        <v>2.3295499999999998</v>
      </c>
      <c r="N62" s="98">
        <v>6.9264000000000006E-5</v>
      </c>
      <c r="O62" s="99" t="s">
        <v>202</v>
      </c>
    </row>
    <row r="63" spans="1:15" x14ac:dyDescent="0.25">
      <c r="A63" s="98" t="s">
        <v>56</v>
      </c>
      <c r="B63" s="98" t="s">
        <v>7</v>
      </c>
      <c r="C63" s="98">
        <v>100000</v>
      </c>
      <c r="D63" s="98">
        <v>1000</v>
      </c>
      <c r="E63" s="98">
        <v>10</v>
      </c>
      <c r="F63" s="98" t="s">
        <v>102</v>
      </c>
      <c r="G63" s="98" t="s">
        <v>48</v>
      </c>
      <c r="H63" s="98">
        <v>0</v>
      </c>
      <c r="I63" s="98">
        <v>0</v>
      </c>
      <c r="K63" s="98">
        <v>6.6558580000000003</v>
      </c>
      <c r="L63" s="98">
        <v>6.6056000000000006E-5</v>
      </c>
      <c r="M63" s="98">
        <v>4.1389360000000002</v>
      </c>
      <c r="N63" s="98">
        <v>6.7687000000000004E-5</v>
      </c>
      <c r="O63" s="99" t="s">
        <v>203</v>
      </c>
    </row>
    <row r="64" spans="1:15" x14ac:dyDescent="0.25">
      <c r="A64" s="98" t="s">
        <v>56</v>
      </c>
      <c r="B64" s="98" t="s">
        <v>7</v>
      </c>
      <c r="C64" s="98">
        <v>100000</v>
      </c>
      <c r="D64" s="98">
        <v>1000</v>
      </c>
      <c r="E64" s="98">
        <v>100</v>
      </c>
      <c r="F64" s="98" t="s">
        <v>102</v>
      </c>
      <c r="G64" s="98" t="s">
        <v>48</v>
      </c>
      <c r="H64" s="98">
        <v>0</v>
      </c>
      <c r="I64" s="98">
        <v>0</v>
      </c>
      <c r="K64" s="98">
        <v>64.321470000000005</v>
      </c>
      <c r="L64" s="98">
        <v>5.4750999999999998E-5</v>
      </c>
      <c r="M64" s="98">
        <v>55.019219999999997</v>
      </c>
      <c r="N64" s="98">
        <v>3.7117999999999999E-5</v>
      </c>
      <c r="O64" s="99" t="s">
        <v>204</v>
      </c>
    </row>
    <row r="65" spans="1:15" x14ac:dyDescent="0.25">
      <c r="A65" s="98" t="s">
        <v>56</v>
      </c>
      <c r="B65" s="98" t="s">
        <v>7</v>
      </c>
      <c r="C65" s="98">
        <v>100000</v>
      </c>
      <c r="D65" s="98">
        <v>1000</v>
      </c>
      <c r="E65" s="98">
        <v>1000</v>
      </c>
      <c r="F65" s="98" t="s">
        <v>102</v>
      </c>
      <c r="G65" s="98" t="s">
        <v>48</v>
      </c>
      <c r="H65" s="98">
        <v>0</v>
      </c>
      <c r="I65" s="98">
        <v>0</v>
      </c>
      <c r="K65" s="98">
        <v>600.44399999999996</v>
      </c>
      <c r="L65" s="98">
        <v>9.5075999999999996E-5</v>
      </c>
      <c r="M65" s="98">
        <v>579.59270000000004</v>
      </c>
      <c r="N65" s="98">
        <v>4.809E-6</v>
      </c>
      <c r="O65" s="99" t="s">
        <v>205</v>
      </c>
    </row>
    <row r="66" spans="1:15" x14ac:dyDescent="0.25">
      <c r="A66" s="98" t="s">
        <v>56</v>
      </c>
      <c r="B66" s="98" t="s">
        <v>7</v>
      </c>
      <c r="C66" s="98">
        <v>100000</v>
      </c>
      <c r="D66" s="98">
        <v>1000</v>
      </c>
      <c r="E66" s="98">
        <v>10000</v>
      </c>
      <c r="F66" s="98" t="s">
        <v>102</v>
      </c>
      <c r="G66" s="98" t="s">
        <v>49</v>
      </c>
      <c r="H66" s="98">
        <v>0</v>
      </c>
      <c r="I66" s="98">
        <v>0</v>
      </c>
      <c r="K66" s="98">
        <v>5.8513470999999999</v>
      </c>
      <c r="L66" s="98">
        <v>2.47889E-7</v>
      </c>
      <c r="M66" s="98">
        <v>5.7999590999999997</v>
      </c>
      <c r="N66" s="98">
        <v>4.8299999999999999E-10</v>
      </c>
      <c r="O66" s="99" t="s">
        <v>206</v>
      </c>
    </row>
    <row r="67" spans="1:15" x14ac:dyDescent="0.25">
      <c r="A67" s="98" t="s">
        <v>56</v>
      </c>
      <c r="B67" s="98" t="s">
        <v>7</v>
      </c>
      <c r="C67" s="98">
        <v>100000</v>
      </c>
      <c r="D67" s="98">
        <v>1000</v>
      </c>
      <c r="E67" s="98">
        <v>1000000</v>
      </c>
      <c r="F67" s="98" t="s">
        <v>102</v>
      </c>
      <c r="G67" s="98" t="s">
        <v>49</v>
      </c>
      <c r="H67" s="98">
        <v>0</v>
      </c>
      <c r="I67" s="98">
        <v>0</v>
      </c>
      <c r="K67" s="98">
        <v>5</v>
      </c>
      <c r="L67" s="98">
        <v>8.05E-8</v>
      </c>
      <c r="M67" s="98">
        <v>4.633432</v>
      </c>
      <c r="N67" s="98">
        <v>8.0799999999999996E-8</v>
      </c>
      <c r="O67" s="99" t="s">
        <v>207</v>
      </c>
    </row>
    <row r="68" spans="1:15" x14ac:dyDescent="0.25">
      <c r="A68" s="98" t="s">
        <v>56</v>
      </c>
      <c r="B68" s="98" t="s">
        <v>7</v>
      </c>
      <c r="C68" s="98">
        <v>100000</v>
      </c>
      <c r="D68" s="98">
        <v>1000</v>
      </c>
      <c r="E68" s="98">
        <v>10000000</v>
      </c>
      <c r="F68" s="98" t="s">
        <v>102</v>
      </c>
      <c r="G68" s="98" t="s">
        <v>49</v>
      </c>
      <c r="H68" s="98">
        <v>0</v>
      </c>
      <c r="I68" s="98">
        <v>0</v>
      </c>
      <c r="K68" s="98">
        <v>8.0349120000000003</v>
      </c>
      <c r="L68" s="98">
        <v>7.8400000000000001E-8</v>
      </c>
      <c r="M68" s="98">
        <v>5.9988400000000004</v>
      </c>
      <c r="N68" s="98">
        <v>7.9599999999999998E-8</v>
      </c>
      <c r="O68" s="99" t="s">
        <v>208</v>
      </c>
    </row>
    <row r="69" spans="1:15" x14ac:dyDescent="0.25">
      <c r="A69" s="98" t="s">
        <v>56</v>
      </c>
      <c r="B69" s="98" t="s">
        <v>7</v>
      </c>
      <c r="C69" s="98">
        <v>100000</v>
      </c>
      <c r="D69" s="98">
        <v>1000</v>
      </c>
      <c r="E69" s="98">
        <v>100000000</v>
      </c>
      <c r="F69" s="98" t="s">
        <v>102</v>
      </c>
      <c r="G69" s="98" t="s">
        <v>49</v>
      </c>
      <c r="H69" s="98">
        <v>0</v>
      </c>
      <c r="I69" s="98">
        <v>0</v>
      </c>
      <c r="K69" s="98">
        <v>63.945030000000003</v>
      </c>
      <c r="L69" s="98">
        <v>6.3899999999999996E-8</v>
      </c>
      <c r="M69" s="98">
        <v>54.496929999999999</v>
      </c>
      <c r="N69" s="98">
        <v>4.88E-8</v>
      </c>
      <c r="O69" s="99" t="s">
        <v>209</v>
      </c>
    </row>
    <row r="70" spans="1:15" x14ac:dyDescent="0.25">
      <c r="A70" s="98" t="s">
        <v>56</v>
      </c>
      <c r="B70" s="98" t="s">
        <v>7</v>
      </c>
      <c r="C70" s="98">
        <v>100000</v>
      </c>
      <c r="D70" s="98">
        <v>1000</v>
      </c>
      <c r="E70" s="98">
        <v>1000000000</v>
      </c>
      <c r="F70" s="98" t="s">
        <v>102</v>
      </c>
      <c r="G70" s="98" t="s">
        <v>49</v>
      </c>
      <c r="H70" s="98">
        <v>0</v>
      </c>
      <c r="I70" s="98">
        <v>0</v>
      </c>
      <c r="K70" s="98">
        <v>600.33960000000002</v>
      </c>
      <c r="L70" s="98">
        <v>9.6699999999999999E-8</v>
      </c>
      <c r="M70" s="98">
        <v>579.45889999999997</v>
      </c>
      <c r="N70" s="98">
        <v>6.7999999999999997E-9</v>
      </c>
      <c r="O70" s="99" t="s">
        <v>210</v>
      </c>
    </row>
    <row r="71" spans="1:15" x14ac:dyDescent="0.25">
      <c r="A71" s="98" t="s">
        <v>56</v>
      </c>
      <c r="B71" s="98" t="s">
        <v>7</v>
      </c>
      <c r="C71" s="98">
        <v>100000</v>
      </c>
      <c r="D71" s="98">
        <v>1000</v>
      </c>
      <c r="E71" s="98">
        <v>10000000000</v>
      </c>
      <c r="F71" s="98" t="s">
        <v>102</v>
      </c>
      <c r="G71" s="98" t="s">
        <v>50</v>
      </c>
      <c r="H71" s="98">
        <v>0</v>
      </c>
      <c r="I71" s="98">
        <v>0</v>
      </c>
      <c r="K71" s="98">
        <v>5.8513339999999996</v>
      </c>
      <c r="L71" s="98">
        <v>2.4800000000000002E-10</v>
      </c>
      <c r="M71" s="98">
        <v>5.7999460000000003</v>
      </c>
      <c r="N71" s="98">
        <v>9.9999999999999998E-13</v>
      </c>
      <c r="O71" s="99" t="s">
        <v>211</v>
      </c>
    </row>
    <row r="72" spans="1:15" x14ac:dyDescent="0.25">
      <c r="A72" s="98" t="s">
        <v>55</v>
      </c>
      <c r="B72" s="98" t="s">
        <v>47</v>
      </c>
      <c r="C72" s="98">
        <v>0</v>
      </c>
      <c r="D72" s="98">
        <v>1E-4</v>
      </c>
      <c r="E72" s="98">
        <v>1E-10</v>
      </c>
      <c r="F72" s="98" t="s">
        <v>13</v>
      </c>
      <c r="G72" s="98" t="s">
        <v>11</v>
      </c>
      <c r="H72" s="98">
        <v>0.02</v>
      </c>
      <c r="I72" s="98">
        <v>4.4999999999999998E-2</v>
      </c>
      <c r="J72" s="98" t="s">
        <v>10</v>
      </c>
      <c r="K72" s="98">
        <v>3.7999999999999999E-2</v>
      </c>
      <c r="L72" s="98">
        <v>1700</v>
      </c>
      <c r="M72" s="98">
        <v>3.4644000000000001E-2</v>
      </c>
      <c r="N72" s="98">
        <v>1732.1</v>
      </c>
      <c r="O72" s="99" t="s">
        <v>1766</v>
      </c>
    </row>
    <row r="73" spans="1:15" x14ac:dyDescent="0.25">
      <c r="A73" s="98" t="s">
        <v>55</v>
      </c>
      <c r="B73" s="98" t="s">
        <v>47</v>
      </c>
      <c r="C73" s="98">
        <v>0</v>
      </c>
      <c r="D73" s="98">
        <v>1E-4</v>
      </c>
      <c r="E73" s="98">
        <v>1E-10</v>
      </c>
      <c r="F73" s="98" t="s">
        <v>13</v>
      </c>
      <c r="G73" s="98" t="s">
        <v>11</v>
      </c>
      <c r="H73" s="98">
        <v>4.4999999999999998E-2</v>
      </c>
      <c r="I73" s="98">
        <v>5</v>
      </c>
      <c r="J73" s="98" t="s">
        <v>10</v>
      </c>
      <c r="K73" s="98">
        <v>3.6999999999999998E-2</v>
      </c>
      <c r="L73" s="98">
        <v>700</v>
      </c>
      <c r="M73" s="98">
        <v>3.5478000000000003E-2</v>
      </c>
      <c r="N73" s="98">
        <v>705.46</v>
      </c>
      <c r="O73" s="99" t="s">
        <v>1767</v>
      </c>
    </row>
    <row r="74" spans="1:15" x14ac:dyDescent="0.25">
      <c r="A74" s="98" t="s">
        <v>55</v>
      </c>
      <c r="B74" s="98" t="s">
        <v>47</v>
      </c>
      <c r="C74" s="98">
        <v>0</v>
      </c>
      <c r="D74" s="98">
        <v>1E-4</v>
      </c>
      <c r="E74" s="98">
        <v>1E-10</v>
      </c>
      <c r="F74" s="98" t="s">
        <v>13</v>
      </c>
      <c r="G74" s="98" t="s">
        <v>11</v>
      </c>
      <c r="H74" s="98">
        <v>1E-3</v>
      </c>
      <c r="I74" s="98">
        <v>0.02</v>
      </c>
      <c r="J74" s="98" t="s">
        <v>10</v>
      </c>
      <c r="K74" s="98">
        <v>7.6999999999999999E-2</v>
      </c>
      <c r="L74" s="98">
        <v>4200</v>
      </c>
      <c r="M74" s="98">
        <v>7.6632000000000006E-2</v>
      </c>
      <c r="N74" s="98">
        <v>4198.8999999999996</v>
      </c>
      <c r="O74" s="99" t="s">
        <v>2616</v>
      </c>
    </row>
    <row r="75" spans="1:15" x14ac:dyDescent="0.25">
      <c r="A75" s="98" t="s">
        <v>55</v>
      </c>
      <c r="B75" s="98" t="s">
        <v>47</v>
      </c>
      <c r="C75" s="98">
        <v>0</v>
      </c>
      <c r="D75" s="98">
        <v>1E-4</v>
      </c>
      <c r="E75" s="98">
        <v>1.0000000000000001E-9</v>
      </c>
      <c r="F75" s="98" t="s">
        <v>13</v>
      </c>
      <c r="G75" s="98" t="s">
        <v>11</v>
      </c>
      <c r="H75" s="98">
        <v>0.02</v>
      </c>
      <c r="I75" s="98">
        <v>4.4999999999999998E-2</v>
      </c>
      <c r="J75" s="98" t="s">
        <v>10</v>
      </c>
      <c r="K75" s="98">
        <v>3.7999999999999999E-2</v>
      </c>
      <c r="L75" s="98">
        <v>1700</v>
      </c>
      <c r="M75" s="98">
        <v>3.4647999999999998E-2</v>
      </c>
      <c r="N75" s="98">
        <v>1732.1</v>
      </c>
      <c r="O75" s="99" t="s">
        <v>1769</v>
      </c>
    </row>
    <row r="76" spans="1:15" x14ac:dyDescent="0.25">
      <c r="A76" s="98" t="s">
        <v>55</v>
      </c>
      <c r="B76" s="98" t="s">
        <v>47</v>
      </c>
      <c r="C76" s="98">
        <v>0</v>
      </c>
      <c r="D76" s="98">
        <v>1E-4</v>
      </c>
      <c r="E76" s="98">
        <v>1.0000000000000001E-9</v>
      </c>
      <c r="F76" s="98" t="s">
        <v>13</v>
      </c>
      <c r="G76" s="98" t="s">
        <v>11</v>
      </c>
      <c r="H76" s="98">
        <v>1E-3</v>
      </c>
      <c r="I76" s="98">
        <v>0.02</v>
      </c>
      <c r="J76" s="98" t="s">
        <v>10</v>
      </c>
      <c r="K76" s="98">
        <v>7.6999999999999999E-2</v>
      </c>
      <c r="L76" s="98">
        <v>4200</v>
      </c>
      <c r="M76" s="98">
        <v>7.6633000000000007E-2</v>
      </c>
      <c r="N76" s="98">
        <v>4198.8999999999996</v>
      </c>
      <c r="O76" s="99" t="s">
        <v>1770</v>
      </c>
    </row>
    <row r="77" spans="1:15" x14ac:dyDescent="0.25">
      <c r="A77" s="98" t="s">
        <v>55</v>
      </c>
      <c r="B77" s="98" t="s">
        <v>47</v>
      </c>
      <c r="C77" s="98">
        <v>0</v>
      </c>
      <c r="D77" s="98">
        <v>1E-4</v>
      </c>
      <c r="E77" s="98">
        <v>1.0000000000000001E-9</v>
      </c>
      <c r="F77" s="98" t="s">
        <v>13</v>
      </c>
      <c r="G77" s="98" t="s">
        <v>11</v>
      </c>
      <c r="H77" s="98">
        <v>4.4999999999999998E-2</v>
      </c>
      <c r="I77" s="98">
        <v>5</v>
      </c>
      <c r="J77" s="98" t="s">
        <v>10</v>
      </c>
      <c r="K77" s="98">
        <v>3.6999999999999998E-2</v>
      </c>
      <c r="L77" s="98">
        <v>701.57</v>
      </c>
      <c r="M77" s="98">
        <v>3.5484000000000002E-2</v>
      </c>
      <c r="N77" s="98">
        <v>705.45</v>
      </c>
      <c r="O77" s="99" t="s">
        <v>1768</v>
      </c>
    </row>
    <row r="78" spans="1:15" x14ac:dyDescent="0.25">
      <c r="A78" s="98" t="s">
        <v>55</v>
      </c>
      <c r="B78" s="98" t="s">
        <v>47</v>
      </c>
      <c r="C78" s="98">
        <v>0</v>
      </c>
      <c r="D78" s="98">
        <v>1E-4</v>
      </c>
      <c r="E78" s="98">
        <v>1E-8</v>
      </c>
      <c r="F78" s="98" t="s">
        <v>13</v>
      </c>
      <c r="G78" s="98" t="s">
        <v>11</v>
      </c>
      <c r="H78" s="98">
        <v>0.02</v>
      </c>
      <c r="I78" s="98">
        <v>4.4999999999999998E-2</v>
      </c>
      <c r="J78" s="98" t="s">
        <v>10</v>
      </c>
      <c r="K78" s="98">
        <v>3.7999999999999999E-2</v>
      </c>
      <c r="L78" s="98">
        <v>1700</v>
      </c>
      <c r="M78" s="98">
        <v>3.4998000000000001E-2</v>
      </c>
      <c r="N78" s="98">
        <v>1729.4</v>
      </c>
      <c r="O78" s="99" t="s">
        <v>2617</v>
      </c>
    </row>
    <row r="79" spans="1:15" x14ac:dyDescent="0.25">
      <c r="A79" s="98" t="s">
        <v>55</v>
      </c>
      <c r="B79" s="98" t="s">
        <v>47</v>
      </c>
      <c r="C79" s="98">
        <v>0</v>
      </c>
      <c r="D79" s="98">
        <v>1E-4</v>
      </c>
      <c r="E79" s="98">
        <v>1E-8</v>
      </c>
      <c r="F79" s="98" t="s">
        <v>13</v>
      </c>
      <c r="G79" s="98" t="s">
        <v>11</v>
      </c>
      <c r="H79" s="98">
        <v>4.4999999999999998E-2</v>
      </c>
      <c r="I79" s="98">
        <v>5</v>
      </c>
      <c r="J79" s="98" t="s">
        <v>10</v>
      </c>
      <c r="K79" s="98">
        <v>3.6999999999999998E-2</v>
      </c>
      <c r="L79" s="98">
        <v>703.27</v>
      </c>
      <c r="M79" s="98">
        <v>3.5899E-2</v>
      </c>
      <c r="N79" s="98">
        <v>702.95</v>
      </c>
      <c r="O79" s="99" t="s">
        <v>1772</v>
      </c>
    </row>
    <row r="80" spans="1:15" x14ac:dyDescent="0.25">
      <c r="A80" s="98" t="s">
        <v>55</v>
      </c>
      <c r="B80" s="98" t="s">
        <v>47</v>
      </c>
      <c r="C80" s="98">
        <v>0</v>
      </c>
      <c r="D80" s="98">
        <v>1E-4</v>
      </c>
      <c r="E80" s="98">
        <v>1E-8</v>
      </c>
      <c r="F80" s="98" t="s">
        <v>13</v>
      </c>
      <c r="G80" s="98" t="s">
        <v>11</v>
      </c>
      <c r="H80" s="98">
        <v>1E-3</v>
      </c>
      <c r="I80" s="98">
        <v>0.02</v>
      </c>
      <c r="J80" s="98" t="s">
        <v>10</v>
      </c>
      <c r="K80" s="98">
        <v>7.6999999999999999E-2</v>
      </c>
      <c r="L80" s="98">
        <v>4200</v>
      </c>
      <c r="M80" s="98">
        <v>7.6839000000000005E-2</v>
      </c>
      <c r="N80" s="98">
        <v>4197.2</v>
      </c>
      <c r="O80" s="99" t="s">
        <v>1771</v>
      </c>
    </row>
    <row r="81" spans="1:15" x14ac:dyDescent="0.25">
      <c r="A81" s="98" t="s">
        <v>55</v>
      </c>
      <c r="B81" s="98" t="s">
        <v>47</v>
      </c>
      <c r="C81" s="98">
        <v>0</v>
      </c>
      <c r="D81" s="98">
        <v>1E-4</v>
      </c>
      <c r="E81" s="98">
        <v>9.9999999999999995E-8</v>
      </c>
      <c r="F81" s="98" t="s">
        <v>13</v>
      </c>
      <c r="G81" s="98" t="s">
        <v>11</v>
      </c>
      <c r="H81" s="98">
        <v>1E-3</v>
      </c>
      <c r="I81" s="98">
        <v>0.02</v>
      </c>
      <c r="J81" s="98" t="s">
        <v>10</v>
      </c>
      <c r="K81" s="98">
        <v>9.5325999999999994E-2</v>
      </c>
      <c r="L81" s="98">
        <v>4045.9</v>
      </c>
      <c r="M81" s="98">
        <v>9.5287999999999998E-2</v>
      </c>
      <c r="N81" s="98">
        <v>4045.8</v>
      </c>
      <c r="O81" s="99" t="s">
        <v>2618</v>
      </c>
    </row>
    <row r="82" spans="1:15" x14ac:dyDescent="0.25">
      <c r="A82" s="98" t="s">
        <v>55</v>
      </c>
      <c r="B82" s="98" t="s">
        <v>47</v>
      </c>
      <c r="C82" s="98">
        <v>0</v>
      </c>
      <c r="D82" s="98">
        <v>1E-4</v>
      </c>
      <c r="E82" s="98">
        <v>9.9999999999999995E-8</v>
      </c>
      <c r="F82" s="98" t="s">
        <v>13</v>
      </c>
      <c r="G82" s="98" t="s">
        <v>11</v>
      </c>
      <c r="H82" s="98">
        <v>4.4999999999999998E-2</v>
      </c>
      <c r="I82" s="98">
        <v>5</v>
      </c>
      <c r="J82" s="98" t="s">
        <v>10</v>
      </c>
      <c r="K82" s="98">
        <v>6.6314999999999999E-2</v>
      </c>
      <c r="L82" s="98">
        <v>546.37</v>
      </c>
      <c r="M82" s="98">
        <v>6.6275000000000001E-2</v>
      </c>
      <c r="N82" s="98">
        <v>544.96</v>
      </c>
      <c r="O82" s="99" t="s">
        <v>1773</v>
      </c>
    </row>
    <row r="83" spans="1:15" x14ac:dyDescent="0.25">
      <c r="A83" s="98" t="s">
        <v>55</v>
      </c>
      <c r="B83" s="98" t="s">
        <v>47</v>
      </c>
      <c r="C83" s="98">
        <v>0</v>
      </c>
      <c r="D83" s="98">
        <v>1E-4</v>
      </c>
      <c r="E83" s="98">
        <v>9.9999999999999995E-8</v>
      </c>
      <c r="F83" s="98" t="s">
        <v>13</v>
      </c>
      <c r="G83" s="98" t="s">
        <v>11</v>
      </c>
      <c r="H83" s="98">
        <v>0.02</v>
      </c>
      <c r="I83" s="98">
        <v>4.4999999999999998E-2</v>
      </c>
      <c r="J83" s="98" t="s">
        <v>10</v>
      </c>
      <c r="K83" s="98">
        <v>6.2399000000000003E-2</v>
      </c>
      <c r="L83" s="98">
        <v>1534.5</v>
      </c>
      <c r="M83" s="98">
        <v>6.2349000000000002E-2</v>
      </c>
      <c r="N83" s="98">
        <v>1534</v>
      </c>
      <c r="O83" s="99" t="s">
        <v>1774</v>
      </c>
    </row>
    <row r="84" spans="1:15" x14ac:dyDescent="0.25">
      <c r="A84" s="98" t="s">
        <v>55</v>
      </c>
      <c r="B84" s="98" t="s">
        <v>47</v>
      </c>
      <c r="C84" s="98">
        <v>0</v>
      </c>
      <c r="D84" s="98">
        <v>1E-4</v>
      </c>
      <c r="E84" s="98">
        <v>9.9999999999999995E-7</v>
      </c>
      <c r="F84" s="98" t="s">
        <v>13</v>
      </c>
      <c r="G84" s="98" t="s">
        <v>11</v>
      </c>
      <c r="H84" s="98">
        <v>0.02</v>
      </c>
      <c r="I84" s="98">
        <v>4.4999999999999998E-2</v>
      </c>
      <c r="J84" s="98" t="s">
        <v>10</v>
      </c>
      <c r="K84" s="98">
        <v>0.57594000000000001</v>
      </c>
      <c r="L84" s="98">
        <v>378.74</v>
      </c>
      <c r="M84" s="98">
        <v>0.57591999999999999</v>
      </c>
      <c r="N84" s="98">
        <v>377.44</v>
      </c>
      <c r="O84" s="99" t="s">
        <v>1775</v>
      </c>
    </row>
    <row r="85" spans="1:15" x14ac:dyDescent="0.25">
      <c r="A85" s="98" t="s">
        <v>55</v>
      </c>
      <c r="B85" s="98" t="s">
        <v>47</v>
      </c>
      <c r="C85" s="98">
        <v>0</v>
      </c>
      <c r="D85" s="98">
        <v>1E-4</v>
      </c>
      <c r="E85" s="98">
        <v>9.9999999999999995E-7</v>
      </c>
      <c r="F85" s="98" t="s">
        <v>13</v>
      </c>
      <c r="G85" s="98" t="s">
        <v>11</v>
      </c>
      <c r="H85" s="98">
        <v>1E-3</v>
      </c>
      <c r="I85" s="98">
        <v>0.02</v>
      </c>
      <c r="J85" s="98" t="s">
        <v>10</v>
      </c>
      <c r="K85" s="98">
        <v>0.58121</v>
      </c>
      <c r="L85" s="98">
        <v>1804</v>
      </c>
      <c r="M85" s="98">
        <v>0.58118999999999998</v>
      </c>
      <c r="N85" s="98">
        <v>1803.1</v>
      </c>
      <c r="O85" s="99" t="s">
        <v>2619</v>
      </c>
    </row>
    <row r="86" spans="1:15" x14ac:dyDescent="0.25">
      <c r="A86" s="98" t="s">
        <v>55</v>
      </c>
      <c r="B86" s="98" t="s">
        <v>47</v>
      </c>
      <c r="C86" s="98">
        <v>0</v>
      </c>
      <c r="D86" s="98">
        <v>1E-4</v>
      </c>
      <c r="E86" s="98">
        <v>9.9999999999999995E-7</v>
      </c>
      <c r="F86" s="98" t="s">
        <v>13</v>
      </c>
      <c r="G86" s="98" t="s">
        <v>11</v>
      </c>
      <c r="H86" s="98">
        <v>4.4999999999999998E-2</v>
      </c>
      <c r="I86" s="98">
        <v>5</v>
      </c>
      <c r="J86" s="98" t="s">
        <v>10</v>
      </c>
      <c r="K86" s="98">
        <v>0.57804</v>
      </c>
      <c r="L86" s="98">
        <v>91.593000000000004</v>
      </c>
      <c r="M86" s="98">
        <v>0.57801999999999998</v>
      </c>
      <c r="N86" s="98">
        <v>90.227999999999994</v>
      </c>
      <c r="O86" s="99" t="s">
        <v>1776</v>
      </c>
    </row>
    <row r="87" spans="1:15" x14ac:dyDescent="0.25">
      <c r="A87" s="98" t="s">
        <v>55</v>
      </c>
      <c r="B87" s="98" t="s">
        <v>47</v>
      </c>
      <c r="C87" s="98">
        <v>0</v>
      </c>
      <c r="D87" s="98">
        <v>1E-4</v>
      </c>
      <c r="E87" s="98">
        <v>1.0000000000000001E-5</v>
      </c>
      <c r="F87" s="98" t="s">
        <v>13</v>
      </c>
      <c r="G87" s="98" t="s">
        <v>11</v>
      </c>
      <c r="H87" s="98">
        <v>0.02</v>
      </c>
      <c r="I87" s="98">
        <v>4.4999999999999998E-2</v>
      </c>
      <c r="J87" s="98" t="s">
        <v>10</v>
      </c>
      <c r="K87" s="98">
        <v>5.7733999999999996</v>
      </c>
      <c r="L87" s="98">
        <v>39.655999999999999</v>
      </c>
      <c r="M87" s="98">
        <v>5.77</v>
      </c>
      <c r="N87" s="98">
        <v>39.098999999999997</v>
      </c>
      <c r="O87" s="99" t="s">
        <v>2620</v>
      </c>
    </row>
    <row r="88" spans="1:15" x14ac:dyDescent="0.25">
      <c r="A88" s="98" t="s">
        <v>55</v>
      </c>
      <c r="B88" s="98" t="s">
        <v>47</v>
      </c>
      <c r="C88" s="98">
        <v>0</v>
      </c>
      <c r="D88" s="98">
        <v>1E-4</v>
      </c>
      <c r="E88" s="98">
        <v>1.0000000000000001E-5</v>
      </c>
      <c r="F88" s="98" t="s">
        <v>13</v>
      </c>
      <c r="G88" s="98" t="s">
        <v>11</v>
      </c>
      <c r="H88" s="98">
        <v>1E-3</v>
      </c>
      <c r="I88" s="98">
        <v>0.02</v>
      </c>
      <c r="J88" s="98" t="s">
        <v>10</v>
      </c>
      <c r="K88" s="98">
        <v>5.7739000000000003</v>
      </c>
      <c r="L88" s="98">
        <v>210.05</v>
      </c>
      <c r="M88" s="98">
        <v>5.7723000000000004</v>
      </c>
      <c r="N88" s="98">
        <v>209.55</v>
      </c>
      <c r="O88" s="99" t="s">
        <v>1777</v>
      </c>
    </row>
    <row r="89" spans="1:15" x14ac:dyDescent="0.25">
      <c r="A89" s="98" t="s">
        <v>55</v>
      </c>
      <c r="B89" s="98" t="s">
        <v>47</v>
      </c>
      <c r="C89" s="98">
        <v>0</v>
      </c>
      <c r="D89" s="98">
        <v>1E-4</v>
      </c>
      <c r="E89" s="98">
        <v>1.0000000000000001E-5</v>
      </c>
      <c r="F89" s="98" t="s">
        <v>13</v>
      </c>
      <c r="G89" s="98" t="s">
        <v>11</v>
      </c>
      <c r="H89" s="98">
        <v>4.4999999999999998E-2</v>
      </c>
      <c r="I89" s="98">
        <v>5</v>
      </c>
      <c r="J89" s="98" t="s">
        <v>10</v>
      </c>
      <c r="K89" s="98">
        <v>5.7736000000000001</v>
      </c>
      <c r="L89" s="98">
        <v>9.7714999999999996</v>
      </c>
      <c r="M89" s="98">
        <v>5.7728000000000002</v>
      </c>
      <c r="N89" s="98">
        <v>9.2142999999999997</v>
      </c>
      <c r="O89" s="99" t="s">
        <v>2621</v>
      </c>
    </row>
    <row r="90" spans="1:15" x14ac:dyDescent="0.25">
      <c r="A90" s="98" t="s">
        <v>55</v>
      </c>
      <c r="B90" s="98" t="s">
        <v>47</v>
      </c>
      <c r="C90" s="98">
        <v>0</v>
      </c>
      <c r="D90" s="98">
        <v>1E-4</v>
      </c>
      <c r="E90" s="98">
        <v>1E-4</v>
      </c>
      <c r="F90" s="98" t="s">
        <v>13</v>
      </c>
      <c r="G90" s="98" t="s">
        <v>11</v>
      </c>
      <c r="H90" s="98">
        <v>1E-3</v>
      </c>
      <c r="I90" s="98">
        <v>0.02</v>
      </c>
      <c r="J90" s="98" t="s">
        <v>10</v>
      </c>
      <c r="K90" s="98">
        <v>57.735999999999997</v>
      </c>
      <c r="L90" s="98">
        <v>21.196999999999999</v>
      </c>
      <c r="M90" s="98">
        <v>57.734000000000002</v>
      </c>
      <c r="N90" s="98">
        <v>20.994</v>
      </c>
      <c r="O90" s="99" t="s">
        <v>1778</v>
      </c>
    </row>
    <row r="91" spans="1:15" x14ac:dyDescent="0.25">
      <c r="A91" s="98" t="s">
        <v>55</v>
      </c>
      <c r="B91" s="98" t="s">
        <v>47</v>
      </c>
      <c r="C91" s="98">
        <v>0</v>
      </c>
      <c r="D91" s="98">
        <v>1E-4</v>
      </c>
      <c r="E91" s="98">
        <v>1E-4</v>
      </c>
      <c r="F91" s="98" t="s">
        <v>13</v>
      </c>
      <c r="G91" s="98" t="s">
        <v>11</v>
      </c>
      <c r="H91" s="98">
        <v>0.02</v>
      </c>
      <c r="I91" s="98">
        <v>4.4999999999999998E-2</v>
      </c>
      <c r="J91" s="98" t="s">
        <v>10</v>
      </c>
      <c r="K91" s="98">
        <v>57.735999999999997</v>
      </c>
      <c r="L91" s="98">
        <v>4.1759000000000004</v>
      </c>
      <c r="M91" s="98">
        <v>57.731999999999999</v>
      </c>
      <c r="N91" s="98">
        <v>3.9529999999999998</v>
      </c>
      <c r="O91" s="99" t="s">
        <v>2622</v>
      </c>
    </row>
    <row r="92" spans="1:15" x14ac:dyDescent="0.25">
      <c r="A92" s="98" t="s">
        <v>55</v>
      </c>
      <c r="B92" s="98" t="s">
        <v>47</v>
      </c>
      <c r="C92" s="98">
        <v>0</v>
      </c>
      <c r="D92" s="98">
        <v>1E-4</v>
      </c>
      <c r="E92" s="98">
        <v>1E-4</v>
      </c>
      <c r="F92" s="98" t="s">
        <v>13</v>
      </c>
      <c r="G92" s="98" t="s">
        <v>11</v>
      </c>
      <c r="H92" s="98">
        <v>4.4999999999999998E-2</v>
      </c>
      <c r="I92" s="98">
        <v>5</v>
      </c>
      <c r="J92" s="98" t="s">
        <v>10</v>
      </c>
      <c r="K92" s="98">
        <v>57.735999999999997</v>
      </c>
      <c r="L92" s="98">
        <v>1.1861999999999999</v>
      </c>
      <c r="M92" s="98">
        <v>57.734999999999999</v>
      </c>
      <c r="N92" s="98">
        <v>0.96331999999999995</v>
      </c>
      <c r="O92" s="99" t="s">
        <v>1779</v>
      </c>
    </row>
    <row r="93" spans="1:15" x14ac:dyDescent="0.25">
      <c r="A93" s="98" t="s">
        <v>55</v>
      </c>
      <c r="B93" s="98" t="s">
        <v>47</v>
      </c>
      <c r="C93" s="98">
        <v>0</v>
      </c>
      <c r="D93" s="98">
        <v>1E-4</v>
      </c>
      <c r="E93" s="98">
        <v>1E-3</v>
      </c>
      <c r="F93" s="98" t="s">
        <v>13</v>
      </c>
      <c r="G93" s="98" t="s">
        <v>11</v>
      </c>
      <c r="H93" s="98">
        <v>0.02</v>
      </c>
      <c r="I93" s="98">
        <v>4.4999999999999998E-2</v>
      </c>
      <c r="J93" s="98" t="s">
        <v>10</v>
      </c>
      <c r="K93" s="98">
        <v>577.36</v>
      </c>
      <c r="L93" s="98">
        <v>0.50117999999999996</v>
      </c>
      <c r="M93" s="98">
        <v>577.35</v>
      </c>
      <c r="N93" s="98">
        <v>0.41202</v>
      </c>
      <c r="O93" s="99" t="s">
        <v>1781</v>
      </c>
    </row>
    <row r="94" spans="1:15" x14ac:dyDescent="0.25">
      <c r="A94" s="98" t="s">
        <v>55</v>
      </c>
      <c r="B94" s="98" t="s">
        <v>47</v>
      </c>
      <c r="C94" s="98">
        <v>0</v>
      </c>
      <c r="D94" s="98">
        <v>1E-4</v>
      </c>
      <c r="E94" s="98">
        <v>1E-3</v>
      </c>
      <c r="F94" s="98" t="s">
        <v>13</v>
      </c>
      <c r="G94" s="98" t="s">
        <v>11</v>
      </c>
      <c r="H94" s="98">
        <v>4.4999999999999998E-2</v>
      </c>
      <c r="I94" s="98">
        <v>5</v>
      </c>
      <c r="J94" s="98" t="s">
        <v>10</v>
      </c>
      <c r="K94" s="98">
        <v>577.36</v>
      </c>
      <c r="L94" s="98">
        <v>0.20221</v>
      </c>
      <c r="M94" s="98">
        <v>577.35</v>
      </c>
      <c r="N94" s="98">
        <v>0.11305</v>
      </c>
      <c r="O94" s="99" t="s">
        <v>1780</v>
      </c>
    </row>
    <row r="95" spans="1:15" x14ac:dyDescent="0.25">
      <c r="A95" s="98" t="s">
        <v>55</v>
      </c>
      <c r="B95" s="98" t="s">
        <v>47</v>
      </c>
      <c r="C95" s="98">
        <v>0</v>
      </c>
      <c r="D95" s="98">
        <v>1E-4</v>
      </c>
      <c r="E95" s="98">
        <v>1E-3</v>
      </c>
      <c r="F95" s="98" t="s">
        <v>13</v>
      </c>
      <c r="G95" s="98" t="s">
        <v>11</v>
      </c>
      <c r="H95" s="98">
        <v>1E-3</v>
      </c>
      <c r="I95" s="98">
        <v>0.02</v>
      </c>
      <c r="J95" s="98" t="s">
        <v>10</v>
      </c>
      <c r="K95" s="98">
        <v>577.36</v>
      </c>
      <c r="L95" s="98">
        <v>2.1804999999999999</v>
      </c>
      <c r="M95" s="98">
        <v>577.35</v>
      </c>
      <c r="N95" s="98">
        <v>2.0994999999999999</v>
      </c>
      <c r="O95" s="99" t="s">
        <v>2623</v>
      </c>
    </row>
    <row r="96" spans="1:15" x14ac:dyDescent="0.25">
      <c r="A96" s="98" t="s">
        <v>55</v>
      </c>
      <c r="B96" s="98" t="s">
        <v>47</v>
      </c>
      <c r="C96" s="98">
        <v>0</v>
      </c>
      <c r="D96" s="98">
        <v>1E-4</v>
      </c>
      <c r="E96" s="98">
        <v>0.01</v>
      </c>
      <c r="F96" s="98" t="s">
        <v>13</v>
      </c>
      <c r="G96" s="98" t="s">
        <v>11</v>
      </c>
      <c r="H96" s="98">
        <v>4.4999999999999998E-2</v>
      </c>
      <c r="I96" s="98">
        <v>5</v>
      </c>
      <c r="J96" s="98" t="s">
        <v>10</v>
      </c>
      <c r="K96" s="98">
        <v>5773.6</v>
      </c>
      <c r="L96" s="98">
        <v>5.3657000000000003E-2</v>
      </c>
      <c r="M96" s="98">
        <v>5773.6</v>
      </c>
      <c r="N96" s="98">
        <v>1.7992000000000001E-2</v>
      </c>
      <c r="O96" s="99" t="s">
        <v>1783</v>
      </c>
    </row>
    <row r="97" spans="1:15" x14ac:dyDescent="0.25">
      <c r="A97" s="98" t="s">
        <v>55</v>
      </c>
      <c r="B97" s="98" t="s">
        <v>47</v>
      </c>
      <c r="C97" s="98">
        <v>0</v>
      </c>
      <c r="D97" s="98">
        <v>1E-4</v>
      </c>
      <c r="E97" s="98">
        <v>0.01</v>
      </c>
      <c r="F97" s="98" t="s">
        <v>13</v>
      </c>
      <c r="G97" s="98" t="s">
        <v>11</v>
      </c>
      <c r="H97" s="98">
        <v>1E-3</v>
      </c>
      <c r="I97" s="98">
        <v>0.02</v>
      </c>
      <c r="J97" s="98" t="s">
        <v>10</v>
      </c>
      <c r="K97" s="98">
        <v>5773.6</v>
      </c>
      <c r="L97" s="98">
        <v>0.24237</v>
      </c>
      <c r="M97" s="98">
        <v>5773.6</v>
      </c>
      <c r="N97" s="98">
        <v>0.20995</v>
      </c>
      <c r="O97" s="99" t="s">
        <v>1784</v>
      </c>
    </row>
    <row r="98" spans="1:15" x14ac:dyDescent="0.25">
      <c r="A98" s="98" t="s">
        <v>55</v>
      </c>
      <c r="B98" s="98" t="s">
        <v>47</v>
      </c>
      <c r="C98" s="98">
        <v>0</v>
      </c>
      <c r="D98" s="98">
        <v>1E-4</v>
      </c>
      <c r="E98" s="98">
        <v>0.01</v>
      </c>
      <c r="F98" s="98" t="s">
        <v>13</v>
      </c>
      <c r="G98" s="98" t="s">
        <v>11</v>
      </c>
      <c r="H98" s="98">
        <v>0.02</v>
      </c>
      <c r="I98" s="98">
        <v>4.4999999999999998E-2</v>
      </c>
      <c r="J98" s="98" t="s">
        <v>10</v>
      </c>
      <c r="K98" s="98">
        <v>5773.6</v>
      </c>
      <c r="L98" s="98">
        <v>8.3554000000000003E-2</v>
      </c>
      <c r="M98" s="98">
        <v>5773.5</v>
      </c>
      <c r="N98" s="98">
        <v>4.7889000000000001E-2</v>
      </c>
      <c r="O98" s="99" t="s">
        <v>1782</v>
      </c>
    </row>
    <row r="99" spans="1:15" x14ac:dyDescent="0.25">
      <c r="A99" s="98" t="s">
        <v>55</v>
      </c>
      <c r="B99" s="98" t="s">
        <v>47</v>
      </c>
      <c r="C99" s="98">
        <v>0</v>
      </c>
      <c r="D99" s="98">
        <v>1E-4</v>
      </c>
      <c r="E99" s="98">
        <v>0.1</v>
      </c>
      <c r="F99" s="98" t="s">
        <v>13</v>
      </c>
      <c r="G99" s="98" t="s">
        <v>11</v>
      </c>
      <c r="H99" s="98">
        <v>4.4999999999999998E-2</v>
      </c>
      <c r="I99" s="98">
        <v>5</v>
      </c>
      <c r="J99" s="98" t="s">
        <v>10</v>
      </c>
      <c r="K99" s="98">
        <v>57736</v>
      </c>
      <c r="L99" s="98">
        <v>1.874E-2</v>
      </c>
      <c r="M99" s="98">
        <v>57736</v>
      </c>
      <c r="N99" s="98">
        <v>4.4741E-3</v>
      </c>
      <c r="O99" s="99" t="s">
        <v>2624</v>
      </c>
    </row>
    <row r="100" spans="1:15" x14ac:dyDescent="0.25">
      <c r="A100" s="98" t="s">
        <v>55</v>
      </c>
      <c r="B100" s="98" t="s">
        <v>47</v>
      </c>
      <c r="C100" s="98">
        <v>0</v>
      </c>
      <c r="D100" s="98">
        <v>1E-4</v>
      </c>
      <c r="E100" s="98">
        <v>0.1</v>
      </c>
      <c r="F100" s="98" t="s">
        <v>13</v>
      </c>
      <c r="G100" s="98" t="s">
        <v>11</v>
      </c>
      <c r="H100" s="98">
        <v>1E-3</v>
      </c>
      <c r="I100" s="98">
        <v>0.02</v>
      </c>
      <c r="J100" s="98" t="s">
        <v>10</v>
      </c>
      <c r="K100" s="98">
        <v>57736</v>
      </c>
      <c r="L100" s="98">
        <v>3.3964000000000001E-2</v>
      </c>
      <c r="M100" s="98">
        <v>57736</v>
      </c>
      <c r="N100" s="98">
        <v>2.0995E-2</v>
      </c>
      <c r="O100" s="99" t="s">
        <v>1785</v>
      </c>
    </row>
    <row r="101" spans="1:15" x14ac:dyDescent="0.25">
      <c r="A101" s="98" t="s">
        <v>55</v>
      </c>
      <c r="B101" s="98" t="s">
        <v>47</v>
      </c>
      <c r="C101" s="98">
        <v>0</v>
      </c>
      <c r="D101" s="98">
        <v>1E-4</v>
      </c>
      <c r="E101" s="98">
        <v>0.1</v>
      </c>
      <c r="F101" s="98" t="s">
        <v>13</v>
      </c>
      <c r="G101" s="98" t="s">
        <v>11</v>
      </c>
      <c r="H101" s="98">
        <v>0.02</v>
      </c>
      <c r="I101" s="98">
        <v>4.4999999999999998E-2</v>
      </c>
      <c r="J101" s="98" t="s">
        <v>10</v>
      </c>
      <c r="K101" s="98">
        <v>57736</v>
      </c>
      <c r="L101" s="98">
        <v>2.1729999999999999E-2</v>
      </c>
      <c r="M101" s="98">
        <v>57736</v>
      </c>
      <c r="N101" s="98">
        <v>7.4637999999999996E-3</v>
      </c>
      <c r="O101" s="99" t="s">
        <v>1786</v>
      </c>
    </row>
    <row r="102" spans="1:15" x14ac:dyDescent="0.25">
      <c r="A102" s="98" t="s">
        <v>55</v>
      </c>
      <c r="B102" s="98" t="s">
        <v>47</v>
      </c>
      <c r="C102" s="98">
        <v>0</v>
      </c>
      <c r="D102" s="98">
        <v>1E-4</v>
      </c>
      <c r="E102" s="98">
        <v>1</v>
      </c>
      <c r="F102" s="98" t="s">
        <v>13</v>
      </c>
      <c r="G102" s="98" t="s">
        <v>11</v>
      </c>
      <c r="H102" s="98">
        <v>1E-3</v>
      </c>
      <c r="I102" s="98">
        <v>0.02</v>
      </c>
      <c r="J102" s="98" t="s">
        <v>10</v>
      </c>
      <c r="K102" s="98">
        <v>577360</v>
      </c>
      <c r="L102" s="98">
        <v>7.2871000000000003E-3</v>
      </c>
      <c r="M102" s="98">
        <v>577360</v>
      </c>
      <c r="N102" s="98">
        <v>2.0990000000000002E-3</v>
      </c>
      <c r="O102" s="99" t="s">
        <v>1787</v>
      </c>
    </row>
    <row r="103" spans="1:15" x14ac:dyDescent="0.25">
      <c r="A103" s="98" t="s">
        <v>55</v>
      </c>
      <c r="B103" s="98" t="s">
        <v>47</v>
      </c>
      <c r="C103" s="98">
        <v>0</v>
      </c>
      <c r="D103" s="98">
        <v>1E-4</v>
      </c>
      <c r="E103" s="98">
        <v>1</v>
      </c>
      <c r="F103" s="98" t="s">
        <v>13</v>
      </c>
      <c r="G103" s="98" t="s">
        <v>11</v>
      </c>
      <c r="H103" s="98">
        <v>4.4999999999999998E-2</v>
      </c>
      <c r="I103" s="98">
        <v>5</v>
      </c>
      <c r="J103" s="98" t="s">
        <v>10</v>
      </c>
      <c r="K103" s="98">
        <v>577360</v>
      </c>
      <c r="L103" s="98">
        <v>7.2242000000000001E-3</v>
      </c>
      <c r="M103" s="98">
        <v>577360</v>
      </c>
      <c r="N103" s="98">
        <v>1.5173000000000001E-3</v>
      </c>
      <c r="O103" s="99" t="s">
        <v>1788</v>
      </c>
    </row>
    <row r="104" spans="1:15" x14ac:dyDescent="0.25">
      <c r="A104" s="98" t="s">
        <v>55</v>
      </c>
      <c r="B104" s="98" t="s">
        <v>47</v>
      </c>
      <c r="C104" s="98">
        <v>0</v>
      </c>
      <c r="D104" s="98">
        <v>1E-4</v>
      </c>
      <c r="E104" s="98">
        <v>1</v>
      </c>
      <c r="F104" s="98" t="s">
        <v>13</v>
      </c>
      <c r="G104" s="98" t="s">
        <v>11</v>
      </c>
      <c r="H104" s="98">
        <v>0.02</v>
      </c>
      <c r="I104" s="98">
        <v>4.4999999999999998E-2</v>
      </c>
      <c r="J104" s="98" t="s">
        <v>10</v>
      </c>
      <c r="K104" s="98">
        <v>577360</v>
      </c>
      <c r="L104" s="98">
        <v>7.5230000000000002E-3</v>
      </c>
      <c r="M104" s="98">
        <v>577360</v>
      </c>
      <c r="N104" s="98">
        <v>1.8174E-3</v>
      </c>
      <c r="O104" s="99" t="s">
        <v>1789</v>
      </c>
    </row>
    <row r="105" spans="1:15" x14ac:dyDescent="0.25">
      <c r="A105" s="98" t="s">
        <v>55</v>
      </c>
      <c r="B105" s="98" t="s">
        <v>47</v>
      </c>
      <c r="C105" s="98">
        <v>1E-4</v>
      </c>
      <c r="D105" s="98">
        <v>1E-3</v>
      </c>
      <c r="E105" s="98">
        <v>1E-10</v>
      </c>
      <c r="F105" s="98" t="s">
        <v>13</v>
      </c>
      <c r="G105" s="98" t="s">
        <v>11</v>
      </c>
      <c r="H105" s="98">
        <v>4.4999999999999998E-2</v>
      </c>
      <c r="I105" s="98">
        <v>0.1</v>
      </c>
      <c r="J105" s="98" t="s">
        <v>10</v>
      </c>
      <c r="K105" s="98">
        <v>0.24</v>
      </c>
      <c r="L105" s="98">
        <v>690</v>
      </c>
      <c r="M105" s="98">
        <v>0.23094000000000001</v>
      </c>
      <c r="N105" s="98">
        <v>693.02</v>
      </c>
      <c r="O105" s="99" t="s">
        <v>1795</v>
      </c>
    </row>
    <row r="106" spans="1:15" x14ac:dyDescent="0.25">
      <c r="A106" s="98" t="s">
        <v>55</v>
      </c>
      <c r="B106" s="98" t="s">
        <v>47</v>
      </c>
      <c r="C106" s="98">
        <v>1E-4</v>
      </c>
      <c r="D106" s="98">
        <v>1E-3</v>
      </c>
      <c r="E106" s="98">
        <v>1E-10</v>
      </c>
      <c r="F106" s="98" t="s">
        <v>13</v>
      </c>
      <c r="G106" s="98" t="s">
        <v>11</v>
      </c>
      <c r="H106" s="98">
        <v>5</v>
      </c>
      <c r="I106" s="98">
        <v>20</v>
      </c>
      <c r="J106" s="98" t="s">
        <v>10</v>
      </c>
      <c r="K106" s="98">
        <v>0.25</v>
      </c>
      <c r="L106" s="98">
        <v>710</v>
      </c>
      <c r="M106" s="98">
        <v>0.23471</v>
      </c>
      <c r="N106" s="98">
        <v>715.83</v>
      </c>
      <c r="O106" s="99" t="s">
        <v>1791</v>
      </c>
    </row>
    <row r="107" spans="1:15" x14ac:dyDescent="0.25">
      <c r="A107" s="98" t="s">
        <v>55</v>
      </c>
      <c r="B107" s="98" t="s">
        <v>47</v>
      </c>
      <c r="C107" s="98">
        <v>1E-4</v>
      </c>
      <c r="D107" s="98">
        <v>1E-3</v>
      </c>
      <c r="E107" s="98">
        <v>1E-10</v>
      </c>
      <c r="F107" s="98" t="s">
        <v>13</v>
      </c>
      <c r="G107" s="98" t="s">
        <v>11</v>
      </c>
      <c r="H107" s="98">
        <v>20</v>
      </c>
      <c r="I107" s="98">
        <v>50</v>
      </c>
      <c r="J107" s="98" t="s">
        <v>10</v>
      </c>
      <c r="K107" s="98">
        <v>0.47</v>
      </c>
      <c r="L107" s="98">
        <v>4800</v>
      </c>
      <c r="M107" s="98">
        <v>0.46627000000000002</v>
      </c>
      <c r="N107" s="98">
        <v>4761.7</v>
      </c>
      <c r="O107" s="99" t="s">
        <v>1794</v>
      </c>
    </row>
    <row r="108" spans="1:15" x14ac:dyDescent="0.25">
      <c r="A108" s="98" t="s">
        <v>55</v>
      </c>
      <c r="B108" s="98" t="s">
        <v>47</v>
      </c>
      <c r="C108" s="98">
        <v>1E-4</v>
      </c>
      <c r="D108" s="98">
        <v>1E-3</v>
      </c>
      <c r="E108" s="98">
        <v>1E-10</v>
      </c>
      <c r="F108" s="98" t="s">
        <v>13</v>
      </c>
      <c r="G108" s="98" t="s">
        <v>11</v>
      </c>
      <c r="H108" s="98">
        <v>50</v>
      </c>
      <c r="I108" s="98">
        <v>100</v>
      </c>
      <c r="J108" s="98" t="s">
        <v>10</v>
      </c>
      <c r="K108" s="98">
        <v>1.9</v>
      </c>
      <c r="L108" s="98">
        <v>6500</v>
      </c>
      <c r="M108" s="98">
        <v>1.7592000000000001</v>
      </c>
      <c r="N108" s="98">
        <v>6558</v>
      </c>
      <c r="O108" s="99" t="s">
        <v>2625</v>
      </c>
    </row>
    <row r="109" spans="1:15" x14ac:dyDescent="0.25">
      <c r="A109" s="98" t="s">
        <v>55</v>
      </c>
      <c r="B109" s="98" t="s">
        <v>47</v>
      </c>
      <c r="C109" s="98">
        <v>1E-4</v>
      </c>
      <c r="D109" s="98">
        <v>1E-3</v>
      </c>
      <c r="E109" s="98">
        <v>1E-10</v>
      </c>
      <c r="F109" s="98" t="s">
        <v>13</v>
      </c>
      <c r="G109" s="98" t="s">
        <v>11</v>
      </c>
      <c r="H109" s="98">
        <v>1E-3</v>
      </c>
      <c r="I109" s="98">
        <v>0.02</v>
      </c>
      <c r="J109" s="98" t="s">
        <v>10</v>
      </c>
      <c r="K109" s="98">
        <v>0.25</v>
      </c>
      <c r="L109" s="98">
        <v>4600</v>
      </c>
      <c r="M109" s="98">
        <v>0.23094999999999999</v>
      </c>
      <c r="N109" s="98">
        <v>4618.8</v>
      </c>
      <c r="O109" s="99" t="s">
        <v>1792</v>
      </c>
    </row>
    <row r="110" spans="1:15" x14ac:dyDescent="0.25">
      <c r="A110" s="98" t="s">
        <v>55</v>
      </c>
      <c r="B110" s="98" t="s">
        <v>47</v>
      </c>
      <c r="C110" s="98">
        <v>1E-4</v>
      </c>
      <c r="D110" s="98">
        <v>1E-3</v>
      </c>
      <c r="E110" s="98">
        <v>1E-10</v>
      </c>
      <c r="F110" s="98" t="s">
        <v>13</v>
      </c>
      <c r="G110" s="98" t="s">
        <v>11</v>
      </c>
      <c r="H110" s="98">
        <v>0.1</v>
      </c>
      <c r="I110" s="98">
        <v>5</v>
      </c>
      <c r="J110" s="98" t="s">
        <v>10</v>
      </c>
      <c r="K110" s="98">
        <v>0.25</v>
      </c>
      <c r="L110" s="98">
        <v>350</v>
      </c>
      <c r="M110" s="98">
        <v>0.23000999999999999</v>
      </c>
      <c r="N110" s="98">
        <v>364.09</v>
      </c>
      <c r="O110" s="99" t="s">
        <v>1790</v>
      </c>
    </row>
    <row r="111" spans="1:15" x14ac:dyDescent="0.25">
      <c r="A111" s="98" t="s">
        <v>55</v>
      </c>
      <c r="B111" s="98" t="s">
        <v>47</v>
      </c>
      <c r="C111" s="98">
        <v>1E-4</v>
      </c>
      <c r="D111" s="98">
        <v>1E-3</v>
      </c>
      <c r="E111" s="98">
        <v>1E-10</v>
      </c>
      <c r="F111" s="98" t="s">
        <v>13</v>
      </c>
      <c r="G111" s="98" t="s">
        <v>11</v>
      </c>
      <c r="H111" s="98">
        <v>0.02</v>
      </c>
      <c r="I111" s="98">
        <v>4.4999999999999998E-2</v>
      </c>
      <c r="J111" s="98" t="s">
        <v>10</v>
      </c>
      <c r="K111" s="98">
        <v>0.27</v>
      </c>
      <c r="L111" s="98">
        <v>1700</v>
      </c>
      <c r="M111" s="98">
        <v>0.23094000000000001</v>
      </c>
      <c r="N111" s="98">
        <v>1732.1</v>
      </c>
      <c r="O111" s="99" t="s">
        <v>1793</v>
      </c>
    </row>
    <row r="112" spans="1:15" x14ac:dyDescent="0.25">
      <c r="A112" s="98" t="s">
        <v>55</v>
      </c>
      <c r="B112" s="98" t="s">
        <v>47</v>
      </c>
      <c r="C112" s="98">
        <v>1E-4</v>
      </c>
      <c r="D112" s="98">
        <v>1E-3</v>
      </c>
      <c r="E112" s="98">
        <v>1.0000000000000001E-9</v>
      </c>
      <c r="F112" s="98" t="s">
        <v>13</v>
      </c>
      <c r="G112" s="98" t="s">
        <v>11</v>
      </c>
      <c r="H112" s="98">
        <v>50</v>
      </c>
      <c r="I112" s="98">
        <v>100</v>
      </c>
      <c r="J112" s="98" t="s">
        <v>10</v>
      </c>
      <c r="K112" s="98">
        <v>1.9</v>
      </c>
      <c r="L112" s="98">
        <v>6531.9</v>
      </c>
      <c r="M112" s="98">
        <v>1.7594000000000001</v>
      </c>
      <c r="N112" s="98">
        <v>6558.1</v>
      </c>
      <c r="O112" s="99" t="s">
        <v>1797</v>
      </c>
    </row>
    <row r="113" spans="1:15" x14ac:dyDescent="0.25">
      <c r="A113" s="98" t="s">
        <v>55</v>
      </c>
      <c r="B113" s="98" t="s">
        <v>47</v>
      </c>
      <c r="C113" s="98">
        <v>1E-4</v>
      </c>
      <c r="D113" s="98">
        <v>1E-3</v>
      </c>
      <c r="E113" s="98">
        <v>1.0000000000000001E-9</v>
      </c>
      <c r="F113" s="98" t="s">
        <v>13</v>
      </c>
      <c r="G113" s="98" t="s">
        <v>11</v>
      </c>
      <c r="H113" s="98">
        <v>4.4999999999999998E-2</v>
      </c>
      <c r="I113" s="98">
        <v>0.1</v>
      </c>
      <c r="J113" s="98" t="s">
        <v>10</v>
      </c>
      <c r="K113" s="98">
        <v>0.24</v>
      </c>
      <c r="L113" s="98">
        <v>690</v>
      </c>
      <c r="M113" s="98">
        <v>0.23102</v>
      </c>
      <c r="N113" s="98">
        <v>692.99</v>
      </c>
      <c r="O113" s="99" t="s">
        <v>2626</v>
      </c>
    </row>
    <row r="114" spans="1:15" x14ac:dyDescent="0.25">
      <c r="A114" s="98" t="s">
        <v>55</v>
      </c>
      <c r="B114" s="98" t="s">
        <v>47</v>
      </c>
      <c r="C114" s="98">
        <v>1E-4</v>
      </c>
      <c r="D114" s="98">
        <v>1E-3</v>
      </c>
      <c r="E114" s="98">
        <v>1.0000000000000001E-9</v>
      </c>
      <c r="F114" s="98" t="s">
        <v>13</v>
      </c>
      <c r="G114" s="98" t="s">
        <v>11</v>
      </c>
      <c r="H114" s="98">
        <v>20</v>
      </c>
      <c r="I114" s="98">
        <v>50</v>
      </c>
      <c r="J114" s="98" t="s">
        <v>10</v>
      </c>
      <c r="K114" s="98">
        <v>0.47</v>
      </c>
      <c r="L114" s="98">
        <v>4761.6000000000004</v>
      </c>
      <c r="M114" s="98">
        <v>0.46636</v>
      </c>
      <c r="N114" s="98">
        <v>4761.6000000000004</v>
      </c>
      <c r="O114" s="99" t="s">
        <v>1799</v>
      </c>
    </row>
    <row r="115" spans="1:15" x14ac:dyDescent="0.25">
      <c r="A115" s="98" t="s">
        <v>55</v>
      </c>
      <c r="B115" s="98" t="s">
        <v>47</v>
      </c>
      <c r="C115" s="98">
        <v>1E-4</v>
      </c>
      <c r="D115" s="98">
        <v>1E-3</v>
      </c>
      <c r="E115" s="98">
        <v>1.0000000000000001E-9</v>
      </c>
      <c r="F115" s="98" t="s">
        <v>13</v>
      </c>
      <c r="G115" s="98" t="s">
        <v>11</v>
      </c>
      <c r="H115" s="98">
        <v>0.02</v>
      </c>
      <c r="I115" s="98">
        <v>4.4999999999999998E-2</v>
      </c>
      <c r="J115" s="98" t="s">
        <v>10</v>
      </c>
      <c r="K115" s="98">
        <v>0.27</v>
      </c>
      <c r="L115" s="98">
        <v>1700</v>
      </c>
      <c r="M115" s="98">
        <v>0.23100000000000001</v>
      </c>
      <c r="N115" s="98">
        <v>1732.1</v>
      </c>
      <c r="O115" s="99" t="s">
        <v>1800</v>
      </c>
    </row>
    <row r="116" spans="1:15" x14ac:dyDescent="0.25">
      <c r="A116" s="98" t="s">
        <v>55</v>
      </c>
      <c r="B116" s="98" t="s">
        <v>47</v>
      </c>
      <c r="C116" s="98">
        <v>1E-4</v>
      </c>
      <c r="D116" s="98">
        <v>1E-3</v>
      </c>
      <c r="E116" s="98">
        <v>1.0000000000000001E-9</v>
      </c>
      <c r="F116" s="98" t="s">
        <v>13</v>
      </c>
      <c r="G116" s="98" t="s">
        <v>11</v>
      </c>
      <c r="H116" s="98">
        <v>1E-3</v>
      </c>
      <c r="I116" s="98">
        <v>0.02</v>
      </c>
      <c r="J116" s="98" t="s">
        <v>10</v>
      </c>
      <c r="K116" s="98">
        <v>0.25</v>
      </c>
      <c r="L116" s="98">
        <v>4600</v>
      </c>
      <c r="M116" s="98">
        <v>0.23097999999999999</v>
      </c>
      <c r="N116" s="98">
        <v>4618.8</v>
      </c>
      <c r="O116" s="99" t="s">
        <v>1801</v>
      </c>
    </row>
    <row r="117" spans="1:15" x14ac:dyDescent="0.25">
      <c r="A117" s="98" t="s">
        <v>55</v>
      </c>
      <c r="B117" s="98" t="s">
        <v>47</v>
      </c>
      <c r="C117" s="98">
        <v>1E-4</v>
      </c>
      <c r="D117" s="98">
        <v>1E-3</v>
      </c>
      <c r="E117" s="98">
        <v>1.0000000000000001E-9</v>
      </c>
      <c r="F117" s="98" t="s">
        <v>13</v>
      </c>
      <c r="G117" s="98" t="s">
        <v>11</v>
      </c>
      <c r="H117" s="98">
        <v>5</v>
      </c>
      <c r="I117" s="98">
        <v>20</v>
      </c>
      <c r="J117" s="98" t="s">
        <v>10</v>
      </c>
      <c r="K117" s="98">
        <v>0.25</v>
      </c>
      <c r="L117" s="98">
        <v>711.93</v>
      </c>
      <c r="M117" s="98">
        <v>0.23479</v>
      </c>
      <c r="N117" s="98">
        <v>715.8</v>
      </c>
      <c r="O117" s="99" t="s">
        <v>1798</v>
      </c>
    </row>
    <row r="118" spans="1:15" x14ac:dyDescent="0.25">
      <c r="A118" s="98" t="s">
        <v>55</v>
      </c>
      <c r="B118" s="98" t="s">
        <v>47</v>
      </c>
      <c r="C118" s="98">
        <v>1E-4</v>
      </c>
      <c r="D118" s="98">
        <v>1E-3</v>
      </c>
      <c r="E118" s="98">
        <v>1.0000000000000001E-9</v>
      </c>
      <c r="F118" s="98" t="s">
        <v>13</v>
      </c>
      <c r="G118" s="98" t="s">
        <v>11</v>
      </c>
      <c r="H118" s="98">
        <v>0.1</v>
      </c>
      <c r="I118" s="98">
        <v>5</v>
      </c>
      <c r="J118" s="98" t="s">
        <v>10</v>
      </c>
      <c r="K118" s="98">
        <v>0.25</v>
      </c>
      <c r="L118" s="98">
        <v>354.91</v>
      </c>
      <c r="M118" s="98">
        <v>0.23008999999999999</v>
      </c>
      <c r="N118" s="98">
        <v>364.09</v>
      </c>
      <c r="O118" s="99" t="s">
        <v>1796</v>
      </c>
    </row>
    <row r="119" spans="1:15" x14ac:dyDescent="0.25">
      <c r="A119" s="98" t="s">
        <v>55</v>
      </c>
      <c r="B119" s="98" t="s">
        <v>47</v>
      </c>
      <c r="C119" s="98">
        <v>1E-4</v>
      </c>
      <c r="D119" s="98">
        <v>1E-3</v>
      </c>
      <c r="E119" s="98">
        <v>1E-8</v>
      </c>
      <c r="F119" s="98" t="s">
        <v>13</v>
      </c>
      <c r="G119" s="98" t="s">
        <v>11</v>
      </c>
      <c r="H119" s="98">
        <v>50</v>
      </c>
      <c r="I119" s="98">
        <v>100</v>
      </c>
      <c r="J119" s="98" t="s">
        <v>10</v>
      </c>
      <c r="K119" s="98">
        <v>1.9</v>
      </c>
      <c r="L119" s="98">
        <v>6537.4</v>
      </c>
      <c r="M119" s="98">
        <v>1.7606999999999999</v>
      </c>
      <c r="N119" s="98">
        <v>6558</v>
      </c>
      <c r="O119" s="99" t="s">
        <v>1805</v>
      </c>
    </row>
    <row r="120" spans="1:15" x14ac:dyDescent="0.25">
      <c r="A120" s="98" t="s">
        <v>55</v>
      </c>
      <c r="B120" s="98" t="s">
        <v>47</v>
      </c>
      <c r="C120" s="98">
        <v>1E-4</v>
      </c>
      <c r="D120" s="98">
        <v>1E-3</v>
      </c>
      <c r="E120" s="98">
        <v>1E-8</v>
      </c>
      <c r="F120" s="98" t="s">
        <v>13</v>
      </c>
      <c r="G120" s="98" t="s">
        <v>11</v>
      </c>
      <c r="H120" s="98">
        <v>4.4999999999999998E-2</v>
      </c>
      <c r="I120" s="98">
        <v>0.1</v>
      </c>
      <c r="J120" s="98" t="s">
        <v>10</v>
      </c>
      <c r="K120" s="98">
        <v>0.24</v>
      </c>
      <c r="L120" s="98">
        <v>690</v>
      </c>
      <c r="M120" s="98">
        <v>0.23691000000000001</v>
      </c>
      <c r="N120" s="98">
        <v>689</v>
      </c>
      <c r="O120" s="99" t="s">
        <v>1803</v>
      </c>
    </row>
    <row r="121" spans="1:15" x14ac:dyDescent="0.25">
      <c r="A121" s="98" t="s">
        <v>55</v>
      </c>
      <c r="B121" s="98" t="s">
        <v>47</v>
      </c>
      <c r="C121" s="98">
        <v>1E-4</v>
      </c>
      <c r="D121" s="98">
        <v>1E-3</v>
      </c>
      <c r="E121" s="98">
        <v>1E-8</v>
      </c>
      <c r="F121" s="98" t="s">
        <v>13</v>
      </c>
      <c r="G121" s="98" t="s">
        <v>11</v>
      </c>
      <c r="H121" s="98">
        <v>5</v>
      </c>
      <c r="I121" s="98">
        <v>20</v>
      </c>
      <c r="J121" s="98" t="s">
        <v>10</v>
      </c>
      <c r="K121" s="98">
        <v>0.25</v>
      </c>
      <c r="L121" s="98">
        <v>712.22</v>
      </c>
      <c r="M121" s="98">
        <v>0.24057999999999999</v>
      </c>
      <c r="N121" s="98">
        <v>711.87</v>
      </c>
      <c r="O121" s="99" t="s">
        <v>1808</v>
      </c>
    </row>
    <row r="122" spans="1:15" x14ac:dyDescent="0.25">
      <c r="A122" s="98" t="s">
        <v>55</v>
      </c>
      <c r="B122" s="98" t="s">
        <v>47</v>
      </c>
      <c r="C122" s="98">
        <v>1E-4</v>
      </c>
      <c r="D122" s="98">
        <v>1E-3</v>
      </c>
      <c r="E122" s="98">
        <v>1E-8</v>
      </c>
      <c r="F122" s="98" t="s">
        <v>13</v>
      </c>
      <c r="G122" s="98" t="s">
        <v>11</v>
      </c>
      <c r="H122" s="98">
        <v>0.1</v>
      </c>
      <c r="I122" s="98">
        <v>5</v>
      </c>
      <c r="J122" s="98" t="s">
        <v>10</v>
      </c>
      <c r="K122" s="98">
        <v>0.25</v>
      </c>
      <c r="L122" s="98">
        <v>359.01</v>
      </c>
      <c r="M122" s="98">
        <v>0.23663000000000001</v>
      </c>
      <c r="N122" s="98">
        <v>360.5</v>
      </c>
      <c r="O122" s="99" t="s">
        <v>1804</v>
      </c>
    </row>
    <row r="123" spans="1:15" x14ac:dyDescent="0.25">
      <c r="A123" s="98" t="s">
        <v>55</v>
      </c>
      <c r="B123" s="98" t="s">
        <v>47</v>
      </c>
      <c r="C123" s="98">
        <v>1E-4</v>
      </c>
      <c r="D123" s="98">
        <v>1E-3</v>
      </c>
      <c r="E123" s="98">
        <v>1E-8</v>
      </c>
      <c r="F123" s="98" t="s">
        <v>13</v>
      </c>
      <c r="G123" s="98" t="s">
        <v>11</v>
      </c>
      <c r="H123" s="98">
        <v>1E-3</v>
      </c>
      <c r="I123" s="98">
        <v>0.02</v>
      </c>
      <c r="J123" s="98" t="s">
        <v>10</v>
      </c>
      <c r="K123" s="98">
        <v>0.25</v>
      </c>
      <c r="L123" s="98">
        <v>4600.3</v>
      </c>
      <c r="M123" s="98">
        <v>0.23363</v>
      </c>
      <c r="N123" s="98">
        <v>4616.5</v>
      </c>
      <c r="O123" s="99" t="s">
        <v>1806</v>
      </c>
    </row>
    <row r="124" spans="1:15" x14ac:dyDescent="0.25">
      <c r="A124" s="98" t="s">
        <v>55</v>
      </c>
      <c r="B124" s="98" t="s">
        <v>47</v>
      </c>
      <c r="C124" s="98">
        <v>1E-4</v>
      </c>
      <c r="D124" s="98">
        <v>1E-3</v>
      </c>
      <c r="E124" s="98">
        <v>1E-8</v>
      </c>
      <c r="F124" s="98" t="s">
        <v>13</v>
      </c>
      <c r="G124" s="98" t="s">
        <v>11</v>
      </c>
      <c r="H124" s="98">
        <v>20</v>
      </c>
      <c r="I124" s="98">
        <v>50</v>
      </c>
      <c r="J124" s="98" t="s">
        <v>10</v>
      </c>
      <c r="K124" s="98">
        <v>0.47</v>
      </c>
      <c r="L124" s="98">
        <v>4759.8999999999996</v>
      </c>
      <c r="M124" s="98">
        <v>0.46837000000000001</v>
      </c>
      <c r="N124" s="98">
        <v>4760</v>
      </c>
      <c r="O124" s="99" t="s">
        <v>1802</v>
      </c>
    </row>
    <row r="125" spans="1:15" x14ac:dyDescent="0.25">
      <c r="A125" s="98" t="s">
        <v>55</v>
      </c>
      <c r="B125" s="98" t="s">
        <v>47</v>
      </c>
      <c r="C125" s="98">
        <v>1E-4</v>
      </c>
      <c r="D125" s="98">
        <v>1E-3</v>
      </c>
      <c r="E125" s="98">
        <v>1E-8</v>
      </c>
      <c r="F125" s="98" t="s">
        <v>13</v>
      </c>
      <c r="G125" s="98" t="s">
        <v>11</v>
      </c>
      <c r="H125" s="98">
        <v>0.02</v>
      </c>
      <c r="I125" s="98">
        <v>4.4999999999999998E-2</v>
      </c>
      <c r="J125" s="98" t="s">
        <v>10</v>
      </c>
      <c r="K125" s="98">
        <v>0.27</v>
      </c>
      <c r="L125" s="98">
        <v>1700</v>
      </c>
      <c r="M125" s="98">
        <v>0.23546</v>
      </c>
      <c r="N125" s="98">
        <v>1728.5</v>
      </c>
      <c r="O125" s="99" t="s">
        <v>1807</v>
      </c>
    </row>
    <row r="126" spans="1:15" x14ac:dyDescent="0.25">
      <c r="A126" s="98" t="s">
        <v>55</v>
      </c>
      <c r="B126" s="98" t="s">
        <v>47</v>
      </c>
      <c r="C126" s="98">
        <v>1E-4</v>
      </c>
      <c r="D126" s="98">
        <v>1E-3</v>
      </c>
      <c r="E126" s="98">
        <v>9.9999999999999995E-8</v>
      </c>
      <c r="F126" s="98" t="s">
        <v>13</v>
      </c>
      <c r="G126" s="98" t="s">
        <v>11</v>
      </c>
      <c r="H126" s="98">
        <v>0.02</v>
      </c>
      <c r="I126" s="98">
        <v>4.4999999999999998E-2</v>
      </c>
      <c r="J126" s="98" t="s">
        <v>10</v>
      </c>
      <c r="K126" s="98">
        <v>0.55630000000000002</v>
      </c>
      <c r="L126" s="98">
        <v>1491.3</v>
      </c>
      <c r="M126" s="98">
        <v>0.55586000000000002</v>
      </c>
      <c r="N126" s="98">
        <v>1490.6</v>
      </c>
      <c r="O126" s="99" t="s">
        <v>1809</v>
      </c>
    </row>
    <row r="127" spans="1:15" x14ac:dyDescent="0.25">
      <c r="A127" s="98" t="s">
        <v>55</v>
      </c>
      <c r="B127" s="98" t="s">
        <v>47</v>
      </c>
      <c r="C127" s="98">
        <v>1E-4</v>
      </c>
      <c r="D127" s="98">
        <v>1E-3</v>
      </c>
      <c r="E127" s="98">
        <v>9.9999999999999995E-8</v>
      </c>
      <c r="F127" s="98" t="s">
        <v>13</v>
      </c>
      <c r="G127" s="98" t="s">
        <v>11</v>
      </c>
      <c r="H127" s="98">
        <v>1E-3</v>
      </c>
      <c r="I127" s="98">
        <v>0.02</v>
      </c>
      <c r="J127" s="98" t="s">
        <v>10</v>
      </c>
      <c r="K127" s="98">
        <v>0.45989999999999998</v>
      </c>
      <c r="L127" s="98">
        <v>4424.7</v>
      </c>
      <c r="M127" s="98">
        <v>0.45951999999999998</v>
      </c>
      <c r="N127" s="98">
        <v>4424.6000000000004</v>
      </c>
      <c r="O127" s="99" t="s">
        <v>1812</v>
      </c>
    </row>
    <row r="128" spans="1:15" x14ac:dyDescent="0.25">
      <c r="A128" s="98" t="s">
        <v>55</v>
      </c>
      <c r="B128" s="98" t="s">
        <v>47</v>
      </c>
      <c r="C128" s="98">
        <v>1E-4</v>
      </c>
      <c r="D128" s="98">
        <v>1E-3</v>
      </c>
      <c r="E128" s="98">
        <v>9.9999999999999995E-8</v>
      </c>
      <c r="F128" s="98" t="s">
        <v>13</v>
      </c>
      <c r="G128" s="98" t="s">
        <v>11</v>
      </c>
      <c r="H128" s="98">
        <v>20</v>
      </c>
      <c r="I128" s="98">
        <v>50</v>
      </c>
      <c r="J128" s="98" t="s">
        <v>10</v>
      </c>
      <c r="K128" s="98">
        <v>0.64627000000000001</v>
      </c>
      <c r="L128" s="98">
        <v>4616</v>
      </c>
      <c r="M128" s="98">
        <v>0.64414000000000005</v>
      </c>
      <c r="N128" s="98">
        <v>4616.1000000000004</v>
      </c>
      <c r="O128" s="99" t="s">
        <v>1813</v>
      </c>
    </row>
    <row r="129" spans="1:15" x14ac:dyDescent="0.25">
      <c r="A129" s="98" t="s">
        <v>55</v>
      </c>
      <c r="B129" s="98" t="s">
        <v>47</v>
      </c>
      <c r="C129" s="98">
        <v>1E-4</v>
      </c>
      <c r="D129" s="98">
        <v>1E-3</v>
      </c>
      <c r="E129" s="98">
        <v>9.9999999999999995E-8</v>
      </c>
      <c r="F129" s="98" t="s">
        <v>13</v>
      </c>
      <c r="G129" s="98" t="s">
        <v>11</v>
      </c>
      <c r="H129" s="98">
        <v>50</v>
      </c>
      <c r="I129" s="98">
        <v>100</v>
      </c>
      <c r="J129" s="98" t="s">
        <v>10</v>
      </c>
      <c r="K129" s="98">
        <v>1.9</v>
      </c>
      <c r="L129" s="98">
        <v>6516.3</v>
      </c>
      <c r="M129" s="98">
        <v>1.8353999999999999</v>
      </c>
      <c r="N129" s="98">
        <v>6506.9</v>
      </c>
      <c r="O129" s="99" t="s">
        <v>1810</v>
      </c>
    </row>
    <row r="130" spans="1:15" x14ac:dyDescent="0.25">
      <c r="A130" s="98" t="s">
        <v>55</v>
      </c>
      <c r="B130" s="98" t="s">
        <v>47</v>
      </c>
      <c r="C130" s="98">
        <v>1E-4</v>
      </c>
      <c r="D130" s="98">
        <v>1E-3</v>
      </c>
      <c r="E130" s="98">
        <v>9.9999999999999995E-8</v>
      </c>
      <c r="F130" s="98" t="s">
        <v>13</v>
      </c>
      <c r="G130" s="98" t="s">
        <v>11</v>
      </c>
      <c r="H130" s="98">
        <v>4.4999999999999998E-2</v>
      </c>
      <c r="I130" s="98">
        <v>0.1</v>
      </c>
      <c r="J130" s="98" t="s">
        <v>10</v>
      </c>
      <c r="K130" s="98">
        <v>0.60248999999999997</v>
      </c>
      <c r="L130" s="98">
        <v>489.7</v>
      </c>
      <c r="M130" s="98">
        <v>0.60209999999999997</v>
      </c>
      <c r="N130" s="98">
        <v>487.94</v>
      </c>
      <c r="O130" s="99" t="s">
        <v>1814</v>
      </c>
    </row>
    <row r="131" spans="1:15" x14ac:dyDescent="0.25">
      <c r="A131" s="98" t="s">
        <v>55</v>
      </c>
      <c r="B131" s="98" t="s">
        <v>47</v>
      </c>
      <c r="C131" s="98">
        <v>1E-4</v>
      </c>
      <c r="D131" s="98">
        <v>1E-3</v>
      </c>
      <c r="E131" s="98">
        <v>9.9999999999999995E-8</v>
      </c>
      <c r="F131" s="98" t="s">
        <v>13</v>
      </c>
      <c r="G131" s="98" t="s">
        <v>11</v>
      </c>
      <c r="H131" s="98">
        <v>5</v>
      </c>
      <c r="I131" s="98">
        <v>20</v>
      </c>
      <c r="J131" s="98" t="s">
        <v>10</v>
      </c>
      <c r="K131" s="98">
        <v>0.60309999999999997</v>
      </c>
      <c r="L131" s="98">
        <v>511.67</v>
      </c>
      <c r="M131" s="98">
        <v>0.60272000000000003</v>
      </c>
      <c r="N131" s="98">
        <v>509.95</v>
      </c>
      <c r="O131" s="99" t="s">
        <v>1815</v>
      </c>
    </row>
    <row r="132" spans="1:15" x14ac:dyDescent="0.25">
      <c r="A132" s="98" t="s">
        <v>55</v>
      </c>
      <c r="B132" s="98" t="s">
        <v>47</v>
      </c>
      <c r="C132" s="98">
        <v>1E-4</v>
      </c>
      <c r="D132" s="98">
        <v>1E-3</v>
      </c>
      <c r="E132" s="98">
        <v>9.9999999999999995E-8</v>
      </c>
      <c r="F132" s="98" t="s">
        <v>13</v>
      </c>
      <c r="G132" s="98" t="s">
        <v>11</v>
      </c>
      <c r="H132" s="98">
        <v>0.1</v>
      </c>
      <c r="I132" s="98">
        <v>5</v>
      </c>
      <c r="J132" s="98" t="s">
        <v>10</v>
      </c>
      <c r="K132" s="98">
        <v>0.61485999999999996</v>
      </c>
      <c r="L132" s="98">
        <v>217.08</v>
      </c>
      <c r="M132" s="98">
        <v>0.61453999999999998</v>
      </c>
      <c r="N132" s="98">
        <v>214.58</v>
      </c>
      <c r="O132" s="99" t="s">
        <v>1811</v>
      </c>
    </row>
    <row r="133" spans="1:15" x14ac:dyDescent="0.25">
      <c r="A133" s="98" t="s">
        <v>55</v>
      </c>
      <c r="B133" s="98" t="s">
        <v>47</v>
      </c>
      <c r="C133" s="98">
        <v>1E-4</v>
      </c>
      <c r="D133" s="98">
        <v>1E-3</v>
      </c>
      <c r="E133" s="98">
        <v>9.9999999999999995E-7</v>
      </c>
      <c r="F133" s="98" t="s">
        <v>13</v>
      </c>
      <c r="G133" s="98" t="s">
        <v>11</v>
      </c>
      <c r="H133" s="98">
        <v>1E-3</v>
      </c>
      <c r="I133" s="98">
        <v>0.02</v>
      </c>
      <c r="J133" s="98" t="s">
        <v>10</v>
      </c>
      <c r="K133" s="98">
        <v>5.6234999999999999</v>
      </c>
      <c r="L133" s="98">
        <v>1918.3</v>
      </c>
      <c r="M133" s="98">
        <v>5.6233000000000004</v>
      </c>
      <c r="N133" s="98">
        <v>1917.2</v>
      </c>
      <c r="O133" s="99" t="s">
        <v>1817</v>
      </c>
    </row>
    <row r="134" spans="1:15" x14ac:dyDescent="0.25">
      <c r="A134" s="98" t="s">
        <v>55</v>
      </c>
      <c r="B134" s="98" t="s">
        <v>47</v>
      </c>
      <c r="C134" s="98">
        <v>1E-4</v>
      </c>
      <c r="D134" s="98">
        <v>1E-3</v>
      </c>
      <c r="E134" s="98">
        <v>9.9999999999999995E-7</v>
      </c>
      <c r="F134" s="98" t="s">
        <v>13</v>
      </c>
      <c r="G134" s="98" t="s">
        <v>11</v>
      </c>
      <c r="H134" s="98">
        <v>50</v>
      </c>
      <c r="I134" s="98">
        <v>100</v>
      </c>
      <c r="J134" s="98" t="s">
        <v>10</v>
      </c>
      <c r="K134" s="98">
        <v>5.8456000000000001</v>
      </c>
      <c r="L134" s="98">
        <v>4362.3</v>
      </c>
      <c r="M134" s="98">
        <v>5.8320999999999996</v>
      </c>
      <c r="N134" s="98">
        <v>4309.3</v>
      </c>
      <c r="O134" s="99" t="s">
        <v>1819</v>
      </c>
    </row>
    <row r="135" spans="1:15" x14ac:dyDescent="0.25">
      <c r="A135" s="98" t="s">
        <v>55</v>
      </c>
      <c r="B135" s="98" t="s">
        <v>47</v>
      </c>
      <c r="C135" s="98">
        <v>1E-4</v>
      </c>
      <c r="D135" s="98">
        <v>1E-3</v>
      </c>
      <c r="E135" s="98">
        <v>9.9999999999999995E-7</v>
      </c>
      <c r="F135" s="98" t="s">
        <v>13</v>
      </c>
      <c r="G135" s="98" t="s">
        <v>11</v>
      </c>
      <c r="H135" s="98">
        <v>0.02</v>
      </c>
      <c r="I135" s="98">
        <v>4.4999999999999998E-2</v>
      </c>
      <c r="J135" s="98" t="s">
        <v>10</v>
      </c>
      <c r="K135" s="98">
        <v>5.7533000000000003</v>
      </c>
      <c r="L135" s="98">
        <v>346.75</v>
      </c>
      <c r="M135" s="98">
        <v>5.7531999999999996</v>
      </c>
      <c r="N135" s="98">
        <v>345.32</v>
      </c>
      <c r="O135" s="99" t="s">
        <v>1821</v>
      </c>
    </row>
    <row r="136" spans="1:15" x14ac:dyDescent="0.25">
      <c r="A136" s="98" t="s">
        <v>55</v>
      </c>
      <c r="B136" s="98" t="s">
        <v>47</v>
      </c>
      <c r="C136" s="98">
        <v>1E-4</v>
      </c>
      <c r="D136" s="98">
        <v>1E-3</v>
      </c>
      <c r="E136" s="98">
        <v>9.9999999999999995E-7</v>
      </c>
      <c r="F136" s="98" t="s">
        <v>13</v>
      </c>
      <c r="G136" s="98" t="s">
        <v>11</v>
      </c>
      <c r="H136" s="98">
        <v>5</v>
      </c>
      <c r="I136" s="98">
        <v>20</v>
      </c>
      <c r="J136" s="98" t="s">
        <v>10</v>
      </c>
      <c r="K136" s="98">
        <v>5.7740999999999998</v>
      </c>
      <c r="L136" s="98">
        <v>79.209999999999994</v>
      </c>
      <c r="M136" s="98">
        <v>5.774</v>
      </c>
      <c r="N136" s="98">
        <v>77.712999999999994</v>
      </c>
      <c r="O136" s="99" t="s">
        <v>1816</v>
      </c>
    </row>
    <row r="137" spans="1:15" x14ac:dyDescent="0.25">
      <c r="A137" s="98" t="s">
        <v>55</v>
      </c>
      <c r="B137" s="98" t="s">
        <v>47</v>
      </c>
      <c r="C137" s="98">
        <v>1E-4</v>
      </c>
      <c r="D137" s="98">
        <v>1E-3</v>
      </c>
      <c r="E137" s="98">
        <v>9.9999999999999995E-7</v>
      </c>
      <c r="F137" s="98" t="s">
        <v>13</v>
      </c>
      <c r="G137" s="98" t="s">
        <v>11</v>
      </c>
      <c r="H137" s="98">
        <v>20</v>
      </c>
      <c r="I137" s="98">
        <v>50</v>
      </c>
      <c r="J137" s="98" t="s">
        <v>10</v>
      </c>
      <c r="K137" s="98">
        <v>5.6360000000000001</v>
      </c>
      <c r="L137" s="98">
        <v>2159.6999999999998</v>
      </c>
      <c r="M137" s="98">
        <v>5.6349</v>
      </c>
      <c r="N137" s="98">
        <v>2155.3000000000002</v>
      </c>
      <c r="O137" s="99" t="s">
        <v>1818</v>
      </c>
    </row>
    <row r="138" spans="1:15" x14ac:dyDescent="0.25">
      <c r="A138" s="98" t="s">
        <v>55</v>
      </c>
      <c r="B138" s="98" t="s">
        <v>47</v>
      </c>
      <c r="C138" s="98">
        <v>1E-4</v>
      </c>
      <c r="D138" s="98">
        <v>1E-3</v>
      </c>
      <c r="E138" s="98">
        <v>9.9999999999999995E-7</v>
      </c>
      <c r="F138" s="98" t="s">
        <v>13</v>
      </c>
      <c r="G138" s="98" t="s">
        <v>11</v>
      </c>
      <c r="H138" s="98">
        <v>0.1</v>
      </c>
      <c r="I138" s="98">
        <v>5</v>
      </c>
      <c r="J138" s="98" t="s">
        <v>10</v>
      </c>
      <c r="K138" s="98">
        <v>5.7770999999999999</v>
      </c>
      <c r="L138" s="98">
        <v>28.936</v>
      </c>
      <c r="M138" s="98">
        <v>5.7770000000000001</v>
      </c>
      <c r="N138" s="98">
        <v>27.423999999999999</v>
      </c>
      <c r="O138" s="99" t="s">
        <v>1822</v>
      </c>
    </row>
    <row r="139" spans="1:15" x14ac:dyDescent="0.25">
      <c r="A139" s="98" t="s">
        <v>55</v>
      </c>
      <c r="B139" s="98" t="s">
        <v>47</v>
      </c>
      <c r="C139" s="98">
        <v>1E-4</v>
      </c>
      <c r="D139" s="98">
        <v>1E-3</v>
      </c>
      <c r="E139" s="98">
        <v>9.9999999999999995E-7</v>
      </c>
      <c r="F139" s="98" t="s">
        <v>13</v>
      </c>
      <c r="G139" s="98" t="s">
        <v>11</v>
      </c>
      <c r="H139" s="98">
        <v>4.4999999999999998E-2</v>
      </c>
      <c r="I139" s="98">
        <v>0.1</v>
      </c>
      <c r="J139" s="98" t="s">
        <v>10</v>
      </c>
      <c r="K139" s="98">
        <v>5.7742000000000004</v>
      </c>
      <c r="L139" s="98">
        <v>74.831999999999994</v>
      </c>
      <c r="M139" s="98">
        <v>5.7740999999999998</v>
      </c>
      <c r="N139" s="98">
        <v>73.332999999999998</v>
      </c>
      <c r="O139" s="99" t="s">
        <v>1820</v>
      </c>
    </row>
    <row r="140" spans="1:15" x14ac:dyDescent="0.25">
      <c r="A140" s="98" t="s">
        <v>55</v>
      </c>
      <c r="B140" s="98" t="s">
        <v>47</v>
      </c>
      <c r="C140" s="98">
        <v>1E-3</v>
      </c>
      <c r="D140" s="98">
        <v>0.01</v>
      </c>
      <c r="E140" s="98">
        <v>1E-8</v>
      </c>
      <c r="F140" s="98" t="s">
        <v>13</v>
      </c>
      <c r="G140" s="98" t="s">
        <v>11</v>
      </c>
      <c r="H140" s="98">
        <v>4.4999999999999998E-2</v>
      </c>
      <c r="I140" s="98">
        <v>0.1</v>
      </c>
      <c r="J140" s="98" t="s">
        <v>10</v>
      </c>
      <c r="K140" s="98">
        <v>2.4</v>
      </c>
      <c r="L140" s="98">
        <v>690</v>
      </c>
      <c r="M140" s="98">
        <v>2.3094999999999999</v>
      </c>
      <c r="N140" s="98">
        <v>693.04</v>
      </c>
      <c r="O140" s="99" t="s">
        <v>2627</v>
      </c>
    </row>
    <row r="141" spans="1:15" x14ac:dyDescent="0.25">
      <c r="A141" s="98" t="s">
        <v>55</v>
      </c>
      <c r="B141" s="98" t="s">
        <v>47</v>
      </c>
      <c r="C141" s="98">
        <v>1E-3</v>
      </c>
      <c r="D141" s="98">
        <v>0.01</v>
      </c>
      <c r="E141" s="98">
        <v>1E-8</v>
      </c>
      <c r="F141" s="98" t="s">
        <v>13</v>
      </c>
      <c r="G141" s="98" t="s">
        <v>11</v>
      </c>
      <c r="H141" s="98">
        <v>0.1</v>
      </c>
      <c r="I141" s="98">
        <v>5</v>
      </c>
      <c r="J141" s="98" t="s">
        <v>10</v>
      </c>
      <c r="K141" s="98">
        <v>2.5</v>
      </c>
      <c r="L141" s="98">
        <v>350</v>
      </c>
      <c r="M141" s="98">
        <v>2.2951999999999999</v>
      </c>
      <c r="N141" s="98">
        <v>364.62</v>
      </c>
      <c r="O141" s="99" t="s">
        <v>1823</v>
      </c>
    </row>
    <row r="142" spans="1:15" x14ac:dyDescent="0.25">
      <c r="A142" s="98" t="s">
        <v>55</v>
      </c>
      <c r="B142" s="98" t="s">
        <v>47</v>
      </c>
      <c r="C142" s="98">
        <v>1E-3</v>
      </c>
      <c r="D142" s="98">
        <v>0.01</v>
      </c>
      <c r="E142" s="98">
        <v>1E-8</v>
      </c>
      <c r="F142" s="98" t="s">
        <v>13</v>
      </c>
      <c r="G142" s="98" t="s">
        <v>11</v>
      </c>
      <c r="H142" s="98">
        <v>1E-3</v>
      </c>
      <c r="I142" s="98">
        <v>0.02</v>
      </c>
      <c r="J142" s="98" t="s">
        <v>10</v>
      </c>
      <c r="K142" s="98">
        <v>2.5</v>
      </c>
      <c r="L142" s="98">
        <v>4600</v>
      </c>
      <c r="M142" s="98">
        <v>2.3096000000000001</v>
      </c>
      <c r="N142" s="98">
        <v>4618.8</v>
      </c>
      <c r="O142" s="99" t="s">
        <v>1824</v>
      </c>
    </row>
    <row r="143" spans="1:15" x14ac:dyDescent="0.25">
      <c r="A143" s="98" t="s">
        <v>55</v>
      </c>
      <c r="B143" s="98" t="s">
        <v>47</v>
      </c>
      <c r="C143" s="98">
        <v>1E-3</v>
      </c>
      <c r="D143" s="98">
        <v>0.01</v>
      </c>
      <c r="E143" s="98">
        <v>1E-8</v>
      </c>
      <c r="F143" s="98" t="s">
        <v>13</v>
      </c>
      <c r="G143" s="98" t="s">
        <v>11</v>
      </c>
      <c r="H143" s="98">
        <v>50</v>
      </c>
      <c r="I143" s="98">
        <v>100</v>
      </c>
      <c r="J143" s="98" t="s">
        <v>10</v>
      </c>
      <c r="K143" s="98">
        <v>19</v>
      </c>
      <c r="L143" s="98">
        <v>6500</v>
      </c>
      <c r="M143" s="98">
        <v>17.151</v>
      </c>
      <c r="N143" s="98">
        <v>6602.1</v>
      </c>
      <c r="O143" s="99" t="s">
        <v>1828</v>
      </c>
    </row>
    <row r="144" spans="1:15" x14ac:dyDescent="0.25">
      <c r="A144" s="98" t="s">
        <v>55</v>
      </c>
      <c r="B144" s="98" t="s">
        <v>47</v>
      </c>
      <c r="C144" s="98">
        <v>1E-3</v>
      </c>
      <c r="D144" s="98">
        <v>0.01</v>
      </c>
      <c r="E144" s="98">
        <v>1E-8</v>
      </c>
      <c r="F144" s="98" t="s">
        <v>13</v>
      </c>
      <c r="G144" s="98" t="s">
        <v>11</v>
      </c>
      <c r="H144" s="98">
        <v>20</v>
      </c>
      <c r="I144" s="98">
        <v>50</v>
      </c>
      <c r="J144" s="98" t="s">
        <v>10</v>
      </c>
      <c r="K144" s="98">
        <v>5.0999999999999996</v>
      </c>
      <c r="L144" s="98">
        <v>4700</v>
      </c>
      <c r="M144" s="98">
        <v>4.5719000000000003</v>
      </c>
      <c r="N144" s="98">
        <v>4747.8999999999996</v>
      </c>
      <c r="O144" s="99" t="s">
        <v>1826</v>
      </c>
    </row>
    <row r="145" spans="1:15" x14ac:dyDescent="0.25">
      <c r="A145" s="98" t="s">
        <v>55</v>
      </c>
      <c r="B145" s="98" t="s">
        <v>47</v>
      </c>
      <c r="C145" s="98">
        <v>1E-3</v>
      </c>
      <c r="D145" s="98">
        <v>0.01</v>
      </c>
      <c r="E145" s="98">
        <v>1E-8</v>
      </c>
      <c r="F145" s="98" t="s">
        <v>13</v>
      </c>
      <c r="G145" s="98" t="s">
        <v>11</v>
      </c>
      <c r="H145" s="98">
        <v>5</v>
      </c>
      <c r="I145" s="98">
        <v>20</v>
      </c>
      <c r="J145" s="98" t="s">
        <v>10</v>
      </c>
      <c r="K145" s="98">
        <v>2.5</v>
      </c>
      <c r="L145" s="98">
        <v>710</v>
      </c>
      <c r="M145" s="98">
        <v>2.2890999999999999</v>
      </c>
      <c r="N145" s="98">
        <v>721.65</v>
      </c>
      <c r="O145" s="99" t="s">
        <v>1825</v>
      </c>
    </row>
    <row r="146" spans="1:15" x14ac:dyDescent="0.25">
      <c r="A146" s="98" t="s">
        <v>55</v>
      </c>
      <c r="B146" s="98" t="s">
        <v>47</v>
      </c>
      <c r="C146" s="98">
        <v>1E-3</v>
      </c>
      <c r="D146" s="98">
        <v>0.01</v>
      </c>
      <c r="E146" s="98">
        <v>1E-8</v>
      </c>
      <c r="F146" s="98" t="s">
        <v>13</v>
      </c>
      <c r="G146" s="98" t="s">
        <v>11</v>
      </c>
      <c r="H146" s="98">
        <v>0.02</v>
      </c>
      <c r="I146" s="98">
        <v>4.4999999999999998E-2</v>
      </c>
      <c r="J146" s="98" t="s">
        <v>10</v>
      </c>
      <c r="K146" s="98">
        <v>2.7</v>
      </c>
      <c r="L146" s="98">
        <v>1700</v>
      </c>
      <c r="M146" s="98">
        <v>2.3094999999999999</v>
      </c>
      <c r="N146" s="98">
        <v>1732.1</v>
      </c>
      <c r="O146" s="99" t="s">
        <v>1827</v>
      </c>
    </row>
    <row r="147" spans="1:15" x14ac:dyDescent="0.25">
      <c r="A147" s="98" t="s">
        <v>55</v>
      </c>
      <c r="B147" s="98" t="s">
        <v>47</v>
      </c>
      <c r="C147" s="98">
        <v>1E-3</v>
      </c>
      <c r="D147" s="98">
        <v>0.01</v>
      </c>
      <c r="E147" s="98">
        <v>9.9999999999999995E-8</v>
      </c>
      <c r="F147" s="98" t="s">
        <v>13</v>
      </c>
      <c r="G147" s="98" t="s">
        <v>11</v>
      </c>
      <c r="H147" s="98">
        <v>0.1</v>
      </c>
      <c r="I147" s="98">
        <v>5</v>
      </c>
      <c r="J147" s="98" t="s">
        <v>10</v>
      </c>
      <c r="K147" s="98">
        <v>2.5</v>
      </c>
      <c r="L147" s="98">
        <v>355.75</v>
      </c>
      <c r="M147" s="98">
        <v>2.2965</v>
      </c>
      <c r="N147" s="98">
        <v>364.68</v>
      </c>
      <c r="O147" s="99" t="s">
        <v>1829</v>
      </c>
    </row>
    <row r="148" spans="1:15" x14ac:dyDescent="0.25">
      <c r="A148" s="98" t="s">
        <v>55</v>
      </c>
      <c r="B148" s="98" t="s">
        <v>47</v>
      </c>
      <c r="C148" s="98">
        <v>1E-3</v>
      </c>
      <c r="D148" s="98">
        <v>0.01</v>
      </c>
      <c r="E148" s="98">
        <v>9.9999999999999995E-8</v>
      </c>
      <c r="F148" s="98" t="s">
        <v>13</v>
      </c>
      <c r="G148" s="98" t="s">
        <v>11</v>
      </c>
      <c r="H148" s="98">
        <v>20</v>
      </c>
      <c r="I148" s="98">
        <v>50</v>
      </c>
      <c r="J148" s="98" t="s">
        <v>10</v>
      </c>
      <c r="K148" s="98">
        <v>5.0999999999999996</v>
      </c>
      <c r="L148" s="98">
        <v>4739.1000000000004</v>
      </c>
      <c r="M148" s="98">
        <v>4.5721999999999996</v>
      </c>
      <c r="N148" s="98">
        <v>4747.8999999999996</v>
      </c>
      <c r="O148" s="99" t="s">
        <v>1830</v>
      </c>
    </row>
    <row r="149" spans="1:15" x14ac:dyDescent="0.25">
      <c r="A149" s="98" t="s">
        <v>55</v>
      </c>
      <c r="B149" s="98" t="s">
        <v>47</v>
      </c>
      <c r="C149" s="98">
        <v>1E-3</v>
      </c>
      <c r="D149" s="98">
        <v>0.01</v>
      </c>
      <c r="E149" s="98">
        <v>9.9999999999999995E-8</v>
      </c>
      <c r="F149" s="98" t="s">
        <v>13</v>
      </c>
      <c r="G149" s="98" t="s">
        <v>11</v>
      </c>
      <c r="H149" s="98">
        <v>0.02</v>
      </c>
      <c r="I149" s="98">
        <v>4.4999999999999998E-2</v>
      </c>
      <c r="J149" s="98" t="s">
        <v>10</v>
      </c>
      <c r="K149" s="98">
        <v>2.7</v>
      </c>
      <c r="L149" s="98">
        <v>1700</v>
      </c>
      <c r="M149" s="98">
        <v>2.3109999999999999</v>
      </c>
      <c r="N149" s="98">
        <v>1732</v>
      </c>
      <c r="O149" s="99" t="s">
        <v>2628</v>
      </c>
    </row>
    <row r="150" spans="1:15" x14ac:dyDescent="0.25">
      <c r="A150" s="98" t="s">
        <v>55</v>
      </c>
      <c r="B150" s="98" t="s">
        <v>47</v>
      </c>
      <c r="C150" s="98">
        <v>1E-3</v>
      </c>
      <c r="D150" s="98">
        <v>0.01</v>
      </c>
      <c r="E150" s="98">
        <v>9.9999999999999995E-8</v>
      </c>
      <c r="F150" s="98" t="s">
        <v>13</v>
      </c>
      <c r="G150" s="98" t="s">
        <v>11</v>
      </c>
      <c r="H150" s="98">
        <v>5</v>
      </c>
      <c r="I150" s="98">
        <v>20</v>
      </c>
      <c r="J150" s="98" t="s">
        <v>10</v>
      </c>
      <c r="K150" s="98">
        <v>2.5</v>
      </c>
      <c r="L150" s="98">
        <v>712.46</v>
      </c>
      <c r="M150" s="98">
        <v>2.2904</v>
      </c>
      <c r="N150" s="98">
        <v>721.65</v>
      </c>
      <c r="O150" s="99" t="s">
        <v>1834</v>
      </c>
    </row>
    <row r="151" spans="1:15" x14ac:dyDescent="0.25">
      <c r="A151" s="98" t="s">
        <v>55</v>
      </c>
      <c r="B151" s="98" t="s">
        <v>47</v>
      </c>
      <c r="C151" s="98">
        <v>1E-3</v>
      </c>
      <c r="D151" s="98">
        <v>0.01</v>
      </c>
      <c r="E151" s="98">
        <v>9.9999999999999995E-8</v>
      </c>
      <c r="F151" s="98" t="s">
        <v>13</v>
      </c>
      <c r="G151" s="98" t="s">
        <v>11</v>
      </c>
      <c r="H151" s="98">
        <v>1E-3</v>
      </c>
      <c r="I151" s="98">
        <v>0.02</v>
      </c>
      <c r="J151" s="98" t="s">
        <v>10</v>
      </c>
      <c r="K151" s="98">
        <v>2.5</v>
      </c>
      <c r="L151" s="98">
        <v>4600</v>
      </c>
      <c r="M151" s="98">
        <v>2.3100999999999998</v>
      </c>
      <c r="N151" s="98">
        <v>4618.8</v>
      </c>
      <c r="O151" s="99" t="s">
        <v>1832</v>
      </c>
    </row>
    <row r="152" spans="1:15" x14ac:dyDescent="0.25">
      <c r="A152" s="98" t="s">
        <v>55</v>
      </c>
      <c r="B152" s="98" t="s">
        <v>47</v>
      </c>
      <c r="C152" s="98">
        <v>1E-3</v>
      </c>
      <c r="D152" s="98">
        <v>0.01</v>
      </c>
      <c r="E152" s="98">
        <v>9.9999999999999995E-8</v>
      </c>
      <c r="F152" s="98" t="s">
        <v>13</v>
      </c>
      <c r="G152" s="98" t="s">
        <v>11</v>
      </c>
      <c r="H152" s="98">
        <v>50</v>
      </c>
      <c r="I152" s="98">
        <v>100</v>
      </c>
      <c r="J152" s="98" t="s">
        <v>10</v>
      </c>
      <c r="K152" s="98">
        <v>19</v>
      </c>
      <c r="L152" s="98">
        <v>6531.1</v>
      </c>
      <c r="M152" s="98">
        <v>17.152999999999999</v>
      </c>
      <c r="N152" s="98">
        <v>6602.1</v>
      </c>
      <c r="O152" s="99" t="s">
        <v>1831</v>
      </c>
    </row>
    <row r="153" spans="1:15" x14ac:dyDescent="0.25">
      <c r="A153" s="98" t="s">
        <v>55</v>
      </c>
      <c r="B153" s="98" t="s">
        <v>47</v>
      </c>
      <c r="C153" s="98">
        <v>1E-3</v>
      </c>
      <c r="D153" s="98">
        <v>0.01</v>
      </c>
      <c r="E153" s="98">
        <v>9.9999999999999995E-8</v>
      </c>
      <c r="F153" s="98" t="s">
        <v>13</v>
      </c>
      <c r="G153" s="98" t="s">
        <v>11</v>
      </c>
      <c r="H153" s="98">
        <v>4.4999999999999998E-2</v>
      </c>
      <c r="I153" s="98">
        <v>0.1</v>
      </c>
      <c r="J153" s="98" t="s">
        <v>10</v>
      </c>
      <c r="K153" s="98">
        <v>2.4</v>
      </c>
      <c r="L153" s="98">
        <v>690</v>
      </c>
      <c r="M153" s="98">
        <v>2.3107000000000002</v>
      </c>
      <c r="N153" s="98">
        <v>693.04</v>
      </c>
      <c r="O153" s="99" t="s">
        <v>1833</v>
      </c>
    </row>
    <row r="154" spans="1:15" x14ac:dyDescent="0.25">
      <c r="A154" s="98" t="s">
        <v>55</v>
      </c>
      <c r="B154" s="98" t="s">
        <v>47</v>
      </c>
      <c r="C154" s="98">
        <v>1E-3</v>
      </c>
      <c r="D154" s="98">
        <v>0.01</v>
      </c>
      <c r="E154" s="98">
        <v>9.9999999999999995E-7</v>
      </c>
      <c r="F154" s="98" t="s">
        <v>13</v>
      </c>
      <c r="G154" s="98" t="s">
        <v>11</v>
      </c>
      <c r="H154" s="98">
        <v>5</v>
      </c>
      <c r="I154" s="98">
        <v>20</v>
      </c>
      <c r="J154" s="98" t="s">
        <v>10</v>
      </c>
      <c r="K154" s="98">
        <v>2.5</v>
      </c>
      <c r="L154" s="98">
        <v>716.59</v>
      </c>
      <c r="M154" s="98">
        <v>2.3512</v>
      </c>
      <c r="N154" s="98">
        <v>717.7</v>
      </c>
      <c r="O154" s="99" t="s">
        <v>1835</v>
      </c>
    </row>
    <row r="155" spans="1:15" x14ac:dyDescent="0.25">
      <c r="A155" s="98" t="s">
        <v>55</v>
      </c>
      <c r="B155" s="98" t="s">
        <v>47</v>
      </c>
      <c r="C155" s="98">
        <v>1E-3</v>
      </c>
      <c r="D155" s="98">
        <v>0.01</v>
      </c>
      <c r="E155" s="98">
        <v>9.9999999999999995E-7</v>
      </c>
      <c r="F155" s="98" t="s">
        <v>13</v>
      </c>
      <c r="G155" s="98" t="s">
        <v>11</v>
      </c>
      <c r="H155" s="98">
        <v>4.4999999999999998E-2</v>
      </c>
      <c r="I155" s="98">
        <v>0.1</v>
      </c>
      <c r="J155" s="98" t="s">
        <v>10</v>
      </c>
      <c r="K155" s="98">
        <v>2.4</v>
      </c>
      <c r="L155" s="98">
        <v>690</v>
      </c>
      <c r="M155" s="98">
        <v>2.3717000000000001</v>
      </c>
      <c r="N155" s="98">
        <v>689.14</v>
      </c>
      <c r="O155" s="99" t="s">
        <v>2632</v>
      </c>
    </row>
    <row r="156" spans="1:15" x14ac:dyDescent="0.25">
      <c r="A156" s="98" t="s">
        <v>55</v>
      </c>
      <c r="B156" s="98" t="s">
        <v>47</v>
      </c>
      <c r="C156" s="98">
        <v>1E-3</v>
      </c>
      <c r="D156" s="98">
        <v>0.01</v>
      </c>
      <c r="E156" s="98">
        <v>9.9999999999999995E-7</v>
      </c>
      <c r="F156" s="98" t="s">
        <v>13</v>
      </c>
      <c r="G156" s="98" t="s">
        <v>11</v>
      </c>
      <c r="H156" s="98">
        <v>0.02</v>
      </c>
      <c r="I156" s="98">
        <v>4.4999999999999998E-2</v>
      </c>
      <c r="J156" s="98" t="s">
        <v>10</v>
      </c>
      <c r="K156" s="98">
        <v>2.7</v>
      </c>
      <c r="L156" s="98">
        <v>1700</v>
      </c>
      <c r="M156" s="98">
        <v>2.3565999999999998</v>
      </c>
      <c r="N156" s="98">
        <v>1728.5</v>
      </c>
      <c r="O156" s="99" t="s">
        <v>2630</v>
      </c>
    </row>
    <row r="157" spans="1:15" x14ac:dyDescent="0.25">
      <c r="A157" s="98" t="s">
        <v>55</v>
      </c>
      <c r="B157" s="98" t="s">
        <v>47</v>
      </c>
      <c r="C157" s="98">
        <v>1E-3</v>
      </c>
      <c r="D157" s="98">
        <v>0.01</v>
      </c>
      <c r="E157" s="98">
        <v>9.9999999999999995E-7</v>
      </c>
      <c r="F157" s="98" t="s">
        <v>13</v>
      </c>
      <c r="G157" s="98" t="s">
        <v>11</v>
      </c>
      <c r="H157" s="98">
        <v>50</v>
      </c>
      <c r="I157" s="98">
        <v>100</v>
      </c>
      <c r="J157" s="98" t="s">
        <v>10</v>
      </c>
      <c r="K157" s="98">
        <v>19</v>
      </c>
      <c r="L157" s="98">
        <v>6534.1</v>
      </c>
      <c r="M157" s="98">
        <v>17.164000000000001</v>
      </c>
      <c r="N157" s="98">
        <v>6601.7</v>
      </c>
      <c r="O157" s="99" t="s">
        <v>1836</v>
      </c>
    </row>
    <row r="158" spans="1:15" x14ac:dyDescent="0.25">
      <c r="A158" s="98" t="s">
        <v>55</v>
      </c>
      <c r="B158" s="98" t="s">
        <v>47</v>
      </c>
      <c r="C158" s="98">
        <v>1E-3</v>
      </c>
      <c r="D158" s="98">
        <v>0.01</v>
      </c>
      <c r="E158" s="98">
        <v>9.9999999999999995E-7</v>
      </c>
      <c r="F158" s="98" t="s">
        <v>13</v>
      </c>
      <c r="G158" s="98" t="s">
        <v>11</v>
      </c>
      <c r="H158" s="98">
        <v>20</v>
      </c>
      <c r="I158" s="98">
        <v>50</v>
      </c>
      <c r="J158" s="98" t="s">
        <v>10</v>
      </c>
      <c r="K158" s="98">
        <v>5.0999999999999996</v>
      </c>
      <c r="L158" s="98">
        <v>4739.8999999999996</v>
      </c>
      <c r="M158" s="98">
        <v>4.5921000000000003</v>
      </c>
      <c r="N158" s="98">
        <v>4746.3</v>
      </c>
      <c r="O158" s="99" t="s">
        <v>2631</v>
      </c>
    </row>
    <row r="159" spans="1:15" x14ac:dyDescent="0.25">
      <c r="A159" s="98" t="s">
        <v>55</v>
      </c>
      <c r="B159" s="98" t="s">
        <v>47</v>
      </c>
      <c r="C159" s="98">
        <v>1E-3</v>
      </c>
      <c r="D159" s="98">
        <v>0.01</v>
      </c>
      <c r="E159" s="98">
        <v>9.9999999999999995E-7</v>
      </c>
      <c r="F159" s="98" t="s">
        <v>13</v>
      </c>
      <c r="G159" s="98" t="s">
        <v>11</v>
      </c>
      <c r="H159" s="98">
        <v>0.1</v>
      </c>
      <c r="I159" s="98">
        <v>5</v>
      </c>
      <c r="J159" s="98" t="s">
        <v>10</v>
      </c>
      <c r="K159" s="98">
        <v>2.5</v>
      </c>
      <c r="L159" s="98">
        <v>362.33</v>
      </c>
      <c r="M159" s="98">
        <v>2.3641000000000001</v>
      </c>
      <c r="N159" s="98">
        <v>361.33</v>
      </c>
      <c r="O159" s="99" t="s">
        <v>1837</v>
      </c>
    </row>
    <row r="160" spans="1:15" x14ac:dyDescent="0.25">
      <c r="A160" s="98" t="s">
        <v>55</v>
      </c>
      <c r="B160" s="98" t="s">
        <v>47</v>
      </c>
      <c r="C160" s="98">
        <v>1E-3</v>
      </c>
      <c r="D160" s="98">
        <v>0.01</v>
      </c>
      <c r="E160" s="98">
        <v>9.9999999999999995E-7</v>
      </c>
      <c r="F160" s="98" t="s">
        <v>13</v>
      </c>
      <c r="G160" s="98" t="s">
        <v>11</v>
      </c>
      <c r="H160" s="98">
        <v>1E-3</v>
      </c>
      <c r="I160" s="98">
        <v>0.02</v>
      </c>
      <c r="J160" s="98" t="s">
        <v>10</v>
      </c>
      <c r="K160" s="98">
        <v>2.5</v>
      </c>
      <c r="L160" s="98">
        <v>4600.7</v>
      </c>
      <c r="M160" s="98">
        <v>2.3372999999999999</v>
      </c>
      <c r="N160" s="98">
        <v>4616.5</v>
      </c>
      <c r="O160" s="99" t="s">
        <v>2629</v>
      </c>
    </row>
    <row r="161" spans="1:15" x14ac:dyDescent="0.25">
      <c r="A161" s="98" t="s">
        <v>55</v>
      </c>
      <c r="B161" s="98" t="s">
        <v>47</v>
      </c>
      <c r="C161" s="98">
        <v>1E-3</v>
      </c>
      <c r="D161" s="98">
        <v>0.01</v>
      </c>
      <c r="E161" s="98">
        <v>1.0000000000000001E-5</v>
      </c>
      <c r="F161" s="98" t="s">
        <v>13</v>
      </c>
      <c r="G161" s="98" t="s">
        <v>11</v>
      </c>
      <c r="H161" s="98">
        <v>4.4999999999999998E-2</v>
      </c>
      <c r="I161" s="98">
        <v>0.1</v>
      </c>
      <c r="J161" s="98" t="s">
        <v>10</v>
      </c>
      <c r="K161" s="98">
        <v>6.0457999999999998</v>
      </c>
      <c r="L161" s="98">
        <v>494.17</v>
      </c>
      <c r="M161" s="98">
        <v>6.0251999999999999</v>
      </c>
      <c r="N161" s="98">
        <v>488.84</v>
      </c>
      <c r="O161" s="99" t="s">
        <v>1841</v>
      </c>
    </row>
    <row r="162" spans="1:15" x14ac:dyDescent="0.25">
      <c r="A162" s="98" t="s">
        <v>55</v>
      </c>
      <c r="B162" s="98" t="s">
        <v>47</v>
      </c>
      <c r="C162" s="98">
        <v>1E-3</v>
      </c>
      <c r="D162" s="98">
        <v>0.01</v>
      </c>
      <c r="E162" s="98">
        <v>1.0000000000000001E-5</v>
      </c>
      <c r="F162" s="98" t="s">
        <v>13</v>
      </c>
      <c r="G162" s="98" t="s">
        <v>11</v>
      </c>
      <c r="H162" s="98">
        <v>50</v>
      </c>
      <c r="I162" s="98">
        <v>100</v>
      </c>
      <c r="J162" s="98" t="s">
        <v>10</v>
      </c>
      <c r="K162" s="98">
        <v>19</v>
      </c>
      <c r="L162" s="98">
        <v>6550</v>
      </c>
      <c r="M162" s="98">
        <v>17.919</v>
      </c>
      <c r="N162" s="98">
        <v>6548</v>
      </c>
      <c r="O162" s="99" t="s">
        <v>1840</v>
      </c>
    </row>
    <row r="163" spans="1:15" x14ac:dyDescent="0.25">
      <c r="A163" s="98" t="s">
        <v>55</v>
      </c>
      <c r="B163" s="98" t="s">
        <v>47</v>
      </c>
      <c r="C163" s="98">
        <v>1E-3</v>
      </c>
      <c r="D163" s="98">
        <v>0.01</v>
      </c>
      <c r="E163" s="98">
        <v>1.0000000000000001E-5</v>
      </c>
      <c r="F163" s="98" t="s">
        <v>13</v>
      </c>
      <c r="G163" s="98" t="s">
        <v>11</v>
      </c>
      <c r="H163" s="98">
        <v>0.1</v>
      </c>
      <c r="I163" s="98">
        <v>5</v>
      </c>
      <c r="J163" s="98" t="s">
        <v>10</v>
      </c>
      <c r="K163" s="98">
        <v>6.1658999999999997</v>
      </c>
      <c r="L163" s="98">
        <v>223.94</v>
      </c>
      <c r="M163" s="98">
        <v>6.1471999999999998</v>
      </c>
      <c r="N163" s="98">
        <v>216.14</v>
      </c>
      <c r="O163" s="99" t="s">
        <v>1842</v>
      </c>
    </row>
    <row r="164" spans="1:15" x14ac:dyDescent="0.25">
      <c r="A164" s="98" t="s">
        <v>55</v>
      </c>
      <c r="B164" s="98" t="s">
        <v>47</v>
      </c>
      <c r="C164" s="98">
        <v>1E-3</v>
      </c>
      <c r="D164" s="98">
        <v>0.01</v>
      </c>
      <c r="E164" s="98">
        <v>1.0000000000000001E-5</v>
      </c>
      <c r="F164" s="98" t="s">
        <v>13</v>
      </c>
      <c r="G164" s="98" t="s">
        <v>11</v>
      </c>
      <c r="H164" s="98">
        <v>5</v>
      </c>
      <c r="I164" s="98">
        <v>20</v>
      </c>
      <c r="J164" s="98" t="s">
        <v>10</v>
      </c>
      <c r="K164" s="98">
        <v>6.0251000000000001</v>
      </c>
      <c r="L164" s="98">
        <v>518.67999999999995</v>
      </c>
      <c r="M164" s="98">
        <v>6.0044000000000004</v>
      </c>
      <c r="N164" s="98">
        <v>513.52</v>
      </c>
      <c r="O164" s="99" t="s">
        <v>1844</v>
      </c>
    </row>
    <row r="165" spans="1:15" x14ac:dyDescent="0.25">
      <c r="A165" s="98" t="s">
        <v>55</v>
      </c>
      <c r="B165" s="98" t="s">
        <v>47</v>
      </c>
      <c r="C165" s="98">
        <v>1E-3</v>
      </c>
      <c r="D165" s="98">
        <v>0.01</v>
      </c>
      <c r="E165" s="98">
        <v>1.0000000000000001E-5</v>
      </c>
      <c r="F165" s="98" t="s">
        <v>13</v>
      </c>
      <c r="G165" s="98" t="s">
        <v>11</v>
      </c>
      <c r="H165" s="98">
        <v>1E-3</v>
      </c>
      <c r="I165" s="98">
        <v>0.02</v>
      </c>
      <c r="J165" s="98" t="s">
        <v>10</v>
      </c>
      <c r="K165" s="98">
        <v>4.6177000000000001</v>
      </c>
      <c r="L165" s="98">
        <v>4424.3</v>
      </c>
      <c r="M165" s="98">
        <v>4.5991</v>
      </c>
      <c r="N165" s="98">
        <v>4424.5</v>
      </c>
      <c r="O165" s="99" t="s">
        <v>1838</v>
      </c>
    </row>
    <row r="166" spans="1:15" x14ac:dyDescent="0.25">
      <c r="A166" s="98" t="s">
        <v>55</v>
      </c>
      <c r="B166" s="98" t="s">
        <v>47</v>
      </c>
      <c r="C166" s="98">
        <v>1E-3</v>
      </c>
      <c r="D166" s="98">
        <v>0.01</v>
      </c>
      <c r="E166" s="98">
        <v>1.0000000000000001E-5</v>
      </c>
      <c r="F166" s="98" t="s">
        <v>13</v>
      </c>
      <c r="G166" s="98" t="s">
        <v>11</v>
      </c>
      <c r="H166" s="98">
        <v>20</v>
      </c>
      <c r="I166" s="98">
        <v>50</v>
      </c>
      <c r="J166" s="98" t="s">
        <v>10</v>
      </c>
      <c r="K166" s="98">
        <v>6.3814000000000002</v>
      </c>
      <c r="L166" s="98">
        <v>4600.8</v>
      </c>
      <c r="M166" s="98">
        <v>6.3659999999999997</v>
      </c>
      <c r="N166" s="98">
        <v>4600.8</v>
      </c>
      <c r="O166" s="99" t="s">
        <v>1839</v>
      </c>
    </row>
    <row r="167" spans="1:15" x14ac:dyDescent="0.25">
      <c r="A167" s="98" t="s">
        <v>55</v>
      </c>
      <c r="B167" s="98" t="s">
        <v>47</v>
      </c>
      <c r="C167" s="98">
        <v>1E-3</v>
      </c>
      <c r="D167" s="98">
        <v>0.01</v>
      </c>
      <c r="E167" s="98">
        <v>1.0000000000000001E-5</v>
      </c>
      <c r="F167" s="98" t="s">
        <v>13</v>
      </c>
      <c r="G167" s="98" t="s">
        <v>11</v>
      </c>
      <c r="H167" s="98">
        <v>0.02</v>
      </c>
      <c r="I167" s="98">
        <v>4.4999999999999998E-2</v>
      </c>
      <c r="J167" s="98" t="s">
        <v>10</v>
      </c>
      <c r="K167" s="98">
        <v>5.585</v>
      </c>
      <c r="L167" s="98">
        <v>1492.6</v>
      </c>
      <c r="M167" s="98">
        <v>5.5625999999999998</v>
      </c>
      <c r="N167" s="98">
        <v>1490.9</v>
      </c>
      <c r="O167" s="99" t="s">
        <v>1843</v>
      </c>
    </row>
    <row r="168" spans="1:15" x14ac:dyDescent="0.25">
      <c r="A168" s="98" t="s">
        <v>55</v>
      </c>
      <c r="B168" s="98" t="s">
        <v>47</v>
      </c>
      <c r="C168" s="98">
        <v>1E-3</v>
      </c>
      <c r="D168" s="98">
        <v>0.01</v>
      </c>
      <c r="E168" s="98">
        <v>1E-4</v>
      </c>
      <c r="F168" s="98" t="s">
        <v>13</v>
      </c>
      <c r="G168" s="98" t="s">
        <v>11</v>
      </c>
      <c r="H168" s="98">
        <v>5</v>
      </c>
      <c r="I168" s="98">
        <v>20</v>
      </c>
      <c r="J168" s="98" t="s">
        <v>10</v>
      </c>
      <c r="K168" s="98">
        <v>57.744999999999997</v>
      </c>
      <c r="L168" s="98">
        <v>83.688999999999993</v>
      </c>
      <c r="M168" s="98">
        <v>57.738</v>
      </c>
      <c r="N168" s="98">
        <v>78.852999999999994</v>
      </c>
      <c r="O168" s="99" t="s">
        <v>1845</v>
      </c>
    </row>
    <row r="169" spans="1:15" x14ac:dyDescent="0.25">
      <c r="A169" s="98" t="s">
        <v>55</v>
      </c>
      <c r="B169" s="98" t="s">
        <v>47</v>
      </c>
      <c r="C169" s="98">
        <v>1E-3</v>
      </c>
      <c r="D169" s="98">
        <v>0.01</v>
      </c>
      <c r="E169" s="98">
        <v>1E-4</v>
      </c>
      <c r="F169" s="98" t="s">
        <v>13</v>
      </c>
      <c r="G169" s="98" t="s">
        <v>11</v>
      </c>
      <c r="H169" s="98">
        <v>0.02</v>
      </c>
      <c r="I169" s="98">
        <v>4.4999999999999998E-2</v>
      </c>
      <c r="J169" s="98" t="s">
        <v>10</v>
      </c>
      <c r="K169" s="98">
        <v>57.540999999999997</v>
      </c>
      <c r="L169" s="98">
        <v>350.7</v>
      </c>
      <c r="M169" s="98">
        <v>57.533999999999999</v>
      </c>
      <c r="N169" s="98">
        <v>346.11</v>
      </c>
      <c r="O169" s="99" t="s">
        <v>1847</v>
      </c>
    </row>
    <row r="170" spans="1:15" x14ac:dyDescent="0.25">
      <c r="A170" s="98" t="s">
        <v>55</v>
      </c>
      <c r="B170" s="98" t="s">
        <v>47</v>
      </c>
      <c r="C170" s="98">
        <v>1E-3</v>
      </c>
      <c r="D170" s="98">
        <v>0.01</v>
      </c>
      <c r="E170" s="98">
        <v>1E-4</v>
      </c>
      <c r="F170" s="98" t="s">
        <v>13</v>
      </c>
      <c r="G170" s="98" t="s">
        <v>11</v>
      </c>
      <c r="H170" s="98">
        <v>4.4999999999999998E-2</v>
      </c>
      <c r="I170" s="98">
        <v>0.1</v>
      </c>
      <c r="J170" s="98" t="s">
        <v>10</v>
      </c>
      <c r="K170" s="98">
        <v>57.749000000000002</v>
      </c>
      <c r="L170" s="98">
        <v>79.009</v>
      </c>
      <c r="M170" s="98">
        <v>57.741999999999997</v>
      </c>
      <c r="N170" s="98">
        <v>74.17</v>
      </c>
      <c r="O170" s="99" t="s">
        <v>1846</v>
      </c>
    </row>
    <row r="171" spans="1:15" x14ac:dyDescent="0.25">
      <c r="A171" s="98" t="s">
        <v>55</v>
      </c>
      <c r="B171" s="98" t="s">
        <v>47</v>
      </c>
      <c r="C171" s="98">
        <v>1E-3</v>
      </c>
      <c r="D171" s="98">
        <v>0.01</v>
      </c>
      <c r="E171" s="98">
        <v>1E-4</v>
      </c>
      <c r="F171" s="98" t="s">
        <v>13</v>
      </c>
      <c r="G171" s="98" t="s">
        <v>11</v>
      </c>
      <c r="H171" s="98">
        <v>1E-3</v>
      </c>
      <c r="I171" s="98">
        <v>0.02</v>
      </c>
      <c r="J171" s="98" t="s">
        <v>10</v>
      </c>
      <c r="K171" s="98">
        <v>56.243000000000002</v>
      </c>
      <c r="L171" s="98">
        <v>1921.2</v>
      </c>
      <c r="M171" s="98">
        <v>56.234999999999999</v>
      </c>
      <c r="N171" s="98">
        <v>1917.8</v>
      </c>
      <c r="O171" s="99" t="s">
        <v>2633</v>
      </c>
    </row>
    <row r="172" spans="1:15" x14ac:dyDescent="0.25">
      <c r="A172" s="98" t="s">
        <v>55</v>
      </c>
      <c r="B172" s="98" t="s">
        <v>47</v>
      </c>
      <c r="C172" s="98">
        <v>1E-3</v>
      </c>
      <c r="D172" s="98">
        <v>0.01</v>
      </c>
      <c r="E172" s="98">
        <v>1E-4</v>
      </c>
      <c r="F172" s="98" t="s">
        <v>13</v>
      </c>
      <c r="G172" s="98" t="s">
        <v>11</v>
      </c>
      <c r="H172" s="98">
        <v>20</v>
      </c>
      <c r="I172" s="98">
        <v>50</v>
      </c>
      <c r="J172" s="98" t="s">
        <v>10</v>
      </c>
      <c r="K172" s="98">
        <v>56.353999999999999</v>
      </c>
      <c r="L172" s="98">
        <v>2143.3000000000002</v>
      </c>
      <c r="M172" s="98">
        <v>56.345999999999997</v>
      </c>
      <c r="N172" s="98">
        <v>2139.9</v>
      </c>
      <c r="O172" s="99" t="s">
        <v>1850</v>
      </c>
    </row>
    <row r="173" spans="1:15" x14ac:dyDescent="0.25">
      <c r="A173" s="98" t="s">
        <v>55</v>
      </c>
      <c r="B173" s="98" t="s">
        <v>47</v>
      </c>
      <c r="C173" s="98">
        <v>1E-3</v>
      </c>
      <c r="D173" s="98">
        <v>0.01</v>
      </c>
      <c r="E173" s="98">
        <v>1E-4</v>
      </c>
      <c r="F173" s="98" t="s">
        <v>13</v>
      </c>
      <c r="G173" s="98" t="s">
        <v>11</v>
      </c>
      <c r="H173" s="98">
        <v>0.1</v>
      </c>
      <c r="I173" s="98">
        <v>5</v>
      </c>
      <c r="J173" s="98" t="s">
        <v>10</v>
      </c>
      <c r="K173" s="98">
        <v>57.777999999999999</v>
      </c>
      <c r="L173" s="98">
        <v>33.176000000000002</v>
      </c>
      <c r="M173" s="98">
        <v>57.771000000000001</v>
      </c>
      <c r="N173" s="98">
        <v>28.291</v>
      </c>
      <c r="O173" s="99" t="s">
        <v>1848</v>
      </c>
    </row>
    <row r="174" spans="1:15" x14ac:dyDescent="0.25">
      <c r="A174" s="98" t="s">
        <v>55</v>
      </c>
      <c r="B174" s="98" t="s">
        <v>47</v>
      </c>
      <c r="C174" s="98">
        <v>1E-3</v>
      </c>
      <c r="D174" s="98">
        <v>0.01</v>
      </c>
      <c r="E174" s="98">
        <v>1E-4</v>
      </c>
      <c r="F174" s="98" t="s">
        <v>13</v>
      </c>
      <c r="G174" s="98" t="s">
        <v>11</v>
      </c>
      <c r="H174" s="98">
        <v>50</v>
      </c>
      <c r="I174" s="98">
        <v>100</v>
      </c>
      <c r="J174" s="98" t="s">
        <v>10</v>
      </c>
      <c r="K174" s="98">
        <v>58.261000000000003</v>
      </c>
      <c r="L174" s="98">
        <v>4342.2</v>
      </c>
      <c r="M174" s="98">
        <v>58.146000000000001</v>
      </c>
      <c r="N174" s="98">
        <v>4318.8</v>
      </c>
      <c r="O174" s="99" t="s">
        <v>1849</v>
      </c>
    </row>
    <row r="175" spans="1:15" x14ac:dyDescent="0.25">
      <c r="A175" s="98" t="s">
        <v>55</v>
      </c>
      <c r="B175" s="98" t="s">
        <v>47</v>
      </c>
      <c r="C175" s="98">
        <v>0.01</v>
      </c>
      <c r="D175" s="98">
        <v>0.1</v>
      </c>
      <c r="E175" s="98">
        <v>9.9999999999999995E-8</v>
      </c>
      <c r="F175" s="98" t="s">
        <v>13</v>
      </c>
      <c r="G175" s="98" t="s">
        <v>11</v>
      </c>
      <c r="H175" s="98">
        <v>1E-3</v>
      </c>
      <c r="I175" s="98">
        <v>0.02</v>
      </c>
      <c r="J175" s="98" t="s">
        <v>10</v>
      </c>
      <c r="K175" s="98">
        <v>25</v>
      </c>
      <c r="L175" s="98">
        <v>4600</v>
      </c>
      <c r="M175" s="98">
        <v>23.094999999999999</v>
      </c>
      <c r="N175" s="98">
        <v>4618.8</v>
      </c>
      <c r="O175" s="99" t="s">
        <v>1856</v>
      </c>
    </row>
    <row r="176" spans="1:15" x14ac:dyDescent="0.25">
      <c r="A176" s="98" t="s">
        <v>55</v>
      </c>
      <c r="B176" s="98" t="s">
        <v>47</v>
      </c>
      <c r="C176" s="98">
        <v>0.01</v>
      </c>
      <c r="D176" s="98">
        <v>0.1</v>
      </c>
      <c r="E176" s="98">
        <v>9.9999999999999995E-8</v>
      </c>
      <c r="F176" s="98" t="s">
        <v>13</v>
      </c>
      <c r="G176" s="98" t="s">
        <v>11</v>
      </c>
      <c r="H176" s="98">
        <v>5</v>
      </c>
      <c r="I176" s="98">
        <v>20</v>
      </c>
      <c r="J176" s="98" t="s">
        <v>10</v>
      </c>
      <c r="K176" s="98">
        <v>25</v>
      </c>
      <c r="L176" s="98">
        <v>710</v>
      </c>
      <c r="M176" s="98">
        <v>22.890999999999998</v>
      </c>
      <c r="N176" s="98">
        <v>721.64</v>
      </c>
      <c r="O176" s="99" t="s">
        <v>1853</v>
      </c>
    </row>
    <row r="177" spans="1:15" x14ac:dyDescent="0.25">
      <c r="A177" s="98" t="s">
        <v>55</v>
      </c>
      <c r="B177" s="98" t="s">
        <v>47</v>
      </c>
      <c r="C177" s="98">
        <v>0.01</v>
      </c>
      <c r="D177" s="98">
        <v>0.1</v>
      </c>
      <c r="E177" s="98">
        <v>9.9999999999999995E-8</v>
      </c>
      <c r="F177" s="98" t="s">
        <v>13</v>
      </c>
      <c r="G177" s="98" t="s">
        <v>11</v>
      </c>
      <c r="H177" s="98">
        <v>0.1</v>
      </c>
      <c r="I177" s="98">
        <v>5</v>
      </c>
      <c r="J177" s="98" t="s">
        <v>10</v>
      </c>
      <c r="K177" s="98">
        <v>25</v>
      </c>
      <c r="L177" s="98">
        <v>350</v>
      </c>
      <c r="M177" s="98">
        <v>22.95</v>
      </c>
      <c r="N177" s="98">
        <v>364.61</v>
      </c>
      <c r="O177" s="99" t="s">
        <v>1852</v>
      </c>
    </row>
    <row r="178" spans="1:15" x14ac:dyDescent="0.25">
      <c r="A178" s="98" t="s">
        <v>55</v>
      </c>
      <c r="B178" s="98" t="s">
        <v>47</v>
      </c>
      <c r="C178" s="98">
        <v>0.01</v>
      </c>
      <c r="D178" s="98">
        <v>0.1</v>
      </c>
      <c r="E178" s="98">
        <v>9.9999999999999995E-8</v>
      </c>
      <c r="F178" s="98" t="s">
        <v>13</v>
      </c>
      <c r="G178" s="98" t="s">
        <v>11</v>
      </c>
      <c r="H178" s="98">
        <v>20</v>
      </c>
      <c r="I178" s="98">
        <v>50</v>
      </c>
      <c r="J178" s="98" t="s">
        <v>10</v>
      </c>
      <c r="K178" s="98">
        <v>51</v>
      </c>
      <c r="L178" s="98">
        <v>4700</v>
      </c>
      <c r="M178" s="98">
        <v>45.601999999999997</v>
      </c>
      <c r="N178" s="98">
        <v>4746.8999999999996</v>
      </c>
      <c r="O178" s="99" t="s">
        <v>1857</v>
      </c>
    </row>
    <row r="179" spans="1:15" x14ac:dyDescent="0.25">
      <c r="A179" s="98" t="s">
        <v>55</v>
      </c>
      <c r="B179" s="98" t="s">
        <v>47</v>
      </c>
      <c r="C179" s="98">
        <v>0.01</v>
      </c>
      <c r="D179" s="98">
        <v>0.1</v>
      </c>
      <c r="E179" s="98">
        <v>9.9999999999999995E-8</v>
      </c>
      <c r="F179" s="98" t="s">
        <v>13</v>
      </c>
      <c r="G179" s="98" t="s">
        <v>11</v>
      </c>
      <c r="H179" s="98">
        <v>0.02</v>
      </c>
      <c r="I179" s="98">
        <v>4.4999999999999998E-2</v>
      </c>
      <c r="J179" s="98" t="s">
        <v>10</v>
      </c>
      <c r="K179" s="98">
        <v>27</v>
      </c>
      <c r="L179" s="98">
        <v>1700</v>
      </c>
      <c r="M179" s="98">
        <v>23.094999999999999</v>
      </c>
      <c r="N179" s="98">
        <v>1732.1</v>
      </c>
      <c r="O179" s="99" t="s">
        <v>1855</v>
      </c>
    </row>
    <row r="180" spans="1:15" x14ac:dyDescent="0.25">
      <c r="A180" s="98" t="s">
        <v>55</v>
      </c>
      <c r="B180" s="98" t="s">
        <v>47</v>
      </c>
      <c r="C180" s="98">
        <v>0.01</v>
      </c>
      <c r="D180" s="98">
        <v>0.1</v>
      </c>
      <c r="E180" s="98">
        <v>9.9999999999999995E-8</v>
      </c>
      <c r="F180" s="98" t="s">
        <v>13</v>
      </c>
      <c r="G180" s="98" t="s">
        <v>11</v>
      </c>
      <c r="H180" s="98">
        <v>50</v>
      </c>
      <c r="I180" s="98">
        <v>100</v>
      </c>
      <c r="J180" s="98" t="s">
        <v>10</v>
      </c>
      <c r="K180" s="98">
        <v>190</v>
      </c>
      <c r="L180" s="98">
        <v>6500</v>
      </c>
      <c r="M180" s="98">
        <v>171.51</v>
      </c>
      <c r="N180" s="98">
        <v>6602.2</v>
      </c>
      <c r="O180" s="99" t="s">
        <v>1851</v>
      </c>
    </row>
    <row r="181" spans="1:15" x14ac:dyDescent="0.25">
      <c r="A181" s="98" t="s">
        <v>55</v>
      </c>
      <c r="B181" s="98" t="s">
        <v>47</v>
      </c>
      <c r="C181" s="98">
        <v>0.01</v>
      </c>
      <c r="D181" s="98">
        <v>0.1</v>
      </c>
      <c r="E181" s="98">
        <v>9.9999999999999995E-8</v>
      </c>
      <c r="F181" s="98" t="s">
        <v>13</v>
      </c>
      <c r="G181" s="98" t="s">
        <v>11</v>
      </c>
      <c r="H181" s="98">
        <v>4.4999999999999998E-2</v>
      </c>
      <c r="I181" s="98">
        <v>0.1</v>
      </c>
      <c r="J181" s="98" t="s">
        <v>10</v>
      </c>
      <c r="K181" s="98">
        <v>24</v>
      </c>
      <c r="L181" s="98">
        <v>690</v>
      </c>
      <c r="M181" s="98">
        <v>23.094000000000001</v>
      </c>
      <c r="N181" s="98">
        <v>693.05</v>
      </c>
      <c r="O181" s="99" t="s">
        <v>1854</v>
      </c>
    </row>
    <row r="182" spans="1:15" x14ac:dyDescent="0.25">
      <c r="A182" s="98" t="s">
        <v>55</v>
      </c>
      <c r="B182" s="98" t="s">
        <v>47</v>
      </c>
      <c r="C182" s="98">
        <v>0.01</v>
      </c>
      <c r="D182" s="98">
        <v>0.1</v>
      </c>
      <c r="E182" s="98">
        <v>9.9999999999999995E-7</v>
      </c>
      <c r="F182" s="98" t="s">
        <v>13</v>
      </c>
      <c r="G182" s="98" t="s">
        <v>11</v>
      </c>
      <c r="H182" s="98">
        <v>1E-3</v>
      </c>
      <c r="I182" s="98">
        <v>0.02</v>
      </c>
      <c r="J182" s="98" t="s">
        <v>10</v>
      </c>
      <c r="K182" s="98">
        <v>25</v>
      </c>
      <c r="L182" s="98">
        <v>4600</v>
      </c>
      <c r="M182" s="98">
        <v>23.099</v>
      </c>
      <c r="N182" s="98">
        <v>4618.8</v>
      </c>
      <c r="O182" s="99" t="s">
        <v>2634</v>
      </c>
    </row>
    <row r="183" spans="1:15" x14ac:dyDescent="0.25">
      <c r="A183" s="98" t="s">
        <v>55</v>
      </c>
      <c r="B183" s="98" t="s">
        <v>47</v>
      </c>
      <c r="C183" s="98">
        <v>0.01</v>
      </c>
      <c r="D183" s="98">
        <v>0.1</v>
      </c>
      <c r="E183" s="98">
        <v>9.9999999999999995E-7</v>
      </c>
      <c r="F183" s="98" t="s">
        <v>13</v>
      </c>
      <c r="G183" s="98" t="s">
        <v>11</v>
      </c>
      <c r="H183" s="98">
        <v>20</v>
      </c>
      <c r="I183" s="98">
        <v>50</v>
      </c>
      <c r="J183" s="98" t="s">
        <v>10</v>
      </c>
      <c r="K183" s="98">
        <v>51</v>
      </c>
      <c r="L183" s="98">
        <v>4736.8</v>
      </c>
      <c r="M183" s="98">
        <v>45.606000000000002</v>
      </c>
      <c r="N183" s="98">
        <v>4746.8999999999996</v>
      </c>
      <c r="O183" s="99" t="s">
        <v>1859</v>
      </c>
    </row>
    <row r="184" spans="1:15" x14ac:dyDescent="0.25">
      <c r="A184" s="98" t="s">
        <v>55</v>
      </c>
      <c r="B184" s="98" t="s">
        <v>47</v>
      </c>
      <c r="C184" s="98">
        <v>0.01</v>
      </c>
      <c r="D184" s="98">
        <v>0.1</v>
      </c>
      <c r="E184" s="98">
        <v>9.9999999999999995E-7</v>
      </c>
      <c r="F184" s="98" t="s">
        <v>13</v>
      </c>
      <c r="G184" s="98" t="s">
        <v>11</v>
      </c>
      <c r="H184" s="98">
        <v>4.4999999999999998E-2</v>
      </c>
      <c r="I184" s="98">
        <v>0.1</v>
      </c>
      <c r="J184" s="98" t="s">
        <v>10</v>
      </c>
      <c r="K184" s="98">
        <v>24</v>
      </c>
      <c r="L184" s="98">
        <v>690</v>
      </c>
      <c r="M184" s="98">
        <v>23.103000000000002</v>
      </c>
      <c r="N184" s="98">
        <v>693.03</v>
      </c>
      <c r="O184" s="99" t="s">
        <v>1861</v>
      </c>
    </row>
    <row r="185" spans="1:15" x14ac:dyDescent="0.25">
      <c r="A185" s="98" t="s">
        <v>55</v>
      </c>
      <c r="B185" s="98" t="s">
        <v>47</v>
      </c>
      <c r="C185" s="98">
        <v>0.01</v>
      </c>
      <c r="D185" s="98">
        <v>0.1</v>
      </c>
      <c r="E185" s="98">
        <v>9.9999999999999995E-7</v>
      </c>
      <c r="F185" s="98" t="s">
        <v>13</v>
      </c>
      <c r="G185" s="98" t="s">
        <v>11</v>
      </c>
      <c r="H185" s="98">
        <v>0.1</v>
      </c>
      <c r="I185" s="98">
        <v>5</v>
      </c>
      <c r="J185" s="98" t="s">
        <v>10</v>
      </c>
      <c r="K185" s="98">
        <v>25</v>
      </c>
      <c r="L185" s="98">
        <v>355.17</v>
      </c>
      <c r="M185" s="98">
        <v>22.960999999999999</v>
      </c>
      <c r="N185" s="98">
        <v>364.62</v>
      </c>
      <c r="O185" s="99" t="s">
        <v>2635</v>
      </c>
    </row>
    <row r="186" spans="1:15" x14ac:dyDescent="0.25">
      <c r="A186" s="98" t="s">
        <v>55</v>
      </c>
      <c r="B186" s="98" t="s">
        <v>47</v>
      </c>
      <c r="C186" s="98">
        <v>0.01</v>
      </c>
      <c r="D186" s="98">
        <v>0.1</v>
      </c>
      <c r="E186" s="98">
        <v>9.9999999999999995E-7</v>
      </c>
      <c r="F186" s="98" t="s">
        <v>13</v>
      </c>
      <c r="G186" s="98" t="s">
        <v>11</v>
      </c>
      <c r="H186" s="98">
        <v>5</v>
      </c>
      <c r="I186" s="98">
        <v>20</v>
      </c>
      <c r="J186" s="98" t="s">
        <v>10</v>
      </c>
      <c r="K186" s="98">
        <v>25</v>
      </c>
      <c r="L186" s="98">
        <v>712.1</v>
      </c>
      <c r="M186" s="98">
        <v>22.9</v>
      </c>
      <c r="N186" s="98">
        <v>721.62</v>
      </c>
      <c r="O186" s="99" t="s">
        <v>1860</v>
      </c>
    </row>
    <row r="187" spans="1:15" x14ac:dyDescent="0.25">
      <c r="A187" s="98" t="s">
        <v>55</v>
      </c>
      <c r="B187" s="98" t="s">
        <v>47</v>
      </c>
      <c r="C187" s="98">
        <v>0.01</v>
      </c>
      <c r="D187" s="98">
        <v>0.1</v>
      </c>
      <c r="E187" s="98">
        <v>9.9999999999999995E-7</v>
      </c>
      <c r="F187" s="98" t="s">
        <v>13</v>
      </c>
      <c r="G187" s="98" t="s">
        <v>11</v>
      </c>
      <c r="H187" s="98">
        <v>0.02</v>
      </c>
      <c r="I187" s="98">
        <v>4.4999999999999998E-2</v>
      </c>
      <c r="J187" s="98" t="s">
        <v>10</v>
      </c>
      <c r="K187" s="98">
        <v>27</v>
      </c>
      <c r="L187" s="98">
        <v>1700</v>
      </c>
      <c r="M187" s="98">
        <v>23.102</v>
      </c>
      <c r="N187" s="98">
        <v>1732.1</v>
      </c>
      <c r="O187" s="99" t="s">
        <v>1858</v>
      </c>
    </row>
    <row r="188" spans="1:15" x14ac:dyDescent="0.25">
      <c r="A188" s="98" t="s">
        <v>55</v>
      </c>
      <c r="B188" s="98" t="s">
        <v>47</v>
      </c>
      <c r="C188" s="98">
        <v>0.01</v>
      </c>
      <c r="D188" s="98">
        <v>0.1</v>
      </c>
      <c r="E188" s="98">
        <v>9.9999999999999995E-7</v>
      </c>
      <c r="F188" s="98" t="s">
        <v>13</v>
      </c>
      <c r="G188" s="98" t="s">
        <v>11</v>
      </c>
      <c r="H188" s="98">
        <v>50</v>
      </c>
      <c r="I188" s="98">
        <v>100</v>
      </c>
      <c r="J188" s="98" t="s">
        <v>10</v>
      </c>
      <c r="K188" s="98">
        <v>190</v>
      </c>
      <c r="L188" s="98">
        <v>6538.1</v>
      </c>
      <c r="M188" s="98">
        <v>171.63</v>
      </c>
      <c r="N188" s="98">
        <v>6602.5</v>
      </c>
      <c r="O188" s="99" t="s">
        <v>1862</v>
      </c>
    </row>
    <row r="189" spans="1:15" x14ac:dyDescent="0.25">
      <c r="A189" s="98" t="s">
        <v>55</v>
      </c>
      <c r="B189" s="98" t="s">
        <v>47</v>
      </c>
      <c r="C189" s="98">
        <v>0.01</v>
      </c>
      <c r="D189" s="98">
        <v>0.1</v>
      </c>
      <c r="E189" s="98">
        <v>1.0000000000000001E-5</v>
      </c>
      <c r="F189" s="98" t="s">
        <v>13</v>
      </c>
      <c r="G189" s="98" t="s">
        <v>11</v>
      </c>
      <c r="H189" s="98">
        <v>4.4999999999999998E-2</v>
      </c>
      <c r="I189" s="98">
        <v>0.1</v>
      </c>
      <c r="J189" s="98" t="s">
        <v>10</v>
      </c>
      <c r="K189" s="98">
        <v>24</v>
      </c>
      <c r="L189" s="98">
        <v>690</v>
      </c>
      <c r="M189" s="98">
        <v>23.701000000000001</v>
      </c>
      <c r="N189" s="98">
        <v>689.05</v>
      </c>
      <c r="O189" s="99" t="s">
        <v>1867</v>
      </c>
    </row>
    <row r="190" spans="1:15" x14ac:dyDescent="0.25">
      <c r="A190" s="98" t="s">
        <v>55</v>
      </c>
      <c r="B190" s="98" t="s">
        <v>47</v>
      </c>
      <c r="C190" s="98">
        <v>0.01</v>
      </c>
      <c r="D190" s="98">
        <v>0.1</v>
      </c>
      <c r="E190" s="98">
        <v>1.0000000000000001E-5</v>
      </c>
      <c r="F190" s="98" t="s">
        <v>13</v>
      </c>
      <c r="G190" s="98" t="s">
        <v>11</v>
      </c>
      <c r="H190" s="98">
        <v>0.02</v>
      </c>
      <c r="I190" s="98">
        <v>4.4999999999999998E-2</v>
      </c>
      <c r="J190" s="98" t="s">
        <v>10</v>
      </c>
      <c r="K190" s="98">
        <v>27</v>
      </c>
      <c r="L190" s="98">
        <v>1700</v>
      </c>
      <c r="M190" s="98">
        <v>23.553999999999998</v>
      </c>
      <c r="N190" s="98">
        <v>1728.5</v>
      </c>
      <c r="O190" s="99" t="s">
        <v>1863</v>
      </c>
    </row>
    <row r="191" spans="1:15" x14ac:dyDescent="0.25">
      <c r="A191" s="98" t="s">
        <v>55</v>
      </c>
      <c r="B191" s="98" t="s">
        <v>47</v>
      </c>
      <c r="C191" s="98">
        <v>0.01</v>
      </c>
      <c r="D191" s="98">
        <v>0.1</v>
      </c>
      <c r="E191" s="98">
        <v>1.0000000000000001E-5</v>
      </c>
      <c r="F191" s="98" t="s">
        <v>13</v>
      </c>
      <c r="G191" s="98" t="s">
        <v>11</v>
      </c>
      <c r="H191" s="98">
        <v>1E-3</v>
      </c>
      <c r="I191" s="98">
        <v>0.02</v>
      </c>
      <c r="J191" s="98" t="s">
        <v>10</v>
      </c>
      <c r="K191" s="98">
        <v>25</v>
      </c>
      <c r="L191" s="98">
        <v>4600.3999999999996</v>
      </c>
      <c r="M191" s="98">
        <v>23.366</v>
      </c>
      <c r="N191" s="98">
        <v>4616.5</v>
      </c>
      <c r="O191" s="99" t="s">
        <v>2636</v>
      </c>
    </row>
    <row r="192" spans="1:15" x14ac:dyDescent="0.25">
      <c r="A192" s="98" t="s">
        <v>55</v>
      </c>
      <c r="B192" s="98" t="s">
        <v>47</v>
      </c>
      <c r="C192" s="98">
        <v>0.01</v>
      </c>
      <c r="D192" s="98">
        <v>0.1</v>
      </c>
      <c r="E192" s="98">
        <v>1.0000000000000001E-5</v>
      </c>
      <c r="F192" s="98" t="s">
        <v>13</v>
      </c>
      <c r="G192" s="98" t="s">
        <v>11</v>
      </c>
      <c r="H192" s="98">
        <v>5</v>
      </c>
      <c r="I192" s="98">
        <v>20</v>
      </c>
      <c r="J192" s="98" t="s">
        <v>10</v>
      </c>
      <c r="K192" s="98">
        <v>25</v>
      </c>
      <c r="L192" s="98">
        <v>715.16</v>
      </c>
      <c r="M192" s="98">
        <v>23.497</v>
      </c>
      <c r="N192" s="98">
        <v>717.59</v>
      </c>
      <c r="O192" s="99" t="s">
        <v>2637</v>
      </c>
    </row>
    <row r="193" spans="1:15" x14ac:dyDescent="0.25">
      <c r="A193" s="98" t="s">
        <v>55</v>
      </c>
      <c r="B193" s="98" t="s">
        <v>47</v>
      </c>
      <c r="C193" s="98">
        <v>0.01</v>
      </c>
      <c r="D193" s="98">
        <v>0.1</v>
      </c>
      <c r="E193" s="98">
        <v>1.0000000000000001E-5</v>
      </c>
      <c r="F193" s="98" t="s">
        <v>13</v>
      </c>
      <c r="G193" s="98" t="s">
        <v>11</v>
      </c>
      <c r="H193" s="98">
        <v>0.1</v>
      </c>
      <c r="I193" s="98">
        <v>5</v>
      </c>
      <c r="J193" s="98" t="s">
        <v>10</v>
      </c>
      <c r="K193" s="98">
        <v>25</v>
      </c>
      <c r="L193" s="98">
        <v>360.06</v>
      </c>
      <c r="M193" s="98">
        <v>23.625</v>
      </c>
      <c r="N193" s="98">
        <v>361.08</v>
      </c>
      <c r="O193" s="99" t="s">
        <v>1866</v>
      </c>
    </row>
    <row r="194" spans="1:15" x14ac:dyDescent="0.25">
      <c r="A194" s="98" t="s">
        <v>55</v>
      </c>
      <c r="B194" s="98" t="s">
        <v>47</v>
      </c>
      <c r="C194" s="98">
        <v>0.01</v>
      </c>
      <c r="D194" s="98">
        <v>0.1</v>
      </c>
      <c r="E194" s="98">
        <v>1.0000000000000001E-5</v>
      </c>
      <c r="F194" s="98" t="s">
        <v>13</v>
      </c>
      <c r="G194" s="98" t="s">
        <v>11</v>
      </c>
      <c r="H194" s="98">
        <v>20</v>
      </c>
      <c r="I194" s="98">
        <v>50</v>
      </c>
      <c r="J194" s="98" t="s">
        <v>10</v>
      </c>
      <c r="K194" s="98">
        <v>51</v>
      </c>
      <c r="L194" s="98">
        <v>4738</v>
      </c>
      <c r="M194" s="98">
        <v>45.823</v>
      </c>
      <c r="N194" s="98">
        <v>4745.2</v>
      </c>
      <c r="O194" s="99" t="s">
        <v>1865</v>
      </c>
    </row>
    <row r="195" spans="1:15" x14ac:dyDescent="0.25">
      <c r="A195" s="98" t="s">
        <v>55</v>
      </c>
      <c r="B195" s="98" t="s">
        <v>47</v>
      </c>
      <c r="C195" s="98">
        <v>0.01</v>
      </c>
      <c r="D195" s="98">
        <v>0.1</v>
      </c>
      <c r="E195" s="98">
        <v>1.0000000000000001E-5</v>
      </c>
      <c r="F195" s="98" t="s">
        <v>13</v>
      </c>
      <c r="G195" s="98" t="s">
        <v>11</v>
      </c>
      <c r="H195" s="98">
        <v>50</v>
      </c>
      <c r="I195" s="98">
        <v>100</v>
      </c>
      <c r="J195" s="98" t="s">
        <v>10</v>
      </c>
      <c r="K195" s="98">
        <v>190</v>
      </c>
      <c r="L195" s="98">
        <v>6565.8</v>
      </c>
      <c r="M195" s="98">
        <v>179.15</v>
      </c>
      <c r="N195" s="98">
        <v>6551.2</v>
      </c>
      <c r="O195" s="99" t="s">
        <v>1864</v>
      </c>
    </row>
    <row r="196" spans="1:15" x14ac:dyDescent="0.25">
      <c r="A196" s="98" t="s">
        <v>55</v>
      </c>
      <c r="B196" s="98" t="s">
        <v>47</v>
      </c>
      <c r="C196" s="98">
        <v>0.01</v>
      </c>
      <c r="D196" s="98">
        <v>0.1</v>
      </c>
      <c r="E196" s="98">
        <v>1E-4</v>
      </c>
      <c r="F196" s="98" t="s">
        <v>13</v>
      </c>
      <c r="G196" s="98" t="s">
        <v>11</v>
      </c>
      <c r="H196" s="98">
        <v>5</v>
      </c>
      <c r="I196" s="98">
        <v>20</v>
      </c>
      <c r="J196" s="98" t="s">
        <v>10</v>
      </c>
      <c r="K196" s="98">
        <v>60.128</v>
      </c>
      <c r="L196" s="98">
        <v>515.53</v>
      </c>
      <c r="M196" s="98">
        <v>60.018000000000001</v>
      </c>
      <c r="N196" s="98">
        <v>512.89</v>
      </c>
      <c r="O196" s="99" t="s">
        <v>1868</v>
      </c>
    </row>
    <row r="197" spans="1:15" x14ac:dyDescent="0.25">
      <c r="A197" s="98" t="s">
        <v>55</v>
      </c>
      <c r="B197" s="98" t="s">
        <v>47</v>
      </c>
      <c r="C197" s="98">
        <v>0.01</v>
      </c>
      <c r="D197" s="98">
        <v>0.1</v>
      </c>
      <c r="E197" s="98">
        <v>1E-4</v>
      </c>
      <c r="F197" s="98" t="s">
        <v>13</v>
      </c>
      <c r="G197" s="98" t="s">
        <v>11</v>
      </c>
      <c r="H197" s="98">
        <v>0.1</v>
      </c>
      <c r="I197" s="98">
        <v>5</v>
      </c>
      <c r="J197" s="98" t="s">
        <v>10</v>
      </c>
      <c r="K197" s="98">
        <v>61.548000000000002</v>
      </c>
      <c r="L197" s="98">
        <v>219.19</v>
      </c>
      <c r="M197" s="98">
        <v>61.448999999999998</v>
      </c>
      <c r="N197" s="98">
        <v>215.18</v>
      </c>
      <c r="O197" s="99" t="s">
        <v>1870</v>
      </c>
    </row>
    <row r="198" spans="1:15" x14ac:dyDescent="0.25">
      <c r="A198" s="98" t="s">
        <v>55</v>
      </c>
      <c r="B198" s="98" t="s">
        <v>47</v>
      </c>
      <c r="C198" s="98">
        <v>0.01</v>
      </c>
      <c r="D198" s="98">
        <v>0.1</v>
      </c>
      <c r="E198" s="98">
        <v>1E-4</v>
      </c>
      <c r="F198" s="98" t="s">
        <v>13</v>
      </c>
      <c r="G198" s="98" t="s">
        <v>11</v>
      </c>
      <c r="H198" s="98">
        <v>4.4999999999999998E-2</v>
      </c>
      <c r="I198" s="98">
        <v>0.1</v>
      </c>
      <c r="J198" s="98" t="s">
        <v>10</v>
      </c>
      <c r="K198" s="98">
        <v>60.335999999999999</v>
      </c>
      <c r="L198" s="98">
        <v>490.93</v>
      </c>
      <c r="M198" s="98">
        <v>60.226999999999997</v>
      </c>
      <c r="N198" s="98">
        <v>488.21</v>
      </c>
      <c r="O198" s="99" t="s">
        <v>2638</v>
      </c>
    </row>
    <row r="199" spans="1:15" x14ac:dyDescent="0.25">
      <c r="A199" s="98" t="s">
        <v>55</v>
      </c>
      <c r="B199" s="98" t="s">
        <v>47</v>
      </c>
      <c r="C199" s="98">
        <v>0.01</v>
      </c>
      <c r="D199" s="98">
        <v>0.1</v>
      </c>
      <c r="E199" s="98">
        <v>1E-4</v>
      </c>
      <c r="F199" s="98" t="s">
        <v>13</v>
      </c>
      <c r="G199" s="98" t="s">
        <v>11</v>
      </c>
      <c r="H199" s="98">
        <v>1E-3</v>
      </c>
      <c r="I199" s="98">
        <v>0.02</v>
      </c>
      <c r="J199" s="98" t="s">
        <v>10</v>
      </c>
      <c r="K199" s="98">
        <v>46.067</v>
      </c>
      <c r="L199" s="98">
        <v>4424.3999999999996</v>
      </c>
      <c r="M199" s="98">
        <v>45.963999999999999</v>
      </c>
      <c r="N199" s="98">
        <v>4424.6000000000004</v>
      </c>
      <c r="O199" s="99" t="s">
        <v>1871</v>
      </c>
    </row>
    <row r="200" spans="1:15" x14ac:dyDescent="0.25">
      <c r="A200" s="98" t="s">
        <v>55</v>
      </c>
      <c r="B200" s="98" t="s">
        <v>47</v>
      </c>
      <c r="C200" s="98">
        <v>0.01</v>
      </c>
      <c r="D200" s="98">
        <v>0.1</v>
      </c>
      <c r="E200" s="98">
        <v>1E-4</v>
      </c>
      <c r="F200" s="98" t="s">
        <v>13</v>
      </c>
      <c r="G200" s="98" t="s">
        <v>11</v>
      </c>
      <c r="H200" s="98">
        <v>50</v>
      </c>
      <c r="I200" s="98">
        <v>100</v>
      </c>
      <c r="J200" s="98" t="s">
        <v>10</v>
      </c>
      <c r="K200" s="98">
        <v>582.09</v>
      </c>
      <c r="L200" s="98">
        <v>4394.2</v>
      </c>
      <c r="M200" s="98">
        <v>581.36</v>
      </c>
      <c r="N200" s="98">
        <v>4329.2</v>
      </c>
      <c r="O200" s="99" t="s">
        <v>1869</v>
      </c>
    </row>
    <row r="201" spans="1:15" x14ac:dyDescent="0.25">
      <c r="A201" s="98" t="s">
        <v>55</v>
      </c>
      <c r="B201" s="98" t="s">
        <v>47</v>
      </c>
      <c r="C201" s="98">
        <v>0.01</v>
      </c>
      <c r="D201" s="98">
        <v>0.1</v>
      </c>
      <c r="E201" s="98">
        <v>1E-4</v>
      </c>
      <c r="F201" s="98" t="s">
        <v>13</v>
      </c>
      <c r="G201" s="98" t="s">
        <v>11</v>
      </c>
      <c r="H201" s="98">
        <v>20</v>
      </c>
      <c r="I201" s="98">
        <v>50</v>
      </c>
      <c r="J201" s="98" t="s">
        <v>10</v>
      </c>
      <c r="K201" s="98">
        <v>64.007999999999996</v>
      </c>
      <c r="L201" s="98">
        <v>4598.6000000000004</v>
      </c>
      <c r="M201" s="98">
        <v>63.621000000000002</v>
      </c>
      <c r="N201" s="98">
        <v>4599.3999999999996</v>
      </c>
      <c r="O201" s="99" t="s">
        <v>2640</v>
      </c>
    </row>
    <row r="202" spans="1:15" x14ac:dyDescent="0.25">
      <c r="A202" s="98" t="s">
        <v>55</v>
      </c>
      <c r="B202" s="98" t="s">
        <v>47</v>
      </c>
      <c r="C202" s="98">
        <v>0.01</v>
      </c>
      <c r="D202" s="98">
        <v>0.1</v>
      </c>
      <c r="E202" s="98">
        <v>1E-4</v>
      </c>
      <c r="F202" s="98" t="s">
        <v>13</v>
      </c>
      <c r="G202" s="98" t="s">
        <v>11</v>
      </c>
      <c r="H202" s="98">
        <v>0.02</v>
      </c>
      <c r="I202" s="98">
        <v>4.4999999999999998E-2</v>
      </c>
      <c r="J202" s="98" t="s">
        <v>10</v>
      </c>
      <c r="K202" s="98">
        <v>55.716000000000001</v>
      </c>
      <c r="L202" s="98">
        <v>1491.6</v>
      </c>
      <c r="M202" s="98">
        <v>55.6</v>
      </c>
      <c r="N202" s="98">
        <v>1490.7</v>
      </c>
      <c r="O202" s="99" t="s">
        <v>2639</v>
      </c>
    </row>
    <row r="203" spans="1:15" x14ac:dyDescent="0.25">
      <c r="A203" s="98" t="s">
        <v>55</v>
      </c>
      <c r="B203" s="98" t="s">
        <v>47</v>
      </c>
      <c r="C203" s="98">
        <v>0.01</v>
      </c>
      <c r="D203" s="98">
        <v>0.1</v>
      </c>
      <c r="E203" s="98">
        <v>1E-3</v>
      </c>
      <c r="F203" s="98" t="s">
        <v>13</v>
      </c>
      <c r="G203" s="98" t="s">
        <v>11</v>
      </c>
      <c r="H203" s="98">
        <v>0.02</v>
      </c>
      <c r="I203" s="98">
        <v>4.4999999999999998E-2</v>
      </c>
      <c r="J203" s="98" t="s">
        <v>10</v>
      </c>
      <c r="K203" s="98">
        <v>575.37</v>
      </c>
      <c r="L203" s="98">
        <v>347.9</v>
      </c>
      <c r="M203" s="98">
        <v>575.33000000000004</v>
      </c>
      <c r="N203" s="98">
        <v>345.55</v>
      </c>
      <c r="O203" s="99" t="s">
        <v>1876</v>
      </c>
    </row>
    <row r="204" spans="1:15" x14ac:dyDescent="0.25">
      <c r="A204" s="98" t="s">
        <v>55</v>
      </c>
      <c r="B204" s="98" t="s">
        <v>47</v>
      </c>
      <c r="C204" s="98">
        <v>0.01</v>
      </c>
      <c r="D204" s="98">
        <v>0.1</v>
      </c>
      <c r="E204" s="98">
        <v>1E-3</v>
      </c>
      <c r="F204" s="98" t="s">
        <v>13</v>
      </c>
      <c r="G204" s="98" t="s">
        <v>11</v>
      </c>
      <c r="H204" s="98">
        <v>0.1</v>
      </c>
      <c r="I204" s="98">
        <v>5</v>
      </c>
      <c r="J204" s="98" t="s">
        <v>10</v>
      </c>
      <c r="K204" s="98">
        <v>577.74</v>
      </c>
      <c r="L204" s="98">
        <v>30.199000000000002</v>
      </c>
      <c r="M204" s="98">
        <v>577.71</v>
      </c>
      <c r="N204" s="98">
        <v>27.695</v>
      </c>
      <c r="O204" s="99" t="s">
        <v>1878</v>
      </c>
    </row>
    <row r="205" spans="1:15" x14ac:dyDescent="0.25">
      <c r="A205" s="98" t="s">
        <v>55</v>
      </c>
      <c r="B205" s="98" t="s">
        <v>47</v>
      </c>
      <c r="C205" s="98">
        <v>0.01</v>
      </c>
      <c r="D205" s="98">
        <v>0.1</v>
      </c>
      <c r="E205" s="98">
        <v>1E-3</v>
      </c>
      <c r="F205" s="98" t="s">
        <v>13</v>
      </c>
      <c r="G205" s="98" t="s">
        <v>11</v>
      </c>
      <c r="H205" s="98">
        <v>1E-3</v>
      </c>
      <c r="I205" s="98">
        <v>0.02</v>
      </c>
      <c r="J205" s="98" t="s">
        <v>10</v>
      </c>
      <c r="K205" s="98">
        <v>562.38</v>
      </c>
      <c r="L205" s="98">
        <v>1919.1</v>
      </c>
      <c r="M205" s="98">
        <v>562.34</v>
      </c>
      <c r="N205" s="98">
        <v>1917.3</v>
      </c>
      <c r="O205" s="99" t="s">
        <v>1877</v>
      </c>
    </row>
    <row r="206" spans="1:15" x14ac:dyDescent="0.25">
      <c r="A206" s="98" t="s">
        <v>55</v>
      </c>
      <c r="B206" s="98" t="s">
        <v>47</v>
      </c>
      <c r="C206" s="98">
        <v>0.01</v>
      </c>
      <c r="D206" s="98">
        <v>0.1</v>
      </c>
      <c r="E206" s="98">
        <v>1E-3</v>
      </c>
      <c r="F206" s="98" t="s">
        <v>13</v>
      </c>
      <c r="G206" s="98" t="s">
        <v>11</v>
      </c>
      <c r="H206" s="98">
        <v>5</v>
      </c>
      <c r="I206" s="98">
        <v>20</v>
      </c>
      <c r="J206" s="98" t="s">
        <v>10</v>
      </c>
      <c r="K206" s="98">
        <v>577.41</v>
      </c>
      <c r="L206" s="98">
        <v>80.741</v>
      </c>
      <c r="M206" s="98">
        <v>577.37</v>
      </c>
      <c r="N206" s="98">
        <v>78.263000000000005</v>
      </c>
      <c r="O206" s="99" t="s">
        <v>1872</v>
      </c>
    </row>
    <row r="207" spans="1:15" x14ac:dyDescent="0.25">
      <c r="A207" s="98" t="s">
        <v>55</v>
      </c>
      <c r="B207" s="98" t="s">
        <v>47</v>
      </c>
      <c r="C207" s="98">
        <v>0.01</v>
      </c>
      <c r="D207" s="98">
        <v>0.1</v>
      </c>
      <c r="E207" s="98">
        <v>1E-3</v>
      </c>
      <c r="F207" s="98" t="s">
        <v>13</v>
      </c>
      <c r="G207" s="98" t="s">
        <v>11</v>
      </c>
      <c r="H207" s="98">
        <v>20</v>
      </c>
      <c r="I207" s="98">
        <v>50</v>
      </c>
      <c r="J207" s="98" t="s">
        <v>10</v>
      </c>
      <c r="K207" s="98">
        <v>563.71</v>
      </c>
      <c r="L207" s="98">
        <v>2145.1999999999998</v>
      </c>
      <c r="M207" s="98">
        <v>563.49</v>
      </c>
      <c r="N207" s="98">
        <v>2139.1999999999998</v>
      </c>
      <c r="O207" s="99" t="s">
        <v>1874</v>
      </c>
    </row>
    <row r="208" spans="1:15" x14ac:dyDescent="0.25">
      <c r="A208" s="98" t="s">
        <v>55</v>
      </c>
      <c r="B208" s="98" t="s">
        <v>47</v>
      </c>
      <c r="C208" s="98">
        <v>0.01</v>
      </c>
      <c r="D208" s="98">
        <v>0.1</v>
      </c>
      <c r="E208" s="98">
        <v>1E-3</v>
      </c>
      <c r="F208" s="98" t="s">
        <v>13</v>
      </c>
      <c r="G208" s="98" t="s">
        <v>11</v>
      </c>
      <c r="H208" s="98">
        <v>50</v>
      </c>
      <c r="I208" s="98">
        <v>100</v>
      </c>
      <c r="J208" s="98" t="s">
        <v>10</v>
      </c>
      <c r="K208" s="98">
        <v>5772.5</v>
      </c>
      <c r="L208" s="98">
        <v>669.65</v>
      </c>
      <c r="M208" s="98">
        <v>5772.4</v>
      </c>
      <c r="N208" s="98">
        <v>620.29999999999995</v>
      </c>
      <c r="O208" s="99" t="s">
        <v>1875</v>
      </c>
    </row>
    <row r="209" spans="1:15" x14ac:dyDescent="0.25">
      <c r="A209" s="98" t="s">
        <v>55</v>
      </c>
      <c r="B209" s="98" t="s">
        <v>47</v>
      </c>
      <c r="C209" s="98">
        <v>0.01</v>
      </c>
      <c r="D209" s="98">
        <v>0.1</v>
      </c>
      <c r="E209" s="98">
        <v>1E-3</v>
      </c>
      <c r="F209" s="98" t="s">
        <v>13</v>
      </c>
      <c r="G209" s="98" t="s">
        <v>11</v>
      </c>
      <c r="H209" s="98">
        <v>4.4999999999999998E-2</v>
      </c>
      <c r="I209" s="98">
        <v>0.1</v>
      </c>
      <c r="J209" s="98" t="s">
        <v>10</v>
      </c>
      <c r="K209" s="98">
        <v>577.45000000000005</v>
      </c>
      <c r="L209" s="98">
        <v>76.063000000000002</v>
      </c>
      <c r="M209" s="98">
        <v>577.41</v>
      </c>
      <c r="N209" s="98">
        <v>73.581999999999994</v>
      </c>
      <c r="O209" s="99" t="s">
        <v>1873</v>
      </c>
    </row>
    <row r="210" spans="1:15" x14ac:dyDescent="0.25">
      <c r="A210" s="98" t="s">
        <v>55</v>
      </c>
      <c r="B210" s="98" t="s">
        <v>47</v>
      </c>
      <c r="C210" s="98">
        <v>0.1</v>
      </c>
      <c r="D210" s="98">
        <v>1</v>
      </c>
      <c r="E210" s="98">
        <v>9.9999999999999995E-7</v>
      </c>
      <c r="F210" s="98" t="s">
        <v>13</v>
      </c>
      <c r="G210" s="98" t="s">
        <v>12</v>
      </c>
      <c r="H210" s="98">
        <v>20</v>
      </c>
      <c r="I210" s="98">
        <v>50</v>
      </c>
      <c r="J210" s="98" t="s">
        <v>10</v>
      </c>
      <c r="K210" s="98">
        <v>0.47</v>
      </c>
      <c r="L210" s="98">
        <v>12</v>
      </c>
      <c r="M210" s="98">
        <v>0.44152000000000002</v>
      </c>
      <c r="N210" s="98">
        <v>11.792</v>
      </c>
      <c r="O210" s="99" t="s">
        <v>1884</v>
      </c>
    </row>
    <row r="211" spans="1:15" x14ac:dyDescent="0.25">
      <c r="A211" s="98" t="s">
        <v>55</v>
      </c>
      <c r="B211" s="98" t="s">
        <v>47</v>
      </c>
      <c r="C211" s="98">
        <v>0.1</v>
      </c>
      <c r="D211" s="98">
        <v>1</v>
      </c>
      <c r="E211" s="98">
        <v>9.9999999999999995E-7</v>
      </c>
      <c r="F211" s="98" t="s">
        <v>13</v>
      </c>
      <c r="G211" s="98" t="s">
        <v>12</v>
      </c>
      <c r="H211" s="98">
        <v>0.02</v>
      </c>
      <c r="I211" s="98">
        <v>4.4999999999999998E-2</v>
      </c>
      <c r="J211" s="98" t="s">
        <v>10</v>
      </c>
      <c r="K211" s="98">
        <v>0.28000000000000003</v>
      </c>
      <c r="L211" s="98">
        <v>1.8</v>
      </c>
      <c r="M211" s="98">
        <v>0.23096</v>
      </c>
      <c r="N211" s="98">
        <v>1.8475999999999999</v>
      </c>
      <c r="O211" s="99" t="s">
        <v>1882</v>
      </c>
    </row>
    <row r="212" spans="1:15" x14ac:dyDescent="0.25">
      <c r="A212" s="98" t="s">
        <v>55</v>
      </c>
      <c r="B212" s="98" t="s">
        <v>47</v>
      </c>
      <c r="C212" s="98">
        <v>0.1</v>
      </c>
      <c r="D212" s="98">
        <v>1</v>
      </c>
      <c r="E212" s="98">
        <v>9.9999999999999995E-7</v>
      </c>
      <c r="F212" s="98" t="s">
        <v>13</v>
      </c>
      <c r="G212" s="98" t="s">
        <v>12</v>
      </c>
      <c r="H212" s="98">
        <v>1E-3</v>
      </c>
      <c r="I212" s="98">
        <v>0.02</v>
      </c>
      <c r="J212" s="98" t="s">
        <v>10</v>
      </c>
      <c r="K212" s="98">
        <v>0.25</v>
      </c>
      <c r="L212" s="98">
        <v>4.5999999999999996</v>
      </c>
      <c r="M212" s="98">
        <v>0.23096</v>
      </c>
      <c r="N212" s="98">
        <v>4.6188000000000002</v>
      </c>
      <c r="O212" s="99" t="s">
        <v>1879</v>
      </c>
    </row>
    <row r="213" spans="1:15" x14ac:dyDescent="0.25">
      <c r="A213" s="98" t="s">
        <v>55</v>
      </c>
      <c r="B213" s="98" t="s">
        <v>47</v>
      </c>
      <c r="C213" s="98">
        <v>0.1</v>
      </c>
      <c r="D213" s="98">
        <v>1</v>
      </c>
      <c r="E213" s="98">
        <v>9.9999999999999995E-7</v>
      </c>
      <c r="F213" s="98" t="s">
        <v>13</v>
      </c>
      <c r="G213" s="98" t="s">
        <v>12</v>
      </c>
      <c r="H213" s="98">
        <v>5</v>
      </c>
      <c r="I213" s="98">
        <v>20</v>
      </c>
      <c r="J213" s="98" t="s">
        <v>10</v>
      </c>
      <c r="K213" s="98">
        <v>0.27</v>
      </c>
      <c r="L213" s="98">
        <v>3.5</v>
      </c>
      <c r="M213" s="98">
        <v>0.22313</v>
      </c>
      <c r="N213" s="98">
        <v>3.5466000000000002</v>
      </c>
      <c r="O213" s="99" t="s">
        <v>1881</v>
      </c>
    </row>
    <row r="214" spans="1:15" x14ac:dyDescent="0.25">
      <c r="A214" s="98" t="s">
        <v>55</v>
      </c>
      <c r="B214" s="98" t="s">
        <v>47</v>
      </c>
      <c r="C214" s="98">
        <v>0.1</v>
      </c>
      <c r="D214" s="98">
        <v>1</v>
      </c>
      <c r="E214" s="98">
        <v>9.9999999999999995E-7</v>
      </c>
      <c r="F214" s="98" t="s">
        <v>13</v>
      </c>
      <c r="G214" s="98" t="s">
        <v>12</v>
      </c>
      <c r="H214" s="98">
        <v>0.1</v>
      </c>
      <c r="I214" s="98">
        <v>5</v>
      </c>
      <c r="J214" s="98" t="s">
        <v>10</v>
      </c>
      <c r="K214" s="98">
        <v>0.24</v>
      </c>
      <c r="L214" s="98">
        <v>1.2</v>
      </c>
      <c r="M214" s="98">
        <v>0.22816</v>
      </c>
      <c r="N214" s="98">
        <v>1.1855</v>
      </c>
      <c r="O214" s="99" t="s">
        <v>1883</v>
      </c>
    </row>
    <row r="215" spans="1:15" x14ac:dyDescent="0.25">
      <c r="A215" s="98" t="s">
        <v>55</v>
      </c>
      <c r="B215" s="98" t="s">
        <v>47</v>
      </c>
      <c r="C215" s="98">
        <v>0.1</v>
      </c>
      <c r="D215" s="98">
        <v>1</v>
      </c>
      <c r="E215" s="98">
        <v>9.9999999999999995E-7</v>
      </c>
      <c r="F215" s="98" t="s">
        <v>13</v>
      </c>
      <c r="G215" s="98" t="s">
        <v>12</v>
      </c>
      <c r="H215" s="98">
        <v>4.4999999999999998E-2</v>
      </c>
      <c r="I215" s="98">
        <v>0.1</v>
      </c>
      <c r="J215" s="98" t="s">
        <v>10</v>
      </c>
      <c r="K215" s="98">
        <v>0.24</v>
      </c>
      <c r="L215" s="98">
        <v>0.92</v>
      </c>
      <c r="M215" s="98">
        <v>0.23091</v>
      </c>
      <c r="N215" s="98">
        <v>0.92432000000000003</v>
      </c>
      <c r="O215" s="99" t="s">
        <v>1880</v>
      </c>
    </row>
    <row r="216" spans="1:15" x14ac:dyDescent="0.25">
      <c r="A216" s="98" t="s">
        <v>55</v>
      </c>
      <c r="B216" s="98" t="s">
        <v>47</v>
      </c>
      <c r="C216" s="98">
        <v>0.1</v>
      </c>
      <c r="D216" s="98">
        <v>1</v>
      </c>
      <c r="E216" s="98">
        <v>1.0000000000000001E-5</v>
      </c>
      <c r="F216" s="98" t="s">
        <v>13</v>
      </c>
      <c r="G216" s="98" t="s">
        <v>12</v>
      </c>
      <c r="H216" s="98">
        <v>0.02</v>
      </c>
      <c r="I216" s="98">
        <v>4.4999999999999998E-2</v>
      </c>
      <c r="J216" s="98" t="s">
        <v>10</v>
      </c>
      <c r="K216" s="98">
        <v>0.28000000000000003</v>
      </c>
      <c r="L216" s="98">
        <v>1.8</v>
      </c>
      <c r="M216" s="98">
        <v>0.23102</v>
      </c>
      <c r="N216" s="98">
        <v>1.8475999999999999</v>
      </c>
      <c r="O216" s="99" t="s">
        <v>1886</v>
      </c>
    </row>
    <row r="217" spans="1:15" x14ac:dyDescent="0.25">
      <c r="A217" s="98" t="s">
        <v>55</v>
      </c>
      <c r="B217" s="98" t="s">
        <v>47</v>
      </c>
      <c r="C217" s="98">
        <v>0.1</v>
      </c>
      <c r="D217" s="98">
        <v>1</v>
      </c>
      <c r="E217" s="98">
        <v>1.0000000000000001E-5</v>
      </c>
      <c r="F217" s="98" t="s">
        <v>13</v>
      </c>
      <c r="G217" s="98" t="s">
        <v>12</v>
      </c>
      <c r="H217" s="98">
        <v>4.4999999999999998E-2</v>
      </c>
      <c r="I217" s="98">
        <v>0.1</v>
      </c>
      <c r="J217" s="98" t="s">
        <v>10</v>
      </c>
      <c r="K217" s="98">
        <v>0.24</v>
      </c>
      <c r="L217" s="98">
        <v>0.92</v>
      </c>
      <c r="M217" s="98">
        <v>0.23100999999999999</v>
      </c>
      <c r="N217" s="98">
        <v>0.92427000000000004</v>
      </c>
      <c r="O217" s="99" t="s">
        <v>1885</v>
      </c>
    </row>
    <row r="218" spans="1:15" x14ac:dyDescent="0.25">
      <c r="A218" s="98" t="s">
        <v>55</v>
      </c>
      <c r="B218" s="98" t="s">
        <v>47</v>
      </c>
      <c r="C218" s="98">
        <v>0.1</v>
      </c>
      <c r="D218" s="98">
        <v>1</v>
      </c>
      <c r="E218" s="98">
        <v>1.0000000000000001E-5</v>
      </c>
      <c r="F218" s="98" t="s">
        <v>13</v>
      </c>
      <c r="G218" s="98" t="s">
        <v>12</v>
      </c>
      <c r="H218" s="98">
        <v>0.1</v>
      </c>
      <c r="I218" s="98">
        <v>5</v>
      </c>
      <c r="J218" s="98" t="s">
        <v>10</v>
      </c>
      <c r="K218" s="98">
        <v>0.24</v>
      </c>
      <c r="L218" s="98">
        <v>1.2</v>
      </c>
      <c r="M218" s="98">
        <v>0.2283</v>
      </c>
      <c r="N218" s="98">
        <v>1.1854</v>
      </c>
      <c r="O218" s="99" t="s">
        <v>2641</v>
      </c>
    </row>
    <row r="219" spans="1:15" x14ac:dyDescent="0.25">
      <c r="A219" s="98" t="s">
        <v>55</v>
      </c>
      <c r="B219" s="98" t="s">
        <v>47</v>
      </c>
      <c r="C219" s="98">
        <v>0.1</v>
      </c>
      <c r="D219" s="98">
        <v>1</v>
      </c>
      <c r="E219" s="98">
        <v>1.0000000000000001E-5</v>
      </c>
      <c r="F219" s="98" t="s">
        <v>13</v>
      </c>
      <c r="G219" s="98" t="s">
        <v>12</v>
      </c>
      <c r="H219" s="98">
        <v>20</v>
      </c>
      <c r="I219" s="98">
        <v>50</v>
      </c>
      <c r="J219" s="98" t="s">
        <v>10</v>
      </c>
      <c r="K219" s="98">
        <v>0.47</v>
      </c>
      <c r="L219" s="98">
        <v>12</v>
      </c>
      <c r="M219" s="98">
        <v>0.44162000000000001</v>
      </c>
      <c r="N219" s="98">
        <v>11.792</v>
      </c>
      <c r="O219" s="99" t="s">
        <v>1889</v>
      </c>
    </row>
    <row r="220" spans="1:15" x14ac:dyDescent="0.25">
      <c r="A220" s="98" t="s">
        <v>55</v>
      </c>
      <c r="B220" s="98" t="s">
        <v>47</v>
      </c>
      <c r="C220" s="98">
        <v>0.1</v>
      </c>
      <c r="D220" s="98">
        <v>1</v>
      </c>
      <c r="E220" s="98">
        <v>1.0000000000000001E-5</v>
      </c>
      <c r="F220" s="98" t="s">
        <v>13</v>
      </c>
      <c r="G220" s="98" t="s">
        <v>12</v>
      </c>
      <c r="H220" s="98">
        <v>1E-3</v>
      </c>
      <c r="I220" s="98">
        <v>0.02</v>
      </c>
      <c r="J220" s="98" t="s">
        <v>10</v>
      </c>
      <c r="K220" s="98">
        <v>0.25</v>
      </c>
      <c r="L220" s="98">
        <v>4.5999999999999996</v>
      </c>
      <c r="M220" s="98">
        <v>0.23100000000000001</v>
      </c>
      <c r="N220" s="98">
        <v>4.6188000000000002</v>
      </c>
      <c r="O220" s="99" t="s">
        <v>1887</v>
      </c>
    </row>
    <row r="221" spans="1:15" x14ac:dyDescent="0.25">
      <c r="A221" s="98" t="s">
        <v>55</v>
      </c>
      <c r="B221" s="98" t="s">
        <v>47</v>
      </c>
      <c r="C221" s="98">
        <v>0.1</v>
      </c>
      <c r="D221" s="98">
        <v>1</v>
      </c>
      <c r="E221" s="98">
        <v>1.0000000000000001E-5</v>
      </c>
      <c r="F221" s="98" t="s">
        <v>13</v>
      </c>
      <c r="G221" s="98" t="s">
        <v>12</v>
      </c>
      <c r="H221" s="98">
        <v>5</v>
      </c>
      <c r="I221" s="98">
        <v>20</v>
      </c>
      <c r="J221" s="98" t="s">
        <v>10</v>
      </c>
      <c r="K221" s="98">
        <v>0.27</v>
      </c>
      <c r="L221" s="98">
        <v>3.5331000000000001</v>
      </c>
      <c r="M221" s="98">
        <v>0.22319</v>
      </c>
      <c r="N221" s="98">
        <v>3.5466000000000002</v>
      </c>
      <c r="O221" s="99" t="s">
        <v>1888</v>
      </c>
    </row>
    <row r="222" spans="1:15" x14ac:dyDescent="0.25">
      <c r="A222" s="98" t="s">
        <v>55</v>
      </c>
      <c r="B222" s="98" t="s">
        <v>47</v>
      </c>
      <c r="C222" s="98">
        <v>0.1</v>
      </c>
      <c r="D222" s="98">
        <v>1</v>
      </c>
      <c r="E222" s="98">
        <v>1E-4</v>
      </c>
      <c r="F222" s="98" t="s">
        <v>13</v>
      </c>
      <c r="G222" s="98" t="s">
        <v>12</v>
      </c>
      <c r="H222" s="98">
        <v>20</v>
      </c>
      <c r="I222" s="98">
        <v>50</v>
      </c>
      <c r="J222" s="98" t="s">
        <v>10</v>
      </c>
      <c r="K222" s="98">
        <v>0.47</v>
      </c>
      <c r="L222" s="98">
        <v>12</v>
      </c>
      <c r="M222" s="98">
        <v>0.44312000000000001</v>
      </c>
      <c r="N222" s="98">
        <v>11.791</v>
      </c>
      <c r="O222" s="99" t="s">
        <v>1893</v>
      </c>
    </row>
    <row r="223" spans="1:15" x14ac:dyDescent="0.25">
      <c r="A223" s="98" t="s">
        <v>55</v>
      </c>
      <c r="B223" s="98" t="s">
        <v>47</v>
      </c>
      <c r="C223" s="98">
        <v>0.1</v>
      </c>
      <c r="D223" s="98">
        <v>1</v>
      </c>
      <c r="E223" s="98">
        <v>1E-4</v>
      </c>
      <c r="F223" s="98" t="s">
        <v>13</v>
      </c>
      <c r="G223" s="98" t="s">
        <v>12</v>
      </c>
      <c r="H223" s="98">
        <v>4.4999999999999998E-2</v>
      </c>
      <c r="I223" s="98">
        <v>0.1</v>
      </c>
      <c r="J223" s="98" t="s">
        <v>10</v>
      </c>
      <c r="K223" s="98">
        <v>0.24</v>
      </c>
      <c r="L223" s="98">
        <v>0.92</v>
      </c>
      <c r="M223" s="98">
        <v>0.23663999999999999</v>
      </c>
      <c r="N223" s="98">
        <v>0.92018</v>
      </c>
      <c r="O223" s="99" t="s">
        <v>1891</v>
      </c>
    </row>
    <row r="224" spans="1:15" x14ac:dyDescent="0.25">
      <c r="A224" s="98" t="s">
        <v>55</v>
      </c>
      <c r="B224" s="98" t="s">
        <v>47</v>
      </c>
      <c r="C224" s="98">
        <v>0.1</v>
      </c>
      <c r="D224" s="98">
        <v>1</v>
      </c>
      <c r="E224" s="98">
        <v>1E-4</v>
      </c>
      <c r="F224" s="98" t="s">
        <v>13</v>
      </c>
      <c r="G224" s="98" t="s">
        <v>12</v>
      </c>
      <c r="H224" s="98">
        <v>0.02</v>
      </c>
      <c r="I224" s="98">
        <v>4.4999999999999998E-2</v>
      </c>
      <c r="J224" s="98" t="s">
        <v>10</v>
      </c>
      <c r="K224" s="98">
        <v>0.28000000000000003</v>
      </c>
      <c r="L224" s="98">
        <v>1.8</v>
      </c>
      <c r="M224" s="98">
        <v>0.23544999999999999</v>
      </c>
      <c r="N224" s="98">
        <v>1.8440000000000001</v>
      </c>
      <c r="O224" s="99" t="s">
        <v>1894</v>
      </c>
    </row>
    <row r="225" spans="1:15" x14ac:dyDescent="0.25">
      <c r="A225" s="98" t="s">
        <v>55</v>
      </c>
      <c r="B225" s="98" t="s">
        <v>47</v>
      </c>
      <c r="C225" s="98">
        <v>0.1</v>
      </c>
      <c r="D225" s="98">
        <v>1</v>
      </c>
      <c r="E225" s="98">
        <v>1E-4</v>
      </c>
      <c r="F225" s="98" t="s">
        <v>13</v>
      </c>
      <c r="G225" s="98" t="s">
        <v>12</v>
      </c>
      <c r="H225" s="98">
        <v>1E-3</v>
      </c>
      <c r="I225" s="98">
        <v>0.02</v>
      </c>
      <c r="J225" s="98" t="s">
        <v>10</v>
      </c>
      <c r="K225" s="98">
        <v>0.25</v>
      </c>
      <c r="L225" s="98">
        <v>4.6002999999999998</v>
      </c>
      <c r="M225" s="98">
        <v>0.23368</v>
      </c>
      <c r="N225" s="98">
        <v>4.6165000000000003</v>
      </c>
      <c r="O225" s="99" t="s">
        <v>2642</v>
      </c>
    </row>
    <row r="226" spans="1:15" x14ac:dyDescent="0.25">
      <c r="A226" s="98" t="s">
        <v>55</v>
      </c>
      <c r="B226" s="98" t="s">
        <v>47</v>
      </c>
      <c r="C226" s="98">
        <v>0.1</v>
      </c>
      <c r="D226" s="98">
        <v>1</v>
      </c>
      <c r="E226" s="98">
        <v>1E-4</v>
      </c>
      <c r="F226" s="98" t="s">
        <v>13</v>
      </c>
      <c r="G226" s="98" t="s">
        <v>12</v>
      </c>
      <c r="H226" s="98">
        <v>0.1</v>
      </c>
      <c r="I226" s="98">
        <v>5</v>
      </c>
      <c r="J226" s="98" t="s">
        <v>10</v>
      </c>
      <c r="K226" s="98">
        <v>0.24</v>
      </c>
      <c r="L226" s="98">
        <v>1.2</v>
      </c>
      <c r="M226" s="98">
        <v>0.23355999999999999</v>
      </c>
      <c r="N226" s="98">
        <v>1.1814</v>
      </c>
      <c r="O226" s="99" t="s">
        <v>1892</v>
      </c>
    </row>
    <row r="227" spans="1:15" x14ac:dyDescent="0.25">
      <c r="A227" s="98" t="s">
        <v>55</v>
      </c>
      <c r="B227" s="98" t="s">
        <v>47</v>
      </c>
      <c r="C227" s="98">
        <v>0.1</v>
      </c>
      <c r="D227" s="98">
        <v>1</v>
      </c>
      <c r="E227" s="98">
        <v>1E-4</v>
      </c>
      <c r="F227" s="98" t="s">
        <v>13</v>
      </c>
      <c r="G227" s="98" t="s">
        <v>12</v>
      </c>
      <c r="H227" s="98">
        <v>5</v>
      </c>
      <c r="I227" s="98">
        <v>20</v>
      </c>
      <c r="J227" s="98" t="s">
        <v>10</v>
      </c>
      <c r="K227" s="98">
        <v>0.27</v>
      </c>
      <c r="L227" s="98">
        <v>3.5337999999999998</v>
      </c>
      <c r="M227" s="98">
        <v>0.22642000000000001</v>
      </c>
      <c r="N227" s="98">
        <v>3.5438000000000001</v>
      </c>
      <c r="O227" s="99" t="s">
        <v>1890</v>
      </c>
    </row>
    <row r="228" spans="1:15" x14ac:dyDescent="0.25">
      <c r="A228" s="98" t="s">
        <v>55</v>
      </c>
      <c r="B228" s="98" t="s">
        <v>47</v>
      </c>
      <c r="C228" s="98">
        <v>0.1</v>
      </c>
      <c r="D228" s="98">
        <v>1</v>
      </c>
      <c r="E228" s="98">
        <v>1E-3</v>
      </c>
      <c r="F228" s="98" t="s">
        <v>13</v>
      </c>
      <c r="G228" s="98" t="s">
        <v>12</v>
      </c>
      <c r="H228" s="98">
        <v>1E-3</v>
      </c>
      <c r="I228" s="98">
        <v>0.02</v>
      </c>
      <c r="J228" s="98" t="s">
        <v>10</v>
      </c>
      <c r="K228" s="98">
        <v>0.46103</v>
      </c>
      <c r="L228" s="98">
        <v>4.4237000000000002</v>
      </c>
      <c r="M228" s="98">
        <v>0.45974999999999999</v>
      </c>
      <c r="N228" s="98">
        <v>4.4244000000000003</v>
      </c>
      <c r="O228" s="99" t="s">
        <v>2643</v>
      </c>
    </row>
    <row r="229" spans="1:15" x14ac:dyDescent="0.25">
      <c r="A229" s="98" t="s">
        <v>55</v>
      </c>
      <c r="B229" s="98" t="s">
        <v>47</v>
      </c>
      <c r="C229" s="98">
        <v>0.1</v>
      </c>
      <c r="D229" s="98">
        <v>1</v>
      </c>
      <c r="E229" s="98">
        <v>1E-3</v>
      </c>
      <c r="F229" s="98" t="s">
        <v>13</v>
      </c>
      <c r="G229" s="98" t="s">
        <v>12</v>
      </c>
      <c r="H229" s="98">
        <v>20</v>
      </c>
      <c r="I229" s="98">
        <v>50</v>
      </c>
      <c r="J229" s="98" t="s">
        <v>10</v>
      </c>
      <c r="K229" s="98">
        <v>0.53612000000000004</v>
      </c>
      <c r="L229" s="98">
        <v>11.933999999999999</v>
      </c>
      <c r="M229" s="98">
        <v>0.5524</v>
      </c>
      <c r="N229" s="98">
        <v>11.696999999999999</v>
      </c>
      <c r="O229" s="99" t="s">
        <v>1896</v>
      </c>
    </row>
    <row r="230" spans="1:15" x14ac:dyDescent="0.25">
      <c r="A230" s="98" t="s">
        <v>55</v>
      </c>
      <c r="B230" s="98" t="s">
        <v>47</v>
      </c>
      <c r="C230" s="98">
        <v>0.1</v>
      </c>
      <c r="D230" s="98">
        <v>1</v>
      </c>
      <c r="E230" s="98">
        <v>1E-3</v>
      </c>
      <c r="F230" s="98" t="s">
        <v>13</v>
      </c>
      <c r="G230" s="98" t="s">
        <v>12</v>
      </c>
      <c r="H230" s="98">
        <v>5</v>
      </c>
      <c r="I230" s="98">
        <v>20</v>
      </c>
      <c r="J230" s="98" t="s">
        <v>10</v>
      </c>
      <c r="K230" s="98">
        <v>0.48562</v>
      </c>
      <c r="L230" s="98">
        <v>3.3290000000000002</v>
      </c>
      <c r="M230" s="98">
        <v>0.48418</v>
      </c>
      <c r="N230" s="98">
        <v>3.3296999999999999</v>
      </c>
      <c r="O230" s="99" t="s">
        <v>2644</v>
      </c>
    </row>
    <row r="231" spans="1:15" x14ac:dyDescent="0.25">
      <c r="A231" s="98" t="s">
        <v>55</v>
      </c>
      <c r="B231" s="98" t="s">
        <v>47</v>
      </c>
      <c r="C231" s="98">
        <v>0.1</v>
      </c>
      <c r="D231" s="98">
        <v>1</v>
      </c>
      <c r="E231" s="98">
        <v>1E-3</v>
      </c>
      <c r="F231" s="98" t="s">
        <v>13</v>
      </c>
      <c r="G231" s="98" t="s">
        <v>12</v>
      </c>
      <c r="H231" s="98">
        <v>0.02</v>
      </c>
      <c r="I231" s="98">
        <v>4.4999999999999998E-2</v>
      </c>
      <c r="J231" s="98" t="s">
        <v>10</v>
      </c>
      <c r="K231" s="98">
        <v>0.55279</v>
      </c>
      <c r="L231" s="98">
        <v>1.6061000000000001</v>
      </c>
      <c r="M231" s="98">
        <v>0.55118</v>
      </c>
      <c r="N231" s="98">
        <v>1.6064000000000001</v>
      </c>
      <c r="O231" s="99" t="s">
        <v>1895</v>
      </c>
    </row>
    <row r="232" spans="1:15" x14ac:dyDescent="0.25">
      <c r="A232" s="98" t="s">
        <v>55</v>
      </c>
      <c r="B232" s="98" t="s">
        <v>47</v>
      </c>
      <c r="C232" s="98">
        <v>0.1</v>
      </c>
      <c r="D232" s="98">
        <v>1</v>
      </c>
      <c r="E232" s="98">
        <v>1E-3</v>
      </c>
      <c r="F232" s="98" t="s">
        <v>13</v>
      </c>
      <c r="G232" s="98" t="s">
        <v>12</v>
      </c>
      <c r="H232" s="98">
        <v>4.4999999999999998E-2</v>
      </c>
      <c r="I232" s="98">
        <v>0.1</v>
      </c>
      <c r="J232" s="98" t="s">
        <v>10</v>
      </c>
      <c r="K232" s="98">
        <v>0.59375999999999995</v>
      </c>
      <c r="L232" s="98">
        <v>0.70043999999999995</v>
      </c>
      <c r="M232" s="98">
        <v>0.59214999999999995</v>
      </c>
      <c r="N232" s="98">
        <v>0.69986000000000004</v>
      </c>
      <c r="O232" s="99" t="s">
        <v>1898</v>
      </c>
    </row>
    <row r="233" spans="1:15" x14ac:dyDescent="0.25">
      <c r="A233" s="98" t="s">
        <v>55</v>
      </c>
      <c r="B233" s="98" t="s">
        <v>47</v>
      </c>
      <c r="C233" s="98">
        <v>0.1</v>
      </c>
      <c r="D233" s="98">
        <v>1</v>
      </c>
      <c r="E233" s="98">
        <v>1E-3</v>
      </c>
      <c r="F233" s="98" t="s">
        <v>13</v>
      </c>
      <c r="G233" s="98" t="s">
        <v>12</v>
      </c>
      <c r="H233" s="98">
        <v>0.1</v>
      </c>
      <c r="I233" s="98">
        <v>5</v>
      </c>
      <c r="J233" s="98" t="s">
        <v>10</v>
      </c>
      <c r="K233" s="98">
        <v>0.58062000000000002</v>
      </c>
      <c r="L233" s="98">
        <v>0.94869999999999999</v>
      </c>
      <c r="M233" s="98">
        <v>0.57901000000000002</v>
      </c>
      <c r="N233" s="98">
        <v>0.94845999999999997</v>
      </c>
      <c r="O233" s="99" t="s">
        <v>1897</v>
      </c>
    </row>
    <row r="234" spans="1:15" x14ac:dyDescent="0.25">
      <c r="A234" s="98" t="s">
        <v>55</v>
      </c>
      <c r="B234" s="98" t="s">
        <v>47</v>
      </c>
      <c r="C234" s="98">
        <v>0.1</v>
      </c>
      <c r="D234" s="98">
        <v>1</v>
      </c>
      <c r="E234" s="98">
        <v>0.01</v>
      </c>
      <c r="F234" s="98" t="s">
        <v>13</v>
      </c>
      <c r="G234" s="98" t="s">
        <v>12</v>
      </c>
      <c r="H234" s="98">
        <v>0.02</v>
      </c>
      <c r="I234" s="98">
        <v>4.4999999999999998E-2</v>
      </c>
      <c r="J234" s="98" t="s">
        <v>10</v>
      </c>
      <c r="K234" s="98">
        <v>5.7507000000000001</v>
      </c>
      <c r="L234" s="98">
        <v>0.38796999999999998</v>
      </c>
      <c r="M234" s="98">
        <v>5.75</v>
      </c>
      <c r="N234" s="98">
        <v>0.38675999999999999</v>
      </c>
      <c r="O234" s="99" t="s">
        <v>1901</v>
      </c>
    </row>
    <row r="235" spans="1:15" x14ac:dyDescent="0.25">
      <c r="A235" s="98" t="s">
        <v>55</v>
      </c>
      <c r="B235" s="98" t="s">
        <v>47</v>
      </c>
      <c r="C235" s="98">
        <v>0.1</v>
      </c>
      <c r="D235" s="98">
        <v>1</v>
      </c>
      <c r="E235" s="98">
        <v>0.01</v>
      </c>
      <c r="F235" s="98" t="s">
        <v>13</v>
      </c>
      <c r="G235" s="98" t="s">
        <v>12</v>
      </c>
      <c r="H235" s="98">
        <v>4.4999999999999998E-2</v>
      </c>
      <c r="I235" s="98">
        <v>0.1</v>
      </c>
      <c r="J235" s="98" t="s">
        <v>10</v>
      </c>
      <c r="K235" s="98">
        <v>5.7717000000000001</v>
      </c>
      <c r="L235" s="98">
        <v>0.11872000000000001</v>
      </c>
      <c r="M235" s="98">
        <v>5.7709999999999999</v>
      </c>
      <c r="N235" s="98">
        <v>0.11743000000000001</v>
      </c>
      <c r="O235" s="99" t="s">
        <v>1900</v>
      </c>
    </row>
    <row r="236" spans="1:15" x14ac:dyDescent="0.25">
      <c r="A236" s="98" t="s">
        <v>55</v>
      </c>
      <c r="B236" s="98" t="s">
        <v>47</v>
      </c>
      <c r="C236" s="98">
        <v>0.1</v>
      </c>
      <c r="D236" s="98">
        <v>1</v>
      </c>
      <c r="E236" s="98">
        <v>0.01</v>
      </c>
      <c r="F236" s="98" t="s">
        <v>13</v>
      </c>
      <c r="G236" s="98" t="s">
        <v>12</v>
      </c>
      <c r="H236" s="98">
        <v>20</v>
      </c>
      <c r="I236" s="98">
        <v>50</v>
      </c>
      <c r="J236" s="98" t="s">
        <v>10</v>
      </c>
      <c r="K236" s="98">
        <v>5.1677999999999997</v>
      </c>
      <c r="L236" s="98">
        <v>8.3948999999999998</v>
      </c>
      <c r="M236" s="98">
        <v>5.1615000000000002</v>
      </c>
      <c r="N236" s="98">
        <v>8.3731000000000009</v>
      </c>
      <c r="O236" s="99" t="s">
        <v>1902</v>
      </c>
    </row>
    <row r="237" spans="1:15" x14ac:dyDescent="0.25">
      <c r="A237" s="98" t="s">
        <v>55</v>
      </c>
      <c r="B237" s="98" t="s">
        <v>47</v>
      </c>
      <c r="C237" s="98">
        <v>0.1</v>
      </c>
      <c r="D237" s="98">
        <v>1</v>
      </c>
      <c r="E237" s="98">
        <v>0.01</v>
      </c>
      <c r="F237" s="98" t="s">
        <v>13</v>
      </c>
      <c r="G237" s="98" t="s">
        <v>12</v>
      </c>
      <c r="H237" s="98">
        <v>0.1</v>
      </c>
      <c r="I237" s="98">
        <v>5</v>
      </c>
      <c r="J237" s="98" t="s">
        <v>10</v>
      </c>
      <c r="K237" s="98">
        <v>5.7670000000000003</v>
      </c>
      <c r="L237" s="98">
        <v>0.17953</v>
      </c>
      <c r="M237" s="98">
        <v>5.7663000000000002</v>
      </c>
      <c r="N237" s="98">
        <v>0.17826</v>
      </c>
      <c r="O237" s="99" t="s">
        <v>1899</v>
      </c>
    </row>
    <row r="238" spans="1:15" x14ac:dyDescent="0.25">
      <c r="A238" s="98" t="s">
        <v>55</v>
      </c>
      <c r="B238" s="98" t="s">
        <v>47</v>
      </c>
      <c r="C238" s="98">
        <v>0.1</v>
      </c>
      <c r="D238" s="98">
        <v>1</v>
      </c>
      <c r="E238" s="98">
        <v>0.01</v>
      </c>
      <c r="F238" s="98" t="s">
        <v>13</v>
      </c>
      <c r="G238" s="98" t="s">
        <v>12</v>
      </c>
      <c r="H238" s="98">
        <v>5</v>
      </c>
      <c r="I238" s="98">
        <v>20</v>
      </c>
      <c r="J238" s="98" t="s">
        <v>10</v>
      </c>
      <c r="K238" s="98">
        <v>5.6818</v>
      </c>
      <c r="L238" s="98">
        <v>1.2155</v>
      </c>
      <c r="M238" s="98">
        <v>5.6810999999999998</v>
      </c>
      <c r="N238" s="98">
        <v>1.2145999999999999</v>
      </c>
      <c r="O238" s="99" t="s">
        <v>2645</v>
      </c>
    </row>
    <row r="239" spans="1:15" x14ac:dyDescent="0.25">
      <c r="A239" s="98" t="s">
        <v>55</v>
      </c>
      <c r="B239" s="98" t="s">
        <v>47</v>
      </c>
      <c r="C239" s="98">
        <v>0.1</v>
      </c>
      <c r="D239" s="98">
        <v>1</v>
      </c>
      <c r="E239" s="98">
        <v>0.01</v>
      </c>
      <c r="F239" s="98" t="s">
        <v>13</v>
      </c>
      <c r="G239" s="98" t="s">
        <v>12</v>
      </c>
      <c r="H239" s="98">
        <v>1E-3</v>
      </c>
      <c r="I239" s="98">
        <v>0.02</v>
      </c>
      <c r="J239" s="98" t="s">
        <v>10</v>
      </c>
      <c r="K239" s="98">
        <v>5.6242000000000001</v>
      </c>
      <c r="L239" s="98">
        <v>1.9178999999999999</v>
      </c>
      <c r="M239" s="98">
        <v>5.6234999999999999</v>
      </c>
      <c r="N239" s="98">
        <v>1.9171</v>
      </c>
      <c r="O239" s="99" t="s">
        <v>2646</v>
      </c>
    </row>
    <row r="240" spans="1:15" x14ac:dyDescent="0.25">
      <c r="A240" s="98" t="s">
        <v>55</v>
      </c>
      <c r="B240" s="98" t="s">
        <v>47</v>
      </c>
      <c r="C240" s="98">
        <v>1</v>
      </c>
      <c r="D240" s="98">
        <v>10</v>
      </c>
      <c r="E240" s="98">
        <v>1.0000000000000001E-5</v>
      </c>
      <c r="F240" s="98" t="s">
        <v>13</v>
      </c>
      <c r="G240" s="98" t="s">
        <v>12</v>
      </c>
      <c r="H240" s="98">
        <v>1E-3</v>
      </c>
      <c r="I240" s="98">
        <v>0.05</v>
      </c>
      <c r="J240" s="98" t="s">
        <v>10</v>
      </c>
      <c r="K240" s="98">
        <v>0.55000000000000004</v>
      </c>
      <c r="L240" s="98">
        <v>0.12</v>
      </c>
      <c r="M240" s="98">
        <v>0.51998999999999995</v>
      </c>
      <c r="N240" s="98">
        <v>9.3087000000000003E-2</v>
      </c>
      <c r="O240" s="99" t="s">
        <v>2647</v>
      </c>
    </row>
    <row r="241" spans="1:15" x14ac:dyDescent="0.25">
      <c r="A241" s="98" t="s">
        <v>55</v>
      </c>
      <c r="B241" s="98" t="s">
        <v>47</v>
      </c>
      <c r="C241" s="98">
        <v>1</v>
      </c>
      <c r="D241" s="98">
        <v>10</v>
      </c>
      <c r="E241" s="98">
        <v>1.0000000000000001E-5</v>
      </c>
      <c r="F241" s="98" t="s">
        <v>13</v>
      </c>
      <c r="G241" s="98" t="s">
        <v>12</v>
      </c>
      <c r="H241" s="98">
        <v>1</v>
      </c>
      <c r="I241" s="98">
        <v>5</v>
      </c>
      <c r="J241" s="98" t="s">
        <v>10</v>
      </c>
      <c r="K241" s="98">
        <v>1.4</v>
      </c>
      <c r="L241" s="98">
        <v>0.66</v>
      </c>
      <c r="M241" s="98">
        <v>1.3260000000000001</v>
      </c>
      <c r="N241" s="98">
        <v>0.66217999999999999</v>
      </c>
      <c r="O241" s="99" t="s">
        <v>1903</v>
      </c>
    </row>
    <row r="242" spans="1:15" x14ac:dyDescent="0.25">
      <c r="A242" s="98" t="s">
        <v>55</v>
      </c>
      <c r="B242" s="98" t="s">
        <v>47</v>
      </c>
      <c r="C242" s="98">
        <v>1</v>
      </c>
      <c r="D242" s="98">
        <v>10</v>
      </c>
      <c r="E242" s="98">
        <v>1.0000000000000001E-5</v>
      </c>
      <c r="F242" s="98" t="s">
        <v>13</v>
      </c>
      <c r="G242" s="98" t="s">
        <v>12</v>
      </c>
      <c r="H242" s="98">
        <v>0.05</v>
      </c>
      <c r="I242" s="98">
        <v>1</v>
      </c>
      <c r="J242" s="98" t="s">
        <v>10</v>
      </c>
      <c r="K242" s="98">
        <v>0.46</v>
      </c>
      <c r="L242" s="98">
        <v>0.17</v>
      </c>
      <c r="M242" s="98">
        <v>0.49897000000000002</v>
      </c>
      <c r="N242" s="98">
        <v>0.12063</v>
      </c>
      <c r="O242" s="99" t="s">
        <v>1904</v>
      </c>
    </row>
    <row r="243" spans="1:15" x14ac:dyDescent="0.25">
      <c r="A243" s="98" t="s">
        <v>55</v>
      </c>
      <c r="B243" s="98" t="s">
        <v>47</v>
      </c>
      <c r="C243" s="98">
        <v>1</v>
      </c>
      <c r="D243" s="98">
        <v>10</v>
      </c>
      <c r="E243" s="98">
        <v>1E-4</v>
      </c>
      <c r="F243" s="98" t="s">
        <v>13</v>
      </c>
      <c r="G243" s="98" t="s">
        <v>12</v>
      </c>
      <c r="H243" s="98">
        <v>1E-3</v>
      </c>
      <c r="I243" s="98">
        <v>0.05</v>
      </c>
      <c r="J243" s="98" t="s">
        <v>10</v>
      </c>
      <c r="K243" s="98">
        <v>0.55000000000000004</v>
      </c>
      <c r="L243" s="98">
        <v>0.12</v>
      </c>
      <c r="M243" s="98">
        <v>0.52375000000000005</v>
      </c>
      <c r="N243" s="98">
        <v>9.2860999999999999E-2</v>
      </c>
      <c r="O243" s="99" t="s">
        <v>1907</v>
      </c>
    </row>
    <row r="244" spans="1:15" x14ac:dyDescent="0.25">
      <c r="A244" s="98" t="s">
        <v>55</v>
      </c>
      <c r="B244" s="98" t="s">
        <v>47</v>
      </c>
      <c r="C244" s="98">
        <v>1</v>
      </c>
      <c r="D244" s="98">
        <v>10</v>
      </c>
      <c r="E244" s="98">
        <v>1E-4</v>
      </c>
      <c r="F244" s="98" t="s">
        <v>13</v>
      </c>
      <c r="G244" s="98" t="s">
        <v>12</v>
      </c>
      <c r="H244" s="98">
        <v>0.05</v>
      </c>
      <c r="I244" s="98">
        <v>1</v>
      </c>
      <c r="J244" s="98" t="s">
        <v>10</v>
      </c>
      <c r="K244" s="98">
        <v>0.46</v>
      </c>
      <c r="L244" s="98">
        <v>0.16805999999999999</v>
      </c>
      <c r="M244" s="98">
        <v>0.50268999999999997</v>
      </c>
      <c r="N244" s="98">
        <v>0.12039</v>
      </c>
      <c r="O244" s="99" t="s">
        <v>1906</v>
      </c>
    </row>
    <row r="245" spans="1:15" x14ac:dyDescent="0.25">
      <c r="A245" s="98" t="s">
        <v>55</v>
      </c>
      <c r="B245" s="98" t="s">
        <v>47</v>
      </c>
      <c r="C245" s="98">
        <v>1</v>
      </c>
      <c r="D245" s="98">
        <v>10</v>
      </c>
      <c r="E245" s="98">
        <v>1E-4</v>
      </c>
      <c r="F245" s="98" t="s">
        <v>13</v>
      </c>
      <c r="G245" s="98" t="s">
        <v>12</v>
      </c>
      <c r="H245" s="98">
        <v>1</v>
      </c>
      <c r="I245" s="98">
        <v>5</v>
      </c>
      <c r="J245" s="98" t="s">
        <v>10</v>
      </c>
      <c r="K245" s="98">
        <v>1.4</v>
      </c>
      <c r="L245" s="98">
        <v>0.66168000000000005</v>
      </c>
      <c r="M245" s="98">
        <v>1.3279000000000001</v>
      </c>
      <c r="N245" s="98">
        <v>0.66195999999999999</v>
      </c>
      <c r="O245" s="99" t="s">
        <v>1905</v>
      </c>
    </row>
    <row r="246" spans="1:15" x14ac:dyDescent="0.25">
      <c r="A246" s="98" t="s">
        <v>55</v>
      </c>
      <c r="B246" s="98" t="s">
        <v>47</v>
      </c>
      <c r="C246" s="98">
        <v>1</v>
      </c>
      <c r="D246" s="98">
        <v>10</v>
      </c>
      <c r="E246" s="98">
        <v>1E-3</v>
      </c>
      <c r="F246" s="98" t="s">
        <v>13</v>
      </c>
      <c r="G246" s="98" t="s">
        <v>12</v>
      </c>
      <c r="H246" s="98">
        <v>0.05</v>
      </c>
      <c r="I246" s="98">
        <v>1</v>
      </c>
      <c r="J246" s="98" t="s">
        <v>10</v>
      </c>
      <c r="K246" s="98">
        <v>0.72094000000000003</v>
      </c>
      <c r="L246" s="98">
        <v>0.14191000000000001</v>
      </c>
      <c r="M246" s="98">
        <v>0.74419000000000002</v>
      </c>
      <c r="N246" s="98">
        <v>0.10576000000000001</v>
      </c>
      <c r="O246" s="99" t="s">
        <v>2648</v>
      </c>
    </row>
    <row r="247" spans="1:15" x14ac:dyDescent="0.25">
      <c r="A247" s="98" t="s">
        <v>55</v>
      </c>
      <c r="B247" s="98" t="s">
        <v>47</v>
      </c>
      <c r="C247" s="98">
        <v>1</v>
      </c>
      <c r="D247" s="98">
        <v>10</v>
      </c>
      <c r="E247" s="98">
        <v>1E-3</v>
      </c>
      <c r="F247" s="98" t="s">
        <v>13</v>
      </c>
      <c r="G247" s="98" t="s">
        <v>12</v>
      </c>
      <c r="H247" s="98">
        <v>1</v>
      </c>
      <c r="I247" s="98">
        <v>5</v>
      </c>
      <c r="J247" s="98" t="s">
        <v>10</v>
      </c>
      <c r="K247" s="98">
        <v>1.4676</v>
      </c>
      <c r="L247" s="98">
        <v>0.64571999999999996</v>
      </c>
      <c r="M247" s="98">
        <v>1.4594</v>
      </c>
      <c r="N247" s="98">
        <v>0.64664999999999995</v>
      </c>
      <c r="O247" s="99" t="s">
        <v>1908</v>
      </c>
    </row>
    <row r="248" spans="1:15" x14ac:dyDescent="0.25">
      <c r="A248" s="98" t="s">
        <v>55</v>
      </c>
      <c r="B248" s="98" t="s">
        <v>47</v>
      </c>
      <c r="C248" s="98">
        <v>1</v>
      </c>
      <c r="D248" s="98">
        <v>10</v>
      </c>
      <c r="E248" s="98">
        <v>1E-3</v>
      </c>
      <c r="F248" s="98" t="s">
        <v>13</v>
      </c>
      <c r="G248" s="98" t="s">
        <v>12</v>
      </c>
      <c r="H248" s="98">
        <v>1E-3</v>
      </c>
      <c r="I248" s="98">
        <v>0.05</v>
      </c>
      <c r="J248" s="98" t="s">
        <v>10</v>
      </c>
      <c r="K248" s="98">
        <v>0.75909000000000004</v>
      </c>
      <c r="L248" s="98">
        <v>9.9090999999999999E-2</v>
      </c>
      <c r="M248" s="98">
        <v>0.76541999999999999</v>
      </c>
      <c r="N248" s="98">
        <v>7.9774999999999999E-2</v>
      </c>
      <c r="O248" s="99" t="s">
        <v>2649</v>
      </c>
    </row>
    <row r="249" spans="1:15" x14ac:dyDescent="0.25">
      <c r="A249" s="98" t="s">
        <v>55</v>
      </c>
      <c r="B249" s="98" t="s">
        <v>47</v>
      </c>
      <c r="C249" s="98">
        <v>1</v>
      </c>
      <c r="D249" s="98">
        <v>10</v>
      </c>
      <c r="E249" s="98">
        <v>0.01</v>
      </c>
      <c r="F249" s="98" t="s">
        <v>13</v>
      </c>
      <c r="G249" s="98" t="s">
        <v>12</v>
      </c>
      <c r="H249" s="98">
        <v>1</v>
      </c>
      <c r="I249" s="98">
        <v>5</v>
      </c>
      <c r="J249" s="98" t="s">
        <v>10</v>
      </c>
      <c r="K249" s="98">
        <v>5.82</v>
      </c>
      <c r="L249" s="98">
        <v>0.34986</v>
      </c>
      <c r="M249" s="98">
        <v>5.8127000000000004</v>
      </c>
      <c r="N249" s="98">
        <v>0.35015000000000002</v>
      </c>
      <c r="O249" s="99" t="s">
        <v>1910</v>
      </c>
    </row>
    <row r="250" spans="1:15" x14ac:dyDescent="0.25">
      <c r="A250" s="98" t="s">
        <v>55</v>
      </c>
      <c r="B250" s="98" t="s">
        <v>47</v>
      </c>
      <c r="C250" s="98">
        <v>1</v>
      </c>
      <c r="D250" s="98">
        <v>10</v>
      </c>
      <c r="E250" s="98">
        <v>0.01</v>
      </c>
      <c r="F250" s="98" t="s">
        <v>13</v>
      </c>
      <c r="G250" s="98" t="s">
        <v>12</v>
      </c>
      <c r="H250" s="98">
        <v>1E-3</v>
      </c>
      <c r="I250" s="98">
        <v>0.05</v>
      </c>
      <c r="J250" s="98" t="s">
        <v>10</v>
      </c>
      <c r="K250" s="98">
        <v>5.7991999999999999</v>
      </c>
      <c r="L250" s="98">
        <v>1.6313000000000001E-2</v>
      </c>
      <c r="M250" s="98">
        <v>5.7915999999999999</v>
      </c>
      <c r="N250" s="98">
        <v>1.6333E-2</v>
      </c>
      <c r="O250" s="99" t="s">
        <v>1909</v>
      </c>
    </row>
    <row r="251" spans="1:15" x14ac:dyDescent="0.25">
      <c r="A251" s="98" t="s">
        <v>55</v>
      </c>
      <c r="B251" s="98" t="s">
        <v>47</v>
      </c>
      <c r="C251" s="98">
        <v>1</v>
      </c>
      <c r="D251" s="98">
        <v>10</v>
      </c>
      <c r="E251" s="98">
        <v>0.01</v>
      </c>
      <c r="F251" s="98" t="s">
        <v>13</v>
      </c>
      <c r="G251" s="98" t="s">
        <v>12</v>
      </c>
      <c r="H251" s="98">
        <v>0.05</v>
      </c>
      <c r="I251" s="98">
        <v>1</v>
      </c>
      <c r="J251" s="98" t="s">
        <v>10</v>
      </c>
      <c r="K251" s="98">
        <v>5.7925000000000004</v>
      </c>
      <c r="L251" s="98">
        <v>2.3675999999999999E-2</v>
      </c>
      <c r="M251" s="98">
        <v>5.7849000000000004</v>
      </c>
      <c r="N251" s="98">
        <v>2.3706000000000001E-2</v>
      </c>
      <c r="O251" s="99" t="s">
        <v>1911</v>
      </c>
    </row>
    <row r="252" spans="1:15" x14ac:dyDescent="0.25">
      <c r="A252" s="98" t="s">
        <v>55</v>
      </c>
      <c r="B252" s="98" t="s">
        <v>47</v>
      </c>
      <c r="C252" s="98">
        <v>1</v>
      </c>
      <c r="D252" s="98">
        <v>10</v>
      </c>
      <c r="E252" s="98">
        <v>0.1</v>
      </c>
      <c r="F252" s="98" t="s">
        <v>13</v>
      </c>
      <c r="G252" s="98" t="s">
        <v>12</v>
      </c>
      <c r="H252" s="98">
        <v>1</v>
      </c>
      <c r="I252" s="98">
        <v>5</v>
      </c>
      <c r="J252" s="98" t="s">
        <v>10</v>
      </c>
      <c r="K252" s="98">
        <v>57.725000000000001</v>
      </c>
      <c r="L252" s="98">
        <v>4.4886000000000002E-2</v>
      </c>
      <c r="M252" s="98">
        <v>57.722000000000001</v>
      </c>
      <c r="N252" s="98">
        <v>4.4888999999999998E-2</v>
      </c>
      <c r="O252" s="99" t="s">
        <v>1913</v>
      </c>
    </row>
    <row r="253" spans="1:15" x14ac:dyDescent="0.25">
      <c r="A253" s="98" t="s">
        <v>55</v>
      </c>
      <c r="B253" s="98" t="s">
        <v>47</v>
      </c>
      <c r="C253" s="98">
        <v>1</v>
      </c>
      <c r="D253" s="98">
        <v>10</v>
      </c>
      <c r="E253" s="98">
        <v>0.1</v>
      </c>
      <c r="F253" s="98" t="s">
        <v>13</v>
      </c>
      <c r="G253" s="98" t="s">
        <v>12</v>
      </c>
      <c r="H253" s="98">
        <v>0.05</v>
      </c>
      <c r="I253" s="98">
        <v>1</v>
      </c>
      <c r="J253" s="98" t="s">
        <v>10</v>
      </c>
      <c r="K253" s="98">
        <v>57.74</v>
      </c>
      <c r="L253" s="98">
        <v>2.428E-3</v>
      </c>
      <c r="M253" s="98">
        <v>57.737000000000002</v>
      </c>
      <c r="N253" s="98">
        <v>2.4282000000000001E-3</v>
      </c>
      <c r="O253" s="99" t="s">
        <v>1912</v>
      </c>
    </row>
    <row r="254" spans="1:15" x14ac:dyDescent="0.25">
      <c r="A254" s="98" t="s">
        <v>55</v>
      </c>
      <c r="B254" s="98" t="s">
        <v>47</v>
      </c>
      <c r="C254" s="98">
        <v>1</v>
      </c>
      <c r="D254" s="98">
        <v>10</v>
      </c>
      <c r="E254" s="98">
        <v>0.1</v>
      </c>
      <c r="F254" s="98" t="s">
        <v>13</v>
      </c>
      <c r="G254" s="98" t="s">
        <v>12</v>
      </c>
      <c r="H254" s="98">
        <v>1E-3</v>
      </c>
      <c r="I254" s="98">
        <v>0.05</v>
      </c>
      <c r="J254" s="98" t="s">
        <v>10</v>
      </c>
      <c r="K254" s="98">
        <v>57.741</v>
      </c>
      <c r="L254" s="98">
        <v>1.6634E-3</v>
      </c>
      <c r="M254" s="98">
        <v>57.738</v>
      </c>
      <c r="N254" s="98">
        <v>1.6635E-3</v>
      </c>
      <c r="O254" s="99" t="s">
        <v>2650</v>
      </c>
    </row>
    <row r="255" spans="1:15" x14ac:dyDescent="0.25">
      <c r="A255" s="98" t="s">
        <v>55</v>
      </c>
      <c r="B255" s="98" t="s">
        <v>47</v>
      </c>
      <c r="C255" s="98">
        <v>10</v>
      </c>
      <c r="D255" s="98">
        <v>20</v>
      </c>
      <c r="E255" s="98">
        <v>1.0000000000000001E-5</v>
      </c>
      <c r="F255" s="98" t="s">
        <v>13</v>
      </c>
      <c r="G255" s="98" t="s">
        <v>12</v>
      </c>
      <c r="H255" s="98">
        <v>1</v>
      </c>
      <c r="I255" s="98">
        <v>5</v>
      </c>
      <c r="J255" s="98" t="s">
        <v>10</v>
      </c>
      <c r="K255" s="98">
        <v>0</v>
      </c>
      <c r="L255" s="98">
        <v>0.95</v>
      </c>
      <c r="M255" s="98">
        <v>1.07</v>
      </c>
      <c r="N255" s="98">
        <v>0.66</v>
      </c>
      <c r="O255" s="99" t="s">
        <v>1916</v>
      </c>
    </row>
    <row r="256" spans="1:15" x14ac:dyDescent="0.25">
      <c r="A256" s="98" t="s">
        <v>55</v>
      </c>
      <c r="B256" s="98" t="s">
        <v>47</v>
      </c>
      <c r="C256" s="98">
        <v>10</v>
      </c>
      <c r="D256" s="98">
        <v>20</v>
      </c>
      <c r="E256" s="98">
        <v>1.0000000000000001E-5</v>
      </c>
      <c r="F256" s="98" t="s">
        <v>13</v>
      </c>
      <c r="G256" s="98" t="s">
        <v>12</v>
      </c>
      <c r="H256" s="98">
        <v>0.05</v>
      </c>
      <c r="I256" s="98">
        <v>1</v>
      </c>
      <c r="J256" s="98" t="s">
        <v>10</v>
      </c>
      <c r="K256" s="98">
        <v>0</v>
      </c>
      <c r="L256" s="98">
        <v>0.5</v>
      </c>
      <c r="M256" s="98">
        <v>2.1831999999999998</v>
      </c>
      <c r="N256" s="98">
        <v>0.11355999999999999</v>
      </c>
      <c r="O256" s="99" t="s">
        <v>1915</v>
      </c>
    </row>
    <row r="257" spans="1:15" x14ac:dyDescent="0.25">
      <c r="A257" s="98" t="s">
        <v>55</v>
      </c>
      <c r="B257" s="98" t="s">
        <v>47</v>
      </c>
      <c r="C257" s="98">
        <v>10</v>
      </c>
      <c r="D257" s="98">
        <v>20</v>
      </c>
      <c r="E257" s="98">
        <v>1.0000000000000001E-5</v>
      </c>
      <c r="F257" s="98" t="s">
        <v>13</v>
      </c>
      <c r="G257" s="98" t="s">
        <v>12</v>
      </c>
      <c r="H257" s="98">
        <v>1E-3</v>
      </c>
      <c r="I257" s="98">
        <v>0.05</v>
      </c>
      <c r="J257" s="98" t="s">
        <v>10</v>
      </c>
      <c r="K257" s="98">
        <v>0.92</v>
      </c>
      <c r="L257" s="98">
        <v>0.49</v>
      </c>
      <c r="M257" s="98">
        <v>4.6374000000000004</v>
      </c>
      <c r="N257" s="98">
        <v>8.1764000000000003E-2</v>
      </c>
      <c r="O257" s="99" t="s">
        <v>1914</v>
      </c>
    </row>
    <row r="258" spans="1:15" x14ac:dyDescent="0.25">
      <c r="A258" s="98" t="s">
        <v>55</v>
      </c>
      <c r="B258" s="98" t="s">
        <v>47</v>
      </c>
      <c r="C258" s="98">
        <v>10</v>
      </c>
      <c r="D258" s="98">
        <v>20</v>
      </c>
      <c r="E258" s="98">
        <v>1E-4</v>
      </c>
      <c r="F258" s="98" t="s">
        <v>13</v>
      </c>
      <c r="G258" s="98" t="s">
        <v>12</v>
      </c>
      <c r="H258" s="98">
        <v>0.05</v>
      </c>
      <c r="I258" s="98">
        <v>1</v>
      </c>
      <c r="J258" s="98" t="s">
        <v>10</v>
      </c>
      <c r="K258" s="98">
        <v>0</v>
      </c>
      <c r="L258" s="98">
        <v>0.5</v>
      </c>
      <c r="M258" s="98">
        <v>2.1840999999999999</v>
      </c>
      <c r="N258" s="98">
        <v>0.11354</v>
      </c>
      <c r="O258" s="99" t="s">
        <v>1917</v>
      </c>
    </row>
    <row r="259" spans="1:15" x14ac:dyDescent="0.25">
      <c r="A259" s="98" t="s">
        <v>55</v>
      </c>
      <c r="B259" s="98" t="s">
        <v>47</v>
      </c>
      <c r="C259" s="98">
        <v>10</v>
      </c>
      <c r="D259" s="98">
        <v>20</v>
      </c>
      <c r="E259" s="98">
        <v>1E-4</v>
      </c>
      <c r="F259" s="98" t="s">
        <v>13</v>
      </c>
      <c r="G259" s="98" t="s">
        <v>12</v>
      </c>
      <c r="H259" s="98">
        <v>1</v>
      </c>
      <c r="I259" s="98">
        <v>5</v>
      </c>
      <c r="J259" s="98" t="s">
        <v>10</v>
      </c>
      <c r="K259" s="98">
        <v>0</v>
      </c>
      <c r="L259" s="98">
        <v>0.95</v>
      </c>
      <c r="M259" s="98">
        <v>1.07</v>
      </c>
      <c r="N259" s="98">
        <v>0.66</v>
      </c>
      <c r="O259" s="99" t="s">
        <v>1918</v>
      </c>
    </row>
    <row r="260" spans="1:15" x14ac:dyDescent="0.25">
      <c r="A260" s="98" t="s">
        <v>55</v>
      </c>
      <c r="B260" s="98" t="s">
        <v>47</v>
      </c>
      <c r="C260" s="98">
        <v>10</v>
      </c>
      <c r="D260" s="98">
        <v>20</v>
      </c>
      <c r="E260" s="98">
        <v>1E-4</v>
      </c>
      <c r="F260" s="98" t="s">
        <v>13</v>
      </c>
      <c r="G260" s="98" t="s">
        <v>12</v>
      </c>
      <c r="H260" s="98">
        <v>1E-3</v>
      </c>
      <c r="I260" s="98">
        <v>0.05</v>
      </c>
      <c r="J260" s="98" t="s">
        <v>10</v>
      </c>
      <c r="K260" s="98">
        <v>0.92</v>
      </c>
      <c r="L260" s="98">
        <v>0.49</v>
      </c>
      <c r="M260" s="98">
        <v>4.6379000000000001</v>
      </c>
      <c r="N260" s="98">
        <v>8.1758999999999998E-2</v>
      </c>
      <c r="O260" s="99" t="s">
        <v>1919</v>
      </c>
    </row>
    <row r="261" spans="1:15" x14ac:dyDescent="0.25">
      <c r="A261" s="98" t="s">
        <v>55</v>
      </c>
      <c r="B261" s="98" t="s">
        <v>47</v>
      </c>
      <c r="C261" s="98">
        <v>10</v>
      </c>
      <c r="D261" s="98">
        <v>20</v>
      </c>
      <c r="E261" s="98">
        <v>1E-3</v>
      </c>
      <c r="F261" s="98" t="s">
        <v>13</v>
      </c>
      <c r="G261" s="98" t="s">
        <v>12</v>
      </c>
      <c r="H261" s="98">
        <v>1</v>
      </c>
      <c r="I261" s="98">
        <v>5</v>
      </c>
      <c r="J261" s="98" t="s">
        <v>10</v>
      </c>
      <c r="K261" s="98">
        <v>0</v>
      </c>
      <c r="L261" s="98">
        <v>0.95</v>
      </c>
      <c r="M261" s="98">
        <v>1.1000000000000001</v>
      </c>
      <c r="N261" s="98">
        <v>0.65900000000000003</v>
      </c>
      <c r="O261" s="99" t="s">
        <v>1922</v>
      </c>
    </row>
    <row r="262" spans="1:15" x14ac:dyDescent="0.25">
      <c r="A262" s="98" t="s">
        <v>55</v>
      </c>
      <c r="B262" s="98" t="s">
        <v>47</v>
      </c>
      <c r="C262" s="98">
        <v>10</v>
      </c>
      <c r="D262" s="98">
        <v>20</v>
      </c>
      <c r="E262" s="98">
        <v>1E-3</v>
      </c>
      <c r="F262" s="98" t="s">
        <v>13</v>
      </c>
      <c r="G262" s="98" t="s">
        <v>12</v>
      </c>
      <c r="H262" s="98">
        <v>0.05</v>
      </c>
      <c r="I262" s="98">
        <v>1</v>
      </c>
      <c r="J262" s="98" t="s">
        <v>10</v>
      </c>
      <c r="K262" s="98">
        <v>0</v>
      </c>
      <c r="L262" s="98">
        <v>0.5</v>
      </c>
      <c r="M262" s="98">
        <v>2.2467000000000001</v>
      </c>
      <c r="N262" s="98">
        <v>0.11228</v>
      </c>
      <c r="O262" s="99" t="s">
        <v>1920</v>
      </c>
    </row>
    <row r="263" spans="1:15" x14ac:dyDescent="0.25">
      <c r="A263" s="98" t="s">
        <v>55</v>
      </c>
      <c r="B263" s="98" t="s">
        <v>47</v>
      </c>
      <c r="C263" s="98">
        <v>10</v>
      </c>
      <c r="D263" s="98">
        <v>20</v>
      </c>
      <c r="E263" s="98">
        <v>1E-3</v>
      </c>
      <c r="F263" s="98" t="s">
        <v>13</v>
      </c>
      <c r="G263" s="98" t="s">
        <v>12</v>
      </c>
      <c r="H263" s="98">
        <v>1E-3</v>
      </c>
      <c r="I263" s="98">
        <v>0.05</v>
      </c>
      <c r="J263" s="98" t="s">
        <v>10</v>
      </c>
      <c r="K263" s="98">
        <v>0.92</v>
      </c>
      <c r="L263" s="98">
        <v>0.49</v>
      </c>
      <c r="M263" s="98">
        <v>4.6723999999999997</v>
      </c>
      <c r="N263" s="98">
        <v>8.1363000000000005E-2</v>
      </c>
      <c r="O263" s="99" t="s">
        <v>1921</v>
      </c>
    </row>
    <row r="264" spans="1:15" x14ac:dyDescent="0.25">
      <c r="A264" s="98" t="s">
        <v>55</v>
      </c>
      <c r="B264" s="98" t="s">
        <v>47</v>
      </c>
      <c r="C264" s="98">
        <v>10</v>
      </c>
      <c r="D264" s="98">
        <v>20</v>
      </c>
      <c r="E264" s="98">
        <v>0.01</v>
      </c>
      <c r="F264" s="98" t="s">
        <v>13</v>
      </c>
      <c r="G264" s="98" t="s">
        <v>12</v>
      </c>
      <c r="H264" s="98">
        <v>1</v>
      </c>
      <c r="I264" s="98">
        <v>5</v>
      </c>
      <c r="J264" s="98" t="s">
        <v>10</v>
      </c>
      <c r="K264" s="98">
        <v>0.21</v>
      </c>
      <c r="L264" s="98">
        <v>0.94</v>
      </c>
      <c r="M264" s="98">
        <v>3.81</v>
      </c>
      <c r="N264" s="98">
        <v>0.57899999999999996</v>
      </c>
      <c r="O264" s="99" t="s">
        <v>1923</v>
      </c>
    </row>
    <row r="265" spans="1:15" x14ac:dyDescent="0.25">
      <c r="A265" s="98" t="s">
        <v>55</v>
      </c>
      <c r="B265" s="98" t="s">
        <v>47</v>
      </c>
      <c r="C265" s="98">
        <v>10</v>
      </c>
      <c r="D265" s="98">
        <v>20</v>
      </c>
      <c r="E265" s="98">
        <v>0.01</v>
      </c>
      <c r="F265" s="98" t="s">
        <v>13</v>
      </c>
      <c r="G265" s="98" t="s">
        <v>12</v>
      </c>
      <c r="H265" s="98">
        <v>1E-3</v>
      </c>
      <c r="I265" s="98">
        <v>0.05</v>
      </c>
      <c r="J265" s="98" t="s">
        <v>10</v>
      </c>
      <c r="K265" s="98">
        <v>5.1798999999999999</v>
      </c>
      <c r="L265" s="98">
        <v>0.27700999999999998</v>
      </c>
      <c r="M265" s="98">
        <v>7.3621999999999996</v>
      </c>
      <c r="N265" s="98">
        <v>5.8217999999999999E-2</v>
      </c>
      <c r="O265" s="99" t="s">
        <v>1924</v>
      </c>
    </row>
    <row r="266" spans="1:15" x14ac:dyDescent="0.25">
      <c r="A266" s="98" t="s">
        <v>55</v>
      </c>
      <c r="B266" s="98" t="s">
        <v>47</v>
      </c>
      <c r="C266" s="98">
        <v>10</v>
      </c>
      <c r="D266" s="98">
        <v>20</v>
      </c>
      <c r="E266" s="98">
        <v>0.01</v>
      </c>
      <c r="F266" s="98" t="s">
        <v>13</v>
      </c>
      <c r="G266" s="98" t="s">
        <v>12</v>
      </c>
      <c r="H266" s="98">
        <v>0.05</v>
      </c>
      <c r="I266" s="98">
        <v>1</v>
      </c>
      <c r="J266" s="98" t="s">
        <v>10</v>
      </c>
      <c r="K266" s="98">
        <v>3.3353999999999999</v>
      </c>
      <c r="L266" s="98">
        <v>0.33323000000000003</v>
      </c>
      <c r="M266" s="98">
        <v>6.0285000000000002</v>
      </c>
      <c r="N266" s="98">
        <v>6.3256000000000007E-2</v>
      </c>
      <c r="O266" s="99" t="s">
        <v>2651</v>
      </c>
    </row>
    <row r="267" spans="1:15" x14ac:dyDescent="0.25">
      <c r="A267" s="98" t="s">
        <v>55</v>
      </c>
      <c r="B267" s="98" t="s">
        <v>47</v>
      </c>
      <c r="C267" s="98">
        <v>10</v>
      </c>
      <c r="D267" s="98">
        <v>20</v>
      </c>
      <c r="E267" s="98">
        <v>0.1</v>
      </c>
      <c r="F267" s="98" t="s">
        <v>13</v>
      </c>
      <c r="G267" s="98" t="s">
        <v>12</v>
      </c>
      <c r="H267" s="98">
        <v>0.05</v>
      </c>
      <c r="I267" s="98">
        <v>1</v>
      </c>
      <c r="J267" s="98" t="s">
        <v>10</v>
      </c>
      <c r="K267" s="98">
        <v>57.758000000000003</v>
      </c>
      <c r="L267" s="98">
        <v>7.6264000000000002E-3</v>
      </c>
      <c r="M267" s="98">
        <v>57.8</v>
      </c>
      <c r="N267" s="98">
        <v>7.6299999999999996E-3</v>
      </c>
      <c r="O267" s="99" t="s">
        <v>1927</v>
      </c>
    </row>
    <row r="268" spans="1:15" x14ac:dyDescent="0.25">
      <c r="A268" s="98" t="s">
        <v>55</v>
      </c>
      <c r="B268" s="98" t="s">
        <v>47</v>
      </c>
      <c r="C268" s="98">
        <v>10</v>
      </c>
      <c r="D268" s="98">
        <v>20</v>
      </c>
      <c r="E268" s="98">
        <v>0.1</v>
      </c>
      <c r="F268" s="98" t="s">
        <v>13</v>
      </c>
      <c r="G268" s="98" t="s">
        <v>12</v>
      </c>
      <c r="H268" s="98">
        <v>1</v>
      </c>
      <c r="I268" s="98">
        <v>5</v>
      </c>
      <c r="J268" s="98" t="s">
        <v>10</v>
      </c>
      <c r="K268" s="98">
        <v>57.017000000000003</v>
      </c>
      <c r="L268" s="98">
        <v>0.123</v>
      </c>
      <c r="M268" s="98">
        <v>57.014000000000003</v>
      </c>
      <c r="N268" s="98">
        <v>0.123</v>
      </c>
      <c r="O268" s="99" t="s">
        <v>1926</v>
      </c>
    </row>
    <row r="269" spans="1:15" x14ac:dyDescent="0.25">
      <c r="A269" s="98" t="s">
        <v>55</v>
      </c>
      <c r="B269" s="98" t="s">
        <v>47</v>
      </c>
      <c r="C269" s="98">
        <v>10</v>
      </c>
      <c r="D269" s="98">
        <v>20</v>
      </c>
      <c r="E269" s="98">
        <v>0.1</v>
      </c>
      <c r="F269" s="98" t="s">
        <v>13</v>
      </c>
      <c r="G269" s="98" t="s">
        <v>12</v>
      </c>
      <c r="H269" s="98">
        <v>1E-3</v>
      </c>
      <c r="I269" s="98">
        <v>0.05</v>
      </c>
      <c r="J269" s="98" t="s">
        <v>10</v>
      </c>
      <c r="K269" s="98">
        <v>57.914000000000001</v>
      </c>
      <c r="L269" s="98">
        <v>8.2611000000000004E-3</v>
      </c>
      <c r="M269" s="98">
        <v>57.911000000000001</v>
      </c>
      <c r="N269" s="98">
        <v>8.2615999999999992E-3</v>
      </c>
      <c r="O269" s="99" t="s">
        <v>1925</v>
      </c>
    </row>
    <row r="270" spans="1:15" x14ac:dyDescent="0.25">
      <c r="A270" s="98" t="s">
        <v>55</v>
      </c>
      <c r="B270" s="98" t="s">
        <v>8</v>
      </c>
      <c r="C270" s="98">
        <v>0</v>
      </c>
      <c r="D270" s="98">
        <v>0.01</v>
      </c>
      <c r="E270" s="98">
        <v>1E-8</v>
      </c>
      <c r="F270" s="98" t="s">
        <v>6</v>
      </c>
      <c r="G270" s="98" t="s">
        <v>5</v>
      </c>
      <c r="H270" s="98">
        <v>4000</v>
      </c>
      <c r="I270" s="98">
        <v>8000</v>
      </c>
      <c r="J270" s="98" t="s">
        <v>10</v>
      </c>
      <c r="K270" s="98">
        <v>31</v>
      </c>
      <c r="L270" s="98">
        <v>230000</v>
      </c>
      <c r="M270" s="98">
        <v>30.119</v>
      </c>
      <c r="N270" s="98">
        <v>228890</v>
      </c>
      <c r="O270" s="99" t="s">
        <v>1472</v>
      </c>
    </row>
    <row r="271" spans="1:15" x14ac:dyDescent="0.25">
      <c r="A271" s="98" t="s">
        <v>55</v>
      </c>
      <c r="B271" s="98" t="s">
        <v>8</v>
      </c>
      <c r="C271" s="98">
        <v>0</v>
      </c>
      <c r="D271" s="98">
        <v>0.01</v>
      </c>
      <c r="E271" s="98">
        <v>1E-8</v>
      </c>
      <c r="F271" s="98" t="s">
        <v>6</v>
      </c>
      <c r="G271" s="98" t="s">
        <v>5</v>
      </c>
      <c r="H271" s="98">
        <v>1E-3</v>
      </c>
      <c r="I271" s="98">
        <v>0.04</v>
      </c>
      <c r="J271" s="98" t="s">
        <v>10</v>
      </c>
      <c r="K271" s="98">
        <v>4.5</v>
      </c>
      <c r="L271" s="98">
        <v>310</v>
      </c>
      <c r="M271" s="98">
        <v>4.3849</v>
      </c>
      <c r="N271" s="98">
        <v>312.12</v>
      </c>
      <c r="O271" s="99" t="s">
        <v>1473</v>
      </c>
    </row>
    <row r="272" spans="1:15" x14ac:dyDescent="0.25">
      <c r="A272" s="98" t="s">
        <v>55</v>
      </c>
      <c r="B272" s="98" t="s">
        <v>8</v>
      </c>
      <c r="C272" s="98">
        <v>0</v>
      </c>
      <c r="D272" s="98">
        <v>0.01</v>
      </c>
      <c r="E272" s="98">
        <v>1E-8</v>
      </c>
      <c r="F272" s="98" t="s">
        <v>6</v>
      </c>
      <c r="G272" s="98" t="s">
        <v>5</v>
      </c>
      <c r="H272" s="98">
        <v>1</v>
      </c>
      <c r="I272" s="98">
        <v>20</v>
      </c>
      <c r="J272" s="98" t="s">
        <v>10</v>
      </c>
      <c r="K272" s="98">
        <v>3.1</v>
      </c>
      <c r="L272" s="98">
        <v>254.16</v>
      </c>
      <c r="M272" s="98">
        <v>3.0562999999999998</v>
      </c>
      <c r="N272" s="98">
        <v>254.09</v>
      </c>
      <c r="O272" s="99" t="s">
        <v>2517</v>
      </c>
    </row>
    <row r="273" spans="1:15" x14ac:dyDescent="0.25">
      <c r="A273" s="98" t="s">
        <v>55</v>
      </c>
      <c r="B273" s="98" t="s">
        <v>8</v>
      </c>
      <c r="C273" s="98">
        <v>0</v>
      </c>
      <c r="D273" s="98">
        <v>0.01</v>
      </c>
      <c r="E273" s="98">
        <v>1E-8</v>
      </c>
      <c r="F273" s="98" t="s">
        <v>6</v>
      </c>
      <c r="G273" s="98" t="s">
        <v>5</v>
      </c>
      <c r="H273" s="98">
        <v>300</v>
      </c>
      <c r="I273" s="98">
        <v>1000</v>
      </c>
      <c r="J273" s="98" t="s">
        <v>10</v>
      </c>
      <c r="K273" s="98">
        <v>18</v>
      </c>
      <c r="L273" s="98">
        <v>45000</v>
      </c>
      <c r="M273" s="98">
        <v>12.904</v>
      </c>
      <c r="N273" s="98">
        <v>45496</v>
      </c>
      <c r="O273" s="99" t="s">
        <v>1471</v>
      </c>
    </row>
    <row r="274" spans="1:15" x14ac:dyDescent="0.25">
      <c r="A274" s="98" t="s">
        <v>55</v>
      </c>
      <c r="B274" s="98" t="s">
        <v>8</v>
      </c>
      <c r="C274" s="98">
        <v>0</v>
      </c>
      <c r="D274" s="98">
        <v>0.01</v>
      </c>
      <c r="E274" s="98">
        <v>1E-8</v>
      </c>
      <c r="F274" s="98" t="s">
        <v>6</v>
      </c>
      <c r="G274" s="98" t="s">
        <v>5</v>
      </c>
      <c r="H274" s="98">
        <v>100</v>
      </c>
      <c r="I274" s="98">
        <v>300</v>
      </c>
      <c r="J274" s="98" t="s">
        <v>10</v>
      </c>
      <c r="K274" s="98">
        <v>4.2</v>
      </c>
      <c r="L274" s="98">
        <v>46000</v>
      </c>
      <c r="M274" s="98">
        <v>2.8932000000000002</v>
      </c>
      <c r="N274" s="98">
        <v>46131</v>
      </c>
      <c r="O274" s="99" t="s">
        <v>2516</v>
      </c>
    </row>
    <row r="275" spans="1:15" x14ac:dyDescent="0.25">
      <c r="A275" s="98" t="s">
        <v>55</v>
      </c>
      <c r="B275" s="98" t="s">
        <v>8</v>
      </c>
      <c r="C275" s="98">
        <v>0</v>
      </c>
      <c r="D275" s="98">
        <v>0.01</v>
      </c>
      <c r="E275" s="98">
        <v>1E-8</v>
      </c>
      <c r="F275" s="98" t="s">
        <v>6</v>
      </c>
      <c r="G275" s="98" t="s">
        <v>5</v>
      </c>
      <c r="H275" s="98">
        <v>20</v>
      </c>
      <c r="I275" s="98">
        <v>50</v>
      </c>
      <c r="J275" s="98" t="s">
        <v>10</v>
      </c>
      <c r="K275" s="98">
        <v>5.6</v>
      </c>
      <c r="L275" s="98">
        <v>840</v>
      </c>
      <c r="M275" s="98">
        <v>5.5358000000000001</v>
      </c>
      <c r="N275" s="98">
        <v>839.05</v>
      </c>
      <c r="O275" s="99" t="s">
        <v>1476</v>
      </c>
    </row>
    <row r="276" spans="1:15" x14ac:dyDescent="0.25">
      <c r="A276" s="98" t="s">
        <v>55</v>
      </c>
      <c r="B276" s="98" t="s">
        <v>8</v>
      </c>
      <c r="C276" s="98">
        <v>0</v>
      </c>
      <c r="D276" s="98">
        <v>0.01</v>
      </c>
      <c r="E276" s="98">
        <v>1E-8</v>
      </c>
      <c r="F276" s="98" t="s">
        <v>6</v>
      </c>
      <c r="G276" s="98" t="s">
        <v>5</v>
      </c>
      <c r="H276" s="98">
        <v>1000</v>
      </c>
      <c r="I276" s="98">
        <v>4000</v>
      </c>
      <c r="J276" s="98" t="s">
        <v>10</v>
      </c>
      <c r="K276" s="98">
        <v>23</v>
      </c>
      <c r="L276" s="98">
        <v>80000</v>
      </c>
      <c r="M276" s="98">
        <v>22.678999999999998</v>
      </c>
      <c r="N276" s="98">
        <v>79411</v>
      </c>
      <c r="O276" s="99" t="s">
        <v>1470</v>
      </c>
    </row>
    <row r="277" spans="1:15" x14ac:dyDescent="0.25">
      <c r="A277" s="98" t="s">
        <v>55</v>
      </c>
      <c r="B277" s="98" t="s">
        <v>8</v>
      </c>
      <c r="C277" s="98">
        <v>0</v>
      </c>
      <c r="D277" s="98">
        <v>0.01</v>
      </c>
      <c r="E277" s="98">
        <v>1E-8</v>
      </c>
      <c r="F277" s="98" t="s">
        <v>6</v>
      </c>
      <c r="G277" s="98" t="s">
        <v>5</v>
      </c>
      <c r="H277" s="98">
        <v>0.04</v>
      </c>
      <c r="I277" s="98">
        <v>1</v>
      </c>
      <c r="J277" s="98" t="s">
        <v>10</v>
      </c>
      <c r="K277" s="98">
        <v>3</v>
      </c>
      <c r="L277" s="98">
        <v>160</v>
      </c>
      <c r="M277" s="98">
        <v>2.9725000000000001</v>
      </c>
      <c r="N277" s="98">
        <v>162.69</v>
      </c>
      <c r="O277" s="99" t="s">
        <v>1475</v>
      </c>
    </row>
    <row r="278" spans="1:15" x14ac:dyDescent="0.25">
      <c r="A278" s="98" t="s">
        <v>55</v>
      </c>
      <c r="B278" s="98" t="s">
        <v>8</v>
      </c>
      <c r="C278" s="98">
        <v>0</v>
      </c>
      <c r="D278" s="98">
        <v>0.01</v>
      </c>
      <c r="E278" s="98">
        <v>1E-8</v>
      </c>
      <c r="F278" s="98" t="s">
        <v>6</v>
      </c>
      <c r="G278" s="98" t="s">
        <v>5</v>
      </c>
      <c r="H278" s="98">
        <v>50</v>
      </c>
      <c r="I278" s="98">
        <v>100</v>
      </c>
      <c r="J278" s="98" t="s">
        <v>10</v>
      </c>
      <c r="K278" s="98">
        <v>8.8000000000000007</v>
      </c>
      <c r="L278" s="98">
        <v>5100</v>
      </c>
      <c r="M278" s="98">
        <v>8.3102999999999998</v>
      </c>
      <c r="N278" s="98">
        <v>5147.5</v>
      </c>
      <c r="O278" s="99" t="s">
        <v>1474</v>
      </c>
    </row>
    <row r="279" spans="1:15" x14ac:dyDescent="0.25">
      <c r="A279" s="98" t="s">
        <v>55</v>
      </c>
      <c r="B279" s="98" t="s">
        <v>8</v>
      </c>
      <c r="C279" s="98">
        <v>0</v>
      </c>
      <c r="D279" s="98">
        <v>0.01</v>
      </c>
      <c r="E279" s="98">
        <v>9.9999999999999995E-8</v>
      </c>
      <c r="F279" s="98" t="s">
        <v>6</v>
      </c>
      <c r="G279" s="98" t="s">
        <v>5</v>
      </c>
      <c r="H279" s="98">
        <v>100</v>
      </c>
      <c r="I279" s="98">
        <v>300</v>
      </c>
      <c r="J279" s="98" t="s">
        <v>10</v>
      </c>
      <c r="K279" s="98">
        <v>4.2</v>
      </c>
      <c r="L279" s="98">
        <v>46000</v>
      </c>
      <c r="M279" s="98">
        <v>2.8935</v>
      </c>
      <c r="N279" s="98">
        <v>46131</v>
      </c>
      <c r="O279" s="99" t="s">
        <v>1477</v>
      </c>
    </row>
    <row r="280" spans="1:15" x14ac:dyDescent="0.25">
      <c r="A280" s="98" t="s">
        <v>55</v>
      </c>
      <c r="B280" s="98" t="s">
        <v>8</v>
      </c>
      <c r="C280" s="98">
        <v>0</v>
      </c>
      <c r="D280" s="98">
        <v>0.01</v>
      </c>
      <c r="E280" s="98">
        <v>9.9999999999999995E-8</v>
      </c>
      <c r="F280" s="98" t="s">
        <v>6</v>
      </c>
      <c r="G280" s="98" t="s">
        <v>5</v>
      </c>
      <c r="H280" s="98">
        <v>300</v>
      </c>
      <c r="I280" s="98">
        <v>1000</v>
      </c>
      <c r="J280" s="98" t="s">
        <v>10</v>
      </c>
      <c r="K280" s="98">
        <v>18</v>
      </c>
      <c r="L280" s="98">
        <v>45496</v>
      </c>
      <c r="M280" s="98">
        <v>12.904</v>
      </c>
      <c r="N280" s="98">
        <v>45496</v>
      </c>
      <c r="O280" s="99" t="s">
        <v>1480</v>
      </c>
    </row>
    <row r="281" spans="1:15" x14ac:dyDescent="0.25">
      <c r="A281" s="98" t="s">
        <v>55</v>
      </c>
      <c r="B281" s="98" t="s">
        <v>8</v>
      </c>
      <c r="C281" s="98">
        <v>0</v>
      </c>
      <c r="D281" s="98">
        <v>0.01</v>
      </c>
      <c r="E281" s="98">
        <v>9.9999999999999995E-8</v>
      </c>
      <c r="F281" s="98" t="s">
        <v>6</v>
      </c>
      <c r="G281" s="98" t="s">
        <v>5</v>
      </c>
      <c r="H281" s="98">
        <v>20</v>
      </c>
      <c r="I281" s="98">
        <v>50</v>
      </c>
      <c r="J281" s="98" t="s">
        <v>10</v>
      </c>
      <c r="K281" s="98">
        <v>5.6</v>
      </c>
      <c r="L281" s="98">
        <v>839.02</v>
      </c>
      <c r="M281" s="98">
        <v>5.5362</v>
      </c>
      <c r="N281" s="98">
        <v>839.03</v>
      </c>
      <c r="O281" s="99" t="s">
        <v>1483</v>
      </c>
    </row>
    <row r="282" spans="1:15" x14ac:dyDescent="0.25">
      <c r="A282" s="98" t="s">
        <v>55</v>
      </c>
      <c r="B282" s="98" t="s">
        <v>8</v>
      </c>
      <c r="C282" s="98">
        <v>0</v>
      </c>
      <c r="D282" s="98">
        <v>0.01</v>
      </c>
      <c r="E282" s="98">
        <v>9.9999999999999995E-8</v>
      </c>
      <c r="F282" s="98" t="s">
        <v>6</v>
      </c>
      <c r="G282" s="98" t="s">
        <v>5</v>
      </c>
      <c r="H282" s="98">
        <v>0.04</v>
      </c>
      <c r="I282" s="98">
        <v>1</v>
      </c>
      <c r="J282" s="98" t="s">
        <v>10</v>
      </c>
      <c r="K282" s="98">
        <v>3</v>
      </c>
      <c r="L282" s="98">
        <v>162.76</v>
      </c>
      <c r="M282" s="98">
        <v>2.9731000000000001</v>
      </c>
      <c r="N282" s="98">
        <v>162.66999999999999</v>
      </c>
      <c r="O282" s="99" t="s">
        <v>1484</v>
      </c>
    </row>
    <row r="283" spans="1:15" x14ac:dyDescent="0.25">
      <c r="A283" s="98" t="s">
        <v>55</v>
      </c>
      <c r="B283" s="98" t="s">
        <v>8</v>
      </c>
      <c r="C283" s="98">
        <v>0</v>
      </c>
      <c r="D283" s="98">
        <v>0.01</v>
      </c>
      <c r="E283" s="98">
        <v>9.9999999999999995E-8</v>
      </c>
      <c r="F283" s="98" t="s">
        <v>6</v>
      </c>
      <c r="G283" s="98" t="s">
        <v>5</v>
      </c>
      <c r="H283" s="98">
        <v>1000</v>
      </c>
      <c r="I283" s="98">
        <v>4000</v>
      </c>
      <c r="J283" s="98" t="s">
        <v>10</v>
      </c>
      <c r="K283" s="98">
        <v>23</v>
      </c>
      <c r="L283" s="98">
        <v>79583</v>
      </c>
      <c r="M283" s="98">
        <v>22.678999999999998</v>
      </c>
      <c r="N283" s="98">
        <v>79411</v>
      </c>
      <c r="O283" s="99" t="s">
        <v>1485</v>
      </c>
    </row>
    <row r="284" spans="1:15" x14ac:dyDescent="0.25">
      <c r="A284" s="98" t="s">
        <v>55</v>
      </c>
      <c r="B284" s="98" t="s">
        <v>8</v>
      </c>
      <c r="C284" s="98">
        <v>0</v>
      </c>
      <c r="D284" s="98">
        <v>0.01</v>
      </c>
      <c r="E284" s="98">
        <v>9.9999999999999995E-8</v>
      </c>
      <c r="F284" s="98" t="s">
        <v>6</v>
      </c>
      <c r="G284" s="98" t="s">
        <v>5</v>
      </c>
      <c r="H284" s="98">
        <v>1E-3</v>
      </c>
      <c r="I284" s="98">
        <v>0.04</v>
      </c>
      <c r="J284" s="98" t="s">
        <v>10</v>
      </c>
      <c r="K284" s="98">
        <v>4.5</v>
      </c>
      <c r="L284" s="98">
        <v>312.16000000000003</v>
      </c>
      <c r="M284" s="98">
        <v>4.3853</v>
      </c>
      <c r="N284" s="98">
        <v>312.11</v>
      </c>
      <c r="O284" s="99" t="s">
        <v>1479</v>
      </c>
    </row>
    <row r="285" spans="1:15" x14ac:dyDescent="0.25">
      <c r="A285" s="98" t="s">
        <v>55</v>
      </c>
      <c r="B285" s="98" t="s">
        <v>8</v>
      </c>
      <c r="C285" s="98">
        <v>0</v>
      </c>
      <c r="D285" s="98">
        <v>0.01</v>
      </c>
      <c r="E285" s="98">
        <v>9.9999999999999995E-8</v>
      </c>
      <c r="F285" s="98" t="s">
        <v>6</v>
      </c>
      <c r="G285" s="98" t="s">
        <v>5</v>
      </c>
      <c r="H285" s="98">
        <v>4000</v>
      </c>
      <c r="I285" s="98">
        <v>8000</v>
      </c>
      <c r="J285" s="98" t="s">
        <v>10</v>
      </c>
      <c r="K285" s="98">
        <v>31</v>
      </c>
      <c r="L285" s="98">
        <v>228990</v>
      </c>
      <c r="M285" s="98">
        <v>30.12</v>
      </c>
      <c r="N285" s="98">
        <v>228890</v>
      </c>
      <c r="O285" s="99" t="s">
        <v>1478</v>
      </c>
    </row>
    <row r="286" spans="1:15" x14ac:dyDescent="0.25">
      <c r="A286" s="98" t="s">
        <v>55</v>
      </c>
      <c r="B286" s="98" t="s">
        <v>8</v>
      </c>
      <c r="C286" s="98">
        <v>0</v>
      </c>
      <c r="D286" s="98">
        <v>0.01</v>
      </c>
      <c r="E286" s="98">
        <v>9.9999999999999995E-8</v>
      </c>
      <c r="F286" s="98" t="s">
        <v>6</v>
      </c>
      <c r="G286" s="98" t="s">
        <v>5</v>
      </c>
      <c r="H286" s="98">
        <v>50</v>
      </c>
      <c r="I286" s="98">
        <v>100</v>
      </c>
      <c r="J286" s="98" t="s">
        <v>10</v>
      </c>
      <c r="K286" s="98">
        <v>8.8000000000000007</v>
      </c>
      <c r="L286" s="98">
        <v>5147.5</v>
      </c>
      <c r="M286" s="98">
        <v>8.3102999999999998</v>
      </c>
      <c r="N286" s="98">
        <v>5147.5</v>
      </c>
      <c r="O286" s="99" t="s">
        <v>1482</v>
      </c>
    </row>
    <row r="287" spans="1:15" x14ac:dyDescent="0.25">
      <c r="A287" s="98" t="s">
        <v>55</v>
      </c>
      <c r="B287" s="98" t="s">
        <v>8</v>
      </c>
      <c r="C287" s="98">
        <v>0</v>
      </c>
      <c r="D287" s="98">
        <v>0.01</v>
      </c>
      <c r="E287" s="98">
        <v>9.9999999999999995E-8</v>
      </c>
      <c r="F287" s="98" t="s">
        <v>6</v>
      </c>
      <c r="G287" s="98" t="s">
        <v>5</v>
      </c>
      <c r="H287" s="98">
        <v>1</v>
      </c>
      <c r="I287" s="98">
        <v>20</v>
      </c>
      <c r="J287" s="98" t="s">
        <v>10</v>
      </c>
      <c r="K287" s="98">
        <v>3.1</v>
      </c>
      <c r="L287" s="98">
        <v>250</v>
      </c>
      <c r="M287" s="98">
        <v>3.0556000000000001</v>
      </c>
      <c r="N287" s="98">
        <v>254.12</v>
      </c>
      <c r="O287" s="99" t="s">
        <v>1481</v>
      </c>
    </row>
    <row r="288" spans="1:15" x14ac:dyDescent="0.25">
      <c r="A288" s="98" t="s">
        <v>55</v>
      </c>
      <c r="B288" s="98" t="s">
        <v>8</v>
      </c>
      <c r="C288" s="98">
        <v>0</v>
      </c>
      <c r="D288" s="98">
        <v>0.01</v>
      </c>
      <c r="E288" s="98">
        <v>9.9999999999999995E-7</v>
      </c>
      <c r="F288" s="98" t="s">
        <v>6</v>
      </c>
      <c r="G288" s="98" t="s">
        <v>5</v>
      </c>
      <c r="H288" s="98">
        <v>1</v>
      </c>
      <c r="I288" s="98">
        <v>20</v>
      </c>
      <c r="J288" s="98" t="s">
        <v>10</v>
      </c>
      <c r="K288" s="98">
        <v>3.1118999999999999</v>
      </c>
      <c r="L288" s="98">
        <v>251.96</v>
      </c>
      <c r="M288" s="98">
        <v>3.1095999999999999</v>
      </c>
      <c r="N288" s="98">
        <v>251.7</v>
      </c>
      <c r="O288" s="99" t="s">
        <v>1487</v>
      </c>
    </row>
    <row r="289" spans="1:15" x14ac:dyDescent="0.25">
      <c r="A289" s="98" t="s">
        <v>55</v>
      </c>
      <c r="B289" s="98" t="s">
        <v>8</v>
      </c>
      <c r="C289" s="98">
        <v>0</v>
      </c>
      <c r="D289" s="98">
        <v>0.01</v>
      </c>
      <c r="E289" s="98">
        <v>9.9999999999999995E-7</v>
      </c>
      <c r="F289" s="98" t="s">
        <v>6</v>
      </c>
      <c r="G289" s="98" t="s">
        <v>5</v>
      </c>
      <c r="H289" s="98">
        <v>1E-3</v>
      </c>
      <c r="I289" s="98">
        <v>0.04</v>
      </c>
      <c r="J289" s="98" t="s">
        <v>10</v>
      </c>
      <c r="K289" s="98">
        <v>4.5</v>
      </c>
      <c r="L289" s="98">
        <v>310.77</v>
      </c>
      <c r="M289" s="98">
        <v>4.4226000000000001</v>
      </c>
      <c r="N289" s="98">
        <v>310.57</v>
      </c>
      <c r="O289" s="99" t="s">
        <v>1489</v>
      </c>
    </row>
    <row r="290" spans="1:15" x14ac:dyDescent="0.25">
      <c r="A290" s="98" t="s">
        <v>55</v>
      </c>
      <c r="B290" s="98" t="s">
        <v>8</v>
      </c>
      <c r="C290" s="98">
        <v>0</v>
      </c>
      <c r="D290" s="98">
        <v>0.01</v>
      </c>
      <c r="E290" s="98">
        <v>9.9999999999999995E-7</v>
      </c>
      <c r="F290" s="98" t="s">
        <v>6</v>
      </c>
      <c r="G290" s="98" t="s">
        <v>5</v>
      </c>
      <c r="H290" s="98">
        <v>100</v>
      </c>
      <c r="I290" s="98">
        <v>300</v>
      </c>
      <c r="J290" s="98" t="s">
        <v>10</v>
      </c>
      <c r="K290" s="98">
        <v>4.2004999999999999</v>
      </c>
      <c r="L290" s="98">
        <v>46000</v>
      </c>
      <c r="M290" s="98">
        <v>2.919</v>
      </c>
      <c r="N290" s="98">
        <v>46128</v>
      </c>
      <c r="O290" s="99" t="s">
        <v>1488</v>
      </c>
    </row>
    <row r="291" spans="1:15" x14ac:dyDescent="0.25">
      <c r="A291" s="98" t="s">
        <v>55</v>
      </c>
      <c r="B291" s="98" t="s">
        <v>8</v>
      </c>
      <c r="C291" s="98">
        <v>0</v>
      </c>
      <c r="D291" s="98">
        <v>0.01</v>
      </c>
      <c r="E291" s="98">
        <v>9.9999999999999995E-7</v>
      </c>
      <c r="F291" s="98" t="s">
        <v>6</v>
      </c>
      <c r="G291" s="98" t="s">
        <v>5</v>
      </c>
      <c r="H291" s="98">
        <v>20</v>
      </c>
      <c r="I291" s="98">
        <v>50</v>
      </c>
      <c r="J291" s="98" t="s">
        <v>10</v>
      </c>
      <c r="K291" s="98">
        <v>5.6</v>
      </c>
      <c r="L291" s="98">
        <v>837.24</v>
      </c>
      <c r="M291" s="98">
        <v>5.5655999999999999</v>
      </c>
      <c r="N291" s="98">
        <v>837.27</v>
      </c>
      <c r="O291" s="99" t="s">
        <v>1490</v>
      </c>
    </row>
    <row r="292" spans="1:15" x14ac:dyDescent="0.25">
      <c r="A292" s="98" t="s">
        <v>55</v>
      </c>
      <c r="B292" s="98" t="s">
        <v>8</v>
      </c>
      <c r="C292" s="98">
        <v>0</v>
      </c>
      <c r="D292" s="98">
        <v>0.01</v>
      </c>
      <c r="E292" s="98">
        <v>9.9999999999999995E-7</v>
      </c>
      <c r="F292" s="98" t="s">
        <v>6</v>
      </c>
      <c r="G292" s="98" t="s">
        <v>5</v>
      </c>
      <c r="H292" s="98">
        <v>300</v>
      </c>
      <c r="I292" s="98">
        <v>1000</v>
      </c>
      <c r="J292" s="98" t="s">
        <v>10</v>
      </c>
      <c r="K292" s="98">
        <v>18</v>
      </c>
      <c r="L292" s="98">
        <v>45495</v>
      </c>
      <c r="M292" s="98">
        <v>12.914999999999999</v>
      </c>
      <c r="N292" s="98">
        <v>45495</v>
      </c>
      <c r="O292" s="99" t="s">
        <v>1486</v>
      </c>
    </row>
    <row r="293" spans="1:15" x14ac:dyDescent="0.25">
      <c r="A293" s="98" t="s">
        <v>55</v>
      </c>
      <c r="B293" s="98" t="s">
        <v>8</v>
      </c>
      <c r="C293" s="98">
        <v>0</v>
      </c>
      <c r="D293" s="98">
        <v>0.01</v>
      </c>
      <c r="E293" s="98">
        <v>9.9999999999999995E-7</v>
      </c>
      <c r="F293" s="98" t="s">
        <v>6</v>
      </c>
      <c r="G293" s="98" t="s">
        <v>5</v>
      </c>
      <c r="H293" s="98">
        <v>50</v>
      </c>
      <c r="I293" s="98">
        <v>100</v>
      </c>
      <c r="J293" s="98" t="s">
        <v>10</v>
      </c>
      <c r="K293" s="98">
        <v>8.8000000000000007</v>
      </c>
      <c r="L293" s="98">
        <v>5145.7</v>
      </c>
      <c r="M293" s="98">
        <v>8.3291000000000004</v>
      </c>
      <c r="N293" s="98">
        <v>5145.8999999999996</v>
      </c>
      <c r="O293" s="99" t="s">
        <v>2518</v>
      </c>
    </row>
    <row r="294" spans="1:15" x14ac:dyDescent="0.25">
      <c r="A294" s="98" t="s">
        <v>55</v>
      </c>
      <c r="B294" s="98" t="s">
        <v>8</v>
      </c>
      <c r="C294" s="98">
        <v>0</v>
      </c>
      <c r="D294" s="98">
        <v>0.01</v>
      </c>
      <c r="E294" s="98">
        <v>9.9999999999999995E-7</v>
      </c>
      <c r="F294" s="98" t="s">
        <v>6</v>
      </c>
      <c r="G294" s="98" t="s">
        <v>5</v>
      </c>
      <c r="H294" s="98">
        <v>4000</v>
      </c>
      <c r="I294" s="98">
        <v>8000</v>
      </c>
      <c r="J294" s="98" t="s">
        <v>10</v>
      </c>
      <c r="K294" s="98">
        <v>31</v>
      </c>
      <c r="L294" s="98">
        <v>228990</v>
      </c>
      <c r="M294" s="98">
        <v>30.12</v>
      </c>
      <c r="N294" s="98">
        <v>228890</v>
      </c>
      <c r="O294" s="99" t="s">
        <v>2519</v>
      </c>
    </row>
    <row r="295" spans="1:15" x14ac:dyDescent="0.25">
      <c r="A295" s="98" t="s">
        <v>55</v>
      </c>
      <c r="B295" s="98" t="s">
        <v>8</v>
      </c>
      <c r="C295" s="98">
        <v>0</v>
      </c>
      <c r="D295" s="98">
        <v>0.01</v>
      </c>
      <c r="E295" s="98">
        <v>9.9999999999999995E-7</v>
      </c>
      <c r="F295" s="98" t="s">
        <v>6</v>
      </c>
      <c r="G295" s="98" t="s">
        <v>5</v>
      </c>
      <c r="H295" s="98">
        <v>1000</v>
      </c>
      <c r="I295" s="98">
        <v>4000</v>
      </c>
      <c r="J295" s="98" t="s">
        <v>10</v>
      </c>
      <c r="K295" s="98">
        <v>23</v>
      </c>
      <c r="L295" s="98">
        <v>79581</v>
      </c>
      <c r="M295" s="98">
        <v>22.687999999999999</v>
      </c>
      <c r="N295" s="98">
        <v>79410</v>
      </c>
      <c r="O295" s="99" t="s">
        <v>1491</v>
      </c>
    </row>
    <row r="296" spans="1:15" x14ac:dyDescent="0.25">
      <c r="A296" s="98" t="s">
        <v>55</v>
      </c>
      <c r="B296" s="98" t="s">
        <v>8</v>
      </c>
      <c r="C296" s="98">
        <v>0</v>
      </c>
      <c r="D296" s="98">
        <v>0.01</v>
      </c>
      <c r="E296" s="98">
        <v>9.9999999999999995E-7</v>
      </c>
      <c r="F296" s="98" t="s">
        <v>6</v>
      </c>
      <c r="G296" s="98" t="s">
        <v>5</v>
      </c>
      <c r="H296" s="98">
        <v>0.04</v>
      </c>
      <c r="I296" s="98">
        <v>1</v>
      </c>
      <c r="J296" s="98" t="s">
        <v>10</v>
      </c>
      <c r="K296" s="98">
        <v>3.0304000000000002</v>
      </c>
      <c r="L296" s="98">
        <v>161.11000000000001</v>
      </c>
      <c r="M296" s="98">
        <v>3.028</v>
      </c>
      <c r="N296" s="98">
        <v>160.75</v>
      </c>
      <c r="O296" s="99" t="s">
        <v>2520</v>
      </c>
    </row>
    <row r="297" spans="1:15" x14ac:dyDescent="0.25">
      <c r="A297" s="98" t="s">
        <v>55</v>
      </c>
      <c r="B297" s="98" t="s">
        <v>8</v>
      </c>
      <c r="C297" s="98">
        <v>0</v>
      </c>
      <c r="D297" s="98">
        <v>0.01</v>
      </c>
      <c r="E297" s="98">
        <v>1.0000000000000001E-5</v>
      </c>
      <c r="F297" s="98" t="s">
        <v>6</v>
      </c>
      <c r="G297" s="98" t="s">
        <v>5</v>
      </c>
      <c r="H297" s="98">
        <v>0.04</v>
      </c>
      <c r="I297" s="98">
        <v>1</v>
      </c>
      <c r="J297" s="98" t="s">
        <v>10</v>
      </c>
      <c r="K297" s="98">
        <v>6.4968000000000004</v>
      </c>
      <c r="L297" s="98">
        <v>89.968999999999994</v>
      </c>
      <c r="M297" s="98">
        <v>6.4923999999999999</v>
      </c>
      <c r="N297" s="98">
        <v>88.921999999999997</v>
      </c>
      <c r="O297" s="99" t="s">
        <v>1495</v>
      </c>
    </row>
    <row r="298" spans="1:15" x14ac:dyDescent="0.25">
      <c r="A298" s="98" t="s">
        <v>55</v>
      </c>
      <c r="B298" s="98" t="s">
        <v>8</v>
      </c>
      <c r="C298" s="98">
        <v>0</v>
      </c>
      <c r="D298" s="98">
        <v>0.01</v>
      </c>
      <c r="E298" s="98">
        <v>1.0000000000000001E-5</v>
      </c>
      <c r="F298" s="98" t="s">
        <v>6</v>
      </c>
      <c r="G298" s="98" t="s">
        <v>5</v>
      </c>
      <c r="H298" s="98">
        <v>1</v>
      </c>
      <c r="I298" s="98">
        <v>20</v>
      </c>
      <c r="J298" s="98" t="s">
        <v>10</v>
      </c>
      <c r="K298" s="98">
        <v>6.5335000000000001</v>
      </c>
      <c r="L298" s="98">
        <v>152.12</v>
      </c>
      <c r="M298" s="98">
        <v>6.5290999999999997</v>
      </c>
      <c r="N298" s="98">
        <v>151.19</v>
      </c>
      <c r="O298" s="99" t="s">
        <v>2522</v>
      </c>
    </row>
    <row r="299" spans="1:15" x14ac:dyDescent="0.25">
      <c r="A299" s="98" t="s">
        <v>55</v>
      </c>
      <c r="B299" s="98" t="s">
        <v>8</v>
      </c>
      <c r="C299" s="98">
        <v>0</v>
      </c>
      <c r="D299" s="98">
        <v>0.01</v>
      </c>
      <c r="E299" s="98">
        <v>1.0000000000000001E-5</v>
      </c>
      <c r="F299" s="98" t="s">
        <v>6</v>
      </c>
      <c r="G299" s="98" t="s">
        <v>5</v>
      </c>
      <c r="H299" s="98">
        <v>1E-3</v>
      </c>
      <c r="I299" s="98">
        <v>0.04</v>
      </c>
      <c r="J299" s="98" t="s">
        <v>10</v>
      </c>
      <c r="K299" s="98">
        <v>7.2506000000000004</v>
      </c>
      <c r="L299" s="98">
        <v>223.08</v>
      </c>
      <c r="M299" s="98">
        <v>7.2465999999999999</v>
      </c>
      <c r="N299" s="98">
        <v>222.31</v>
      </c>
      <c r="O299" s="99" t="s">
        <v>2523</v>
      </c>
    </row>
    <row r="300" spans="1:15" x14ac:dyDescent="0.25">
      <c r="A300" s="98" t="s">
        <v>55</v>
      </c>
      <c r="B300" s="98" t="s">
        <v>8</v>
      </c>
      <c r="C300" s="98">
        <v>0</v>
      </c>
      <c r="D300" s="98">
        <v>0.01</v>
      </c>
      <c r="E300" s="98">
        <v>1.0000000000000001E-5</v>
      </c>
      <c r="F300" s="98" t="s">
        <v>6</v>
      </c>
      <c r="G300" s="98" t="s">
        <v>5</v>
      </c>
      <c r="H300" s="98">
        <v>4000</v>
      </c>
      <c r="I300" s="98">
        <v>8000</v>
      </c>
      <c r="J300" s="98" t="s">
        <v>10</v>
      </c>
      <c r="K300" s="98">
        <v>31</v>
      </c>
      <c r="L300" s="98">
        <v>228940</v>
      </c>
      <c r="M300" s="98">
        <v>30.434000000000001</v>
      </c>
      <c r="N300" s="98">
        <v>228860</v>
      </c>
      <c r="O300" s="99" t="s">
        <v>1496</v>
      </c>
    </row>
    <row r="301" spans="1:15" x14ac:dyDescent="0.25">
      <c r="A301" s="98" t="s">
        <v>55</v>
      </c>
      <c r="B301" s="98" t="s">
        <v>8</v>
      </c>
      <c r="C301" s="98">
        <v>0</v>
      </c>
      <c r="D301" s="98">
        <v>0.01</v>
      </c>
      <c r="E301" s="98">
        <v>1.0000000000000001E-5</v>
      </c>
      <c r="F301" s="98" t="s">
        <v>6</v>
      </c>
      <c r="G301" s="98" t="s">
        <v>5</v>
      </c>
      <c r="H301" s="98">
        <v>20</v>
      </c>
      <c r="I301" s="98">
        <v>50</v>
      </c>
      <c r="J301" s="98" t="s">
        <v>10</v>
      </c>
      <c r="K301" s="98">
        <v>7.9955999999999996</v>
      </c>
      <c r="L301" s="98">
        <v>709.13</v>
      </c>
      <c r="M301" s="98">
        <v>7.9861000000000004</v>
      </c>
      <c r="N301" s="98">
        <v>708.96</v>
      </c>
      <c r="O301" s="99" t="s">
        <v>1494</v>
      </c>
    </row>
    <row r="302" spans="1:15" x14ac:dyDescent="0.25">
      <c r="A302" s="98" t="s">
        <v>55</v>
      </c>
      <c r="B302" s="98" t="s">
        <v>8</v>
      </c>
      <c r="C302" s="98">
        <v>0</v>
      </c>
      <c r="D302" s="98">
        <v>0.01</v>
      </c>
      <c r="E302" s="98">
        <v>1.0000000000000001E-5</v>
      </c>
      <c r="F302" s="98" t="s">
        <v>6</v>
      </c>
      <c r="G302" s="98" t="s">
        <v>5</v>
      </c>
      <c r="H302" s="98">
        <v>300</v>
      </c>
      <c r="I302" s="98">
        <v>1000</v>
      </c>
      <c r="J302" s="98" t="s">
        <v>10</v>
      </c>
      <c r="K302" s="98">
        <v>18</v>
      </c>
      <c r="L302" s="98">
        <v>45403</v>
      </c>
      <c r="M302" s="98">
        <v>13.84</v>
      </c>
      <c r="N302" s="98">
        <v>45406</v>
      </c>
      <c r="O302" s="99" t="s">
        <v>1497</v>
      </c>
    </row>
    <row r="303" spans="1:15" x14ac:dyDescent="0.25">
      <c r="A303" s="98" t="s">
        <v>55</v>
      </c>
      <c r="B303" s="98" t="s">
        <v>8</v>
      </c>
      <c r="C303" s="98">
        <v>0</v>
      </c>
      <c r="D303" s="98">
        <v>0.01</v>
      </c>
      <c r="E303" s="98">
        <v>1.0000000000000001E-5</v>
      </c>
      <c r="F303" s="98" t="s">
        <v>6</v>
      </c>
      <c r="G303" s="98" t="s">
        <v>5</v>
      </c>
      <c r="H303" s="98">
        <v>50</v>
      </c>
      <c r="I303" s="98">
        <v>100</v>
      </c>
      <c r="J303" s="98" t="s">
        <v>10</v>
      </c>
      <c r="K303" s="98">
        <v>10.061999999999999</v>
      </c>
      <c r="L303" s="98">
        <v>5001.3</v>
      </c>
      <c r="M303" s="98">
        <v>10.045999999999999</v>
      </c>
      <c r="N303" s="98">
        <v>5001.8</v>
      </c>
      <c r="O303" s="99" t="s">
        <v>1492</v>
      </c>
    </row>
    <row r="304" spans="1:15" x14ac:dyDescent="0.25">
      <c r="A304" s="98" t="s">
        <v>55</v>
      </c>
      <c r="B304" s="98" t="s">
        <v>8</v>
      </c>
      <c r="C304" s="98">
        <v>0</v>
      </c>
      <c r="D304" s="98">
        <v>0.01</v>
      </c>
      <c r="E304" s="98">
        <v>1.0000000000000001E-5</v>
      </c>
      <c r="F304" s="98" t="s">
        <v>6</v>
      </c>
      <c r="G304" s="98" t="s">
        <v>5</v>
      </c>
      <c r="H304" s="98">
        <v>100</v>
      </c>
      <c r="I304" s="98">
        <v>300</v>
      </c>
      <c r="J304" s="98" t="s">
        <v>10</v>
      </c>
      <c r="K304" s="98">
        <v>4.9503000000000004</v>
      </c>
      <c r="L304" s="98">
        <v>45929</v>
      </c>
      <c r="M304" s="98">
        <v>4.8762999999999996</v>
      </c>
      <c r="N304" s="98">
        <v>45936</v>
      </c>
      <c r="O304" s="99" t="s">
        <v>1493</v>
      </c>
    </row>
    <row r="305" spans="1:15" x14ac:dyDescent="0.25">
      <c r="A305" s="98" t="s">
        <v>55</v>
      </c>
      <c r="B305" s="98" t="s">
        <v>8</v>
      </c>
      <c r="C305" s="98">
        <v>0</v>
      </c>
      <c r="D305" s="98">
        <v>0.01</v>
      </c>
      <c r="E305" s="98">
        <v>1.0000000000000001E-5</v>
      </c>
      <c r="F305" s="98" t="s">
        <v>6</v>
      </c>
      <c r="G305" s="98" t="s">
        <v>5</v>
      </c>
      <c r="H305" s="98">
        <v>1000</v>
      </c>
      <c r="I305" s="98">
        <v>4000</v>
      </c>
      <c r="J305" s="98" t="s">
        <v>10</v>
      </c>
      <c r="K305" s="98">
        <v>23.292999999999999</v>
      </c>
      <c r="L305" s="98">
        <v>79521</v>
      </c>
      <c r="M305" s="98">
        <v>23.228000000000002</v>
      </c>
      <c r="N305" s="98">
        <v>79358</v>
      </c>
      <c r="O305" s="99" t="s">
        <v>2521</v>
      </c>
    </row>
    <row r="306" spans="1:15" x14ac:dyDescent="0.25">
      <c r="A306" s="98" t="s">
        <v>55</v>
      </c>
      <c r="B306" s="98" t="s">
        <v>8</v>
      </c>
      <c r="C306" s="98">
        <v>0</v>
      </c>
      <c r="D306" s="98">
        <v>0.01</v>
      </c>
      <c r="E306" s="98">
        <v>1E-4</v>
      </c>
      <c r="F306" s="98" t="s">
        <v>6</v>
      </c>
      <c r="G306" s="98" t="s">
        <v>5</v>
      </c>
      <c r="H306" s="98">
        <v>0.04</v>
      </c>
      <c r="I306" s="98">
        <v>1</v>
      </c>
      <c r="J306" s="98" t="s">
        <v>10</v>
      </c>
      <c r="K306" s="98">
        <v>57.814</v>
      </c>
      <c r="L306" s="98">
        <v>11.228999999999999</v>
      </c>
      <c r="M306" s="98">
        <v>57.811999999999998</v>
      </c>
      <c r="N306" s="98">
        <v>10.667</v>
      </c>
      <c r="O306" s="99" t="s">
        <v>1499</v>
      </c>
    </row>
    <row r="307" spans="1:15" x14ac:dyDescent="0.25">
      <c r="A307" s="98" t="s">
        <v>55</v>
      </c>
      <c r="B307" s="98" t="s">
        <v>8</v>
      </c>
      <c r="C307" s="98">
        <v>0</v>
      </c>
      <c r="D307" s="98">
        <v>0.01</v>
      </c>
      <c r="E307" s="98">
        <v>1E-4</v>
      </c>
      <c r="F307" s="98" t="s">
        <v>6</v>
      </c>
      <c r="G307" s="98" t="s">
        <v>5</v>
      </c>
      <c r="H307" s="98">
        <v>1000</v>
      </c>
      <c r="I307" s="98">
        <v>4000</v>
      </c>
      <c r="J307" s="98" t="s">
        <v>10</v>
      </c>
      <c r="K307" s="98">
        <v>57.908999999999999</v>
      </c>
      <c r="L307" s="98">
        <v>76095</v>
      </c>
      <c r="M307" s="98">
        <v>57.746000000000002</v>
      </c>
      <c r="N307" s="98">
        <v>76108</v>
      </c>
      <c r="O307" s="99" t="s">
        <v>1501</v>
      </c>
    </row>
    <row r="308" spans="1:15" x14ac:dyDescent="0.25">
      <c r="A308" s="98" t="s">
        <v>55</v>
      </c>
      <c r="B308" s="98" t="s">
        <v>8</v>
      </c>
      <c r="C308" s="98">
        <v>0</v>
      </c>
      <c r="D308" s="98">
        <v>0.01</v>
      </c>
      <c r="E308" s="98">
        <v>1E-4</v>
      </c>
      <c r="F308" s="98" t="s">
        <v>6</v>
      </c>
      <c r="G308" s="98" t="s">
        <v>5</v>
      </c>
      <c r="H308" s="98">
        <v>50</v>
      </c>
      <c r="I308" s="98">
        <v>100</v>
      </c>
      <c r="J308" s="98" t="s">
        <v>10</v>
      </c>
      <c r="K308" s="98">
        <v>58.167999999999999</v>
      </c>
      <c r="L308" s="98">
        <v>2497.6999999999998</v>
      </c>
      <c r="M308" s="98">
        <v>58.156999999999996</v>
      </c>
      <c r="N308" s="98">
        <v>2495.6</v>
      </c>
      <c r="O308" s="99" t="s">
        <v>1498</v>
      </c>
    </row>
    <row r="309" spans="1:15" x14ac:dyDescent="0.25">
      <c r="A309" s="98" t="s">
        <v>55</v>
      </c>
      <c r="B309" s="98" t="s">
        <v>8</v>
      </c>
      <c r="C309" s="98">
        <v>0</v>
      </c>
      <c r="D309" s="98">
        <v>0.01</v>
      </c>
      <c r="E309" s="98">
        <v>1E-4</v>
      </c>
      <c r="F309" s="98" t="s">
        <v>6</v>
      </c>
      <c r="G309" s="98" t="s">
        <v>5</v>
      </c>
      <c r="H309" s="98">
        <v>300</v>
      </c>
      <c r="I309" s="98">
        <v>1000</v>
      </c>
      <c r="J309" s="98" t="s">
        <v>10</v>
      </c>
      <c r="K309" s="98">
        <v>56.207000000000001</v>
      </c>
      <c r="L309" s="98">
        <v>41523</v>
      </c>
      <c r="M309" s="98">
        <v>56.162999999999997</v>
      </c>
      <c r="N309" s="98">
        <v>41525</v>
      </c>
      <c r="O309" s="99" t="s">
        <v>1502</v>
      </c>
    </row>
    <row r="310" spans="1:15" x14ac:dyDescent="0.25">
      <c r="A310" s="98" t="s">
        <v>55</v>
      </c>
      <c r="B310" s="98" t="s">
        <v>8</v>
      </c>
      <c r="C310" s="98">
        <v>0</v>
      </c>
      <c r="D310" s="98">
        <v>0.01</v>
      </c>
      <c r="E310" s="98">
        <v>1E-4</v>
      </c>
      <c r="F310" s="98" t="s">
        <v>6</v>
      </c>
      <c r="G310" s="98" t="s">
        <v>5</v>
      </c>
      <c r="H310" s="98">
        <v>4000</v>
      </c>
      <c r="I310" s="98">
        <v>8000</v>
      </c>
      <c r="J310" s="98" t="s">
        <v>10</v>
      </c>
      <c r="K310" s="98">
        <v>56.084000000000003</v>
      </c>
      <c r="L310" s="98">
        <v>226390</v>
      </c>
      <c r="M310" s="98">
        <v>55.738</v>
      </c>
      <c r="N310" s="98">
        <v>226400</v>
      </c>
      <c r="O310" s="99" t="s">
        <v>2526</v>
      </c>
    </row>
    <row r="311" spans="1:15" x14ac:dyDescent="0.25">
      <c r="A311" s="98" t="s">
        <v>55</v>
      </c>
      <c r="B311" s="98" t="s">
        <v>8</v>
      </c>
      <c r="C311" s="98">
        <v>0</v>
      </c>
      <c r="D311" s="98">
        <v>0.01</v>
      </c>
      <c r="E311" s="98">
        <v>1E-4</v>
      </c>
      <c r="F311" s="98" t="s">
        <v>6</v>
      </c>
      <c r="G311" s="98" t="s">
        <v>5</v>
      </c>
      <c r="H311" s="98">
        <v>1</v>
      </c>
      <c r="I311" s="98">
        <v>20</v>
      </c>
      <c r="J311" s="98" t="s">
        <v>10</v>
      </c>
      <c r="K311" s="98">
        <v>57.817999999999998</v>
      </c>
      <c r="L311" s="98">
        <v>19.600000000000001</v>
      </c>
      <c r="M311" s="98">
        <v>57.816000000000003</v>
      </c>
      <c r="N311" s="98">
        <v>19.039000000000001</v>
      </c>
      <c r="O311" s="99" t="s">
        <v>1503</v>
      </c>
    </row>
    <row r="312" spans="1:15" x14ac:dyDescent="0.25">
      <c r="A312" s="98" t="s">
        <v>55</v>
      </c>
      <c r="B312" s="98" t="s">
        <v>8</v>
      </c>
      <c r="C312" s="98">
        <v>0</v>
      </c>
      <c r="D312" s="98">
        <v>0.01</v>
      </c>
      <c r="E312" s="98">
        <v>1E-4</v>
      </c>
      <c r="F312" s="98" t="s">
        <v>6</v>
      </c>
      <c r="G312" s="98" t="s">
        <v>5</v>
      </c>
      <c r="H312" s="98">
        <v>1E-3</v>
      </c>
      <c r="I312" s="98">
        <v>0.04</v>
      </c>
      <c r="J312" s="98" t="s">
        <v>10</v>
      </c>
      <c r="K312" s="98">
        <v>57.902999999999999</v>
      </c>
      <c r="L312" s="98">
        <v>32.603000000000002</v>
      </c>
      <c r="M312" s="98">
        <v>57.901000000000003</v>
      </c>
      <c r="N312" s="98">
        <v>32.045000000000002</v>
      </c>
      <c r="O312" s="99" t="s">
        <v>2525</v>
      </c>
    </row>
    <row r="313" spans="1:15" x14ac:dyDescent="0.25">
      <c r="A313" s="98" t="s">
        <v>55</v>
      </c>
      <c r="B313" s="98" t="s">
        <v>8</v>
      </c>
      <c r="C313" s="98">
        <v>0</v>
      </c>
      <c r="D313" s="98">
        <v>0.01</v>
      </c>
      <c r="E313" s="98">
        <v>1E-4</v>
      </c>
      <c r="F313" s="98" t="s">
        <v>6</v>
      </c>
      <c r="G313" s="98" t="s">
        <v>5</v>
      </c>
      <c r="H313" s="98">
        <v>100</v>
      </c>
      <c r="I313" s="98">
        <v>300</v>
      </c>
      <c r="J313" s="98" t="s">
        <v>10</v>
      </c>
      <c r="K313" s="98">
        <v>54.13</v>
      </c>
      <c r="L313" s="98">
        <v>41367</v>
      </c>
      <c r="M313" s="98">
        <v>54.085999999999999</v>
      </c>
      <c r="N313" s="98">
        <v>41369</v>
      </c>
      <c r="O313" s="99" t="s">
        <v>2524</v>
      </c>
    </row>
    <row r="314" spans="1:15" x14ac:dyDescent="0.25">
      <c r="A314" s="98" t="s">
        <v>55</v>
      </c>
      <c r="B314" s="98" t="s">
        <v>8</v>
      </c>
      <c r="C314" s="98">
        <v>0</v>
      </c>
      <c r="D314" s="98">
        <v>0.01</v>
      </c>
      <c r="E314" s="98">
        <v>1E-4</v>
      </c>
      <c r="F314" s="98" t="s">
        <v>6</v>
      </c>
      <c r="G314" s="98" t="s">
        <v>5</v>
      </c>
      <c r="H314" s="98">
        <v>20</v>
      </c>
      <c r="I314" s="98">
        <v>50</v>
      </c>
      <c r="J314" s="98" t="s">
        <v>10</v>
      </c>
      <c r="K314" s="98">
        <v>58</v>
      </c>
      <c r="L314" s="98">
        <v>140.31</v>
      </c>
      <c r="M314" s="98">
        <v>57.994</v>
      </c>
      <c r="N314" s="98">
        <v>139.69999999999999</v>
      </c>
      <c r="O314" s="99" t="s">
        <v>1500</v>
      </c>
    </row>
    <row r="315" spans="1:15" x14ac:dyDescent="0.25">
      <c r="A315" s="98" t="s">
        <v>55</v>
      </c>
      <c r="B315" s="98" t="s">
        <v>8</v>
      </c>
      <c r="C315" s="98">
        <v>0</v>
      </c>
      <c r="D315" s="98">
        <v>0.01</v>
      </c>
      <c r="E315" s="98">
        <v>1E-3</v>
      </c>
      <c r="F315" s="98" t="s">
        <v>6</v>
      </c>
      <c r="G315" s="98" t="s">
        <v>5</v>
      </c>
      <c r="H315" s="98">
        <v>1E-3</v>
      </c>
      <c r="I315" s="98">
        <v>0.04</v>
      </c>
      <c r="J315" s="98" t="s">
        <v>10</v>
      </c>
      <c r="K315" s="98">
        <v>577.37</v>
      </c>
      <c r="L315" s="98">
        <v>3.4481000000000002</v>
      </c>
      <c r="M315" s="98">
        <v>577.37</v>
      </c>
      <c r="N315" s="98">
        <v>3.2223999999999999</v>
      </c>
      <c r="O315" s="99" t="s">
        <v>2527</v>
      </c>
    </row>
    <row r="316" spans="1:15" x14ac:dyDescent="0.25">
      <c r="A316" s="98" t="s">
        <v>55</v>
      </c>
      <c r="B316" s="98" t="s">
        <v>8</v>
      </c>
      <c r="C316" s="98">
        <v>0</v>
      </c>
      <c r="D316" s="98">
        <v>0.01</v>
      </c>
      <c r="E316" s="98">
        <v>1E-3</v>
      </c>
      <c r="F316" s="98" t="s">
        <v>6</v>
      </c>
      <c r="G316" s="98" t="s">
        <v>5</v>
      </c>
      <c r="H316" s="98">
        <v>20</v>
      </c>
      <c r="I316" s="98">
        <v>50</v>
      </c>
      <c r="J316" s="98" t="s">
        <v>10</v>
      </c>
      <c r="K316" s="98">
        <v>577.38</v>
      </c>
      <c r="L316" s="98">
        <v>14.459</v>
      </c>
      <c r="M316" s="98">
        <v>577.37</v>
      </c>
      <c r="N316" s="98">
        <v>14.2</v>
      </c>
      <c r="O316" s="99" t="s">
        <v>1509</v>
      </c>
    </row>
    <row r="317" spans="1:15" x14ac:dyDescent="0.25">
      <c r="A317" s="98" t="s">
        <v>55</v>
      </c>
      <c r="B317" s="98" t="s">
        <v>8</v>
      </c>
      <c r="C317" s="98">
        <v>0</v>
      </c>
      <c r="D317" s="98">
        <v>0.01</v>
      </c>
      <c r="E317" s="98">
        <v>1E-3</v>
      </c>
      <c r="F317" s="98" t="s">
        <v>6</v>
      </c>
      <c r="G317" s="98" t="s">
        <v>5</v>
      </c>
      <c r="H317" s="98">
        <v>0.04</v>
      </c>
      <c r="I317" s="98">
        <v>1</v>
      </c>
      <c r="J317" s="98" t="s">
        <v>10</v>
      </c>
      <c r="K317" s="98">
        <v>577.36</v>
      </c>
      <c r="L317" s="98">
        <v>1.2948</v>
      </c>
      <c r="M317" s="98">
        <v>577.36</v>
      </c>
      <c r="N317" s="98">
        <v>1.0690999999999999</v>
      </c>
      <c r="O317" s="99" t="s">
        <v>1504</v>
      </c>
    </row>
    <row r="318" spans="1:15" x14ac:dyDescent="0.25">
      <c r="A318" s="98" t="s">
        <v>55</v>
      </c>
      <c r="B318" s="98" t="s">
        <v>8</v>
      </c>
      <c r="C318" s="98">
        <v>0</v>
      </c>
      <c r="D318" s="98">
        <v>0.01</v>
      </c>
      <c r="E318" s="98">
        <v>1E-3</v>
      </c>
      <c r="F318" s="98" t="s">
        <v>6</v>
      </c>
      <c r="G318" s="98" t="s">
        <v>5</v>
      </c>
      <c r="H318" s="98">
        <v>300</v>
      </c>
      <c r="I318" s="98">
        <v>1000</v>
      </c>
      <c r="J318" s="98" t="s">
        <v>10</v>
      </c>
      <c r="K318" s="98">
        <v>575.97</v>
      </c>
      <c r="L318" s="98">
        <v>16722</v>
      </c>
      <c r="M318" s="98">
        <v>573.47</v>
      </c>
      <c r="N318" s="98">
        <v>16718</v>
      </c>
      <c r="O318" s="99" t="s">
        <v>1511</v>
      </c>
    </row>
    <row r="319" spans="1:15" x14ac:dyDescent="0.25">
      <c r="A319" s="98" t="s">
        <v>55</v>
      </c>
      <c r="B319" s="98" t="s">
        <v>8</v>
      </c>
      <c r="C319" s="98">
        <v>0</v>
      </c>
      <c r="D319" s="98">
        <v>0.01</v>
      </c>
      <c r="E319" s="98">
        <v>1E-3</v>
      </c>
      <c r="F319" s="98" t="s">
        <v>6</v>
      </c>
      <c r="G319" s="98" t="s">
        <v>5</v>
      </c>
      <c r="H319" s="98">
        <v>4000</v>
      </c>
      <c r="I319" s="98">
        <v>8000</v>
      </c>
      <c r="J319" s="98" t="s">
        <v>10</v>
      </c>
      <c r="K319" s="98">
        <v>561.69000000000005</v>
      </c>
      <c r="L319" s="98">
        <v>182820</v>
      </c>
      <c r="M319" s="98">
        <v>557.14</v>
      </c>
      <c r="N319" s="98">
        <v>182830</v>
      </c>
      <c r="O319" s="99" t="s">
        <v>1505</v>
      </c>
    </row>
    <row r="320" spans="1:15" x14ac:dyDescent="0.25">
      <c r="A320" s="98" t="s">
        <v>55</v>
      </c>
      <c r="B320" s="98" t="s">
        <v>8</v>
      </c>
      <c r="C320" s="98">
        <v>0</v>
      </c>
      <c r="D320" s="98">
        <v>0.01</v>
      </c>
      <c r="E320" s="98">
        <v>1E-3</v>
      </c>
      <c r="F320" s="98" t="s">
        <v>6</v>
      </c>
      <c r="G320" s="98" t="s">
        <v>5</v>
      </c>
      <c r="H320" s="98">
        <v>1000</v>
      </c>
      <c r="I320" s="98">
        <v>4000</v>
      </c>
      <c r="J320" s="98" t="s">
        <v>10</v>
      </c>
      <c r="K320" s="98">
        <v>573.98</v>
      </c>
      <c r="L320" s="98">
        <v>42637</v>
      </c>
      <c r="M320" s="98">
        <v>570.55999999999995</v>
      </c>
      <c r="N320" s="98">
        <v>42634</v>
      </c>
      <c r="O320" s="99" t="s">
        <v>1506</v>
      </c>
    </row>
    <row r="321" spans="1:15" x14ac:dyDescent="0.25">
      <c r="A321" s="98" t="s">
        <v>55</v>
      </c>
      <c r="B321" s="98" t="s">
        <v>8</v>
      </c>
      <c r="C321" s="98">
        <v>0</v>
      </c>
      <c r="D321" s="98">
        <v>0.01</v>
      </c>
      <c r="E321" s="98">
        <v>1E-3</v>
      </c>
      <c r="F321" s="98" t="s">
        <v>6</v>
      </c>
      <c r="G321" s="98" t="s">
        <v>5</v>
      </c>
      <c r="H321" s="98">
        <v>1</v>
      </c>
      <c r="I321" s="98">
        <v>20</v>
      </c>
      <c r="J321" s="98" t="s">
        <v>10</v>
      </c>
      <c r="K321" s="98">
        <v>577.36</v>
      </c>
      <c r="L321" s="98">
        <v>2.1354000000000002</v>
      </c>
      <c r="M321" s="98">
        <v>577.36</v>
      </c>
      <c r="N321" s="98">
        <v>1.9097</v>
      </c>
      <c r="O321" s="99" t="s">
        <v>1508</v>
      </c>
    </row>
    <row r="322" spans="1:15" x14ac:dyDescent="0.25">
      <c r="A322" s="98" t="s">
        <v>55</v>
      </c>
      <c r="B322" s="98" t="s">
        <v>8</v>
      </c>
      <c r="C322" s="98">
        <v>0</v>
      </c>
      <c r="D322" s="98">
        <v>0.01</v>
      </c>
      <c r="E322" s="98">
        <v>1E-3</v>
      </c>
      <c r="F322" s="98" t="s">
        <v>6</v>
      </c>
      <c r="G322" s="98" t="s">
        <v>5</v>
      </c>
      <c r="H322" s="98">
        <v>100</v>
      </c>
      <c r="I322" s="98">
        <v>300</v>
      </c>
      <c r="J322" s="98" t="s">
        <v>10</v>
      </c>
      <c r="K322" s="98">
        <v>575.77</v>
      </c>
      <c r="L322" s="98">
        <v>16511</v>
      </c>
      <c r="M322" s="98">
        <v>573.27</v>
      </c>
      <c r="N322" s="98">
        <v>16507</v>
      </c>
      <c r="O322" s="99" t="s">
        <v>1507</v>
      </c>
    </row>
    <row r="323" spans="1:15" x14ac:dyDescent="0.25">
      <c r="A323" s="98" t="s">
        <v>55</v>
      </c>
      <c r="B323" s="98" t="s">
        <v>8</v>
      </c>
      <c r="C323" s="98">
        <v>0</v>
      </c>
      <c r="D323" s="98">
        <v>0.01</v>
      </c>
      <c r="E323" s="98">
        <v>1E-3</v>
      </c>
      <c r="F323" s="98" t="s">
        <v>6</v>
      </c>
      <c r="G323" s="98" t="s">
        <v>5</v>
      </c>
      <c r="H323" s="98">
        <v>50</v>
      </c>
      <c r="I323" s="98">
        <v>100</v>
      </c>
      <c r="J323" s="98" t="s">
        <v>10</v>
      </c>
      <c r="K323" s="98">
        <v>577.4</v>
      </c>
      <c r="L323" s="98">
        <v>306.39</v>
      </c>
      <c r="M323" s="98">
        <v>577.16999999999996</v>
      </c>
      <c r="N323" s="98">
        <v>305.02</v>
      </c>
      <c r="O323" s="99" t="s">
        <v>1510</v>
      </c>
    </row>
    <row r="324" spans="1:15" x14ac:dyDescent="0.25">
      <c r="A324" s="98" t="s">
        <v>55</v>
      </c>
      <c r="B324" s="98" t="s">
        <v>8</v>
      </c>
      <c r="C324" s="98">
        <v>0</v>
      </c>
      <c r="D324" s="98">
        <v>0.01</v>
      </c>
      <c r="E324" s="98">
        <v>0.01</v>
      </c>
      <c r="F324" s="98" t="s">
        <v>6</v>
      </c>
      <c r="G324" s="98" t="s">
        <v>5</v>
      </c>
      <c r="H324" s="98">
        <v>1000</v>
      </c>
      <c r="I324" s="98">
        <v>4000</v>
      </c>
      <c r="J324" s="98" t="s">
        <v>10</v>
      </c>
      <c r="K324" s="98">
        <v>5773.1</v>
      </c>
      <c r="L324" s="98">
        <v>5803.4</v>
      </c>
      <c r="M324" s="98">
        <v>5766</v>
      </c>
      <c r="N324" s="98">
        <v>5798.9</v>
      </c>
      <c r="O324" s="99" t="s">
        <v>1513</v>
      </c>
    </row>
    <row r="325" spans="1:15" x14ac:dyDescent="0.25">
      <c r="A325" s="98" t="s">
        <v>55</v>
      </c>
      <c r="B325" s="98" t="s">
        <v>8</v>
      </c>
      <c r="C325" s="98">
        <v>0</v>
      </c>
      <c r="D325" s="98">
        <v>0.01</v>
      </c>
      <c r="E325" s="98">
        <v>0.01</v>
      </c>
      <c r="F325" s="98" t="s">
        <v>6</v>
      </c>
      <c r="G325" s="98" t="s">
        <v>5</v>
      </c>
      <c r="H325" s="98">
        <v>4000</v>
      </c>
      <c r="I325" s="98">
        <v>8000</v>
      </c>
      <c r="J325" s="98" t="s">
        <v>10</v>
      </c>
      <c r="K325" s="98">
        <v>5769.3</v>
      </c>
      <c r="L325" s="98">
        <v>45269</v>
      </c>
      <c r="M325" s="98">
        <v>5751.2</v>
      </c>
      <c r="N325" s="98">
        <v>45261</v>
      </c>
      <c r="O325" s="99" t="s">
        <v>1512</v>
      </c>
    </row>
    <row r="326" spans="1:15" x14ac:dyDescent="0.25">
      <c r="A326" s="98" t="s">
        <v>55</v>
      </c>
      <c r="B326" s="98" t="s">
        <v>8</v>
      </c>
      <c r="C326" s="98">
        <v>0</v>
      </c>
      <c r="D326" s="98">
        <v>0.01</v>
      </c>
      <c r="E326" s="98">
        <v>0.1</v>
      </c>
      <c r="F326" s="98" t="s">
        <v>6</v>
      </c>
      <c r="G326" s="98" t="s">
        <v>5</v>
      </c>
      <c r="H326" s="98">
        <v>1000</v>
      </c>
      <c r="I326" s="98">
        <v>4000</v>
      </c>
      <c r="J326" s="98" t="s">
        <v>10</v>
      </c>
      <c r="K326" s="98">
        <v>57735</v>
      </c>
      <c r="L326" s="98">
        <v>584.6</v>
      </c>
      <c r="M326" s="98">
        <v>57728</v>
      </c>
      <c r="N326" s="98">
        <v>582.75</v>
      </c>
      <c r="O326" s="99" t="s">
        <v>1514</v>
      </c>
    </row>
    <row r="327" spans="1:15" x14ac:dyDescent="0.25">
      <c r="A327" s="98" t="s">
        <v>55</v>
      </c>
      <c r="B327" s="98" t="s">
        <v>8</v>
      </c>
      <c r="C327" s="98">
        <v>0</v>
      </c>
      <c r="D327" s="98">
        <v>0.01</v>
      </c>
      <c r="E327" s="98">
        <v>0.1</v>
      </c>
      <c r="F327" s="98" t="s">
        <v>6</v>
      </c>
      <c r="G327" s="98" t="s">
        <v>5</v>
      </c>
      <c r="H327" s="98">
        <v>4000</v>
      </c>
      <c r="I327" s="98">
        <v>8000</v>
      </c>
      <c r="J327" s="98" t="s">
        <v>10</v>
      </c>
      <c r="K327" s="98">
        <v>57735</v>
      </c>
      <c r="L327" s="98">
        <v>4703.5</v>
      </c>
      <c r="M327" s="98">
        <v>57713</v>
      </c>
      <c r="N327" s="98">
        <v>4700</v>
      </c>
      <c r="O327" s="99" t="s">
        <v>2528</v>
      </c>
    </row>
    <row r="328" spans="1:15" x14ac:dyDescent="0.25">
      <c r="A328" s="98" t="s">
        <v>55</v>
      </c>
      <c r="B328" s="98" t="s">
        <v>8</v>
      </c>
      <c r="C328" s="98">
        <v>0</v>
      </c>
      <c r="D328" s="98">
        <v>0.01</v>
      </c>
      <c r="E328" s="98">
        <v>1</v>
      </c>
      <c r="F328" s="98" t="s">
        <v>6</v>
      </c>
      <c r="G328" s="98" t="s">
        <v>5</v>
      </c>
      <c r="H328" s="98">
        <v>1000</v>
      </c>
      <c r="I328" s="98">
        <v>4000</v>
      </c>
      <c r="J328" s="98" t="s">
        <v>10</v>
      </c>
      <c r="K328" s="98">
        <v>577360</v>
      </c>
      <c r="L328" s="98">
        <v>59.02</v>
      </c>
      <c r="M328" s="98">
        <v>577350</v>
      </c>
      <c r="N328" s="98">
        <v>58.277999999999999</v>
      </c>
      <c r="O328" s="99" t="s">
        <v>1515</v>
      </c>
    </row>
    <row r="329" spans="1:15" x14ac:dyDescent="0.25">
      <c r="A329" s="98" t="s">
        <v>55</v>
      </c>
      <c r="B329" s="98" t="s">
        <v>8</v>
      </c>
      <c r="C329" s="98">
        <v>0</v>
      </c>
      <c r="D329" s="98">
        <v>0.01</v>
      </c>
      <c r="E329" s="98">
        <v>1</v>
      </c>
      <c r="F329" s="98" t="s">
        <v>6</v>
      </c>
      <c r="G329" s="98" t="s">
        <v>5</v>
      </c>
      <c r="H329" s="98">
        <v>4000</v>
      </c>
      <c r="I329" s="98">
        <v>8000</v>
      </c>
      <c r="J329" s="98" t="s">
        <v>10</v>
      </c>
      <c r="K329" s="98">
        <v>577360</v>
      </c>
      <c r="L329" s="98">
        <v>471.57</v>
      </c>
      <c r="M329" s="98">
        <v>577330</v>
      </c>
      <c r="N329" s="98">
        <v>470.19</v>
      </c>
      <c r="O329" s="99" t="s">
        <v>1516</v>
      </c>
    </row>
    <row r="330" spans="1:15" x14ac:dyDescent="0.25">
      <c r="A330" s="98" t="s">
        <v>55</v>
      </c>
      <c r="B330" s="98" t="s">
        <v>8</v>
      </c>
      <c r="C330" s="98">
        <v>0.01</v>
      </c>
      <c r="D330" s="98">
        <v>0.1</v>
      </c>
      <c r="E330" s="98">
        <v>1E-8</v>
      </c>
      <c r="F330" s="98" t="s">
        <v>6</v>
      </c>
      <c r="G330" s="98" t="s">
        <v>5</v>
      </c>
      <c r="H330" s="98">
        <v>0.04</v>
      </c>
      <c r="I330" s="98">
        <v>1</v>
      </c>
      <c r="J330" s="98" t="s">
        <v>10</v>
      </c>
      <c r="K330" s="98">
        <v>3.5</v>
      </c>
      <c r="L330" s="98">
        <v>81</v>
      </c>
      <c r="M330" s="98">
        <v>3.4428999999999998</v>
      </c>
      <c r="N330" s="98">
        <v>80.683999999999997</v>
      </c>
      <c r="O330" s="99" t="s">
        <v>2530</v>
      </c>
    </row>
    <row r="331" spans="1:15" x14ac:dyDescent="0.25">
      <c r="A331" s="98" t="s">
        <v>55</v>
      </c>
      <c r="B331" s="98" t="s">
        <v>8</v>
      </c>
      <c r="C331" s="98">
        <v>0.01</v>
      </c>
      <c r="D331" s="98">
        <v>0.1</v>
      </c>
      <c r="E331" s="98">
        <v>1E-8</v>
      </c>
      <c r="F331" s="98" t="s">
        <v>6</v>
      </c>
      <c r="G331" s="98" t="s">
        <v>5</v>
      </c>
      <c r="H331" s="98">
        <v>50</v>
      </c>
      <c r="I331" s="98">
        <v>100</v>
      </c>
      <c r="J331" s="98" t="s">
        <v>10</v>
      </c>
      <c r="K331" s="98">
        <v>6</v>
      </c>
      <c r="L331" s="98">
        <v>910</v>
      </c>
      <c r="M331" s="98">
        <v>5.9729000000000001</v>
      </c>
      <c r="N331" s="98">
        <v>906.03</v>
      </c>
      <c r="O331" s="99" t="s">
        <v>1521</v>
      </c>
    </row>
    <row r="332" spans="1:15" x14ac:dyDescent="0.25">
      <c r="A332" s="98" t="s">
        <v>55</v>
      </c>
      <c r="B332" s="98" t="s">
        <v>8</v>
      </c>
      <c r="C332" s="98">
        <v>0.01</v>
      </c>
      <c r="D332" s="98">
        <v>0.1</v>
      </c>
      <c r="E332" s="98">
        <v>1E-8</v>
      </c>
      <c r="F332" s="98" t="s">
        <v>6</v>
      </c>
      <c r="G332" s="98" t="s">
        <v>5</v>
      </c>
      <c r="H332" s="98">
        <v>1000</v>
      </c>
      <c r="I332" s="98">
        <v>2000</v>
      </c>
      <c r="J332" s="98" t="s">
        <v>10</v>
      </c>
      <c r="K332" s="98">
        <v>53</v>
      </c>
      <c r="L332" s="98">
        <v>17000</v>
      </c>
      <c r="M332" s="98">
        <v>11.488</v>
      </c>
      <c r="N332" s="98">
        <v>17414</v>
      </c>
      <c r="O332" s="99" t="s">
        <v>1523</v>
      </c>
    </row>
    <row r="333" spans="1:15" x14ac:dyDescent="0.25">
      <c r="A333" s="98" t="s">
        <v>55</v>
      </c>
      <c r="B333" s="98" t="s">
        <v>8</v>
      </c>
      <c r="C333" s="98">
        <v>0.01</v>
      </c>
      <c r="D333" s="98">
        <v>0.1</v>
      </c>
      <c r="E333" s="98">
        <v>1E-8</v>
      </c>
      <c r="F333" s="98" t="s">
        <v>6</v>
      </c>
      <c r="G333" s="98" t="s">
        <v>5</v>
      </c>
      <c r="H333" s="98">
        <v>100</v>
      </c>
      <c r="I333" s="98">
        <v>300</v>
      </c>
      <c r="J333" s="98" t="s">
        <v>10</v>
      </c>
      <c r="K333" s="98">
        <v>12</v>
      </c>
      <c r="L333" s="98">
        <v>3500</v>
      </c>
      <c r="M333" s="98">
        <v>11.521000000000001</v>
      </c>
      <c r="N333" s="98">
        <v>3476.1</v>
      </c>
      <c r="O333" s="99" t="s">
        <v>2529</v>
      </c>
    </row>
    <row r="334" spans="1:15" x14ac:dyDescent="0.25">
      <c r="A334" s="98" t="s">
        <v>55</v>
      </c>
      <c r="B334" s="98" t="s">
        <v>8</v>
      </c>
      <c r="C334" s="98">
        <v>0.01</v>
      </c>
      <c r="D334" s="98">
        <v>0.1</v>
      </c>
      <c r="E334" s="98">
        <v>1E-8</v>
      </c>
      <c r="F334" s="98" t="s">
        <v>6</v>
      </c>
      <c r="G334" s="98" t="s">
        <v>5</v>
      </c>
      <c r="H334" s="98">
        <v>2000</v>
      </c>
      <c r="I334" s="98">
        <v>4000</v>
      </c>
      <c r="J334" s="98" t="s">
        <v>10</v>
      </c>
      <c r="K334" s="98">
        <v>110</v>
      </c>
      <c r="L334" s="98">
        <v>46000</v>
      </c>
      <c r="M334" s="98">
        <v>80.778000000000006</v>
      </c>
      <c r="N334" s="98">
        <v>46223</v>
      </c>
      <c r="O334" s="99" t="s">
        <v>1518</v>
      </c>
    </row>
    <row r="335" spans="1:15" x14ac:dyDescent="0.25">
      <c r="A335" s="98" t="s">
        <v>55</v>
      </c>
      <c r="B335" s="98" t="s">
        <v>8</v>
      </c>
      <c r="C335" s="98">
        <v>0.01</v>
      </c>
      <c r="D335" s="98">
        <v>0.1</v>
      </c>
      <c r="E335" s="98">
        <v>1E-8</v>
      </c>
      <c r="F335" s="98" t="s">
        <v>6</v>
      </c>
      <c r="G335" s="98" t="s">
        <v>5</v>
      </c>
      <c r="H335" s="98">
        <v>8000</v>
      </c>
      <c r="I335" s="98">
        <v>10000</v>
      </c>
      <c r="J335" s="98" t="s">
        <v>10</v>
      </c>
      <c r="K335" s="98">
        <v>450</v>
      </c>
      <c r="L335" s="98">
        <v>170000</v>
      </c>
      <c r="M335" s="98">
        <v>115.4</v>
      </c>
      <c r="N335" s="98">
        <v>173280</v>
      </c>
      <c r="O335" s="99" t="s">
        <v>1520</v>
      </c>
    </row>
    <row r="336" spans="1:15" x14ac:dyDescent="0.25">
      <c r="A336" s="98" t="s">
        <v>55</v>
      </c>
      <c r="B336" s="98" t="s">
        <v>8</v>
      </c>
      <c r="C336" s="98">
        <v>0.01</v>
      </c>
      <c r="D336" s="98">
        <v>0.1</v>
      </c>
      <c r="E336" s="98">
        <v>1E-8</v>
      </c>
      <c r="F336" s="98" t="s">
        <v>6</v>
      </c>
      <c r="G336" s="98" t="s">
        <v>5</v>
      </c>
      <c r="H336" s="98">
        <v>1</v>
      </c>
      <c r="I336" s="98">
        <v>20</v>
      </c>
      <c r="J336" s="98" t="s">
        <v>10</v>
      </c>
      <c r="K336" s="98">
        <v>3.4</v>
      </c>
      <c r="L336" s="98">
        <v>160</v>
      </c>
      <c r="M336" s="98">
        <v>3.3551000000000002</v>
      </c>
      <c r="N336" s="98">
        <v>157.72</v>
      </c>
      <c r="O336" s="99" t="s">
        <v>2531</v>
      </c>
    </row>
    <row r="337" spans="1:15" x14ac:dyDescent="0.25">
      <c r="A337" s="98" t="s">
        <v>55</v>
      </c>
      <c r="B337" s="98" t="s">
        <v>8</v>
      </c>
      <c r="C337" s="98">
        <v>0.01</v>
      </c>
      <c r="D337" s="98">
        <v>0.1</v>
      </c>
      <c r="E337" s="98">
        <v>1E-8</v>
      </c>
      <c r="F337" s="98" t="s">
        <v>6</v>
      </c>
      <c r="G337" s="98" t="s">
        <v>5</v>
      </c>
      <c r="H337" s="98">
        <v>300</v>
      </c>
      <c r="I337" s="98">
        <v>1000</v>
      </c>
      <c r="J337" s="98" t="s">
        <v>10</v>
      </c>
      <c r="K337" s="98">
        <v>12</v>
      </c>
      <c r="L337" s="98">
        <v>12000</v>
      </c>
      <c r="M337" s="98">
        <v>11.521000000000001</v>
      </c>
      <c r="N337" s="98">
        <v>11631</v>
      </c>
      <c r="O337" s="99" t="s">
        <v>1522</v>
      </c>
    </row>
    <row r="338" spans="1:15" x14ac:dyDescent="0.25">
      <c r="A338" s="98" t="s">
        <v>55</v>
      </c>
      <c r="B338" s="98" t="s">
        <v>8</v>
      </c>
      <c r="C338" s="98">
        <v>0.01</v>
      </c>
      <c r="D338" s="98">
        <v>0.1</v>
      </c>
      <c r="E338" s="98">
        <v>1E-8</v>
      </c>
      <c r="F338" s="98" t="s">
        <v>6</v>
      </c>
      <c r="G338" s="98" t="s">
        <v>5</v>
      </c>
      <c r="H338" s="98">
        <v>1E-3</v>
      </c>
      <c r="I338" s="98">
        <v>0.04</v>
      </c>
      <c r="J338" s="98" t="s">
        <v>10</v>
      </c>
      <c r="K338" s="98">
        <v>5.4</v>
      </c>
      <c r="L338" s="98">
        <v>83</v>
      </c>
      <c r="M338" s="98">
        <v>5.3159999999999998</v>
      </c>
      <c r="N338" s="98">
        <v>83.165000000000006</v>
      </c>
      <c r="O338" s="99" t="s">
        <v>1519</v>
      </c>
    </row>
    <row r="339" spans="1:15" x14ac:dyDescent="0.25">
      <c r="A339" s="98" t="s">
        <v>55</v>
      </c>
      <c r="B339" s="98" t="s">
        <v>8</v>
      </c>
      <c r="C339" s="98">
        <v>0.01</v>
      </c>
      <c r="D339" s="98">
        <v>0.1</v>
      </c>
      <c r="E339" s="98">
        <v>1E-8</v>
      </c>
      <c r="F339" s="98" t="s">
        <v>6</v>
      </c>
      <c r="G339" s="98" t="s">
        <v>5</v>
      </c>
      <c r="H339" s="98">
        <v>20</v>
      </c>
      <c r="I339" s="98">
        <v>50</v>
      </c>
      <c r="J339" s="98" t="s">
        <v>10</v>
      </c>
      <c r="K339" s="98">
        <v>4.7</v>
      </c>
      <c r="L339" s="98">
        <v>330</v>
      </c>
      <c r="M339" s="98">
        <v>4.6688000000000001</v>
      </c>
      <c r="N339" s="98">
        <v>326.81</v>
      </c>
      <c r="O339" s="99" t="s">
        <v>1524</v>
      </c>
    </row>
    <row r="340" spans="1:15" x14ac:dyDescent="0.25">
      <c r="A340" s="98" t="s">
        <v>55</v>
      </c>
      <c r="B340" s="98" t="s">
        <v>8</v>
      </c>
      <c r="C340" s="98">
        <v>0.01</v>
      </c>
      <c r="D340" s="98">
        <v>0.1</v>
      </c>
      <c r="E340" s="98">
        <v>1E-8</v>
      </c>
      <c r="F340" s="98" t="s">
        <v>6</v>
      </c>
      <c r="G340" s="98" t="s">
        <v>5</v>
      </c>
      <c r="H340" s="98">
        <v>4000</v>
      </c>
      <c r="I340" s="98">
        <v>8000</v>
      </c>
      <c r="J340" s="98" t="s">
        <v>10</v>
      </c>
      <c r="K340" s="98">
        <v>120</v>
      </c>
      <c r="L340" s="98">
        <v>46000</v>
      </c>
      <c r="M340" s="98">
        <v>92.256</v>
      </c>
      <c r="N340" s="98">
        <v>46261</v>
      </c>
      <c r="O340" s="99" t="s">
        <v>1517</v>
      </c>
    </row>
    <row r="341" spans="1:15" x14ac:dyDescent="0.25">
      <c r="A341" s="98" t="s">
        <v>55</v>
      </c>
      <c r="B341" s="98" t="s">
        <v>8</v>
      </c>
      <c r="C341" s="98">
        <v>0.01</v>
      </c>
      <c r="D341" s="98">
        <v>0.1</v>
      </c>
      <c r="E341" s="98">
        <v>9.9999999999999995E-8</v>
      </c>
      <c r="F341" s="98" t="s">
        <v>6</v>
      </c>
      <c r="G341" s="98" t="s">
        <v>5</v>
      </c>
      <c r="H341" s="98">
        <v>1E-3</v>
      </c>
      <c r="I341" s="98">
        <v>0.04</v>
      </c>
      <c r="J341" s="98" t="s">
        <v>10</v>
      </c>
      <c r="K341" s="98">
        <v>5.4</v>
      </c>
      <c r="L341" s="98">
        <v>83.165999999999997</v>
      </c>
      <c r="M341" s="98">
        <v>5.3163</v>
      </c>
      <c r="N341" s="98">
        <v>83.162999999999997</v>
      </c>
      <c r="O341" s="99" t="s">
        <v>1525</v>
      </c>
    </row>
    <row r="342" spans="1:15" x14ac:dyDescent="0.25">
      <c r="A342" s="98" t="s">
        <v>55</v>
      </c>
      <c r="B342" s="98" t="s">
        <v>8</v>
      </c>
      <c r="C342" s="98">
        <v>0.01</v>
      </c>
      <c r="D342" s="98">
        <v>0.1</v>
      </c>
      <c r="E342" s="98">
        <v>9.9999999999999995E-8</v>
      </c>
      <c r="F342" s="98" t="s">
        <v>6</v>
      </c>
      <c r="G342" s="98" t="s">
        <v>5</v>
      </c>
      <c r="H342" s="98">
        <v>1000</v>
      </c>
      <c r="I342" s="98">
        <v>2000</v>
      </c>
      <c r="J342" s="98" t="s">
        <v>10</v>
      </c>
      <c r="K342" s="98">
        <v>53</v>
      </c>
      <c r="L342" s="98">
        <v>17054</v>
      </c>
      <c r="M342" s="98">
        <v>11.488</v>
      </c>
      <c r="N342" s="98">
        <v>17414</v>
      </c>
      <c r="O342" s="99" t="s">
        <v>1534</v>
      </c>
    </row>
    <row r="343" spans="1:15" x14ac:dyDescent="0.25">
      <c r="A343" s="98" t="s">
        <v>55</v>
      </c>
      <c r="B343" s="98" t="s">
        <v>8</v>
      </c>
      <c r="C343" s="98">
        <v>0.01</v>
      </c>
      <c r="D343" s="98">
        <v>0.1</v>
      </c>
      <c r="E343" s="98">
        <v>9.9999999999999995E-8</v>
      </c>
      <c r="F343" s="98" t="s">
        <v>6</v>
      </c>
      <c r="G343" s="98" t="s">
        <v>5</v>
      </c>
      <c r="H343" s="98">
        <v>4000</v>
      </c>
      <c r="I343" s="98">
        <v>8000</v>
      </c>
      <c r="J343" s="98" t="s">
        <v>10</v>
      </c>
      <c r="K343" s="98">
        <v>120</v>
      </c>
      <c r="L343" s="98">
        <v>46000</v>
      </c>
      <c r="M343" s="98">
        <v>92.256</v>
      </c>
      <c r="N343" s="98">
        <v>46261</v>
      </c>
      <c r="O343" s="99" t="s">
        <v>1533</v>
      </c>
    </row>
    <row r="344" spans="1:15" x14ac:dyDescent="0.25">
      <c r="A344" s="98" t="s">
        <v>55</v>
      </c>
      <c r="B344" s="98" t="s">
        <v>8</v>
      </c>
      <c r="C344" s="98">
        <v>0.01</v>
      </c>
      <c r="D344" s="98">
        <v>0.1</v>
      </c>
      <c r="E344" s="98">
        <v>9.9999999999999995E-8</v>
      </c>
      <c r="F344" s="98" t="s">
        <v>6</v>
      </c>
      <c r="G344" s="98" t="s">
        <v>5</v>
      </c>
      <c r="H344" s="98">
        <v>300</v>
      </c>
      <c r="I344" s="98">
        <v>1000</v>
      </c>
      <c r="J344" s="98" t="s">
        <v>10</v>
      </c>
      <c r="K344" s="98">
        <v>12</v>
      </c>
      <c r="L344" s="98">
        <v>12000</v>
      </c>
      <c r="M344" s="98">
        <v>11.521000000000001</v>
      </c>
      <c r="N344" s="98">
        <v>11631</v>
      </c>
      <c r="O344" s="99" t="s">
        <v>1532</v>
      </c>
    </row>
    <row r="345" spans="1:15" x14ac:dyDescent="0.25">
      <c r="A345" s="98" t="s">
        <v>55</v>
      </c>
      <c r="B345" s="98" t="s">
        <v>8</v>
      </c>
      <c r="C345" s="98">
        <v>0.01</v>
      </c>
      <c r="D345" s="98">
        <v>0.1</v>
      </c>
      <c r="E345" s="98">
        <v>9.9999999999999995E-8</v>
      </c>
      <c r="F345" s="98" t="s">
        <v>6</v>
      </c>
      <c r="G345" s="98" t="s">
        <v>5</v>
      </c>
      <c r="H345" s="98">
        <v>2000</v>
      </c>
      <c r="I345" s="98">
        <v>4000</v>
      </c>
      <c r="J345" s="98" t="s">
        <v>10</v>
      </c>
      <c r="K345" s="98">
        <v>110</v>
      </c>
      <c r="L345" s="98">
        <v>46000</v>
      </c>
      <c r="M345" s="98">
        <v>80.778000000000006</v>
      </c>
      <c r="N345" s="98">
        <v>46223</v>
      </c>
      <c r="O345" s="99" t="s">
        <v>1528</v>
      </c>
    </row>
    <row r="346" spans="1:15" x14ac:dyDescent="0.25">
      <c r="A346" s="98" t="s">
        <v>55</v>
      </c>
      <c r="B346" s="98" t="s">
        <v>8</v>
      </c>
      <c r="C346" s="98">
        <v>0.01</v>
      </c>
      <c r="D346" s="98">
        <v>0.1</v>
      </c>
      <c r="E346" s="98">
        <v>9.9999999999999995E-8</v>
      </c>
      <c r="F346" s="98" t="s">
        <v>6</v>
      </c>
      <c r="G346" s="98" t="s">
        <v>5</v>
      </c>
      <c r="H346" s="98">
        <v>50</v>
      </c>
      <c r="I346" s="98">
        <v>100</v>
      </c>
      <c r="J346" s="98" t="s">
        <v>10</v>
      </c>
      <c r="K346" s="98">
        <v>6</v>
      </c>
      <c r="L346" s="98">
        <v>906.02</v>
      </c>
      <c r="M346" s="98">
        <v>5.9729999999999999</v>
      </c>
      <c r="N346" s="98">
        <v>906.03</v>
      </c>
      <c r="O346" s="99" t="s">
        <v>1531</v>
      </c>
    </row>
    <row r="347" spans="1:15" x14ac:dyDescent="0.25">
      <c r="A347" s="98" t="s">
        <v>55</v>
      </c>
      <c r="B347" s="98" t="s">
        <v>8</v>
      </c>
      <c r="C347" s="98">
        <v>0.01</v>
      </c>
      <c r="D347" s="98">
        <v>0.1</v>
      </c>
      <c r="E347" s="98">
        <v>9.9999999999999995E-8</v>
      </c>
      <c r="F347" s="98" t="s">
        <v>6</v>
      </c>
      <c r="G347" s="98" t="s">
        <v>5</v>
      </c>
      <c r="H347" s="98">
        <v>0.04</v>
      </c>
      <c r="I347" s="98">
        <v>1</v>
      </c>
      <c r="J347" s="98" t="s">
        <v>10</v>
      </c>
      <c r="K347" s="98">
        <v>3.5</v>
      </c>
      <c r="L347" s="98">
        <v>80.683999999999997</v>
      </c>
      <c r="M347" s="98">
        <v>3.4434</v>
      </c>
      <c r="N347" s="98">
        <v>80.682000000000002</v>
      </c>
      <c r="O347" s="99" t="s">
        <v>1527</v>
      </c>
    </row>
    <row r="348" spans="1:15" x14ac:dyDescent="0.25">
      <c r="A348" s="98" t="s">
        <v>55</v>
      </c>
      <c r="B348" s="98" t="s">
        <v>8</v>
      </c>
      <c r="C348" s="98">
        <v>0.01</v>
      </c>
      <c r="D348" s="98">
        <v>0.1</v>
      </c>
      <c r="E348" s="98">
        <v>9.9999999999999995E-8</v>
      </c>
      <c r="F348" s="98" t="s">
        <v>6</v>
      </c>
      <c r="G348" s="98" t="s">
        <v>5</v>
      </c>
      <c r="H348" s="98">
        <v>8000</v>
      </c>
      <c r="I348" s="98">
        <v>10000</v>
      </c>
      <c r="J348" s="98" t="s">
        <v>10</v>
      </c>
      <c r="K348" s="98">
        <v>450</v>
      </c>
      <c r="L348" s="98">
        <v>170030</v>
      </c>
      <c r="M348" s="98">
        <v>115.4</v>
      </c>
      <c r="N348" s="98">
        <v>173280</v>
      </c>
      <c r="O348" s="99" t="s">
        <v>1530</v>
      </c>
    </row>
    <row r="349" spans="1:15" x14ac:dyDescent="0.25">
      <c r="A349" s="98" t="s">
        <v>55</v>
      </c>
      <c r="B349" s="98" t="s">
        <v>8</v>
      </c>
      <c r="C349" s="98">
        <v>0.01</v>
      </c>
      <c r="D349" s="98">
        <v>0.1</v>
      </c>
      <c r="E349" s="98">
        <v>9.9999999999999995E-8</v>
      </c>
      <c r="F349" s="98" t="s">
        <v>6</v>
      </c>
      <c r="G349" s="98" t="s">
        <v>5</v>
      </c>
      <c r="H349" s="98">
        <v>20</v>
      </c>
      <c r="I349" s="98">
        <v>50</v>
      </c>
      <c r="J349" s="98" t="s">
        <v>10</v>
      </c>
      <c r="K349" s="98">
        <v>4.7</v>
      </c>
      <c r="L349" s="98">
        <v>327.36</v>
      </c>
      <c r="M349" s="98">
        <v>4.6691000000000003</v>
      </c>
      <c r="N349" s="98">
        <v>326.81</v>
      </c>
      <c r="O349" s="99" t="s">
        <v>1526</v>
      </c>
    </row>
    <row r="350" spans="1:15" x14ac:dyDescent="0.25">
      <c r="A350" s="98" t="s">
        <v>55</v>
      </c>
      <c r="B350" s="98" t="s">
        <v>8</v>
      </c>
      <c r="C350" s="98">
        <v>0.01</v>
      </c>
      <c r="D350" s="98">
        <v>0.1</v>
      </c>
      <c r="E350" s="98">
        <v>9.9999999999999995E-8</v>
      </c>
      <c r="F350" s="98" t="s">
        <v>6</v>
      </c>
      <c r="G350" s="98" t="s">
        <v>5</v>
      </c>
      <c r="H350" s="98">
        <v>1</v>
      </c>
      <c r="I350" s="98">
        <v>20</v>
      </c>
      <c r="J350" s="98" t="s">
        <v>10</v>
      </c>
      <c r="K350" s="98">
        <v>3.4</v>
      </c>
      <c r="L350" s="98">
        <v>157.72</v>
      </c>
      <c r="M350" s="98">
        <v>3.3552</v>
      </c>
      <c r="N350" s="98">
        <v>157.72</v>
      </c>
      <c r="O350" s="99" t="s">
        <v>1529</v>
      </c>
    </row>
    <row r="351" spans="1:15" x14ac:dyDescent="0.25">
      <c r="A351" s="98" t="s">
        <v>55</v>
      </c>
      <c r="B351" s="98" t="s">
        <v>8</v>
      </c>
      <c r="C351" s="98">
        <v>0.01</v>
      </c>
      <c r="D351" s="98">
        <v>0.1</v>
      </c>
      <c r="E351" s="98">
        <v>9.9999999999999995E-8</v>
      </c>
      <c r="F351" s="98" t="s">
        <v>6</v>
      </c>
      <c r="G351" s="98" t="s">
        <v>5</v>
      </c>
      <c r="H351" s="98">
        <v>100</v>
      </c>
      <c r="I351" s="98">
        <v>300</v>
      </c>
      <c r="J351" s="98" t="s">
        <v>10</v>
      </c>
      <c r="K351" s="98">
        <v>12</v>
      </c>
      <c r="L351" s="98">
        <v>3500</v>
      </c>
      <c r="M351" s="98">
        <v>11.521000000000001</v>
      </c>
      <c r="N351" s="98">
        <v>3476.1</v>
      </c>
      <c r="O351" s="99" t="s">
        <v>2532</v>
      </c>
    </row>
    <row r="352" spans="1:15" x14ac:dyDescent="0.25">
      <c r="A352" s="98" t="s">
        <v>55</v>
      </c>
      <c r="B352" s="98" t="s">
        <v>8</v>
      </c>
      <c r="C352" s="98">
        <v>0.01</v>
      </c>
      <c r="D352" s="98">
        <v>0.1</v>
      </c>
      <c r="E352" s="98">
        <v>9.9999999999999995E-7</v>
      </c>
      <c r="F352" s="98" t="s">
        <v>6</v>
      </c>
      <c r="G352" s="98" t="s">
        <v>5</v>
      </c>
      <c r="H352" s="98">
        <v>1E-3</v>
      </c>
      <c r="I352" s="98">
        <v>0.04</v>
      </c>
      <c r="J352" s="98" t="s">
        <v>10</v>
      </c>
      <c r="K352" s="98">
        <v>5.4</v>
      </c>
      <c r="L352" s="98">
        <v>83.01</v>
      </c>
      <c r="M352" s="98">
        <v>5.3446999999999996</v>
      </c>
      <c r="N352" s="98">
        <v>83</v>
      </c>
      <c r="O352" s="99" t="s">
        <v>1536</v>
      </c>
    </row>
    <row r="353" spans="1:15" x14ac:dyDescent="0.25">
      <c r="A353" s="98" t="s">
        <v>55</v>
      </c>
      <c r="B353" s="98" t="s">
        <v>8</v>
      </c>
      <c r="C353" s="98">
        <v>0.01</v>
      </c>
      <c r="D353" s="98">
        <v>0.1</v>
      </c>
      <c r="E353" s="98">
        <v>9.9999999999999995E-7</v>
      </c>
      <c r="F353" s="98" t="s">
        <v>6</v>
      </c>
      <c r="G353" s="98" t="s">
        <v>5</v>
      </c>
      <c r="H353" s="98">
        <v>50</v>
      </c>
      <c r="I353" s="98">
        <v>100</v>
      </c>
      <c r="J353" s="98" t="s">
        <v>10</v>
      </c>
      <c r="K353" s="98">
        <v>6</v>
      </c>
      <c r="L353" s="98">
        <v>905.89</v>
      </c>
      <c r="M353" s="98">
        <v>5.9854000000000003</v>
      </c>
      <c r="N353" s="98">
        <v>905.92</v>
      </c>
      <c r="O353" s="99" t="s">
        <v>2534</v>
      </c>
    </row>
    <row r="354" spans="1:15" x14ac:dyDescent="0.25">
      <c r="A354" s="98" t="s">
        <v>55</v>
      </c>
      <c r="B354" s="98" t="s">
        <v>8</v>
      </c>
      <c r="C354" s="98">
        <v>0.01</v>
      </c>
      <c r="D354" s="98">
        <v>0.1</v>
      </c>
      <c r="E354" s="98">
        <v>9.9999999999999995E-7</v>
      </c>
      <c r="F354" s="98" t="s">
        <v>6</v>
      </c>
      <c r="G354" s="98" t="s">
        <v>5</v>
      </c>
      <c r="H354" s="98">
        <v>300</v>
      </c>
      <c r="I354" s="98">
        <v>1000</v>
      </c>
      <c r="J354" s="98" t="s">
        <v>10</v>
      </c>
      <c r="K354" s="98">
        <v>12</v>
      </c>
      <c r="L354" s="98">
        <v>12000</v>
      </c>
      <c r="M354" s="98">
        <v>11.521000000000001</v>
      </c>
      <c r="N354" s="98">
        <v>11631</v>
      </c>
      <c r="O354" s="99" t="s">
        <v>1539</v>
      </c>
    </row>
    <row r="355" spans="1:15" x14ac:dyDescent="0.25">
      <c r="A355" s="98" t="s">
        <v>55</v>
      </c>
      <c r="B355" s="98" t="s">
        <v>8</v>
      </c>
      <c r="C355" s="98">
        <v>0.01</v>
      </c>
      <c r="D355" s="98">
        <v>0.1</v>
      </c>
      <c r="E355" s="98">
        <v>9.9999999999999995E-7</v>
      </c>
      <c r="F355" s="98" t="s">
        <v>6</v>
      </c>
      <c r="G355" s="98" t="s">
        <v>5</v>
      </c>
      <c r="H355" s="98">
        <v>8000</v>
      </c>
      <c r="I355" s="98">
        <v>10000</v>
      </c>
      <c r="J355" s="98" t="s">
        <v>10</v>
      </c>
      <c r="K355" s="98">
        <v>450</v>
      </c>
      <c r="L355" s="98">
        <v>170040</v>
      </c>
      <c r="M355" s="98">
        <v>115.4</v>
      </c>
      <c r="N355" s="98">
        <v>173280</v>
      </c>
      <c r="O355" s="99" t="s">
        <v>1538</v>
      </c>
    </row>
    <row r="356" spans="1:15" x14ac:dyDescent="0.25">
      <c r="A356" s="98" t="s">
        <v>55</v>
      </c>
      <c r="B356" s="98" t="s">
        <v>8</v>
      </c>
      <c r="C356" s="98">
        <v>0.01</v>
      </c>
      <c r="D356" s="98">
        <v>0.1</v>
      </c>
      <c r="E356" s="98">
        <v>9.9999999999999995E-7</v>
      </c>
      <c r="F356" s="98" t="s">
        <v>6</v>
      </c>
      <c r="G356" s="98" t="s">
        <v>5</v>
      </c>
      <c r="H356" s="98">
        <v>4000</v>
      </c>
      <c r="I356" s="98">
        <v>8000</v>
      </c>
      <c r="J356" s="98" t="s">
        <v>10</v>
      </c>
      <c r="K356" s="98">
        <v>120</v>
      </c>
      <c r="L356" s="98">
        <v>46000</v>
      </c>
      <c r="M356" s="98">
        <v>92.257000000000005</v>
      </c>
      <c r="N356" s="98">
        <v>46261</v>
      </c>
      <c r="O356" s="99" t="s">
        <v>2535</v>
      </c>
    </row>
    <row r="357" spans="1:15" x14ac:dyDescent="0.25">
      <c r="A357" s="98" t="s">
        <v>55</v>
      </c>
      <c r="B357" s="98" t="s">
        <v>8</v>
      </c>
      <c r="C357" s="98">
        <v>0.01</v>
      </c>
      <c r="D357" s="98">
        <v>0.1</v>
      </c>
      <c r="E357" s="98">
        <v>9.9999999999999995E-7</v>
      </c>
      <c r="F357" s="98" t="s">
        <v>6</v>
      </c>
      <c r="G357" s="98" t="s">
        <v>5</v>
      </c>
      <c r="H357" s="98">
        <v>0.04</v>
      </c>
      <c r="I357" s="98">
        <v>1</v>
      </c>
      <c r="J357" s="98" t="s">
        <v>10</v>
      </c>
      <c r="K357" s="98">
        <v>3.5</v>
      </c>
      <c r="L357" s="98">
        <v>80.42</v>
      </c>
      <c r="M357" s="98">
        <v>3.4847999999999999</v>
      </c>
      <c r="N357" s="98">
        <v>80.411000000000001</v>
      </c>
      <c r="O357" s="99" t="s">
        <v>1541</v>
      </c>
    </row>
    <row r="358" spans="1:15" x14ac:dyDescent="0.25">
      <c r="A358" s="98" t="s">
        <v>55</v>
      </c>
      <c r="B358" s="98" t="s">
        <v>8</v>
      </c>
      <c r="C358" s="98">
        <v>0.01</v>
      </c>
      <c r="D358" s="98">
        <v>0.1</v>
      </c>
      <c r="E358" s="98">
        <v>9.9999999999999995E-7</v>
      </c>
      <c r="F358" s="98" t="s">
        <v>6</v>
      </c>
      <c r="G358" s="98" t="s">
        <v>5</v>
      </c>
      <c r="H358" s="98">
        <v>100</v>
      </c>
      <c r="I358" s="98">
        <v>300</v>
      </c>
      <c r="J358" s="98" t="s">
        <v>10</v>
      </c>
      <c r="K358" s="98">
        <v>12</v>
      </c>
      <c r="L358" s="98">
        <v>3500</v>
      </c>
      <c r="M358" s="98">
        <v>11.522</v>
      </c>
      <c r="N358" s="98">
        <v>3476.1</v>
      </c>
      <c r="O358" s="99" t="s">
        <v>1535</v>
      </c>
    </row>
    <row r="359" spans="1:15" x14ac:dyDescent="0.25">
      <c r="A359" s="98" t="s">
        <v>55</v>
      </c>
      <c r="B359" s="98" t="s">
        <v>8</v>
      </c>
      <c r="C359" s="98">
        <v>0.01</v>
      </c>
      <c r="D359" s="98">
        <v>0.1</v>
      </c>
      <c r="E359" s="98">
        <v>9.9999999999999995E-7</v>
      </c>
      <c r="F359" s="98" t="s">
        <v>6</v>
      </c>
      <c r="G359" s="98" t="s">
        <v>5</v>
      </c>
      <c r="H359" s="98">
        <v>1000</v>
      </c>
      <c r="I359" s="98">
        <v>2000</v>
      </c>
      <c r="J359" s="98" t="s">
        <v>10</v>
      </c>
      <c r="K359" s="98">
        <v>53</v>
      </c>
      <c r="L359" s="98">
        <v>17054</v>
      </c>
      <c r="M359" s="98">
        <v>11.489000000000001</v>
      </c>
      <c r="N359" s="98">
        <v>17414</v>
      </c>
      <c r="O359" s="99" t="s">
        <v>1537</v>
      </c>
    </row>
    <row r="360" spans="1:15" x14ac:dyDescent="0.25">
      <c r="A360" s="98" t="s">
        <v>55</v>
      </c>
      <c r="B360" s="98" t="s">
        <v>8</v>
      </c>
      <c r="C360" s="98">
        <v>0.01</v>
      </c>
      <c r="D360" s="98">
        <v>0.1</v>
      </c>
      <c r="E360" s="98">
        <v>9.9999999999999995E-7</v>
      </c>
      <c r="F360" s="98" t="s">
        <v>6</v>
      </c>
      <c r="G360" s="98" t="s">
        <v>5</v>
      </c>
      <c r="H360" s="98">
        <v>2000</v>
      </c>
      <c r="I360" s="98">
        <v>4000</v>
      </c>
      <c r="J360" s="98" t="s">
        <v>10</v>
      </c>
      <c r="K360" s="98">
        <v>110</v>
      </c>
      <c r="L360" s="98">
        <v>46000</v>
      </c>
      <c r="M360" s="98">
        <v>80.778999999999996</v>
      </c>
      <c r="N360" s="98">
        <v>46223</v>
      </c>
      <c r="O360" s="99" t="s">
        <v>1540</v>
      </c>
    </row>
    <row r="361" spans="1:15" x14ac:dyDescent="0.25">
      <c r="A361" s="98" t="s">
        <v>55</v>
      </c>
      <c r="B361" s="98" t="s">
        <v>8</v>
      </c>
      <c r="C361" s="98">
        <v>0.01</v>
      </c>
      <c r="D361" s="98">
        <v>0.1</v>
      </c>
      <c r="E361" s="98">
        <v>9.9999999999999995E-7</v>
      </c>
      <c r="F361" s="98" t="s">
        <v>6</v>
      </c>
      <c r="G361" s="98" t="s">
        <v>5</v>
      </c>
      <c r="H361" s="98">
        <v>1</v>
      </c>
      <c r="I361" s="98">
        <v>20</v>
      </c>
      <c r="J361" s="98" t="s">
        <v>10</v>
      </c>
      <c r="K361" s="98">
        <v>3.4</v>
      </c>
      <c r="L361" s="98">
        <v>157.44999999999999</v>
      </c>
      <c r="M361" s="98">
        <v>3.3910999999999998</v>
      </c>
      <c r="N361" s="98">
        <v>157.44999999999999</v>
      </c>
      <c r="O361" s="99" t="s">
        <v>2533</v>
      </c>
    </row>
    <row r="362" spans="1:15" x14ac:dyDescent="0.25">
      <c r="A362" s="98" t="s">
        <v>55</v>
      </c>
      <c r="B362" s="98" t="s">
        <v>8</v>
      </c>
      <c r="C362" s="98">
        <v>0.01</v>
      </c>
      <c r="D362" s="98">
        <v>0.1</v>
      </c>
      <c r="E362" s="98">
        <v>9.9999999999999995E-7</v>
      </c>
      <c r="F362" s="98" t="s">
        <v>6</v>
      </c>
      <c r="G362" s="98" t="s">
        <v>5</v>
      </c>
      <c r="H362" s="98">
        <v>20</v>
      </c>
      <c r="I362" s="98">
        <v>50</v>
      </c>
      <c r="J362" s="98" t="s">
        <v>10</v>
      </c>
      <c r="K362" s="98">
        <v>4.7</v>
      </c>
      <c r="L362" s="98">
        <v>327.10000000000002</v>
      </c>
      <c r="M362" s="98">
        <v>4.6916000000000002</v>
      </c>
      <c r="N362" s="98">
        <v>326.63</v>
      </c>
      <c r="O362" s="99" t="s">
        <v>1542</v>
      </c>
    </row>
    <row r="363" spans="1:15" x14ac:dyDescent="0.25">
      <c r="A363" s="98" t="s">
        <v>55</v>
      </c>
      <c r="B363" s="98" t="s">
        <v>8</v>
      </c>
      <c r="C363" s="98">
        <v>0.01</v>
      </c>
      <c r="D363" s="98">
        <v>0.1</v>
      </c>
      <c r="E363" s="98">
        <v>1.0000000000000001E-5</v>
      </c>
      <c r="F363" s="98" t="s">
        <v>6</v>
      </c>
      <c r="G363" s="98" t="s">
        <v>5</v>
      </c>
      <c r="H363" s="98">
        <v>8000</v>
      </c>
      <c r="I363" s="98">
        <v>10000</v>
      </c>
      <c r="J363" s="98" t="s">
        <v>10</v>
      </c>
      <c r="K363" s="98">
        <v>450</v>
      </c>
      <c r="L363" s="98">
        <v>170040</v>
      </c>
      <c r="M363" s="98">
        <v>115.41</v>
      </c>
      <c r="N363" s="98">
        <v>173280</v>
      </c>
      <c r="O363" s="99" t="s">
        <v>1551</v>
      </c>
    </row>
    <row r="364" spans="1:15" x14ac:dyDescent="0.25">
      <c r="A364" s="98" t="s">
        <v>55</v>
      </c>
      <c r="B364" s="98" t="s">
        <v>8</v>
      </c>
      <c r="C364" s="98">
        <v>0.01</v>
      </c>
      <c r="D364" s="98">
        <v>0.1</v>
      </c>
      <c r="E364" s="98">
        <v>1.0000000000000001E-5</v>
      </c>
      <c r="F364" s="98" t="s">
        <v>6</v>
      </c>
      <c r="G364" s="98" t="s">
        <v>5</v>
      </c>
      <c r="H364" s="98">
        <v>1000</v>
      </c>
      <c r="I364" s="98">
        <v>2000</v>
      </c>
      <c r="J364" s="98" t="s">
        <v>10</v>
      </c>
      <c r="K364" s="98">
        <v>53</v>
      </c>
      <c r="L364" s="98">
        <v>17054</v>
      </c>
      <c r="M364" s="98">
        <v>11.587999999999999</v>
      </c>
      <c r="N364" s="98">
        <v>17413</v>
      </c>
      <c r="O364" s="99" t="s">
        <v>1545</v>
      </c>
    </row>
    <row r="365" spans="1:15" x14ac:dyDescent="0.25">
      <c r="A365" s="98" t="s">
        <v>55</v>
      </c>
      <c r="B365" s="98" t="s">
        <v>8</v>
      </c>
      <c r="C365" s="98">
        <v>0.01</v>
      </c>
      <c r="D365" s="98">
        <v>0.1</v>
      </c>
      <c r="E365" s="98">
        <v>1.0000000000000001E-5</v>
      </c>
      <c r="F365" s="98" t="s">
        <v>6</v>
      </c>
      <c r="G365" s="98" t="s">
        <v>5</v>
      </c>
      <c r="H365" s="98">
        <v>300</v>
      </c>
      <c r="I365" s="98">
        <v>1000</v>
      </c>
      <c r="J365" s="98" t="s">
        <v>10</v>
      </c>
      <c r="K365" s="98">
        <v>12</v>
      </c>
      <c r="L365" s="98">
        <v>12000</v>
      </c>
      <c r="M365" s="98">
        <v>11.635</v>
      </c>
      <c r="N365" s="98">
        <v>11630</v>
      </c>
      <c r="O365" s="99" t="s">
        <v>1543</v>
      </c>
    </row>
    <row r="366" spans="1:15" x14ac:dyDescent="0.25">
      <c r="A366" s="98" t="s">
        <v>55</v>
      </c>
      <c r="B366" s="98" t="s">
        <v>8</v>
      </c>
      <c r="C366" s="98">
        <v>0.01</v>
      </c>
      <c r="D366" s="98">
        <v>0.1</v>
      </c>
      <c r="E366" s="98">
        <v>1.0000000000000001E-5</v>
      </c>
      <c r="F366" s="98" t="s">
        <v>6</v>
      </c>
      <c r="G366" s="98" t="s">
        <v>5</v>
      </c>
      <c r="H366" s="98">
        <v>1</v>
      </c>
      <c r="I366" s="98">
        <v>20</v>
      </c>
      <c r="J366" s="98" t="s">
        <v>10</v>
      </c>
      <c r="K366" s="98">
        <v>6.2203999999999997</v>
      </c>
      <c r="L366" s="98">
        <v>137.65</v>
      </c>
      <c r="M366" s="98">
        <v>6.2175000000000002</v>
      </c>
      <c r="N366" s="98">
        <v>137.62</v>
      </c>
      <c r="O366" s="99" t="s">
        <v>1544</v>
      </c>
    </row>
    <row r="367" spans="1:15" x14ac:dyDescent="0.25">
      <c r="A367" s="98" t="s">
        <v>55</v>
      </c>
      <c r="B367" s="98" t="s">
        <v>8</v>
      </c>
      <c r="C367" s="98">
        <v>0.01</v>
      </c>
      <c r="D367" s="98">
        <v>0.1</v>
      </c>
      <c r="E367" s="98">
        <v>1.0000000000000001E-5</v>
      </c>
      <c r="F367" s="98" t="s">
        <v>6</v>
      </c>
      <c r="G367" s="98" t="s">
        <v>5</v>
      </c>
      <c r="H367" s="98">
        <v>1E-3</v>
      </c>
      <c r="I367" s="98">
        <v>0.04</v>
      </c>
      <c r="J367" s="98" t="s">
        <v>10</v>
      </c>
      <c r="K367" s="98">
        <v>7.7286000000000001</v>
      </c>
      <c r="L367" s="98">
        <v>70.834999999999994</v>
      </c>
      <c r="M367" s="98">
        <v>7.7257999999999996</v>
      </c>
      <c r="N367" s="98">
        <v>70.789000000000001</v>
      </c>
      <c r="O367" s="99" t="s">
        <v>1546</v>
      </c>
    </row>
    <row r="368" spans="1:15" x14ac:dyDescent="0.25">
      <c r="A368" s="98" t="s">
        <v>55</v>
      </c>
      <c r="B368" s="98" t="s">
        <v>8</v>
      </c>
      <c r="C368" s="98">
        <v>0.01</v>
      </c>
      <c r="D368" s="98">
        <v>0.1</v>
      </c>
      <c r="E368" s="98">
        <v>1.0000000000000001E-5</v>
      </c>
      <c r="F368" s="98" t="s">
        <v>6</v>
      </c>
      <c r="G368" s="98" t="s">
        <v>5</v>
      </c>
      <c r="H368" s="98">
        <v>20</v>
      </c>
      <c r="I368" s="98">
        <v>50</v>
      </c>
      <c r="J368" s="98" t="s">
        <v>10</v>
      </c>
      <c r="K368" s="98">
        <v>6.7172000000000001</v>
      </c>
      <c r="L368" s="98">
        <v>310.87</v>
      </c>
      <c r="M368" s="98">
        <v>6.7062999999999997</v>
      </c>
      <c r="N368" s="98">
        <v>310.87</v>
      </c>
      <c r="O368" s="99" t="s">
        <v>1548</v>
      </c>
    </row>
    <row r="369" spans="1:15" x14ac:dyDescent="0.25">
      <c r="A369" s="98" t="s">
        <v>55</v>
      </c>
      <c r="B369" s="98" t="s">
        <v>8</v>
      </c>
      <c r="C369" s="98">
        <v>0.01</v>
      </c>
      <c r="D369" s="98">
        <v>0.1</v>
      </c>
      <c r="E369" s="98">
        <v>1.0000000000000001E-5</v>
      </c>
      <c r="F369" s="98" t="s">
        <v>6</v>
      </c>
      <c r="G369" s="98" t="s">
        <v>5</v>
      </c>
      <c r="H369" s="98">
        <v>0.04</v>
      </c>
      <c r="I369" s="98">
        <v>1</v>
      </c>
      <c r="J369" s="98" t="s">
        <v>10</v>
      </c>
      <c r="K369" s="98">
        <v>6.5380000000000003</v>
      </c>
      <c r="L369" s="98">
        <v>63.487000000000002</v>
      </c>
      <c r="M369" s="98">
        <v>6.5346000000000002</v>
      </c>
      <c r="N369" s="98">
        <v>63.435000000000002</v>
      </c>
      <c r="O369" s="99" t="s">
        <v>2537</v>
      </c>
    </row>
    <row r="370" spans="1:15" x14ac:dyDescent="0.25">
      <c r="A370" s="98" t="s">
        <v>55</v>
      </c>
      <c r="B370" s="98" t="s">
        <v>8</v>
      </c>
      <c r="C370" s="98">
        <v>0.01</v>
      </c>
      <c r="D370" s="98">
        <v>0.1</v>
      </c>
      <c r="E370" s="98">
        <v>1.0000000000000001E-5</v>
      </c>
      <c r="F370" s="98" t="s">
        <v>6</v>
      </c>
      <c r="G370" s="98" t="s">
        <v>5</v>
      </c>
      <c r="H370" s="98">
        <v>50</v>
      </c>
      <c r="I370" s="98">
        <v>100</v>
      </c>
      <c r="J370" s="98" t="s">
        <v>10</v>
      </c>
      <c r="K370" s="98">
        <v>7.1698000000000004</v>
      </c>
      <c r="L370" s="98">
        <v>895.95</v>
      </c>
      <c r="M370" s="98">
        <v>7.1433</v>
      </c>
      <c r="N370" s="98">
        <v>896.05</v>
      </c>
      <c r="O370" s="99" t="s">
        <v>1550</v>
      </c>
    </row>
    <row r="371" spans="1:15" x14ac:dyDescent="0.25">
      <c r="A371" s="98" t="s">
        <v>55</v>
      </c>
      <c r="B371" s="98" t="s">
        <v>8</v>
      </c>
      <c r="C371" s="98">
        <v>0.01</v>
      </c>
      <c r="D371" s="98">
        <v>0.1</v>
      </c>
      <c r="E371" s="98">
        <v>1.0000000000000001E-5</v>
      </c>
      <c r="F371" s="98" t="s">
        <v>6</v>
      </c>
      <c r="G371" s="98" t="s">
        <v>5</v>
      </c>
      <c r="H371" s="98">
        <v>2000</v>
      </c>
      <c r="I371" s="98">
        <v>4000</v>
      </c>
      <c r="J371" s="98" t="s">
        <v>10</v>
      </c>
      <c r="K371" s="98">
        <v>110</v>
      </c>
      <c r="L371" s="98">
        <v>46000</v>
      </c>
      <c r="M371" s="98">
        <v>80.808999999999997</v>
      </c>
      <c r="N371" s="98">
        <v>46223</v>
      </c>
      <c r="O371" s="99" t="s">
        <v>1549</v>
      </c>
    </row>
    <row r="372" spans="1:15" x14ac:dyDescent="0.25">
      <c r="A372" s="98" t="s">
        <v>55</v>
      </c>
      <c r="B372" s="98" t="s">
        <v>8</v>
      </c>
      <c r="C372" s="98">
        <v>0.01</v>
      </c>
      <c r="D372" s="98">
        <v>0.1</v>
      </c>
      <c r="E372" s="98">
        <v>1.0000000000000001E-5</v>
      </c>
      <c r="F372" s="98" t="s">
        <v>6</v>
      </c>
      <c r="G372" s="98" t="s">
        <v>5</v>
      </c>
      <c r="H372" s="98">
        <v>100</v>
      </c>
      <c r="I372" s="98">
        <v>300</v>
      </c>
      <c r="J372" s="98" t="s">
        <v>10</v>
      </c>
      <c r="K372" s="98">
        <v>12</v>
      </c>
      <c r="L372" s="98">
        <v>3500</v>
      </c>
      <c r="M372" s="98">
        <v>11.911</v>
      </c>
      <c r="N372" s="98">
        <v>3472.7</v>
      </c>
      <c r="O372" s="99" t="s">
        <v>1547</v>
      </c>
    </row>
    <row r="373" spans="1:15" x14ac:dyDescent="0.25">
      <c r="A373" s="98" t="s">
        <v>55</v>
      </c>
      <c r="B373" s="98" t="s">
        <v>8</v>
      </c>
      <c r="C373" s="98">
        <v>0.01</v>
      </c>
      <c r="D373" s="98">
        <v>0.1</v>
      </c>
      <c r="E373" s="98">
        <v>1.0000000000000001E-5</v>
      </c>
      <c r="F373" s="98" t="s">
        <v>6</v>
      </c>
      <c r="G373" s="98" t="s">
        <v>5</v>
      </c>
      <c r="H373" s="98">
        <v>4000</v>
      </c>
      <c r="I373" s="98">
        <v>8000</v>
      </c>
      <c r="J373" s="98" t="s">
        <v>10</v>
      </c>
      <c r="K373" s="98">
        <v>120</v>
      </c>
      <c r="L373" s="98">
        <v>46000</v>
      </c>
      <c r="M373" s="98">
        <v>92.287000000000006</v>
      </c>
      <c r="N373" s="98">
        <v>46261</v>
      </c>
      <c r="O373" s="99" t="s">
        <v>2536</v>
      </c>
    </row>
    <row r="374" spans="1:15" x14ac:dyDescent="0.25">
      <c r="A374" s="98" t="s">
        <v>55</v>
      </c>
      <c r="B374" s="98" t="s">
        <v>8</v>
      </c>
      <c r="C374" s="98">
        <v>0.01</v>
      </c>
      <c r="D374" s="98">
        <v>0.1</v>
      </c>
      <c r="E374" s="98">
        <v>1E-4</v>
      </c>
      <c r="F374" s="98" t="s">
        <v>6</v>
      </c>
      <c r="G374" s="98" t="s">
        <v>5</v>
      </c>
      <c r="H374" s="98">
        <v>20</v>
      </c>
      <c r="I374" s="98">
        <v>50</v>
      </c>
      <c r="J374" s="98" t="s">
        <v>10</v>
      </c>
      <c r="K374" s="98">
        <v>57.119</v>
      </c>
      <c r="L374" s="98">
        <v>116.68</v>
      </c>
      <c r="M374" s="98">
        <v>57.113999999999997</v>
      </c>
      <c r="N374" s="98">
        <v>116.5</v>
      </c>
      <c r="O374" s="99" t="s">
        <v>1555</v>
      </c>
    </row>
    <row r="375" spans="1:15" x14ac:dyDescent="0.25">
      <c r="A375" s="98" t="s">
        <v>55</v>
      </c>
      <c r="B375" s="98" t="s">
        <v>8</v>
      </c>
      <c r="C375" s="98">
        <v>0.01</v>
      </c>
      <c r="D375" s="98">
        <v>0.1</v>
      </c>
      <c r="E375" s="98">
        <v>1E-4</v>
      </c>
      <c r="F375" s="98" t="s">
        <v>6</v>
      </c>
      <c r="G375" s="98" t="s">
        <v>5</v>
      </c>
      <c r="H375" s="98">
        <v>2000</v>
      </c>
      <c r="I375" s="98">
        <v>4000</v>
      </c>
      <c r="J375" s="98" t="s">
        <v>10</v>
      </c>
      <c r="K375" s="98">
        <v>110</v>
      </c>
      <c r="L375" s="98">
        <v>46000</v>
      </c>
      <c r="M375" s="98">
        <v>84.138999999999996</v>
      </c>
      <c r="N375" s="98">
        <v>46193</v>
      </c>
      <c r="O375" s="99" t="s">
        <v>1552</v>
      </c>
    </row>
    <row r="376" spans="1:15" x14ac:dyDescent="0.25">
      <c r="A376" s="98" t="s">
        <v>55</v>
      </c>
      <c r="B376" s="98" t="s">
        <v>8</v>
      </c>
      <c r="C376" s="98">
        <v>0.01</v>
      </c>
      <c r="D376" s="98">
        <v>0.1</v>
      </c>
      <c r="E376" s="98">
        <v>1E-4</v>
      </c>
      <c r="F376" s="98" t="s">
        <v>6</v>
      </c>
      <c r="G376" s="98" t="s">
        <v>5</v>
      </c>
      <c r="H376" s="98">
        <v>8000</v>
      </c>
      <c r="I376" s="98">
        <v>10000</v>
      </c>
      <c r="J376" s="98" t="s">
        <v>10</v>
      </c>
      <c r="K376" s="98">
        <v>450</v>
      </c>
      <c r="L376" s="98">
        <v>170040</v>
      </c>
      <c r="M376" s="98">
        <v>116.4</v>
      </c>
      <c r="N376" s="98">
        <v>173270</v>
      </c>
      <c r="O376" s="99" t="s">
        <v>1553</v>
      </c>
    </row>
    <row r="377" spans="1:15" x14ac:dyDescent="0.25">
      <c r="A377" s="98" t="s">
        <v>55</v>
      </c>
      <c r="B377" s="98" t="s">
        <v>8</v>
      </c>
      <c r="C377" s="98">
        <v>0.01</v>
      </c>
      <c r="D377" s="98">
        <v>0.1</v>
      </c>
      <c r="E377" s="98">
        <v>1E-4</v>
      </c>
      <c r="F377" s="98" t="s">
        <v>6</v>
      </c>
      <c r="G377" s="98" t="s">
        <v>5</v>
      </c>
      <c r="H377" s="98">
        <v>1000</v>
      </c>
      <c r="I377" s="98">
        <v>2000</v>
      </c>
      <c r="J377" s="98" t="s">
        <v>10</v>
      </c>
      <c r="K377" s="98">
        <v>53</v>
      </c>
      <c r="L377" s="98">
        <v>17065</v>
      </c>
      <c r="M377" s="98">
        <v>21.129000000000001</v>
      </c>
      <c r="N377" s="98">
        <v>17327</v>
      </c>
      <c r="O377" s="99" t="s">
        <v>2540</v>
      </c>
    </row>
    <row r="378" spans="1:15" x14ac:dyDescent="0.25">
      <c r="A378" s="98" t="s">
        <v>55</v>
      </c>
      <c r="B378" s="98" t="s">
        <v>8</v>
      </c>
      <c r="C378" s="98">
        <v>0.01</v>
      </c>
      <c r="D378" s="98">
        <v>0.1</v>
      </c>
      <c r="E378" s="98">
        <v>1E-4</v>
      </c>
      <c r="F378" s="98" t="s">
        <v>6</v>
      </c>
      <c r="G378" s="98" t="s">
        <v>5</v>
      </c>
      <c r="H378" s="98">
        <v>50</v>
      </c>
      <c r="I378" s="98">
        <v>100</v>
      </c>
      <c r="J378" s="98" t="s">
        <v>10</v>
      </c>
      <c r="K378" s="98">
        <v>53.811999999999998</v>
      </c>
      <c r="L378" s="98">
        <v>587.62</v>
      </c>
      <c r="M378" s="98">
        <v>53.787999999999997</v>
      </c>
      <c r="N378" s="98">
        <v>587.29999999999995</v>
      </c>
      <c r="O378" s="99" t="s">
        <v>1557</v>
      </c>
    </row>
    <row r="379" spans="1:15" x14ac:dyDescent="0.25">
      <c r="A379" s="98" t="s">
        <v>55</v>
      </c>
      <c r="B379" s="98" t="s">
        <v>8</v>
      </c>
      <c r="C379" s="98">
        <v>0.01</v>
      </c>
      <c r="D379" s="98">
        <v>0.1</v>
      </c>
      <c r="E379" s="98">
        <v>1E-4</v>
      </c>
      <c r="F379" s="98" t="s">
        <v>6</v>
      </c>
      <c r="G379" s="98" t="s">
        <v>5</v>
      </c>
      <c r="H379" s="98">
        <v>1E-3</v>
      </c>
      <c r="I379" s="98">
        <v>0.04</v>
      </c>
      <c r="J379" s="98" t="s">
        <v>10</v>
      </c>
      <c r="K379" s="98">
        <v>57.923000000000002</v>
      </c>
      <c r="L379" s="98">
        <v>14.074999999999999</v>
      </c>
      <c r="M379" s="98">
        <v>57.921999999999997</v>
      </c>
      <c r="N379" s="98">
        <v>14.013999999999999</v>
      </c>
      <c r="O379" s="99" t="s">
        <v>2538</v>
      </c>
    </row>
    <row r="380" spans="1:15" x14ac:dyDescent="0.25">
      <c r="A380" s="98" t="s">
        <v>55</v>
      </c>
      <c r="B380" s="98" t="s">
        <v>8</v>
      </c>
      <c r="C380" s="98">
        <v>0.01</v>
      </c>
      <c r="D380" s="98">
        <v>0.1</v>
      </c>
      <c r="E380" s="98">
        <v>1E-4</v>
      </c>
      <c r="F380" s="98" t="s">
        <v>6</v>
      </c>
      <c r="G380" s="98" t="s">
        <v>5</v>
      </c>
      <c r="H380" s="98">
        <v>0.04</v>
      </c>
      <c r="I380" s="98">
        <v>1</v>
      </c>
      <c r="J380" s="98" t="s">
        <v>10</v>
      </c>
      <c r="K380" s="98">
        <v>57.783999999999999</v>
      </c>
      <c r="L380" s="98">
        <v>10.952999999999999</v>
      </c>
      <c r="M380" s="98">
        <v>57.783000000000001</v>
      </c>
      <c r="N380" s="98">
        <v>10.891</v>
      </c>
      <c r="O380" s="99" t="s">
        <v>2539</v>
      </c>
    </row>
    <row r="381" spans="1:15" x14ac:dyDescent="0.25">
      <c r="A381" s="98" t="s">
        <v>55</v>
      </c>
      <c r="B381" s="98" t="s">
        <v>8</v>
      </c>
      <c r="C381" s="98">
        <v>0.01</v>
      </c>
      <c r="D381" s="98">
        <v>0.1</v>
      </c>
      <c r="E381" s="98">
        <v>1E-4</v>
      </c>
      <c r="F381" s="98" t="s">
        <v>6</v>
      </c>
      <c r="G381" s="98" t="s">
        <v>5</v>
      </c>
      <c r="H381" s="98">
        <v>300</v>
      </c>
      <c r="I381" s="98">
        <v>1000</v>
      </c>
      <c r="J381" s="98" t="s">
        <v>10</v>
      </c>
      <c r="K381" s="98">
        <v>21.308</v>
      </c>
      <c r="L381" s="98">
        <v>11907</v>
      </c>
      <c r="M381" s="98">
        <v>25.138999999999999</v>
      </c>
      <c r="N381" s="98">
        <v>11509</v>
      </c>
      <c r="O381" s="99" t="s">
        <v>1558</v>
      </c>
    </row>
    <row r="382" spans="1:15" x14ac:dyDescent="0.25">
      <c r="A382" s="98" t="s">
        <v>55</v>
      </c>
      <c r="B382" s="98" t="s">
        <v>8</v>
      </c>
      <c r="C382" s="98">
        <v>0.01</v>
      </c>
      <c r="D382" s="98">
        <v>0.1</v>
      </c>
      <c r="E382" s="98">
        <v>1E-4</v>
      </c>
      <c r="F382" s="98" t="s">
        <v>6</v>
      </c>
      <c r="G382" s="98" t="s">
        <v>5</v>
      </c>
      <c r="H382" s="98">
        <v>1</v>
      </c>
      <c r="I382" s="98">
        <v>20</v>
      </c>
      <c r="J382" s="98" t="s">
        <v>10</v>
      </c>
      <c r="K382" s="98">
        <v>57.628</v>
      </c>
      <c r="L382" s="98">
        <v>32.01</v>
      </c>
      <c r="M382" s="98">
        <v>57.625999999999998</v>
      </c>
      <c r="N382" s="98">
        <v>31.951000000000001</v>
      </c>
      <c r="O382" s="99" t="s">
        <v>1554</v>
      </c>
    </row>
    <row r="383" spans="1:15" x14ac:dyDescent="0.25">
      <c r="A383" s="98" t="s">
        <v>55</v>
      </c>
      <c r="B383" s="98" t="s">
        <v>8</v>
      </c>
      <c r="C383" s="98">
        <v>0.01</v>
      </c>
      <c r="D383" s="98">
        <v>0.1</v>
      </c>
      <c r="E383" s="98">
        <v>1E-4</v>
      </c>
      <c r="F383" s="98" t="s">
        <v>6</v>
      </c>
      <c r="G383" s="98" t="s">
        <v>5</v>
      </c>
      <c r="H383" s="98">
        <v>100</v>
      </c>
      <c r="I383" s="98">
        <v>300</v>
      </c>
      <c r="J383" s="98" t="s">
        <v>10</v>
      </c>
      <c r="K383" s="98">
        <v>41.904000000000003</v>
      </c>
      <c r="L383" s="98">
        <v>3219</v>
      </c>
      <c r="M383" s="98">
        <v>41.802</v>
      </c>
      <c r="N383" s="98">
        <v>3219.4</v>
      </c>
      <c r="O383" s="99" t="s">
        <v>2541</v>
      </c>
    </row>
    <row r="384" spans="1:15" x14ac:dyDescent="0.25">
      <c r="A384" s="98" t="s">
        <v>55</v>
      </c>
      <c r="B384" s="98" t="s">
        <v>8</v>
      </c>
      <c r="C384" s="98">
        <v>0.01</v>
      </c>
      <c r="D384" s="98">
        <v>0.1</v>
      </c>
      <c r="E384" s="98">
        <v>1E-4</v>
      </c>
      <c r="F384" s="98" t="s">
        <v>6</v>
      </c>
      <c r="G384" s="98" t="s">
        <v>5</v>
      </c>
      <c r="H384" s="98">
        <v>4000</v>
      </c>
      <c r="I384" s="98">
        <v>8000</v>
      </c>
      <c r="J384" s="98" t="s">
        <v>10</v>
      </c>
      <c r="K384" s="98">
        <v>120</v>
      </c>
      <c r="L384" s="98">
        <v>46000</v>
      </c>
      <c r="M384" s="98">
        <v>95.542000000000002</v>
      </c>
      <c r="N384" s="98">
        <v>46232</v>
      </c>
      <c r="O384" s="99" t="s">
        <v>1556</v>
      </c>
    </row>
    <row r="385" spans="1:15" x14ac:dyDescent="0.25">
      <c r="A385" s="98" t="s">
        <v>55</v>
      </c>
      <c r="B385" s="98" t="s">
        <v>8</v>
      </c>
      <c r="C385" s="98">
        <v>0.01</v>
      </c>
      <c r="D385" s="98">
        <v>0.1</v>
      </c>
      <c r="E385" s="98">
        <v>1E-3</v>
      </c>
      <c r="F385" s="98" t="s">
        <v>6</v>
      </c>
      <c r="G385" s="98" t="s">
        <v>5</v>
      </c>
      <c r="H385" s="98">
        <v>50</v>
      </c>
      <c r="I385" s="98">
        <v>100</v>
      </c>
      <c r="J385" s="98" t="s">
        <v>10</v>
      </c>
      <c r="K385" s="98">
        <v>576.69000000000005</v>
      </c>
      <c r="L385" s="98">
        <v>87.305999999999997</v>
      </c>
      <c r="M385" s="98">
        <v>571.67999999999995</v>
      </c>
      <c r="N385" s="98">
        <v>86.953999999999994</v>
      </c>
      <c r="O385" s="99" t="s">
        <v>1564</v>
      </c>
    </row>
    <row r="386" spans="1:15" x14ac:dyDescent="0.25">
      <c r="A386" s="98" t="s">
        <v>55</v>
      </c>
      <c r="B386" s="98" t="s">
        <v>8</v>
      </c>
      <c r="C386" s="98">
        <v>0.01</v>
      </c>
      <c r="D386" s="98">
        <v>0.1</v>
      </c>
      <c r="E386" s="98">
        <v>1E-3</v>
      </c>
      <c r="F386" s="98" t="s">
        <v>6</v>
      </c>
      <c r="G386" s="98" t="s">
        <v>5</v>
      </c>
      <c r="H386" s="98">
        <v>8000</v>
      </c>
      <c r="I386" s="98">
        <v>10000</v>
      </c>
      <c r="J386" s="98" t="s">
        <v>10</v>
      </c>
      <c r="K386" s="98">
        <v>450</v>
      </c>
      <c r="L386" s="98">
        <v>170150</v>
      </c>
      <c r="M386" s="98">
        <v>203.58</v>
      </c>
      <c r="N386" s="98">
        <v>172400</v>
      </c>
      <c r="O386" s="99" t="s">
        <v>1560</v>
      </c>
    </row>
    <row r="387" spans="1:15" x14ac:dyDescent="0.25">
      <c r="A387" s="98" t="s">
        <v>55</v>
      </c>
      <c r="B387" s="98" t="s">
        <v>8</v>
      </c>
      <c r="C387" s="98">
        <v>0.01</v>
      </c>
      <c r="D387" s="98">
        <v>0.1</v>
      </c>
      <c r="E387" s="98">
        <v>1E-3</v>
      </c>
      <c r="F387" s="98" t="s">
        <v>6</v>
      </c>
      <c r="G387" s="98" t="s">
        <v>5</v>
      </c>
      <c r="H387" s="98">
        <v>4000</v>
      </c>
      <c r="I387" s="98">
        <v>8000</v>
      </c>
      <c r="J387" s="98" t="s">
        <v>10</v>
      </c>
      <c r="K387" s="98">
        <v>363.53</v>
      </c>
      <c r="L387" s="98">
        <v>43909</v>
      </c>
      <c r="M387" s="98">
        <v>338.44</v>
      </c>
      <c r="N387" s="98">
        <v>43920</v>
      </c>
      <c r="O387" s="99" t="s">
        <v>1562</v>
      </c>
    </row>
    <row r="388" spans="1:15" x14ac:dyDescent="0.25">
      <c r="A388" s="98" t="s">
        <v>55</v>
      </c>
      <c r="B388" s="98" t="s">
        <v>8</v>
      </c>
      <c r="C388" s="98">
        <v>0.01</v>
      </c>
      <c r="D388" s="98">
        <v>0.1</v>
      </c>
      <c r="E388" s="98">
        <v>1E-3</v>
      </c>
      <c r="F388" s="98" t="s">
        <v>6</v>
      </c>
      <c r="G388" s="98" t="s">
        <v>5</v>
      </c>
      <c r="H388" s="98">
        <v>1E-3</v>
      </c>
      <c r="I388" s="98">
        <v>0.04</v>
      </c>
      <c r="J388" s="98" t="s">
        <v>10</v>
      </c>
      <c r="K388" s="98">
        <v>577.37</v>
      </c>
      <c r="L388" s="98">
        <v>1.4498</v>
      </c>
      <c r="M388" s="98">
        <v>577.25</v>
      </c>
      <c r="N388" s="98">
        <v>1.4244000000000001</v>
      </c>
      <c r="O388" s="99" t="s">
        <v>2542</v>
      </c>
    </row>
    <row r="389" spans="1:15" x14ac:dyDescent="0.25">
      <c r="A389" s="98" t="s">
        <v>55</v>
      </c>
      <c r="B389" s="98" t="s">
        <v>8</v>
      </c>
      <c r="C389" s="98">
        <v>0.01</v>
      </c>
      <c r="D389" s="98">
        <v>0.1</v>
      </c>
      <c r="E389" s="98">
        <v>1E-3</v>
      </c>
      <c r="F389" s="98" t="s">
        <v>6</v>
      </c>
      <c r="G389" s="98" t="s">
        <v>5</v>
      </c>
      <c r="H389" s="98">
        <v>2000</v>
      </c>
      <c r="I389" s="98">
        <v>4000</v>
      </c>
      <c r="J389" s="98" t="s">
        <v>10</v>
      </c>
      <c r="K389" s="98">
        <v>354.54</v>
      </c>
      <c r="L389" s="98">
        <v>43842</v>
      </c>
      <c r="M389" s="98">
        <v>330.66</v>
      </c>
      <c r="N389" s="98">
        <v>43842</v>
      </c>
      <c r="O389" s="99" t="s">
        <v>1561</v>
      </c>
    </row>
    <row r="390" spans="1:15" x14ac:dyDescent="0.25">
      <c r="A390" s="98" t="s">
        <v>55</v>
      </c>
      <c r="B390" s="98" t="s">
        <v>8</v>
      </c>
      <c r="C390" s="98">
        <v>0.01</v>
      </c>
      <c r="D390" s="98">
        <v>0.1</v>
      </c>
      <c r="E390" s="98">
        <v>1E-3</v>
      </c>
      <c r="F390" s="98" t="s">
        <v>6</v>
      </c>
      <c r="G390" s="98" t="s">
        <v>5</v>
      </c>
      <c r="H390" s="98">
        <v>0.04</v>
      </c>
      <c r="I390" s="98">
        <v>1</v>
      </c>
      <c r="J390" s="98" t="s">
        <v>10</v>
      </c>
      <c r="K390" s="98">
        <v>577.36</v>
      </c>
      <c r="L390" s="98">
        <v>1.1266</v>
      </c>
      <c r="M390" s="98">
        <v>577.26</v>
      </c>
      <c r="N390" s="98">
        <v>1.1012</v>
      </c>
      <c r="O390" s="99" t="s">
        <v>2543</v>
      </c>
    </row>
    <row r="391" spans="1:15" x14ac:dyDescent="0.25">
      <c r="A391" s="98" t="s">
        <v>55</v>
      </c>
      <c r="B391" s="98" t="s">
        <v>8</v>
      </c>
      <c r="C391" s="98">
        <v>0.01</v>
      </c>
      <c r="D391" s="98">
        <v>0.1</v>
      </c>
      <c r="E391" s="98">
        <v>1E-3</v>
      </c>
      <c r="F391" s="98" t="s">
        <v>6</v>
      </c>
      <c r="G391" s="98" t="s">
        <v>5</v>
      </c>
      <c r="H391" s="98">
        <v>20</v>
      </c>
      <c r="I391" s="98">
        <v>50</v>
      </c>
      <c r="J391" s="98" t="s">
        <v>10</v>
      </c>
      <c r="K391" s="98">
        <v>577.28</v>
      </c>
      <c r="L391" s="98">
        <v>12.896000000000001</v>
      </c>
      <c r="M391" s="98">
        <v>576.24</v>
      </c>
      <c r="N391" s="98">
        <v>12.803000000000001</v>
      </c>
      <c r="O391" s="99" t="s">
        <v>1563</v>
      </c>
    </row>
    <row r="392" spans="1:15" x14ac:dyDescent="0.25">
      <c r="A392" s="98" t="s">
        <v>55</v>
      </c>
      <c r="B392" s="98" t="s">
        <v>8</v>
      </c>
      <c r="C392" s="98">
        <v>0.01</v>
      </c>
      <c r="D392" s="98">
        <v>0.1</v>
      </c>
      <c r="E392" s="98">
        <v>1E-3</v>
      </c>
      <c r="F392" s="98" t="s">
        <v>6</v>
      </c>
      <c r="G392" s="98" t="s">
        <v>5</v>
      </c>
      <c r="H392" s="98">
        <v>1</v>
      </c>
      <c r="I392" s="98">
        <v>20</v>
      </c>
      <c r="J392" s="98" t="s">
        <v>10</v>
      </c>
      <c r="K392" s="98">
        <v>577.34</v>
      </c>
      <c r="L392" s="98">
        <v>3.3107000000000002</v>
      </c>
      <c r="M392" s="98">
        <v>577.05999999999995</v>
      </c>
      <c r="N392" s="98">
        <v>3.2852999999999999</v>
      </c>
      <c r="O392" s="99" t="s">
        <v>2544</v>
      </c>
    </row>
    <row r="393" spans="1:15" x14ac:dyDescent="0.25">
      <c r="A393" s="98" t="s">
        <v>55</v>
      </c>
      <c r="B393" s="98" t="s">
        <v>8</v>
      </c>
      <c r="C393" s="98">
        <v>0.01</v>
      </c>
      <c r="D393" s="98">
        <v>0.1</v>
      </c>
      <c r="E393" s="98">
        <v>1E-3</v>
      </c>
      <c r="F393" s="98" t="s">
        <v>6</v>
      </c>
      <c r="G393" s="98" t="s">
        <v>5</v>
      </c>
      <c r="H393" s="98">
        <v>300</v>
      </c>
      <c r="I393" s="98">
        <v>1000</v>
      </c>
      <c r="J393" s="98" t="s">
        <v>10</v>
      </c>
      <c r="K393" s="98">
        <v>511.75</v>
      </c>
      <c r="L393" s="98">
        <v>7972.6</v>
      </c>
      <c r="M393" s="98">
        <v>476.24</v>
      </c>
      <c r="N393" s="98">
        <v>7972.4</v>
      </c>
      <c r="O393" s="99" t="s">
        <v>1565</v>
      </c>
    </row>
    <row r="394" spans="1:15" x14ac:dyDescent="0.25">
      <c r="A394" s="98" t="s">
        <v>55</v>
      </c>
      <c r="B394" s="98" t="s">
        <v>8</v>
      </c>
      <c r="C394" s="98">
        <v>0.01</v>
      </c>
      <c r="D394" s="98">
        <v>0.1</v>
      </c>
      <c r="E394" s="98">
        <v>1E-3</v>
      </c>
      <c r="F394" s="98" t="s">
        <v>6</v>
      </c>
      <c r="G394" s="98" t="s">
        <v>5</v>
      </c>
      <c r="H394" s="98">
        <v>100</v>
      </c>
      <c r="I394" s="98">
        <v>300</v>
      </c>
      <c r="J394" s="98" t="s">
        <v>10</v>
      </c>
      <c r="K394" s="98">
        <v>568.05999999999995</v>
      </c>
      <c r="L394" s="98">
        <v>1120</v>
      </c>
      <c r="M394" s="98">
        <v>547.01</v>
      </c>
      <c r="N394" s="98">
        <v>1119.2</v>
      </c>
      <c r="O394" s="99" t="s">
        <v>1559</v>
      </c>
    </row>
    <row r="395" spans="1:15" x14ac:dyDescent="0.25">
      <c r="A395" s="98" t="s">
        <v>55</v>
      </c>
      <c r="B395" s="98" t="s">
        <v>8</v>
      </c>
      <c r="C395" s="98">
        <v>0.01</v>
      </c>
      <c r="D395" s="98">
        <v>0.1</v>
      </c>
      <c r="E395" s="98">
        <v>1E-3</v>
      </c>
      <c r="F395" s="98" t="s">
        <v>6</v>
      </c>
      <c r="G395" s="98" t="s">
        <v>5</v>
      </c>
      <c r="H395" s="98">
        <v>1000</v>
      </c>
      <c r="I395" s="98">
        <v>2000</v>
      </c>
      <c r="J395" s="98" t="s">
        <v>10</v>
      </c>
      <c r="K395" s="98">
        <v>469.05</v>
      </c>
      <c r="L395" s="98">
        <v>13766</v>
      </c>
      <c r="M395" s="98">
        <v>433.19</v>
      </c>
      <c r="N395" s="98">
        <v>13767</v>
      </c>
      <c r="O395" s="99" t="s">
        <v>2545</v>
      </c>
    </row>
    <row r="396" spans="1:15" x14ac:dyDescent="0.25">
      <c r="A396" s="98" t="s">
        <v>55</v>
      </c>
      <c r="B396" s="98" t="s">
        <v>8</v>
      </c>
      <c r="C396" s="98">
        <v>0.1</v>
      </c>
      <c r="D396" s="98">
        <v>1</v>
      </c>
      <c r="E396" s="98">
        <v>9.9999999999999995E-8</v>
      </c>
      <c r="F396" s="98" t="s">
        <v>6</v>
      </c>
      <c r="G396" s="98" t="s">
        <v>4</v>
      </c>
      <c r="H396" s="98">
        <v>2000</v>
      </c>
      <c r="I396" s="98">
        <v>4000</v>
      </c>
      <c r="J396" s="98" t="s">
        <v>10</v>
      </c>
      <c r="K396" s="98">
        <v>1.2</v>
      </c>
      <c r="L396" s="98">
        <v>46</v>
      </c>
      <c r="M396" s="98">
        <v>0.80071999999999999</v>
      </c>
      <c r="N396" s="98">
        <v>46.326000000000001</v>
      </c>
      <c r="O396" s="99" t="s">
        <v>1572</v>
      </c>
    </row>
    <row r="397" spans="1:15" x14ac:dyDescent="0.25">
      <c r="A397" s="98" t="s">
        <v>55</v>
      </c>
      <c r="B397" s="98" t="s">
        <v>8</v>
      </c>
      <c r="C397" s="98">
        <v>0.1</v>
      </c>
      <c r="D397" s="98">
        <v>1</v>
      </c>
      <c r="E397" s="98">
        <v>9.9999999999999995E-8</v>
      </c>
      <c r="F397" s="98" t="s">
        <v>6</v>
      </c>
      <c r="G397" s="98" t="s">
        <v>5</v>
      </c>
      <c r="H397" s="98">
        <v>1E-3</v>
      </c>
      <c r="I397" s="98">
        <v>0.04</v>
      </c>
      <c r="J397" s="98" t="s">
        <v>10</v>
      </c>
      <c r="K397" s="98">
        <v>47</v>
      </c>
      <c r="L397" s="98">
        <v>82</v>
      </c>
      <c r="M397" s="98">
        <v>80.62</v>
      </c>
      <c r="N397" s="98">
        <v>80.62</v>
      </c>
      <c r="O397" s="99" t="s">
        <v>2547</v>
      </c>
    </row>
    <row r="398" spans="1:15" x14ac:dyDescent="0.25">
      <c r="A398" s="98" t="s">
        <v>55</v>
      </c>
      <c r="B398" s="98" t="s">
        <v>8</v>
      </c>
      <c r="C398" s="98">
        <v>0.1</v>
      </c>
      <c r="D398" s="98">
        <v>1</v>
      </c>
      <c r="E398" s="98">
        <v>9.9999999999999995E-8</v>
      </c>
      <c r="F398" s="98" t="s">
        <v>6</v>
      </c>
      <c r="G398" s="98" t="s">
        <v>5</v>
      </c>
      <c r="H398" s="98">
        <v>1</v>
      </c>
      <c r="I398" s="98">
        <v>20</v>
      </c>
      <c r="J398" s="98" t="s">
        <v>10</v>
      </c>
      <c r="K398" s="98">
        <v>26</v>
      </c>
      <c r="L398" s="98">
        <v>160</v>
      </c>
      <c r="M398" s="98">
        <v>23.437999999999999</v>
      </c>
      <c r="N398" s="98">
        <v>161.34</v>
      </c>
      <c r="O398" s="99" t="s">
        <v>1567</v>
      </c>
    </row>
    <row r="399" spans="1:15" x14ac:dyDescent="0.25">
      <c r="A399" s="98" t="s">
        <v>55</v>
      </c>
      <c r="B399" s="98" t="s">
        <v>8</v>
      </c>
      <c r="C399" s="98">
        <v>0.1</v>
      </c>
      <c r="D399" s="98">
        <v>1</v>
      </c>
      <c r="E399" s="98">
        <v>9.9999999999999995E-8</v>
      </c>
      <c r="F399" s="98" t="s">
        <v>6</v>
      </c>
      <c r="G399" s="98" t="s">
        <v>5</v>
      </c>
      <c r="H399" s="98">
        <v>100</v>
      </c>
      <c r="I399" s="98">
        <v>300</v>
      </c>
      <c r="J399" s="98" t="s">
        <v>10</v>
      </c>
      <c r="K399" s="98">
        <v>120</v>
      </c>
      <c r="L399" s="98">
        <v>3500</v>
      </c>
      <c r="M399" s="98">
        <v>116.46</v>
      </c>
      <c r="N399" s="98">
        <v>3463.3</v>
      </c>
      <c r="O399" s="99" t="s">
        <v>1570</v>
      </c>
    </row>
    <row r="400" spans="1:15" x14ac:dyDescent="0.25">
      <c r="A400" s="98" t="s">
        <v>55</v>
      </c>
      <c r="B400" s="98" t="s">
        <v>8</v>
      </c>
      <c r="C400" s="98">
        <v>0.1</v>
      </c>
      <c r="D400" s="98">
        <v>1</v>
      </c>
      <c r="E400" s="98">
        <v>9.9999999999999995E-8</v>
      </c>
      <c r="F400" s="98" t="s">
        <v>6</v>
      </c>
      <c r="G400" s="98" t="s">
        <v>4</v>
      </c>
      <c r="H400" s="98">
        <v>4000</v>
      </c>
      <c r="I400" s="98">
        <v>8000</v>
      </c>
      <c r="J400" s="98" t="s">
        <v>10</v>
      </c>
      <c r="K400" s="98">
        <v>1.3</v>
      </c>
      <c r="L400" s="98">
        <v>46</v>
      </c>
      <c r="M400" s="98">
        <v>0.91605999999999999</v>
      </c>
      <c r="N400" s="98">
        <v>46.326000000000001</v>
      </c>
      <c r="O400" s="99" t="s">
        <v>1568</v>
      </c>
    </row>
    <row r="401" spans="1:15" x14ac:dyDescent="0.25">
      <c r="A401" s="98" t="s">
        <v>55</v>
      </c>
      <c r="B401" s="98" t="s">
        <v>8</v>
      </c>
      <c r="C401" s="98">
        <v>0.1</v>
      </c>
      <c r="D401" s="98">
        <v>1</v>
      </c>
      <c r="E401" s="98">
        <v>9.9999999999999995E-8</v>
      </c>
      <c r="F401" s="98" t="s">
        <v>6</v>
      </c>
      <c r="G401" s="98" t="s">
        <v>5</v>
      </c>
      <c r="H401" s="98">
        <v>50</v>
      </c>
      <c r="I401" s="98">
        <v>100</v>
      </c>
      <c r="J401" s="98" t="s">
        <v>10</v>
      </c>
      <c r="K401" s="98">
        <v>27</v>
      </c>
      <c r="L401" s="98">
        <v>940</v>
      </c>
      <c r="M401" s="98">
        <v>23.140999999999998</v>
      </c>
      <c r="N401" s="98">
        <v>938.86</v>
      </c>
      <c r="O401" s="99" t="s">
        <v>2546</v>
      </c>
    </row>
    <row r="402" spans="1:15" x14ac:dyDescent="0.25">
      <c r="A402" s="98" t="s">
        <v>55</v>
      </c>
      <c r="B402" s="98" t="s">
        <v>8</v>
      </c>
      <c r="C402" s="98">
        <v>0.1</v>
      </c>
      <c r="D402" s="98">
        <v>1</v>
      </c>
      <c r="E402" s="98">
        <v>9.9999999999999995E-8</v>
      </c>
      <c r="F402" s="98" t="s">
        <v>6</v>
      </c>
      <c r="G402" s="98" t="s">
        <v>5</v>
      </c>
      <c r="H402" s="98">
        <v>20</v>
      </c>
      <c r="I402" s="98">
        <v>50</v>
      </c>
      <c r="J402" s="98" t="s">
        <v>10</v>
      </c>
      <c r="K402" s="98">
        <v>24</v>
      </c>
      <c r="L402" s="98">
        <v>350</v>
      </c>
      <c r="M402" s="98">
        <v>23.379000000000001</v>
      </c>
      <c r="N402" s="98">
        <v>346.14</v>
      </c>
      <c r="O402" s="99" t="s">
        <v>1569</v>
      </c>
    </row>
    <row r="403" spans="1:15" x14ac:dyDescent="0.25">
      <c r="A403" s="98" t="s">
        <v>55</v>
      </c>
      <c r="B403" s="98" t="s">
        <v>8</v>
      </c>
      <c r="C403" s="98">
        <v>0.1</v>
      </c>
      <c r="D403" s="98">
        <v>1</v>
      </c>
      <c r="E403" s="98">
        <v>9.9999999999999995E-8</v>
      </c>
      <c r="F403" s="98" t="s">
        <v>6</v>
      </c>
      <c r="G403" s="98" t="s">
        <v>5</v>
      </c>
      <c r="H403" s="98">
        <v>0.04</v>
      </c>
      <c r="I403" s="98">
        <v>1</v>
      </c>
      <c r="J403" s="98" t="s">
        <v>10</v>
      </c>
      <c r="K403" s="98">
        <v>24</v>
      </c>
      <c r="L403" s="98">
        <v>82</v>
      </c>
      <c r="M403" s="98">
        <v>23.524000000000001</v>
      </c>
      <c r="N403" s="98">
        <v>80.444999999999993</v>
      </c>
      <c r="O403" s="99" t="s">
        <v>1573</v>
      </c>
    </row>
    <row r="404" spans="1:15" x14ac:dyDescent="0.25">
      <c r="A404" s="98" t="s">
        <v>55</v>
      </c>
      <c r="B404" s="98" t="s">
        <v>8</v>
      </c>
      <c r="C404" s="98">
        <v>0.1</v>
      </c>
      <c r="D404" s="98">
        <v>1</v>
      </c>
      <c r="E404" s="98">
        <v>9.9999999999999995E-8</v>
      </c>
      <c r="F404" s="98" t="s">
        <v>6</v>
      </c>
      <c r="G404" s="98" t="s">
        <v>5</v>
      </c>
      <c r="H404" s="98">
        <v>1000</v>
      </c>
      <c r="I404" s="98">
        <v>2000</v>
      </c>
      <c r="J404" s="98" t="s">
        <v>10</v>
      </c>
      <c r="K404" s="98">
        <v>590</v>
      </c>
      <c r="L404" s="98">
        <v>17000</v>
      </c>
      <c r="M404" s="98">
        <v>108.37</v>
      </c>
      <c r="N404" s="98">
        <v>17479</v>
      </c>
      <c r="O404" s="99" t="s">
        <v>1566</v>
      </c>
    </row>
    <row r="405" spans="1:15" x14ac:dyDescent="0.25">
      <c r="A405" s="98" t="s">
        <v>55</v>
      </c>
      <c r="B405" s="98" t="s">
        <v>8</v>
      </c>
      <c r="C405" s="98">
        <v>0.1</v>
      </c>
      <c r="D405" s="98">
        <v>1</v>
      </c>
      <c r="E405" s="98">
        <v>9.9999999999999995E-8</v>
      </c>
      <c r="F405" s="98" t="s">
        <v>6</v>
      </c>
      <c r="G405" s="98" t="s">
        <v>4</v>
      </c>
      <c r="H405" s="98">
        <v>8000</v>
      </c>
      <c r="I405" s="98">
        <v>10000</v>
      </c>
      <c r="J405" s="98" t="s">
        <v>10</v>
      </c>
      <c r="K405" s="98">
        <v>4.5999999999999996</v>
      </c>
      <c r="L405" s="98">
        <v>170</v>
      </c>
      <c r="M405" s="98">
        <v>1.1459999999999999</v>
      </c>
      <c r="N405" s="98">
        <v>173.36</v>
      </c>
      <c r="O405" s="99" t="s">
        <v>1571</v>
      </c>
    </row>
    <row r="406" spans="1:15" x14ac:dyDescent="0.25">
      <c r="A406" s="98" t="s">
        <v>55</v>
      </c>
      <c r="B406" s="98" t="s">
        <v>8</v>
      </c>
      <c r="C406" s="98">
        <v>0.1</v>
      </c>
      <c r="D406" s="98">
        <v>1</v>
      </c>
      <c r="E406" s="98">
        <v>9.9999999999999995E-7</v>
      </c>
      <c r="F406" s="98" t="s">
        <v>6</v>
      </c>
      <c r="G406" s="98" t="s">
        <v>5</v>
      </c>
      <c r="H406" s="98">
        <v>20</v>
      </c>
      <c r="I406" s="98">
        <v>50</v>
      </c>
      <c r="J406" s="98" t="s">
        <v>10</v>
      </c>
      <c r="K406" s="98">
        <v>24</v>
      </c>
      <c r="L406" s="98">
        <v>350</v>
      </c>
      <c r="M406" s="98">
        <v>23.382999999999999</v>
      </c>
      <c r="N406" s="98">
        <v>346.14</v>
      </c>
      <c r="O406" s="99" t="s">
        <v>1582</v>
      </c>
    </row>
    <row r="407" spans="1:15" x14ac:dyDescent="0.25">
      <c r="A407" s="98" t="s">
        <v>55</v>
      </c>
      <c r="B407" s="98" t="s">
        <v>8</v>
      </c>
      <c r="C407" s="98">
        <v>0.1</v>
      </c>
      <c r="D407" s="98">
        <v>1</v>
      </c>
      <c r="E407" s="98">
        <v>9.9999999999999995E-7</v>
      </c>
      <c r="F407" s="98" t="s">
        <v>6</v>
      </c>
      <c r="G407" s="98" t="s">
        <v>5</v>
      </c>
      <c r="H407" s="98">
        <v>100</v>
      </c>
      <c r="I407" s="98">
        <v>300</v>
      </c>
      <c r="J407" s="98" t="s">
        <v>10</v>
      </c>
      <c r="K407" s="98">
        <v>120</v>
      </c>
      <c r="L407" s="98">
        <v>3500</v>
      </c>
      <c r="M407" s="98">
        <v>116.47</v>
      </c>
      <c r="N407" s="98">
        <v>3463.3</v>
      </c>
      <c r="O407" s="99" t="s">
        <v>1579</v>
      </c>
    </row>
    <row r="408" spans="1:15" x14ac:dyDescent="0.25">
      <c r="A408" s="98" t="s">
        <v>55</v>
      </c>
      <c r="B408" s="98" t="s">
        <v>8</v>
      </c>
      <c r="C408" s="98">
        <v>0.1</v>
      </c>
      <c r="D408" s="98">
        <v>1</v>
      </c>
      <c r="E408" s="98">
        <v>9.9999999999999995E-7</v>
      </c>
      <c r="F408" s="98" t="s">
        <v>6</v>
      </c>
      <c r="G408" s="98" t="s">
        <v>4</v>
      </c>
      <c r="H408" s="98">
        <v>8000</v>
      </c>
      <c r="I408" s="98">
        <v>10000</v>
      </c>
      <c r="J408" s="98" t="s">
        <v>10</v>
      </c>
      <c r="K408" s="98">
        <v>4.5999999999999996</v>
      </c>
      <c r="L408" s="98">
        <v>170.12</v>
      </c>
      <c r="M408" s="98">
        <v>1.1459999999999999</v>
      </c>
      <c r="N408" s="98">
        <v>173.36</v>
      </c>
      <c r="O408" s="99" t="s">
        <v>1575</v>
      </c>
    </row>
    <row r="409" spans="1:15" x14ac:dyDescent="0.25">
      <c r="A409" s="98" t="s">
        <v>55</v>
      </c>
      <c r="B409" s="98" t="s">
        <v>8</v>
      </c>
      <c r="C409" s="98">
        <v>0.1</v>
      </c>
      <c r="D409" s="98">
        <v>1</v>
      </c>
      <c r="E409" s="98">
        <v>9.9999999999999995E-7</v>
      </c>
      <c r="F409" s="98" t="s">
        <v>6</v>
      </c>
      <c r="G409" s="98" t="s">
        <v>5</v>
      </c>
      <c r="H409" s="98">
        <v>0.04</v>
      </c>
      <c r="I409" s="98">
        <v>1</v>
      </c>
      <c r="J409" s="98" t="s">
        <v>10</v>
      </c>
      <c r="K409" s="98">
        <v>24</v>
      </c>
      <c r="L409" s="98">
        <v>82</v>
      </c>
      <c r="M409" s="98">
        <v>23.53</v>
      </c>
      <c r="N409" s="98">
        <v>80.441000000000003</v>
      </c>
      <c r="O409" s="99" t="s">
        <v>1581</v>
      </c>
    </row>
    <row r="410" spans="1:15" x14ac:dyDescent="0.25">
      <c r="A410" s="98" t="s">
        <v>55</v>
      </c>
      <c r="B410" s="98" t="s">
        <v>8</v>
      </c>
      <c r="C410" s="98">
        <v>0.1</v>
      </c>
      <c r="D410" s="98">
        <v>1</v>
      </c>
      <c r="E410" s="98">
        <v>9.9999999999999995E-7</v>
      </c>
      <c r="F410" s="98" t="s">
        <v>6</v>
      </c>
      <c r="G410" s="98" t="s">
        <v>4</v>
      </c>
      <c r="H410" s="98">
        <v>4000</v>
      </c>
      <c r="I410" s="98">
        <v>8000</v>
      </c>
      <c r="J410" s="98" t="s">
        <v>10</v>
      </c>
      <c r="K410" s="98">
        <v>1.3</v>
      </c>
      <c r="L410" s="98">
        <v>46.045999999999999</v>
      </c>
      <c r="M410" s="98">
        <v>0.91605999999999999</v>
      </c>
      <c r="N410" s="98">
        <v>46.326000000000001</v>
      </c>
      <c r="O410" s="99" t="s">
        <v>1576</v>
      </c>
    </row>
    <row r="411" spans="1:15" x14ac:dyDescent="0.25">
      <c r="A411" s="98" t="s">
        <v>55</v>
      </c>
      <c r="B411" s="98" t="s">
        <v>8</v>
      </c>
      <c r="C411" s="98">
        <v>0.1</v>
      </c>
      <c r="D411" s="98">
        <v>1</v>
      </c>
      <c r="E411" s="98">
        <v>9.9999999999999995E-7</v>
      </c>
      <c r="F411" s="98" t="s">
        <v>6</v>
      </c>
      <c r="G411" s="98" t="s">
        <v>5</v>
      </c>
      <c r="H411" s="98">
        <v>1000</v>
      </c>
      <c r="I411" s="98">
        <v>2000</v>
      </c>
      <c r="J411" s="98" t="s">
        <v>10</v>
      </c>
      <c r="K411" s="98">
        <v>590</v>
      </c>
      <c r="L411" s="98">
        <v>17152</v>
      </c>
      <c r="M411" s="98">
        <v>108.37</v>
      </c>
      <c r="N411" s="98">
        <v>17479</v>
      </c>
      <c r="O411" s="99" t="s">
        <v>2549</v>
      </c>
    </row>
    <row r="412" spans="1:15" x14ac:dyDescent="0.25">
      <c r="A412" s="98" t="s">
        <v>55</v>
      </c>
      <c r="B412" s="98" t="s">
        <v>8</v>
      </c>
      <c r="C412" s="98">
        <v>0.1</v>
      </c>
      <c r="D412" s="98">
        <v>1</v>
      </c>
      <c r="E412" s="98">
        <v>9.9999999999999995E-7</v>
      </c>
      <c r="F412" s="98" t="s">
        <v>6</v>
      </c>
      <c r="G412" s="98" t="s">
        <v>5</v>
      </c>
      <c r="H412" s="98">
        <v>1E-3</v>
      </c>
      <c r="I412" s="98">
        <v>0.04</v>
      </c>
      <c r="J412" s="98" t="s">
        <v>10</v>
      </c>
      <c r="K412" s="98">
        <v>47</v>
      </c>
      <c r="L412" s="98">
        <v>82</v>
      </c>
      <c r="M412" s="98">
        <v>80.617999999999995</v>
      </c>
      <c r="N412" s="98">
        <v>80.617999999999995</v>
      </c>
      <c r="O412" s="99" t="s">
        <v>1578</v>
      </c>
    </row>
    <row r="413" spans="1:15" x14ac:dyDescent="0.25">
      <c r="A413" s="98" t="s">
        <v>55</v>
      </c>
      <c r="B413" s="98" t="s">
        <v>8</v>
      </c>
      <c r="C413" s="98">
        <v>0.1</v>
      </c>
      <c r="D413" s="98">
        <v>1</v>
      </c>
      <c r="E413" s="98">
        <v>9.9999999999999995E-7</v>
      </c>
      <c r="F413" s="98" t="s">
        <v>6</v>
      </c>
      <c r="G413" s="98" t="s">
        <v>5</v>
      </c>
      <c r="H413" s="98">
        <v>1</v>
      </c>
      <c r="I413" s="98">
        <v>20</v>
      </c>
      <c r="J413" s="98" t="s">
        <v>10</v>
      </c>
      <c r="K413" s="98">
        <v>26</v>
      </c>
      <c r="L413" s="98">
        <v>160</v>
      </c>
      <c r="M413" s="98">
        <v>23.442</v>
      </c>
      <c r="N413" s="98">
        <v>161.34</v>
      </c>
      <c r="O413" s="99" t="s">
        <v>1580</v>
      </c>
    </row>
    <row r="414" spans="1:15" x14ac:dyDescent="0.25">
      <c r="A414" s="98" t="s">
        <v>55</v>
      </c>
      <c r="B414" s="98" t="s">
        <v>8</v>
      </c>
      <c r="C414" s="98">
        <v>0.1</v>
      </c>
      <c r="D414" s="98">
        <v>1</v>
      </c>
      <c r="E414" s="98">
        <v>9.9999999999999995E-7</v>
      </c>
      <c r="F414" s="98" t="s">
        <v>6</v>
      </c>
      <c r="G414" s="98" t="s">
        <v>4</v>
      </c>
      <c r="H414" s="98">
        <v>2000</v>
      </c>
      <c r="I414" s="98">
        <v>4000</v>
      </c>
      <c r="J414" s="98" t="s">
        <v>10</v>
      </c>
      <c r="K414" s="98">
        <v>1.2</v>
      </c>
      <c r="L414" s="98">
        <v>46.029000000000003</v>
      </c>
      <c r="M414" s="98">
        <v>0.80071999999999999</v>
      </c>
      <c r="N414" s="98">
        <v>46.326000000000001</v>
      </c>
      <c r="O414" s="99" t="s">
        <v>1574</v>
      </c>
    </row>
    <row r="415" spans="1:15" x14ac:dyDescent="0.25">
      <c r="A415" s="98" t="s">
        <v>55</v>
      </c>
      <c r="B415" s="98" t="s">
        <v>8</v>
      </c>
      <c r="C415" s="98">
        <v>0.1</v>
      </c>
      <c r="D415" s="98">
        <v>1</v>
      </c>
      <c r="E415" s="98">
        <v>9.9999999999999995E-7</v>
      </c>
      <c r="F415" s="98" t="s">
        <v>6</v>
      </c>
      <c r="G415" s="98" t="s">
        <v>5</v>
      </c>
      <c r="H415" s="98">
        <v>50</v>
      </c>
      <c r="I415" s="98">
        <v>100</v>
      </c>
      <c r="J415" s="98" t="s">
        <v>10</v>
      </c>
      <c r="K415" s="98">
        <v>27</v>
      </c>
      <c r="L415" s="98">
        <v>935.56</v>
      </c>
      <c r="M415" s="98">
        <v>23.148</v>
      </c>
      <c r="N415" s="98">
        <v>938.85</v>
      </c>
      <c r="O415" s="99" t="s">
        <v>1577</v>
      </c>
    </row>
    <row r="416" spans="1:15" x14ac:dyDescent="0.25">
      <c r="A416" s="98" t="s">
        <v>55</v>
      </c>
      <c r="B416" s="98" t="s">
        <v>8</v>
      </c>
      <c r="C416" s="98">
        <v>0.1</v>
      </c>
      <c r="D416" s="98">
        <v>1</v>
      </c>
      <c r="E416" s="98">
        <v>9.9999999999999995E-7</v>
      </c>
      <c r="F416" s="98" t="s">
        <v>6</v>
      </c>
      <c r="G416" s="98" t="s">
        <v>5</v>
      </c>
      <c r="H416" s="98">
        <v>300</v>
      </c>
      <c r="I416" s="98">
        <v>1000</v>
      </c>
      <c r="J416" s="98" t="s">
        <v>10</v>
      </c>
      <c r="K416" s="98">
        <v>120</v>
      </c>
      <c r="L416" s="98">
        <v>12000</v>
      </c>
      <c r="M416" s="98">
        <v>110.73</v>
      </c>
      <c r="N416" s="98">
        <v>11675</v>
      </c>
      <c r="O416" s="99" t="s">
        <v>2548</v>
      </c>
    </row>
    <row r="417" spans="1:15" x14ac:dyDescent="0.25">
      <c r="A417" s="98" t="s">
        <v>55</v>
      </c>
      <c r="B417" s="98" t="s">
        <v>8</v>
      </c>
      <c r="C417" s="98">
        <v>0.1</v>
      </c>
      <c r="D417" s="98">
        <v>1</v>
      </c>
      <c r="E417" s="98">
        <v>1.0000000000000001E-5</v>
      </c>
      <c r="F417" s="98" t="s">
        <v>6</v>
      </c>
      <c r="G417" s="98" t="s">
        <v>5</v>
      </c>
      <c r="H417" s="98">
        <v>50</v>
      </c>
      <c r="I417" s="98">
        <v>100</v>
      </c>
      <c r="J417" s="98" t="s">
        <v>10</v>
      </c>
      <c r="K417" s="98">
        <v>27</v>
      </c>
      <c r="L417" s="98">
        <v>935.62</v>
      </c>
      <c r="M417" s="98">
        <v>23.297999999999998</v>
      </c>
      <c r="N417" s="98">
        <v>938.72</v>
      </c>
      <c r="O417" s="99" t="s">
        <v>1589</v>
      </c>
    </row>
    <row r="418" spans="1:15" x14ac:dyDescent="0.25">
      <c r="A418" s="98" t="s">
        <v>55</v>
      </c>
      <c r="B418" s="98" t="s">
        <v>8</v>
      </c>
      <c r="C418" s="98">
        <v>0.1</v>
      </c>
      <c r="D418" s="98">
        <v>1</v>
      </c>
      <c r="E418" s="98">
        <v>1.0000000000000001E-5</v>
      </c>
      <c r="F418" s="98" t="s">
        <v>6</v>
      </c>
      <c r="G418" s="98" t="s">
        <v>5</v>
      </c>
      <c r="H418" s="98">
        <v>1E-3</v>
      </c>
      <c r="I418" s="98">
        <v>0.04</v>
      </c>
      <c r="J418" s="98" t="s">
        <v>10</v>
      </c>
      <c r="K418" s="98">
        <v>47</v>
      </c>
      <c r="L418" s="98">
        <v>82</v>
      </c>
      <c r="M418" s="98">
        <v>80.426000000000002</v>
      </c>
      <c r="N418" s="98">
        <v>80.426000000000002</v>
      </c>
      <c r="O418" s="99" t="s">
        <v>1583</v>
      </c>
    </row>
    <row r="419" spans="1:15" x14ac:dyDescent="0.25">
      <c r="A419" s="98" t="s">
        <v>55</v>
      </c>
      <c r="B419" s="98" t="s">
        <v>8</v>
      </c>
      <c r="C419" s="98">
        <v>0.1</v>
      </c>
      <c r="D419" s="98">
        <v>1</v>
      </c>
      <c r="E419" s="98">
        <v>1.0000000000000001E-5</v>
      </c>
      <c r="F419" s="98" t="s">
        <v>6</v>
      </c>
      <c r="G419" s="98" t="s">
        <v>5</v>
      </c>
      <c r="H419" s="98">
        <v>300</v>
      </c>
      <c r="I419" s="98">
        <v>1000</v>
      </c>
      <c r="J419" s="98" t="s">
        <v>10</v>
      </c>
      <c r="K419" s="98">
        <v>120</v>
      </c>
      <c r="L419" s="98">
        <v>12000</v>
      </c>
      <c r="M419" s="98">
        <v>110.73</v>
      </c>
      <c r="N419" s="98">
        <v>11675</v>
      </c>
      <c r="O419" s="99" t="s">
        <v>1588</v>
      </c>
    </row>
    <row r="420" spans="1:15" x14ac:dyDescent="0.25">
      <c r="A420" s="98" t="s">
        <v>55</v>
      </c>
      <c r="B420" s="98" t="s">
        <v>8</v>
      </c>
      <c r="C420" s="98">
        <v>0.1</v>
      </c>
      <c r="D420" s="98">
        <v>1</v>
      </c>
      <c r="E420" s="98">
        <v>1.0000000000000001E-5</v>
      </c>
      <c r="F420" s="98" t="s">
        <v>6</v>
      </c>
      <c r="G420" s="98" t="s">
        <v>5</v>
      </c>
      <c r="H420" s="98">
        <v>0.04</v>
      </c>
      <c r="I420" s="98">
        <v>1</v>
      </c>
      <c r="J420" s="98" t="s">
        <v>10</v>
      </c>
      <c r="K420" s="98">
        <v>24</v>
      </c>
      <c r="L420" s="98">
        <v>82</v>
      </c>
      <c r="M420" s="98">
        <v>24.088000000000001</v>
      </c>
      <c r="N420" s="98">
        <v>80.040999999999997</v>
      </c>
      <c r="O420" s="99" t="s">
        <v>2550</v>
      </c>
    </row>
    <row r="421" spans="1:15" x14ac:dyDescent="0.25">
      <c r="A421" s="98" t="s">
        <v>55</v>
      </c>
      <c r="B421" s="98" t="s">
        <v>8</v>
      </c>
      <c r="C421" s="98">
        <v>0.1</v>
      </c>
      <c r="D421" s="98">
        <v>1</v>
      </c>
      <c r="E421" s="98">
        <v>1.0000000000000001E-5</v>
      </c>
      <c r="F421" s="98" t="s">
        <v>6</v>
      </c>
      <c r="G421" s="98" t="s">
        <v>4</v>
      </c>
      <c r="H421" s="98">
        <v>8000</v>
      </c>
      <c r="I421" s="98">
        <v>10000</v>
      </c>
      <c r="J421" s="98" t="s">
        <v>10</v>
      </c>
      <c r="K421" s="98">
        <v>4.5999999999999996</v>
      </c>
      <c r="L421" s="98">
        <v>170.12</v>
      </c>
      <c r="M421" s="98">
        <v>1.1459999999999999</v>
      </c>
      <c r="N421" s="98">
        <v>173.36</v>
      </c>
      <c r="O421" s="99" t="s">
        <v>2551</v>
      </c>
    </row>
    <row r="422" spans="1:15" x14ac:dyDescent="0.25">
      <c r="A422" s="98" t="s">
        <v>55</v>
      </c>
      <c r="B422" s="98" t="s">
        <v>8</v>
      </c>
      <c r="C422" s="98">
        <v>0.1</v>
      </c>
      <c r="D422" s="98">
        <v>1</v>
      </c>
      <c r="E422" s="98">
        <v>1.0000000000000001E-5</v>
      </c>
      <c r="F422" s="98" t="s">
        <v>6</v>
      </c>
      <c r="G422" s="98" t="s">
        <v>5</v>
      </c>
      <c r="H422" s="98">
        <v>100</v>
      </c>
      <c r="I422" s="98">
        <v>300</v>
      </c>
      <c r="J422" s="98" t="s">
        <v>10</v>
      </c>
      <c r="K422" s="98">
        <v>120</v>
      </c>
      <c r="L422" s="98">
        <v>3500</v>
      </c>
      <c r="M422" s="98">
        <v>116.55</v>
      </c>
      <c r="N422" s="98">
        <v>3463.2</v>
      </c>
      <c r="O422" s="99" t="s">
        <v>2552</v>
      </c>
    </row>
    <row r="423" spans="1:15" x14ac:dyDescent="0.25">
      <c r="A423" s="98" t="s">
        <v>55</v>
      </c>
      <c r="B423" s="98" t="s">
        <v>8</v>
      </c>
      <c r="C423" s="98">
        <v>0.1</v>
      </c>
      <c r="D423" s="98">
        <v>1</v>
      </c>
      <c r="E423" s="98">
        <v>1.0000000000000001E-5</v>
      </c>
      <c r="F423" s="98" t="s">
        <v>6</v>
      </c>
      <c r="G423" s="98" t="s">
        <v>5</v>
      </c>
      <c r="H423" s="98">
        <v>1000</v>
      </c>
      <c r="I423" s="98">
        <v>2000</v>
      </c>
      <c r="J423" s="98" t="s">
        <v>10</v>
      </c>
      <c r="K423" s="98">
        <v>590</v>
      </c>
      <c r="L423" s="98">
        <v>17152</v>
      </c>
      <c r="M423" s="98">
        <v>108.38</v>
      </c>
      <c r="N423" s="98">
        <v>17479</v>
      </c>
      <c r="O423" s="99" t="s">
        <v>1586</v>
      </c>
    </row>
    <row r="424" spans="1:15" x14ac:dyDescent="0.25">
      <c r="A424" s="98" t="s">
        <v>55</v>
      </c>
      <c r="B424" s="98" t="s">
        <v>8</v>
      </c>
      <c r="C424" s="98">
        <v>0.1</v>
      </c>
      <c r="D424" s="98">
        <v>1</v>
      </c>
      <c r="E424" s="98">
        <v>1.0000000000000001E-5</v>
      </c>
      <c r="F424" s="98" t="s">
        <v>6</v>
      </c>
      <c r="G424" s="98" t="s">
        <v>4</v>
      </c>
      <c r="H424" s="98">
        <v>2000</v>
      </c>
      <c r="I424" s="98">
        <v>4000</v>
      </c>
      <c r="J424" s="98" t="s">
        <v>10</v>
      </c>
      <c r="K424" s="98">
        <v>1.2</v>
      </c>
      <c r="L424" s="98">
        <v>46.029000000000003</v>
      </c>
      <c r="M424" s="98">
        <v>0.80073000000000005</v>
      </c>
      <c r="N424" s="98">
        <v>46.326000000000001</v>
      </c>
      <c r="O424" s="99" t="s">
        <v>1590</v>
      </c>
    </row>
    <row r="425" spans="1:15" x14ac:dyDescent="0.25">
      <c r="A425" s="98" t="s">
        <v>55</v>
      </c>
      <c r="B425" s="98" t="s">
        <v>8</v>
      </c>
      <c r="C425" s="98">
        <v>0.1</v>
      </c>
      <c r="D425" s="98">
        <v>1</v>
      </c>
      <c r="E425" s="98">
        <v>1.0000000000000001E-5</v>
      </c>
      <c r="F425" s="98" t="s">
        <v>6</v>
      </c>
      <c r="G425" s="98" t="s">
        <v>5</v>
      </c>
      <c r="H425" s="98">
        <v>20</v>
      </c>
      <c r="I425" s="98">
        <v>50</v>
      </c>
      <c r="J425" s="98" t="s">
        <v>10</v>
      </c>
      <c r="K425" s="98">
        <v>24</v>
      </c>
      <c r="L425" s="98">
        <v>350</v>
      </c>
      <c r="M425" s="98">
        <v>23.693000000000001</v>
      </c>
      <c r="N425" s="98">
        <v>345.87</v>
      </c>
      <c r="O425" s="99" t="s">
        <v>1587</v>
      </c>
    </row>
    <row r="426" spans="1:15" x14ac:dyDescent="0.25">
      <c r="A426" s="98" t="s">
        <v>55</v>
      </c>
      <c r="B426" s="98" t="s">
        <v>8</v>
      </c>
      <c r="C426" s="98">
        <v>0.1</v>
      </c>
      <c r="D426" s="98">
        <v>1</v>
      </c>
      <c r="E426" s="98">
        <v>1.0000000000000001E-5</v>
      </c>
      <c r="F426" s="98" t="s">
        <v>6</v>
      </c>
      <c r="G426" s="98" t="s">
        <v>5</v>
      </c>
      <c r="H426" s="98">
        <v>1</v>
      </c>
      <c r="I426" s="98">
        <v>20</v>
      </c>
      <c r="J426" s="98" t="s">
        <v>10</v>
      </c>
      <c r="K426" s="98">
        <v>26</v>
      </c>
      <c r="L426" s="98">
        <v>160</v>
      </c>
      <c r="M426" s="98">
        <v>23.893000000000001</v>
      </c>
      <c r="N426" s="98">
        <v>160.97999999999999</v>
      </c>
      <c r="O426" s="99" t="s">
        <v>1585</v>
      </c>
    </row>
    <row r="427" spans="1:15" x14ac:dyDescent="0.25">
      <c r="A427" s="98" t="s">
        <v>55</v>
      </c>
      <c r="B427" s="98" t="s">
        <v>8</v>
      </c>
      <c r="C427" s="98">
        <v>0.1</v>
      </c>
      <c r="D427" s="98">
        <v>1</v>
      </c>
      <c r="E427" s="98">
        <v>1.0000000000000001E-5</v>
      </c>
      <c r="F427" s="98" t="s">
        <v>6</v>
      </c>
      <c r="G427" s="98" t="s">
        <v>4</v>
      </c>
      <c r="H427" s="98">
        <v>4000</v>
      </c>
      <c r="I427" s="98">
        <v>8000</v>
      </c>
      <c r="J427" s="98" t="s">
        <v>10</v>
      </c>
      <c r="K427" s="98">
        <v>1.3</v>
      </c>
      <c r="L427" s="98">
        <v>46.045999999999999</v>
      </c>
      <c r="M427" s="98">
        <v>0.91607000000000005</v>
      </c>
      <c r="N427" s="98">
        <v>46.326000000000001</v>
      </c>
      <c r="O427" s="99" t="s">
        <v>1584</v>
      </c>
    </row>
    <row r="428" spans="1:15" x14ac:dyDescent="0.25">
      <c r="A428" s="98" t="s">
        <v>55</v>
      </c>
      <c r="B428" s="98" t="s">
        <v>8</v>
      </c>
      <c r="C428" s="98">
        <v>0.1</v>
      </c>
      <c r="D428" s="98">
        <v>1</v>
      </c>
      <c r="E428" s="98">
        <v>1E-4</v>
      </c>
      <c r="F428" s="98" t="s">
        <v>6</v>
      </c>
      <c r="G428" s="98" t="s">
        <v>4</v>
      </c>
      <c r="H428" s="98">
        <v>8000</v>
      </c>
      <c r="I428" s="98">
        <v>10000</v>
      </c>
      <c r="J428" s="98" t="s">
        <v>10</v>
      </c>
      <c r="K428" s="98">
        <v>4.5999999999999996</v>
      </c>
      <c r="L428" s="98">
        <v>170.12</v>
      </c>
      <c r="M428" s="98">
        <v>1.1460999999999999</v>
      </c>
      <c r="N428" s="98">
        <v>173.36</v>
      </c>
      <c r="O428" s="99" t="s">
        <v>1596</v>
      </c>
    </row>
    <row r="429" spans="1:15" x14ac:dyDescent="0.25">
      <c r="A429" s="98" t="s">
        <v>55</v>
      </c>
      <c r="B429" s="98" t="s">
        <v>8</v>
      </c>
      <c r="C429" s="98">
        <v>0.1</v>
      </c>
      <c r="D429" s="98">
        <v>1</v>
      </c>
      <c r="E429" s="98">
        <v>1E-4</v>
      </c>
      <c r="F429" s="98" t="s">
        <v>6</v>
      </c>
      <c r="G429" s="98" t="s">
        <v>5</v>
      </c>
      <c r="H429" s="98">
        <v>300</v>
      </c>
      <c r="I429" s="98">
        <v>1000</v>
      </c>
      <c r="J429" s="98" t="s">
        <v>10</v>
      </c>
      <c r="K429" s="98">
        <v>120</v>
      </c>
      <c r="L429" s="98">
        <v>12000</v>
      </c>
      <c r="M429" s="98">
        <v>111.87</v>
      </c>
      <c r="N429" s="98">
        <v>11674</v>
      </c>
      <c r="O429" s="99" t="s">
        <v>1593</v>
      </c>
    </row>
    <row r="430" spans="1:15" x14ac:dyDescent="0.25">
      <c r="A430" s="98" t="s">
        <v>55</v>
      </c>
      <c r="B430" s="98" t="s">
        <v>8</v>
      </c>
      <c r="C430" s="98">
        <v>0.1</v>
      </c>
      <c r="D430" s="98">
        <v>1</v>
      </c>
      <c r="E430" s="98">
        <v>1E-4</v>
      </c>
      <c r="F430" s="98" t="s">
        <v>6</v>
      </c>
      <c r="G430" s="98" t="s">
        <v>5</v>
      </c>
      <c r="H430" s="98">
        <v>20</v>
      </c>
      <c r="I430" s="98">
        <v>50</v>
      </c>
      <c r="J430" s="98" t="s">
        <v>10</v>
      </c>
      <c r="K430" s="98">
        <v>49.713000000000001</v>
      </c>
      <c r="L430" s="98">
        <v>324.48</v>
      </c>
      <c r="M430" s="98">
        <v>49.371000000000002</v>
      </c>
      <c r="N430" s="98">
        <v>324.63</v>
      </c>
      <c r="O430" s="99" t="s">
        <v>1598</v>
      </c>
    </row>
    <row r="431" spans="1:15" x14ac:dyDescent="0.25">
      <c r="A431" s="98" t="s">
        <v>55</v>
      </c>
      <c r="B431" s="98" t="s">
        <v>8</v>
      </c>
      <c r="C431" s="98">
        <v>0.1</v>
      </c>
      <c r="D431" s="98">
        <v>1</v>
      </c>
      <c r="E431" s="98">
        <v>1E-4</v>
      </c>
      <c r="F431" s="98" t="s">
        <v>6</v>
      </c>
      <c r="G431" s="98" t="s">
        <v>5</v>
      </c>
      <c r="H431" s="98">
        <v>0.04</v>
      </c>
      <c r="I431" s="98">
        <v>1</v>
      </c>
      <c r="J431" s="98" t="s">
        <v>10</v>
      </c>
      <c r="K431" s="98">
        <v>59.942999999999998</v>
      </c>
      <c r="L431" s="98">
        <v>59.048999999999999</v>
      </c>
      <c r="M431" s="98">
        <v>59.9</v>
      </c>
      <c r="N431" s="98">
        <v>59.024000000000001</v>
      </c>
      <c r="O431" s="99" t="s">
        <v>2553</v>
      </c>
    </row>
    <row r="432" spans="1:15" x14ac:dyDescent="0.25">
      <c r="A432" s="98" t="s">
        <v>55</v>
      </c>
      <c r="B432" s="98" t="s">
        <v>8</v>
      </c>
      <c r="C432" s="98">
        <v>0.1</v>
      </c>
      <c r="D432" s="98">
        <v>1</v>
      </c>
      <c r="E432" s="98">
        <v>1E-4</v>
      </c>
      <c r="F432" s="98" t="s">
        <v>6</v>
      </c>
      <c r="G432" s="98" t="s">
        <v>5</v>
      </c>
      <c r="H432" s="98">
        <v>100</v>
      </c>
      <c r="I432" s="98">
        <v>300</v>
      </c>
      <c r="J432" s="98" t="s">
        <v>10</v>
      </c>
      <c r="K432" s="98">
        <v>120</v>
      </c>
      <c r="L432" s="98">
        <v>3500</v>
      </c>
      <c r="M432" s="98">
        <v>120.41</v>
      </c>
      <c r="N432" s="98">
        <v>3459.8</v>
      </c>
      <c r="O432" s="99" t="s">
        <v>1592</v>
      </c>
    </row>
    <row r="433" spans="1:15" x14ac:dyDescent="0.25">
      <c r="A433" s="98" t="s">
        <v>55</v>
      </c>
      <c r="B433" s="98" t="s">
        <v>8</v>
      </c>
      <c r="C433" s="98">
        <v>0.1</v>
      </c>
      <c r="D433" s="98">
        <v>1</v>
      </c>
      <c r="E433" s="98">
        <v>1E-4</v>
      </c>
      <c r="F433" s="98" t="s">
        <v>6</v>
      </c>
      <c r="G433" s="98" t="s">
        <v>5</v>
      </c>
      <c r="H433" s="98">
        <v>1</v>
      </c>
      <c r="I433" s="98">
        <v>20</v>
      </c>
      <c r="J433" s="98" t="s">
        <v>10</v>
      </c>
      <c r="K433" s="98">
        <v>56.377000000000002</v>
      </c>
      <c r="L433" s="98">
        <v>137.35</v>
      </c>
      <c r="M433" s="98">
        <v>56.262</v>
      </c>
      <c r="N433" s="98">
        <v>137.33000000000001</v>
      </c>
      <c r="O433" s="99" t="s">
        <v>2555</v>
      </c>
    </row>
    <row r="434" spans="1:15" x14ac:dyDescent="0.25">
      <c r="A434" s="98" t="s">
        <v>55</v>
      </c>
      <c r="B434" s="98" t="s">
        <v>8</v>
      </c>
      <c r="C434" s="98">
        <v>0.1</v>
      </c>
      <c r="D434" s="98">
        <v>1</v>
      </c>
      <c r="E434" s="98">
        <v>1E-4</v>
      </c>
      <c r="F434" s="98" t="s">
        <v>6</v>
      </c>
      <c r="G434" s="98" t="s">
        <v>5</v>
      </c>
      <c r="H434" s="98">
        <v>1E-3</v>
      </c>
      <c r="I434" s="98">
        <v>0.04</v>
      </c>
      <c r="J434" s="98" t="s">
        <v>10</v>
      </c>
      <c r="K434" s="98">
        <v>72.742999999999995</v>
      </c>
      <c r="L434" s="98">
        <v>66.872</v>
      </c>
      <c r="M434" s="98">
        <v>66.849000000000004</v>
      </c>
      <c r="N434" s="98">
        <v>66.849000000000004</v>
      </c>
      <c r="O434" s="99" t="s">
        <v>1591</v>
      </c>
    </row>
    <row r="435" spans="1:15" x14ac:dyDescent="0.25">
      <c r="A435" s="98" t="s">
        <v>55</v>
      </c>
      <c r="B435" s="98" t="s">
        <v>8</v>
      </c>
      <c r="C435" s="98">
        <v>0.1</v>
      </c>
      <c r="D435" s="98">
        <v>1</v>
      </c>
      <c r="E435" s="98">
        <v>1E-4</v>
      </c>
      <c r="F435" s="98" t="s">
        <v>6</v>
      </c>
      <c r="G435" s="98" t="s">
        <v>5</v>
      </c>
      <c r="H435" s="98">
        <v>50</v>
      </c>
      <c r="I435" s="98">
        <v>100</v>
      </c>
      <c r="J435" s="98" t="s">
        <v>10</v>
      </c>
      <c r="K435" s="98">
        <v>38.506</v>
      </c>
      <c r="L435" s="98">
        <v>925.39</v>
      </c>
      <c r="M435" s="98">
        <v>37.912999999999997</v>
      </c>
      <c r="N435" s="98">
        <v>925.82</v>
      </c>
      <c r="O435" s="99" t="s">
        <v>1594</v>
      </c>
    </row>
    <row r="436" spans="1:15" x14ac:dyDescent="0.25">
      <c r="A436" s="98" t="s">
        <v>55</v>
      </c>
      <c r="B436" s="98" t="s">
        <v>8</v>
      </c>
      <c r="C436" s="98">
        <v>0.1</v>
      </c>
      <c r="D436" s="98">
        <v>1</v>
      </c>
      <c r="E436" s="98">
        <v>1E-4</v>
      </c>
      <c r="F436" s="98" t="s">
        <v>6</v>
      </c>
      <c r="G436" s="98" t="s">
        <v>5</v>
      </c>
      <c r="H436" s="98">
        <v>1000</v>
      </c>
      <c r="I436" s="98">
        <v>2000</v>
      </c>
      <c r="J436" s="98" t="s">
        <v>10</v>
      </c>
      <c r="K436" s="98">
        <v>590</v>
      </c>
      <c r="L436" s="98">
        <v>17152</v>
      </c>
      <c r="M436" s="98">
        <v>109.37</v>
      </c>
      <c r="N436" s="98">
        <v>17478</v>
      </c>
      <c r="O436" s="99" t="s">
        <v>2554</v>
      </c>
    </row>
    <row r="437" spans="1:15" x14ac:dyDescent="0.25">
      <c r="A437" s="98" t="s">
        <v>55</v>
      </c>
      <c r="B437" s="98" t="s">
        <v>8</v>
      </c>
      <c r="C437" s="98">
        <v>0.1</v>
      </c>
      <c r="D437" s="98">
        <v>1</v>
      </c>
      <c r="E437" s="98">
        <v>1E-4</v>
      </c>
      <c r="F437" s="98" t="s">
        <v>6</v>
      </c>
      <c r="G437" s="98" t="s">
        <v>4</v>
      </c>
      <c r="H437" s="98">
        <v>4000</v>
      </c>
      <c r="I437" s="98">
        <v>8000</v>
      </c>
      <c r="J437" s="98" t="s">
        <v>10</v>
      </c>
      <c r="K437" s="98">
        <v>1.3</v>
      </c>
      <c r="L437" s="98">
        <v>46.045999999999999</v>
      </c>
      <c r="M437" s="98">
        <v>0.91664999999999996</v>
      </c>
      <c r="N437" s="98">
        <v>46.325000000000003</v>
      </c>
      <c r="O437" s="99" t="s">
        <v>1595</v>
      </c>
    </row>
    <row r="438" spans="1:15" x14ac:dyDescent="0.25">
      <c r="A438" s="98" t="s">
        <v>55</v>
      </c>
      <c r="B438" s="98" t="s">
        <v>8</v>
      </c>
      <c r="C438" s="98">
        <v>0.1</v>
      </c>
      <c r="D438" s="98">
        <v>1</v>
      </c>
      <c r="E438" s="98">
        <v>1E-4</v>
      </c>
      <c r="F438" s="98" t="s">
        <v>6</v>
      </c>
      <c r="G438" s="98" t="s">
        <v>4</v>
      </c>
      <c r="H438" s="98">
        <v>2000</v>
      </c>
      <c r="I438" s="98">
        <v>4000</v>
      </c>
      <c r="J438" s="98" t="s">
        <v>10</v>
      </c>
      <c r="K438" s="98">
        <v>1.2</v>
      </c>
      <c r="L438" s="98">
        <v>46.03</v>
      </c>
      <c r="M438" s="98">
        <v>0.80149999999999999</v>
      </c>
      <c r="N438" s="98">
        <v>46.325000000000003</v>
      </c>
      <c r="O438" s="99" t="s">
        <v>1597</v>
      </c>
    </row>
    <row r="439" spans="1:15" x14ac:dyDescent="0.25">
      <c r="A439" s="98" t="s">
        <v>55</v>
      </c>
      <c r="B439" s="98" t="s">
        <v>8</v>
      </c>
      <c r="C439" s="98">
        <v>0.1</v>
      </c>
      <c r="D439" s="98">
        <v>1</v>
      </c>
      <c r="E439" s="98">
        <v>1E-3</v>
      </c>
      <c r="F439" s="98" t="s">
        <v>6</v>
      </c>
      <c r="G439" s="98" t="s">
        <v>5</v>
      </c>
      <c r="H439" s="98">
        <v>20</v>
      </c>
      <c r="I439" s="98">
        <v>50</v>
      </c>
      <c r="J439" s="98" t="s">
        <v>10</v>
      </c>
      <c r="K439" s="98">
        <v>568.73</v>
      </c>
      <c r="L439" s="98">
        <v>117.17</v>
      </c>
      <c r="M439" s="98">
        <v>568.57000000000005</v>
      </c>
      <c r="N439" s="98">
        <v>116.91</v>
      </c>
      <c r="O439" s="99" t="s">
        <v>1603</v>
      </c>
    </row>
    <row r="440" spans="1:15" x14ac:dyDescent="0.25">
      <c r="A440" s="98" t="s">
        <v>55</v>
      </c>
      <c r="B440" s="98" t="s">
        <v>8</v>
      </c>
      <c r="C440" s="98">
        <v>0.1</v>
      </c>
      <c r="D440" s="98">
        <v>1</v>
      </c>
      <c r="E440" s="98">
        <v>1E-3</v>
      </c>
      <c r="F440" s="98" t="s">
        <v>6</v>
      </c>
      <c r="G440" s="98" t="s">
        <v>5</v>
      </c>
      <c r="H440" s="98">
        <v>1000</v>
      </c>
      <c r="I440" s="98">
        <v>2000</v>
      </c>
      <c r="J440" s="98" t="s">
        <v>10</v>
      </c>
      <c r="K440" s="98">
        <v>590</v>
      </c>
      <c r="L440" s="98">
        <v>17163</v>
      </c>
      <c r="M440" s="98">
        <v>204.79</v>
      </c>
      <c r="N440" s="98">
        <v>17392</v>
      </c>
      <c r="O440" s="99" t="s">
        <v>1605</v>
      </c>
    </row>
    <row r="441" spans="1:15" x14ac:dyDescent="0.25">
      <c r="A441" s="98" t="s">
        <v>55</v>
      </c>
      <c r="B441" s="98" t="s">
        <v>8</v>
      </c>
      <c r="C441" s="98">
        <v>0.1</v>
      </c>
      <c r="D441" s="98">
        <v>1</v>
      </c>
      <c r="E441" s="98">
        <v>1E-3</v>
      </c>
      <c r="F441" s="98" t="s">
        <v>6</v>
      </c>
      <c r="G441" s="98" t="s">
        <v>5</v>
      </c>
      <c r="H441" s="98">
        <v>1</v>
      </c>
      <c r="I441" s="98">
        <v>20</v>
      </c>
      <c r="J441" s="98" t="s">
        <v>10</v>
      </c>
      <c r="K441" s="98">
        <v>575.70000000000005</v>
      </c>
      <c r="L441" s="98">
        <v>30.683</v>
      </c>
      <c r="M441" s="98">
        <v>575.66</v>
      </c>
      <c r="N441" s="98">
        <v>30.547999999999998</v>
      </c>
      <c r="O441" s="99" t="s">
        <v>1599</v>
      </c>
    </row>
    <row r="442" spans="1:15" x14ac:dyDescent="0.25">
      <c r="A442" s="98" t="s">
        <v>55</v>
      </c>
      <c r="B442" s="98" t="s">
        <v>8</v>
      </c>
      <c r="C442" s="98">
        <v>0.1</v>
      </c>
      <c r="D442" s="98">
        <v>1</v>
      </c>
      <c r="E442" s="98">
        <v>1E-3</v>
      </c>
      <c r="F442" s="98" t="s">
        <v>6</v>
      </c>
      <c r="G442" s="98" t="s">
        <v>5</v>
      </c>
      <c r="H442" s="98">
        <v>100</v>
      </c>
      <c r="I442" s="98">
        <v>300</v>
      </c>
      <c r="J442" s="98" t="s">
        <v>10</v>
      </c>
      <c r="K442" s="98">
        <v>420.55</v>
      </c>
      <c r="L442" s="98">
        <v>3205.9</v>
      </c>
      <c r="M442" s="98">
        <v>419.31</v>
      </c>
      <c r="N442" s="98">
        <v>3206.7</v>
      </c>
      <c r="O442" s="99" t="s">
        <v>2557</v>
      </c>
    </row>
    <row r="443" spans="1:15" x14ac:dyDescent="0.25">
      <c r="A443" s="98" t="s">
        <v>55</v>
      </c>
      <c r="B443" s="98" t="s">
        <v>8</v>
      </c>
      <c r="C443" s="98">
        <v>0.1</v>
      </c>
      <c r="D443" s="98">
        <v>1</v>
      </c>
      <c r="E443" s="98">
        <v>1E-3</v>
      </c>
      <c r="F443" s="98" t="s">
        <v>6</v>
      </c>
      <c r="G443" s="98" t="s">
        <v>4</v>
      </c>
      <c r="H443" s="98">
        <v>4000</v>
      </c>
      <c r="I443" s="98">
        <v>8000</v>
      </c>
      <c r="J443" s="98" t="s">
        <v>10</v>
      </c>
      <c r="K443" s="98">
        <v>1.3</v>
      </c>
      <c r="L443" s="98">
        <v>46.051000000000002</v>
      </c>
      <c r="M443" s="98">
        <v>0.94915000000000005</v>
      </c>
      <c r="N443" s="98">
        <v>46.295999999999999</v>
      </c>
      <c r="O443" s="99" t="s">
        <v>2556</v>
      </c>
    </row>
    <row r="444" spans="1:15" x14ac:dyDescent="0.25">
      <c r="A444" s="98" t="s">
        <v>55</v>
      </c>
      <c r="B444" s="98" t="s">
        <v>8</v>
      </c>
      <c r="C444" s="98">
        <v>0.1</v>
      </c>
      <c r="D444" s="98">
        <v>1</v>
      </c>
      <c r="E444" s="98">
        <v>1E-3</v>
      </c>
      <c r="F444" s="98" t="s">
        <v>6</v>
      </c>
      <c r="G444" s="98" t="s">
        <v>5</v>
      </c>
      <c r="H444" s="98">
        <v>0.04</v>
      </c>
      <c r="I444" s="98">
        <v>1</v>
      </c>
      <c r="J444" s="98" t="s">
        <v>10</v>
      </c>
      <c r="K444" s="98">
        <v>577.29999999999995</v>
      </c>
      <c r="L444" s="98">
        <v>9.3986000000000001</v>
      </c>
      <c r="M444" s="98">
        <v>577.28</v>
      </c>
      <c r="N444" s="98">
        <v>9.3602000000000007</v>
      </c>
      <c r="O444" s="99" t="s">
        <v>1600</v>
      </c>
    </row>
    <row r="445" spans="1:15" x14ac:dyDescent="0.25">
      <c r="A445" s="98" t="s">
        <v>55</v>
      </c>
      <c r="B445" s="98" t="s">
        <v>8</v>
      </c>
      <c r="C445" s="98">
        <v>0.1</v>
      </c>
      <c r="D445" s="98">
        <v>1</v>
      </c>
      <c r="E445" s="98">
        <v>1E-3</v>
      </c>
      <c r="F445" s="98" t="s">
        <v>6</v>
      </c>
      <c r="G445" s="98" t="s">
        <v>4</v>
      </c>
      <c r="H445" s="98">
        <v>2000</v>
      </c>
      <c r="I445" s="98">
        <v>4000</v>
      </c>
      <c r="J445" s="98" t="s">
        <v>10</v>
      </c>
      <c r="K445" s="98">
        <v>1.2</v>
      </c>
      <c r="L445" s="98">
        <v>46.033999999999999</v>
      </c>
      <c r="M445" s="98">
        <v>0.83431</v>
      </c>
      <c r="N445" s="98">
        <v>46.295999999999999</v>
      </c>
      <c r="O445" s="99" t="s">
        <v>1602</v>
      </c>
    </row>
    <row r="446" spans="1:15" x14ac:dyDescent="0.25">
      <c r="A446" s="98" t="s">
        <v>55</v>
      </c>
      <c r="B446" s="98" t="s">
        <v>8</v>
      </c>
      <c r="C446" s="98">
        <v>0.1</v>
      </c>
      <c r="D446" s="98">
        <v>1</v>
      </c>
      <c r="E446" s="98">
        <v>1E-3</v>
      </c>
      <c r="F446" s="98" t="s">
        <v>6</v>
      </c>
      <c r="G446" s="98" t="s">
        <v>5</v>
      </c>
      <c r="H446" s="98">
        <v>50</v>
      </c>
      <c r="I446" s="98">
        <v>100</v>
      </c>
      <c r="J446" s="98" t="s">
        <v>10</v>
      </c>
      <c r="K446" s="98">
        <v>530.37</v>
      </c>
      <c r="L446" s="98">
        <v>592.16</v>
      </c>
      <c r="M446" s="98">
        <v>529.89</v>
      </c>
      <c r="N446" s="98">
        <v>592.07000000000005</v>
      </c>
      <c r="O446" s="99" t="s">
        <v>1606</v>
      </c>
    </row>
    <row r="447" spans="1:15" x14ac:dyDescent="0.25">
      <c r="A447" s="98" t="s">
        <v>55</v>
      </c>
      <c r="B447" s="98" t="s">
        <v>8</v>
      </c>
      <c r="C447" s="98">
        <v>0.1</v>
      </c>
      <c r="D447" s="98">
        <v>1</v>
      </c>
      <c r="E447" s="98">
        <v>1E-3</v>
      </c>
      <c r="F447" s="98" t="s">
        <v>6</v>
      </c>
      <c r="G447" s="98" t="s">
        <v>4</v>
      </c>
      <c r="H447" s="98">
        <v>8000</v>
      </c>
      <c r="I447" s="98">
        <v>10000</v>
      </c>
      <c r="J447" s="98" t="s">
        <v>10</v>
      </c>
      <c r="K447" s="98">
        <v>4.5999999999999996</v>
      </c>
      <c r="L447" s="98">
        <v>170.12</v>
      </c>
      <c r="M447" s="98">
        <v>1.1559999999999999</v>
      </c>
      <c r="N447" s="98">
        <v>173.35</v>
      </c>
      <c r="O447" s="99" t="s">
        <v>1607</v>
      </c>
    </row>
    <row r="448" spans="1:15" x14ac:dyDescent="0.25">
      <c r="A448" s="98" t="s">
        <v>55</v>
      </c>
      <c r="B448" s="98" t="s">
        <v>8</v>
      </c>
      <c r="C448" s="98">
        <v>0.1</v>
      </c>
      <c r="D448" s="98">
        <v>1</v>
      </c>
      <c r="E448" s="98">
        <v>1E-3</v>
      </c>
      <c r="F448" s="98" t="s">
        <v>6</v>
      </c>
      <c r="G448" s="98" t="s">
        <v>5</v>
      </c>
      <c r="H448" s="98">
        <v>1E-3</v>
      </c>
      <c r="I448" s="98">
        <v>0.04</v>
      </c>
      <c r="J448" s="98" t="s">
        <v>10</v>
      </c>
      <c r="K448" s="98">
        <v>578.69000000000005</v>
      </c>
      <c r="L448" s="98">
        <v>12.536</v>
      </c>
      <c r="M448" s="98">
        <v>12.497999999999999</v>
      </c>
      <c r="N448" s="98">
        <v>12.497999999999999</v>
      </c>
      <c r="O448" s="99" t="s">
        <v>1604</v>
      </c>
    </row>
    <row r="449" spans="1:15" x14ac:dyDescent="0.25">
      <c r="A449" s="98" t="s">
        <v>55</v>
      </c>
      <c r="B449" s="98" t="s">
        <v>8</v>
      </c>
      <c r="C449" s="98">
        <v>0.1</v>
      </c>
      <c r="D449" s="98">
        <v>1</v>
      </c>
      <c r="E449" s="98">
        <v>1E-3</v>
      </c>
      <c r="F449" s="98" t="s">
        <v>6</v>
      </c>
      <c r="G449" s="98" t="s">
        <v>5</v>
      </c>
      <c r="H449" s="98">
        <v>300</v>
      </c>
      <c r="I449" s="98">
        <v>1000</v>
      </c>
      <c r="J449" s="98" t="s">
        <v>10</v>
      </c>
      <c r="K449" s="98">
        <v>212.67</v>
      </c>
      <c r="L449" s="98">
        <v>11907</v>
      </c>
      <c r="M449" s="98">
        <v>246.94</v>
      </c>
      <c r="N449" s="98">
        <v>11553</v>
      </c>
      <c r="O449" s="99" t="s">
        <v>1601</v>
      </c>
    </row>
    <row r="450" spans="1:15" x14ac:dyDescent="0.25">
      <c r="A450" s="98" t="s">
        <v>55</v>
      </c>
      <c r="B450" s="98" t="s">
        <v>8</v>
      </c>
      <c r="C450" s="98">
        <v>0.1</v>
      </c>
      <c r="D450" s="98">
        <v>1</v>
      </c>
      <c r="E450" s="98">
        <v>0.01</v>
      </c>
      <c r="F450" s="98" t="s">
        <v>6</v>
      </c>
      <c r="G450" s="98" t="s">
        <v>5</v>
      </c>
      <c r="H450" s="98">
        <v>0.04</v>
      </c>
      <c r="I450" s="98">
        <v>1</v>
      </c>
      <c r="J450" s="98" t="s">
        <v>10</v>
      </c>
      <c r="K450" s="98">
        <v>5773.6</v>
      </c>
      <c r="L450" s="98">
        <v>0.95989999999999998</v>
      </c>
      <c r="M450" s="98">
        <v>5772.7</v>
      </c>
      <c r="N450" s="98">
        <v>0.94416</v>
      </c>
      <c r="O450" s="99" t="s">
        <v>1609</v>
      </c>
    </row>
    <row r="451" spans="1:15" x14ac:dyDescent="0.25">
      <c r="A451" s="98" t="s">
        <v>55</v>
      </c>
      <c r="B451" s="98" t="s">
        <v>8</v>
      </c>
      <c r="C451" s="98">
        <v>0.1</v>
      </c>
      <c r="D451" s="98">
        <v>1</v>
      </c>
      <c r="E451" s="98">
        <v>0.01</v>
      </c>
      <c r="F451" s="98" t="s">
        <v>6</v>
      </c>
      <c r="G451" s="98" t="s">
        <v>5</v>
      </c>
      <c r="H451" s="98">
        <v>300</v>
      </c>
      <c r="I451" s="98">
        <v>1000</v>
      </c>
      <c r="J451" s="98" t="s">
        <v>10</v>
      </c>
      <c r="K451" s="98">
        <v>5113.2</v>
      </c>
      <c r="L451" s="98">
        <v>8011.6</v>
      </c>
      <c r="M451" s="98">
        <v>4758</v>
      </c>
      <c r="N451" s="98">
        <v>8011.9</v>
      </c>
      <c r="O451" s="99" t="s">
        <v>1618</v>
      </c>
    </row>
    <row r="452" spans="1:15" x14ac:dyDescent="0.25">
      <c r="A452" s="98" t="s">
        <v>55</v>
      </c>
      <c r="B452" s="98" t="s">
        <v>8</v>
      </c>
      <c r="C452" s="98">
        <v>0.1</v>
      </c>
      <c r="D452" s="98">
        <v>1</v>
      </c>
      <c r="E452" s="98">
        <v>0.01</v>
      </c>
      <c r="F452" s="98" t="s">
        <v>6</v>
      </c>
      <c r="G452" s="98" t="s">
        <v>4</v>
      </c>
      <c r="H452" s="98">
        <v>4000</v>
      </c>
      <c r="I452" s="98">
        <v>8000</v>
      </c>
      <c r="J452" s="98" t="s">
        <v>10</v>
      </c>
      <c r="K452" s="98">
        <v>3.6131000000000002</v>
      </c>
      <c r="L452" s="98">
        <v>43.981999999999999</v>
      </c>
      <c r="M452" s="98">
        <v>3.3780000000000001</v>
      </c>
      <c r="N452" s="98">
        <v>43.984000000000002</v>
      </c>
      <c r="O452" s="99" t="s">
        <v>1614</v>
      </c>
    </row>
    <row r="453" spans="1:15" x14ac:dyDescent="0.25">
      <c r="A453" s="98" t="s">
        <v>55</v>
      </c>
      <c r="B453" s="98" t="s">
        <v>8</v>
      </c>
      <c r="C453" s="98">
        <v>0.1</v>
      </c>
      <c r="D453" s="98">
        <v>1</v>
      </c>
      <c r="E453" s="98">
        <v>0.01</v>
      </c>
      <c r="F453" s="98" t="s">
        <v>6</v>
      </c>
      <c r="G453" s="98" t="s">
        <v>4</v>
      </c>
      <c r="H453" s="98">
        <v>2000</v>
      </c>
      <c r="I453" s="98">
        <v>4000</v>
      </c>
      <c r="J453" s="98" t="s">
        <v>10</v>
      </c>
      <c r="K453" s="98">
        <v>3.5375000000000001</v>
      </c>
      <c r="L453" s="98">
        <v>43.944000000000003</v>
      </c>
      <c r="M453" s="98">
        <v>3.2985000000000002</v>
      </c>
      <c r="N453" s="98">
        <v>43.945</v>
      </c>
      <c r="O453" s="99" t="s">
        <v>1612</v>
      </c>
    </row>
    <row r="454" spans="1:15" x14ac:dyDescent="0.25">
      <c r="A454" s="98" t="s">
        <v>55</v>
      </c>
      <c r="B454" s="98" t="s">
        <v>8</v>
      </c>
      <c r="C454" s="98">
        <v>0.1</v>
      </c>
      <c r="D454" s="98">
        <v>1</v>
      </c>
      <c r="E454" s="98">
        <v>0.01</v>
      </c>
      <c r="F454" s="98" t="s">
        <v>6</v>
      </c>
      <c r="G454" s="98" t="s">
        <v>5</v>
      </c>
      <c r="H454" s="98">
        <v>20</v>
      </c>
      <c r="I454" s="98">
        <v>50</v>
      </c>
      <c r="J454" s="98" t="s">
        <v>10</v>
      </c>
      <c r="K454" s="98">
        <v>5772.6</v>
      </c>
      <c r="L454" s="98">
        <v>12.94</v>
      </c>
      <c r="M454" s="98">
        <v>5762.2</v>
      </c>
      <c r="N454" s="98">
        <v>12.802</v>
      </c>
      <c r="O454" s="99" t="s">
        <v>1613</v>
      </c>
    </row>
    <row r="455" spans="1:15" x14ac:dyDescent="0.25">
      <c r="A455" s="98" t="s">
        <v>55</v>
      </c>
      <c r="B455" s="98" t="s">
        <v>8</v>
      </c>
      <c r="C455" s="98">
        <v>0.1</v>
      </c>
      <c r="D455" s="98">
        <v>1</v>
      </c>
      <c r="E455" s="98">
        <v>0.01</v>
      </c>
      <c r="F455" s="98" t="s">
        <v>6</v>
      </c>
      <c r="G455" s="98" t="s">
        <v>5</v>
      </c>
      <c r="H455" s="98">
        <v>50</v>
      </c>
      <c r="I455" s="98">
        <v>100</v>
      </c>
      <c r="J455" s="98" t="s">
        <v>10</v>
      </c>
      <c r="K455" s="98">
        <v>5766.2</v>
      </c>
      <c r="L455" s="98">
        <v>87.391999999999996</v>
      </c>
      <c r="M455" s="98">
        <v>5715.5</v>
      </c>
      <c r="N455" s="98">
        <v>87.123000000000005</v>
      </c>
      <c r="O455" s="99" t="s">
        <v>1611</v>
      </c>
    </row>
    <row r="456" spans="1:15" x14ac:dyDescent="0.25">
      <c r="A456" s="98" t="s">
        <v>55</v>
      </c>
      <c r="B456" s="98" t="s">
        <v>8</v>
      </c>
      <c r="C456" s="98">
        <v>0.1</v>
      </c>
      <c r="D456" s="98">
        <v>1</v>
      </c>
      <c r="E456" s="98">
        <v>0.01</v>
      </c>
      <c r="F456" s="98" t="s">
        <v>6</v>
      </c>
      <c r="G456" s="98" t="s">
        <v>5</v>
      </c>
      <c r="H456" s="98">
        <v>100</v>
      </c>
      <c r="I456" s="98">
        <v>300</v>
      </c>
      <c r="J456" s="98" t="s">
        <v>10</v>
      </c>
      <c r="K456" s="98">
        <v>5681.4</v>
      </c>
      <c r="L456" s="98">
        <v>1112.8</v>
      </c>
      <c r="M456" s="98">
        <v>5471.4</v>
      </c>
      <c r="N456" s="98">
        <v>1112.4000000000001</v>
      </c>
      <c r="O456" s="99" t="s">
        <v>1617</v>
      </c>
    </row>
    <row r="457" spans="1:15" x14ac:dyDescent="0.25">
      <c r="A457" s="98" t="s">
        <v>55</v>
      </c>
      <c r="B457" s="98" t="s">
        <v>8</v>
      </c>
      <c r="C457" s="98">
        <v>0.1</v>
      </c>
      <c r="D457" s="98">
        <v>1</v>
      </c>
      <c r="E457" s="98">
        <v>0.01</v>
      </c>
      <c r="F457" s="98" t="s">
        <v>6</v>
      </c>
      <c r="G457" s="98" t="s">
        <v>5</v>
      </c>
      <c r="H457" s="98">
        <v>1000</v>
      </c>
      <c r="I457" s="98">
        <v>2000</v>
      </c>
      <c r="J457" s="98" t="s">
        <v>10</v>
      </c>
      <c r="K457" s="98">
        <v>4683.3999999999996</v>
      </c>
      <c r="L457" s="98">
        <v>13828</v>
      </c>
      <c r="M457" s="98">
        <v>4325.3999999999996</v>
      </c>
      <c r="N457" s="98">
        <v>13829</v>
      </c>
      <c r="O457" s="99" t="s">
        <v>1608</v>
      </c>
    </row>
    <row r="458" spans="1:15" x14ac:dyDescent="0.25">
      <c r="A458" s="98" t="s">
        <v>55</v>
      </c>
      <c r="B458" s="98" t="s">
        <v>8</v>
      </c>
      <c r="C458" s="98">
        <v>0.1</v>
      </c>
      <c r="D458" s="98">
        <v>1</v>
      </c>
      <c r="E458" s="98">
        <v>0.01</v>
      </c>
      <c r="F458" s="98" t="s">
        <v>6</v>
      </c>
      <c r="G458" s="98" t="s">
        <v>5</v>
      </c>
      <c r="H458" s="98">
        <v>1</v>
      </c>
      <c r="I458" s="98">
        <v>20</v>
      </c>
      <c r="J458" s="98" t="s">
        <v>10</v>
      </c>
      <c r="K458" s="98">
        <v>5773.4</v>
      </c>
      <c r="L458" s="98">
        <v>3.1917</v>
      </c>
      <c r="M458" s="98">
        <v>5770.6</v>
      </c>
      <c r="N458" s="98">
        <v>0.31602999999999998</v>
      </c>
      <c r="O458" s="99" t="s">
        <v>1615</v>
      </c>
    </row>
    <row r="459" spans="1:15" x14ac:dyDescent="0.25">
      <c r="A459" s="98" t="s">
        <v>55</v>
      </c>
      <c r="B459" s="98" t="s">
        <v>8</v>
      </c>
      <c r="C459" s="98">
        <v>0.1</v>
      </c>
      <c r="D459" s="98">
        <v>1</v>
      </c>
      <c r="E459" s="98">
        <v>0.01</v>
      </c>
      <c r="F459" s="98" t="s">
        <v>6</v>
      </c>
      <c r="G459" s="98" t="s">
        <v>4</v>
      </c>
      <c r="H459" s="98">
        <v>8000</v>
      </c>
      <c r="I459" s="98">
        <v>10000</v>
      </c>
      <c r="J459" s="98" t="s">
        <v>10</v>
      </c>
      <c r="K459" s="98">
        <v>4.5999999999999996</v>
      </c>
      <c r="L459" s="98">
        <v>170.23</v>
      </c>
      <c r="M459" s="98">
        <v>2.0278</v>
      </c>
      <c r="N459" s="98">
        <v>172.49</v>
      </c>
      <c r="O459" s="99" t="s">
        <v>1610</v>
      </c>
    </row>
    <row r="460" spans="1:15" x14ac:dyDescent="0.25">
      <c r="A460" s="98" t="s">
        <v>55</v>
      </c>
      <c r="B460" s="98" t="s">
        <v>8</v>
      </c>
      <c r="C460" s="98">
        <v>0.1</v>
      </c>
      <c r="D460" s="98">
        <v>1</v>
      </c>
      <c r="E460" s="98">
        <v>0.01</v>
      </c>
      <c r="F460" s="98" t="s">
        <v>6</v>
      </c>
      <c r="G460" s="98" t="s">
        <v>5</v>
      </c>
      <c r="H460" s="98">
        <v>1E-3</v>
      </c>
      <c r="I460" s="98">
        <v>0.04</v>
      </c>
      <c r="J460" s="98" t="s">
        <v>10</v>
      </c>
      <c r="K460" s="98">
        <v>5773.7</v>
      </c>
      <c r="L460" s="98">
        <v>1.2830999999999999</v>
      </c>
      <c r="M460" s="98">
        <v>1.2674000000000001</v>
      </c>
      <c r="N460" s="98">
        <v>1.2674000000000001</v>
      </c>
      <c r="O460" s="99" t="s">
        <v>1616</v>
      </c>
    </row>
    <row r="461" spans="1:15" x14ac:dyDescent="0.25">
      <c r="A461" s="98" t="s">
        <v>55</v>
      </c>
      <c r="B461" s="98" t="s">
        <v>8</v>
      </c>
      <c r="C461" s="98">
        <v>1</v>
      </c>
      <c r="D461" s="98">
        <v>10</v>
      </c>
      <c r="E461" s="98">
        <v>9.9999999999999995E-7</v>
      </c>
      <c r="F461" s="98" t="s">
        <v>6</v>
      </c>
      <c r="G461" s="98" t="s">
        <v>4</v>
      </c>
      <c r="H461" s="98">
        <v>1000</v>
      </c>
      <c r="I461" s="98">
        <v>2000</v>
      </c>
      <c r="J461" s="98" t="s">
        <v>10</v>
      </c>
      <c r="K461" s="98">
        <v>6.1</v>
      </c>
      <c r="L461" s="98">
        <v>17</v>
      </c>
      <c r="M461" s="98">
        <v>1.1337999999999999</v>
      </c>
      <c r="N461" s="98">
        <v>17.486999999999998</v>
      </c>
      <c r="O461" s="99" t="s">
        <v>1622</v>
      </c>
    </row>
    <row r="462" spans="1:15" x14ac:dyDescent="0.25">
      <c r="A462" s="98" t="s">
        <v>55</v>
      </c>
      <c r="B462" s="98" t="s">
        <v>8</v>
      </c>
      <c r="C462" s="98">
        <v>1</v>
      </c>
      <c r="D462" s="98">
        <v>10</v>
      </c>
      <c r="E462" s="98">
        <v>9.9999999999999995E-7</v>
      </c>
      <c r="F462" s="98" t="s">
        <v>6</v>
      </c>
      <c r="G462" s="98" t="s">
        <v>4</v>
      </c>
      <c r="H462" s="98">
        <v>1E-3</v>
      </c>
      <c r="I462" s="98">
        <v>0.04</v>
      </c>
      <c r="J462" s="98" t="s">
        <v>10</v>
      </c>
      <c r="K462" s="98">
        <v>0.46</v>
      </c>
      <c r="L462" s="98">
        <v>9.1999999999999998E-2</v>
      </c>
      <c r="M462" s="98">
        <v>0.45052999999999999</v>
      </c>
      <c r="N462" s="98">
        <v>9.2199000000000003E-2</v>
      </c>
      <c r="O462" s="99" t="s">
        <v>2558</v>
      </c>
    </row>
    <row r="463" spans="1:15" x14ac:dyDescent="0.25">
      <c r="A463" s="98" t="s">
        <v>55</v>
      </c>
      <c r="B463" s="98" t="s">
        <v>8</v>
      </c>
      <c r="C463" s="98">
        <v>1</v>
      </c>
      <c r="D463" s="98">
        <v>10</v>
      </c>
      <c r="E463" s="98">
        <v>9.9999999999999995E-7</v>
      </c>
      <c r="F463" s="98" t="s">
        <v>6</v>
      </c>
      <c r="G463" s="98" t="s">
        <v>4</v>
      </c>
      <c r="H463" s="98">
        <v>1</v>
      </c>
      <c r="I463" s="98">
        <v>20</v>
      </c>
      <c r="J463" s="98" t="s">
        <v>10</v>
      </c>
      <c r="K463" s="98">
        <v>0.28000000000000003</v>
      </c>
      <c r="L463" s="98">
        <v>0.16</v>
      </c>
      <c r="M463" s="98">
        <v>0.22835</v>
      </c>
      <c r="N463" s="98">
        <v>0.16434000000000001</v>
      </c>
      <c r="O463" s="99" t="s">
        <v>2560</v>
      </c>
    </row>
    <row r="464" spans="1:15" x14ac:dyDescent="0.25">
      <c r="A464" s="98" t="s">
        <v>55</v>
      </c>
      <c r="B464" s="98" t="s">
        <v>8</v>
      </c>
      <c r="C464" s="98">
        <v>1</v>
      </c>
      <c r="D464" s="98">
        <v>10</v>
      </c>
      <c r="E464" s="98">
        <v>9.9999999999999995E-7</v>
      </c>
      <c r="F464" s="98" t="s">
        <v>6</v>
      </c>
      <c r="G464" s="98" t="s">
        <v>4</v>
      </c>
      <c r="H464" s="98">
        <v>20</v>
      </c>
      <c r="I464" s="98">
        <v>50</v>
      </c>
      <c r="J464" s="98" t="s">
        <v>10</v>
      </c>
      <c r="K464" s="98">
        <v>0.24</v>
      </c>
      <c r="L464" s="98">
        <v>0.35</v>
      </c>
      <c r="M464" s="98">
        <v>0.22967000000000001</v>
      </c>
      <c r="N464" s="98">
        <v>0.34776000000000001</v>
      </c>
      <c r="O464" s="99" t="s">
        <v>2561</v>
      </c>
    </row>
    <row r="465" spans="1:15" x14ac:dyDescent="0.25">
      <c r="A465" s="98" t="s">
        <v>55</v>
      </c>
      <c r="B465" s="98" t="s">
        <v>8</v>
      </c>
      <c r="C465" s="98">
        <v>1</v>
      </c>
      <c r="D465" s="98">
        <v>10</v>
      </c>
      <c r="E465" s="98">
        <v>9.9999999999999995E-7</v>
      </c>
      <c r="F465" s="98" t="s">
        <v>6</v>
      </c>
      <c r="G465" s="98" t="s">
        <v>4</v>
      </c>
      <c r="H465" s="98">
        <v>100</v>
      </c>
      <c r="I465" s="98">
        <v>300</v>
      </c>
      <c r="J465" s="98" t="s">
        <v>10</v>
      </c>
      <c r="K465" s="98">
        <v>1.2</v>
      </c>
      <c r="L465" s="98">
        <v>3.5</v>
      </c>
      <c r="M465" s="98">
        <v>1.1358999999999999</v>
      </c>
      <c r="N465" s="98">
        <v>3.4830999999999999</v>
      </c>
      <c r="O465" s="99" t="s">
        <v>1623</v>
      </c>
    </row>
    <row r="466" spans="1:15" x14ac:dyDescent="0.25">
      <c r="A466" s="98" t="s">
        <v>55</v>
      </c>
      <c r="B466" s="98" t="s">
        <v>8</v>
      </c>
      <c r="C466" s="98">
        <v>1</v>
      </c>
      <c r="D466" s="98">
        <v>10</v>
      </c>
      <c r="E466" s="98">
        <v>9.9999999999999995E-7</v>
      </c>
      <c r="F466" s="98" t="s">
        <v>6</v>
      </c>
      <c r="G466" s="98" t="s">
        <v>4</v>
      </c>
      <c r="H466" s="98">
        <v>300</v>
      </c>
      <c r="I466" s="98">
        <v>1000</v>
      </c>
      <c r="J466" s="98" t="s">
        <v>10</v>
      </c>
      <c r="K466" s="98">
        <v>0.83</v>
      </c>
      <c r="L466" s="98">
        <v>12</v>
      </c>
      <c r="M466" s="98">
        <v>1.127</v>
      </c>
      <c r="N466" s="98">
        <v>11.688000000000001</v>
      </c>
      <c r="O466" s="99" t="s">
        <v>2559</v>
      </c>
    </row>
    <row r="467" spans="1:15" x14ac:dyDescent="0.25">
      <c r="A467" s="98" t="s">
        <v>55</v>
      </c>
      <c r="B467" s="98" t="s">
        <v>8</v>
      </c>
      <c r="C467" s="98">
        <v>1</v>
      </c>
      <c r="D467" s="98">
        <v>10</v>
      </c>
      <c r="E467" s="98">
        <v>9.9999999999999995E-7</v>
      </c>
      <c r="F467" s="98" t="s">
        <v>6</v>
      </c>
      <c r="G467" s="98" t="s">
        <v>4</v>
      </c>
      <c r="H467" s="98">
        <v>0.04</v>
      </c>
      <c r="I467" s="98">
        <v>1</v>
      </c>
      <c r="J467" s="98" t="s">
        <v>10</v>
      </c>
      <c r="K467" s="98">
        <v>0.25</v>
      </c>
      <c r="L467" s="98">
        <v>8.4000000000000005E-2</v>
      </c>
      <c r="M467" s="98">
        <v>0.22625000000000001</v>
      </c>
      <c r="N467" s="98">
        <v>8.5544999999999996E-2</v>
      </c>
      <c r="O467" s="99" t="s">
        <v>1619</v>
      </c>
    </row>
    <row r="468" spans="1:15" x14ac:dyDescent="0.25">
      <c r="A468" s="98" t="s">
        <v>55</v>
      </c>
      <c r="B468" s="98" t="s">
        <v>8</v>
      </c>
      <c r="C468" s="98">
        <v>1</v>
      </c>
      <c r="D468" s="98">
        <v>10</v>
      </c>
      <c r="E468" s="98">
        <v>9.9999999999999995E-7</v>
      </c>
      <c r="F468" s="98" t="s">
        <v>6</v>
      </c>
      <c r="G468" s="98" t="s">
        <v>4</v>
      </c>
      <c r="H468" s="98">
        <v>2000</v>
      </c>
      <c r="I468" s="98">
        <v>4000</v>
      </c>
      <c r="J468" s="98" t="s">
        <v>10</v>
      </c>
      <c r="K468" s="98">
        <v>12</v>
      </c>
      <c r="L468" s="98">
        <v>46</v>
      </c>
      <c r="M468" s="98">
        <v>8.0599000000000007</v>
      </c>
      <c r="N468" s="98">
        <v>46.328000000000003</v>
      </c>
      <c r="O468" s="99" t="s">
        <v>1625</v>
      </c>
    </row>
    <row r="469" spans="1:15" x14ac:dyDescent="0.25">
      <c r="A469" s="98" t="s">
        <v>55</v>
      </c>
      <c r="B469" s="98" t="s">
        <v>8</v>
      </c>
      <c r="C469" s="98">
        <v>1</v>
      </c>
      <c r="D469" s="98">
        <v>10</v>
      </c>
      <c r="E469" s="98">
        <v>9.9999999999999995E-7</v>
      </c>
      <c r="F469" s="98" t="s">
        <v>6</v>
      </c>
      <c r="G469" s="98" t="s">
        <v>4</v>
      </c>
      <c r="H469" s="98">
        <v>50</v>
      </c>
      <c r="I469" s="98">
        <v>100</v>
      </c>
      <c r="J469" s="98" t="s">
        <v>10</v>
      </c>
      <c r="K469" s="98">
        <v>0.27</v>
      </c>
      <c r="L469" s="98">
        <v>0.94</v>
      </c>
      <c r="M469" s="98">
        <v>0.22603000000000001</v>
      </c>
      <c r="N469" s="98">
        <v>0.94120999999999999</v>
      </c>
      <c r="O469" s="99" t="s">
        <v>1620</v>
      </c>
    </row>
    <row r="470" spans="1:15" x14ac:dyDescent="0.25">
      <c r="A470" s="98" t="s">
        <v>55</v>
      </c>
      <c r="B470" s="98" t="s">
        <v>8</v>
      </c>
      <c r="C470" s="98">
        <v>1</v>
      </c>
      <c r="D470" s="98">
        <v>10</v>
      </c>
      <c r="E470" s="98">
        <v>9.9999999999999995E-7</v>
      </c>
      <c r="F470" s="98" t="s">
        <v>6</v>
      </c>
      <c r="G470" s="98" t="s">
        <v>4</v>
      </c>
      <c r="H470" s="98">
        <v>8000</v>
      </c>
      <c r="I470" s="98">
        <v>10000</v>
      </c>
      <c r="J470" s="98" t="s">
        <v>10</v>
      </c>
      <c r="K470" s="98">
        <v>46</v>
      </c>
      <c r="L470" s="98">
        <v>170</v>
      </c>
      <c r="M470" s="98">
        <v>11.528</v>
      </c>
      <c r="N470" s="98">
        <v>173.36</v>
      </c>
      <c r="O470" s="99" t="s">
        <v>1624</v>
      </c>
    </row>
    <row r="471" spans="1:15" x14ac:dyDescent="0.25">
      <c r="A471" s="98" t="s">
        <v>55</v>
      </c>
      <c r="B471" s="98" t="s">
        <v>8</v>
      </c>
      <c r="C471" s="98">
        <v>1</v>
      </c>
      <c r="D471" s="98">
        <v>10</v>
      </c>
      <c r="E471" s="98">
        <v>9.9999999999999995E-7</v>
      </c>
      <c r="F471" s="98" t="s">
        <v>6</v>
      </c>
      <c r="G471" s="98" t="s">
        <v>4</v>
      </c>
      <c r="H471" s="98">
        <v>4000</v>
      </c>
      <c r="I471" s="98">
        <v>8000</v>
      </c>
      <c r="J471" s="98" t="s">
        <v>10</v>
      </c>
      <c r="K471" s="98">
        <v>15</v>
      </c>
      <c r="L471" s="98">
        <v>46</v>
      </c>
      <c r="M471" s="98">
        <v>9.1631999999999998</v>
      </c>
      <c r="N471" s="98">
        <v>46.576000000000001</v>
      </c>
      <c r="O471" s="99" t="s">
        <v>1621</v>
      </c>
    </row>
    <row r="472" spans="1:15" x14ac:dyDescent="0.25">
      <c r="A472" s="98" t="s">
        <v>55</v>
      </c>
      <c r="B472" s="98" t="s">
        <v>8</v>
      </c>
      <c r="C472" s="98">
        <v>1</v>
      </c>
      <c r="D472" s="98">
        <v>10</v>
      </c>
      <c r="E472" s="98">
        <v>1.0000000000000001E-5</v>
      </c>
      <c r="F472" s="98" t="s">
        <v>6</v>
      </c>
      <c r="G472" s="98" t="s">
        <v>4</v>
      </c>
      <c r="H472" s="98">
        <v>300</v>
      </c>
      <c r="I472" s="98">
        <v>1000</v>
      </c>
      <c r="J472" s="98" t="s">
        <v>10</v>
      </c>
      <c r="K472" s="98">
        <v>0.83</v>
      </c>
      <c r="L472" s="98">
        <v>11.988</v>
      </c>
      <c r="M472" s="98">
        <v>1.127</v>
      </c>
      <c r="N472" s="98">
        <v>11.688000000000001</v>
      </c>
      <c r="O472" s="99" t="s">
        <v>1633</v>
      </c>
    </row>
    <row r="473" spans="1:15" x14ac:dyDescent="0.25">
      <c r="A473" s="98" t="s">
        <v>55</v>
      </c>
      <c r="B473" s="98" t="s">
        <v>8</v>
      </c>
      <c r="C473" s="98">
        <v>1</v>
      </c>
      <c r="D473" s="98">
        <v>10</v>
      </c>
      <c r="E473" s="98">
        <v>1.0000000000000001E-5</v>
      </c>
      <c r="F473" s="98" t="s">
        <v>6</v>
      </c>
      <c r="G473" s="98" t="s">
        <v>4</v>
      </c>
      <c r="H473" s="98">
        <v>0.04</v>
      </c>
      <c r="I473" s="98">
        <v>1</v>
      </c>
      <c r="J473" s="98" t="s">
        <v>10</v>
      </c>
      <c r="K473" s="98">
        <v>0.25</v>
      </c>
      <c r="L473" s="98">
        <v>8.4437999999999999E-2</v>
      </c>
      <c r="M473" s="98">
        <v>0.22631999999999999</v>
      </c>
      <c r="N473" s="98">
        <v>8.5540000000000005E-2</v>
      </c>
      <c r="O473" s="99" t="s">
        <v>1627</v>
      </c>
    </row>
    <row r="474" spans="1:15" x14ac:dyDescent="0.25">
      <c r="A474" s="98" t="s">
        <v>55</v>
      </c>
      <c r="B474" s="98" t="s">
        <v>8</v>
      </c>
      <c r="C474" s="98">
        <v>1</v>
      </c>
      <c r="D474" s="98">
        <v>10</v>
      </c>
      <c r="E474" s="98">
        <v>1.0000000000000001E-5</v>
      </c>
      <c r="F474" s="98" t="s">
        <v>6</v>
      </c>
      <c r="G474" s="98" t="s">
        <v>4</v>
      </c>
      <c r="H474" s="98">
        <v>1000</v>
      </c>
      <c r="I474" s="98">
        <v>2000</v>
      </c>
      <c r="J474" s="98" t="s">
        <v>10</v>
      </c>
      <c r="K474" s="98">
        <v>6.1</v>
      </c>
      <c r="L474" s="98">
        <v>17.155999999999999</v>
      </c>
      <c r="M474" s="98">
        <v>1.1337999999999999</v>
      </c>
      <c r="N474" s="98">
        <v>17.486999999999998</v>
      </c>
      <c r="O474" s="99" t="s">
        <v>1635</v>
      </c>
    </row>
    <row r="475" spans="1:15" x14ac:dyDescent="0.25">
      <c r="A475" s="98" t="s">
        <v>55</v>
      </c>
      <c r="B475" s="98" t="s">
        <v>8</v>
      </c>
      <c r="C475" s="98">
        <v>1</v>
      </c>
      <c r="D475" s="98">
        <v>10</v>
      </c>
      <c r="E475" s="98">
        <v>1.0000000000000001E-5</v>
      </c>
      <c r="F475" s="98" t="s">
        <v>6</v>
      </c>
      <c r="G475" s="98" t="s">
        <v>4</v>
      </c>
      <c r="H475" s="98">
        <v>1</v>
      </c>
      <c r="I475" s="98">
        <v>20</v>
      </c>
      <c r="J475" s="98" t="s">
        <v>10</v>
      </c>
      <c r="K475" s="98">
        <v>0.28000000000000003</v>
      </c>
      <c r="L475" s="98">
        <v>0.16134000000000001</v>
      </c>
      <c r="M475" s="98">
        <v>0.22836999999999999</v>
      </c>
      <c r="N475" s="98">
        <v>0.16434000000000001</v>
      </c>
      <c r="O475" s="99" t="s">
        <v>1629</v>
      </c>
    </row>
    <row r="476" spans="1:15" x14ac:dyDescent="0.25">
      <c r="A476" s="98" t="s">
        <v>55</v>
      </c>
      <c r="B476" s="98" t="s">
        <v>8</v>
      </c>
      <c r="C476" s="98">
        <v>1</v>
      </c>
      <c r="D476" s="98">
        <v>10</v>
      </c>
      <c r="E476" s="98">
        <v>1.0000000000000001E-5</v>
      </c>
      <c r="F476" s="98" t="s">
        <v>6</v>
      </c>
      <c r="G476" s="98" t="s">
        <v>4</v>
      </c>
      <c r="H476" s="98">
        <v>20</v>
      </c>
      <c r="I476" s="98">
        <v>50</v>
      </c>
      <c r="J476" s="98" t="s">
        <v>10</v>
      </c>
      <c r="K476" s="98">
        <v>0.24</v>
      </c>
      <c r="L476" s="98">
        <v>0.35</v>
      </c>
      <c r="M476" s="98">
        <v>0.22972999999999999</v>
      </c>
      <c r="N476" s="98">
        <v>0.34775</v>
      </c>
      <c r="O476" s="99" t="s">
        <v>1634</v>
      </c>
    </row>
    <row r="477" spans="1:15" x14ac:dyDescent="0.25">
      <c r="A477" s="98" t="s">
        <v>55</v>
      </c>
      <c r="B477" s="98" t="s">
        <v>8</v>
      </c>
      <c r="C477" s="98">
        <v>1</v>
      </c>
      <c r="D477" s="98">
        <v>10</v>
      </c>
      <c r="E477" s="98">
        <v>1.0000000000000001E-5</v>
      </c>
      <c r="F477" s="98" t="s">
        <v>6</v>
      </c>
      <c r="G477" s="98" t="s">
        <v>4</v>
      </c>
      <c r="H477" s="98">
        <v>100</v>
      </c>
      <c r="I477" s="98">
        <v>300</v>
      </c>
      <c r="J477" s="98" t="s">
        <v>10</v>
      </c>
      <c r="K477" s="98">
        <v>1.2</v>
      </c>
      <c r="L477" s="98">
        <v>3.5</v>
      </c>
      <c r="M477" s="98">
        <v>1.1358999999999999</v>
      </c>
      <c r="N477" s="98">
        <v>3.4830999999999999</v>
      </c>
      <c r="O477" s="99" t="s">
        <v>1630</v>
      </c>
    </row>
    <row r="478" spans="1:15" x14ac:dyDescent="0.25">
      <c r="A478" s="98" t="s">
        <v>55</v>
      </c>
      <c r="B478" s="98" t="s">
        <v>8</v>
      </c>
      <c r="C478" s="98">
        <v>1</v>
      </c>
      <c r="D478" s="98">
        <v>10</v>
      </c>
      <c r="E478" s="98">
        <v>1.0000000000000001E-5</v>
      </c>
      <c r="F478" s="98" t="s">
        <v>6</v>
      </c>
      <c r="G478" s="98" t="s">
        <v>4</v>
      </c>
      <c r="H478" s="98">
        <v>8000</v>
      </c>
      <c r="I478" s="98">
        <v>10000</v>
      </c>
      <c r="J478" s="98" t="s">
        <v>10</v>
      </c>
      <c r="K478" s="98">
        <v>46</v>
      </c>
      <c r="L478" s="98">
        <v>170.12</v>
      </c>
      <c r="M478" s="98">
        <v>11.529</v>
      </c>
      <c r="N478" s="98">
        <v>173.36</v>
      </c>
      <c r="O478" s="99" t="s">
        <v>2562</v>
      </c>
    </row>
    <row r="479" spans="1:15" x14ac:dyDescent="0.25">
      <c r="A479" s="98" t="s">
        <v>55</v>
      </c>
      <c r="B479" s="98" t="s">
        <v>8</v>
      </c>
      <c r="C479" s="98">
        <v>1</v>
      </c>
      <c r="D479" s="98">
        <v>10</v>
      </c>
      <c r="E479" s="98">
        <v>1.0000000000000001E-5</v>
      </c>
      <c r="F479" s="98" t="s">
        <v>6</v>
      </c>
      <c r="G479" s="98" t="s">
        <v>4</v>
      </c>
      <c r="H479" s="98">
        <v>1E-3</v>
      </c>
      <c r="I479" s="98">
        <v>0.04</v>
      </c>
      <c r="J479" s="98" t="s">
        <v>10</v>
      </c>
      <c r="K479" s="98">
        <v>0.46</v>
      </c>
      <c r="L479" s="98">
        <v>9.1967999999999994E-2</v>
      </c>
      <c r="M479" s="98">
        <v>0.45057000000000003</v>
      </c>
      <c r="N479" s="98">
        <v>9.2197000000000001E-2</v>
      </c>
      <c r="O479" s="99" t="s">
        <v>1628</v>
      </c>
    </row>
    <row r="480" spans="1:15" x14ac:dyDescent="0.25">
      <c r="A480" s="98" t="s">
        <v>55</v>
      </c>
      <c r="B480" s="98" t="s">
        <v>8</v>
      </c>
      <c r="C480" s="98">
        <v>1</v>
      </c>
      <c r="D480" s="98">
        <v>10</v>
      </c>
      <c r="E480" s="98">
        <v>1.0000000000000001E-5</v>
      </c>
      <c r="F480" s="98" t="s">
        <v>6</v>
      </c>
      <c r="G480" s="98" t="s">
        <v>4</v>
      </c>
      <c r="H480" s="98">
        <v>4000</v>
      </c>
      <c r="I480" s="98">
        <v>8000</v>
      </c>
      <c r="J480" s="98" t="s">
        <v>10</v>
      </c>
      <c r="K480" s="98">
        <v>15</v>
      </c>
      <c r="L480" s="98">
        <v>46.325000000000003</v>
      </c>
      <c r="M480" s="98">
        <v>9.1631999999999998</v>
      </c>
      <c r="N480" s="98">
        <v>46.576000000000001</v>
      </c>
      <c r="O480" s="99" t="s">
        <v>1632</v>
      </c>
    </row>
    <row r="481" spans="1:15" x14ac:dyDescent="0.25">
      <c r="A481" s="98" t="s">
        <v>55</v>
      </c>
      <c r="B481" s="98" t="s">
        <v>8</v>
      </c>
      <c r="C481" s="98">
        <v>1</v>
      </c>
      <c r="D481" s="98">
        <v>10</v>
      </c>
      <c r="E481" s="98">
        <v>1.0000000000000001E-5</v>
      </c>
      <c r="F481" s="98" t="s">
        <v>6</v>
      </c>
      <c r="G481" s="98" t="s">
        <v>4</v>
      </c>
      <c r="H481" s="98">
        <v>2000</v>
      </c>
      <c r="I481" s="98">
        <v>4000</v>
      </c>
      <c r="J481" s="98" t="s">
        <v>10</v>
      </c>
      <c r="K481" s="98">
        <v>12</v>
      </c>
      <c r="L481" s="98">
        <v>46.037999999999997</v>
      </c>
      <c r="M481" s="98">
        <v>8.06</v>
      </c>
      <c r="N481" s="98">
        <v>46.328000000000003</v>
      </c>
      <c r="O481" s="99" t="s">
        <v>1631</v>
      </c>
    </row>
    <row r="482" spans="1:15" x14ac:dyDescent="0.25">
      <c r="A482" s="98" t="s">
        <v>55</v>
      </c>
      <c r="B482" s="98" t="s">
        <v>8</v>
      </c>
      <c r="C482" s="98">
        <v>1</v>
      </c>
      <c r="D482" s="98">
        <v>10</v>
      </c>
      <c r="E482" s="98">
        <v>1.0000000000000001E-5</v>
      </c>
      <c r="F482" s="98" t="s">
        <v>6</v>
      </c>
      <c r="G482" s="98" t="s">
        <v>4</v>
      </c>
      <c r="H482" s="98">
        <v>50</v>
      </c>
      <c r="I482" s="98">
        <v>100</v>
      </c>
      <c r="J482" s="98" t="s">
        <v>10</v>
      </c>
      <c r="K482" s="98">
        <v>0.27</v>
      </c>
      <c r="L482" s="98">
        <v>0.93759000000000003</v>
      </c>
      <c r="M482" s="98">
        <v>0.22603999999999999</v>
      </c>
      <c r="N482" s="98">
        <v>0.94120999999999999</v>
      </c>
      <c r="O482" s="99" t="s">
        <v>1626</v>
      </c>
    </row>
    <row r="483" spans="1:15" x14ac:dyDescent="0.25">
      <c r="A483" s="98" t="s">
        <v>55</v>
      </c>
      <c r="B483" s="98" t="s">
        <v>8</v>
      </c>
      <c r="C483" s="98">
        <v>1</v>
      </c>
      <c r="D483" s="98">
        <v>10</v>
      </c>
      <c r="E483" s="98">
        <v>1E-4</v>
      </c>
      <c r="F483" s="98" t="s">
        <v>6</v>
      </c>
      <c r="G483" s="98" t="s">
        <v>4</v>
      </c>
      <c r="H483" s="98">
        <v>2000</v>
      </c>
      <c r="I483" s="98">
        <v>4000</v>
      </c>
      <c r="J483" s="98" t="s">
        <v>10</v>
      </c>
      <c r="K483" s="98">
        <v>12</v>
      </c>
      <c r="L483" s="98">
        <v>46.037999999999997</v>
      </c>
      <c r="M483" s="98">
        <v>8.06</v>
      </c>
      <c r="N483" s="98">
        <v>46.328000000000003</v>
      </c>
      <c r="O483" s="99" t="s">
        <v>1637</v>
      </c>
    </row>
    <row r="484" spans="1:15" x14ac:dyDescent="0.25">
      <c r="A484" s="98" t="s">
        <v>55</v>
      </c>
      <c r="B484" s="98" t="s">
        <v>8</v>
      </c>
      <c r="C484" s="98">
        <v>1</v>
      </c>
      <c r="D484" s="98">
        <v>10</v>
      </c>
      <c r="E484" s="98">
        <v>1E-4</v>
      </c>
      <c r="F484" s="98" t="s">
        <v>6</v>
      </c>
      <c r="G484" s="98" t="s">
        <v>4</v>
      </c>
      <c r="H484" s="98">
        <v>4000</v>
      </c>
      <c r="I484" s="98">
        <v>8000</v>
      </c>
      <c r="J484" s="98" t="s">
        <v>10</v>
      </c>
      <c r="K484" s="98">
        <v>15</v>
      </c>
      <c r="L484" s="98">
        <v>46.325000000000003</v>
      </c>
      <c r="M484" s="98">
        <v>9.1631999999999998</v>
      </c>
      <c r="N484" s="98">
        <v>46.576000000000001</v>
      </c>
      <c r="O484" s="99" t="s">
        <v>2565</v>
      </c>
    </row>
    <row r="485" spans="1:15" x14ac:dyDescent="0.25">
      <c r="A485" s="98" t="s">
        <v>55</v>
      </c>
      <c r="B485" s="98" t="s">
        <v>8</v>
      </c>
      <c r="C485" s="98">
        <v>1</v>
      </c>
      <c r="D485" s="98">
        <v>10</v>
      </c>
      <c r="E485" s="98">
        <v>1E-4</v>
      </c>
      <c r="F485" s="98" t="s">
        <v>6</v>
      </c>
      <c r="G485" s="98" t="s">
        <v>4</v>
      </c>
      <c r="H485" s="98">
        <v>1000</v>
      </c>
      <c r="I485" s="98">
        <v>2000</v>
      </c>
      <c r="J485" s="98" t="s">
        <v>10</v>
      </c>
      <c r="K485" s="98">
        <v>6.1</v>
      </c>
      <c r="L485" s="98">
        <v>17.155999999999999</v>
      </c>
      <c r="M485" s="98">
        <v>1.1337999999999999</v>
      </c>
      <c r="N485" s="98">
        <v>17.486999999999998</v>
      </c>
      <c r="O485" s="99" t="s">
        <v>1638</v>
      </c>
    </row>
    <row r="486" spans="1:15" x14ac:dyDescent="0.25">
      <c r="A486" s="98" t="s">
        <v>55</v>
      </c>
      <c r="B486" s="98" t="s">
        <v>8</v>
      </c>
      <c r="C486" s="98">
        <v>1</v>
      </c>
      <c r="D486" s="98">
        <v>10</v>
      </c>
      <c r="E486" s="98">
        <v>1E-4</v>
      </c>
      <c r="F486" s="98" t="s">
        <v>6</v>
      </c>
      <c r="G486" s="98" t="s">
        <v>4</v>
      </c>
      <c r="H486" s="98">
        <v>1E-3</v>
      </c>
      <c r="I486" s="98">
        <v>0.04</v>
      </c>
      <c r="J486" s="98" t="s">
        <v>10</v>
      </c>
      <c r="K486" s="98">
        <v>0.46</v>
      </c>
      <c r="L486" s="98">
        <v>9.2019000000000004E-2</v>
      </c>
      <c r="M486" s="98">
        <v>0.45379999999999998</v>
      </c>
      <c r="N486" s="98">
        <v>9.1994000000000006E-2</v>
      </c>
      <c r="O486" s="99" t="s">
        <v>1639</v>
      </c>
    </row>
    <row r="487" spans="1:15" x14ac:dyDescent="0.25">
      <c r="A487" s="98" t="s">
        <v>55</v>
      </c>
      <c r="B487" s="98" t="s">
        <v>8</v>
      </c>
      <c r="C487" s="98">
        <v>1</v>
      </c>
      <c r="D487" s="98">
        <v>10</v>
      </c>
      <c r="E487" s="98">
        <v>1E-4</v>
      </c>
      <c r="F487" s="98" t="s">
        <v>6</v>
      </c>
      <c r="G487" s="98" t="s">
        <v>4</v>
      </c>
      <c r="H487" s="98">
        <v>0.04</v>
      </c>
      <c r="I487" s="98">
        <v>1</v>
      </c>
      <c r="J487" s="98" t="s">
        <v>10</v>
      </c>
      <c r="K487" s="98">
        <v>0.25</v>
      </c>
      <c r="L487" s="98">
        <v>8.4682999999999994E-2</v>
      </c>
      <c r="M487" s="98">
        <v>0.23197999999999999</v>
      </c>
      <c r="N487" s="98">
        <v>8.5126999999999994E-2</v>
      </c>
      <c r="O487" s="99" t="s">
        <v>2563</v>
      </c>
    </row>
    <row r="488" spans="1:15" x14ac:dyDescent="0.25">
      <c r="A488" s="98" t="s">
        <v>55</v>
      </c>
      <c r="B488" s="98" t="s">
        <v>8</v>
      </c>
      <c r="C488" s="98">
        <v>1</v>
      </c>
      <c r="D488" s="98">
        <v>10</v>
      </c>
      <c r="E488" s="98">
        <v>1E-4</v>
      </c>
      <c r="F488" s="98" t="s">
        <v>6</v>
      </c>
      <c r="G488" s="98" t="s">
        <v>4</v>
      </c>
      <c r="H488" s="98">
        <v>50</v>
      </c>
      <c r="I488" s="98">
        <v>100</v>
      </c>
      <c r="J488" s="98" t="s">
        <v>10</v>
      </c>
      <c r="K488" s="98">
        <v>0.27</v>
      </c>
      <c r="L488" s="98">
        <v>0.93767999999999996</v>
      </c>
      <c r="M488" s="98">
        <v>0.22761000000000001</v>
      </c>
      <c r="N488" s="98">
        <v>0.94106999999999996</v>
      </c>
      <c r="O488" s="99" t="s">
        <v>2564</v>
      </c>
    </row>
    <row r="489" spans="1:15" x14ac:dyDescent="0.25">
      <c r="A489" s="98" t="s">
        <v>55</v>
      </c>
      <c r="B489" s="98" t="s">
        <v>8</v>
      </c>
      <c r="C489" s="98">
        <v>1</v>
      </c>
      <c r="D489" s="98">
        <v>10</v>
      </c>
      <c r="E489" s="98">
        <v>1E-4</v>
      </c>
      <c r="F489" s="98" t="s">
        <v>6</v>
      </c>
      <c r="G489" s="98" t="s">
        <v>4</v>
      </c>
      <c r="H489" s="98">
        <v>1</v>
      </c>
      <c r="I489" s="98">
        <v>20</v>
      </c>
      <c r="J489" s="98" t="s">
        <v>10</v>
      </c>
      <c r="K489" s="98">
        <v>0.28000000000000003</v>
      </c>
      <c r="L489" s="98">
        <v>0.16156000000000001</v>
      </c>
      <c r="M489" s="98">
        <v>0.23294999999999999</v>
      </c>
      <c r="N489" s="98">
        <v>0.16397</v>
      </c>
      <c r="O489" s="99" t="s">
        <v>1640</v>
      </c>
    </row>
    <row r="490" spans="1:15" x14ac:dyDescent="0.25">
      <c r="A490" s="98" t="s">
        <v>55</v>
      </c>
      <c r="B490" s="98" t="s">
        <v>8</v>
      </c>
      <c r="C490" s="98">
        <v>1</v>
      </c>
      <c r="D490" s="98">
        <v>10</v>
      </c>
      <c r="E490" s="98">
        <v>1E-4</v>
      </c>
      <c r="F490" s="98" t="s">
        <v>6</v>
      </c>
      <c r="G490" s="98" t="s">
        <v>4</v>
      </c>
      <c r="H490" s="98">
        <v>8000</v>
      </c>
      <c r="I490" s="98">
        <v>10000</v>
      </c>
      <c r="J490" s="98" t="s">
        <v>10</v>
      </c>
      <c r="K490" s="98">
        <v>46</v>
      </c>
      <c r="L490" s="98">
        <v>170.12</v>
      </c>
      <c r="M490" s="98">
        <v>11.529</v>
      </c>
      <c r="N490" s="98">
        <v>173.36</v>
      </c>
      <c r="O490" s="99" t="s">
        <v>1641</v>
      </c>
    </row>
    <row r="491" spans="1:15" x14ac:dyDescent="0.25">
      <c r="A491" s="98" t="s">
        <v>55</v>
      </c>
      <c r="B491" s="98" t="s">
        <v>8</v>
      </c>
      <c r="C491" s="98">
        <v>1</v>
      </c>
      <c r="D491" s="98">
        <v>10</v>
      </c>
      <c r="E491" s="98">
        <v>1E-4</v>
      </c>
      <c r="F491" s="98" t="s">
        <v>6</v>
      </c>
      <c r="G491" s="98" t="s">
        <v>4</v>
      </c>
      <c r="H491" s="98">
        <v>300</v>
      </c>
      <c r="I491" s="98">
        <v>1000</v>
      </c>
      <c r="J491" s="98" t="s">
        <v>10</v>
      </c>
      <c r="K491" s="98">
        <v>0.83</v>
      </c>
      <c r="L491" s="98">
        <v>11.988</v>
      </c>
      <c r="M491" s="98">
        <v>1.1272</v>
      </c>
      <c r="N491" s="98">
        <v>11.688000000000001</v>
      </c>
      <c r="O491" s="99" t="s">
        <v>1636</v>
      </c>
    </row>
    <row r="492" spans="1:15" x14ac:dyDescent="0.25">
      <c r="A492" s="98" t="s">
        <v>55</v>
      </c>
      <c r="B492" s="98" t="s">
        <v>8</v>
      </c>
      <c r="C492" s="98">
        <v>1</v>
      </c>
      <c r="D492" s="98">
        <v>10</v>
      </c>
      <c r="E492" s="98">
        <v>1E-4</v>
      </c>
      <c r="F492" s="98" t="s">
        <v>6</v>
      </c>
      <c r="G492" s="98" t="s">
        <v>4</v>
      </c>
      <c r="H492" s="98">
        <v>20</v>
      </c>
      <c r="I492" s="98">
        <v>50</v>
      </c>
      <c r="J492" s="98" t="s">
        <v>10</v>
      </c>
      <c r="K492" s="98">
        <v>0.24</v>
      </c>
      <c r="L492" s="98">
        <v>0.35</v>
      </c>
      <c r="M492" s="98">
        <v>0.23282</v>
      </c>
      <c r="N492" s="98">
        <v>0.34749000000000002</v>
      </c>
      <c r="O492" s="99" t="s">
        <v>1643</v>
      </c>
    </row>
    <row r="493" spans="1:15" x14ac:dyDescent="0.25">
      <c r="A493" s="98" t="s">
        <v>55</v>
      </c>
      <c r="B493" s="98" t="s">
        <v>8</v>
      </c>
      <c r="C493" s="98">
        <v>1</v>
      </c>
      <c r="D493" s="98">
        <v>10</v>
      </c>
      <c r="E493" s="98">
        <v>1E-4</v>
      </c>
      <c r="F493" s="98" t="s">
        <v>6</v>
      </c>
      <c r="G493" s="98" t="s">
        <v>4</v>
      </c>
      <c r="H493" s="98">
        <v>100</v>
      </c>
      <c r="I493" s="98">
        <v>300</v>
      </c>
      <c r="J493" s="98" t="s">
        <v>10</v>
      </c>
      <c r="K493" s="98">
        <v>1.2</v>
      </c>
      <c r="L493" s="98">
        <v>3.5</v>
      </c>
      <c r="M493" s="98">
        <v>1.1365000000000001</v>
      </c>
      <c r="N493" s="98">
        <v>3.4830000000000001</v>
      </c>
      <c r="O493" s="99" t="s">
        <v>1642</v>
      </c>
    </row>
    <row r="494" spans="1:15" x14ac:dyDescent="0.25">
      <c r="A494" s="98" t="s">
        <v>55</v>
      </c>
      <c r="B494" s="98" t="s">
        <v>8</v>
      </c>
      <c r="C494" s="98">
        <v>1</v>
      </c>
      <c r="D494" s="98">
        <v>10</v>
      </c>
      <c r="E494" s="98">
        <v>1E-3</v>
      </c>
      <c r="F494" s="98" t="s">
        <v>6</v>
      </c>
      <c r="G494" s="98" t="s">
        <v>4</v>
      </c>
      <c r="H494" s="98">
        <v>1E-3</v>
      </c>
      <c r="I494" s="98">
        <v>0.04</v>
      </c>
      <c r="J494" s="98" t="s">
        <v>10</v>
      </c>
      <c r="K494" s="98">
        <v>0.71618999999999999</v>
      </c>
      <c r="L494" s="98">
        <v>7.7546000000000004E-2</v>
      </c>
      <c r="M494" s="98">
        <v>0.71499000000000001</v>
      </c>
      <c r="N494" s="98">
        <v>7.7401999999999999E-2</v>
      </c>
      <c r="O494" s="99" t="s">
        <v>2567</v>
      </c>
    </row>
    <row r="495" spans="1:15" x14ac:dyDescent="0.25">
      <c r="A495" s="98" t="s">
        <v>55</v>
      </c>
      <c r="B495" s="98" t="s">
        <v>8</v>
      </c>
      <c r="C495" s="98">
        <v>1</v>
      </c>
      <c r="D495" s="98">
        <v>10</v>
      </c>
      <c r="E495" s="98">
        <v>1E-3</v>
      </c>
      <c r="F495" s="98" t="s">
        <v>6</v>
      </c>
      <c r="G495" s="98" t="s">
        <v>4</v>
      </c>
      <c r="H495" s="98">
        <v>300</v>
      </c>
      <c r="I495" s="98">
        <v>1000</v>
      </c>
      <c r="J495" s="98" t="s">
        <v>10</v>
      </c>
      <c r="K495" s="98">
        <v>0.84662999999999999</v>
      </c>
      <c r="L495" s="98">
        <v>11.986000000000001</v>
      </c>
      <c r="M495" s="98">
        <v>1.141</v>
      </c>
      <c r="N495" s="98">
        <v>11.686999999999999</v>
      </c>
      <c r="O495" s="99" t="s">
        <v>1648</v>
      </c>
    </row>
    <row r="496" spans="1:15" x14ac:dyDescent="0.25">
      <c r="A496" s="98" t="s">
        <v>55</v>
      </c>
      <c r="B496" s="98" t="s">
        <v>8</v>
      </c>
      <c r="C496" s="98">
        <v>1</v>
      </c>
      <c r="D496" s="98">
        <v>10</v>
      </c>
      <c r="E496" s="98">
        <v>1E-3</v>
      </c>
      <c r="F496" s="98" t="s">
        <v>6</v>
      </c>
      <c r="G496" s="98" t="s">
        <v>4</v>
      </c>
      <c r="H496" s="98">
        <v>1</v>
      </c>
      <c r="I496" s="98">
        <v>20</v>
      </c>
      <c r="J496" s="98" t="s">
        <v>10</v>
      </c>
      <c r="K496" s="98">
        <v>0.56386000000000003</v>
      </c>
      <c r="L496" s="98">
        <v>0.14001</v>
      </c>
      <c r="M496" s="98">
        <v>0.55818000000000001</v>
      </c>
      <c r="N496" s="98">
        <v>0.14005999999999999</v>
      </c>
      <c r="O496" s="99" t="s">
        <v>1651</v>
      </c>
    </row>
    <row r="497" spans="1:15" x14ac:dyDescent="0.25">
      <c r="A497" s="98" t="s">
        <v>55</v>
      </c>
      <c r="B497" s="98" t="s">
        <v>8</v>
      </c>
      <c r="C497" s="98">
        <v>1</v>
      </c>
      <c r="D497" s="98">
        <v>10</v>
      </c>
      <c r="E497" s="98">
        <v>1E-3</v>
      </c>
      <c r="F497" s="98" t="s">
        <v>6</v>
      </c>
      <c r="G497" s="98" t="s">
        <v>4</v>
      </c>
      <c r="H497" s="98">
        <v>50</v>
      </c>
      <c r="I497" s="98">
        <v>100</v>
      </c>
      <c r="J497" s="98" t="s">
        <v>10</v>
      </c>
      <c r="K497" s="98">
        <v>0.38941999999999999</v>
      </c>
      <c r="L497" s="98">
        <v>0.92691999999999997</v>
      </c>
      <c r="M497" s="98">
        <v>0.37412000000000001</v>
      </c>
      <c r="N497" s="98">
        <v>0.92813000000000001</v>
      </c>
      <c r="O497" s="99" t="s">
        <v>1645</v>
      </c>
    </row>
    <row r="498" spans="1:15" x14ac:dyDescent="0.25">
      <c r="A498" s="98" t="s">
        <v>55</v>
      </c>
      <c r="B498" s="98" t="s">
        <v>8</v>
      </c>
      <c r="C498" s="98">
        <v>1</v>
      </c>
      <c r="D498" s="98">
        <v>10</v>
      </c>
      <c r="E498" s="98">
        <v>1E-3</v>
      </c>
      <c r="F498" s="98" t="s">
        <v>6</v>
      </c>
      <c r="G498" s="98" t="s">
        <v>4</v>
      </c>
      <c r="H498" s="98">
        <v>8000</v>
      </c>
      <c r="I498" s="98">
        <v>10000</v>
      </c>
      <c r="J498" s="98" t="s">
        <v>10</v>
      </c>
      <c r="K498" s="98">
        <v>46</v>
      </c>
      <c r="L498" s="98">
        <v>170.12</v>
      </c>
      <c r="M498" s="98">
        <v>11.584</v>
      </c>
      <c r="N498" s="98">
        <v>173.35</v>
      </c>
      <c r="O498" s="99" t="s">
        <v>1646</v>
      </c>
    </row>
    <row r="499" spans="1:15" x14ac:dyDescent="0.25">
      <c r="A499" s="98" t="s">
        <v>55</v>
      </c>
      <c r="B499" s="98" t="s">
        <v>8</v>
      </c>
      <c r="C499" s="98">
        <v>1</v>
      </c>
      <c r="D499" s="98">
        <v>10</v>
      </c>
      <c r="E499" s="98">
        <v>1E-3</v>
      </c>
      <c r="F499" s="98" t="s">
        <v>6</v>
      </c>
      <c r="G499" s="98" t="s">
        <v>4</v>
      </c>
      <c r="H499" s="98">
        <v>20</v>
      </c>
      <c r="I499" s="98">
        <v>50</v>
      </c>
      <c r="J499" s="98" t="s">
        <v>10</v>
      </c>
      <c r="K499" s="98">
        <v>0.50358000000000003</v>
      </c>
      <c r="L499" s="98">
        <v>0.32533000000000001</v>
      </c>
      <c r="M499" s="98">
        <v>0.49042000000000002</v>
      </c>
      <c r="N499" s="98">
        <v>0.32615</v>
      </c>
      <c r="O499" s="99" t="s">
        <v>2568</v>
      </c>
    </row>
    <row r="500" spans="1:15" x14ac:dyDescent="0.25">
      <c r="A500" s="98" t="s">
        <v>55</v>
      </c>
      <c r="B500" s="98" t="s">
        <v>8</v>
      </c>
      <c r="C500" s="98">
        <v>1</v>
      </c>
      <c r="D500" s="98">
        <v>10</v>
      </c>
      <c r="E500" s="98">
        <v>1E-3</v>
      </c>
      <c r="F500" s="98" t="s">
        <v>6</v>
      </c>
      <c r="G500" s="98" t="s">
        <v>4</v>
      </c>
      <c r="H500" s="98">
        <v>2000</v>
      </c>
      <c r="I500" s="98">
        <v>4000</v>
      </c>
      <c r="J500" s="98" t="s">
        <v>10</v>
      </c>
      <c r="K500" s="98">
        <v>12</v>
      </c>
      <c r="L500" s="98">
        <v>46.037999999999997</v>
      </c>
      <c r="M500" s="98">
        <v>8.0602999999999998</v>
      </c>
      <c r="N500" s="98">
        <v>46.328000000000003</v>
      </c>
      <c r="O500" s="99" t="s">
        <v>1649</v>
      </c>
    </row>
    <row r="501" spans="1:15" x14ac:dyDescent="0.25">
      <c r="A501" s="98" t="s">
        <v>55</v>
      </c>
      <c r="B501" s="98" t="s">
        <v>8</v>
      </c>
      <c r="C501" s="98">
        <v>1</v>
      </c>
      <c r="D501" s="98">
        <v>10</v>
      </c>
      <c r="E501" s="98">
        <v>1E-3</v>
      </c>
      <c r="F501" s="98" t="s">
        <v>6</v>
      </c>
      <c r="G501" s="98" t="s">
        <v>4</v>
      </c>
      <c r="H501" s="98">
        <v>1000</v>
      </c>
      <c r="I501" s="98">
        <v>2000</v>
      </c>
      <c r="J501" s="98" t="s">
        <v>10</v>
      </c>
      <c r="K501" s="98">
        <v>6.1</v>
      </c>
      <c r="L501" s="98">
        <v>17.155999999999999</v>
      </c>
      <c r="M501" s="98">
        <v>1.1448</v>
      </c>
      <c r="N501" s="98">
        <v>17.486000000000001</v>
      </c>
      <c r="O501" s="99" t="s">
        <v>1650</v>
      </c>
    </row>
    <row r="502" spans="1:15" x14ac:dyDescent="0.25">
      <c r="A502" s="98" t="s">
        <v>55</v>
      </c>
      <c r="B502" s="98" t="s">
        <v>8</v>
      </c>
      <c r="C502" s="98">
        <v>1</v>
      </c>
      <c r="D502" s="98">
        <v>10</v>
      </c>
      <c r="E502" s="98">
        <v>1E-3</v>
      </c>
      <c r="F502" s="98" t="s">
        <v>6</v>
      </c>
      <c r="G502" s="98" t="s">
        <v>4</v>
      </c>
      <c r="H502" s="98">
        <v>100</v>
      </c>
      <c r="I502" s="98">
        <v>300</v>
      </c>
      <c r="J502" s="98" t="s">
        <v>10</v>
      </c>
      <c r="K502" s="98">
        <v>1.2</v>
      </c>
      <c r="L502" s="98">
        <v>3.5</v>
      </c>
      <c r="M502" s="98">
        <v>1.1754</v>
      </c>
      <c r="N502" s="98">
        <v>3.4796</v>
      </c>
      <c r="O502" s="99" t="s">
        <v>2566</v>
      </c>
    </row>
    <row r="503" spans="1:15" x14ac:dyDescent="0.25">
      <c r="A503" s="98" t="s">
        <v>55</v>
      </c>
      <c r="B503" s="98" t="s">
        <v>8</v>
      </c>
      <c r="C503" s="98">
        <v>1</v>
      </c>
      <c r="D503" s="98">
        <v>10</v>
      </c>
      <c r="E503" s="98">
        <v>1E-3</v>
      </c>
      <c r="F503" s="98" t="s">
        <v>6</v>
      </c>
      <c r="G503" s="98" t="s">
        <v>4</v>
      </c>
      <c r="H503" s="98">
        <v>0.04</v>
      </c>
      <c r="I503" s="98">
        <v>1</v>
      </c>
      <c r="J503" s="98" t="s">
        <v>10</v>
      </c>
      <c r="K503" s="98">
        <v>0.59428000000000003</v>
      </c>
      <c r="L503" s="98">
        <v>6.3506000000000007E-2</v>
      </c>
      <c r="M503" s="98">
        <v>0.59284000000000003</v>
      </c>
      <c r="N503" s="98">
        <v>6.3329999999999997E-2</v>
      </c>
      <c r="O503" s="99" t="s">
        <v>1647</v>
      </c>
    </row>
    <row r="504" spans="1:15" x14ac:dyDescent="0.25">
      <c r="A504" s="98" t="s">
        <v>55</v>
      </c>
      <c r="B504" s="98" t="s">
        <v>8</v>
      </c>
      <c r="C504" s="98">
        <v>1</v>
      </c>
      <c r="D504" s="98">
        <v>10</v>
      </c>
      <c r="E504" s="98">
        <v>1E-3</v>
      </c>
      <c r="F504" s="98" t="s">
        <v>6</v>
      </c>
      <c r="G504" s="98" t="s">
        <v>4</v>
      </c>
      <c r="H504" s="98">
        <v>4000</v>
      </c>
      <c r="I504" s="98">
        <v>8000</v>
      </c>
      <c r="J504" s="98" t="s">
        <v>10</v>
      </c>
      <c r="K504" s="98">
        <v>15</v>
      </c>
      <c r="L504" s="98">
        <v>46.325000000000003</v>
      </c>
      <c r="M504" s="98">
        <v>9.1658000000000008</v>
      </c>
      <c r="N504" s="98">
        <v>46.576000000000001</v>
      </c>
      <c r="O504" s="99" t="s">
        <v>1644</v>
      </c>
    </row>
    <row r="505" spans="1:15" x14ac:dyDescent="0.25">
      <c r="A505" s="98" t="s">
        <v>55</v>
      </c>
      <c r="B505" s="98" t="s">
        <v>8</v>
      </c>
      <c r="C505" s="98">
        <v>1</v>
      </c>
      <c r="D505" s="98">
        <v>10</v>
      </c>
      <c r="E505" s="98">
        <v>0.01</v>
      </c>
      <c r="F505" s="98" t="s">
        <v>6</v>
      </c>
      <c r="G505" s="98" t="s">
        <v>4</v>
      </c>
      <c r="H505" s="98">
        <v>100</v>
      </c>
      <c r="I505" s="98">
        <v>300</v>
      </c>
      <c r="J505" s="98" t="s">
        <v>10</v>
      </c>
      <c r="K505" s="98">
        <v>4.1894999999999998</v>
      </c>
      <c r="L505" s="98">
        <v>3.2244000000000002</v>
      </c>
      <c r="M505" s="98">
        <v>4.1679000000000004</v>
      </c>
      <c r="N505" s="98">
        <v>3.2259000000000002</v>
      </c>
      <c r="O505" s="99" t="s">
        <v>1659</v>
      </c>
    </row>
    <row r="506" spans="1:15" x14ac:dyDescent="0.25">
      <c r="A506" s="98" t="s">
        <v>55</v>
      </c>
      <c r="B506" s="98" t="s">
        <v>8</v>
      </c>
      <c r="C506" s="98">
        <v>1</v>
      </c>
      <c r="D506" s="98">
        <v>10</v>
      </c>
      <c r="E506" s="98">
        <v>0.01</v>
      </c>
      <c r="F506" s="98" t="s">
        <v>6</v>
      </c>
      <c r="G506" s="98" t="s">
        <v>4</v>
      </c>
      <c r="H506" s="98">
        <v>1000</v>
      </c>
      <c r="I506" s="98">
        <v>2000</v>
      </c>
      <c r="J506" s="98" t="s">
        <v>10</v>
      </c>
      <c r="K506" s="98">
        <v>6.1</v>
      </c>
      <c r="L506" s="98">
        <v>17.167000000000002</v>
      </c>
      <c r="M506" s="98">
        <v>2.0914999999999999</v>
      </c>
      <c r="N506" s="98">
        <v>17.401</v>
      </c>
      <c r="O506" s="99" t="s">
        <v>1656</v>
      </c>
    </row>
    <row r="507" spans="1:15" x14ac:dyDescent="0.25">
      <c r="A507" s="98" t="s">
        <v>55</v>
      </c>
      <c r="B507" s="98" t="s">
        <v>8</v>
      </c>
      <c r="C507" s="98">
        <v>1</v>
      </c>
      <c r="D507" s="98">
        <v>10</v>
      </c>
      <c r="E507" s="98">
        <v>0.01</v>
      </c>
      <c r="F507" s="98" t="s">
        <v>6</v>
      </c>
      <c r="G507" s="98" t="s">
        <v>4</v>
      </c>
      <c r="H507" s="98">
        <v>20</v>
      </c>
      <c r="I507" s="98">
        <v>50</v>
      </c>
      <c r="J507" s="98" t="s">
        <v>10</v>
      </c>
      <c r="K507" s="98">
        <v>5.6913</v>
      </c>
      <c r="L507" s="98">
        <v>0.11808</v>
      </c>
      <c r="M507" s="98">
        <v>5.6847000000000003</v>
      </c>
      <c r="N507" s="98">
        <v>0.11766</v>
      </c>
      <c r="O507" s="99" t="s">
        <v>1654</v>
      </c>
    </row>
    <row r="508" spans="1:15" x14ac:dyDescent="0.25">
      <c r="A508" s="98" t="s">
        <v>55</v>
      </c>
      <c r="B508" s="98" t="s">
        <v>8</v>
      </c>
      <c r="C508" s="98">
        <v>1</v>
      </c>
      <c r="D508" s="98">
        <v>10</v>
      </c>
      <c r="E508" s="98">
        <v>0.01</v>
      </c>
      <c r="F508" s="98" t="s">
        <v>6</v>
      </c>
      <c r="G508" s="98" t="s">
        <v>4</v>
      </c>
      <c r="H508" s="98">
        <v>1E-3</v>
      </c>
      <c r="I508" s="98">
        <v>0.04</v>
      </c>
      <c r="J508" s="98" t="s">
        <v>10</v>
      </c>
      <c r="K508" s="98">
        <v>5.7845000000000004</v>
      </c>
      <c r="L508" s="98">
        <v>1.5263000000000001E-2</v>
      </c>
      <c r="M508" s="98">
        <v>5.7839999999999998</v>
      </c>
      <c r="N508" s="98">
        <v>1.5049999999999999E-2</v>
      </c>
      <c r="O508" s="99" t="s">
        <v>1655</v>
      </c>
    </row>
    <row r="509" spans="1:15" x14ac:dyDescent="0.25">
      <c r="A509" s="98" t="s">
        <v>55</v>
      </c>
      <c r="B509" s="98" t="s">
        <v>8</v>
      </c>
      <c r="C509" s="98">
        <v>1</v>
      </c>
      <c r="D509" s="98">
        <v>10</v>
      </c>
      <c r="E509" s="98">
        <v>0.01</v>
      </c>
      <c r="F509" s="98" t="s">
        <v>6</v>
      </c>
      <c r="G509" s="98" t="s">
        <v>4</v>
      </c>
      <c r="H509" s="98">
        <v>0.04</v>
      </c>
      <c r="I509" s="98">
        <v>1</v>
      </c>
      <c r="J509" s="98" t="s">
        <v>10</v>
      </c>
      <c r="K509" s="98">
        <v>5.7723000000000004</v>
      </c>
      <c r="L509" s="98">
        <v>1.0442999999999999E-2</v>
      </c>
      <c r="M509" s="98">
        <v>5.7717000000000001</v>
      </c>
      <c r="N509" s="98">
        <v>1.0227E-2</v>
      </c>
      <c r="O509" s="99" t="s">
        <v>2569</v>
      </c>
    </row>
    <row r="510" spans="1:15" x14ac:dyDescent="0.25">
      <c r="A510" s="98" t="s">
        <v>55</v>
      </c>
      <c r="B510" s="98" t="s">
        <v>8</v>
      </c>
      <c r="C510" s="98">
        <v>1</v>
      </c>
      <c r="D510" s="98">
        <v>10</v>
      </c>
      <c r="E510" s="98">
        <v>0.01</v>
      </c>
      <c r="F510" s="98" t="s">
        <v>6</v>
      </c>
      <c r="G510" s="98" t="s">
        <v>4</v>
      </c>
      <c r="H510" s="98">
        <v>8000</v>
      </c>
      <c r="I510" s="98">
        <v>10000</v>
      </c>
      <c r="J510" s="98" t="s">
        <v>10</v>
      </c>
      <c r="K510" s="98">
        <v>46</v>
      </c>
      <c r="L510" s="98">
        <v>170.12</v>
      </c>
      <c r="M510" s="98">
        <v>11.629</v>
      </c>
      <c r="N510" s="98">
        <v>173.35</v>
      </c>
      <c r="O510" s="99" t="s">
        <v>1652</v>
      </c>
    </row>
    <row r="511" spans="1:15" x14ac:dyDescent="0.25">
      <c r="A511" s="98" t="s">
        <v>55</v>
      </c>
      <c r="B511" s="98" t="s">
        <v>8</v>
      </c>
      <c r="C511" s="98">
        <v>1</v>
      </c>
      <c r="D511" s="98">
        <v>10</v>
      </c>
      <c r="E511" s="98">
        <v>0.01</v>
      </c>
      <c r="F511" s="98" t="s">
        <v>6</v>
      </c>
      <c r="G511" s="98" t="s">
        <v>4</v>
      </c>
      <c r="H511" s="98">
        <v>50</v>
      </c>
      <c r="I511" s="98">
        <v>100</v>
      </c>
      <c r="J511" s="98" t="s">
        <v>10</v>
      </c>
      <c r="K511" s="98">
        <v>5.3091999999999997</v>
      </c>
      <c r="L511" s="98">
        <v>0.59367999999999999</v>
      </c>
      <c r="M511" s="98">
        <v>5.2965</v>
      </c>
      <c r="N511" s="98">
        <v>0.59386000000000005</v>
      </c>
      <c r="O511" s="99" t="s">
        <v>1658</v>
      </c>
    </row>
    <row r="512" spans="1:15" x14ac:dyDescent="0.25">
      <c r="A512" s="98" t="s">
        <v>55</v>
      </c>
      <c r="B512" s="98" t="s">
        <v>8</v>
      </c>
      <c r="C512" s="98">
        <v>1</v>
      </c>
      <c r="D512" s="98">
        <v>10</v>
      </c>
      <c r="E512" s="98">
        <v>0.01</v>
      </c>
      <c r="F512" s="98" t="s">
        <v>6</v>
      </c>
      <c r="G512" s="98" t="s">
        <v>4</v>
      </c>
      <c r="H512" s="98">
        <v>1</v>
      </c>
      <c r="I512" s="98">
        <v>20</v>
      </c>
      <c r="J512" s="98" t="s">
        <v>10</v>
      </c>
      <c r="K512" s="98">
        <v>5.7577999999999996</v>
      </c>
      <c r="L512" s="98">
        <v>3.1829000000000003E-2</v>
      </c>
      <c r="M512" s="98">
        <v>5.7554999999999996</v>
      </c>
      <c r="N512" s="98">
        <v>3.1387999999999999E-2</v>
      </c>
      <c r="O512" s="99" t="s">
        <v>1657</v>
      </c>
    </row>
    <row r="513" spans="1:15" x14ac:dyDescent="0.25">
      <c r="A513" s="98" t="s">
        <v>55</v>
      </c>
      <c r="B513" s="98" t="s">
        <v>8</v>
      </c>
      <c r="C513" s="98">
        <v>1</v>
      </c>
      <c r="D513" s="98">
        <v>10</v>
      </c>
      <c r="E513" s="98">
        <v>0.01</v>
      </c>
      <c r="F513" s="98" t="s">
        <v>6</v>
      </c>
      <c r="G513" s="98" t="s">
        <v>4</v>
      </c>
      <c r="H513" s="98">
        <v>4000</v>
      </c>
      <c r="I513" s="98">
        <v>8000</v>
      </c>
      <c r="J513" s="98" t="s">
        <v>10</v>
      </c>
      <c r="K513" s="98">
        <v>15</v>
      </c>
      <c r="L513" s="98">
        <v>46.329000000000001</v>
      </c>
      <c r="M513" s="98">
        <v>9.49</v>
      </c>
      <c r="N513" s="98">
        <v>46.546999999999997</v>
      </c>
      <c r="O513" s="99" t="s">
        <v>1661</v>
      </c>
    </row>
    <row r="514" spans="1:15" x14ac:dyDescent="0.25">
      <c r="A514" s="98" t="s">
        <v>55</v>
      </c>
      <c r="B514" s="98" t="s">
        <v>8</v>
      </c>
      <c r="C514" s="98">
        <v>1</v>
      </c>
      <c r="D514" s="98">
        <v>10</v>
      </c>
      <c r="E514" s="98">
        <v>0.01</v>
      </c>
      <c r="F514" s="98" t="s">
        <v>6</v>
      </c>
      <c r="G514" s="98" t="s">
        <v>4</v>
      </c>
      <c r="H514" s="98">
        <v>300</v>
      </c>
      <c r="I514" s="98">
        <v>1000</v>
      </c>
      <c r="J514" s="98" t="s">
        <v>10</v>
      </c>
      <c r="K514" s="98">
        <v>2.2239</v>
      </c>
      <c r="L514" s="98">
        <v>11.849</v>
      </c>
      <c r="M514" s="98">
        <v>2.4895999999999998</v>
      </c>
      <c r="N514" s="98">
        <v>11.566000000000001</v>
      </c>
      <c r="O514" s="99" t="s">
        <v>1660</v>
      </c>
    </row>
    <row r="515" spans="1:15" x14ac:dyDescent="0.25">
      <c r="A515" s="98" t="s">
        <v>55</v>
      </c>
      <c r="B515" s="98" t="s">
        <v>8</v>
      </c>
      <c r="C515" s="98">
        <v>1</v>
      </c>
      <c r="D515" s="98">
        <v>10</v>
      </c>
      <c r="E515" s="98">
        <v>0.01</v>
      </c>
      <c r="F515" s="98" t="s">
        <v>6</v>
      </c>
      <c r="G515" s="98" t="s">
        <v>4</v>
      </c>
      <c r="H515" s="98">
        <v>2000</v>
      </c>
      <c r="I515" s="98">
        <v>4000</v>
      </c>
      <c r="J515" s="98" t="s">
        <v>10</v>
      </c>
      <c r="K515" s="98">
        <v>12</v>
      </c>
      <c r="L515" s="98">
        <v>46.042000000000002</v>
      </c>
      <c r="M515" s="98">
        <v>8.3953000000000007</v>
      </c>
      <c r="N515" s="98">
        <v>46.298000000000002</v>
      </c>
      <c r="O515" s="99" t="s">
        <v>1653</v>
      </c>
    </row>
    <row r="516" spans="1:15" x14ac:dyDescent="0.25">
      <c r="A516" s="98" t="s">
        <v>55</v>
      </c>
      <c r="B516" s="98" t="s">
        <v>8</v>
      </c>
      <c r="C516" s="98">
        <v>1</v>
      </c>
      <c r="D516" s="98">
        <v>10</v>
      </c>
      <c r="E516" s="98">
        <v>0.1</v>
      </c>
      <c r="F516" s="98" t="s">
        <v>6</v>
      </c>
      <c r="G516" s="98" t="s">
        <v>4</v>
      </c>
      <c r="H516" s="98">
        <v>8000</v>
      </c>
      <c r="I516" s="98">
        <v>10000</v>
      </c>
      <c r="J516" s="98" t="s">
        <v>10</v>
      </c>
      <c r="K516" s="98">
        <v>46</v>
      </c>
      <c r="L516" s="98">
        <v>170.24</v>
      </c>
      <c r="M516" s="98">
        <v>20.344000000000001</v>
      </c>
      <c r="N516" s="98">
        <v>172.48</v>
      </c>
      <c r="O516" s="99" t="s">
        <v>1666</v>
      </c>
    </row>
    <row r="517" spans="1:15" x14ac:dyDescent="0.25">
      <c r="A517" s="98" t="s">
        <v>55</v>
      </c>
      <c r="B517" s="98" t="s">
        <v>8</v>
      </c>
      <c r="C517" s="98">
        <v>1</v>
      </c>
      <c r="D517" s="98">
        <v>10</v>
      </c>
      <c r="E517" s="98">
        <v>0.1</v>
      </c>
      <c r="F517" s="98" t="s">
        <v>6</v>
      </c>
      <c r="G517" s="98" t="s">
        <v>4</v>
      </c>
      <c r="H517" s="98">
        <v>1</v>
      </c>
      <c r="I517" s="98">
        <v>20</v>
      </c>
      <c r="J517" s="98" t="s">
        <v>10</v>
      </c>
      <c r="K517" s="98">
        <v>57.734999999999999</v>
      </c>
      <c r="L517" s="98">
        <v>3.4134999999999999E-3</v>
      </c>
      <c r="M517" s="98">
        <v>57.704999999999998</v>
      </c>
      <c r="N517" s="98">
        <v>3.222E-3</v>
      </c>
      <c r="O517" s="99" t="s">
        <v>2575</v>
      </c>
    </row>
    <row r="518" spans="1:15" x14ac:dyDescent="0.25">
      <c r="A518" s="98" t="s">
        <v>55</v>
      </c>
      <c r="B518" s="98" t="s">
        <v>8</v>
      </c>
      <c r="C518" s="98">
        <v>1</v>
      </c>
      <c r="D518" s="98">
        <v>10</v>
      </c>
      <c r="E518" s="98">
        <v>0.1</v>
      </c>
      <c r="F518" s="98" t="s">
        <v>6</v>
      </c>
      <c r="G518" s="98" t="s">
        <v>4</v>
      </c>
      <c r="H518" s="98">
        <v>300</v>
      </c>
      <c r="I518" s="98">
        <v>1000</v>
      </c>
      <c r="J518" s="98" t="s">
        <v>10</v>
      </c>
      <c r="K518" s="98">
        <v>51.131999999999998</v>
      </c>
      <c r="L518" s="98">
        <v>8.0251999999999999</v>
      </c>
      <c r="M518" s="98">
        <v>47.575000000000003</v>
      </c>
      <c r="N518" s="98">
        <v>8.0258000000000003</v>
      </c>
      <c r="O518" s="99" t="s">
        <v>1664</v>
      </c>
    </row>
    <row r="519" spans="1:15" x14ac:dyDescent="0.25">
      <c r="A519" s="98" t="s">
        <v>55</v>
      </c>
      <c r="B519" s="98" t="s">
        <v>8</v>
      </c>
      <c r="C519" s="98">
        <v>1</v>
      </c>
      <c r="D519" s="98">
        <v>10</v>
      </c>
      <c r="E519" s="98">
        <v>0.1</v>
      </c>
      <c r="F519" s="98" t="s">
        <v>6</v>
      </c>
      <c r="G519" s="98" t="s">
        <v>4</v>
      </c>
      <c r="H519" s="98">
        <v>100</v>
      </c>
      <c r="I519" s="98">
        <v>300</v>
      </c>
      <c r="J519" s="98" t="s">
        <v>10</v>
      </c>
      <c r="K519" s="98">
        <v>56.807000000000002</v>
      </c>
      <c r="L519" s="98">
        <v>1.1229</v>
      </c>
      <c r="M519" s="98">
        <v>54.694000000000003</v>
      </c>
      <c r="N519" s="98">
        <v>1.1224000000000001</v>
      </c>
      <c r="O519" s="99" t="s">
        <v>2573</v>
      </c>
    </row>
    <row r="520" spans="1:15" x14ac:dyDescent="0.25">
      <c r="A520" s="98" t="s">
        <v>55</v>
      </c>
      <c r="B520" s="98" t="s">
        <v>8</v>
      </c>
      <c r="C520" s="98">
        <v>1</v>
      </c>
      <c r="D520" s="98">
        <v>10</v>
      </c>
      <c r="E520" s="98">
        <v>0.1</v>
      </c>
      <c r="F520" s="98" t="s">
        <v>6</v>
      </c>
      <c r="G520" s="98" t="s">
        <v>4</v>
      </c>
      <c r="H520" s="98">
        <v>2000</v>
      </c>
      <c r="I520" s="98">
        <v>4000</v>
      </c>
      <c r="J520" s="98" t="s">
        <v>10</v>
      </c>
      <c r="K520" s="98">
        <v>35.390999999999998</v>
      </c>
      <c r="L520" s="98">
        <v>43.95</v>
      </c>
      <c r="M520" s="98">
        <v>33.018000000000001</v>
      </c>
      <c r="N520" s="98">
        <v>43.95</v>
      </c>
      <c r="O520" s="99" t="s">
        <v>1665</v>
      </c>
    </row>
    <row r="521" spans="1:15" x14ac:dyDescent="0.25">
      <c r="A521" s="98" t="s">
        <v>55</v>
      </c>
      <c r="B521" s="98" t="s">
        <v>8</v>
      </c>
      <c r="C521" s="98">
        <v>1</v>
      </c>
      <c r="D521" s="98">
        <v>10</v>
      </c>
      <c r="E521" s="98">
        <v>0.1</v>
      </c>
      <c r="F521" s="98" t="s">
        <v>6</v>
      </c>
      <c r="G521" s="98" t="s">
        <v>4</v>
      </c>
      <c r="H521" s="98">
        <v>50</v>
      </c>
      <c r="I521" s="98">
        <v>100</v>
      </c>
      <c r="J521" s="98" t="s">
        <v>10</v>
      </c>
      <c r="K521" s="98">
        <v>57.664999999999999</v>
      </c>
      <c r="L521" s="98">
        <v>8.7822999999999998E-2</v>
      </c>
      <c r="M521" s="98">
        <v>57.152999999999999</v>
      </c>
      <c r="N521" s="98">
        <v>8.7461999999999998E-2</v>
      </c>
      <c r="O521" s="99" t="s">
        <v>2571</v>
      </c>
    </row>
    <row r="522" spans="1:15" x14ac:dyDescent="0.25">
      <c r="A522" s="98" t="s">
        <v>55</v>
      </c>
      <c r="B522" s="98" t="s">
        <v>8</v>
      </c>
      <c r="C522" s="98">
        <v>1</v>
      </c>
      <c r="D522" s="98">
        <v>10</v>
      </c>
      <c r="E522" s="98">
        <v>0.1</v>
      </c>
      <c r="F522" s="98" t="s">
        <v>6</v>
      </c>
      <c r="G522" s="98" t="s">
        <v>4</v>
      </c>
      <c r="H522" s="98">
        <v>4000</v>
      </c>
      <c r="I522" s="98">
        <v>8000</v>
      </c>
      <c r="J522" s="98" t="s">
        <v>10</v>
      </c>
      <c r="K522" s="98">
        <v>36.033999999999999</v>
      </c>
      <c r="L522" s="98">
        <v>44.241</v>
      </c>
      <c r="M522" s="98">
        <v>33.704000000000001</v>
      </c>
      <c r="N522" s="98">
        <v>44.241</v>
      </c>
      <c r="O522" s="99" t="s">
        <v>1663</v>
      </c>
    </row>
    <row r="523" spans="1:15" x14ac:dyDescent="0.25">
      <c r="A523" s="98" t="s">
        <v>55</v>
      </c>
      <c r="B523" s="98" t="s">
        <v>8</v>
      </c>
      <c r="C523" s="98">
        <v>1</v>
      </c>
      <c r="D523" s="98">
        <v>10</v>
      </c>
      <c r="E523" s="98">
        <v>0.1</v>
      </c>
      <c r="F523" s="98" t="s">
        <v>6</v>
      </c>
      <c r="G523" s="98" t="s">
        <v>4</v>
      </c>
      <c r="H523" s="98">
        <v>1000</v>
      </c>
      <c r="I523" s="98">
        <v>2000</v>
      </c>
      <c r="J523" s="98" t="s">
        <v>10</v>
      </c>
      <c r="K523" s="98">
        <v>46.847000000000001</v>
      </c>
      <c r="L523" s="98">
        <v>13.84</v>
      </c>
      <c r="M523" s="98">
        <v>43.262</v>
      </c>
      <c r="N523" s="98">
        <v>13.840999999999999</v>
      </c>
      <c r="O523" s="99" t="s">
        <v>2572</v>
      </c>
    </row>
    <row r="524" spans="1:15" x14ac:dyDescent="0.25">
      <c r="A524" s="98" t="s">
        <v>55</v>
      </c>
      <c r="B524" s="98" t="s">
        <v>8</v>
      </c>
      <c r="C524" s="98">
        <v>1</v>
      </c>
      <c r="D524" s="98">
        <v>10</v>
      </c>
      <c r="E524" s="98">
        <v>0.1</v>
      </c>
      <c r="F524" s="98" t="s">
        <v>6</v>
      </c>
      <c r="G524" s="98" t="s">
        <v>4</v>
      </c>
      <c r="H524" s="98">
        <v>0.04</v>
      </c>
      <c r="I524" s="98">
        <v>1</v>
      </c>
      <c r="J524" s="98" t="s">
        <v>10</v>
      </c>
      <c r="K524" s="98">
        <v>57.735999999999997</v>
      </c>
      <c r="L524" s="98">
        <v>1.1207000000000001E-3</v>
      </c>
      <c r="M524" s="98">
        <v>57.725999999999999</v>
      </c>
      <c r="N524" s="98">
        <v>1.0323000000000001E-3</v>
      </c>
      <c r="O524" s="99" t="s">
        <v>2570</v>
      </c>
    </row>
    <row r="525" spans="1:15" x14ac:dyDescent="0.25">
      <c r="A525" s="98" t="s">
        <v>55</v>
      </c>
      <c r="B525" s="98" t="s">
        <v>8</v>
      </c>
      <c r="C525" s="98">
        <v>1</v>
      </c>
      <c r="D525" s="98">
        <v>10</v>
      </c>
      <c r="E525" s="98">
        <v>0.1</v>
      </c>
      <c r="F525" s="98" t="s">
        <v>6</v>
      </c>
      <c r="G525" s="98" t="s">
        <v>4</v>
      </c>
      <c r="H525" s="98">
        <v>1E-3</v>
      </c>
      <c r="I525" s="98">
        <v>0.04</v>
      </c>
      <c r="J525" s="98" t="s">
        <v>10</v>
      </c>
      <c r="K525" s="98">
        <v>57.737000000000002</v>
      </c>
      <c r="L525" s="98">
        <v>1.6174E-3</v>
      </c>
      <c r="M525" s="98">
        <v>57.722999999999999</v>
      </c>
      <c r="N525" s="98">
        <v>1.529E-3</v>
      </c>
      <c r="O525" s="99" t="s">
        <v>2574</v>
      </c>
    </row>
    <row r="526" spans="1:15" x14ac:dyDescent="0.25">
      <c r="A526" s="98" t="s">
        <v>55</v>
      </c>
      <c r="B526" s="98" t="s">
        <v>8</v>
      </c>
      <c r="C526" s="98">
        <v>1</v>
      </c>
      <c r="D526" s="98">
        <v>10</v>
      </c>
      <c r="E526" s="98">
        <v>0.1</v>
      </c>
      <c r="F526" s="98" t="s">
        <v>6</v>
      </c>
      <c r="G526" s="98" t="s">
        <v>4</v>
      </c>
      <c r="H526" s="98">
        <v>20</v>
      </c>
      <c r="I526" s="98">
        <v>50</v>
      </c>
      <c r="J526" s="98" t="s">
        <v>10</v>
      </c>
      <c r="K526" s="98">
        <v>57.728000000000002</v>
      </c>
      <c r="L526" s="98">
        <v>1.3146E-2</v>
      </c>
      <c r="M526" s="98">
        <v>57.621000000000002</v>
      </c>
      <c r="N526" s="98">
        <v>1.289E-2</v>
      </c>
      <c r="O526" s="99" t="s">
        <v>1662</v>
      </c>
    </row>
    <row r="527" spans="1:15" x14ac:dyDescent="0.25">
      <c r="A527" s="98" t="s">
        <v>55</v>
      </c>
      <c r="B527" s="98" t="s">
        <v>8</v>
      </c>
      <c r="C527" s="98">
        <v>10</v>
      </c>
      <c r="D527" s="98">
        <v>100</v>
      </c>
      <c r="E527" s="98">
        <v>1.0000000000000001E-5</v>
      </c>
      <c r="F527" s="98" t="s">
        <v>6</v>
      </c>
      <c r="G527" s="98" t="s">
        <v>4</v>
      </c>
      <c r="H527" s="98">
        <v>300</v>
      </c>
      <c r="I527" s="98">
        <v>1000</v>
      </c>
      <c r="J527" s="98" t="s">
        <v>10</v>
      </c>
      <c r="K527" s="98">
        <v>46</v>
      </c>
      <c r="L527" s="98">
        <v>17</v>
      </c>
      <c r="M527" s="98">
        <v>12.317</v>
      </c>
      <c r="N527" s="98">
        <v>17.334</v>
      </c>
      <c r="O527" s="99" t="s">
        <v>1669</v>
      </c>
    </row>
    <row r="528" spans="1:15" x14ac:dyDescent="0.25">
      <c r="A528" s="98" t="s">
        <v>55</v>
      </c>
      <c r="B528" s="98" t="s">
        <v>8</v>
      </c>
      <c r="C528" s="98">
        <v>10</v>
      </c>
      <c r="D528" s="98">
        <v>100</v>
      </c>
      <c r="E528" s="98">
        <v>1.0000000000000001E-5</v>
      </c>
      <c r="F528" s="98" t="s">
        <v>6</v>
      </c>
      <c r="G528" s="98" t="s">
        <v>4</v>
      </c>
      <c r="H528" s="98">
        <v>100</v>
      </c>
      <c r="I528" s="98">
        <v>300</v>
      </c>
      <c r="J528" s="98" t="s">
        <v>10</v>
      </c>
      <c r="K528" s="98">
        <v>15</v>
      </c>
      <c r="L528" s="98">
        <v>4.5999999999999996</v>
      </c>
      <c r="M528" s="98">
        <v>11.574999999999999</v>
      </c>
      <c r="N528" s="98">
        <v>4.6268000000000002</v>
      </c>
      <c r="O528" s="99" t="s">
        <v>1667</v>
      </c>
    </row>
    <row r="529" spans="1:15" x14ac:dyDescent="0.25">
      <c r="A529" s="98" t="s">
        <v>55</v>
      </c>
      <c r="B529" s="98" t="s">
        <v>8</v>
      </c>
      <c r="C529" s="98">
        <v>10</v>
      </c>
      <c r="D529" s="98">
        <v>20</v>
      </c>
      <c r="E529" s="98">
        <v>1.0000000000000001E-5</v>
      </c>
      <c r="F529" s="98" t="s">
        <v>6</v>
      </c>
      <c r="G529" s="98" t="s">
        <v>4</v>
      </c>
      <c r="H529" s="98">
        <v>100</v>
      </c>
      <c r="I529" s="98">
        <v>300</v>
      </c>
      <c r="J529" s="98" t="s">
        <v>10</v>
      </c>
      <c r="K529" s="98">
        <v>13</v>
      </c>
      <c r="L529" s="98">
        <v>4.5999999999999996</v>
      </c>
      <c r="M529" s="98">
        <v>11.573</v>
      </c>
      <c r="N529" s="98">
        <v>4.6268000000000002</v>
      </c>
      <c r="O529" s="99" t="s">
        <v>1674</v>
      </c>
    </row>
    <row r="530" spans="1:15" x14ac:dyDescent="0.25">
      <c r="A530" s="98" t="s">
        <v>55</v>
      </c>
      <c r="B530" s="98" t="s">
        <v>8</v>
      </c>
      <c r="C530" s="98">
        <v>10</v>
      </c>
      <c r="D530" s="98">
        <v>20</v>
      </c>
      <c r="E530" s="98">
        <v>1.0000000000000001E-5</v>
      </c>
      <c r="F530" s="98" t="s">
        <v>6</v>
      </c>
      <c r="G530" s="98" t="s">
        <v>4</v>
      </c>
      <c r="H530" s="98">
        <v>50</v>
      </c>
      <c r="I530" s="98">
        <v>100</v>
      </c>
      <c r="J530" s="98" t="s">
        <v>10</v>
      </c>
      <c r="K530" s="98">
        <v>2.4</v>
      </c>
      <c r="L530" s="98">
        <v>1.4</v>
      </c>
      <c r="M530" s="98">
        <v>2.3767</v>
      </c>
      <c r="N530" s="98">
        <v>1.3889</v>
      </c>
      <c r="O530" s="99" t="s">
        <v>1670</v>
      </c>
    </row>
    <row r="531" spans="1:15" x14ac:dyDescent="0.25">
      <c r="A531" s="98" t="s">
        <v>55</v>
      </c>
      <c r="B531" s="98" t="s">
        <v>8</v>
      </c>
      <c r="C531" s="98">
        <v>10</v>
      </c>
      <c r="D531" s="98">
        <v>20</v>
      </c>
      <c r="E531" s="98">
        <v>1.0000000000000001E-5</v>
      </c>
      <c r="F531" s="98" t="s">
        <v>6</v>
      </c>
      <c r="G531" s="98" t="s">
        <v>4</v>
      </c>
      <c r="H531" s="98">
        <v>1E-3</v>
      </c>
      <c r="I531" s="98">
        <v>0.04</v>
      </c>
      <c r="J531" s="98" t="s">
        <v>10</v>
      </c>
      <c r="K531" s="98">
        <v>4.7</v>
      </c>
      <c r="L531" s="98">
        <v>0.23</v>
      </c>
      <c r="M531" s="98">
        <v>4.6185999999999998</v>
      </c>
      <c r="N531" s="98">
        <v>0.23291000000000001</v>
      </c>
      <c r="O531" s="99" t="s">
        <v>1672</v>
      </c>
    </row>
    <row r="532" spans="1:15" x14ac:dyDescent="0.25">
      <c r="A532" s="98" t="s">
        <v>55</v>
      </c>
      <c r="B532" s="98" t="s">
        <v>8</v>
      </c>
      <c r="C532" s="98">
        <v>10</v>
      </c>
      <c r="D532" s="98">
        <v>20</v>
      </c>
      <c r="E532" s="98">
        <v>1.0000000000000001E-5</v>
      </c>
      <c r="F532" s="98" t="s">
        <v>6</v>
      </c>
      <c r="G532" s="98" t="s">
        <v>4</v>
      </c>
      <c r="H532" s="98">
        <v>300</v>
      </c>
      <c r="I532" s="98">
        <v>1000</v>
      </c>
      <c r="J532" s="98" t="s">
        <v>10</v>
      </c>
      <c r="K532" s="98">
        <v>19</v>
      </c>
      <c r="L532" s="98">
        <v>17</v>
      </c>
      <c r="M532" s="98">
        <v>12.388</v>
      </c>
      <c r="N532" s="98">
        <v>17.324000000000002</v>
      </c>
      <c r="O532" s="99" t="s">
        <v>1671</v>
      </c>
    </row>
    <row r="533" spans="1:15" x14ac:dyDescent="0.25">
      <c r="A533" s="98" t="s">
        <v>55</v>
      </c>
      <c r="B533" s="98" t="s">
        <v>8</v>
      </c>
      <c r="C533" s="98">
        <v>10</v>
      </c>
      <c r="D533" s="98">
        <v>20</v>
      </c>
      <c r="E533" s="98">
        <v>1.0000000000000001E-5</v>
      </c>
      <c r="F533" s="98" t="s">
        <v>6</v>
      </c>
      <c r="G533" s="98" t="s">
        <v>4</v>
      </c>
      <c r="H533" s="98">
        <v>1</v>
      </c>
      <c r="I533" s="98">
        <v>20</v>
      </c>
      <c r="J533" s="98" t="s">
        <v>10</v>
      </c>
      <c r="K533" s="98">
        <v>2.4</v>
      </c>
      <c r="L533" s="98">
        <v>0.23</v>
      </c>
      <c r="M533" s="98">
        <v>2.298</v>
      </c>
      <c r="N533" s="98">
        <v>0.23305999999999999</v>
      </c>
      <c r="O533" s="99" t="s">
        <v>1668</v>
      </c>
    </row>
    <row r="534" spans="1:15" x14ac:dyDescent="0.25">
      <c r="A534" s="98" t="s">
        <v>55</v>
      </c>
      <c r="B534" s="98" t="s">
        <v>8</v>
      </c>
      <c r="C534" s="98">
        <v>10</v>
      </c>
      <c r="D534" s="98">
        <v>20</v>
      </c>
      <c r="E534" s="98">
        <v>1.0000000000000001E-5</v>
      </c>
      <c r="F534" s="98" t="s">
        <v>6</v>
      </c>
      <c r="G534" s="98" t="s">
        <v>4</v>
      </c>
      <c r="H534" s="98">
        <v>0.04</v>
      </c>
      <c r="I534" s="98">
        <v>1</v>
      </c>
      <c r="J534" s="98" t="s">
        <v>10</v>
      </c>
      <c r="K534" s="98">
        <v>2.4</v>
      </c>
      <c r="L534" s="98">
        <v>0.23</v>
      </c>
      <c r="M534" s="98">
        <v>2.298</v>
      </c>
      <c r="N534" s="98">
        <v>0.23305999999999999</v>
      </c>
      <c r="O534" s="99" t="s">
        <v>1673</v>
      </c>
    </row>
    <row r="535" spans="1:15" x14ac:dyDescent="0.25">
      <c r="A535" s="98" t="s">
        <v>55</v>
      </c>
      <c r="B535" s="98" t="s">
        <v>8</v>
      </c>
      <c r="C535" s="98">
        <v>10</v>
      </c>
      <c r="D535" s="98">
        <v>20</v>
      </c>
      <c r="E535" s="98">
        <v>1.0000000000000001E-5</v>
      </c>
      <c r="F535" s="98" t="s">
        <v>6</v>
      </c>
      <c r="G535" s="98" t="s">
        <v>4</v>
      </c>
      <c r="H535" s="98">
        <v>20</v>
      </c>
      <c r="I535" s="98">
        <v>50</v>
      </c>
      <c r="J535" s="98" t="s">
        <v>10</v>
      </c>
      <c r="K535" s="98">
        <v>2.4</v>
      </c>
      <c r="L535" s="98">
        <v>0.41</v>
      </c>
      <c r="M535" s="98">
        <v>2.2656000000000001</v>
      </c>
      <c r="N535" s="98">
        <v>0.40923999999999999</v>
      </c>
      <c r="O535" s="99" t="s">
        <v>2576</v>
      </c>
    </row>
    <row r="536" spans="1:15" x14ac:dyDescent="0.25">
      <c r="A536" s="98" t="s">
        <v>55</v>
      </c>
      <c r="B536" s="98" t="s">
        <v>8</v>
      </c>
      <c r="C536" s="98">
        <v>10</v>
      </c>
      <c r="D536" s="98">
        <v>20</v>
      </c>
      <c r="E536" s="98">
        <v>1E-4</v>
      </c>
      <c r="F536" s="98" t="s">
        <v>6</v>
      </c>
      <c r="G536" s="98" t="s">
        <v>4</v>
      </c>
      <c r="H536" s="98">
        <v>50</v>
      </c>
      <c r="I536" s="98">
        <v>100</v>
      </c>
      <c r="J536" s="98" t="s">
        <v>10</v>
      </c>
      <c r="K536" s="98">
        <v>2.4</v>
      </c>
      <c r="L536" s="98">
        <v>1.4</v>
      </c>
      <c r="M536" s="98">
        <v>2.3769</v>
      </c>
      <c r="N536" s="98">
        <v>1.3889</v>
      </c>
      <c r="O536" s="99" t="s">
        <v>2582</v>
      </c>
    </row>
    <row r="537" spans="1:15" x14ac:dyDescent="0.25">
      <c r="A537" s="98" t="s">
        <v>55</v>
      </c>
      <c r="B537" s="98" t="s">
        <v>8</v>
      </c>
      <c r="C537" s="98">
        <v>10</v>
      </c>
      <c r="D537" s="98">
        <v>100</v>
      </c>
      <c r="E537" s="98">
        <v>1E-4</v>
      </c>
      <c r="F537" s="98" t="s">
        <v>6</v>
      </c>
      <c r="G537" s="98" t="s">
        <v>4</v>
      </c>
      <c r="H537" s="98">
        <v>100</v>
      </c>
      <c r="I537" s="98">
        <v>300</v>
      </c>
      <c r="J537" s="98" t="s">
        <v>10</v>
      </c>
      <c r="K537" s="98">
        <v>15</v>
      </c>
      <c r="L537" s="98">
        <v>4.6028000000000002</v>
      </c>
      <c r="M537" s="98">
        <v>11.574999999999999</v>
      </c>
      <c r="N537" s="98">
        <v>4.6268000000000002</v>
      </c>
      <c r="O537" s="99" t="s">
        <v>1677</v>
      </c>
    </row>
    <row r="538" spans="1:15" x14ac:dyDescent="0.25">
      <c r="A538" s="98" t="s">
        <v>55</v>
      </c>
      <c r="B538" s="98" t="s">
        <v>8</v>
      </c>
      <c r="C538" s="98">
        <v>10</v>
      </c>
      <c r="D538" s="98">
        <v>20</v>
      </c>
      <c r="E538" s="98">
        <v>1E-4</v>
      </c>
      <c r="F538" s="98" t="s">
        <v>6</v>
      </c>
      <c r="G538" s="98" t="s">
        <v>4</v>
      </c>
      <c r="H538" s="98">
        <v>1E-3</v>
      </c>
      <c r="I538" s="98">
        <v>0.04</v>
      </c>
      <c r="J538" s="98" t="s">
        <v>10</v>
      </c>
      <c r="K538" s="98">
        <v>4.7</v>
      </c>
      <c r="L538" s="98">
        <v>0.23</v>
      </c>
      <c r="M538" s="98">
        <v>4.6189999999999998</v>
      </c>
      <c r="N538" s="98">
        <v>0.2329</v>
      </c>
      <c r="O538" s="99" t="s">
        <v>2578</v>
      </c>
    </row>
    <row r="539" spans="1:15" x14ac:dyDescent="0.25">
      <c r="A539" s="98" t="s">
        <v>55</v>
      </c>
      <c r="B539" s="98" t="s">
        <v>8</v>
      </c>
      <c r="C539" s="98">
        <v>10</v>
      </c>
      <c r="D539" s="98">
        <v>20</v>
      </c>
      <c r="E539" s="98">
        <v>1E-4</v>
      </c>
      <c r="F539" s="98" t="s">
        <v>6</v>
      </c>
      <c r="G539" s="98" t="s">
        <v>4</v>
      </c>
      <c r="H539" s="98">
        <v>20</v>
      </c>
      <c r="I539" s="98">
        <v>50</v>
      </c>
      <c r="J539" s="98" t="s">
        <v>10</v>
      </c>
      <c r="K539" s="98">
        <v>2.4</v>
      </c>
      <c r="L539" s="98">
        <v>0.41</v>
      </c>
      <c r="M539" s="98">
        <v>2.266</v>
      </c>
      <c r="N539" s="98">
        <v>0.40922999999999998</v>
      </c>
      <c r="O539" s="99" t="s">
        <v>2581</v>
      </c>
    </row>
    <row r="540" spans="1:15" x14ac:dyDescent="0.25">
      <c r="A540" s="98" t="s">
        <v>55</v>
      </c>
      <c r="B540" s="98" t="s">
        <v>8</v>
      </c>
      <c r="C540" s="98">
        <v>10</v>
      </c>
      <c r="D540" s="98">
        <v>20</v>
      </c>
      <c r="E540" s="98">
        <v>1E-4</v>
      </c>
      <c r="F540" s="98" t="s">
        <v>6</v>
      </c>
      <c r="G540" s="98" t="s">
        <v>4</v>
      </c>
      <c r="H540" s="98">
        <v>100</v>
      </c>
      <c r="I540" s="98">
        <v>300</v>
      </c>
      <c r="J540" s="98" t="s">
        <v>10</v>
      </c>
      <c r="K540" s="98">
        <v>13</v>
      </c>
      <c r="L540" s="98">
        <v>4.6109</v>
      </c>
      <c r="M540" s="98">
        <v>11.574</v>
      </c>
      <c r="N540" s="98">
        <v>4.6268000000000002</v>
      </c>
      <c r="O540" s="99" t="s">
        <v>2580</v>
      </c>
    </row>
    <row r="541" spans="1:15" x14ac:dyDescent="0.25">
      <c r="A541" s="98" t="s">
        <v>55</v>
      </c>
      <c r="B541" s="98" t="s">
        <v>8</v>
      </c>
      <c r="C541" s="98">
        <v>10</v>
      </c>
      <c r="D541" s="98">
        <v>20</v>
      </c>
      <c r="E541" s="98">
        <v>1E-4</v>
      </c>
      <c r="F541" s="98" t="s">
        <v>6</v>
      </c>
      <c r="G541" s="98" t="s">
        <v>4</v>
      </c>
      <c r="H541" s="98">
        <v>0.04</v>
      </c>
      <c r="I541" s="98">
        <v>1</v>
      </c>
      <c r="J541" s="98" t="s">
        <v>10</v>
      </c>
      <c r="K541" s="98">
        <v>2.4</v>
      </c>
      <c r="L541" s="98">
        <v>0.23</v>
      </c>
      <c r="M541" s="98">
        <v>2.2985000000000002</v>
      </c>
      <c r="N541" s="98">
        <v>0.23305000000000001</v>
      </c>
      <c r="O541" s="99" t="s">
        <v>1675</v>
      </c>
    </row>
    <row r="542" spans="1:15" x14ac:dyDescent="0.25">
      <c r="A542" s="98" t="s">
        <v>55</v>
      </c>
      <c r="B542" s="98" t="s">
        <v>8</v>
      </c>
      <c r="C542" s="98">
        <v>10</v>
      </c>
      <c r="D542" s="98">
        <v>20</v>
      </c>
      <c r="E542" s="98">
        <v>1E-4</v>
      </c>
      <c r="F542" s="98" t="s">
        <v>6</v>
      </c>
      <c r="G542" s="98" t="s">
        <v>4</v>
      </c>
      <c r="H542" s="98">
        <v>1</v>
      </c>
      <c r="I542" s="98">
        <v>20</v>
      </c>
      <c r="J542" s="98" t="s">
        <v>10</v>
      </c>
      <c r="K542" s="98">
        <v>2.4</v>
      </c>
      <c r="L542" s="98">
        <v>0.23</v>
      </c>
      <c r="M542" s="98">
        <v>2.2985000000000002</v>
      </c>
      <c r="N542" s="98">
        <v>0.23305000000000001</v>
      </c>
      <c r="O542" s="99" t="s">
        <v>2577</v>
      </c>
    </row>
    <row r="543" spans="1:15" x14ac:dyDescent="0.25">
      <c r="A543" s="98" t="s">
        <v>55</v>
      </c>
      <c r="B543" s="98" t="s">
        <v>8</v>
      </c>
      <c r="C543" s="98">
        <v>10</v>
      </c>
      <c r="D543" s="98">
        <v>100</v>
      </c>
      <c r="E543" s="98">
        <v>1E-4</v>
      </c>
      <c r="F543" s="98" t="s">
        <v>6</v>
      </c>
      <c r="G543" s="98" t="s">
        <v>4</v>
      </c>
      <c r="H543" s="98">
        <v>300</v>
      </c>
      <c r="I543" s="98">
        <v>1000</v>
      </c>
      <c r="J543" s="98" t="s">
        <v>10</v>
      </c>
      <c r="K543" s="98">
        <v>46</v>
      </c>
      <c r="L543" s="98">
        <v>17.018999999999998</v>
      </c>
      <c r="M543" s="98">
        <v>12.318</v>
      </c>
      <c r="N543" s="98">
        <v>17.334</v>
      </c>
      <c r="O543" s="99" t="s">
        <v>1676</v>
      </c>
    </row>
    <row r="544" spans="1:15" x14ac:dyDescent="0.25">
      <c r="A544" s="98" t="s">
        <v>55</v>
      </c>
      <c r="B544" s="98" t="s">
        <v>8</v>
      </c>
      <c r="C544" s="98">
        <v>10</v>
      </c>
      <c r="D544" s="98">
        <v>20</v>
      </c>
      <c r="E544" s="98">
        <v>1E-4</v>
      </c>
      <c r="F544" s="98" t="s">
        <v>6</v>
      </c>
      <c r="G544" s="98" t="s">
        <v>4</v>
      </c>
      <c r="H544" s="98">
        <v>300</v>
      </c>
      <c r="I544" s="98">
        <v>1000</v>
      </c>
      <c r="J544" s="98" t="s">
        <v>10</v>
      </c>
      <c r="K544" s="98">
        <v>19</v>
      </c>
      <c r="L544" s="98">
        <v>17.087</v>
      </c>
      <c r="M544" s="98">
        <v>12.388999999999999</v>
      </c>
      <c r="N544" s="98">
        <v>17.324000000000002</v>
      </c>
      <c r="O544" s="99" t="s">
        <v>2579</v>
      </c>
    </row>
    <row r="545" spans="1:15" x14ac:dyDescent="0.25">
      <c r="A545" s="98" t="s">
        <v>55</v>
      </c>
      <c r="B545" s="98" t="s">
        <v>8</v>
      </c>
      <c r="C545" s="98">
        <v>10</v>
      </c>
      <c r="D545" s="98">
        <v>20</v>
      </c>
      <c r="E545" s="98">
        <v>1E-3</v>
      </c>
      <c r="F545" s="98" t="s">
        <v>6</v>
      </c>
      <c r="G545" s="98" t="s">
        <v>4</v>
      </c>
      <c r="H545" s="98">
        <v>1</v>
      </c>
      <c r="I545" s="98">
        <v>20</v>
      </c>
      <c r="J545" s="98" t="s">
        <v>10</v>
      </c>
      <c r="K545" s="98">
        <v>2.4</v>
      </c>
      <c r="L545" s="98">
        <v>0.23</v>
      </c>
      <c r="M545" s="98">
        <v>2.3458000000000001</v>
      </c>
      <c r="N545" s="98">
        <v>0.23186999999999999</v>
      </c>
      <c r="O545" s="99" t="s">
        <v>2583</v>
      </c>
    </row>
    <row r="546" spans="1:15" x14ac:dyDescent="0.25">
      <c r="A546" s="98" t="s">
        <v>55</v>
      </c>
      <c r="B546" s="98" t="s">
        <v>8</v>
      </c>
      <c r="C546" s="98">
        <v>10</v>
      </c>
      <c r="D546" s="98">
        <v>100</v>
      </c>
      <c r="E546" s="98">
        <v>1E-3</v>
      </c>
      <c r="F546" s="98" t="s">
        <v>6</v>
      </c>
      <c r="G546" s="98" t="s">
        <v>4</v>
      </c>
      <c r="H546" s="98">
        <v>300</v>
      </c>
      <c r="I546" s="98">
        <v>1000</v>
      </c>
      <c r="J546" s="98" t="s">
        <v>10</v>
      </c>
      <c r="K546" s="98">
        <v>46</v>
      </c>
      <c r="L546" s="98">
        <v>17.018999999999998</v>
      </c>
      <c r="M546" s="98">
        <v>12.318</v>
      </c>
      <c r="N546" s="98">
        <v>17.334</v>
      </c>
      <c r="O546" s="99" t="s">
        <v>1682</v>
      </c>
    </row>
    <row r="547" spans="1:15" x14ac:dyDescent="0.25">
      <c r="A547" s="98" t="s">
        <v>55</v>
      </c>
      <c r="B547" s="98" t="s">
        <v>8</v>
      </c>
      <c r="C547" s="98">
        <v>10</v>
      </c>
      <c r="D547" s="98">
        <v>100</v>
      </c>
      <c r="E547" s="98">
        <v>1E-3</v>
      </c>
      <c r="F547" s="98" t="s">
        <v>6</v>
      </c>
      <c r="G547" s="98" t="s">
        <v>4</v>
      </c>
      <c r="H547" s="98">
        <v>100</v>
      </c>
      <c r="I547" s="98">
        <v>300</v>
      </c>
      <c r="J547" s="98" t="s">
        <v>10</v>
      </c>
      <c r="K547" s="98">
        <v>15</v>
      </c>
      <c r="L547" s="98">
        <v>4.6028000000000002</v>
      </c>
      <c r="M547" s="98">
        <v>11.576000000000001</v>
      </c>
      <c r="N547" s="98">
        <v>4.6268000000000002</v>
      </c>
      <c r="O547" s="99" t="s">
        <v>1679</v>
      </c>
    </row>
    <row r="548" spans="1:15" x14ac:dyDescent="0.25">
      <c r="A548" s="98" t="s">
        <v>55</v>
      </c>
      <c r="B548" s="98" t="s">
        <v>8</v>
      </c>
      <c r="C548" s="98">
        <v>10</v>
      </c>
      <c r="D548" s="98">
        <v>20</v>
      </c>
      <c r="E548" s="98">
        <v>1E-3</v>
      </c>
      <c r="F548" s="98" t="s">
        <v>6</v>
      </c>
      <c r="G548" s="98" t="s">
        <v>4</v>
      </c>
      <c r="H548" s="98">
        <v>300</v>
      </c>
      <c r="I548" s="98">
        <v>1000</v>
      </c>
      <c r="J548" s="98" t="s">
        <v>10</v>
      </c>
      <c r="K548" s="98">
        <v>19</v>
      </c>
      <c r="L548" s="98">
        <v>17.087</v>
      </c>
      <c r="M548" s="98">
        <v>12.388999999999999</v>
      </c>
      <c r="N548" s="98">
        <v>17.324000000000002</v>
      </c>
      <c r="O548" s="99" t="s">
        <v>1681</v>
      </c>
    </row>
    <row r="549" spans="1:15" x14ac:dyDescent="0.25">
      <c r="A549" s="98" t="s">
        <v>55</v>
      </c>
      <c r="B549" s="98" t="s">
        <v>8</v>
      </c>
      <c r="C549" s="98">
        <v>10</v>
      </c>
      <c r="D549" s="98">
        <v>20</v>
      </c>
      <c r="E549" s="98">
        <v>1E-3</v>
      </c>
      <c r="F549" s="98" t="s">
        <v>6</v>
      </c>
      <c r="G549" s="98" t="s">
        <v>4</v>
      </c>
      <c r="H549" s="98">
        <v>20</v>
      </c>
      <c r="I549" s="98">
        <v>50</v>
      </c>
      <c r="J549" s="98" t="s">
        <v>10</v>
      </c>
      <c r="K549" s="98">
        <v>2.4</v>
      </c>
      <c r="L549" s="98">
        <v>0.41</v>
      </c>
      <c r="M549" s="98">
        <v>2.302</v>
      </c>
      <c r="N549" s="98">
        <v>0.40822000000000003</v>
      </c>
      <c r="O549" s="99" t="s">
        <v>1683</v>
      </c>
    </row>
    <row r="550" spans="1:15" x14ac:dyDescent="0.25">
      <c r="A550" s="98" t="s">
        <v>55</v>
      </c>
      <c r="B550" s="98" t="s">
        <v>8</v>
      </c>
      <c r="C550" s="98">
        <v>10</v>
      </c>
      <c r="D550" s="98">
        <v>20</v>
      </c>
      <c r="E550" s="98">
        <v>1E-3</v>
      </c>
      <c r="F550" s="98" t="s">
        <v>6</v>
      </c>
      <c r="G550" s="98" t="s">
        <v>4</v>
      </c>
      <c r="H550" s="98">
        <v>100</v>
      </c>
      <c r="I550" s="98">
        <v>300</v>
      </c>
      <c r="J550" s="98" t="s">
        <v>10</v>
      </c>
      <c r="K550" s="98">
        <v>13</v>
      </c>
      <c r="L550" s="98">
        <v>4.6111000000000004</v>
      </c>
      <c r="M550" s="98">
        <v>11.577</v>
      </c>
      <c r="N550" s="98">
        <v>4.6266999999999996</v>
      </c>
      <c r="O550" s="99" t="s">
        <v>2584</v>
      </c>
    </row>
    <row r="551" spans="1:15" x14ac:dyDescent="0.25">
      <c r="A551" s="98" t="s">
        <v>55</v>
      </c>
      <c r="B551" s="98" t="s">
        <v>8</v>
      </c>
      <c r="C551" s="98">
        <v>10</v>
      </c>
      <c r="D551" s="98">
        <v>20</v>
      </c>
      <c r="E551" s="98">
        <v>1E-3</v>
      </c>
      <c r="F551" s="98" t="s">
        <v>6</v>
      </c>
      <c r="G551" s="98" t="s">
        <v>4</v>
      </c>
      <c r="H551" s="98">
        <v>50</v>
      </c>
      <c r="I551" s="98">
        <v>100</v>
      </c>
      <c r="J551" s="98" t="s">
        <v>10</v>
      </c>
      <c r="K551" s="98">
        <v>2.4</v>
      </c>
      <c r="L551" s="98">
        <v>1.4</v>
      </c>
      <c r="M551" s="98">
        <v>2.3921999999999999</v>
      </c>
      <c r="N551" s="98">
        <v>1.3884000000000001</v>
      </c>
      <c r="O551" s="99" t="s">
        <v>1680</v>
      </c>
    </row>
    <row r="552" spans="1:15" x14ac:dyDescent="0.25">
      <c r="A552" s="98" t="s">
        <v>55</v>
      </c>
      <c r="B552" s="98" t="s">
        <v>8</v>
      </c>
      <c r="C552" s="98">
        <v>10</v>
      </c>
      <c r="D552" s="98">
        <v>20</v>
      </c>
      <c r="E552" s="98">
        <v>1E-3</v>
      </c>
      <c r="F552" s="98" t="s">
        <v>6</v>
      </c>
      <c r="G552" s="98" t="s">
        <v>4</v>
      </c>
      <c r="H552" s="98">
        <v>0.04</v>
      </c>
      <c r="I552" s="98">
        <v>1</v>
      </c>
      <c r="J552" s="98" t="s">
        <v>10</v>
      </c>
      <c r="K552" s="98">
        <v>2.4</v>
      </c>
      <c r="L552" s="98">
        <v>0.23</v>
      </c>
      <c r="M552" s="98">
        <v>2.3458000000000001</v>
      </c>
      <c r="N552" s="98">
        <v>0.23186999999999999</v>
      </c>
      <c r="O552" s="99" t="s">
        <v>2585</v>
      </c>
    </row>
    <row r="553" spans="1:15" x14ac:dyDescent="0.25">
      <c r="A553" s="98" t="s">
        <v>55</v>
      </c>
      <c r="B553" s="98" t="s">
        <v>8</v>
      </c>
      <c r="C553" s="98">
        <v>10</v>
      </c>
      <c r="D553" s="98">
        <v>20</v>
      </c>
      <c r="E553" s="98">
        <v>1E-3</v>
      </c>
      <c r="F553" s="98" t="s">
        <v>6</v>
      </c>
      <c r="G553" s="98" t="s">
        <v>4</v>
      </c>
      <c r="H553" s="98">
        <v>1E-3</v>
      </c>
      <c r="I553" s="98">
        <v>0.04</v>
      </c>
      <c r="J553" s="98" t="s">
        <v>10</v>
      </c>
      <c r="K553" s="98">
        <v>4.7</v>
      </c>
      <c r="L553" s="98">
        <v>0.23</v>
      </c>
      <c r="M553" s="98">
        <v>4.6486000000000001</v>
      </c>
      <c r="N553" s="98">
        <v>0.23230999999999999</v>
      </c>
      <c r="O553" s="99" t="s">
        <v>1678</v>
      </c>
    </row>
    <row r="554" spans="1:15" x14ac:dyDescent="0.25">
      <c r="A554" s="98" t="s">
        <v>55</v>
      </c>
      <c r="B554" s="98" t="s">
        <v>8</v>
      </c>
      <c r="C554" s="98">
        <v>10</v>
      </c>
      <c r="D554" s="98">
        <v>20</v>
      </c>
      <c r="E554" s="98">
        <v>0.01</v>
      </c>
      <c r="F554" s="98" t="s">
        <v>6</v>
      </c>
      <c r="G554" s="98" t="s">
        <v>4</v>
      </c>
      <c r="H554" s="98">
        <v>300</v>
      </c>
      <c r="I554" s="98">
        <v>1000</v>
      </c>
      <c r="J554" s="98" t="s">
        <v>10</v>
      </c>
      <c r="K554" s="98">
        <v>19</v>
      </c>
      <c r="L554" s="98">
        <v>17.091999999999999</v>
      </c>
      <c r="M554" s="98">
        <v>12.516999999999999</v>
      </c>
      <c r="N554" s="98">
        <v>17.32</v>
      </c>
      <c r="O554" s="99" t="s">
        <v>1686</v>
      </c>
    </row>
    <row r="555" spans="1:15" x14ac:dyDescent="0.25">
      <c r="A555" s="98" t="s">
        <v>55</v>
      </c>
      <c r="B555" s="98" t="s">
        <v>8</v>
      </c>
      <c r="C555" s="98">
        <v>10</v>
      </c>
      <c r="D555" s="98">
        <v>20</v>
      </c>
      <c r="E555" s="98">
        <v>0.01</v>
      </c>
      <c r="F555" s="98" t="s">
        <v>6</v>
      </c>
      <c r="G555" s="98" t="s">
        <v>4</v>
      </c>
      <c r="H555" s="98">
        <v>20</v>
      </c>
      <c r="I555" s="98">
        <v>50</v>
      </c>
      <c r="J555" s="98" t="s">
        <v>10</v>
      </c>
      <c r="K555" s="98">
        <v>5.2424999999999997</v>
      </c>
      <c r="L555" s="98">
        <v>0.33546999999999999</v>
      </c>
      <c r="M555" s="98">
        <v>5.2373000000000003</v>
      </c>
      <c r="N555" s="98">
        <v>0.33510000000000001</v>
      </c>
      <c r="O555" s="99" t="s">
        <v>1689</v>
      </c>
    </row>
    <row r="556" spans="1:15" x14ac:dyDescent="0.25">
      <c r="A556" s="98" t="s">
        <v>55</v>
      </c>
      <c r="B556" s="98" t="s">
        <v>8</v>
      </c>
      <c r="C556" s="98">
        <v>10</v>
      </c>
      <c r="D556" s="98">
        <v>20</v>
      </c>
      <c r="E556" s="98">
        <v>0.01</v>
      </c>
      <c r="F556" s="98" t="s">
        <v>6</v>
      </c>
      <c r="G556" s="98" t="s">
        <v>4</v>
      </c>
      <c r="H556" s="98">
        <v>1E-3</v>
      </c>
      <c r="I556" s="98">
        <v>0.04</v>
      </c>
      <c r="J556" s="98" t="s">
        <v>10</v>
      </c>
      <c r="K556" s="98">
        <v>7.1398999999999999</v>
      </c>
      <c r="L556" s="98">
        <v>0.18969</v>
      </c>
      <c r="M556" s="98">
        <v>7.1402999999999999</v>
      </c>
      <c r="N556" s="98">
        <v>0.18931999999999999</v>
      </c>
      <c r="O556" s="99" t="s">
        <v>1685</v>
      </c>
    </row>
    <row r="557" spans="1:15" x14ac:dyDescent="0.25">
      <c r="A557" s="98" t="s">
        <v>55</v>
      </c>
      <c r="B557" s="98" t="s">
        <v>8</v>
      </c>
      <c r="C557" s="98">
        <v>10</v>
      </c>
      <c r="D557" s="98">
        <v>20</v>
      </c>
      <c r="E557" s="98">
        <v>0.01</v>
      </c>
      <c r="F557" s="98" t="s">
        <v>6</v>
      </c>
      <c r="G557" s="98" t="s">
        <v>4</v>
      </c>
      <c r="H557" s="98">
        <v>1</v>
      </c>
      <c r="I557" s="98">
        <v>20</v>
      </c>
      <c r="J557" s="98" t="s">
        <v>10</v>
      </c>
      <c r="K557" s="98">
        <v>5.7568999999999999</v>
      </c>
      <c r="L557" s="98">
        <v>0.16470000000000001</v>
      </c>
      <c r="M557" s="98">
        <v>5.7573999999999996</v>
      </c>
      <c r="N557" s="98">
        <v>0.16425000000000001</v>
      </c>
      <c r="O557" s="99" t="s">
        <v>1690</v>
      </c>
    </row>
    <row r="558" spans="1:15" x14ac:dyDescent="0.25">
      <c r="A558" s="98" t="s">
        <v>55</v>
      </c>
      <c r="B558" s="98" t="s">
        <v>8</v>
      </c>
      <c r="C558" s="98">
        <v>10</v>
      </c>
      <c r="D558" s="98">
        <v>20</v>
      </c>
      <c r="E558" s="98">
        <v>0.01</v>
      </c>
      <c r="F558" s="98" t="s">
        <v>6</v>
      </c>
      <c r="G558" s="98" t="s">
        <v>4</v>
      </c>
      <c r="H558" s="98">
        <v>50</v>
      </c>
      <c r="I558" s="98">
        <v>100</v>
      </c>
      <c r="J558" s="98" t="s">
        <v>10</v>
      </c>
      <c r="K558" s="98">
        <v>3.8216999999999999</v>
      </c>
      <c r="L558" s="98">
        <v>1.3443000000000001</v>
      </c>
      <c r="M558" s="98">
        <v>3.8184</v>
      </c>
      <c r="N558" s="98">
        <v>1.3442000000000001</v>
      </c>
      <c r="O558" s="99" t="s">
        <v>1688</v>
      </c>
    </row>
    <row r="559" spans="1:15" x14ac:dyDescent="0.25">
      <c r="A559" s="98" t="s">
        <v>55</v>
      </c>
      <c r="B559" s="98" t="s">
        <v>8</v>
      </c>
      <c r="C559" s="98">
        <v>10</v>
      </c>
      <c r="D559" s="98">
        <v>20</v>
      </c>
      <c r="E559" s="98">
        <v>0.01</v>
      </c>
      <c r="F559" s="98" t="s">
        <v>6</v>
      </c>
      <c r="G559" s="98" t="s">
        <v>4</v>
      </c>
      <c r="H559" s="98">
        <v>0.04</v>
      </c>
      <c r="I559" s="98">
        <v>1</v>
      </c>
      <c r="J559" s="98" t="s">
        <v>10</v>
      </c>
      <c r="K559" s="98">
        <v>5.7568999999999999</v>
      </c>
      <c r="L559" s="98">
        <v>0.16470000000000001</v>
      </c>
      <c r="M559" s="98">
        <v>5.7573999999999996</v>
      </c>
      <c r="N559" s="98">
        <v>0.16425000000000001</v>
      </c>
      <c r="O559" s="99" t="s">
        <v>1684</v>
      </c>
    </row>
    <row r="560" spans="1:15" x14ac:dyDescent="0.25">
      <c r="A560" s="98" t="s">
        <v>55</v>
      </c>
      <c r="B560" s="98" t="s">
        <v>8</v>
      </c>
      <c r="C560" s="98">
        <v>10</v>
      </c>
      <c r="D560" s="98">
        <v>100</v>
      </c>
      <c r="E560" s="98">
        <v>0.01</v>
      </c>
      <c r="F560" s="98" t="s">
        <v>6</v>
      </c>
      <c r="G560" s="98" t="s">
        <v>4</v>
      </c>
      <c r="H560" s="98">
        <v>300</v>
      </c>
      <c r="I560" s="98">
        <v>1000</v>
      </c>
      <c r="J560" s="98" t="s">
        <v>10</v>
      </c>
      <c r="K560" s="98">
        <v>46</v>
      </c>
      <c r="L560" s="98">
        <v>17.018999999999998</v>
      </c>
      <c r="M560" s="98">
        <v>12.427</v>
      </c>
      <c r="N560" s="98">
        <v>17.332999999999998</v>
      </c>
      <c r="O560" s="99" t="s">
        <v>1687</v>
      </c>
    </row>
    <row r="561" spans="1:15" x14ac:dyDescent="0.25">
      <c r="A561" s="98" t="s">
        <v>55</v>
      </c>
      <c r="B561" s="98" t="s">
        <v>8</v>
      </c>
      <c r="C561" s="98">
        <v>10</v>
      </c>
      <c r="D561" s="98">
        <v>20</v>
      </c>
      <c r="E561" s="98">
        <v>0.01</v>
      </c>
      <c r="F561" s="98" t="s">
        <v>6</v>
      </c>
      <c r="G561" s="98" t="s">
        <v>4</v>
      </c>
      <c r="H561" s="98">
        <v>100</v>
      </c>
      <c r="I561" s="98">
        <v>300</v>
      </c>
      <c r="J561" s="98" t="s">
        <v>10</v>
      </c>
      <c r="K561" s="98">
        <v>13</v>
      </c>
      <c r="L561" s="98">
        <v>4.6140999999999996</v>
      </c>
      <c r="M561" s="98">
        <v>11.988</v>
      </c>
      <c r="N561" s="98">
        <v>4.6140999999999996</v>
      </c>
      <c r="O561" s="99" t="s">
        <v>2587</v>
      </c>
    </row>
    <row r="562" spans="1:15" x14ac:dyDescent="0.25">
      <c r="A562" s="98" t="s">
        <v>55</v>
      </c>
      <c r="B562" s="98" t="s">
        <v>8</v>
      </c>
      <c r="C562" s="98">
        <v>10</v>
      </c>
      <c r="D562" s="98">
        <v>100</v>
      </c>
      <c r="E562" s="98">
        <v>0.01</v>
      </c>
      <c r="F562" s="98" t="s">
        <v>6</v>
      </c>
      <c r="G562" s="98" t="s">
        <v>4</v>
      </c>
      <c r="H562" s="98">
        <v>100</v>
      </c>
      <c r="I562" s="98">
        <v>300</v>
      </c>
      <c r="J562" s="98" t="s">
        <v>10</v>
      </c>
      <c r="K562" s="98">
        <v>15</v>
      </c>
      <c r="L562" s="98">
        <v>4.6032999999999999</v>
      </c>
      <c r="M562" s="98">
        <v>11.89</v>
      </c>
      <c r="N562" s="98">
        <v>4.6239999999999997</v>
      </c>
      <c r="O562" s="99" t="s">
        <v>2586</v>
      </c>
    </row>
    <row r="563" spans="1:15" x14ac:dyDescent="0.25">
      <c r="A563" s="98" t="s">
        <v>55</v>
      </c>
      <c r="B563" s="98" t="s">
        <v>8</v>
      </c>
      <c r="C563" s="98">
        <v>10</v>
      </c>
      <c r="D563" s="98">
        <v>20</v>
      </c>
      <c r="E563" s="98">
        <v>0.1</v>
      </c>
      <c r="F563" s="98" t="s">
        <v>6</v>
      </c>
      <c r="G563" s="98" t="s">
        <v>4</v>
      </c>
      <c r="H563" s="98">
        <v>1</v>
      </c>
      <c r="I563" s="98">
        <v>20</v>
      </c>
      <c r="J563" s="98" t="s">
        <v>10</v>
      </c>
      <c r="K563" s="98">
        <v>57.686999999999998</v>
      </c>
      <c r="L563" s="98">
        <v>2.3591000000000001E-2</v>
      </c>
      <c r="M563" s="98">
        <v>57.688000000000002</v>
      </c>
      <c r="N563" s="98">
        <v>2.3266999999999999E-2</v>
      </c>
      <c r="O563" s="99" t="s">
        <v>2590</v>
      </c>
    </row>
    <row r="564" spans="1:15" x14ac:dyDescent="0.25">
      <c r="A564" s="98" t="s">
        <v>55</v>
      </c>
      <c r="B564" s="98" t="s">
        <v>8</v>
      </c>
      <c r="C564" s="98">
        <v>10</v>
      </c>
      <c r="D564" s="98">
        <v>20</v>
      </c>
      <c r="E564" s="98">
        <v>0.1</v>
      </c>
      <c r="F564" s="98" t="s">
        <v>6</v>
      </c>
      <c r="G564" s="98" t="s">
        <v>4</v>
      </c>
      <c r="H564" s="98">
        <v>0.04</v>
      </c>
      <c r="I564" s="98">
        <v>1</v>
      </c>
      <c r="J564" s="98" t="s">
        <v>10</v>
      </c>
      <c r="K564" s="98">
        <v>57.686999999999998</v>
      </c>
      <c r="L564" s="98">
        <v>2.3591000000000001E-2</v>
      </c>
      <c r="M564" s="98">
        <v>57.688000000000002</v>
      </c>
      <c r="N564" s="98">
        <v>2.3266999999999999E-2</v>
      </c>
      <c r="O564" s="99" t="s">
        <v>1692</v>
      </c>
    </row>
    <row r="565" spans="1:15" x14ac:dyDescent="0.25">
      <c r="A565" s="98" t="s">
        <v>55</v>
      </c>
      <c r="B565" s="98" t="s">
        <v>8</v>
      </c>
      <c r="C565" s="98">
        <v>10</v>
      </c>
      <c r="D565" s="98">
        <v>20</v>
      </c>
      <c r="E565" s="98">
        <v>0.1</v>
      </c>
      <c r="F565" s="98" t="s">
        <v>6</v>
      </c>
      <c r="G565" s="98" t="s">
        <v>4</v>
      </c>
      <c r="H565" s="98">
        <v>20</v>
      </c>
      <c r="I565" s="98">
        <v>50</v>
      </c>
      <c r="J565" s="98" t="s">
        <v>10</v>
      </c>
      <c r="K565" s="98">
        <v>57.496000000000002</v>
      </c>
      <c r="L565" s="98">
        <v>5.9412E-2</v>
      </c>
      <c r="M565" s="98">
        <v>57.494999999999997</v>
      </c>
      <c r="N565" s="98">
        <v>5.8915000000000002E-2</v>
      </c>
      <c r="O565" s="99" t="s">
        <v>1691</v>
      </c>
    </row>
    <row r="566" spans="1:15" x14ac:dyDescent="0.25">
      <c r="A566" s="98" t="s">
        <v>55</v>
      </c>
      <c r="B566" s="98" t="s">
        <v>8</v>
      </c>
      <c r="C566" s="98">
        <v>10</v>
      </c>
      <c r="D566" s="98">
        <v>20</v>
      </c>
      <c r="E566" s="98">
        <v>0.1</v>
      </c>
      <c r="F566" s="98" t="s">
        <v>6</v>
      </c>
      <c r="G566" s="98" t="s">
        <v>4</v>
      </c>
      <c r="H566" s="98">
        <v>1E-3</v>
      </c>
      <c r="I566" s="98">
        <v>0.04</v>
      </c>
      <c r="J566" s="98" t="s">
        <v>10</v>
      </c>
      <c r="K566" s="98">
        <v>57.826999999999998</v>
      </c>
      <c r="L566" s="98">
        <v>3.2722000000000001E-2</v>
      </c>
      <c r="M566" s="98">
        <v>57.828000000000003</v>
      </c>
      <c r="N566" s="98">
        <v>3.2399999999999998E-2</v>
      </c>
      <c r="O566" s="99" t="s">
        <v>2592</v>
      </c>
    </row>
    <row r="567" spans="1:15" x14ac:dyDescent="0.25">
      <c r="A567" s="98" t="s">
        <v>55</v>
      </c>
      <c r="B567" s="98" t="s">
        <v>8</v>
      </c>
      <c r="C567" s="98">
        <v>10</v>
      </c>
      <c r="D567" s="98">
        <v>100</v>
      </c>
      <c r="E567" s="98">
        <v>0.1</v>
      </c>
      <c r="F567" s="98" t="s">
        <v>6</v>
      </c>
      <c r="G567" s="98" t="s">
        <v>4</v>
      </c>
      <c r="H567" s="98">
        <v>100</v>
      </c>
      <c r="I567" s="98">
        <v>300</v>
      </c>
      <c r="J567" s="98" t="s">
        <v>10</v>
      </c>
      <c r="K567" s="98">
        <v>37.774999999999999</v>
      </c>
      <c r="L567" s="98">
        <v>4.4000000000000004</v>
      </c>
      <c r="M567" s="98">
        <v>37.725999999999999</v>
      </c>
      <c r="N567" s="98">
        <v>4.4002999999999997</v>
      </c>
      <c r="O567" s="99" t="s">
        <v>1694</v>
      </c>
    </row>
    <row r="568" spans="1:15" x14ac:dyDescent="0.25">
      <c r="A568" s="98" t="s">
        <v>55</v>
      </c>
      <c r="B568" s="98" t="s">
        <v>8</v>
      </c>
      <c r="C568" s="98">
        <v>10</v>
      </c>
      <c r="D568" s="98">
        <v>100</v>
      </c>
      <c r="E568" s="98">
        <v>0.1</v>
      </c>
      <c r="F568" s="98" t="s">
        <v>6</v>
      </c>
      <c r="G568" s="98" t="s">
        <v>4</v>
      </c>
      <c r="H568" s="98">
        <v>300</v>
      </c>
      <c r="I568" s="98">
        <v>1000</v>
      </c>
      <c r="J568" s="98" t="s">
        <v>10</v>
      </c>
      <c r="K568" s="98">
        <v>46</v>
      </c>
      <c r="L568" s="98">
        <v>17.03</v>
      </c>
      <c r="M568" s="98">
        <v>21.972000000000001</v>
      </c>
      <c r="N568" s="98">
        <v>17.247</v>
      </c>
      <c r="O568" s="99" t="s">
        <v>2588</v>
      </c>
    </row>
    <row r="569" spans="1:15" x14ac:dyDescent="0.25">
      <c r="A569" s="98" t="s">
        <v>55</v>
      </c>
      <c r="B569" s="98" t="s">
        <v>8</v>
      </c>
      <c r="C569" s="98">
        <v>10</v>
      </c>
      <c r="D569" s="98">
        <v>20</v>
      </c>
      <c r="E569" s="98">
        <v>0.1</v>
      </c>
      <c r="F569" s="98" t="s">
        <v>6</v>
      </c>
      <c r="G569" s="98" t="s">
        <v>4</v>
      </c>
      <c r="H569" s="98">
        <v>50</v>
      </c>
      <c r="I569" s="98">
        <v>100</v>
      </c>
      <c r="J569" s="98" t="s">
        <v>10</v>
      </c>
      <c r="K569" s="98">
        <v>54.831000000000003</v>
      </c>
      <c r="L569" s="98">
        <v>0.51571</v>
      </c>
      <c r="M569" s="98">
        <v>54.83</v>
      </c>
      <c r="N569" s="98">
        <v>0.51529000000000003</v>
      </c>
      <c r="O569" s="99" t="s">
        <v>1693</v>
      </c>
    </row>
    <row r="570" spans="1:15" x14ac:dyDescent="0.25">
      <c r="A570" s="98" t="s">
        <v>55</v>
      </c>
      <c r="B570" s="98" t="s">
        <v>8</v>
      </c>
      <c r="C570" s="98">
        <v>10</v>
      </c>
      <c r="D570" s="98">
        <v>20</v>
      </c>
      <c r="E570" s="98">
        <v>0.1</v>
      </c>
      <c r="F570" s="98" t="s">
        <v>6</v>
      </c>
      <c r="G570" s="98" t="s">
        <v>4</v>
      </c>
      <c r="H570" s="98">
        <v>300</v>
      </c>
      <c r="I570" s="98">
        <v>1000</v>
      </c>
      <c r="J570" s="98" t="s">
        <v>10</v>
      </c>
      <c r="K570" s="98">
        <v>25.324999999999999</v>
      </c>
      <c r="L570" s="98">
        <v>16.908000000000001</v>
      </c>
      <c r="M570" s="98">
        <v>25.323</v>
      </c>
      <c r="N570" s="98">
        <v>16.908000000000001</v>
      </c>
      <c r="O570" s="99" t="s">
        <v>2589</v>
      </c>
    </row>
    <row r="571" spans="1:15" x14ac:dyDescent="0.25">
      <c r="A571" s="98" t="s">
        <v>55</v>
      </c>
      <c r="B571" s="98" t="s">
        <v>8</v>
      </c>
      <c r="C571" s="98">
        <v>10</v>
      </c>
      <c r="D571" s="98">
        <v>20</v>
      </c>
      <c r="E571" s="98">
        <v>0.1</v>
      </c>
      <c r="F571" s="98" t="s">
        <v>6</v>
      </c>
      <c r="G571" s="98" t="s">
        <v>4</v>
      </c>
      <c r="H571" s="98">
        <v>100</v>
      </c>
      <c r="I571" s="98">
        <v>300</v>
      </c>
      <c r="J571" s="98" t="s">
        <v>10</v>
      </c>
      <c r="K571" s="98">
        <v>44.405999999999999</v>
      </c>
      <c r="L571" s="98">
        <v>3.7323</v>
      </c>
      <c r="M571" s="98">
        <v>44.402999999999999</v>
      </c>
      <c r="N571" s="98">
        <v>3.7322000000000002</v>
      </c>
      <c r="O571" s="99" t="s">
        <v>2591</v>
      </c>
    </row>
    <row r="572" spans="1:15" x14ac:dyDescent="0.25">
      <c r="A572" s="98" t="s">
        <v>55</v>
      </c>
      <c r="B572" s="98" t="s">
        <v>8</v>
      </c>
      <c r="C572" s="98">
        <v>10</v>
      </c>
      <c r="D572" s="98">
        <v>20</v>
      </c>
      <c r="E572" s="98">
        <v>1</v>
      </c>
      <c r="F572" s="98" t="s">
        <v>6</v>
      </c>
      <c r="G572" s="98" t="s">
        <v>4</v>
      </c>
      <c r="H572" s="98">
        <v>300</v>
      </c>
      <c r="I572" s="98">
        <v>1000</v>
      </c>
      <c r="J572" s="98" t="s">
        <v>10</v>
      </c>
      <c r="K572" s="98">
        <v>533.13</v>
      </c>
      <c r="L572" s="98">
        <v>7.3338000000000001</v>
      </c>
      <c r="M572" s="98">
        <v>437.38</v>
      </c>
      <c r="N572" s="98">
        <v>7.3335999999999997</v>
      </c>
      <c r="O572" s="99" t="s">
        <v>2594</v>
      </c>
    </row>
    <row r="573" spans="1:15" x14ac:dyDescent="0.25">
      <c r="A573" s="98" t="s">
        <v>55</v>
      </c>
      <c r="B573" s="98" t="s">
        <v>8</v>
      </c>
      <c r="C573" s="98">
        <v>10</v>
      </c>
      <c r="D573" s="98">
        <v>100</v>
      </c>
      <c r="E573" s="98">
        <v>1</v>
      </c>
      <c r="F573" s="98" t="s">
        <v>6</v>
      </c>
      <c r="G573" s="98" t="s">
        <v>4</v>
      </c>
      <c r="H573" s="98">
        <v>300</v>
      </c>
      <c r="I573" s="98">
        <v>1000</v>
      </c>
      <c r="J573" s="98" t="s">
        <v>10</v>
      </c>
      <c r="K573" s="98">
        <v>469.61</v>
      </c>
      <c r="L573" s="98">
        <v>13.691000000000001</v>
      </c>
      <c r="M573" s="98">
        <v>433.99</v>
      </c>
      <c r="N573" s="98">
        <v>13.692</v>
      </c>
      <c r="O573" s="99" t="s">
        <v>1695</v>
      </c>
    </row>
    <row r="574" spans="1:15" x14ac:dyDescent="0.25">
      <c r="A574" s="98" t="s">
        <v>55</v>
      </c>
      <c r="B574" s="98" t="s">
        <v>8</v>
      </c>
      <c r="C574" s="98">
        <v>10</v>
      </c>
      <c r="D574" s="98">
        <v>20</v>
      </c>
      <c r="E574" s="98">
        <v>1</v>
      </c>
      <c r="F574" s="98" t="s">
        <v>6</v>
      </c>
      <c r="G574" s="98" t="s">
        <v>4</v>
      </c>
      <c r="H574" s="98">
        <v>1E-3</v>
      </c>
      <c r="I574" s="98">
        <v>0.04</v>
      </c>
      <c r="J574" s="98" t="s">
        <v>10</v>
      </c>
      <c r="K574" s="98">
        <v>577.36</v>
      </c>
      <c r="L574" s="98">
        <v>3.4030000000000002E-3</v>
      </c>
      <c r="M574" s="98">
        <v>577.07000000000005</v>
      </c>
      <c r="N574" s="98">
        <v>3.2721999999999998E-3</v>
      </c>
      <c r="O574" s="99" t="s">
        <v>1698</v>
      </c>
    </row>
    <row r="575" spans="1:15" x14ac:dyDescent="0.25">
      <c r="A575" s="98" t="s">
        <v>55</v>
      </c>
      <c r="B575" s="98" t="s">
        <v>8</v>
      </c>
      <c r="C575" s="98">
        <v>10</v>
      </c>
      <c r="D575" s="98">
        <v>20</v>
      </c>
      <c r="E575" s="98">
        <v>1</v>
      </c>
      <c r="F575" s="98" t="s">
        <v>6</v>
      </c>
      <c r="G575" s="98" t="s">
        <v>4</v>
      </c>
      <c r="H575" s="98">
        <v>1</v>
      </c>
      <c r="I575" s="98">
        <v>20</v>
      </c>
      <c r="J575" s="98" t="s">
        <v>10</v>
      </c>
      <c r="K575" s="98">
        <v>577.35</v>
      </c>
      <c r="L575" s="98">
        <v>2.4694999999999999E-3</v>
      </c>
      <c r="M575" s="98">
        <v>577.14</v>
      </c>
      <c r="N575" s="98">
        <v>2.3387E-3</v>
      </c>
      <c r="O575" s="99" t="s">
        <v>1696</v>
      </c>
    </row>
    <row r="576" spans="1:15" x14ac:dyDescent="0.25">
      <c r="A576" s="98" t="s">
        <v>55</v>
      </c>
      <c r="B576" s="98" t="s">
        <v>8</v>
      </c>
      <c r="C576" s="98">
        <v>10</v>
      </c>
      <c r="D576" s="98">
        <v>20</v>
      </c>
      <c r="E576" s="98">
        <v>1</v>
      </c>
      <c r="F576" s="98" t="s">
        <v>6</v>
      </c>
      <c r="G576" s="98" t="s">
        <v>4</v>
      </c>
      <c r="H576" s="98">
        <v>0.04</v>
      </c>
      <c r="I576" s="98">
        <v>1</v>
      </c>
      <c r="J576" s="98" t="s">
        <v>10</v>
      </c>
      <c r="K576" s="98">
        <v>577.35</v>
      </c>
      <c r="L576" s="98">
        <v>2.4694999999999999E-3</v>
      </c>
      <c r="M576" s="98">
        <v>577.14</v>
      </c>
      <c r="N576" s="98">
        <v>2.3387E-3</v>
      </c>
      <c r="O576" s="99" t="s">
        <v>1701</v>
      </c>
    </row>
    <row r="577" spans="1:15" x14ac:dyDescent="0.25">
      <c r="A577" s="98" t="s">
        <v>55</v>
      </c>
      <c r="B577" s="98" t="s">
        <v>8</v>
      </c>
      <c r="C577" s="98">
        <v>10</v>
      </c>
      <c r="D577" s="98">
        <v>20</v>
      </c>
      <c r="E577" s="98">
        <v>1</v>
      </c>
      <c r="F577" s="98" t="s">
        <v>6</v>
      </c>
      <c r="G577" s="98" t="s">
        <v>4</v>
      </c>
      <c r="H577" s="98">
        <v>100</v>
      </c>
      <c r="I577" s="98">
        <v>300</v>
      </c>
      <c r="J577" s="98" t="s">
        <v>10</v>
      </c>
      <c r="K577" s="98">
        <v>573.82000000000005</v>
      </c>
      <c r="L577" s="98">
        <v>0.64234000000000002</v>
      </c>
      <c r="M577" s="98">
        <v>542.91999999999996</v>
      </c>
      <c r="N577" s="98">
        <v>0.64214000000000004</v>
      </c>
      <c r="O577" s="99" t="s">
        <v>1697</v>
      </c>
    </row>
    <row r="578" spans="1:15" x14ac:dyDescent="0.25">
      <c r="A578" s="98" t="s">
        <v>55</v>
      </c>
      <c r="B578" s="98" t="s">
        <v>8</v>
      </c>
      <c r="C578" s="98">
        <v>10</v>
      </c>
      <c r="D578" s="98">
        <v>20</v>
      </c>
      <c r="E578" s="98">
        <v>1</v>
      </c>
      <c r="F578" s="98" t="s">
        <v>6</v>
      </c>
      <c r="G578" s="98" t="s">
        <v>4</v>
      </c>
      <c r="H578" s="98">
        <v>50</v>
      </c>
      <c r="I578" s="98">
        <v>100</v>
      </c>
      <c r="J578" s="98" t="s">
        <v>10</v>
      </c>
      <c r="K578" s="98">
        <v>577.03</v>
      </c>
      <c r="L578" s="98">
        <v>5.5989999999999998E-2</v>
      </c>
      <c r="M578" s="98">
        <v>572.42999999999995</v>
      </c>
      <c r="N578" s="98">
        <v>5.5786000000000002E-2</v>
      </c>
      <c r="O578" s="99" t="s">
        <v>1700</v>
      </c>
    </row>
    <row r="579" spans="1:15" x14ac:dyDescent="0.25">
      <c r="A579" s="98" t="s">
        <v>55</v>
      </c>
      <c r="B579" s="98" t="s">
        <v>8</v>
      </c>
      <c r="C579" s="98">
        <v>10</v>
      </c>
      <c r="D579" s="98">
        <v>20</v>
      </c>
      <c r="E579" s="98">
        <v>1</v>
      </c>
      <c r="F579" s="98" t="s">
        <v>6</v>
      </c>
      <c r="G579" s="98" t="s">
        <v>4</v>
      </c>
      <c r="H579" s="98">
        <v>20</v>
      </c>
      <c r="I579" s="98">
        <v>50</v>
      </c>
      <c r="J579" s="98" t="s">
        <v>10</v>
      </c>
      <c r="K579" s="98">
        <v>577.33000000000004</v>
      </c>
      <c r="L579" s="98">
        <v>6.1608000000000001E-3</v>
      </c>
      <c r="M579" s="98">
        <v>576.79999999999995</v>
      </c>
      <c r="N579" s="98">
        <v>5.9565E-3</v>
      </c>
      <c r="O579" s="99" t="s">
        <v>1699</v>
      </c>
    </row>
    <row r="580" spans="1:15" x14ac:dyDescent="0.25">
      <c r="A580" s="98" t="s">
        <v>55</v>
      </c>
      <c r="B580" s="98" t="s">
        <v>8</v>
      </c>
      <c r="C580" s="98">
        <v>10</v>
      </c>
      <c r="D580" s="98">
        <v>100</v>
      </c>
      <c r="E580" s="98">
        <v>1</v>
      </c>
      <c r="F580" s="98" t="s">
        <v>6</v>
      </c>
      <c r="G580" s="98" t="s">
        <v>4</v>
      </c>
      <c r="H580" s="98">
        <v>100</v>
      </c>
      <c r="I580" s="98">
        <v>300</v>
      </c>
      <c r="J580" s="98" t="s">
        <v>10</v>
      </c>
      <c r="K580" s="98">
        <v>561.72</v>
      </c>
      <c r="L580" s="98">
        <v>1.8549</v>
      </c>
      <c r="M580" s="98">
        <v>536.24</v>
      </c>
      <c r="N580" s="98">
        <v>1.8547</v>
      </c>
      <c r="O580" s="99" t="s">
        <v>2593</v>
      </c>
    </row>
    <row r="581" spans="1:15" x14ac:dyDescent="0.25">
      <c r="A581" s="98" t="s">
        <v>55</v>
      </c>
      <c r="B581" s="98" t="s">
        <v>8</v>
      </c>
      <c r="C581" s="98">
        <v>20</v>
      </c>
      <c r="D581" s="98">
        <v>100</v>
      </c>
      <c r="E581" s="98">
        <v>1.0000000000000001E-5</v>
      </c>
      <c r="F581" s="98" t="s">
        <v>6</v>
      </c>
      <c r="G581" s="98" t="s">
        <v>4</v>
      </c>
      <c r="H581" s="98">
        <v>20</v>
      </c>
      <c r="I581" s="98">
        <v>50</v>
      </c>
      <c r="J581" s="98" t="s">
        <v>10</v>
      </c>
      <c r="K581" s="98">
        <v>6.8</v>
      </c>
      <c r="L581" s="98">
        <v>0.37</v>
      </c>
      <c r="M581" s="98">
        <v>6.7323000000000004</v>
      </c>
      <c r="N581" s="98">
        <v>0.36645</v>
      </c>
      <c r="O581" s="99" t="s">
        <v>2595</v>
      </c>
    </row>
    <row r="582" spans="1:15" x14ac:dyDescent="0.25">
      <c r="A582" s="98" t="s">
        <v>55</v>
      </c>
      <c r="B582" s="98" t="s">
        <v>8</v>
      </c>
      <c r="C582" s="98">
        <v>20</v>
      </c>
      <c r="D582" s="98">
        <v>100</v>
      </c>
      <c r="E582" s="98">
        <v>1.0000000000000001E-5</v>
      </c>
      <c r="F582" s="98" t="s">
        <v>6</v>
      </c>
      <c r="G582" s="98" t="s">
        <v>4</v>
      </c>
      <c r="H582" s="98">
        <v>1E-3</v>
      </c>
      <c r="I582" s="98">
        <v>0.04</v>
      </c>
      <c r="J582" s="98" t="s">
        <v>10</v>
      </c>
      <c r="K582" s="98">
        <v>5</v>
      </c>
      <c r="L582" s="98">
        <v>0.23</v>
      </c>
      <c r="M582" s="98">
        <v>4.6009000000000002</v>
      </c>
      <c r="N582" s="98">
        <v>0.23351</v>
      </c>
      <c r="O582" s="99" t="s">
        <v>1703</v>
      </c>
    </row>
    <row r="583" spans="1:15" x14ac:dyDescent="0.25">
      <c r="A583" s="98" t="s">
        <v>55</v>
      </c>
      <c r="B583" s="98" t="s">
        <v>8</v>
      </c>
      <c r="C583" s="98">
        <v>20</v>
      </c>
      <c r="D583" s="98">
        <v>100</v>
      </c>
      <c r="E583" s="98">
        <v>1.0000000000000001E-5</v>
      </c>
      <c r="F583" s="98" t="s">
        <v>6</v>
      </c>
      <c r="G583" s="98" t="s">
        <v>4</v>
      </c>
      <c r="H583" s="98">
        <v>0.04</v>
      </c>
      <c r="I583" s="98">
        <v>1</v>
      </c>
      <c r="J583" s="98" t="s">
        <v>10</v>
      </c>
      <c r="K583" s="98">
        <v>2.7</v>
      </c>
      <c r="L583" s="98">
        <v>0.23</v>
      </c>
      <c r="M583" s="98">
        <v>2.2757999999999998</v>
      </c>
      <c r="N583" s="98">
        <v>0.23386000000000001</v>
      </c>
      <c r="O583" s="99" t="s">
        <v>2596</v>
      </c>
    </row>
    <row r="584" spans="1:15" x14ac:dyDescent="0.25">
      <c r="A584" s="98" t="s">
        <v>55</v>
      </c>
      <c r="B584" s="98" t="s">
        <v>8</v>
      </c>
      <c r="C584" s="98">
        <v>20</v>
      </c>
      <c r="D584" s="98">
        <v>100</v>
      </c>
      <c r="E584" s="98">
        <v>1.0000000000000001E-5</v>
      </c>
      <c r="F584" s="98" t="s">
        <v>6</v>
      </c>
      <c r="G584" s="98" t="s">
        <v>4</v>
      </c>
      <c r="H584" s="98">
        <v>1</v>
      </c>
      <c r="I584" s="98">
        <v>20</v>
      </c>
      <c r="J584" s="98" t="s">
        <v>10</v>
      </c>
      <c r="K584" s="98">
        <v>4.9000000000000004</v>
      </c>
      <c r="L584" s="98">
        <v>0.21</v>
      </c>
      <c r="M584" s="98">
        <v>4.8563999999999998</v>
      </c>
      <c r="N584" s="98">
        <v>0.20787</v>
      </c>
      <c r="O584" s="99" t="s">
        <v>1702</v>
      </c>
    </row>
    <row r="585" spans="1:15" x14ac:dyDescent="0.25">
      <c r="A585" s="98" t="s">
        <v>55</v>
      </c>
      <c r="B585" s="98" t="s">
        <v>8</v>
      </c>
      <c r="C585" s="98">
        <v>20</v>
      </c>
      <c r="D585" s="98">
        <v>100</v>
      </c>
      <c r="E585" s="98">
        <v>1.0000000000000001E-5</v>
      </c>
      <c r="F585" s="98" t="s">
        <v>6</v>
      </c>
      <c r="G585" s="98" t="s">
        <v>4</v>
      </c>
      <c r="H585" s="98">
        <v>50</v>
      </c>
      <c r="I585" s="98">
        <v>100</v>
      </c>
      <c r="J585" s="98" t="s">
        <v>10</v>
      </c>
      <c r="K585" s="98">
        <v>22</v>
      </c>
      <c r="L585" s="98">
        <v>1.2</v>
      </c>
      <c r="M585" s="98">
        <v>17.722000000000001</v>
      </c>
      <c r="N585" s="98">
        <v>1.2358</v>
      </c>
      <c r="O585" s="99" t="s">
        <v>1704</v>
      </c>
    </row>
    <row r="586" spans="1:15" x14ac:dyDescent="0.25">
      <c r="A586" s="98" t="s">
        <v>55</v>
      </c>
      <c r="B586" s="98" t="s">
        <v>8</v>
      </c>
      <c r="C586" s="98">
        <v>20</v>
      </c>
      <c r="D586" s="98">
        <v>100</v>
      </c>
      <c r="E586" s="98">
        <v>1E-4</v>
      </c>
      <c r="F586" s="98" t="s">
        <v>6</v>
      </c>
      <c r="G586" s="98" t="s">
        <v>4</v>
      </c>
      <c r="H586" s="98">
        <v>50</v>
      </c>
      <c r="I586" s="98">
        <v>100</v>
      </c>
      <c r="J586" s="98" t="s">
        <v>10</v>
      </c>
      <c r="K586" s="98">
        <v>22</v>
      </c>
      <c r="L586" s="98">
        <v>1.2034</v>
      </c>
      <c r="M586" s="98">
        <v>17.722999999999999</v>
      </c>
      <c r="N586" s="98">
        <v>1.2358</v>
      </c>
      <c r="O586" s="99" t="s">
        <v>1706</v>
      </c>
    </row>
    <row r="587" spans="1:15" x14ac:dyDescent="0.25">
      <c r="A587" s="98" t="s">
        <v>55</v>
      </c>
      <c r="B587" s="98" t="s">
        <v>8</v>
      </c>
      <c r="C587" s="98">
        <v>20</v>
      </c>
      <c r="D587" s="98">
        <v>100</v>
      </c>
      <c r="E587" s="98">
        <v>1E-4</v>
      </c>
      <c r="F587" s="98" t="s">
        <v>6</v>
      </c>
      <c r="G587" s="98" t="s">
        <v>4</v>
      </c>
      <c r="H587" s="98">
        <v>1E-3</v>
      </c>
      <c r="I587" s="98">
        <v>0.04</v>
      </c>
      <c r="J587" s="98" t="s">
        <v>10</v>
      </c>
      <c r="K587" s="98">
        <v>5</v>
      </c>
      <c r="L587" s="98">
        <v>0.23166999999999999</v>
      </c>
      <c r="M587" s="98">
        <v>4.6010999999999997</v>
      </c>
      <c r="N587" s="98">
        <v>0.23351</v>
      </c>
      <c r="O587" s="99" t="s">
        <v>1707</v>
      </c>
    </row>
    <row r="588" spans="1:15" x14ac:dyDescent="0.25">
      <c r="A588" s="98" t="s">
        <v>55</v>
      </c>
      <c r="B588" s="98" t="s">
        <v>8</v>
      </c>
      <c r="C588" s="98">
        <v>20</v>
      </c>
      <c r="D588" s="98">
        <v>100</v>
      </c>
      <c r="E588" s="98">
        <v>1E-4</v>
      </c>
      <c r="F588" s="98" t="s">
        <v>6</v>
      </c>
      <c r="G588" s="98" t="s">
        <v>4</v>
      </c>
      <c r="H588" s="98">
        <v>0.04</v>
      </c>
      <c r="I588" s="98">
        <v>1</v>
      </c>
      <c r="J588" s="98" t="s">
        <v>10</v>
      </c>
      <c r="K588" s="98">
        <v>2.7</v>
      </c>
      <c r="L588" s="98">
        <v>0.23180000000000001</v>
      </c>
      <c r="M588" s="98">
        <v>2.2759999999999998</v>
      </c>
      <c r="N588" s="98">
        <v>0.23386000000000001</v>
      </c>
      <c r="O588" s="99" t="s">
        <v>1705</v>
      </c>
    </row>
    <row r="589" spans="1:15" x14ac:dyDescent="0.25">
      <c r="A589" s="98" t="s">
        <v>55</v>
      </c>
      <c r="B589" s="98" t="s">
        <v>8</v>
      </c>
      <c r="C589" s="98">
        <v>20</v>
      </c>
      <c r="D589" s="98">
        <v>100</v>
      </c>
      <c r="E589" s="98">
        <v>1E-4</v>
      </c>
      <c r="F589" s="98" t="s">
        <v>6</v>
      </c>
      <c r="G589" s="98" t="s">
        <v>4</v>
      </c>
      <c r="H589" s="98">
        <v>20</v>
      </c>
      <c r="I589" s="98">
        <v>50</v>
      </c>
      <c r="J589" s="98" t="s">
        <v>10</v>
      </c>
      <c r="K589" s="98">
        <v>6.8</v>
      </c>
      <c r="L589" s="98">
        <v>0.36642000000000002</v>
      </c>
      <c r="M589" s="98">
        <v>6.7324000000000002</v>
      </c>
      <c r="N589" s="98">
        <v>0.36645</v>
      </c>
      <c r="O589" s="99" t="s">
        <v>2597</v>
      </c>
    </row>
    <row r="590" spans="1:15" x14ac:dyDescent="0.25">
      <c r="A590" s="98" t="s">
        <v>55</v>
      </c>
      <c r="B590" s="98" t="s">
        <v>8</v>
      </c>
      <c r="C590" s="98">
        <v>20</v>
      </c>
      <c r="D590" s="98">
        <v>100</v>
      </c>
      <c r="E590" s="98">
        <v>1E-4</v>
      </c>
      <c r="F590" s="98" t="s">
        <v>6</v>
      </c>
      <c r="G590" s="98" t="s">
        <v>4</v>
      </c>
      <c r="H590" s="98">
        <v>1</v>
      </c>
      <c r="I590" s="98">
        <v>20</v>
      </c>
      <c r="J590" s="98" t="s">
        <v>10</v>
      </c>
      <c r="K590" s="98">
        <v>4.9000000000000004</v>
      </c>
      <c r="L590" s="98">
        <v>0.21</v>
      </c>
      <c r="M590" s="98">
        <v>4.8564999999999996</v>
      </c>
      <c r="N590" s="98">
        <v>0.20787</v>
      </c>
      <c r="O590" s="99" t="s">
        <v>1708</v>
      </c>
    </row>
    <row r="591" spans="1:15" x14ac:dyDescent="0.25">
      <c r="A591" s="98" t="s">
        <v>55</v>
      </c>
      <c r="B591" s="98" t="s">
        <v>8</v>
      </c>
      <c r="C591" s="98">
        <v>20</v>
      </c>
      <c r="D591" s="98">
        <v>100</v>
      </c>
      <c r="E591" s="98">
        <v>1E-3</v>
      </c>
      <c r="F591" s="98" t="s">
        <v>6</v>
      </c>
      <c r="G591" s="98" t="s">
        <v>4</v>
      </c>
      <c r="H591" s="98">
        <v>20</v>
      </c>
      <c r="I591" s="98">
        <v>50</v>
      </c>
      <c r="J591" s="98" t="s">
        <v>10</v>
      </c>
      <c r="K591" s="98">
        <v>6.8</v>
      </c>
      <c r="L591" s="98">
        <v>0.36631000000000002</v>
      </c>
      <c r="M591" s="98">
        <v>6.7495000000000003</v>
      </c>
      <c r="N591" s="98">
        <v>0.36631999999999998</v>
      </c>
      <c r="O591" s="99" t="s">
        <v>2598</v>
      </c>
    </row>
    <row r="592" spans="1:15" x14ac:dyDescent="0.25">
      <c r="A592" s="98" t="s">
        <v>55</v>
      </c>
      <c r="B592" s="98" t="s">
        <v>8</v>
      </c>
      <c r="C592" s="98">
        <v>20</v>
      </c>
      <c r="D592" s="98">
        <v>100</v>
      </c>
      <c r="E592" s="98">
        <v>1E-3</v>
      </c>
      <c r="F592" s="98" t="s">
        <v>6</v>
      </c>
      <c r="G592" s="98" t="s">
        <v>4</v>
      </c>
      <c r="H592" s="98">
        <v>50</v>
      </c>
      <c r="I592" s="98">
        <v>100</v>
      </c>
      <c r="J592" s="98" t="s">
        <v>10</v>
      </c>
      <c r="K592" s="98">
        <v>22</v>
      </c>
      <c r="L592" s="98">
        <v>1.2034</v>
      </c>
      <c r="M592" s="98">
        <v>17.724</v>
      </c>
      <c r="N592" s="98">
        <v>1.2358</v>
      </c>
      <c r="O592" s="99" t="s">
        <v>1711</v>
      </c>
    </row>
    <row r="593" spans="1:15" x14ac:dyDescent="0.25">
      <c r="A593" s="98" t="s">
        <v>55</v>
      </c>
      <c r="B593" s="98" t="s">
        <v>8</v>
      </c>
      <c r="C593" s="98">
        <v>20</v>
      </c>
      <c r="D593" s="98">
        <v>100</v>
      </c>
      <c r="E593" s="98">
        <v>1E-3</v>
      </c>
      <c r="F593" s="98" t="s">
        <v>6</v>
      </c>
      <c r="G593" s="98" t="s">
        <v>4</v>
      </c>
      <c r="H593" s="98">
        <v>1</v>
      </c>
      <c r="I593" s="98">
        <v>20</v>
      </c>
      <c r="J593" s="98" t="s">
        <v>10</v>
      </c>
      <c r="K593" s="98">
        <v>4.9000000000000004</v>
      </c>
      <c r="L593" s="98">
        <v>0.21</v>
      </c>
      <c r="M593" s="98">
        <v>4.8819999999999997</v>
      </c>
      <c r="N593" s="98">
        <v>0.20768</v>
      </c>
      <c r="O593" s="99" t="s">
        <v>1712</v>
      </c>
    </row>
    <row r="594" spans="1:15" x14ac:dyDescent="0.25">
      <c r="A594" s="98" t="s">
        <v>55</v>
      </c>
      <c r="B594" s="98" t="s">
        <v>8</v>
      </c>
      <c r="C594" s="98">
        <v>20</v>
      </c>
      <c r="D594" s="98">
        <v>100</v>
      </c>
      <c r="E594" s="98">
        <v>1E-3</v>
      </c>
      <c r="F594" s="98" t="s">
        <v>6</v>
      </c>
      <c r="G594" s="98" t="s">
        <v>4</v>
      </c>
      <c r="H594" s="98">
        <v>0.04</v>
      </c>
      <c r="I594" s="98">
        <v>1</v>
      </c>
      <c r="J594" s="98" t="s">
        <v>10</v>
      </c>
      <c r="K594" s="98">
        <v>2.7</v>
      </c>
      <c r="L594" s="98">
        <v>0.23188</v>
      </c>
      <c r="M594" s="98">
        <v>2.2997999999999998</v>
      </c>
      <c r="N594" s="98">
        <v>0.23363999999999999</v>
      </c>
      <c r="O594" s="99" t="s">
        <v>1710</v>
      </c>
    </row>
    <row r="595" spans="1:15" x14ac:dyDescent="0.25">
      <c r="A595" s="98" t="s">
        <v>55</v>
      </c>
      <c r="B595" s="98" t="s">
        <v>8</v>
      </c>
      <c r="C595" s="98">
        <v>20</v>
      </c>
      <c r="D595" s="98">
        <v>100</v>
      </c>
      <c r="E595" s="98">
        <v>1E-3</v>
      </c>
      <c r="F595" s="98" t="s">
        <v>6</v>
      </c>
      <c r="G595" s="98" t="s">
        <v>4</v>
      </c>
      <c r="H595" s="98">
        <v>1E-3</v>
      </c>
      <c r="I595" s="98">
        <v>0.04</v>
      </c>
      <c r="J595" s="98" t="s">
        <v>10</v>
      </c>
      <c r="K595" s="98">
        <v>5</v>
      </c>
      <c r="L595" s="98">
        <v>0.23175000000000001</v>
      </c>
      <c r="M595" s="98">
        <v>4.6195000000000004</v>
      </c>
      <c r="N595" s="98">
        <v>0.23336000000000001</v>
      </c>
      <c r="O595" s="99" t="s">
        <v>1709</v>
      </c>
    </row>
    <row r="596" spans="1:15" x14ac:dyDescent="0.25">
      <c r="A596" s="98" t="s">
        <v>55</v>
      </c>
      <c r="B596" s="98" t="s">
        <v>8</v>
      </c>
      <c r="C596" s="98">
        <v>20</v>
      </c>
      <c r="D596" s="98">
        <v>100</v>
      </c>
      <c r="E596" s="98">
        <v>0.01</v>
      </c>
      <c r="F596" s="98" t="s">
        <v>6</v>
      </c>
      <c r="G596" s="98" t="s">
        <v>4</v>
      </c>
      <c r="H596" s="98">
        <v>50</v>
      </c>
      <c r="I596" s="98">
        <v>100</v>
      </c>
      <c r="J596" s="98" t="s">
        <v>10</v>
      </c>
      <c r="K596" s="98">
        <v>22</v>
      </c>
      <c r="L596" s="98">
        <v>1.2047000000000001</v>
      </c>
      <c r="M596" s="98">
        <v>18.315000000000001</v>
      </c>
      <c r="N596" s="98">
        <v>1.2311000000000001</v>
      </c>
      <c r="O596" s="99" t="s">
        <v>1714</v>
      </c>
    </row>
    <row r="597" spans="1:15" x14ac:dyDescent="0.25">
      <c r="A597" s="98" t="s">
        <v>55</v>
      </c>
      <c r="B597" s="98" t="s">
        <v>8</v>
      </c>
      <c r="C597" s="98">
        <v>20</v>
      </c>
      <c r="D597" s="98">
        <v>100</v>
      </c>
      <c r="E597" s="98">
        <v>0.01</v>
      </c>
      <c r="F597" s="98" t="s">
        <v>6</v>
      </c>
      <c r="G597" s="98" t="s">
        <v>4</v>
      </c>
      <c r="H597" s="98">
        <v>20</v>
      </c>
      <c r="I597" s="98">
        <v>50</v>
      </c>
      <c r="J597" s="98" t="s">
        <v>10</v>
      </c>
      <c r="K597" s="98">
        <v>8.3577999999999992</v>
      </c>
      <c r="L597" s="98">
        <v>0.35409000000000002</v>
      </c>
      <c r="M597" s="98">
        <v>8.3518000000000008</v>
      </c>
      <c r="N597" s="98">
        <v>0.35408000000000001</v>
      </c>
      <c r="O597" s="99" t="s">
        <v>1717</v>
      </c>
    </row>
    <row r="598" spans="1:15" x14ac:dyDescent="0.25">
      <c r="A598" s="98" t="s">
        <v>55</v>
      </c>
      <c r="B598" s="98" t="s">
        <v>8</v>
      </c>
      <c r="C598" s="98">
        <v>20</v>
      </c>
      <c r="D598" s="98">
        <v>100</v>
      </c>
      <c r="E598" s="98">
        <v>0.01</v>
      </c>
      <c r="F598" s="98" t="s">
        <v>6</v>
      </c>
      <c r="G598" s="98" t="s">
        <v>4</v>
      </c>
      <c r="H598" s="98">
        <v>1E-3</v>
      </c>
      <c r="I598" s="98">
        <v>0.04</v>
      </c>
      <c r="J598" s="98" t="s">
        <v>10</v>
      </c>
      <c r="K598" s="98">
        <v>6.5042</v>
      </c>
      <c r="L598" s="98">
        <v>0.22022</v>
      </c>
      <c r="M598" s="98">
        <v>6.5015000000000001</v>
      </c>
      <c r="N598" s="98">
        <v>0.22022</v>
      </c>
      <c r="O598" s="99" t="s">
        <v>1713</v>
      </c>
    </row>
    <row r="599" spans="1:15" x14ac:dyDescent="0.25">
      <c r="A599" s="98" t="s">
        <v>55</v>
      </c>
      <c r="B599" s="98" t="s">
        <v>8</v>
      </c>
      <c r="C599" s="98">
        <v>20</v>
      </c>
      <c r="D599" s="98">
        <v>100</v>
      </c>
      <c r="E599" s="98">
        <v>0.01</v>
      </c>
      <c r="F599" s="98" t="s">
        <v>6</v>
      </c>
      <c r="G599" s="98" t="s">
        <v>4</v>
      </c>
      <c r="H599" s="98">
        <v>0.04</v>
      </c>
      <c r="I599" s="98">
        <v>1</v>
      </c>
      <c r="J599" s="98" t="s">
        <v>10</v>
      </c>
      <c r="K599" s="98">
        <v>4.7115</v>
      </c>
      <c r="L599" s="98">
        <v>0.21576999999999999</v>
      </c>
      <c r="M599" s="98">
        <v>4.7084000000000001</v>
      </c>
      <c r="N599" s="98">
        <v>0.21576999999999999</v>
      </c>
      <c r="O599" s="99" t="s">
        <v>1715</v>
      </c>
    </row>
    <row r="600" spans="1:15" x14ac:dyDescent="0.25">
      <c r="A600" s="98" t="s">
        <v>55</v>
      </c>
      <c r="B600" s="98" t="s">
        <v>8</v>
      </c>
      <c r="C600" s="98">
        <v>20</v>
      </c>
      <c r="D600" s="98">
        <v>100</v>
      </c>
      <c r="E600" s="98">
        <v>0.01</v>
      </c>
      <c r="F600" s="98" t="s">
        <v>6</v>
      </c>
      <c r="G600" s="98" t="s">
        <v>4</v>
      </c>
      <c r="H600" s="98">
        <v>1</v>
      </c>
      <c r="I600" s="98">
        <v>20</v>
      </c>
      <c r="J600" s="98" t="s">
        <v>10</v>
      </c>
      <c r="K600" s="98">
        <v>7.1093000000000002</v>
      </c>
      <c r="L600" s="98">
        <v>0.19178999999999999</v>
      </c>
      <c r="M600" s="98">
        <v>7.1055999999999999</v>
      </c>
      <c r="N600" s="98">
        <v>0.1918</v>
      </c>
      <c r="O600" s="99" t="s">
        <v>1716</v>
      </c>
    </row>
    <row r="601" spans="1:15" x14ac:dyDescent="0.25">
      <c r="A601" s="98" t="s">
        <v>55</v>
      </c>
      <c r="B601" s="98" t="s">
        <v>8</v>
      </c>
      <c r="C601" s="98">
        <v>20</v>
      </c>
      <c r="D601" s="98">
        <v>100</v>
      </c>
      <c r="E601" s="98">
        <v>0.1</v>
      </c>
      <c r="F601" s="98" t="s">
        <v>6</v>
      </c>
      <c r="G601" s="98" t="s">
        <v>4</v>
      </c>
      <c r="H601" s="98">
        <v>0.04</v>
      </c>
      <c r="I601" s="98">
        <v>1</v>
      </c>
      <c r="J601" s="98" t="s">
        <v>10</v>
      </c>
      <c r="K601" s="98">
        <v>56.896000000000001</v>
      </c>
      <c r="L601" s="98">
        <v>6.2831999999999999E-2</v>
      </c>
      <c r="M601" s="98">
        <v>56.895000000000003</v>
      </c>
      <c r="N601" s="98">
        <v>6.2796000000000005E-2</v>
      </c>
      <c r="O601" s="99" t="s">
        <v>1718</v>
      </c>
    </row>
    <row r="602" spans="1:15" x14ac:dyDescent="0.25">
      <c r="A602" s="98" t="s">
        <v>55</v>
      </c>
      <c r="B602" s="98" t="s">
        <v>8</v>
      </c>
      <c r="C602" s="98">
        <v>20</v>
      </c>
      <c r="D602" s="98">
        <v>100</v>
      </c>
      <c r="E602" s="98">
        <v>0.1</v>
      </c>
      <c r="F602" s="98" t="s">
        <v>6</v>
      </c>
      <c r="G602" s="98" t="s">
        <v>4</v>
      </c>
      <c r="H602" s="98">
        <v>50</v>
      </c>
      <c r="I602" s="98">
        <v>100</v>
      </c>
      <c r="J602" s="98" t="s">
        <v>10</v>
      </c>
      <c r="K602" s="98">
        <v>55.390999999999998</v>
      </c>
      <c r="L602" s="98">
        <v>0.97270000000000001</v>
      </c>
      <c r="M602" s="98">
        <v>55.372999999999998</v>
      </c>
      <c r="N602" s="98">
        <v>0.97270000000000001</v>
      </c>
      <c r="O602" s="99" t="s">
        <v>1721</v>
      </c>
    </row>
    <row r="603" spans="1:15" x14ac:dyDescent="0.25">
      <c r="A603" s="98" t="s">
        <v>55</v>
      </c>
      <c r="B603" s="98" t="s">
        <v>8</v>
      </c>
      <c r="C603" s="98">
        <v>20</v>
      </c>
      <c r="D603" s="98">
        <v>100</v>
      </c>
      <c r="E603" s="98">
        <v>0.1</v>
      </c>
      <c r="F603" s="98" t="s">
        <v>6</v>
      </c>
      <c r="G603" s="98" t="s">
        <v>4</v>
      </c>
      <c r="H603" s="98">
        <v>1</v>
      </c>
      <c r="I603" s="98">
        <v>20</v>
      </c>
      <c r="J603" s="98" t="s">
        <v>10</v>
      </c>
      <c r="K603" s="98">
        <v>57.594000000000001</v>
      </c>
      <c r="L603" s="98">
        <v>5.5849999999999997E-2</v>
      </c>
      <c r="M603" s="98">
        <v>57.591999999999999</v>
      </c>
      <c r="N603" s="98">
        <v>5.5819000000000001E-2</v>
      </c>
      <c r="O603" s="99" t="s">
        <v>1720</v>
      </c>
    </row>
    <row r="604" spans="1:15" x14ac:dyDescent="0.25">
      <c r="A604" s="98" t="s">
        <v>55</v>
      </c>
      <c r="B604" s="98" t="s">
        <v>8</v>
      </c>
      <c r="C604" s="98">
        <v>20</v>
      </c>
      <c r="D604" s="98">
        <v>100</v>
      </c>
      <c r="E604" s="98">
        <v>0.1</v>
      </c>
      <c r="F604" s="98" t="s">
        <v>6</v>
      </c>
      <c r="G604" s="98" t="s">
        <v>4</v>
      </c>
      <c r="H604" s="98">
        <v>1E-3</v>
      </c>
      <c r="I604" s="98">
        <v>0.04</v>
      </c>
      <c r="J604" s="98" t="s">
        <v>10</v>
      </c>
      <c r="K604" s="98">
        <v>57.057000000000002</v>
      </c>
      <c r="L604" s="98">
        <v>7.0854E-2</v>
      </c>
      <c r="M604" s="98">
        <v>57.055999999999997</v>
      </c>
      <c r="N604" s="98">
        <v>7.0818999999999993E-2</v>
      </c>
      <c r="O604" s="99" t="s">
        <v>2599</v>
      </c>
    </row>
    <row r="605" spans="1:15" x14ac:dyDescent="0.25">
      <c r="A605" s="98" t="s">
        <v>55</v>
      </c>
      <c r="B605" s="98" t="s">
        <v>8</v>
      </c>
      <c r="C605" s="98">
        <v>20</v>
      </c>
      <c r="D605" s="98">
        <v>100</v>
      </c>
      <c r="E605" s="98">
        <v>0.1</v>
      </c>
      <c r="F605" s="98" t="s">
        <v>6</v>
      </c>
      <c r="G605" s="98" t="s">
        <v>4</v>
      </c>
      <c r="H605" s="98">
        <v>20</v>
      </c>
      <c r="I605" s="98">
        <v>50</v>
      </c>
      <c r="J605" s="98" t="s">
        <v>10</v>
      </c>
      <c r="K605" s="98">
        <v>57.162999999999997</v>
      </c>
      <c r="L605" s="98">
        <v>0.15068999999999999</v>
      </c>
      <c r="M605" s="98">
        <v>57.158999999999999</v>
      </c>
      <c r="N605" s="98">
        <v>0.15056</v>
      </c>
      <c r="O605" s="99" t="s">
        <v>1719</v>
      </c>
    </row>
    <row r="606" spans="1:15" x14ac:dyDescent="0.25">
      <c r="A606" s="98" t="s">
        <v>55</v>
      </c>
      <c r="B606" s="98" t="s">
        <v>8</v>
      </c>
      <c r="C606" s="98">
        <v>20</v>
      </c>
      <c r="D606" s="98">
        <v>100</v>
      </c>
      <c r="E606" s="98">
        <v>1</v>
      </c>
      <c r="F606" s="98" t="s">
        <v>6</v>
      </c>
      <c r="G606" s="98" t="s">
        <v>4</v>
      </c>
      <c r="H606" s="98">
        <v>50</v>
      </c>
      <c r="I606" s="98">
        <v>100</v>
      </c>
      <c r="J606" s="98" t="s">
        <v>10</v>
      </c>
      <c r="K606" s="98">
        <v>576.34</v>
      </c>
      <c r="L606" s="98">
        <v>0.18074999999999999</v>
      </c>
      <c r="M606" s="98">
        <v>568.41</v>
      </c>
      <c r="N606" s="98">
        <v>0.18063000000000001</v>
      </c>
      <c r="O606" s="99" t="s">
        <v>2601</v>
      </c>
    </row>
    <row r="607" spans="1:15" x14ac:dyDescent="0.25">
      <c r="A607" s="98" t="s">
        <v>55</v>
      </c>
      <c r="B607" s="98" t="s">
        <v>8</v>
      </c>
      <c r="C607" s="98">
        <v>20</v>
      </c>
      <c r="D607" s="98">
        <v>100</v>
      </c>
      <c r="E607" s="98">
        <v>1</v>
      </c>
      <c r="F607" s="98" t="s">
        <v>6</v>
      </c>
      <c r="G607" s="98" t="s">
        <v>4</v>
      </c>
      <c r="H607" s="98">
        <v>20</v>
      </c>
      <c r="I607" s="98">
        <v>50</v>
      </c>
      <c r="J607" s="98" t="s">
        <v>10</v>
      </c>
      <c r="K607" s="98">
        <v>577.28</v>
      </c>
      <c r="L607" s="98">
        <v>1.7106E-2</v>
      </c>
      <c r="M607" s="98">
        <v>575.94000000000005</v>
      </c>
      <c r="N607" s="98">
        <v>1.704E-2</v>
      </c>
      <c r="O607" s="99" t="s">
        <v>1722</v>
      </c>
    </row>
    <row r="608" spans="1:15" x14ac:dyDescent="0.25">
      <c r="A608" s="98" t="s">
        <v>55</v>
      </c>
      <c r="B608" s="98" t="s">
        <v>8</v>
      </c>
      <c r="C608" s="98">
        <v>20</v>
      </c>
      <c r="D608" s="98">
        <v>100</v>
      </c>
      <c r="E608" s="98">
        <v>1</v>
      </c>
      <c r="F608" s="98" t="s">
        <v>6</v>
      </c>
      <c r="G608" s="98" t="s">
        <v>4</v>
      </c>
      <c r="H608" s="98">
        <v>1</v>
      </c>
      <c r="I608" s="98">
        <v>20</v>
      </c>
      <c r="J608" s="98" t="s">
        <v>10</v>
      </c>
      <c r="K608" s="98">
        <v>577.34</v>
      </c>
      <c r="L608" s="98">
        <v>5.8763000000000001E-3</v>
      </c>
      <c r="M608" s="98">
        <v>576.84</v>
      </c>
      <c r="N608" s="98">
        <v>5.8618000000000003E-3</v>
      </c>
      <c r="O608" s="99" t="s">
        <v>1723</v>
      </c>
    </row>
    <row r="609" spans="1:15" x14ac:dyDescent="0.25">
      <c r="A609" s="98" t="s">
        <v>55</v>
      </c>
      <c r="B609" s="98" t="s">
        <v>8</v>
      </c>
      <c r="C609" s="98">
        <v>20</v>
      </c>
      <c r="D609" s="98">
        <v>100</v>
      </c>
      <c r="E609" s="98">
        <v>1</v>
      </c>
      <c r="F609" s="98" t="s">
        <v>6</v>
      </c>
      <c r="G609" s="98" t="s">
        <v>4</v>
      </c>
      <c r="H609" s="98">
        <v>0.04</v>
      </c>
      <c r="I609" s="98">
        <v>1</v>
      </c>
      <c r="J609" s="98" t="s">
        <v>10</v>
      </c>
      <c r="K609" s="98">
        <v>577.27</v>
      </c>
      <c r="L609" s="98">
        <v>6.6108E-3</v>
      </c>
      <c r="M609" s="98">
        <v>576.14</v>
      </c>
      <c r="N609" s="98">
        <v>6.5944999999999997E-3</v>
      </c>
      <c r="O609" s="99" t="s">
        <v>2600</v>
      </c>
    </row>
    <row r="610" spans="1:15" x14ac:dyDescent="0.25">
      <c r="A610" s="98" t="s">
        <v>55</v>
      </c>
      <c r="B610" s="98" t="s">
        <v>8</v>
      </c>
      <c r="C610" s="98">
        <v>20</v>
      </c>
      <c r="D610" s="98">
        <v>100</v>
      </c>
      <c r="E610" s="98">
        <v>1</v>
      </c>
      <c r="F610" s="98" t="s">
        <v>6</v>
      </c>
      <c r="G610" s="98" t="s">
        <v>4</v>
      </c>
      <c r="H610" s="98">
        <v>1E-3</v>
      </c>
      <c r="I610" s="98">
        <v>0.04</v>
      </c>
      <c r="J610" s="98" t="s">
        <v>10</v>
      </c>
      <c r="K610" s="98">
        <v>577.28</v>
      </c>
      <c r="L610" s="98">
        <v>7.5312E-3</v>
      </c>
      <c r="M610" s="98">
        <v>576.01</v>
      </c>
      <c r="N610" s="98">
        <v>7.5148999999999997E-3</v>
      </c>
      <c r="O610" s="99" t="s">
        <v>1724</v>
      </c>
    </row>
    <row r="611" spans="1:15" x14ac:dyDescent="0.25">
      <c r="A611" s="98" t="s">
        <v>55</v>
      </c>
      <c r="B611" s="98" t="s">
        <v>8</v>
      </c>
      <c r="C611" s="98">
        <v>100</v>
      </c>
      <c r="D611" s="98">
        <v>1000</v>
      </c>
      <c r="E611" s="98">
        <v>1E-4</v>
      </c>
      <c r="F611" s="98" t="s">
        <v>6</v>
      </c>
      <c r="G611" s="98" t="s">
        <v>4</v>
      </c>
      <c r="H611" s="98">
        <v>1</v>
      </c>
      <c r="I611" s="98">
        <v>20</v>
      </c>
      <c r="J611" s="98" t="s">
        <v>10</v>
      </c>
      <c r="K611" s="98">
        <v>23</v>
      </c>
      <c r="L611" s="98">
        <v>0.7</v>
      </c>
      <c r="M611" s="98">
        <v>23.055</v>
      </c>
      <c r="N611" s="98">
        <v>0.69386999999999999</v>
      </c>
      <c r="O611" s="99" t="s">
        <v>1728</v>
      </c>
    </row>
    <row r="612" spans="1:15" x14ac:dyDescent="0.25">
      <c r="A612" s="98" t="s">
        <v>55</v>
      </c>
      <c r="B612" s="98" t="s">
        <v>8</v>
      </c>
      <c r="C612" s="98">
        <v>100</v>
      </c>
      <c r="D612" s="98">
        <v>1000</v>
      </c>
      <c r="E612" s="98">
        <v>1E-4</v>
      </c>
      <c r="F612" s="98" t="s">
        <v>6</v>
      </c>
      <c r="G612" s="98" t="s">
        <v>4</v>
      </c>
      <c r="H612" s="98">
        <v>50</v>
      </c>
      <c r="I612" s="98">
        <v>100</v>
      </c>
      <c r="J612" s="98" t="s">
        <v>10</v>
      </c>
      <c r="K612" s="98">
        <v>23</v>
      </c>
      <c r="L612" s="98">
        <v>3.5</v>
      </c>
      <c r="M612" s="98">
        <v>23.116</v>
      </c>
      <c r="N612" s="98">
        <v>3.4655999999999998</v>
      </c>
      <c r="O612" s="99" t="s">
        <v>1727</v>
      </c>
    </row>
    <row r="613" spans="1:15" x14ac:dyDescent="0.25">
      <c r="A613" s="98" t="s">
        <v>55</v>
      </c>
      <c r="B613" s="98" t="s">
        <v>8</v>
      </c>
      <c r="C613" s="98">
        <v>100</v>
      </c>
      <c r="D613" s="98">
        <v>330</v>
      </c>
      <c r="E613" s="98">
        <v>1E-4</v>
      </c>
      <c r="F613" s="98" t="s">
        <v>6</v>
      </c>
      <c r="G613" s="98" t="s">
        <v>4</v>
      </c>
      <c r="H613" s="98">
        <v>20</v>
      </c>
      <c r="I613" s="98">
        <v>50</v>
      </c>
      <c r="J613" s="98" t="s">
        <v>10</v>
      </c>
      <c r="K613" s="98">
        <v>23</v>
      </c>
      <c r="L613" s="98">
        <v>1.4</v>
      </c>
      <c r="M613" s="98">
        <v>23.053000000000001</v>
      </c>
      <c r="N613" s="98">
        <v>1.3878999999999999</v>
      </c>
      <c r="O613" s="99" t="s">
        <v>1726</v>
      </c>
    </row>
    <row r="614" spans="1:15" x14ac:dyDescent="0.25">
      <c r="A614" s="98" t="s">
        <v>55</v>
      </c>
      <c r="B614" s="98" t="s">
        <v>8</v>
      </c>
      <c r="C614" s="98">
        <v>100</v>
      </c>
      <c r="D614" s="98">
        <v>330</v>
      </c>
      <c r="E614" s="98">
        <v>1E-4</v>
      </c>
      <c r="F614" s="98" t="s">
        <v>6</v>
      </c>
      <c r="G614" s="98" t="s">
        <v>4</v>
      </c>
      <c r="H614" s="98">
        <v>0.04</v>
      </c>
      <c r="I614" s="98">
        <v>1</v>
      </c>
      <c r="J614" s="98" t="s">
        <v>10</v>
      </c>
      <c r="K614" s="98">
        <v>25</v>
      </c>
      <c r="L614" s="98">
        <v>0.46</v>
      </c>
      <c r="M614" s="98">
        <v>23.033999999999999</v>
      </c>
      <c r="N614" s="98">
        <v>0.46337</v>
      </c>
      <c r="O614" s="99" t="s">
        <v>2603</v>
      </c>
    </row>
    <row r="615" spans="1:15" x14ac:dyDescent="0.25">
      <c r="A615" s="98" t="s">
        <v>55</v>
      </c>
      <c r="B615" s="98" t="s">
        <v>8</v>
      </c>
      <c r="C615" s="98">
        <v>100</v>
      </c>
      <c r="D615" s="98">
        <v>330</v>
      </c>
      <c r="E615" s="98">
        <v>1E-4</v>
      </c>
      <c r="F615" s="98" t="s">
        <v>6</v>
      </c>
      <c r="G615" s="98" t="s">
        <v>4</v>
      </c>
      <c r="H615" s="98">
        <v>50</v>
      </c>
      <c r="I615" s="98">
        <v>100</v>
      </c>
      <c r="J615" s="98" t="s">
        <v>10</v>
      </c>
      <c r="K615" s="98">
        <v>23</v>
      </c>
      <c r="L615" s="98">
        <v>3.5</v>
      </c>
      <c r="M615" s="98">
        <v>23.11</v>
      </c>
      <c r="N615" s="98">
        <v>3.4655999999999998</v>
      </c>
      <c r="O615" s="99" t="s">
        <v>2604</v>
      </c>
    </row>
    <row r="616" spans="1:15" x14ac:dyDescent="0.25">
      <c r="A616" s="98" t="s">
        <v>55</v>
      </c>
      <c r="B616" s="98" t="s">
        <v>8</v>
      </c>
      <c r="C616" s="98">
        <v>100</v>
      </c>
      <c r="D616" s="98">
        <v>330</v>
      </c>
      <c r="E616" s="98">
        <v>1E-4</v>
      </c>
      <c r="F616" s="98" t="s">
        <v>6</v>
      </c>
      <c r="G616" s="98" t="s">
        <v>4</v>
      </c>
      <c r="H616" s="98">
        <v>1E-3</v>
      </c>
      <c r="I616" s="98">
        <v>0.04</v>
      </c>
      <c r="J616" s="98" t="s">
        <v>10</v>
      </c>
      <c r="K616" s="98">
        <v>48</v>
      </c>
      <c r="L616" s="98">
        <v>0.46</v>
      </c>
      <c r="M616" s="98">
        <v>46.118000000000002</v>
      </c>
      <c r="N616" s="98">
        <v>0.46325</v>
      </c>
      <c r="O616" s="99" t="s">
        <v>1729</v>
      </c>
    </row>
    <row r="617" spans="1:15" x14ac:dyDescent="0.25">
      <c r="A617" s="98" t="s">
        <v>55</v>
      </c>
      <c r="B617" s="98" t="s">
        <v>8</v>
      </c>
      <c r="C617" s="98">
        <v>100</v>
      </c>
      <c r="D617" s="98">
        <v>330</v>
      </c>
      <c r="E617" s="98">
        <v>1E-4</v>
      </c>
      <c r="F617" s="98" t="s">
        <v>6</v>
      </c>
      <c r="G617" s="98" t="s">
        <v>4</v>
      </c>
      <c r="H617" s="98">
        <v>1</v>
      </c>
      <c r="I617" s="98">
        <v>20</v>
      </c>
      <c r="J617" s="98" t="s">
        <v>10</v>
      </c>
      <c r="K617" s="98">
        <v>23</v>
      </c>
      <c r="L617" s="98">
        <v>0.7</v>
      </c>
      <c r="M617" s="98">
        <v>23.059000000000001</v>
      </c>
      <c r="N617" s="98">
        <v>0.69384000000000001</v>
      </c>
      <c r="O617" s="99" t="s">
        <v>1725</v>
      </c>
    </row>
    <row r="618" spans="1:15" x14ac:dyDescent="0.25">
      <c r="A618" s="98" t="s">
        <v>55</v>
      </c>
      <c r="B618" s="98" t="s">
        <v>8</v>
      </c>
      <c r="C618" s="98">
        <v>100</v>
      </c>
      <c r="D618" s="98">
        <v>1000</v>
      </c>
      <c r="E618" s="98">
        <v>1E-4</v>
      </c>
      <c r="F618" s="98" t="s">
        <v>6</v>
      </c>
      <c r="G618" s="98" t="s">
        <v>4</v>
      </c>
      <c r="H618" s="98">
        <v>20</v>
      </c>
      <c r="I618" s="98">
        <v>50</v>
      </c>
      <c r="J618" s="98" t="s">
        <v>10</v>
      </c>
      <c r="K618" s="98">
        <v>23</v>
      </c>
      <c r="L618" s="98">
        <v>1.4</v>
      </c>
      <c r="M618" s="98">
        <v>22.895</v>
      </c>
      <c r="N618" s="98">
        <v>1.3895999999999999</v>
      </c>
      <c r="O618" s="99" t="s">
        <v>2602</v>
      </c>
    </row>
    <row r="619" spans="1:15" x14ac:dyDescent="0.25">
      <c r="A619" s="98" t="s">
        <v>55</v>
      </c>
      <c r="B619" s="98" t="s">
        <v>8</v>
      </c>
      <c r="C619" s="98">
        <v>100</v>
      </c>
      <c r="D619" s="98">
        <v>330</v>
      </c>
      <c r="E619" s="98">
        <v>1E-3</v>
      </c>
      <c r="F619" s="98" t="s">
        <v>6</v>
      </c>
      <c r="G619" s="98" t="s">
        <v>4</v>
      </c>
      <c r="H619" s="98">
        <v>50</v>
      </c>
      <c r="I619" s="98">
        <v>100</v>
      </c>
      <c r="J619" s="98" t="s">
        <v>10</v>
      </c>
      <c r="K619" s="98">
        <v>23</v>
      </c>
      <c r="L619" s="98">
        <v>3.5</v>
      </c>
      <c r="M619" s="98">
        <v>23.111000000000001</v>
      </c>
      <c r="N619" s="98">
        <v>3.4655999999999998</v>
      </c>
      <c r="O619" s="99" t="s">
        <v>1734</v>
      </c>
    </row>
    <row r="620" spans="1:15" x14ac:dyDescent="0.25">
      <c r="A620" s="98" t="s">
        <v>55</v>
      </c>
      <c r="B620" s="98" t="s">
        <v>8</v>
      </c>
      <c r="C620" s="98">
        <v>100</v>
      </c>
      <c r="D620" s="98">
        <v>330</v>
      </c>
      <c r="E620" s="98">
        <v>1E-3</v>
      </c>
      <c r="F620" s="98" t="s">
        <v>6</v>
      </c>
      <c r="G620" s="98" t="s">
        <v>4</v>
      </c>
      <c r="H620" s="98">
        <v>20</v>
      </c>
      <c r="I620" s="98">
        <v>50</v>
      </c>
      <c r="J620" s="98" t="s">
        <v>10</v>
      </c>
      <c r="K620" s="98">
        <v>23</v>
      </c>
      <c r="L620" s="98">
        <v>1.4</v>
      </c>
      <c r="M620" s="98">
        <v>23.053999999999998</v>
      </c>
      <c r="N620" s="98">
        <v>1.3878999999999999</v>
      </c>
      <c r="O620" s="99" t="s">
        <v>1731</v>
      </c>
    </row>
    <row r="621" spans="1:15" x14ac:dyDescent="0.25">
      <c r="A621" s="98" t="s">
        <v>55</v>
      </c>
      <c r="B621" s="98" t="s">
        <v>8</v>
      </c>
      <c r="C621" s="98">
        <v>100</v>
      </c>
      <c r="D621" s="98">
        <v>330</v>
      </c>
      <c r="E621" s="98">
        <v>1E-3</v>
      </c>
      <c r="F621" s="98" t="s">
        <v>6</v>
      </c>
      <c r="G621" s="98" t="s">
        <v>4</v>
      </c>
      <c r="H621" s="98">
        <v>1</v>
      </c>
      <c r="I621" s="98">
        <v>20</v>
      </c>
      <c r="J621" s="98" t="s">
        <v>10</v>
      </c>
      <c r="K621" s="98">
        <v>23</v>
      </c>
      <c r="L621" s="98">
        <v>0.7</v>
      </c>
      <c r="M621" s="98">
        <v>23.061</v>
      </c>
      <c r="N621" s="98">
        <v>0.69384000000000001</v>
      </c>
      <c r="O621" s="99" t="s">
        <v>1730</v>
      </c>
    </row>
    <row r="622" spans="1:15" x14ac:dyDescent="0.25">
      <c r="A622" s="98" t="s">
        <v>55</v>
      </c>
      <c r="B622" s="98" t="s">
        <v>8</v>
      </c>
      <c r="C622" s="98">
        <v>100</v>
      </c>
      <c r="D622" s="98">
        <v>330</v>
      </c>
      <c r="E622" s="98">
        <v>1E-3</v>
      </c>
      <c r="F622" s="98" t="s">
        <v>6</v>
      </c>
      <c r="G622" s="98" t="s">
        <v>4</v>
      </c>
      <c r="H622" s="98">
        <v>1E-3</v>
      </c>
      <c r="I622" s="98">
        <v>0.04</v>
      </c>
      <c r="J622" s="98" t="s">
        <v>10</v>
      </c>
      <c r="K622" s="98">
        <v>48</v>
      </c>
      <c r="L622" s="98">
        <v>0.46085999999999999</v>
      </c>
      <c r="M622" s="98">
        <v>46.12</v>
      </c>
      <c r="N622" s="98">
        <v>0.46325</v>
      </c>
      <c r="O622" s="99" t="s">
        <v>1735</v>
      </c>
    </row>
    <row r="623" spans="1:15" x14ac:dyDescent="0.25">
      <c r="A623" s="98" t="s">
        <v>55</v>
      </c>
      <c r="B623" s="98" t="s">
        <v>8</v>
      </c>
      <c r="C623" s="98">
        <v>100</v>
      </c>
      <c r="D623" s="98">
        <v>330</v>
      </c>
      <c r="E623" s="98">
        <v>1E-3</v>
      </c>
      <c r="F623" s="98" t="s">
        <v>6</v>
      </c>
      <c r="G623" s="98" t="s">
        <v>4</v>
      </c>
      <c r="H623" s="98">
        <v>0.04</v>
      </c>
      <c r="I623" s="98">
        <v>1</v>
      </c>
      <c r="J623" s="98" t="s">
        <v>10</v>
      </c>
      <c r="K623" s="98">
        <v>25</v>
      </c>
      <c r="L623" s="98">
        <v>0.46067000000000002</v>
      </c>
      <c r="M623" s="98">
        <v>23.036999999999999</v>
      </c>
      <c r="N623" s="98">
        <v>0.46337</v>
      </c>
      <c r="O623" s="99" t="s">
        <v>1736</v>
      </c>
    </row>
    <row r="624" spans="1:15" x14ac:dyDescent="0.25">
      <c r="A624" s="98" t="s">
        <v>55</v>
      </c>
      <c r="B624" s="98" t="s">
        <v>8</v>
      </c>
      <c r="C624" s="98">
        <v>100</v>
      </c>
      <c r="D624" s="98">
        <v>1000</v>
      </c>
      <c r="E624" s="98">
        <v>1E-3</v>
      </c>
      <c r="F624" s="98" t="s">
        <v>6</v>
      </c>
      <c r="G624" s="98" t="s">
        <v>4</v>
      </c>
      <c r="H624" s="98">
        <v>50</v>
      </c>
      <c r="I624" s="98">
        <v>100</v>
      </c>
      <c r="J624" s="98" t="s">
        <v>10</v>
      </c>
      <c r="K624" s="98">
        <v>23</v>
      </c>
      <c r="L624" s="98">
        <v>3.5</v>
      </c>
      <c r="M624" s="98">
        <v>23.117000000000001</v>
      </c>
      <c r="N624" s="98">
        <v>3.4655999999999998</v>
      </c>
      <c r="O624" s="99" t="s">
        <v>1733</v>
      </c>
    </row>
    <row r="625" spans="1:15" x14ac:dyDescent="0.25">
      <c r="A625" s="98" t="s">
        <v>55</v>
      </c>
      <c r="B625" s="98" t="s">
        <v>8</v>
      </c>
      <c r="C625" s="98">
        <v>100</v>
      </c>
      <c r="D625" s="98">
        <v>1000</v>
      </c>
      <c r="E625" s="98">
        <v>1E-3</v>
      </c>
      <c r="F625" s="98" t="s">
        <v>6</v>
      </c>
      <c r="G625" s="98" t="s">
        <v>4</v>
      </c>
      <c r="H625" s="98">
        <v>1</v>
      </c>
      <c r="I625" s="98">
        <v>20</v>
      </c>
      <c r="J625" s="98" t="s">
        <v>10</v>
      </c>
      <c r="K625" s="98">
        <v>23</v>
      </c>
      <c r="L625" s="98">
        <v>0.7</v>
      </c>
      <c r="M625" s="98">
        <v>23.062999999999999</v>
      </c>
      <c r="N625" s="98">
        <v>0.69386000000000003</v>
      </c>
      <c r="O625" s="99" t="s">
        <v>2605</v>
      </c>
    </row>
    <row r="626" spans="1:15" x14ac:dyDescent="0.25">
      <c r="A626" s="98" t="s">
        <v>55</v>
      </c>
      <c r="B626" s="98" t="s">
        <v>8</v>
      </c>
      <c r="C626" s="98">
        <v>100</v>
      </c>
      <c r="D626" s="98">
        <v>1000</v>
      </c>
      <c r="E626" s="98">
        <v>1E-3</v>
      </c>
      <c r="F626" s="98" t="s">
        <v>6</v>
      </c>
      <c r="G626" s="98" t="s">
        <v>4</v>
      </c>
      <c r="H626" s="98">
        <v>20</v>
      </c>
      <c r="I626" s="98">
        <v>50</v>
      </c>
      <c r="J626" s="98" t="s">
        <v>10</v>
      </c>
      <c r="K626" s="98">
        <v>23</v>
      </c>
      <c r="L626" s="98">
        <v>1.4</v>
      </c>
      <c r="M626" s="98">
        <v>22.896000000000001</v>
      </c>
      <c r="N626" s="98">
        <v>1.3895999999999999</v>
      </c>
      <c r="O626" s="99" t="s">
        <v>1732</v>
      </c>
    </row>
    <row r="627" spans="1:15" x14ac:dyDescent="0.25">
      <c r="A627" s="98" t="s">
        <v>55</v>
      </c>
      <c r="B627" s="98" t="s">
        <v>8</v>
      </c>
      <c r="C627" s="98">
        <v>100</v>
      </c>
      <c r="D627" s="98">
        <v>1000</v>
      </c>
      <c r="E627" s="98">
        <v>0.01</v>
      </c>
      <c r="F627" s="98" t="s">
        <v>6</v>
      </c>
      <c r="G627" s="98" t="s">
        <v>4</v>
      </c>
      <c r="H627" s="98">
        <v>50</v>
      </c>
      <c r="I627" s="98">
        <v>100</v>
      </c>
      <c r="J627" s="98" t="s">
        <v>10</v>
      </c>
      <c r="K627" s="98">
        <v>23</v>
      </c>
      <c r="L627" s="98">
        <v>3.5</v>
      </c>
      <c r="M627" s="98">
        <v>23.152999999999999</v>
      </c>
      <c r="N627" s="98">
        <v>3.4655999999999998</v>
      </c>
      <c r="O627" s="99" t="s">
        <v>2608</v>
      </c>
    </row>
    <row r="628" spans="1:15" x14ac:dyDescent="0.25">
      <c r="A628" s="98" t="s">
        <v>55</v>
      </c>
      <c r="B628" s="98" t="s">
        <v>8</v>
      </c>
      <c r="C628" s="98">
        <v>100</v>
      </c>
      <c r="D628" s="98">
        <v>330</v>
      </c>
      <c r="E628" s="98">
        <v>0.01</v>
      </c>
      <c r="F628" s="98" t="s">
        <v>6</v>
      </c>
      <c r="G628" s="98" t="s">
        <v>4</v>
      </c>
      <c r="H628" s="98">
        <v>1E-3</v>
      </c>
      <c r="I628" s="98">
        <v>0.04</v>
      </c>
      <c r="J628" s="98" t="s">
        <v>10</v>
      </c>
      <c r="K628" s="98">
        <v>48</v>
      </c>
      <c r="L628" s="98">
        <v>0.46128999999999998</v>
      </c>
      <c r="M628" s="98">
        <v>46.341000000000001</v>
      </c>
      <c r="N628" s="98">
        <v>0.46283000000000002</v>
      </c>
      <c r="O628" s="99" t="s">
        <v>1740</v>
      </c>
    </row>
    <row r="629" spans="1:15" x14ac:dyDescent="0.25">
      <c r="A629" s="98" t="s">
        <v>55</v>
      </c>
      <c r="B629" s="98" t="s">
        <v>8</v>
      </c>
      <c r="C629" s="98">
        <v>100</v>
      </c>
      <c r="D629" s="98">
        <v>1000</v>
      </c>
      <c r="E629" s="98">
        <v>0.01</v>
      </c>
      <c r="F629" s="98" t="s">
        <v>6</v>
      </c>
      <c r="G629" s="98" t="s">
        <v>4</v>
      </c>
      <c r="H629" s="98">
        <v>1</v>
      </c>
      <c r="I629" s="98">
        <v>20</v>
      </c>
      <c r="J629" s="98" t="s">
        <v>10</v>
      </c>
      <c r="K629" s="98">
        <v>23</v>
      </c>
      <c r="L629" s="98">
        <v>0.7</v>
      </c>
      <c r="M629" s="98">
        <v>23.256</v>
      </c>
      <c r="N629" s="98">
        <v>0.69369000000000003</v>
      </c>
      <c r="O629" s="99" t="s">
        <v>2606</v>
      </c>
    </row>
    <row r="630" spans="1:15" x14ac:dyDescent="0.25">
      <c r="A630" s="98" t="s">
        <v>55</v>
      </c>
      <c r="B630" s="98" t="s">
        <v>8</v>
      </c>
      <c r="C630" s="98">
        <v>100</v>
      </c>
      <c r="D630" s="98">
        <v>330</v>
      </c>
      <c r="E630" s="98">
        <v>0.01</v>
      </c>
      <c r="F630" s="98" t="s">
        <v>6</v>
      </c>
      <c r="G630" s="98" t="s">
        <v>4</v>
      </c>
      <c r="H630" s="98">
        <v>20</v>
      </c>
      <c r="I630" s="98">
        <v>50</v>
      </c>
      <c r="J630" s="98" t="s">
        <v>10</v>
      </c>
      <c r="K630" s="98">
        <v>23</v>
      </c>
      <c r="L630" s="98">
        <v>1.4</v>
      </c>
      <c r="M630" s="98">
        <v>23.187999999999999</v>
      </c>
      <c r="N630" s="98">
        <v>1.3875999999999999</v>
      </c>
      <c r="O630" s="99" t="s">
        <v>1741</v>
      </c>
    </row>
    <row r="631" spans="1:15" x14ac:dyDescent="0.25">
      <c r="A631" s="98" t="s">
        <v>55</v>
      </c>
      <c r="B631" s="98" t="s">
        <v>8</v>
      </c>
      <c r="C631" s="98">
        <v>100</v>
      </c>
      <c r="D631" s="98">
        <v>1000</v>
      </c>
      <c r="E631" s="98">
        <v>0.01</v>
      </c>
      <c r="F631" s="98" t="s">
        <v>6</v>
      </c>
      <c r="G631" s="98" t="s">
        <v>4</v>
      </c>
      <c r="H631" s="98">
        <v>20</v>
      </c>
      <c r="I631" s="98">
        <v>50</v>
      </c>
      <c r="J631" s="98" t="s">
        <v>10</v>
      </c>
      <c r="K631" s="98">
        <v>23</v>
      </c>
      <c r="L631" s="98">
        <v>1.4</v>
      </c>
      <c r="M631" s="98">
        <v>23.007000000000001</v>
      </c>
      <c r="N631" s="98">
        <v>1.3895</v>
      </c>
      <c r="O631" s="99" t="s">
        <v>1737</v>
      </c>
    </row>
    <row r="632" spans="1:15" x14ac:dyDescent="0.25">
      <c r="A632" s="98" t="s">
        <v>55</v>
      </c>
      <c r="B632" s="98" t="s">
        <v>8</v>
      </c>
      <c r="C632" s="98">
        <v>100</v>
      </c>
      <c r="D632" s="98">
        <v>330</v>
      </c>
      <c r="E632" s="98">
        <v>0.01</v>
      </c>
      <c r="F632" s="98" t="s">
        <v>6</v>
      </c>
      <c r="G632" s="98" t="s">
        <v>4</v>
      </c>
      <c r="H632" s="98">
        <v>50</v>
      </c>
      <c r="I632" s="98">
        <v>100</v>
      </c>
      <c r="J632" s="98" t="s">
        <v>10</v>
      </c>
      <c r="K632" s="98">
        <v>23</v>
      </c>
      <c r="L632" s="98">
        <v>3.5</v>
      </c>
      <c r="M632" s="98">
        <v>23.164000000000001</v>
      </c>
      <c r="N632" s="98">
        <v>3.4655</v>
      </c>
      <c r="O632" s="99" t="s">
        <v>1738</v>
      </c>
    </row>
    <row r="633" spans="1:15" x14ac:dyDescent="0.25">
      <c r="A633" s="98" t="s">
        <v>55</v>
      </c>
      <c r="B633" s="98" t="s">
        <v>8</v>
      </c>
      <c r="C633" s="98">
        <v>100</v>
      </c>
      <c r="D633" s="98">
        <v>330</v>
      </c>
      <c r="E633" s="98">
        <v>0.01</v>
      </c>
      <c r="F633" s="98" t="s">
        <v>6</v>
      </c>
      <c r="G633" s="98" t="s">
        <v>4</v>
      </c>
      <c r="H633" s="98">
        <v>0.04</v>
      </c>
      <c r="I633" s="98">
        <v>1</v>
      </c>
      <c r="J633" s="98" t="s">
        <v>10</v>
      </c>
      <c r="K633" s="98">
        <v>25</v>
      </c>
      <c r="L633" s="98">
        <v>0.46116000000000001</v>
      </c>
      <c r="M633" s="98">
        <v>23.338000000000001</v>
      </c>
      <c r="N633" s="98">
        <v>0.46273999999999998</v>
      </c>
      <c r="O633" s="99" t="s">
        <v>2607</v>
      </c>
    </row>
    <row r="634" spans="1:15" x14ac:dyDescent="0.25">
      <c r="A634" s="98" t="s">
        <v>55</v>
      </c>
      <c r="B634" s="98" t="s">
        <v>8</v>
      </c>
      <c r="C634" s="98">
        <v>100</v>
      </c>
      <c r="D634" s="98">
        <v>330</v>
      </c>
      <c r="E634" s="98">
        <v>0.01</v>
      </c>
      <c r="F634" s="98" t="s">
        <v>6</v>
      </c>
      <c r="G634" s="98" t="s">
        <v>4</v>
      </c>
      <c r="H634" s="98">
        <v>1</v>
      </c>
      <c r="I634" s="98">
        <v>20</v>
      </c>
      <c r="J634" s="98" t="s">
        <v>10</v>
      </c>
      <c r="K634" s="98">
        <v>23</v>
      </c>
      <c r="L634" s="98">
        <v>0.7</v>
      </c>
      <c r="M634" s="98">
        <v>23.291</v>
      </c>
      <c r="N634" s="98">
        <v>0.69333999999999996</v>
      </c>
      <c r="O634" s="99" t="s">
        <v>1739</v>
      </c>
    </row>
    <row r="635" spans="1:15" x14ac:dyDescent="0.25">
      <c r="A635" s="98" t="s">
        <v>55</v>
      </c>
      <c r="B635" s="98" t="s">
        <v>8</v>
      </c>
      <c r="C635" s="98">
        <v>100</v>
      </c>
      <c r="D635" s="98">
        <v>330</v>
      </c>
      <c r="E635" s="98">
        <v>0.1</v>
      </c>
      <c r="F635" s="98" t="s">
        <v>6</v>
      </c>
      <c r="G635" s="98" t="s">
        <v>4</v>
      </c>
      <c r="H635" s="98">
        <v>20</v>
      </c>
      <c r="I635" s="98">
        <v>50</v>
      </c>
      <c r="J635" s="98" t="s">
        <v>10</v>
      </c>
      <c r="K635" s="98">
        <v>35.929000000000002</v>
      </c>
      <c r="L635" s="98">
        <v>1.3608</v>
      </c>
      <c r="M635" s="98">
        <v>35.878</v>
      </c>
      <c r="N635" s="98">
        <v>1.3594999999999999</v>
      </c>
      <c r="O635" s="99" t="s">
        <v>1748</v>
      </c>
    </row>
    <row r="636" spans="1:15" x14ac:dyDescent="0.25">
      <c r="A636" s="98" t="s">
        <v>55</v>
      </c>
      <c r="B636" s="98" t="s">
        <v>8</v>
      </c>
      <c r="C636" s="98">
        <v>100</v>
      </c>
      <c r="D636" s="98">
        <v>1000</v>
      </c>
      <c r="E636" s="98">
        <v>0.1</v>
      </c>
      <c r="F636" s="98" t="s">
        <v>6</v>
      </c>
      <c r="G636" s="98" t="s">
        <v>4</v>
      </c>
      <c r="H636" s="98">
        <v>20</v>
      </c>
      <c r="I636" s="98">
        <v>50</v>
      </c>
      <c r="J636" s="98" t="s">
        <v>10</v>
      </c>
      <c r="K636" s="98">
        <v>33.01</v>
      </c>
      <c r="L636" s="98">
        <v>1.39</v>
      </c>
      <c r="M636" s="98">
        <v>33.875</v>
      </c>
      <c r="N636" s="98">
        <v>1.3797999999999999</v>
      </c>
      <c r="O636" s="99" t="s">
        <v>1745</v>
      </c>
    </row>
    <row r="637" spans="1:15" x14ac:dyDescent="0.25">
      <c r="A637" s="98" t="s">
        <v>55</v>
      </c>
      <c r="B637" s="98" t="s">
        <v>8</v>
      </c>
      <c r="C637" s="98">
        <v>100</v>
      </c>
      <c r="D637" s="98">
        <v>330</v>
      </c>
      <c r="E637" s="98">
        <v>0.1</v>
      </c>
      <c r="F637" s="98" t="s">
        <v>6</v>
      </c>
      <c r="G637" s="98" t="s">
        <v>4</v>
      </c>
      <c r="H637" s="98">
        <v>50</v>
      </c>
      <c r="I637" s="98">
        <v>100</v>
      </c>
      <c r="J637" s="98" t="s">
        <v>10</v>
      </c>
      <c r="K637" s="98">
        <v>24.914000000000001</v>
      </c>
      <c r="L637" s="98">
        <v>3.4942000000000002</v>
      </c>
      <c r="M637" s="98">
        <v>28.927</v>
      </c>
      <c r="N637" s="98">
        <v>3.4523000000000001</v>
      </c>
      <c r="O637" s="99" t="s">
        <v>1743</v>
      </c>
    </row>
    <row r="638" spans="1:15" x14ac:dyDescent="0.25">
      <c r="A638" s="98" t="s">
        <v>55</v>
      </c>
      <c r="B638" s="98" t="s">
        <v>8</v>
      </c>
      <c r="C638" s="98">
        <v>100</v>
      </c>
      <c r="D638" s="98">
        <v>330</v>
      </c>
      <c r="E638" s="98">
        <v>0.1</v>
      </c>
      <c r="F638" s="98" t="s">
        <v>6</v>
      </c>
      <c r="G638" s="98" t="s">
        <v>4</v>
      </c>
      <c r="H638" s="98">
        <v>1</v>
      </c>
      <c r="I638" s="98">
        <v>20</v>
      </c>
      <c r="J638" s="98" t="s">
        <v>10</v>
      </c>
      <c r="K638" s="98">
        <v>44.082999999999998</v>
      </c>
      <c r="L638" s="98">
        <v>0.65012000000000003</v>
      </c>
      <c r="M638" s="98">
        <v>43.963000000000001</v>
      </c>
      <c r="N638" s="98">
        <v>0.65027999999999997</v>
      </c>
      <c r="O638" s="99" t="s">
        <v>1744</v>
      </c>
    </row>
    <row r="639" spans="1:15" x14ac:dyDescent="0.25">
      <c r="A639" s="98" t="s">
        <v>55</v>
      </c>
      <c r="B639" s="98" t="s">
        <v>8</v>
      </c>
      <c r="C639" s="98">
        <v>100</v>
      </c>
      <c r="D639" s="98">
        <v>1000</v>
      </c>
      <c r="E639" s="98">
        <v>0.1</v>
      </c>
      <c r="F639" s="98" t="s">
        <v>6</v>
      </c>
      <c r="G639" s="98" t="s">
        <v>4</v>
      </c>
      <c r="H639" s="98">
        <v>1</v>
      </c>
      <c r="I639" s="98">
        <v>20</v>
      </c>
      <c r="J639" s="98" t="s">
        <v>10</v>
      </c>
      <c r="K639" s="98">
        <v>40.883000000000003</v>
      </c>
      <c r="L639" s="98">
        <v>0.68211999999999995</v>
      </c>
      <c r="M639" s="98">
        <v>41.185000000000002</v>
      </c>
      <c r="N639" s="98">
        <v>0.67806</v>
      </c>
      <c r="O639" s="99" t="s">
        <v>1742</v>
      </c>
    </row>
    <row r="640" spans="1:15" x14ac:dyDescent="0.25">
      <c r="A640" s="98" t="s">
        <v>55</v>
      </c>
      <c r="B640" s="98" t="s">
        <v>8</v>
      </c>
      <c r="C640" s="98">
        <v>100</v>
      </c>
      <c r="D640" s="98">
        <v>330</v>
      </c>
      <c r="E640" s="98">
        <v>0.1</v>
      </c>
      <c r="F640" s="98" t="s">
        <v>6</v>
      </c>
      <c r="G640" s="98" t="s">
        <v>4</v>
      </c>
      <c r="H640" s="98">
        <v>0.04</v>
      </c>
      <c r="I640" s="98">
        <v>1</v>
      </c>
      <c r="J640" s="98" t="s">
        <v>10</v>
      </c>
      <c r="K640" s="98">
        <v>49.031999999999996</v>
      </c>
      <c r="L640" s="98">
        <v>0.41284999999999999</v>
      </c>
      <c r="M640" s="98">
        <v>48.982999999999997</v>
      </c>
      <c r="N640" s="98">
        <v>0.41271000000000002</v>
      </c>
      <c r="O640" s="99" t="s">
        <v>1747</v>
      </c>
    </row>
    <row r="641" spans="1:15" x14ac:dyDescent="0.25">
      <c r="A641" s="98" t="s">
        <v>55</v>
      </c>
      <c r="B641" s="98" t="s">
        <v>8</v>
      </c>
      <c r="C641" s="98">
        <v>100</v>
      </c>
      <c r="D641" s="98">
        <v>330</v>
      </c>
      <c r="E641" s="98">
        <v>0.1</v>
      </c>
      <c r="F641" s="98" t="s">
        <v>6</v>
      </c>
      <c r="G641" s="98" t="s">
        <v>4</v>
      </c>
      <c r="H641" s="98">
        <v>1E-3</v>
      </c>
      <c r="I641" s="98">
        <v>0.04</v>
      </c>
      <c r="J641" s="98" t="s">
        <v>10</v>
      </c>
      <c r="K641" s="98">
        <v>66.331999999999994</v>
      </c>
      <c r="L641" s="98">
        <v>0.42712</v>
      </c>
      <c r="M641" s="98">
        <v>66.293999999999997</v>
      </c>
      <c r="N641" s="98">
        <v>0.42698000000000003</v>
      </c>
      <c r="O641" s="99" t="s">
        <v>1746</v>
      </c>
    </row>
    <row r="642" spans="1:15" x14ac:dyDescent="0.25">
      <c r="A642" s="98" t="s">
        <v>55</v>
      </c>
      <c r="B642" s="98" t="s">
        <v>8</v>
      </c>
      <c r="C642" s="98">
        <v>100</v>
      </c>
      <c r="D642" s="98">
        <v>1000</v>
      </c>
      <c r="E642" s="98">
        <v>0.1</v>
      </c>
      <c r="F642" s="98" t="s">
        <v>6</v>
      </c>
      <c r="G642" s="98" t="s">
        <v>4</v>
      </c>
      <c r="H642" s="98">
        <v>50</v>
      </c>
      <c r="I642" s="98">
        <v>100</v>
      </c>
      <c r="J642" s="98" t="s">
        <v>10</v>
      </c>
      <c r="K642" s="98">
        <v>24.483000000000001</v>
      </c>
      <c r="L642" s="98">
        <v>3.4984999999999999</v>
      </c>
      <c r="M642" s="98">
        <v>28.03</v>
      </c>
      <c r="N642" s="98">
        <v>3.4611999999999998</v>
      </c>
      <c r="O642" s="99" t="s">
        <v>2609</v>
      </c>
    </row>
    <row r="643" spans="1:15" x14ac:dyDescent="0.25">
      <c r="A643" s="98" t="s">
        <v>55</v>
      </c>
      <c r="B643" s="98" t="s">
        <v>8</v>
      </c>
      <c r="C643" s="98">
        <v>100</v>
      </c>
      <c r="D643" s="98">
        <v>1000</v>
      </c>
      <c r="E643" s="98">
        <v>1</v>
      </c>
      <c r="F643" s="98" t="s">
        <v>6</v>
      </c>
      <c r="G643" s="98" t="s">
        <v>4</v>
      </c>
      <c r="H643" s="98">
        <v>20</v>
      </c>
      <c r="I643" s="98">
        <v>50</v>
      </c>
      <c r="J643" s="98" t="s">
        <v>10</v>
      </c>
      <c r="K643" s="98">
        <v>496.92</v>
      </c>
      <c r="L643" s="98">
        <v>1.0291999999999999</v>
      </c>
      <c r="M643" s="98">
        <v>496.68</v>
      </c>
      <c r="N643" s="98">
        <v>1.0293000000000001</v>
      </c>
      <c r="O643" s="99" t="s">
        <v>1750</v>
      </c>
    </row>
    <row r="644" spans="1:15" x14ac:dyDescent="0.25">
      <c r="A644" s="98" t="s">
        <v>55</v>
      </c>
      <c r="B644" s="98" t="s">
        <v>8</v>
      </c>
      <c r="C644" s="98">
        <v>100</v>
      </c>
      <c r="D644" s="98">
        <v>330</v>
      </c>
      <c r="E644" s="98">
        <v>1</v>
      </c>
      <c r="F644" s="98" t="s">
        <v>6</v>
      </c>
      <c r="G644" s="98" t="s">
        <v>4</v>
      </c>
      <c r="H644" s="98">
        <v>1E-3</v>
      </c>
      <c r="I644" s="98">
        <v>0.04</v>
      </c>
      <c r="J644" s="98" t="s">
        <v>10</v>
      </c>
      <c r="K644" s="98">
        <v>573.41999999999996</v>
      </c>
      <c r="L644" s="98">
        <v>0.11327</v>
      </c>
      <c r="M644" s="98">
        <v>573.41999999999996</v>
      </c>
      <c r="N644" s="98">
        <v>0.11294</v>
      </c>
      <c r="O644" s="99" t="s">
        <v>1753</v>
      </c>
    </row>
    <row r="645" spans="1:15" x14ac:dyDescent="0.25">
      <c r="A645" s="98" t="s">
        <v>55</v>
      </c>
      <c r="B645" s="98" t="s">
        <v>8</v>
      </c>
      <c r="C645" s="98">
        <v>100</v>
      </c>
      <c r="D645" s="98">
        <v>1000</v>
      </c>
      <c r="E645" s="98">
        <v>1</v>
      </c>
      <c r="F645" s="98" t="s">
        <v>6</v>
      </c>
      <c r="G645" s="98" t="s">
        <v>4</v>
      </c>
      <c r="H645" s="98">
        <v>50</v>
      </c>
      <c r="I645" s="98">
        <v>100</v>
      </c>
      <c r="J645" s="98" t="s">
        <v>10</v>
      </c>
      <c r="K645" s="98">
        <v>369.25</v>
      </c>
      <c r="L645" s="98">
        <v>3.1671</v>
      </c>
      <c r="M645" s="98">
        <v>368.87</v>
      </c>
      <c r="N645" s="98">
        <v>3.1673</v>
      </c>
      <c r="O645" s="99" t="s">
        <v>2610</v>
      </c>
    </row>
    <row r="646" spans="1:15" x14ac:dyDescent="0.25">
      <c r="A646" s="98" t="s">
        <v>55</v>
      </c>
      <c r="B646" s="98" t="s">
        <v>8</v>
      </c>
      <c r="C646" s="98">
        <v>100</v>
      </c>
      <c r="D646" s="98">
        <v>1000</v>
      </c>
      <c r="E646" s="98">
        <v>1</v>
      </c>
      <c r="F646" s="98" t="s">
        <v>6</v>
      </c>
      <c r="G646" s="98" t="s">
        <v>4</v>
      </c>
      <c r="H646" s="98">
        <v>1</v>
      </c>
      <c r="I646" s="98">
        <v>20</v>
      </c>
      <c r="J646" s="98" t="s">
        <v>10</v>
      </c>
      <c r="K646" s="98">
        <v>547.47</v>
      </c>
      <c r="L646" s="98">
        <v>0.37317</v>
      </c>
      <c r="M646" s="98">
        <v>547.4</v>
      </c>
      <c r="N646" s="98">
        <v>0.37309999999999999</v>
      </c>
      <c r="O646" s="99" t="s">
        <v>1751</v>
      </c>
    </row>
    <row r="647" spans="1:15" x14ac:dyDescent="0.25">
      <c r="A647" s="98" t="s">
        <v>55</v>
      </c>
      <c r="B647" s="98" t="s">
        <v>8</v>
      </c>
      <c r="C647" s="98">
        <v>100</v>
      </c>
      <c r="D647" s="98">
        <v>330</v>
      </c>
      <c r="E647" s="98">
        <v>1</v>
      </c>
      <c r="F647" s="98" t="s">
        <v>6</v>
      </c>
      <c r="G647" s="98" t="s">
        <v>4</v>
      </c>
      <c r="H647" s="98">
        <v>50</v>
      </c>
      <c r="I647" s="98">
        <v>100</v>
      </c>
      <c r="J647" s="98" t="s">
        <v>10</v>
      </c>
      <c r="K647" s="98">
        <v>418.09</v>
      </c>
      <c r="L647" s="98">
        <v>2.6787000000000001</v>
      </c>
      <c r="M647" s="98">
        <v>417.63</v>
      </c>
      <c r="N647" s="98">
        <v>2.6793</v>
      </c>
      <c r="O647" s="99" t="s">
        <v>1749</v>
      </c>
    </row>
    <row r="648" spans="1:15" x14ac:dyDescent="0.25">
      <c r="A648" s="98" t="s">
        <v>55</v>
      </c>
      <c r="B648" s="98" t="s">
        <v>8</v>
      </c>
      <c r="C648" s="98">
        <v>100</v>
      </c>
      <c r="D648" s="98">
        <v>330</v>
      </c>
      <c r="E648" s="98">
        <v>1</v>
      </c>
      <c r="F648" s="98" t="s">
        <v>6</v>
      </c>
      <c r="G648" s="98" t="s">
        <v>4</v>
      </c>
      <c r="H648" s="98">
        <v>1</v>
      </c>
      <c r="I648" s="98">
        <v>20</v>
      </c>
      <c r="J648" s="98" t="s">
        <v>10</v>
      </c>
      <c r="K648" s="98">
        <v>565.1</v>
      </c>
      <c r="L648" s="98">
        <v>0.19691</v>
      </c>
      <c r="M648" s="98">
        <v>565.03</v>
      </c>
      <c r="N648" s="98">
        <v>0.19677</v>
      </c>
      <c r="O648" s="99" t="s">
        <v>1752</v>
      </c>
    </row>
    <row r="649" spans="1:15" x14ac:dyDescent="0.25">
      <c r="A649" s="98" t="s">
        <v>55</v>
      </c>
      <c r="B649" s="98" t="s">
        <v>8</v>
      </c>
      <c r="C649" s="98">
        <v>100</v>
      </c>
      <c r="D649" s="98">
        <v>330</v>
      </c>
      <c r="E649" s="98">
        <v>1</v>
      </c>
      <c r="F649" s="98" t="s">
        <v>6</v>
      </c>
      <c r="G649" s="98" t="s">
        <v>4</v>
      </c>
      <c r="H649" s="98">
        <v>0.04</v>
      </c>
      <c r="I649" s="98">
        <v>1</v>
      </c>
      <c r="J649" s="98" t="s">
        <v>10</v>
      </c>
      <c r="K649" s="98">
        <v>571.91999999999996</v>
      </c>
      <c r="L649" s="98">
        <v>9.6252000000000004E-2</v>
      </c>
      <c r="M649" s="98">
        <v>571.91999999999996</v>
      </c>
      <c r="N649" s="98">
        <v>9.5921000000000006E-2</v>
      </c>
      <c r="O649" s="99" t="s">
        <v>2611</v>
      </c>
    </row>
    <row r="650" spans="1:15" x14ac:dyDescent="0.25">
      <c r="A650" s="98" t="s">
        <v>55</v>
      </c>
      <c r="B650" s="98" t="s">
        <v>8</v>
      </c>
      <c r="C650" s="98">
        <v>100</v>
      </c>
      <c r="D650" s="98">
        <v>330</v>
      </c>
      <c r="E650" s="98">
        <v>1</v>
      </c>
      <c r="F650" s="98" t="s">
        <v>6</v>
      </c>
      <c r="G650" s="98" t="s">
        <v>4</v>
      </c>
      <c r="H650" s="98">
        <v>20</v>
      </c>
      <c r="I650" s="98">
        <v>50</v>
      </c>
      <c r="J650" s="98" t="s">
        <v>10</v>
      </c>
      <c r="K650" s="98">
        <v>533.77</v>
      </c>
      <c r="L650" s="98">
        <v>0.66047</v>
      </c>
      <c r="M650" s="98">
        <v>533.57000000000005</v>
      </c>
      <c r="N650" s="98">
        <v>0.66042000000000001</v>
      </c>
      <c r="O650" s="99" t="s">
        <v>2612</v>
      </c>
    </row>
    <row r="651" spans="1:15" x14ac:dyDescent="0.25">
      <c r="A651" s="98" t="s">
        <v>55</v>
      </c>
      <c r="B651" s="98" t="s">
        <v>8</v>
      </c>
      <c r="C651" s="98">
        <v>330</v>
      </c>
      <c r="D651" s="98">
        <v>1000</v>
      </c>
      <c r="E651" s="98">
        <v>1E-4</v>
      </c>
      <c r="F651" s="98" t="s">
        <v>6</v>
      </c>
      <c r="G651" s="98" t="s">
        <v>4</v>
      </c>
      <c r="H651" s="98">
        <v>1E-3</v>
      </c>
      <c r="I651" s="98">
        <v>0.04</v>
      </c>
      <c r="J651" s="98" t="s">
        <v>10</v>
      </c>
      <c r="K651" s="98">
        <v>50</v>
      </c>
      <c r="L651" s="98">
        <v>0.46</v>
      </c>
      <c r="M651" s="98">
        <v>46.106999999999999</v>
      </c>
      <c r="N651" s="98">
        <v>0.46338000000000001</v>
      </c>
      <c r="O651" s="99" t="s">
        <v>1755</v>
      </c>
    </row>
    <row r="652" spans="1:15" x14ac:dyDescent="0.25">
      <c r="A652" s="98" t="s">
        <v>55</v>
      </c>
      <c r="B652" s="98" t="s">
        <v>8</v>
      </c>
      <c r="C652" s="98">
        <v>330</v>
      </c>
      <c r="D652" s="98">
        <v>1000</v>
      </c>
      <c r="E652" s="98">
        <v>1E-4</v>
      </c>
      <c r="F652" s="98" t="s">
        <v>6</v>
      </c>
      <c r="G652" s="98" t="s">
        <v>4</v>
      </c>
      <c r="H652" s="98">
        <v>0.04</v>
      </c>
      <c r="I652" s="98">
        <v>1</v>
      </c>
      <c r="J652" s="98" t="s">
        <v>10</v>
      </c>
      <c r="K652" s="98">
        <v>27</v>
      </c>
      <c r="L652" s="98">
        <v>0.46</v>
      </c>
      <c r="M652" s="98">
        <v>23.030999999999999</v>
      </c>
      <c r="N652" s="98">
        <v>0.46343000000000001</v>
      </c>
      <c r="O652" s="99" t="s">
        <v>1756</v>
      </c>
    </row>
    <row r="653" spans="1:15" x14ac:dyDescent="0.25">
      <c r="A653" s="98" t="s">
        <v>55</v>
      </c>
      <c r="B653" s="98" t="s">
        <v>8</v>
      </c>
      <c r="C653" s="98">
        <v>330</v>
      </c>
      <c r="D653" s="98">
        <v>1000</v>
      </c>
      <c r="E653" s="98">
        <v>1E-4</v>
      </c>
      <c r="F653" s="98" t="s">
        <v>6</v>
      </c>
      <c r="G653" s="98" t="s">
        <v>4</v>
      </c>
      <c r="H653" s="98">
        <v>1</v>
      </c>
      <c r="I653" s="98">
        <v>10</v>
      </c>
      <c r="J653" s="98" t="s">
        <v>10</v>
      </c>
      <c r="K653" s="98">
        <v>23</v>
      </c>
      <c r="L653" s="98">
        <v>0.7</v>
      </c>
      <c r="M653" s="98">
        <v>23.056000000000001</v>
      </c>
      <c r="N653" s="98">
        <v>0.69386999999999999</v>
      </c>
      <c r="O653" s="99" t="s">
        <v>1754</v>
      </c>
    </row>
    <row r="654" spans="1:15" x14ac:dyDescent="0.25">
      <c r="A654" s="98" t="s">
        <v>55</v>
      </c>
      <c r="B654" s="98" t="s">
        <v>8</v>
      </c>
      <c r="C654" s="98">
        <v>330</v>
      </c>
      <c r="D654" s="98">
        <v>1000</v>
      </c>
      <c r="E654" s="98">
        <v>1E-3</v>
      </c>
      <c r="F654" s="98" t="s">
        <v>6</v>
      </c>
      <c r="G654" s="98" t="s">
        <v>4</v>
      </c>
      <c r="H654" s="98">
        <v>1</v>
      </c>
      <c r="I654" s="98">
        <v>10</v>
      </c>
      <c r="J654" s="98" t="s">
        <v>10</v>
      </c>
      <c r="K654" s="98">
        <v>23</v>
      </c>
      <c r="L654" s="98">
        <v>0.7</v>
      </c>
      <c r="M654" s="98">
        <v>23.062999999999999</v>
      </c>
      <c r="N654" s="98">
        <v>0.69386000000000003</v>
      </c>
      <c r="O654" s="99" t="s">
        <v>2613</v>
      </c>
    </row>
    <row r="655" spans="1:15" x14ac:dyDescent="0.25">
      <c r="A655" s="98" t="s">
        <v>55</v>
      </c>
      <c r="B655" s="98" t="s">
        <v>8</v>
      </c>
      <c r="C655" s="98">
        <v>330</v>
      </c>
      <c r="D655" s="98">
        <v>1000</v>
      </c>
      <c r="E655" s="98">
        <v>1E-3</v>
      </c>
      <c r="F655" s="98" t="s">
        <v>6</v>
      </c>
      <c r="G655" s="98" t="s">
        <v>4</v>
      </c>
      <c r="H655" s="98">
        <v>1E-3</v>
      </c>
      <c r="I655" s="98">
        <v>0.04</v>
      </c>
      <c r="J655" s="98" t="s">
        <v>10</v>
      </c>
      <c r="K655" s="98">
        <v>50</v>
      </c>
      <c r="L655" s="98">
        <v>0.46054</v>
      </c>
      <c r="M655" s="98">
        <v>46.107999999999997</v>
      </c>
      <c r="N655" s="98">
        <v>0.46338000000000001</v>
      </c>
      <c r="O655" s="99" t="s">
        <v>1758</v>
      </c>
    </row>
    <row r="656" spans="1:15" x14ac:dyDescent="0.25">
      <c r="A656" s="98" t="s">
        <v>55</v>
      </c>
      <c r="B656" s="98" t="s">
        <v>8</v>
      </c>
      <c r="C656" s="98">
        <v>330</v>
      </c>
      <c r="D656" s="98">
        <v>1000</v>
      </c>
      <c r="E656" s="98">
        <v>1E-3</v>
      </c>
      <c r="F656" s="98" t="s">
        <v>6</v>
      </c>
      <c r="G656" s="98" t="s">
        <v>4</v>
      </c>
      <c r="H656" s="98">
        <v>0.04</v>
      </c>
      <c r="I656" s="98">
        <v>1</v>
      </c>
      <c r="J656" s="98" t="s">
        <v>10</v>
      </c>
      <c r="K656" s="98">
        <v>27</v>
      </c>
      <c r="L656" s="98">
        <v>0.46050999999999997</v>
      </c>
      <c r="M656" s="98">
        <v>23.032</v>
      </c>
      <c r="N656" s="98">
        <v>0.46343000000000001</v>
      </c>
      <c r="O656" s="99" t="s">
        <v>1757</v>
      </c>
    </row>
    <row r="657" spans="1:15" x14ac:dyDescent="0.25">
      <c r="A657" s="98" t="s">
        <v>55</v>
      </c>
      <c r="B657" s="98" t="s">
        <v>8</v>
      </c>
      <c r="C657" s="98">
        <v>330</v>
      </c>
      <c r="D657" s="98">
        <v>1000</v>
      </c>
      <c r="E657" s="98">
        <v>0.01</v>
      </c>
      <c r="F657" s="98" t="s">
        <v>6</v>
      </c>
      <c r="G657" s="98" t="s">
        <v>4</v>
      </c>
      <c r="H657" s="98">
        <v>1</v>
      </c>
      <c r="I657" s="98">
        <v>10</v>
      </c>
      <c r="J657" s="98" t="s">
        <v>10</v>
      </c>
      <c r="K657" s="98">
        <v>23</v>
      </c>
      <c r="L657" s="98">
        <v>0.7</v>
      </c>
      <c r="M657" s="98">
        <v>23.256</v>
      </c>
      <c r="N657" s="98">
        <v>0.69369000000000003</v>
      </c>
      <c r="O657" s="99" t="s">
        <v>1760</v>
      </c>
    </row>
    <row r="658" spans="1:15" x14ac:dyDescent="0.25">
      <c r="A658" s="98" t="s">
        <v>55</v>
      </c>
      <c r="B658" s="98" t="s">
        <v>8</v>
      </c>
      <c r="C658" s="98">
        <v>330</v>
      </c>
      <c r="D658" s="98">
        <v>1000</v>
      </c>
      <c r="E658" s="98">
        <v>0.01</v>
      </c>
      <c r="F658" s="98" t="s">
        <v>6</v>
      </c>
      <c r="G658" s="98" t="s">
        <v>4</v>
      </c>
      <c r="H658" s="98">
        <v>0.04</v>
      </c>
      <c r="I658" s="98">
        <v>1</v>
      </c>
      <c r="J658" s="98" t="s">
        <v>10</v>
      </c>
      <c r="K658" s="98">
        <v>27</v>
      </c>
      <c r="L658" s="98">
        <v>0.46056000000000002</v>
      </c>
      <c r="M658" s="98">
        <v>23.29</v>
      </c>
      <c r="N658" s="98">
        <v>0.46321000000000001</v>
      </c>
      <c r="O658" s="99" t="s">
        <v>1759</v>
      </c>
    </row>
    <row r="659" spans="1:15" x14ac:dyDescent="0.25">
      <c r="A659" s="98" t="s">
        <v>55</v>
      </c>
      <c r="B659" s="98" t="s">
        <v>8</v>
      </c>
      <c r="C659" s="98">
        <v>330</v>
      </c>
      <c r="D659" s="98">
        <v>1000</v>
      </c>
      <c r="E659" s="98">
        <v>0.01</v>
      </c>
      <c r="F659" s="98" t="s">
        <v>6</v>
      </c>
      <c r="G659" s="98" t="s">
        <v>4</v>
      </c>
      <c r="H659" s="98">
        <v>1E-3</v>
      </c>
      <c r="I659" s="98">
        <v>0.04</v>
      </c>
      <c r="J659" s="98" t="s">
        <v>10</v>
      </c>
      <c r="K659" s="98">
        <v>50</v>
      </c>
      <c r="L659" s="98">
        <v>0.46059</v>
      </c>
      <c r="M659" s="98">
        <v>46.301000000000002</v>
      </c>
      <c r="N659" s="98">
        <v>0.46322000000000002</v>
      </c>
      <c r="O659" s="99" t="s">
        <v>2614</v>
      </c>
    </row>
    <row r="660" spans="1:15" x14ac:dyDescent="0.25">
      <c r="A660" s="98" t="s">
        <v>55</v>
      </c>
      <c r="B660" s="98" t="s">
        <v>8</v>
      </c>
      <c r="C660" s="98">
        <v>330</v>
      </c>
      <c r="D660" s="98">
        <v>1000</v>
      </c>
      <c r="E660" s="98">
        <v>0.1</v>
      </c>
      <c r="F660" s="98" t="s">
        <v>6</v>
      </c>
      <c r="G660" s="98" t="s">
        <v>4</v>
      </c>
      <c r="H660" s="98">
        <v>0.04</v>
      </c>
      <c r="I660" s="98">
        <v>1</v>
      </c>
      <c r="J660" s="98" t="s">
        <v>10</v>
      </c>
      <c r="K660" s="98">
        <v>45.920999999999999</v>
      </c>
      <c r="L660" s="98">
        <v>0.44399</v>
      </c>
      <c r="M660" s="98">
        <v>45.854999999999997</v>
      </c>
      <c r="N660" s="98">
        <v>0.44402000000000003</v>
      </c>
      <c r="O660" s="99" t="s">
        <v>1763</v>
      </c>
    </row>
    <row r="661" spans="1:15" x14ac:dyDescent="0.25">
      <c r="A661" s="98" t="s">
        <v>55</v>
      </c>
      <c r="B661" s="98" t="s">
        <v>8</v>
      </c>
      <c r="C661" s="98">
        <v>330</v>
      </c>
      <c r="D661" s="98">
        <v>1000</v>
      </c>
      <c r="E661" s="98">
        <v>0.1</v>
      </c>
      <c r="F661" s="98" t="s">
        <v>6</v>
      </c>
      <c r="G661" s="98" t="s">
        <v>4</v>
      </c>
      <c r="H661" s="98">
        <v>1</v>
      </c>
      <c r="I661" s="98">
        <v>10</v>
      </c>
      <c r="J661" s="98" t="s">
        <v>10</v>
      </c>
      <c r="K661" s="98">
        <v>40.883000000000003</v>
      </c>
      <c r="L661" s="98">
        <v>0.68211999999999995</v>
      </c>
      <c r="M661" s="98">
        <v>41.185000000000002</v>
      </c>
      <c r="N661" s="98">
        <v>0.67806</v>
      </c>
      <c r="O661" s="99" t="s">
        <v>1761</v>
      </c>
    </row>
    <row r="662" spans="1:15" x14ac:dyDescent="0.25">
      <c r="A662" s="98" t="s">
        <v>55</v>
      </c>
      <c r="B662" s="98" t="s">
        <v>8</v>
      </c>
      <c r="C662" s="98">
        <v>330</v>
      </c>
      <c r="D662" s="98">
        <v>1000</v>
      </c>
      <c r="E662" s="98">
        <v>0.1</v>
      </c>
      <c r="F662" s="98" t="s">
        <v>6</v>
      </c>
      <c r="G662" s="98" t="s">
        <v>4</v>
      </c>
      <c r="H662" s="98">
        <v>1E-3</v>
      </c>
      <c r="I662" s="98">
        <v>0.04</v>
      </c>
      <c r="J662" s="98" t="s">
        <v>10</v>
      </c>
      <c r="K662" s="98">
        <v>64.183999999999997</v>
      </c>
      <c r="L662" s="98">
        <v>0.4486</v>
      </c>
      <c r="M662" s="98">
        <v>64.129000000000005</v>
      </c>
      <c r="N662" s="98">
        <v>0.44862000000000002</v>
      </c>
      <c r="O662" s="99" t="s">
        <v>1762</v>
      </c>
    </row>
    <row r="663" spans="1:15" x14ac:dyDescent="0.25">
      <c r="A663" s="98" t="s">
        <v>55</v>
      </c>
      <c r="B663" s="98" t="s">
        <v>8</v>
      </c>
      <c r="C663" s="98">
        <v>330</v>
      </c>
      <c r="D663" s="98">
        <v>1000</v>
      </c>
      <c r="E663" s="98">
        <v>1</v>
      </c>
      <c r="F663" s="98" t="s">
        <v>6</v>
      </c>
      <c r="G663" s="98" t="s">
        <v>4</v>
      </c>
      <c r="H663" s="98">
        <v>1</v>
      </c>
      <c r="I663" s="98">
        <v>10</v>
      </c>
      <c r="J663" s="98" t="s">
        <v>10</v>
      </c>
      <c r="K663" s="98">
        <v>547.47</v>
      </c>
      <c r="L663" s="98">
        <v>0.37317</v>
      </c>
      <c r="M663" s="98">
        <v>547.4</v>
      </c>
      <c r="N663" s="98">
        <v>0.37309999999999999</v>
      </c>
      <c r="O663" s="99" t="s">
        <v>1764</v>
      </c>
    </row>
    <row r="664" spans="1:15" x14ac:dyDescent="0.25">
      <c r="A664" s="98" t="s">
        <v>55</v>
      </c>
      <c r="B664" s="98" t="s">
        <v>8</v>
      </c>
      <c r="C664" s="98">
        <v>330</v>
      </c>
      <c r="D664" s="98">
        <v>1000</v>
      </c>
      <c r="E664" s="98">
        <v>1</v>
      </c>
      <c r="F664" s="98" t="s">
        <v>6</v>
      </c>
      <c r="G664" s="98" t="s">
        <v>4</v>
      </c>
      <c r="H664" s="98">
        <v>1E-3</v>
      </c>
      <c r="I664" s="98">
        <v>0.04</v>
      </c>
      <c r="J664" s="98" t="s">
        <v>10</v>
      </c>
      <c r="K664" s="98">
        <v>564.15</v>
      </c>
      <c r="L664" s="98">
        <v>0.20594999999999999</v>
      </c>
      <c r="M664" s="98">
        <v>564.12</v>
      </c>
      <c r="N664" s="98">
        <v>0.20588999999999999</v>
      </c>
      <c r="O664" s="99" t="s">
        <v>2615</v>
      </c>
    </row>
    <row r="665" spans="1:15" x14ac:dyDescent="0.25">
      <c r="A665" s="98" t="s">
        <v>55</v>
      </c>
      <c r="B665" s="98" t="s">
        <v>8</v>
      </c>
      <c r="C665" s="98">
        <v>330</v>
      </c>
      <c r="D665" s="98">
        <v>1000</v>
      </c>
      <c r="E665" s="98">
        <v>1</v>
      </c>
      <c r="F665" s="98" t="s">
        <v>6</v>
      </c>
      <c r="G665" s="98" t="s">
        <v>4</v>
      </c>
      <c r="H665" s="98">
        <v>0.04</v>
      </c>
      <c r="I665" s="98">
        <v>1</v>
      </c>
      <c r="J665" s="98" t="s">
        <v>10</v>
      </c>
      <c r="K665" s="98">
        <v>562.27</v>
      </c>
      <c r="L665" s="98">
        <v>0.1928</v>
      </c>
      <c r="M665" s="98">
        <v>562.23</v>
      </c>
      <c r="N665" s="98">
        <v>0.19273999999999999</v>
      </c>
      <c r="O665" s="99" t="s">
        <v>1765</v>
      </c>
    </row>
    <row r="666" spans="1:15" x14ac:dyDescent="0.25">
      <c r="A666" s="98" t="s">
        <v>55</v>
      </c>
      <c r="B666" s="98" t="s">
        <v>91</v>
      </c>
      <c r="C666" s="98">
        <v>-270</v>
      </c>
      <c r="D666" s="98">
        <v>149</v>
      </c>
      <c r="E666" s="98">
        <v>0.1</v>
      </c>
      <c r="F666" s="98" t="s">
        <v>23</v>
      </c>
      <c r="G666" s="98" t="s">
        <v>23</v>
      </c>
      <c r="H666" s="98">
        <v>0</v>
      </c>
      <c r="I666" s="98">
        <v>0</v>
      </c>
      <c r="K666" s="98">
        <v>8.0416114999999996E-2</v>
      </c>
      <c r="L666" s="98">
        <v>0</v>
      </c>
      <c r="M666" s="98">
        <v>6.7383358000000004E-2</v>
      </c>
      <c r="N666" s="98">
        <v>0</v>
      </c>
      <c r="O666" s="99" t="s">
        <v>598</v>
      </c>
    </row>
    <row r="667" spans="1:15" x14ac:dyDescent="0.25">
      <c r="A667" s="98" t="s">
        <v>55</v>
      </c>
      <c r="B667" s="98" t="s">
        <v>91</v>
      </c>
      <c r="C667" s="98">
        <v>-270</v>
      </c>
      <c r="D667" s="98">
        <v>149</v>
      </c>
      <c r="E667" s="98">
        <v>1</v>
      </c>
      <c r="F667" s="98" t="s">
        <v>23</v>
      </c>
      <c r="G667" s="98" t="s">
        <v>23</v>
      </c>
      <c r="H667" s="98">
        <v>0</v>
      </c>
      <c r="I667" s="98">
        <v>0</v>
      </c>
      <c r="K667" s="98">
        <v>0.585017483</v>
      </c>
      <c r="L667" s="98">
        <v>0</v>
      </c>
      <c r="M667" s="98">
        <v>0.578394776</v>
      </c>
      <c r="N667" s="98">
        <v>0</v>
      </c>
      <c r="O667" s="99" t="s">
        <v>599</v>
      </c>
    </row>
    <row r="668" spans="1:15" x14ac:dyDescent="0.25">
      <c r="A668" s="98" t="s">
        <v>55</v>
      </c>
      <c r="B668" s="98" t="s">
        <v>91</v>
      </c>
      <c r="C668" s="98">
        <v>149.001</v>
      </c>
      <c r="D668" s="98">
        <v>593</v>
      </c>
      <c r="E668" s="98">
        <v>0.1</v>
      </c>
      <c r="F668" s="98" t="s">
        <v>23</v>
      </c>
      <c r="G668" s="98" t="s">
        <v>23</v>
      </c>
      <c r="H668" s="98">
        <v>0</v>
      </c>
      <c r="I668" s="98">
        <v>0</v>
      </c>
      <c r="K668" s="98">
        <v>6.9131376999999994E-2</v>
      </c>
      <c r="L668" s="98">
        <v>0</v>
      </c>
      <c r="M668" s="98">
        <v>6.7565681000000002E-2</v>
      </c>
      <c r="N668" s="98">
        <v>0</v>
      </c>
      <c r="O668" s="99" t="s">
        <v>600</v>
      </c>
    </row>
    <row r="669" spans="1:15" x14ac:dyDescent="0.25">
      <c r="A669" s="98" t="s">
        <v>55</v>
      </c>
      <c r="B669" s="98" t="s">
        <v>91</v>
      </c>
      <c r="C669" s="98">
        <v>149.001</v>
      </c>
      <c r="D669" s="98">
        <v>593</v>
      </c>
      <c r="E669" s="98">
        <v>1</v>
      </c>
      <c r="F669" s="98" t="s">
        <v>23</v>
      </c>
      <c r="G669" s="98" t="s">
        <v>23</v>
      </c>
      <c r="H669" s="98">
        <v>0</v>
      </c>
      <c r="I669" s="98">
        <v>0</v>
      </c>
      <c r="K669" s="98">
        <v>0.57915561400000004</v>
      </c>
      <c r="L669" s="98">
        <v>0</v>
      </c>
      <c r="M669" s="98">
        <v>0.57841604499999999</v>
      </c>
      <c r="N669" s="98">
        <v>0</v>
      </c>
      <c r="O669" s="99" t="s">
        <v>601</v>
      </c>
    </row>
    <row r="670" spans="1:15" x14ac:dyDescent="0.25">
      <c r="A670" s="98" t="s">
        <v>55</v>
      </c>
      <c r="B670" s="98" t="s">
        <v>91</v>
      </c>
      <c r="C670" s="98">
        <v>593.00099999999998</v>
      </c>
      <c r="D670" s="98">
        <v>1000</v>
      </c>
      <c r="E670" s="98">
        <v>0.1</v>
      </c>
      <c r="F670" s="98" t="s">
        <v>23</v>
      </c>
      <c r="G670" s="98" t="s">
        <v>23</v>
      </c>
      <c r="H670" s="98">
        <v>0</v>
      </c>
      <c r="I670" s="98">
        <v>0</v>
      </c>
      <c r="K670" s="98">
        <v>7.1535916000000005E-2</v>
      </c>
      <c r="L670" s="98">
        <v>0</v>
      </c>
      <c r="M670" s="98">
        <v>7.0024005E-2</v>
      </c>
      <c r="N670" s="98">
        <v>0</v>
      </c>
      <c r="O670" s="99" t="s">
        <v>602</v>
      </c>
    </row>
    <row r="671" spans="1:15" x14ac:dyDescent="0.25">
      <c r="A671" s="98" t="s">
        <v>55</v>
      </c>
      <c r="B671" s="98" t="s">
        <v>91</v>
      </c>
      <c r="C671" s="98">
        <v>593.00099999999998</v>
      </c>
      <c r="D671" s="98">
        <v>1000</v>
      </c>
      <c r="E671" s="98">
        <v>1</v>
      </c>
      <c r="F671" s="98" t="s">
        <v>23</v>
      </c>
      <c r="G671" s="98" t="s">
        <v>23</v>
      </c>
      <c r="H671" s="98">
        <v>0</v>
      </c>
      <c r="I671" s="98">
        <v>0</v>
      </c>
      <c r="K671" s="98">
        <v>0.57944755199999998</v>
      </c>
      <c r="L671" s="98">
        <v>0</v>
      </c>
      <c r="M671" s="98">
        <v>0.57870835600000003</v>
      </c>
      <c r="N671" s="98">
        <v>0</v>
      </c>
      <c r="O671" s="99" t="s">
        <v>603</v>
      </c>
    </row>
    <row r="672" spans="1:15" x14ac:dyDescent="0.25">
      <c r="A672" s="98" t="s">
        <v>55</v>
      </c>
      <c r="B672" s="98" t="s">
        <v>90</v>
      </c>
      <c r="C672" s="98">
        <v>-210</v>
      </c>
      <c r="D672" s="98">
        <v>259.99900000000002</v>
      </c>
      <c r="E672" s="98">
        <v>0.1</v>
      </c>
      <c r="F672" s="98" t="s">
        <v>23</v>
      </c>
      <c r="G672" s="98" t="s">
        <v>23</v>
      </c>
      <c r="H672" s="98">
        <v>0</v>
      </c>
      <c r="I672" s="98">
        <v>0</v>
      </c>
      <c r="K672" s="98">
        <v>9.1700324999999999E-2</v>
      </c>
      <c r="L672" s="98">
        <v>0</v>
      </c>
      <c r="M672" s="98">
        <v>7.0601223000000005E-2</v>
      </c>
      <c r="N672" s="98">
        <v>0</v>
      </c>
      <c r="O672" s="99" t="s">
        <v>592</v>
      </c>
    </row>
    <row r="673" spans="1:15" x14ac:dyDescent="0.25">
      <c r="A673" s="98" t="s">
        <v>55</v>
      </c>
      <c r="B673" s="98" t="s">
        <v>90</v>
      </c>
      <c r="C673" s="98">
        <v>-210</v>
      </c>
      <c r="D673" s="98">
        <v>259.99900000000002</v>
      </c>
      <c r="E673" s="98">
        <v>1</v>
      </c>
      <c r="F673" s="98" t="s">
        <v>23</v>
      </c>
      <c r="G673" s="98" t="s">
        <v>23</v>
      </c>
      <c r="H673" s="98">
        <v>0</v>
      </c>
      <c r="I673" s="98">
        <v>0</v>
      </c>
      <c r="K673" s="98">
        <v>0.59049318399999995</v>
      </c>
      <c r="L673" s="98">
        <v>0</v>
      </c>
      <c r="M673" s="98">
        <v>0.57877848300000001</v>
      </c>
      <c r="N673" s="98">
        <v>0</v>
      </c>
      <c r="O673" s="99" t="s">
        <v>593</v>
      </c>
    </row>
    <row r="674" spans="1:15" x14ac:dyDescent="0.25">
      <c r="A674" s="98" t="s">
        <v>55</v>
      </c>
      <c r="B674" s="98" t="s">
        <v>90</v>
      </c>
      <c r="C674" s="98">
        <v>260</v>
      </c>
      <c r="D674" s="98">
        <v>732</v>
      </c>
      <c r="E674" s="98">
        <v>0.1</v>
      </c>
      <c r="F674" s="98" t="s">
        <v>23</v>
      </c>
      <c r="G674" s="98" t="s">
        <v>23</v>
      </c>
      <c r="H674" s="98">
        <v>0</v>
      </c>
      <c r="I674" s="98">
        <v>0</v>
      </c>
      <c r="K674" s="98">
        <v>7.3715325999999998E-2</v>
      </c>
      <c r="L674" s="98">
        <v>0</v>
      </c>
      <c r="M674" s="98">
        <v>6.8215379000000007E-2</v>
      </c>
      <c r="N674" s="98">
        <v>0</v>
      </c>
      <c r="O674" s="99" t="s">
        <v>594</v>
      </c>
    </row>
    <row r="675" spans="1:15" x14ac:dyDescent="0.25">
      <c r="A675" s="98" t="s">
        <v>55</v>
      </c>
      <c r="B675" s="98" t="s">
        <v>90</v>
      </c>
      <c r="C675" s="98">
        <v>260</v>
      </c>
      <c r="D675" s="98">
        <v>732</v>
      </c>
      <c r="E675" s="98">
        <v>1</v>
      </c>
      <c r="F675" s="98" t="s">
        <v>23</v>
      </c>
      <c r="G675" s="98" t="s">
        <v>23</v>
      </c>
      <c r="H675" s="98">
        <v>0</v>
      </c>
      <c r="I675" s="98">
        <v>0</v>
      </c>
      <c r="K675" s="98">
        <v>0.58165565500000005</v>
      </c>
      <c r="L675" s="98">
        <v>0</v>
      </c>
      <c r="M675" s="98">
        <v>0.57849229700000004</v>
      </c>
      <c r="N675" s="98">
        <v>0</v>
      </c>
      <c r="O675" s="99" t="s">
        <v>595</v>
      </c>
    </row>
    <row r="676" spans="1:15" x14ac:dyDescent="0.25">
      <c r="A676" s="98" t="s">
        <v>55</v>
      </c>
      <c r="B676" s="98" t="s">
        <v>90</v>
      </c>
      <c r="C676" s="98">
        <v>732.00099999999998</v>
      </c>
      <c r="D676" s="98">
        <v>1200</v>
      </c>
      <c r="E676" s="98">
        <v>0.1</v>
      </c>
      <c r="F676" s="98" t="s">
        <v>23</v>
      </c>
      <c r="G676" s="98" t="s">
        <v>23</v>
      </c>
      <c r="H676" s="98">
        <v>0</v>
      </c>
      <c r="I676" s="98">
        <v>0</v>
      </c>
      <c r="K676" s="98">
        <v>7.6446990000000006E-2</v>
      </c>
      <c r="L676" s="98">
        <v>0</v>
      </c>
      <c r="M676" s="98">
        <v>7.1753449999999996E-2</v>
      </c>
      <c r="N676" s="98">
        <v>0</v>
      </c>
      <c r="O676" s="99" t="s">
        <v>596</v>
      </c>
    </row>
    <row r="677" spans="1:15" x14ac:dyDescent="0.25">
      <c r="A677" s="98" t="s">
        <v>55</v>
      </c>
      <c r="B677" s="98" t="s">
        <v>90</v>
      </c>
      <c r="C677" s="98">
        <v>732.00099999999998</v>
      </c>
      <c r="D677" s="98">
        <v>1200</v>
      </c>
      <c r="E677" s="98">
        <v>1</v>
      </c>
      <c r="F677" s="98" t="s">
        <v>23</v>
      </c>
      <c r="G677" s="98" t="s">
        <v>23</v>
      </c>
      <c r="H677" s="98">
        <v>0</v>
      </c>
      <c r="I677" s="98">
        <v>0</v>
      </c>
      <c r="K677" s="98">
        <v>0.58131823999999999</v>
      </c>
      <c r="L677" s="98">
        <v>0</v>
      </c>
      <c r="M677" s="98">
        <v>0.57892016499999999</v>
      </c>
      <c r="N677" s="98">
        <v>0</v>
      </c>
      <c r="O677" s="99" t="s">
        <v>597</v>
      </c>
    </row>
    <row r="678" spans="1:15" x14ac:dyDescent="0.25">
      <c r="A678" s="98" t="s">
        <v>55</v>
      </c>
      <c r="B678" s="98" t="s">
        <v>89</v>
      </c>
      <c r="C678" s="98">
        <v>-270</v>
      </c>
      <c r="D678" s="98">
        <v>-240.001</v>
      </c>
      <c r="E678" s="98">
        <v>0.1</v>
      </c>
      <c r="F678" s="98" t="s">
        <v>23</v>
      </c>
      <c r="G678" s="98" t="s">
        <v>23</v>
      </c>
      <c r="H678" s="98">
        <v>0</v>
      </c>
      <c r="I678" s="98">
        <v>0</v>
      </c>
      <c r="K678" s="98">
        <v>0.45662971600000002</v>
      </c>
      <c r="L678" s="98">
        <v>0</v>
      </c>
      <c r="M678" s="98">
        <v>0.45079213899999998</v>
      </c>
      <c r="N678" s="98">
        <v>0</v>
      </c>
      <c r="O678" s="99" t="s">
        <v>584</v>
      </c>
    </row>
    <row r="679" spans="1:15" x14ac:dyDescent="0.25">
      <c r="A679" s="98" t="s">
        <v>55</v>
      </c>
      <c r="B679" s="98" t="s">
        <v>89</v>
      </c>
      <c r="C679" s="98">
        <v>-270</v>
      </c>
      <c r="D679" s="98">
        <v>-240.001</v>
      </c>
      <c r="E679" s="98">
        <v>1</v>
      </c>
      <c r="F679" s="98" t="s">
        <v>23</v>
      </c>
      <c r="G679" s="98" t="s">
        <v>23</v>
      </c>
      <c r="H679" s="98">
        <v>0</v>
      </c>
      <c r="I679" s="98">
        <v>0</v>
      </c>
      <c r="K679" s="98">
        <v>0.74458185099999996</v>
      </c>
      <c r="L679" s="98">
        <v>0</v>
      </c>
      <c r="M679" s="98">
        <v>0.73021473000000003</v>
      </c>
      <c r="N679" s="98">
        <v>0</v>
      </c>
      <c r="O679" s="99" t="s">
        <v>585</v>
      </c>
    </row>
    <row r="680" spans="1:15" x14ac:dyDescent="0.25">
      <c r="A680" s="98" t="s">
        <v>55</v>
      </c>
      <c r="B680" s="98" t="s">
        <v>89</v>
      </c>
      <c r="C680" s="98">
        <v>-240</v>
      </c>
      <c r="D680" s="98">
        <v>259.99900000000002</v>
      </c>
      <c r="E680" s="98">
        <v>0.1</v>
      </c>
      <c r="F680" s="98" t="s">
        <v>23</v>
      </c>
      <c r="G680" s="98" t="s">
        <v>23</v>
      </c>
      <c r="H680" s="98">
        <v>0</v>
      </c>
      <c r="I680" s="98">
        <v>0</v>
      </c>
      <c r="K680" s="98">
        <v>0.113916513</v>
      </c>
      <c r="L680" s="98">
        <v>0</v>
      </c>
      <c r="M680" s="98">
        <v>9.1809138999999998E-2</v>
      </c>
      <c r="N680" s="98">
        <v>0</v>
      </c>
      <c r="O680" s="99" t="s">
        <v>586</v>
      </c>
    </row>
    <row r="681" spans="1:15" x14ac:dyDescent="0.25">
      <c r="A681" s="98" t="s">
        <v>55</v>
      </c>
      <c r="B681" s="98" t="s">
        <v>89</v>
      </c>
      <c r="C681" s="98">
        <v>-240</v>
      </c>
      <c r="D681" s="98">
        <v>259.99900000000002</v>
      </c>
      <c r="E681" s="98">
        <v>1</v>
      </c>
      <c r="F681" s="98" t="s">
        <v>23</v>
      </c>
      <c r="G681" s="98" t="s">
        <v>23</v>
      </c>
      <c r="H681" s="98">
        <v>0</v>
      </c>
      <c r="I681" s="98">
        <v>0</v>
      </c>
      <c r="K681" s="98">
        <v>0.59717763999999995</v>
      </c>
      <c r="L681" s="98">
        <v>0</v>
      </c>
      <c r="M681" s="98">
        <v>0.58174643800000003</v>
      </c>
      <c r="N681" s="98">
        <v>0</v>
      </c>
      <c r="O681" s="99" t="s">
        <v>587</v>
      </c>
    </row>
    <row r="682" spans="1:15" x14ac:dyDescent="0.25">
      <c r="A682" s="98" t="s">
        <v>55</v>
      </c>
      <c r="B682" s="98" t="s">
        <v>89</v>
      </c>
      <c r="C682" s="98">
        <v>260</v>
      </c>
      <c r="D682" s="98">
        <v>816</v>
      </c>
      <c r="E682" s="98">
        <v>0.1</v>
      </c>
      <c r="F682" s="98" t="s">
        <v>23</v>
      </c>
      <c r="G682" s="98" t="s">
        <v>23</v>
      </c>
      <c r="H682" s="98">
        <v>0</v>
      </c>
      <c r="I682" s="98">
        <v>0</v>
      </c>
      <c r="K682" s="98">
        <v>8.0979847999999993E-2</v>
      </c>
      <c r="L682" s="98">
        <v>0</v>
      </c>
      <c r="M682" s="98">
        <v>6.9993098000000004E-2</v>
      </c>
      <c r="N682" s="98">
        <v>0</v>
      </c>
      <c r="O682" s="99" t="s">
        <v>588</v>
      </c>
    </row>
    <row r="683" spans="1:15" x14ac:dyDescent="0.25">
      <c r="A683" s="98" t="s">
        <v>55</v>
      </c>
      <c r="B683" s="98" t="s">
        <v>89</v>
      </c>
      <c r="C683" s="98">
        <v>260</v>
      </c>
      <c r="D683" s="98">
        <v>816</v>
      </c>
      <c r="E683" s="98">
        <v>1</v>
      </c>
      <c r="F683" s="98" t="s">
        <v>23</v>
      </c>
      <c r="G683" s="98" t="s">
        <v>23</v>
      </c>
      <c r="H683" s="98">
        <v>0</v>
      </c>
      <c r="I683" s="98">
        <v>0</v>
      </c>
      <c r="K683" s="98">
        <v>0.58440896799999997</v>
      </c>
      <c r="L683" s="98">
        <v>0</v>
      </c>
      <c r="M683" s="98">
        <v>0.57870461699999998</v>
      </c>
      <c r="N683" s="98">
        <v>0</v>
      </c>
      <c r="O683" s="99" t="s">
        <v>589</v>
      </c>
    </row>
    <row r="684" spans="1:15" x14ac:dyDescent="0.25">
      <c r="A684" s="98" t="s">
        <v>55</v>
      </c>
      <c r="B684" s="98" t="s">
        <v>89</v>
      </c>
      <c r="C684" s="98">
        <v>816.00099999999998</v>
      </c>
      <c r="D684" s="98">
        <v>1371</v>
      </c>
      <c r="E684" s="98">
        <v>0.1</v>
      </c>
      <c r="F684" s="98" t="s">
        <v>23</v>
      </c>
      <c r="G684" s="98" t="s">
        <v>23</v>
      </c>
      <c r="H684" s="98">
        <v>0</v>
      </c>
      <c r="I684" s="98">
        <v>0</v>
      </c>
      <c r="K684" s="98">
        <v>9.0471350000000006E-2</v>
      </c>
      <c r="L684" s="98">
        <v>0</v>
      </c>
      <c r="M684" s="98">
        <v>7.6709093000000006E-2</v>
      </c>
      <c r="N684" s="98">
        <v>0</v>
      </c>
      <c r="O684" s="99" t="s">
        <v>590</v>
      </c>
    </row>
    <row r="685" spans="1:15" x14ac:dyDescent="0.25">
      <c r="A685" s="98" t="s">
        <v>55</v>
      </c>
      <c r="B685" s="98" t="s">
        <v>89</v>
      </c>
      <c r="C685" s="98">
        <v>816.00099999999998</v>
      </c>
      <c r="D685" s="98">
        <v>1371</v>
      </c>
      <c r="E685" s="98">
        <v>1</v>
      </c>
      <c r="F685" s="98" t="s">
        <v>23</v>
      </c>
      <c r="G685" s="98" t="s">
        <v>23</v>
      </c>
      <c r="H685" s="98">
        <v>0</v>
      </c>
      <c r="I685" s="98">
        <v>0</v>
      </c>
      <c r="K685" s="98">
        <v>0.58744140600000005</v>
      </c>
      <c r="L685" s="98">
        <v>0</v>
      </c>
      <c r="M685" s="98">
        <v>0.57955524800000002</v>
      </c>
      <c r="N685" s="98">
        <v>0</v>
      </c>
      <c r="O685" s="99" t="s">
        <v>591</v>
      </c>
    </row>
    <row r="686" spans="1:15" x14ac:dyDescent="0.25">
      <c r="A686" s="98" t="s">
        <v>55</v>
      </c>
      <c r="B686" s="98" t="s">
        <v>92</v>
      </c>
      <c r="C686" s="98">
        <v>-270</v>
      </c>
      <c r="D686" s="98">
        <v>-240.001</v>
      </c>
      <c r="E686" s="98">
        <v>0.1</v>
      </c>
      <c r="F686" s="98" t="s">
        <v>23</v>
      </c>
      <c r="G686" s="98" t="s">
        <v>23</v>
      </c>
      <c r="H686" s="98">
        <v>0</v>
      </c>
      <c r="I686" s="98">
        <v>0</v>
      </c>
      <c r="K686" s="98">
        <v>0.83169968400000005</v>
      </c>
      <c r="L686" s="98">
        <v>0</v>
      </c>
      <c r="M686" s="98">
        <v>0.82876732099999995</v>
      </c>
      <c r="N686" s="98">
        <v>0</v>
      </c>
      <c r="O686" s="99" t="s">
        <v>574</v>
      </c>
    </row>
    <row r="687" spans="1:15" x14ac:dyDescent="0.25">
      <c r="A687" s="98" t="s">
        <v>55</v>
      </c>
      <c r="B687" s="98" t="s">
        <v>92</v>
      </c>
      <c r="C687" s="98">
        <v>-270</v>
      </c>
      <c r="D687" s="98">
        <v>-240.001</v>
      </c>
      <c r="E687" s="98">
        <v>1</v>
      </c>
      <c r="F687" s="98" t="s">
        <v>23</v>
      </c>
      <c r="G687" s="98" t="s">
        <v>23</v>
      </c>
      <c r="H687" s="98">
        <v>0</v>
      </c>
      <c r="I687" s="98">
        <v>0</v>
      </c>
      <c r="K687" s="98">
        <v>1.018003754</v>
      </c>
      <c r="L687" s="98">
        <v>0</v>
      </c>
      <c r="M687" s="98">
        <v>1.008392419</v>
      </c>
      <c r="N687" s="98">
        <v>0</v>
      </c>
      <c r="O687" s="99" t="s">
        <v>575</v>
      </c>
    </row>
    <row r="688" spans="1:15" x14ac:dyDescent="0.25">
      <c r="A688" s="98" t="s">
        <v>55</v>
      </c>
      <c r="B688" s="98" t="s">
        <v>92</v>
      </c>
      <c r="C688" s="98">
        <v>-240</v>
      </c>
      <c r="D688" s="98">
        <v>-101.001</v>
      </c>
      <c r="E688" s="98">
        <v>0.1</v>
      </c>
      <c r="F688" s="98" t="s">
        <v>23</v>
      </c>
      <c r="G688" s="98" t="s">
        <v>23</v>
      </c>
      <c r="H688" s="98">
        <v>0</v>
      </c>
      <c r="I688" s="98">
        <v>0</v>
      </c>
      <c r="K688" s="98">
        <v>0.142236415</v>
      </c>
      <c r="L688" s="98">
        <v>0</v>
      </c>
      <c r="M688" s="98">
        <v>0.12394395800000001</v>
      </c>
      <c r="N688" s="98">
        <v>0</v>
      </c>
      <c r="O688" s="99" t="s">
        <v>576</v>
      </c>
    </row>
    <row r="689" spans="1:15" x14ac:dyDescent="0.25">
      <c r="A689" s="98" t="s">
        <v>55</v>
      </c>
      <c r="B689" s="98" t="s">
        <v>92</v>
      </c>
      <c r="C689" s="98">
        <v>-240</v>
      </c>
      <c r="D689" s="98">
        <v>-101.001</v>
      </c>
      <c r="E689" s="98">
        <v>1</v>
      </c>
      <c r="F689" s="98" t="s">
        <v>23</v>
      </c>
      <c r="G689" s="98" t="s">
        <v>23</v>
      </c>
      <c r="H689" s="98">
        <v>0</v>
      </c>
      <c r="I689" s="98">
        <v>0</v>
      </c>
      <c r="K689" s="98">
        <v>0.60401860600000001</v>
      </c>
      <c r="L689" s="98">
        <v>0</v>
      </c>
      <c r="M689" s="98">
        <v>0.58767516900000005</v>
      </c>
      <c r="N689" s="98">
        <v>0</v>
      </c>
      <c r="O689" s="99" t="s">
        <v>577</v>
      </c>
    </row>
    <row r="690" spans="1:15" x14ac:dyDescent="0.25">
      <c r="A690" s="98" t="s">
        <v>55</v>
      </c>
      <c r="B690" s="98" t="s">
        <v>92</v>
      </c>
      <c r="C690" s="98">
        <v>-101</v>
      </c>
      <c r="D690" s="98">
        <v>371</v>
      </c>
      <c r="E690" s="98">
        <v>0.1</v>
      </c>
      <c r="F690" s="98" t="s">
        <v>23</v>
      </c>
      <c r="G690" s="98" t="s">
        <v>23</v>
      </c>
      <c r="H690" s="98">
        <v>0</v>
      </c>
      <c r="I690" s="98">
        <v>0</v>
      </c>
      <c r="K690" s="98">
        <v>9.0241070000000007E-2</v>
      </c>
      <c r="L690" s="98">
        <v>0</v>
      </c>
      <c r="M690" s="98">
        <v>6.8695223999999999E-2</v>
      </c>
      <c r="N690" s="98">
        <v>0</v>
      </c>
      <c r="O690" s="99" t="s">
        <v>578</v>
      </c>
    </row>
    <row r="691" spans="1:15" x14ac:dyDescent="0.25">
      <c r="A691" s="98" t="s">
        <v>55</v>
      </c>
      <c r="B691" s="98" t="s">
        <v>92</v>
      </c>
      <c r="C691" s="98">
        <v>-101</v>
      </c>
      <c r="D691" s="98">
        <v>371</v>
      </c>
      <c r="E691" s="98">
        <v>1</v>
      </c>
      <c r="F691" s="98" t="s">
        <v>23</v>
      </c>
      <c r="G691" s="98" t="s">
        <v>23</v>
      </c>
      <c r="H691" s="98">
        <v>0</v>
      </c>
      <c r="I691" s="98">
        <v>0</v>
      </c>
      <c r="K691" s="98">
        <v>0.59026833000000001</v>
      </c>
      <c r="L691" s="98">
        <v>0</v>
      </c>
      <c r="M691" s="98">
        <v>0.57854907600000005</v>
      </c>
      <c r="N691" s="98">
        <v>0</v>
      </c>
      <c r="O691" s="99" t="s">
        <v>579</v>
      </c>
    </row>
    <row r="692" spans="1:15" x14ac:dyDescent="0.25">
      <c r="A692" s="98" t="s">
        <v>55</v>
      </c>
      <c r="B692" s="98" t="s">
        <v>92</v>
      </c>
      <c r="C692" s="98">
        <v>371.00099999999998</v>
      </c>
      <c r="D692" s="98">
        <v>816</v>
      </c>
      <c r="E692" s="98">
        <v>0.1</v>
      </c>
      <c r="F692" s="98" t="s">
        <v>23</v>
      </c>
      <c r="G692" s="98" t="s">
        <v>23</v>
      </c>
      <c r="H692" s="98">
        <v>0</v>
      </c>
      <c r="I692" s="98">
        <v>0</v>
      </c>
      <c r="K692" s="98">
        <v>8.1513450000000001E-2</v>
      </c>
      <c r="L692" s="98">
        <v>0</v>
      </c>
      <c r="M692" s="98">
        <v>6.9463811E-2</v>
      </c>
      <c r="N692" s="98">
        <v>0</v>
      </c>
      <c r="O692" s="99" t="s">
        <v>580</v>
      </c>
    </row>
    <row r="693" spans="1:15" x14ac:dyDescent="0.25">
      <c r="A693" s="98" t="s">
        <v>55</v>
      </c>
      <c r="B693" s="98" t="s">
        <v>92</v>
      </c>
      <c r="C693" s="98">
        <v>371.00099999999998</v>
      </c>
      <c r="D693" s="98">
        <v>816</v>
      </c>
      <c r="E693" s="98">
        <v>1</v>
      </c>
      <c r="F693" s="98" t="s">
        <v>23</v>
      </c>
      <c r="G693" s="98" t="s">
        <v>23</v>
      </c>
      <c r="H693" s="98">
        <v>0</v>
      </c>
      <c r="I693" s="98">
        <v>0</v>
      </c>
      <c r="K693" s="98">
        <v>0.58489495400000002</v>
      </c>
      <c r="L693" s="98">
        <v>0</v>
      </c>
      <c r="M693" s="98">
        <v>0.57864083899999996</v>
      </c>
      <c r="N693" s="98">
        <v>0</v>
      </c>
      <c r="O693" s="99" t="s">
        <v>581</v>
      </c>
    </row>
    <row r="694" spans="1:15" x14ac:dyDescent="0.25">
      <c r="A694" s="98" t="s">
        <v>55</v>
      </c>
      <c r="B694" s="98" t="s">
        <v>92</v>
      </c>
      <c r="C694" s="98">
        <v>816.00099999999998</v>
      </c>
      <c r="D694" s="98">
        <v>1300</v>
      </c>
      <c r="E694" s="98">
        <v>0.1</v>
      </c>
      <c r="F694" s="98" t="s">
        <v>23</v>
      </c>
      <c r="G694" s="98" t="s">
        <v>23</v>
      </c>
      <c r="H694" s="98">
        <v>0</v>
      </c>
      <c r="I694" s="98">
        <v>0</v>
      </c>
      <c r="K694" s="98">
        <v>8.6273836000000007E-2</v>
      </c>
      <c r="L694" s="98">
        <v>0</v>
      </c>
      <c r="M694" s="98">
        <v>7.3915043999999999E-2</v>
      </c>
      <c r="N694" s="98">
        <v>0</v>
      </c>
      <c r="O694" s="99" t="s">
        <v>582</v>
      </c>
    </row>
    <row r="695" spans="1:15" x14ac:dyDescent="0.25">
      <c r="A695" s="98" t="s">
        <v>55</v>
      </c>
      <c r="B695" s="98" t="s">
        <v>92</v>
      </c>
      <c r="C695" s="98">
        <v>816.00099999999998</v>
      </c>
      <c r="D695" s="98">
        <v>1300</v>
      </c>
      <c r="E695" s="98">
        <v>1</v>
      </c>
      <c r="F695" s="98" t="s">
        <v>23</v>
      </c>
      <c r="G695" s="98" t="s">
        <v>23</v>
      </c>
      <c r="H695" s="98">
        <v>0</v>
      </c>
      <c r="I695" s="98">
        <v>0</v>
      </c>
      <c r="K695" s="98">
        <v>0.58598839400000002</v>
      </c>
      <c r="L695" s="98">
        <v>0</v>
      </c>
      <c r="M695" s="98">
        <v>0.57919205200000001</v>
      </c>
      <c r="N695" s="98">
        <v>0</v>
      </c>
      <c r="O695" s="99" t="s">
        <v>583</v>
      </c>
    </row>
    <row r="696" spans="1:15" x14ac:dyDescent="0.25">
      <c r="A696" s="98" t="s">
        <v>55</v>
      </c>
      <c r="B696" s="98" t="s">
        <v>96</v>
      </c>
      <c r="C696" s="98">
        <v>-195.6</v>
      </c>
      <c r="D696" s="98">
        <v>0</v>
      </c>
      <c r="E696" s="98">
        <v>0.01</v>
      </c>
      <c r="F696" s="98" t="s">
        <v>23</v>
      </c>
      <c r="G696" s="98" t="s">
        <v>23</v>
      </c>
      <c r="H696" s="98">
        <v>0</v>
      </c>
      <c r="I696" s="98">
        <v>0</v>
      </c>
      <c r="K696" s="98">
        <v>8.4850399999999992E-3</v>
      </c>
      <c r="L696" s="98">
        <v>0</v>
      </c>
      <c r="M696" s="98">
        <v>7.6317240000000003E-3</v>
      </c>
      <c r="N696" s="98">
        <v>0</v>
      </c>
      <c r="O696" s="99" t="s">
        <v>559</v>
      </c>
    </row>
    <row r="697" spans="1:15" x14ac:dyDescent="0.25">
      <c r="A697" s="98" t="s">
        <v>55</v>
      </c>
      <c r="B697" s="98" t="s">
        <v>96</v>
      </c>
      <c r="C697" s="98">
        <v>-195.6</v>
      </c>
      <c r="D697" s="98">
        <v>0</v>
      </c>
      <c r="E697" s="98">
        <v>0.1</v>
      </c>
      <c r="F697" s="98" t="s">
        <v>23</v>
      </c>
      <c r="G697" s="98" t="s">
        <v>23</v>
      </c>
      <c r="H697" s="98">
        <v>0</v>
      </c>
      <c r="I697" s="98">
        <v>0</v>
      </c>
      <c r="K697" s="98">
        <v>5.8423059999999999E-2</v>
      </c>
      <c r="L697" s="98">
        <v>0</v>
      </c>
      <c r="M697" s="98">
        <v>5.7950350999999997E-2</v>
      </c>
      <c r="N697" s="98">
        <v>0</v>
      </c>
      <c r="O697" s="99" t="s">
        <v>560</v>
      </c>
    </row>
    <row r="698" spans="1:15" x14ac:dyDescent="0.25">
      <c r="A698" s="98" t="s">
        <v>55</v>
      </c>
      <c r="B698" s="98" t="s">
        <v>96</v>
      </c>
      <c r="C698" s="98">
        <v>-195.6</v>
      </c>
      <c r="D698" s="98">
        <v>0</v>
      </c>
      <c r="E698" s="98">
        <v>1</v>
      </c>
      <c r="F698" s="98" t="s">
        <v>23</v>
      </c>
      <c r="G698" s="98" t="s">
        <v>23</v>
      </c>
      <c r="H698" s="98">
        <v>0</v>
      </c>
      <c r="I698" s="98">
        <v>0</v>
      </c>
      <c r="K698" s="98">
        <v>0.57756236599999999</v>
      </c>
      <c r="L698" s="98">
        <v>0</v>
      </c>
      <c r="M698" s="98">
        <v>0.57737184100000005</v>
      </c>
      <c r="N698" s="98">
        <v>0</v>
      </c>
      <c r="O698" s="99" t="s">
        <v>561</v>
      </c>
    </row>
    <row r="699" spans="1:15" x14ac:dyDescent="0.25">
      <c r="A699" s="98" t="s">
        <v>55</v>
      </c>
      <c r="B699" s="98" t="s">
        <v>96</v>
      </c>
      <c r="C699" s="98">
        <v>1E-3</v>
      </c>
      <c r="D699" s="98">
        <v>204.44399999999999</v>
      </c>
      <c r="E699" s="98">
        <v>0.01</v>
      </c>
      <c r="F699" s="98" t="s">
        <v>23</v>
      </c>
      <c r="G699" s="98" t="s">
        <v>23</v>
      </c>
      <c r="H699" s="98">
        <v>0</v>
      </c>
      <c r="I699" s="98">
        <v>0</v>
      </c>
      <c r="K699" s="98">
        <v>1.0087018999999999E-2</v>
      </c>
      <c r="L699" s="98">
        <v>0</v>
      </c>
      <c r="M699" s="98">
        <v>9.380579E-3</v>
      </c>
      <c r="N699" s="98">
        <v>0</v>
      </c>
      <c r="O699" s="99" t="s">
        <v>562</v>
      </c>
    </row>
    <row r="700" spans="1:15" x14ac:dyDescent="0.25">
      <c r="A700" s="98" t="s">
        <v>55</v>
      </c>
      <c r="B700" s="98" t="s">
        <v>96</v>
      </c>
      <c r="C700" s="98">
        <v>1E-3</v>
      </c>
      <c r="D700" s="98">
        <v>204.44399999999999</v>
      </c>
      <c r="E700" s="98">
        <v>0.1</v>
      </c>
      <c r="F700" s="98" t="s">
        <v>23</v>
      </c>
      <c r="G700" s="98" t="s">
        <v>23</v>
      </c>
      <c r="H700" s="98">
        <v>0</v>
      </c>
      <c r="I700" s="98">
        <v>0</v>
      </c>
      <c r="K700" s="98">
        <v>5.8677133999999999E-2</v>
      </c>
      <c r="L700" s="98">
        <v>0</v>
      </c>
      <c r="M700" s="98">
        <v>5.8206488000000001E-2</v>
      </c>
      <c r="N700" s="98">
        <v>0</v>
      </c>
      <c r="O700" s="99" t="s">
        <v>563</v>
      </c>
    </row>
    <row r="701" spans="1:15" x14ac:dyDescent="0.25">
      <c r="A701" s="98" t="s">
        <v>55</v>
      </c>
      <c r="B701" s="98" t="s">
        <v>96</v>
      </c>
      <c r="C701" s="98">
        <v>1E-3</v>
      </c>
      <c r="D701" s="98">
        <v>204.44399999999999</v>
      </c>
      <c r="E701" s="98">
        <v>1</v>
      </c>
      <c r="F701" s="98" t="s">
        <v>23</v>
      </c>
      <c r="G701" s="98" t="s">
        <v>23</v>
      </c>
      <c r="H701" s="98">
        <v>0</v>
      </c>
      <c r="I701" s="98">
        <v>0</v>
      </c>
      <c r="K701" s="98">
        <v>0.57758812199999998</v>
      </c>
      <c r="L701" s="98">
        <v>0</v>
      </c>
      <c r="M701" s="98">
        <v>0.57739760600000001</v>
      </c>
      <c r="N701" s="98">
        <v>0</v>
      </c>
      <c r="O701" s="99" t="s">
        <v>564</v>
      </c>
    </row>
    <row r="702" spans="1:15" x14ac:dyDescent="0.25">
      <c r="A702" s="98" t="s">
        <v>55</v>
      </c>
      <c r="B702" s="98" t="s">
        <v>96</v>
      </c>
      <c r="C702" s="98">
        <v>204.44499999999999</v>
      </c>
      <c r="D702" s="98">
        <v>426.66699999999997</v>
      </c>
      <c r="E702" s="98">
        <v>0.01</v>
      </c>
      <c r="F702" s="98" t="s">
        <v>23</v>
      </c>
      <c r="G702" s="98" t="s">
        <v>23</v>
      </c>
      <c r="H702" s="98">
        <v>0</v>
      </c>
      <c r="I702" s="98">
        <v>0</v>
      </c>
      <c r="K702" s="98">
        <v>1.2329109E-2</v>
      </c>
      <c r="L702" s="98">
        <v>0</v>
      </c>
      <c r="M702" s="98">
        <v>1.1525970999999999E-2</v>
      </c>
      <c r="N702" s="98">
        <v>0</v>
      </c>
      <c r="O702" s="99" t="s">
        <v>565</v>
      </c>
    </row>
    <row r="703" spans="1:15" x14ac:dyDescent="0.25">
      <c r="A703" s="98" t="s">
        <v>55</v>
      </c>
      <c r="B703" s="98" t="s">
        <v>96</v>
      </c>
      <c r="C703" s="98">
        <v>204.44499999999999</v>
      </c>
      <c r="D703" s="98">
        <v>426.66699999999997</v>
      </c>
      <c r="E703" s="98">
        <v>0.1</v>
      </c>
      <c r="F703" s="98" t="s">
        <v>23</v>
      </c>
      <c r="G703" s="98" t="s">
        <v>23</v>
      </c>
      <c r="H703" s="98">
        <v>0</v>
      </c>
      <c r="I703" s="98">
        <v>0</v>
      </c>
      <c r="K703" s="98">
        <v>5.9240896000000001E-2</v>
      </c>
      <c r="L703" s="98">
        <v>0</v>
      </c>
      <c r="M703" s="98">
        <v>5.8590510999999998E-2</v>
      </c>
      <c r="N703" s="98">
        <v>0</v>
      </c>
      <c r="O703" s="99" t="s">
        <v>566</v>
      </c>
    </row>
    <row r="704" spans="1:15" x14ac:dyDescent="0.25">
      <c r="A704" s="98" t="s">
        <v>55</v>
      </c>
      <c r="B704" s="98" t="s">
        <v>96</v>
      </c>
      <c r="C704" s="98">
        <v>204.44499999999999</v>
      </c>
      <c r="D704" s="98">
        <v>426.66699999999997</v>
      </c>
      <c r="E704" s="98">
        <v>1</v>
      </c>
      <c r="F704" s="98" t="s">
        <v>23</v>
      </c>
      <c r="G704" s="98" t="s">
        <v>23</v>
      </c>
      <c r="H704" s="98">
        <v>0</v>
      </c>
      <c r="I704" s="98">
        <v>0</v>
      </c>
      <c r="K704" s="98">
        <v>0.57770181799999998</v>
      </c>
      <c r="L704" s="98">
        <v>0</v>
      </c>
      <c r="M704" s="98">
        <v>0.57743644500000002</v>
      </c>
      <c r="N704" s="98">
        <v>0</v>
      </c>
      <c r="O704" s="99" t="s">
        <v>567</v>
      </c>
    </row>
    <row r="705" spans="1:15" x14ac:dyDescent="0.25">
      <c r="A705" s="98" t="s">
        <v>55</v>
      </c>
      <c r="B705" s="98" t="s">
        <v>96</v>
      </c>
      <c r="C705" s="98">
        <v>426.66800000000001</v>
      </c>
      <c r="D705" s="98">
        <v>648.88900000000001</v>
      </c>
      <c r="E705" s="98">
        <v>0.01</v>
      </c>
      <c r="F705" s="98" t="s">
        <v>23</v>
      </c>
      <c r="G705" s="98" t="s">
        <v>23</v>
      </c>
      <c r="H705" s="98">
        <v>0</v>
      </c>
      <c r="I705" s="98">
        <v>0</v>
      </c>
      <c r="K705" s="98">
        <v>1.5887353999999999E-2</v>
      </c>
      <c r="L705" s="98">
        <v>0</v>
      </c>
      <c r="M705" s="98">
        <v>1.5272493999999999E-2</v>
      </c>
      <c r="N705" s="98">
        <v>0</v>
      </c>
      <c r="O705" s="99" t="s">
        <v>568</v>
      </c>
    </row>
    <row r="706" spans="1:15" x14ac:dyDescent="0.25">
      <c r="A706" s="98" t="s">
        <v>55</v>
      </c>
      <c r="B706" s="98" t="s">
        <v>96</v>
      </c>
      <c r="C706" s="98">
        <v>426.66800000000001</v>
      </c>
      <c r="D706" s="98">
        <v>648.88900000000001</v>
      </c>
      <c r="E706" s="98">
        <v>0.1</v>
      </c>
      <c r="F706" s="98" t="s">
        <v>23</v>
      </c>
      <c r="G706" s="98" t="s">
        <v>23</v>
      </c>
      <c r="H706" s="98">
        <v>0</v>
      </c>
      <c r="I706" s="98">
        <v>0</v>
      </c>
      <c r="K706" s="98">
        <v>6.0082317000000003E-2</v>
      </c>
      <c r="L706" s="98">
        <v>0</v>
      </c>
      <c r="M706" s="98">
        <v>5.9441140000000003E-2</v>
      </c>
      <c r="N706" s="98">
        <v>0</v>
      </c>
      <c r="O706" s="99" t="s">
        <v>569</v>
      </c>
    </row>
    <row r="707" spans="1:15" x14ac:dyDescent="0.25">
      <c r="A707" s="98" t="s">
        <v>55</v>
      </c>
      <c r="B707" s="98" t="s">
        <v>96</v>
      </c>
      <c r="C707" s="98">
        <v>426.66800000000001</v>
      </c>
      <c r="D707" s="98">
        <v>648.88900000000001</v>
      </c>
      <c r="E707" s="98">
        <v>1</v>
      </c>
      <c r="F707" s="98" t="s">
        <v>23</v>
      </c>
      <c r="G707" s="98" t="s">
        <v>23</v>
      </c>
      <c r="H707" s="98">
        <v>0</v>
      </c>
      <c r="I707" s="98">
        <v>0</v>
      </c>
      <c r="K707" s="98">
        <v>0.57778870900000001</v>
      </c>
      <c r="L707" s="98">
        <v>0</v>
      </c>
      <c r="M707" s="98">
        <v>0.57752337499999995</v>
      </c>
      <c r="N707" s="98">
        <v>0</v>
      </c>
      <c r="O707" s="99" t="s">
        <v>570</v>
      </c>
    </row>
    <row r="708" spans="1:15" x14ac:dyDescent="0.25">
      <c r="A708" s="98" t="s">
        <v>55</v>
      </c>
      <c r="B708" s="98" t="s">
        <v>96</v>
      </c>
      <c r="C708" s="98">
        <v>648.89</v>
      </c>
      <c r="D708" s="98">
        <v>850</v>
      </c>
      <c r="E708" s="98">
        <v>0.01</v>
      </c>
      <c r="F708" s="98" t="s">
        <v>23</v>
      </c>
      <c r="G708" s="98" t="s">
        <v>23</v>
      </c>
      <c r="H708" s="98">
        <v>0</v>
      </c>
      <c r="I708" s="98">
        <v>0</v>
      </c>
      <c r="K708" s="98">
        <v>1.9744199E-2</v>
      </c>
      <c r="L708" s="98">
        <v>0</v>
      </c>
      <c r="M708" s="98">
        <v>1.8879818999999999E-2</v>
      </c>
      <c r="N708" s="98">
        <v>0</v>
      </c>
      <c r="O708" s="99" t="s">
        <v>571</v>
      </c>
    </row>
    <row r="709" spans="1:15" x14ac:dyDescent="0.25">
      <c r="A709" s="98" t="s">
        <v>55</v>
      </c>
      <c r="B709" s="98" t="s">
        <v>96</v>
      </c>
      <c r="C709" s="98">
        <v>648.89</v>
      </c>
      <c r="D709" s="98">
        <v>850</v>
      </c>
      <c r="E709" s="98">
        <v>0.1</v>
      </c>
      <c r="F709" s="98" t="s">
        <v>23</v>
      </c>
      <c r="G709" s="98" t="s">
        <v>23</v>
      </c>
      <c r="H709" s="98">
        <v>0</v>
      </c>
      <c r="I709" s="98">
        <v>0</v>
      </c>
      <c r="K709" s="98">
        <v>6.1562903000000002E-2</v>
      </c>
      <c r="L709" s="98">
        <v>0</v>
      </c>
      <c r="M709" s="98">
        <v>6.0468567000000001E-2</v>
      </c>
      <c r="N709" s="98">
        <v>0</v>
      </c>
      <c r="O709" s="99" t="s">
        <v>572</v>
      </c>
    </row>
    <row r="710" spans="1:15" x14ac:dyDescent="0.25">
      <c r="A710" s="98" t="s">
        <v>55</v>
      </c>
      <c r="B710" s="98" t="s">
        <v>96</v>
      </c>
      <c r="C710" s="98">
        <v>648.89</v>
      </c>
      <c r="D710" s="98">
        <v>850</v>
      </c>
      <c r="E710" s="98">
        <v>1</v>
      </c>
      <c r="F710" s="98" t="s">
        <v>23</v>
      </c>
      <c r="G710" s="98" t="s">
        <v>23</v>
      </c>
      <c r="H710" s="98">
        <v>0</v>
      </c>
      <c r="I710" s="98">
        <v>0</v>
      </c>
      <c r="K710" s="98">
        <v>0.57809222500000002</v>
      </c>
      <c r="L710" s="98">
        <v>0</v>
      </c>
      <c r="M710" s="98">
        <v>0.57763002699999999</v>
      </c>
      <c r="N710" s="98">
        <v>0</v>
      </c>
      <c r="O710" s="99" t="s">
        <v>573</v>
      </c>
    </row>
    <row r="711" spans="1:15" x14ac:dyDescent="0.25">
      <c r="A711" s="98" t="s">
        <v>55</v>
      </c>
      <c r="B711" s="98" t="s">
        <v>97</v>
      </c>
      <c r="C711" s="98">
        <v>-195.6</v>
      </c>
      <c r="D711" s="98">
        <v>0</v>
      </c>
      <c r="E711" s="98">
        <v>0.01</v>
      </c>
      <c r="F711" s="98" t="s">
        <v>23</v>
      </c>
      <c r="G711" s="98" t="s">
        <v>23</v>
      </c>
      <c r="H711" s="98">
        <v>0</v>
      </c>
      <c r="I711" s="98">
        <v>0</v>
      </c>
      <c r="K711" s="98">
        <v>6.9514520000000003E-3</v>
      </c>
      <c r="L711" s="98">
        <v>0</v>
      </c>
      <c r="M711" s="98">
        <v>6.5655269999999998E-3</v>
      </c>
      <c r="N711" s="98">
        <v>0</v>
      </c>
      <c r="O711" s="99" t="s">
        <v>544</v>
      </c>
    </row>
    <row r="712" spans="1:15" x14ac:dyDescent="0.25">
      <c r="A712" s="98" t="s">
        <v>55</v>
      </c>
      <c r="B712" s="98" t="s">
        <v>97</v>
      </c>
      <c r="C712" s="98">
        <v>-195.6</v>
      </c>
      <c r="D712" s="98">
        <v>0</v>
      </c>
      <c r="E712" s="98">
        <v>0.1</v>
      </c>
      <c r="F712" s="98" t="s">
        <v>23</v>
      </c>
      <c r="G712" s="98" t="s">
        <v>23</v>
      </c>
      <c r="H712" s="98">
        <v>0</v>
      </c>
      <c r="I712" s="98">
        <v>0</v>
      </c>
      <c r="K712" s="98">
        <v>5.7999760999999997E-2</v>
      </c>
      <c r="L712" s="98">
        <v>0</v>
      </c>
      <c r="M712" s="98">
        <v>5.7819599999999999E-2</v>
      </c>
      <c r="N712" s="98">
        <v>0</v>
      </c>
      <c r="O712" s="99" t="s">
        <v>545</v>
      </c>
    </row>
    <row r="713" spans="1:15" x14ac:dyDescent="0.25">
      <c r="A713" s="98" t="s">
        <v>55</v>
      </c>
      <c r="B713" s="98" t="s">
        <v>97</v>
      </c>
      <c r="C713" s="98">
        <v>-195.6</v>
      </c>
      <c r="D713" s="98">
        <v>0</v>
      </c>
      <c r="E713" s="98">
        <v>1</v>
      </c>
      <c r="F713" s="98" t="s">
        <v>23</v>
      </c>
      <c r="G713" s="98" t="s">
        <v>23</v>
      </c>
      <c r="H713" s="98">
        <v>0</v>
      </c>
      <c r="I713" s="98">
        <v>0</v>
      </c>
      <c r="K713" s="98">
        <v>0.57743100999999997</v>
      </c>
      <c r="L713" s="98">
        <v>0</v>
      </c>
      <c r="M713" s="98">
        <v>0.57735873299999996</v>
      </c>
      <c r="N713" s="98">
        <v>0</v>
      </c>
      <c r="O713" s="99" t="s">
        <v>546</v>
      </c>
    </row>
    <row r="714" spans="1:15" x14ac:dyDescent="0.25">
      <c r="A714" s="98" t="s">
        <v>55</v>
      </c>
      <c r="B714" s="98" t="s">
        <v>97</v>
      </c>
      <c r="C714" s="98">
        <v>1E-3</v>
      </c>
      <c r="D714" s="98">
        <v>204.44399999999999</v>
      </c>
      <c r="E714" s="98">
        <v>0.01</v>
      </c>
      <c r="F714" s="98" t="s">
        <v>23</v>
      </c>
      <c r="G714" s="98" t="s">
        <v>23</v>
      </c>
      <c r="H714" s="98">
        <v>0</v>
      </c>
      <c r="I714" s="98">
        <v>0</v>
      </c>
      <c r="K714" s="98">
        <v>9.7193209999999995E-3</v>
      </c>
      <c r="L714" s="98">
        <v>0</v>
      </c>
      <c r="M714" s="98">
        <v>9.3614249999999996E-3</v>
      </c>
      <c r="N714" s="98">
        <v>0</v>
      </c>
      <c r="O714" s="99" t="s">
        <v>547</v>
      </c>
    </row>
    <row r="715" spans="1:15" x14ac:dyDescent="0.25">
      <c r="A715" s="98" t="s">
        <v>55</v>
      </c>
      <c r="B715" s="98" t="s">
        <v>97</v>
      </c>
      <c r="C715" s="98">
        <v>1E-3</v>
      </c>
      <c r="D715" s="98">
        <v>204.44399999999999</v>
      </c>
      <c r="E715" s="98">
        <v>0.1</v>
      </c>
      <c r="F715" s="98" t="s">
        <v>23</v>
      </c>
      <c r="G715" s="98" t="s">
        <v>23</v>
      </c>
      <c r="H715" s="98">
        <v>0</v>
      </c>
      <c r="I715" s="98">
        <v>0</v>
      </c>
      <c r="K715" s="98">
        <v>5.8437589999999998E-2</v>
      </c>
      <c r="L715" s="98">
        <v>0</v>
      </c>
      <c r="M715" s="98">
        <v>5.8203404E-2</v>
      </c>
      <c r="N715" s="98">
        <v>0</v>
      </c>
      <c r="O715" s="99" t="s">
        <v>548</v>
      </c>
    </row>
    <row r="716" spans="1:15" x14ac:dyDescent="0.25">
      <c r="A716" s="98" t="s">
        <v>55</v>
      </c>
      <c r="B716" s="98" t="s">
        <v>97</v>
      </c>
      <c r="C716" s="98">
        <v>1E-3</v>
      </c>
      <c r="D716" s="98">
        <v>204.44399999999999</v>
      </c>
      <c r="E716" s="98">
        <v>1</v>
      </c>
      <c r="F716" s="98" t="s">
        <v>23</v>
      </c>
      <c r="G716" s="98" t="s">
        <v>23</v>
      </c>
      <c r="H716" s="98">
        <v>0</v>
      </c>
      <c r="I716" s="98">
        <v>0</v>
      </c>
      <c r="K716" s="98">
        <v>0.57749190399999994</v>
      </c>
      <c r="L716" s="98">
        <v>0</v>
      </c>
      <c r="M716" s="98">
        <v>0.57739729500000003</v>
      </c>
      <c r="N716" s="98">
        <v>0</v>
      </c>
      <c r="O716" s="99" t="s">
        <v>549</v>
      </c>
    </row>
    <row r="717" spans="1:15" x14ac:dyDescent="0.25">
      <c r="A717" s="98" t="s">
        <v>55</v>
      </c>
      <c r="B717" s="98" t="s">
        <v>97</v>
      </c>
      <c r="C717" s="98">
        <v>204.44499999999999</v>
      </c>
      <c r="D717" s="98">
        <v>426.66699999999997</v>
      </c>
      <c r="E717" s="98">
        <v>0.01</v>
      </c>
      <c r="F717" s="98" t="s">
        <v>23</v>
      </c>
      <c r="G717" s="98" t="s">
        <v>23</v>
      </c>
      <c r="H717" s="98">
        <v>0</v>
      </c>
      <c r="I717" s="98">
        <v>0</v>
      </c>
      <c r="K717" s="98">
        <v>1.176788E-2</v>
      </c>
      <c r="L717" s="98">
        <v>0</v>
      </c>
      <c r="M717" s="98">
        <v>1.1474061000000001E-2</v>
      </c>
      <c r="N717" s="98">
        <v>0</v>
      </c>
      <c r="O717" s="99" t="s">
        <v>550</v>
      </c>
    </row>
    <row r="718" spans="1:15" x14ac:dyDescent="0.25">
      <c r="A718" s="98" t="s">
        <v>55</v>
      </c>
      <c r="B718" s="98" t="s">
        <v>97</v>
      </c>
      <c r="C718" s="98">
        <v>204.44499999999999</v>
      </c>
      <c r="D718" s="98">
        <v>426.66699999999997</v>
      </c>
      <c r="E718" s="98">
        <v>0.1</v>
      </c>
      <c r="F718" s="98" t="s">
        <v>23</v>
      </c>
      <c r="G718" s="98" t="s">
        <v>23</v>
      </c>
      <c r="H718" s="98">
        <v>0</v>
      </c>
      <c r="I718" s="98">
        <v>0</v>
      </c>
      <c r="K718" s="98">
        <v>5.8813007E-2</v>
      </c>
      <c r="L718" s="98">
        <v>0</v>
      </c>
      <c r="M718" s="98">
        <v>5.8580321999999997E-2</v>
      </c>
      <c r="N718" s="98">
        <v>0</v>
      </c>
      <c r="O718" s="99" t="s">
        <v>551</v>
      </c>
    </row>
    <row r="719" spans="1:15" x14ac:dyDescent="0.25">
      <c r="A719" s="98" t="s">
        <v>55</v>
      </c>
      <c r="B719" s="98" t="s">
        <v>97</v>
      </c>
      <c r="C719" s="98">
        <v>204.44499999999999</v>
      </c>
      <c r="D719" s="98">
        <v>426.66699999999997</v>
      </c>
      <c r="E719" s="98">
        <v>1</v>
      </c>
      <c r="F719" s="98" t="s">
        <v>23</v>
      </c>
      <c r="G719" s="98" t="s">
        <v>23</v>
      </c>
      <c r="H719" s="98">
        <v>0</v>
      </c>
      <c r="I719" s="98">
        <v>0</v>
      </c>
      <c r="K719" s="98">
        <v>0.57753001400000004</v>
      </c>
      <c r="L719" s="98">
        <v>0</v>
      </c>
      <c r="M719" s="98">
        <v>0.57743541099999995</v>
      </c>
      <c r="N719" s="98">
        <v>0</v>
      </c>
      <c r="O719" s="99" t="s">
        <v>552</v>
      </c>
    </row>
    <row r="720" spans="1:15" x14ac:dyDescent="0.25">
      <c r="A720" s="98" t="s">
        <v>55</v>
      </c>
      <c r="B720" s="98" t="s">
        <v>97</v>
      </c>
      <c r="C720" s="98">
        <v>426.66800000000001</v>
      </c>
      <c r="D720" s="98">
        <v>648.88900000000001</v>
      </c>
      <c r="E720" s="98">
        <v>0.01</v>
      </c>
      <c r="F720" s="98" t="s">
        <v>23</v>
      </c>
      <c r="G720" s="98" t="s">
        <v>23</v>
      </c>
      <c r="H720" s="98">
        <v>0</v>
      </c>
      <c r="I720" s="98">
        <v>0</v>
      </c>
      <c r="K720" s="98">
        <v>1.5791868000000001E-2</v>
      </c>
      <c r="L720" s="98">
        <v>0</v>
      </c>
      <c r="M720" s="98">
        <v>1.517314E-2</v>
      </c>
      <c r="N720" s="98">
        <v>0</v>
      </c>
      <c r="O720" s="99" t="s">
        <v>553</v>
      </c>
    </row>
    <row r="721" spans="1:15" x14ac:dyDescent="0.25">
      <c r="A721" s="98" t="s">
        <v>55</v>
      </c>
      <c r="B721" s="98" t="s">
        <v>97</v>
      </c>
      <c r="C721" s="98">
        <v>426.66800000000001</v>
      </c>
      <c r="D721" s="98">
        <v>648.88900000000001</v>
      </c>
      <c r="E721" s="98">
        <v>0.1</v>
      </c>
      <c r="F721" s="98" t="s">
        <v>23</v>
      </c>
      <c r="G721" s="98" t="s">
        <v>23</v>
      </c>
      <c r="H721" s="98">
        <v>0</v>
      </c>
      <c r="I721" s="98">
        <v>0</v>
      </c>
      <c r="K721" s="98">
        <v>6.0057138000000003E-2</v>
      </c>
      <c r="L721" s="98">
        <v>0</v>
      </c>
      <c r="M721" s="98">
        <v>5.941569E-2</v>
      </c>
      <c r="N721" s="98">
        <v>0</v>
      </c>
      <c r="O721" s="99" t="s">
        <v>554</v>
      </c>
    </row>
    <row r="722" spans="1:15" x14ac:dyDescent="0.25">
      <c r="A722" s="98" t="s">
        <v>55</v>
      </c>
      <c r="B722" s="98" t="s">
        <v>97</v>
      </c>
      <c r="C722" s="98">
        <v>426.66800000000001</v>
      </c>
      <c r="D722" s="98">
        <v>648.88900000000001</v>
      </c>
      <c r="E722" s="98">
        <v>1</v>
      </c>
      <c r="F722" s="98" t="s">
        <v>23</v>
      </c>
      <c r="G722" s="98" t="s">
        <v>23</v>
      </c>
      <c r="H722" s="98">
        <v>0</v>
      </c>
      <c r="I722" s="98">
        <v>0</v>
      </c>
      <c r="K722" s="98">
        <v>0.577786091</v>
      </c>
      <c r="L722" s="98">
        <v>0</v>
      </c>
      <c r="M722" s="98">
        <v>0.57752075599999997</v>
      </c>
      <c r="N722" s="98">
        <v>0</v>
      </c>
      <c r="O722" s="99" t="s">
        <v>555</v>
      </c>
    </row>
    <row r="723" spans="1:15" x14ac:dyDescent="0.25">
      <c r="A723" s="98" t="s">
        <v>55</v>
      </c>
      <c r="B723" s="98" t="s">
        <v>97</v>
      </c>
      <c r="C723" s="98">
        <v>648.89</v>
      </c>
      <c r="D723" s="98">
        <v>850</v>
      </c>
      <c r="E723" s="98">
        <v>0.01</v>
      </c>
      <c r="F723" s="98" t="s">
        <v>23</v>
      </c>
      <c r="G723" s="98" t="s">
        <v>23</v>
      </c>
      <c r="H723" s="98">
        <v>0</v>
      </c>
      <c r="I723" s="98">
        <v>0</v>
      </c>
      <c r="K723" s="98">
        <v>1.9042103000000001E-2</v>
      </c>
      <c r="L723" s="98">
        <v>0</v>
      </c>
      <c r="M723" s="98">
        <v>1.8733275000000001E-2</v>
      </c>
      <c r="N723" s="98">
        <v>0</v>
      </c>
      <c r="O723" s="99" t="s">
        <v>556</v>
      </c>
    </row>
    <row r="724" spans="1:15" x14ac:dyDescent="0.25">
      <c r="A724" s="98" t="s">
        <v>55</v>
      </c>
      <c r="B724" s="98" t="s">
        <v>97</v>
      </c>
      <c r="C724" s="98">
        <v>648.89</v>
      </c>
      <c r="D724" s="98">
        <v>850</v>
      </c>
      <c r="E724" s="98">
        <v>0.1</v>
      </c>
      <c r="F724" s="98" t="s">
        <v>23</v>
      </c>
      <c r="G724" s="98" t="s">
        <v>23</v>
      </c>
      <c r="H724" s="98">
        <v>0</v>
      </c>
      <c r="I724" s="98">
        <v>0</v>
      </c>
      <c r="K724" s="98">
        <v>6.0807893000000002E-2</v>
      </c>
      <c r="L724" s="98">
        <v>0</v>
      </c>
      <c r="M724" s="98">
        <v>6.0422971999999998E-2</v>
      </c>
      <c r="N724" s="98">
        <v>0</v>
      </c>
      <c r="O724" s="99" t="s">
        <v>557</v>
      </c>
    </row>
    <row r="725" spans="1:15" x14ac:dyDescent="0.25">
      <c r="A725" s="98" t="s">
        <v>55</v>
      </c>
      <c r="B725" s="98" t="s">
        <v>97</v>
      </c>
      <c r="C725" s="98">
        <v>648.89</v>
      </c>
      <c r="D725" s="98">
        <v>850</v>
      </c>
      <c r="E725" s="98">
        <v>1</v>
      </c>
      <c r="F725" s="98" t="s">
        <v>23</v>
      </c>
      <c r="G725" s="98" t="s">
        <v>23</v>
      </c>
      <c r="H725" s="98">
        <v>0</v>
      </c>
      <c r="I725" s="98">
        <v>0</v>
      </c>
      <c r="K725" s="98">
        <v>0.57778680599999999</v>
      </c>
      <c r="L725" s="98">
        <v>0</v>
      </c>
      <c r="M725" s="98">
        <v>0.57762525499999995</v>
      </c>
      <c r="N725" s="98">
        <v>0</v>
      </c>
      <c r="O725" s="99" t="s">
        <v>558</v>
      </c>
    </row>
    <row r="726" spans="1:15" x14ac:dyDescent="0.25">
      <c r="A726" s="98" t="s">
        <v>55</v>
      </c>
      <c r="B726" s="98" t="s">
        <v>93</v>
      </c>
      <c r="C726" s="98">
        <v>-50</v>
      </c>
      <c r="D726" s="98">
        <v>-1E-3</v>
      </c>
      <c r="E726" s="98">
        <v>0.1</v>
      </c>
      <c r="F726" s="98" t="s">
        <v>23</v>
      </c>
      <c r="G726" s="98" t="s">
        <v>23</v>
      </c>
      <c r="H726" s="98">
        <v>0</v>
      </c>
      <c r="I726" s="98">
        <v>0</v>
      </c>
      <c r="K726" s="98">
        <v>0.150846182</v>
      </c>
      <c r="L726" s="98">
        <v>0</v>
      </c>
      <c r="M726" s="98">
        <v>0.13393649299999999</v>
      </c>
      <c r="N726" s="98">
        <v>0</v>
      </c>
      <c r="O726" s="99" t="s">
        <v>536</v>
      </c>
    </row>
    <row r="727" spans="1:15" x14ac:dyDescent="0.25">
      <c r="A727" s="98" t="s">
        <v>55</v>
      </c>
      <c r="B727" s="98" t="s">
        <v>93</v>
      </c>
      <c r="C727" s="98">
        <v>-50</v>
      </c>
      <c r="D727" s="98">
        <v>-1E-3</v>
      </c>
      <c r="E727" s="98">
        <v>1</v>
      </c>
      <c r="F727" s="98" t="s">
        <v>23</v>
      </c>
      <c r="G727" s="98" t="s">
        <v>23</v>
      </c>
      <c r="H727" s="98">
        <v>0</v>
      </c>
      <c r="I727" s="98">
        <v>0</v>
      </c>
      <c r="K727" s="98">
        <v>0.605971394</v>
      </c>
      <c r="L727" s="98">
        <v>0</v>
      </c>
      <c r="M727" s="98">
        <v>0.58986353000000002</v>
      </c>
      <c r="N727" s="98">
        <v>0</v>
      </c>
      <c r="O727" s="99" t="s">
        <v>537</v>
      </c>
    </row>
    <row r="728" spans="1:15" x14ac:dyDescent="0.25">
      <c r="A728" s="98" t="s">
        <v>55</v>
      </c>
      <c r="B728" s="98" t="s">
        <v>93</v>
      </c>
      <c r="C728" s="98">
        <v>0</v>
      </c>
      <c r="D728" s="98">
        <v>593</v>
      </c>
      <c r="E728" s="98">
        <v>0.1</v>
      </c>
      <c r="F728" s="98" t="s">
        <v>23</v>
      </c>
      <c r="G728" s="98" t="s">
        <v>23</v>
      </c>
      <c r="H728" s="98">
        <v>0</v>
      </c>
      <c r="I728" s="98">
        <v>0</v>
      </c>
      <c r="K728" s="98">
        <v>0.11485242499999999</v>
      </c>
      <c r="L728" s="98">
        <v>0</v>
      </c>
      <c r="M728" s="98">
        <v>9.1517720999999996E-2</v>
      </c>
      <c r="N728" s="98">
        <v>0</v>
      </c>
      <c r="O728" s="99" t="s">
        <v>538</v>
      </c>
    </row>
    <row r="729" spans="1:15" x14ac:dyDescent="0.25">
      <c r="A729" s="98" t="s">
        <v>55</v>
      </c>
      <c r="B729" s="98" t="s">
        <v>93</v>
      </c>
      <c r="C729" s="98">
        <v>0</v>
      </c>
      <c r="D729" s="98">
        <v>593</v>
      </c>
      <c r="E729" s="98">
        <v>1</v>
      </c>
      <c r="F729" s="98" t="s">
        <v>23</v>
      </c>
      <c r="G729" s="98" t="s">
        <v>23</v>
      </c>
      <c r="H729" s="98">
        <v>0</v>
      </c>
      <c r="I729" s="98">
        <v>0</v>
      </c>
      <c r="K729" s="98">
        <v>0.59802829300000004</v>
      </c>
      <c r="L729" s="98">
        <v>0</v>
      </c>
      <c r="M729" s="98">
        <v>0.581700518</v>
      </c>
      <c r="N729" s="98">
        <v>0</v>
      </c>
      <c r="O729" s="99" t="s">
        <v>539</v>
      </c>
    </row>
    <row r="730" spans="1:15" x14ac:dyDescent="0.25">
      <c r="A730" s="98" t="s">
        <v>55</v>
      </c>
      <c r="B730" s="98" t="s">
        <v>93</v>
      </c>
      <c r="C730" s="98">
        <v>593.00099999999998</v>
      </c>
      <c r="D730" s="98">
        <v>1204</v>
      </c>
      <c r="E730" s="98">
        <v>0.1</v>
      </c>
      <c r="F730" s="98" t="s">
        <v>23</v>
      </c>
      <c r="G730" s="98" t="s">
        <v>23</v>
      </c>
      <c r="H730" s="98">
        <v>0</v>
      </c>
      <c r="I730" s="98">
        <v>0</v>
      </c>
      <c r="K730" s="98">
        <v>0.100632445</v>
      </c>
      <c r="L730" s="98">
        <v>0</v>
      </c>
      <c r="M730" s="98">
        <v>7.7848530999999999E-2</v>
      </c>
      <c r="N730" s="98">
        <v>0</v>
      </c>
      <c r="O730" s="99" t="s">
        <v>540</v>
      </c>
    </row>
    <row r="731" spans="1:15" x14ac:dyDescent="0.25">
      <c r="A731" s="98" t="s">
        <v>55</v>
      </c>
      <c r="B731" s="98" t="s">
        <v>93</v>
      </c>
      <c r="C731" s="98">
        <v>593.00099999999998</v>
      </c>
      <c r="D731" s="98">
        <v>1204</v>
      </c>
      <c r="E731" s="98">
        <v>1</v>
      </c>
      <c r="F731" s="98" t="s">
        <v>23</v>
      </c>
      <c r="G731" s="98" t="s">
        <v>23</v>
      </c>
      <c r="H731" s="98">
        <v>0</v>
      </c>
      <c r="I731" s="98">
        <v>0</v>
      </c>
      <c r="K731" s="98">
        <v>0.59357086699999995</v>
      </c>
      <c r="L731" s="98">
        <v>0</v>
      </c>
      <c r="M731" s="98">
        <v>0.57970716200000005</v>
      </c>
      <c r="N731" s="98">
        <v>0</v>
      </c>
      <c r="O731" s="99" t="s">
        <v>541</v>
      </c>
    </row>
    <row r="732" spans="1:15" x14ac:dyDescent="0.25">
      <c r="A732" s="98" t="s">
        <v>55</v>
      </c>
      <c r="B732" s="98" t="s">
        <v>93</v>
      </c>
      <c r="C732" s="98">
        <v>1204.001</v>
      </c>
      <c r="D732" s="98">
        <v>1768</v>
      </c>
      <c r="E732" s="98">
        <v>0.1</v>
      </c>
      <c r="F732" s="98" t="s">
        <v>23</v>
      </c>
      <c r="G732" s="98" t="s">
        <v>23</v>
      </c>
      <c r="H732" s="98">
        <v>0</v>
      </c>
      <c r="I732" s="98">
        <v>0</v>
      </c>
      <c r="K732" s="98">
        <v>0.108719156</v>
      </c>
      <c r="L732" s="98">
        <v>0</v>
      </c>
      <c r="M732" s="98">
        <v>8.8053164000000003E-2</v>
      </c>
      <c r="N732" s="98">
        <v>0</v>
      </c>
      <c r="O732" s="99" t="s">
        <v>542</v>
      </c>
    </row>
    <row r="733" spans="1:15" x14ac:dyDescent="0.25">
      <c r="A733" s="98" t="s">
        <v>55</v>
      </c>
      <c r="B733" s="98" t="s">
        <v>93</v>
      </c>
      <c r="C733" s="98">
        <v>1204.001</v>
      </c>
      <c r="D733" s="98">
        <v>1768</v>
      </c>
      <c r="E733" s="98">
        <v>1</v>
      </c>
      <c r="F733" s="98" t="s">
        <v>23</v>
      </c>
      <c r="G733" s="98" t="s">
        <v>23</v>
      </c>
      <c r="H733" s="98">
        <v>0</v>
      </c>
      <c r="I733" s="98">
        <v>0</v>
      </c>
      <c r="K733" s="98">
        <v>0.59499524400000003</v>
      </c>
      <c r="L733" s="98">
        <v>0</v>
      </c>
      <c r="M733" s="98">
        <v>0.58116551800000005</v>
      </c>
      <c r="N733" s="98">
        <v>0</v>
      </c>
      <c r="O733" s="99" t="s">
        <v>543</v>
      </c>
    </row>
    <row r="734" spans="1:15" x14ac:dyDescent="0.25">
      <c r="A734" s="98" t="s">
        <v>55</v>
      </c>
      <c r="B734" s="98" t="s">
        <v>94</v>
      </c>
      <c r="C734" s="98">
        <v>-50</v>
      </c>
      <c r="D734" s="98">
        <v>-1E-3</v>
      </c>
      <c r="E734" s="98">
        <v>0.1</v>
      </c>
      <c r="F734" s="98" t="s">
        <v>23</v>
      </c>
      <c r="G734" s="98" t="s">
        <v>23</v>
      </c>
      <c r="H734" s="98">
        <v>0</v>
      </c>
      <c r="I734" s="98">
        <v>0</v>
      </c>
      <c r="K734" s="98">
        <v>0.13149422599999999</v>
      </c>
      <c r="L734" s="98">
        <v>0</v>
      </c>
      <c r="M734" s="98">
        <v>0.111692189</v>
      </c>
      <c r="N734" s="98">
        <v>0</v>
      </c>
      <c r="O734" s="99" t="s">
        <v>528</v>
      </c>
    </row>
    <row r="735" spans="1:15" x14ac:dyDescent="0.25">
      <c r="A735" s="98" t="s">
        <v>55</v>
      </c>
      <c r="B735" s="98" t="s">
        <v>94</v>
      </c>
      <c r="C735" s="98">
        <v>-50</v>
      </c>
      <c r="D735" s="98">
        <v>-1E-3</v>
      </c>
      <c r="E735" s="98">
        <v>1</v>
      </c>
      <c r="F735" s="98" t="s">
        <v>23</v>
      </c>
      <c r="G735" s="98" t="s">
        <v>23</v>
      </c>
      <c r="H735" s="98">
        <v>0</v>
      </c>
      <c r="I735" s="98">
        <v>0</v>
      </c>
      <c r="K735" s="98">
        <v>0.601446166</v>
      </c>
      <c r="L735" s="98">
        <v>0</v>
      </c>
      <c r="M735" s="98">
        <v>0.58521376000000003</v>
      </c>
      <c r="N735" s="98">
        <v>0</v>
      </c>
      <c r="O735" s="99" t="s">
        <v>529</v>
      </c>
    </row>
    <row r="736" spans="1:15" x14ac:dyDescent="0.25">
      <c r="A736" s="98" t="s">
        <v>55</v>
      </c>
      <c r="B736" s="98" t="s">
        <v>94</v>
      </c>
      <c r="C736" s="98">
        <v>0</v>
      </c>
      <c r="D736" s="98">
        <v>593</v>
      </c>
      <c r="E736" s="98">
        <v>0.1</v>
      </c>
      <c r="F736" s="98" t="s">
        <v>23</v>
      </c>
      <c r="G736" s="98" t="s">
        <v>23</v>
      </c>
      <c r="H736" s="98">
        <v>0</v>
      </c>
      <c r="I736" s="98">
        <v>0</v>
      </c>
      <c r="K736" s="98">
        <v>0.109757297</v>
      </c>
      <c r="L736" s="98">
        <v>0</v>
      </c>
      <c r="M736" s="98">
        <v>8.5662658000000003E-2</v>
      </c>
      <c r="N736" s="98">
        <v>0</v>
      </c>
      <c r="O736" s="99" t="s">
        <v>530</v>
      </c>
    </row>
    <row r="737" spans="1:15" x14ac:dyDescent="0.25">
      <c r="A737" s="98" t="s">
        <v>55</v>
      </c>
      <c r="B737" s="98" t="s">
        <v>94</v>
      </c>
      <c r="C737" s="98">
        <v>0</v>
      </c>
      <c r="D737" s="98">
        <v>593</v>
      </c>
      <c r="E737" s="98">
        <v>1</v>
      </c>
      <c r="F737" s="98" t="s">
        <v>23</v>
      </c>
      <c r="G737" s="98" t="s">
        <v>23</v>
      </c>
      <c r="H737" s="98">
        <v>0</v>
      </c>
      <c r="I737" s="98">
        <v>0</v>
      </c>
      <c r="K737" s="98">
        <v>0.59680179700000002</v>
      </c>
      <c r="L737" s="98">
        <v>0</v>
      </c>
      <c r="M737" s="98">
        <v>0.58080813600000003</v>
      </c>
      <c r="N737" s="98">
        <v>0</v>
      </c>
      <c r="O737" s="99" t="s">
        <v>531</v>
      </c>
    </row>
    <row r="738" spans="1:15" x14ac:dyDescent="0.25">
      <c r="A738" s="98" t="s">
        <v>55</v>
      </c>
      <c r="B738" s="98" t="s">
        <v>94</v>
      </c>
      <c r="C738" s="98">
        <v>593.00099999999998</v>
      </c>
      <c r="D738" s="98">
        <v>1204</v>
      </c>
      <c r="E738" s="98">
        <v>0.1</v>
      </c>
      <c r="F738" s="98" t="s">
        <v>23</v>
      </c>
      <c r="G738" s="98" t="s">
        <v>23</v>
      </c>
      <c r="H738" s="98">
        <v>0</v>
      </c>
      <c r="I738" s="98">
        <v>0</v>
      </c>
      <c r="K738" s="98">
        <v>0.100632445</v>
      </c>
      <c r="L738" s="98">
        <v>0</v>
      </c>
      <c r="M738" s="98">
        <v>7.9868484000000003E-2</v>
      </c>
      <c r="N738" s="98">
        <v>0</v>
      </c>
      <c r="O738" s="99" t="s">
        <v>532</v>
      </c>
    </row>
    <row r="739" spans="1:15" x14ac:dyDescent="0.25">
      <c r="A739" s="98" t="s">
        <v>55</v>
      </c>
      <c r="B739" s="98" t="s">
        <v>94</v>
      </c>
      <c r="C739" s="98">
        <v>593.00099999999998</v>
      </c>
      <c r="D739" s="98">
        <v>1204</v>
      </c>
      <c r="E739" s="98">
        <v>1</v>
      </c>
      <c r="F739" s="98" t="s">
        <v>23</v>
      </c>
      <c r="G739" s="98" t="s">
        <v>23</v>
      </c>
      <c r="H739" s="98">
        <v>0</v>
      </c>
      <c r="I739" s="98">
        <v>0</v>
      </c>
      <c r="K739" s="98">
        <v>0.59383916599999997</v>
      </c>
      <c r="L739" s="98">
        <v>0</v>
      </c>
      <c r="M739" s="98">
        <v>0.57998187400000001</v>
      </c>
      <c r="N739" s="98">
        <v>0</v>
      </c>
      <c r="O739" s="99" t="s">
        <v>533</v>
      </c>
    </row>
    <row r="740" spans="1:15" x14ac:dyDescent="0.25">
      <c r="A740" s="98" t="s">
        <v>55</v>
      </c>
      <c r="B740" s="98" t="s">
        <v>94</v>
      </c>
      <c r="C740" s="98">
        <v>1204.001</v>
      </c>
      <c r="D740" s="98">
        <v>1768</v>
      </c>
      <c r="E740" s="98">
        <v>0.1</v>
      </c>
      <c r="F740" s="98" t="s">
        <v>23</v>
      </c>
      <c r="G740" s="98" t="s">
        <v>23</v>
      </c>
      <c r="H740" s="98">
        <v>0</v>
      </c>
      <c r="I740" s="98">
        <v>0</v>
      </c>
      <c r="K740" s="98">
        <v>0.11141328</v>
      </c>
      <c r="L740" s="98">
        <v>0</v>
      </c>
      <c r="M740" s="98">
        <v>9.1358763999999995E-2</v>
      </c>
      <c r="N740" s="98">
        <v>0</v>
      </c>
      <c r="O740" s="99" t="s">
        <v>534</v>
      </c>
    </row>
    <row r="741" spans="1:15" x14ac:dyDescent="0.25">
      <c r="A741" s="98" t="s">
        <v>55</v>
      </c>
      <c r="B741" s="98" t="s">
        <v>94</v>
      </c>
      <c r="C741" s="98">
        <v>1204.001</v>
      </c>
      <c r="D741" s="98">
        <v>1768</v>
      </c>
      <c r="E741" s="98">
        <v>1</v>
      </c>
      <c r="F741" s="98" t="s">
        <v>23</v>
      </c>
      <c r="G741" s="98" t="s">
        <v>23</v>
      </c>
      <c r="H741" s="98">
        <v>0</v>
      </c>
      <c r="I741" s="98">
        <v>0</v>
      </c>
      <c r="K741" s="98">
        <v>0.59549341300000003</v>
      </c>
      <c r="L741" s="98">
        <v>0</v>
      </c>
      <c r="M741" s="98">
        <v>0.58167553100000002</v>
      </c>
      <c r="N741" s="98">
        <v>0</v>
      </c>
      <c r="O741" s="99" t="s">
        <v>535</v>
      </c>
    </row>
    <row r="742" spans="1:15" x14ac:dyDescent="0.25">
      <c r="A742" s="98" t="s">
        <v>55</v>
      </c>
      <c r="B742" s="98" t="s">
        <v>95</v>
      </c>
      <c r="C742" s="98">
        <v>-270</v>
      </c>
      <c r="D742" s="98">
        <v>-240.001</v>
      </c>
      <c r="E742" s="98">
        <v>0.1</v>
      </c>
      <c r="F742" s="98" t="s">
        <v>23</v>
      </c>
      <c r="G742" s="98" t="s">
        <v>23</v>
      </c>
      <c r="H742" s="98">
        <v>0</v>
      </c>
      <c r="I742" s="98">
        <v>0</v>
      </c>
      <c r="K742" s="98">
        <v>0.24590050099999999</v>
      </c>
      <c r="L742" s="98">
        <v>0</v>
      </c>
      <c r="M742" s="98">
        <v>0.234882761</v>
      </c>
      <c r="N742" s="98">
        <v>0</v>
      </c>
      <c r="O742" s="99" t="s">
        <v>522</v>
      </c>
    </row>
    <row r="743" spans="1:15" x14ac:dyDescent="0.25">
      <c r="A743" s="98" t="s">
        <v>55</v>
      </c>
      <c r="B743" s="98" t="s">
        <v>95</v>
      </c>
      <c r="C743" s="98">
        <v>-270</v>
      </c>
      <c r="D743" s="98">
        <v>-240.001</v>
      </c>
      <c r="E743" s="98">
        <v>1</v>
      </c>
      <c r="F743" s="98" t="s">
        <v>23</v>
      </c>
      <c r="G743" s="98" t="s">
        <v>23</v>
      </c>
      <c r="H743" s="98">
        <v>0</v>
      </c>
      <c r="I743" s="98">
        <v>0</v>
      </c>
      <c r="K743" s="98">
        <v>0.63746254099999999</v>
      </c>
      <c r="L743" s="98">
        <v>0</v>
      </c>
      <c r="M743" s="98">
        <v>0.62062058600000003</v>
      </c>
      <c r="N743" s="98">
        <v>0</v>
      </c>
      <c r="O743" s="99" t="s">
        <v>523</v>
      </c>
    </row>
    <row r="744" spans="1:15" x14ac:dyDescent="0.25">
      <c r="A744" s="98" t="s">
        <v>55</v>
      </c>
      <c r="B744" s="98" t="s">
        <v>95</v>
      </c>
      <c r="C744" s="98">
        <v>-240</v>
      </c>
      <c r="D744" s="98">
        <v>92.998999999999995</v>
      </c>
      <c r="E744" s="98">
        <v>0.1</v>
      </c>
      <c r="F744" s="98" t="s">
        <v>23</v>
      </c>
      <c r="G744" s="98" t="s">
        <v>23</v>
      </c>
      <c r="H744" s="98">
        <v>0</v>
      </c>
      <c r="I744" s="98">
        <v>0</v>
      </c>
      <c r="K744" s="98">
        <v>0.108409273</v>
      </c>
      <c r="L744" s="98">
        <v>0</v>
      </c>
      <c r="M744" s="98">
        <v>8.5819788999999994E-2</v>
      </c>
      <c r="N744" s="98">
        <v>0</v>
      </c>
      <c r="O744" s="99" t="s">
        <v>524</v>
      </c>
    </row>
    <row r="745" spans="1:15" x14ac:dyDescent="0.25">
      <c r="A745" s="98" t="s">
        <v>55</v>
      </c>
      <c r="B745" s="98" t="s">
        <v>95</v>
      </c>
      <c r="C745" s="98">
        <v>-240</v>
      </c>
      <c r="D745" s="98">
        <v>92.998999999999995</v>
      </c>
      <c r="E745" s="98">
        <v>1</v>
      </c>
      <c r="F745" s="98" t="s">
        <v>23</v>
      </c>
      <c r="G745" s="98" t="s">
        <v>23</v>
      </c>
      <c r="H745" s="98">
        <v>0</v>
      </c>
      <c r="I745" s="98">
        <v>0</v>
      </c>
      <c r="K745" s="98">
        <v>0.59574757499999997</v>
      </c>
      <c r="L745" s="98">
        <v>0</v>
      </c>
      <c r="M745" s="98">
        <v>0.58083133200000003</v>
      </c>
      <c r="N745" s="98">
        <v>0</v>
      </c>
      <c r="O745" s="99" t="s">
        <v>525</v>
      </c>
    </row>
    <row r="746" spans="1:15" x14ac:dyDescent="0.25">
      <c r="A746" s="98" t="s">
        <v>55</v>
      </c>
      <c r="B746" s="98" t="s">
        <v>95</v>
      </c>
      <c r="C746" s="98">
        <v>93</v>
      </c>
      <c r="D746" s="98">
        <v>400</v>
      </c>
      <c r="E746" s="98">
        <v>0.1</v>
      </c>
      <c r="F746" s="98" t="s">
        <v>23</v>
      </c>
      <c r="G746" s="98" t="s">
        <v>23</v>
      </c>
      <c r="H746" s="98">
        <v>0</v>
      </c>
      <c r="I746" s="98">
        <v>0</v>
      </c>
      <c r="K746" s="98">
        <v>7.6721655999999999E-2</v>
      </c>
      <c r="L746" s="98">
        <v>0</v>
      </c>
      <c r="M746" s="98">
        <v>6.6644854000000003E-2</v>
      </c>
      <c r="N746" s="98">
        <v>0</v>
      </c>
      <c r="O746" s="99" t="s">
        <v>526</v>
      </c>
    </row>
    <row r="747" spans="1:15" x14ac:dyDescent="0.25">
      <c r="A747" s="98" t="s">
        <v>55</v>
      </c>
      <c r="B747" s="98" t="s">
        <v>95</v>
      </c>
      <c r="C747" s="98">
        <v>93</v>
      </c>
      <c r="D747" s="98">
        <v>400</v>
      </c>
      <c r="E747" s="98">
        <v>1</v>
      </c>
      <c r="F747" s="98" t="s">
        <v>23</v>
      </c>
      <c r="G747" s="98" t="s">
        <v>23</v>
      </c>
      <c r="H747" s="98">
        <v>0</v>
      </c>
      <c r="I747" s="98">
        <v>0</v>
      </c>
      <c r="K747" s="98">
        <v>0.58328401299999999</v>
      </c>
      <c r="L747" s="98">
        <v>0</v>
      </c>
      <c r="M747" s="98">
        <v>0.57830920500000005</v>
      </c>
      <c r="N747" s="98">
        <v>0</v>
      </c>
      <c r="O747" s="99" t="s">
        <v>527</v>
      </c>
    </row>
    <row r="748" spans="1:15" x14ac:dyDescent="0.25">
      <c r="A748" s="98" t="s">
        <v>55</v>
      </c>
      <c r="B748" s="98" t="s">
        <v>46</v>
      </c>
      <c r="C748" s="98">
        <v>0</v>
      </c>
      <c r="D748" s="98">
        <v>9.9999999999999995E-8</v>
      </c>
      <c r="E748" s="98">
        <v>9.9999999999999998E-13</v>
      </c>
      <c r="F748" s="98" t="s">
        <v>13</v>
      </c>
      <c r="G748" s="98" t="s">
        <v>70</v>
      </c>
      <c r="H748" s="98">
        <v>0</v>
      </c>
      <c r="I748" s="98">
        <v>0</v>
      </c>
      <c r="K748" s="98">
        <v>4.8000000000000001E-2</v>
      </c>
      <c r="L748" s="98">
        <v>34000</v>
      </c>
      <c r="M748" s="98">
        <v>4.6246000000000002E-2</v>
      </c>
      <c r="N748" s="98">
        <v>34649</v>
      </c>
      <c r="O748" s="99" t="s">
        <v>462</v>
      </c>
    </row>
    <row r="749" spans="1:15" x14ac:dyDescent="0.25">
      <c r="A749" s="98" t="s">
        <v>55</v>
      </c>
      <c r="B749" s="98" t="s">
        <v>46</v>
      </c>
      <c r="C749" s="98">
        <v>0</v>
      </c>
      <c r="D749" s="98">
        <v>9.9999999999999995E-8</v>
      </c>
      <c r="E749" s="98">
        <v>9.9999999999999994E-12</v>
      </c>
      <c r="F749" s="98" t="s">
        <v>13</v>
      </c>
      <c r="G749" s="98" t="s">
        <v>70</v>
      </c>
      <c r="H749" s="98">
        <v>0</v>
      </c>
      <c r="I749" s="98">
        <v>0</v>
      </c>
      <c r="K749" s="98">
        <v>4.8000000000000001E-2</v>
      </c>
      <c r="L749" s="98">
        <v>34000</v>
      </c>
      <c r="M749" s="98">
        <v>4.6600999999999997E-2</v>
      </c>
      <c r="N749" s="98">
        <v>34403</v>
      </c>
      <c r="O749" s="99" t="s">
        <v>463</v>
      </c>
    </row>
    <row r="750" spans="1:15" x14ac:dyDescent="0.25">
      <c r="A750" s="98" t="s">
        <v>55</v>
      </c>
      <c r="B750" s="98" t="s">
        <v>46</v>
      </c>
      <c r="C750" s="98">
        <v>0</v>
      </c>
      <c r="D750" s="98">
        <v>9.9999999999999995E-8</v>
      </c>
      <c r="E750" s="98">
        <v>1E-10</v>
      </c>
      <c r="F750" s="98" t="s">
        <v>13</v>
      </c>
      <c r="G750" s="98" t="s">
        <v>70</v>
      </c>
      <c r="H750" s="98">
        <v>0</v>
      </c>
      <c r="I750" s="98">
        <v>0</v>
      </c>
      <c r="K750" s="98">
        <v>7.4257000000000004E-2</v>
      </c>
      <c r="L750" s="98">
        <v>24027</v>
      </c>
      <c r="M750" s="98">
        <v>7.3969999999999994E-2</v>
      </c>
      <c r="N750" s="98">
        <v>22146</v>
      </c>
      <c r="O750" s="99" t="s">
        <v>464</v>
      </c>
    </row>
    <row r="751" spans="1:15" x14ac:dyDescent="0.25">
      <c r="A751" s="98" t="s">
        <v>55</v>
      </c>
      <c r="B751" s="98" t="s">
        <v>46</v>
      </c>
      <c r="C751" s="98">
        <v>0</v>
      </c>
      <c r="D751" s="98">
        <v>9.9999999999999995E-8</v>
      </c>
      <c r="E751" s="98">
        <v>1.0000000000000001E-9</v>
      </c>
      <c r="F751" s="98" t="s">
        <v>13</v>
      </c>
      <c r="G751" s="98" t="s">
        <v>70</v>
      </c>
      <c r="H751" s="98">
        <v>0</v>
      </c>
      <c r="I751" s="98">
        <v>0</v>
      </c>
      <c r="K751" s="98">
        <v>0.57935000000000003</v>
      </c>
      <c r="L751" s="98">
        <v>3897.9</v>
      </c>
      <c r="M751" s="98">
        <v>0.57920000000000005</v>
      </c>
      <c r="N751" s="98">
        <v>2870.4</v>
      </c>
      <c r="O751" s="99" t="s">
        <v>465</v>
      </c>
    </row>
    <row r="752" spans="1:15" x14ac:dyDescent="0.25">
      <c r="A752" s="98" t="s">
        <v>55</v>
      </c>
      <c r="B752" s="98" t="s">
        <v>46</v>
      </c>
      <c r="C752" s="98">
        <v>0</v>
      </c>
      <c r="D752" s="98">
        <v>9.9999999999999995E-8</v>
      </c>
      <c r="E752" s="98">
        <v>1E-8</v>
      </c>
      <c r="F752" s="98" t="s">
        <v>13</v>
      </c>
      <c r="G752" s="98" t="s">
        <v>70</v>
      </c>
      <c r="H752" s="98">
        <v>0</v>
      </c>
      <c r="I752" s="98">
        <v>0</v>
      </c>
      <c r="K752" s="98">
        <v>5.7737999999999996</v>
      </c>
      <c r="L752" s="98">
        <v>700.9</v>
      </c>
      <c r="M752" s="98">
        <v>5.7736999999999998</v>
      </c>
      <c r="N752" s="98">
        <v>288.02</v>
      </c>
      <c r="O752" s="99" t="s">
        <v>466</v>
      </c>
    </row>
    <row r="753" spans="1:15" x14ac:dyDescent="0.25">
      <c r="A753" s="98" t="s">
        <v>55</v>
      </c>
      <c r="B753" s="98" t="s">
        <v>46</v>
      </c>
      <c r="C753" s="98">
        <v>0</v>
      </c>
      <c r="D753" s="98">
        <v>9.9999999999999995E-8</v>
      </c>
      <c r="E753" s="98">
        <v>9.9999999999999995E-8</v>
      </c>
      <c r="F753" s="98" t="s">
        <v>13</v>
      </c>
      <c r="G753" s="98" t="s">
        <v>70</v>
      </c>
      <c r="H753" s="98">
        <v>0</v>
      </c>
      <c r="I753" s="98">
        <v>0</v>
      </c>
      <c r="K753" s="98">
        <v>57.735999999999997</v>
      </c>
      <c r="L753" s="98">
        <v>193.97</v>
      </c>
      <c r="M753" s="98">
        <v>57.735999999999997</v>
      </c>
      <c r="N753" s="98">
        <v>28.803000000000001</v>
      </c>
      <c r="O753" s="99" t="s">
        <v>467</v>
      </c>
    </row>
    <row r="754" spans="1:15" x14ac:dyDescent="0.25">
      <c r="A754" s="98" t="s">
        <v>55</v>
      </c>
      <c r="B754" s="98" t="s">
        <v>46</v>
      </c>
      <c r="C754" s="98">
        <v>0</v>
      </c>
      <c r="D754" s="98">
        <v>9.9999999999999995E-8</v>
      </c>
      <c r="E754" s="98">
        <v>9.9999999999999995E-7</v>
      </c>
      <c r="F754" s="98" t="s">
        <v>13</v>
      </c>
      <c r="G754" s="98" t="s">
        <v>70</v>
      </c>
      <c r="H754" s="98">
        <v>0</v>
      </c>
      <c r="I754" s="98">
        <v>0</v>
      </c>
      <c r="K754" s="98">
        <v>577.36</v>
      </c>
      <c r="L754" s="98">
        <v>68.944999999999993</v>
      </c>
      <c r="M754" s="98">
        <v>577.36</v>
      </c>
      <c r="N754" s="98">
        <v>2.8803000000000001</v>
      </c>
      <c r="O754" s="99" t="s">
        <v>468</v>
      </c>
    </row>
    <row r="755" spans="1:15" x14ac:dyDescent="0.25">
      <c r="A755" s="98" t="s">
        <v>55</v>
      </c>
      <c r="B755" s="98" t="s">
        <v>46</v>
      </c>
      <c r="C755" s="98">
        <v>0</v>
      </c>
      <c r="D755" s="98">
        <v>9.9999999999999995E-8</v>
      </c>
      <c r="E755" s="98">
        <v>1.0000000000000001E-5</v>
      </c>
      <c r="F755" s="98" t="s">
        <v>13</v>
      </c>
      <c r="G755" s="98" t="s">
        <v>70</v>
      </c>
      <c r="H755" s="98">
        <v>0</v>
      </c>
      <c r="I755" s="98">
        <v>0</v>
      </c>
      <c r="K755" s="98">
        <v>5773.6</v>
      </c>
      <c r="L755" s="98">
        <v>26.713999999999999</v>
      </c>
      <c r="M755" s="98">
        <v>5773.6</v>
      </c>
      <c r="N755" s="98">
        <v>0.28803000000000001</v>
      </c>
      <c r="O755" s="99" t="s">
        <v>469</v>
      </c>
    </row>
    <row r="756" spans="1:15" x14ac:dyDescent="0.25">
      <c r="A756" s="98" t="s">
        <v>55</v>
      </c>
      <c r="B756" s="98" t="s">
        <v>46</v>
      </c>
      <c r="C756" s="98">
        <v>0</v>
      </c>
      <c r="D756" s="98">
        <v>9.9999999999999995E-8</v>
      </c>
      <c r="E756" s="98">
        <v>1E-4</v>
      </c>
      <c r="F756" s="98" t="s">
        <v>13</v>
      </c>
      <c r="G756" s="98" t="s">
        <v>70</v>
      </c>
      <c r="H756" s="98">
        <v>0</v>
      </c>
      <c r="I756" s="98">
        <v>0</v>
      </c>
      <c r="K756" s="98">
        <v>57736</v>
      </c>
      <c r="L756" s="98">
        <v>10.599</v>
      </c>
      <c r="M756" s="98">
        <v>57736</v>
      </c>
      <c r="N756" s="98">
        <v>2.8736000000000001E-2</v>
      </c>
      <c r="O756" s="99" t="s">
        <v>470</v>
      </c>
    </row>
    <row r="757" spans="1:15" x14ac:dyDescent="0.25">
      <c r="A757" s="98" t="s">
        <v>55</v>
      </c>
      <c r="B757" s="98" t="s">
        <v>46</v>
      </c>
      <c r="C757" s="98">
        <v>0</v>
      </c>
      <c r="D757" s="98">
        <v>9.9999999999999995E-8</v>
      </c>
      <c r="E757" s="98">
        <v>1E-3</v>
      </c>
      <c r="F757" s="98" t="s">
        <v>13</v>
      </c>
      <c r="G757" s="98" t="s">
        <v>70</v>
      </c>
      <c r="H757" s="98">
        <v>0</v>
      </c>
      <c r="I757" s="98">
        <v>0</v>
      </c>
      <c r="K757" s="98">
        <v>577360</v>
      </c>
      <c r="L757" s="98">
        <v>4.2309000000000001</v>
      </c>
      <c r="M757" s="98">
        <v>577360</v>
      </c>
      <c r="N757" s="98">
        <v>0</v>
      </c>
      <c r="O757" s="99" t="s">
        <v>471</v>
      </c>
    </row>
    <row r="758" spans="1:15" x14ac:dyDescent="0.25">
      <c r="A758" s="98" t="s">
        <v>55</v>
      </c>
      <c r="B758" s="98" t="s">
        <v>46</v>
      </c>
      <c r="C758" s="98">
        <v>0</v>
      </c>
      <c r="D758" s="98">
        <v>9.9999999999999995E-8</v>
      </c>
      <c r="E758" s="98">
        <v>0.01</v>
      </c>
      <c r="F758" s="98" t="s">
        <v>13</v>
      </c>
      <c r="G758" s="98" t="s">
        <v>70</v>
      </c>
      <c r="H758" s="98">
        <v>0</v>
      </c>
      <c r="I758" s="98">
        <v>0</v>
      </c>
      <c r="K758" s="98">
        <v>5773600</v>
      </c>
      <c r="L758" s="98">
        <v>1.6933</v>
      </c>
      <c r="M758" s="98">
        <v>5773600</v>
      </c>
      <c r="N758" s="98">
        <v>0</v>
      </c>
      <c r="O758" s="99" t="s">
        <v>472</v>
      </c>
    </row>
    <row r="759" spans="1:15" x14ac:dyDescent="0.25">
      <c r="A759" s="98" t="s">
        <v>55</v>
      </c>
      <c r="B759" s="98" t="s">
        <v>46</v>
      </c>
      <c r="C759" s="98">
        <v>0</v>
      </c>
      <c r="D759" s="98">
        <v>9.9999999999999995E-8</v>
      </c>
      <c r="E759" s="98">
        <v>0.1</v>
      </c>
      <c r="F759" s="98" t="s">
        <v>13</v>
      </c>
      <c r="G759" s="98" t="s">
        <v>70</v>
      </c>
      <c r="H759" s="98">
        <v>0</v>
      </c>
      <c r="I759" s="98">
        <v>0</v>
      </c>
      <c r="K759" s="98">
        <v>57736000</v>
      </c>
      <c r="L759" s="98">
        <v>0.75258000000000003</v>
      </c>
      <c r="M759" s="98">
        <v>57736000</v>
      </c>
      <c r="N759" s="98">
        <v>0</v>
      </c>
      <c r="O759" s="99" t="s">
        <v>473</v>
      </c>
    </row>
    <row r="760" spans="1:15" x14ac:dyDescent="0.25">
      <c r="A760" s="98" t="s">
        <v>55</v>
      </c>
      <c r="B760" s="98" t="s">
        <v>46</v>
      </c>
      <c r="C760" s="98">
        <v>9.9999999999999995E-8</v>
      </c>
      <c r="D760" s="98">
        <v>9.9999999999999995E-7</v>
      </c>
      <c r="E760" s="98">
        <v>9.9999999999999998E-13</v>
      </c>
      <c r="F760" s="98" t="s">
        <v>13</v>
      </c>
      <c r="G760" s="98" t="s">
        <v>70</v>
      </c>
      <c r="H760" s="98">
        <v>0</v>
      </c>
      <c r="I760" s="98">
        <v>0</v>
      </c>
      <c r="K760" s="98">
        <v>4.8000000000000001E-2</v>
      </c>
      <c r="L760" s="98">
        <v>23000</v>
      </c>
      <c r="M760" s="98">
        <v>4.6073000000000003E-2</v>
      </c>
      <c r="N760" s="98">
        <v>24826</v>
      </c>
      <c r="O760" s="99" t="s">
        <v>474</v>
      </c>
    </row>
    <row r="761" spans="1:15" x14ac:dyDescent="0.25">
      <c r="A761" s="98" t="s">
        <v>55</v>
      </c>
      <c r="B761" s="98" t="s">
        <v>46</v>
      </c>
      <c r="C761" s="98">
        <v>9.9999999999999995E-8</v>
      </c>
      <c r="D761" s="98">
        <v>9.9999999999999995E-7</v>
      </c>
      <c r="E761" s="98">
        <v>9.9999999999999994E-12</v>
      </c>
      <c r="F761" s="98" t="s">
        <v>13</v>
      </c>
      <c r="G761" s="98" t="s">
        <v>70</v>
      </c>
      <c r="H761" s="98">
        <v>0</v>
      </c>
      <c r="I761" s="98">
        <v>0</v>
      </c>
      <c r="K761" s="98">
        <v>4.8000000000000001E-2</v>
      </c>
      <c r="L761" s="98">
        <v>23271</v>
      </c>
      <c r="M761" s="98">
        <v>4.6424E-2</v>
      </c>
      <c r="N761" s="98">
        <v>24708</v>
      </c>
      <c r="O761" s="99" t="s">
        <v>475</v>
      </c>
    </row>
    <row r="762" spans="1:15" x14ac:dyDescent="0.25">
      <c r="A762" s="98" t="s">
        <v>55</v>
      </c>
      <c r="B762" s="98" t="s">
        <v>46</v>
      </c>
      <c r="C762" s="98">
        <v>9.9999999999999995E-8</v>
      </c>
      <c r="D762" s="98">
        <v>9.9999999999999995E-7</v>
      </c>
      <c r="E762" s="98">
        <v>1E-10</v>
      </c>
      <c r="F762" s="98" t="s">
        <v>13</v>
      </c>
      <c r="G762" s="98" t="s">
        <v>70</v>
      </c>
      <c r="H762" s="98">
        <v>0</v>
      </c>
      <c r="I762" s="98">
        <v>0</v>
      </c>
      <c r="K762" s="98">
        <v>7.4091000000000004E-2</v>
      </c>
      <c r="L762" s="98">
        <v>17690</v>
      </c>
      <c r="M762" s="98">
        <v>7.3660000000000003E-2</v>
      </c>
      <c r="N762" s="98">
        <v>17772</v>
      </c>
      <c r="O762" s="99" t="s">
        <v>476</v>
      </c>
    </row>
    <row r="763" spans="1:15" x14ac:dyDescent="0.25">
      <c r="A763" s="98" t="s">
        <v>55</v>
      </c>
      <c r="B763" s="98" t="s">
        <v>46</v>
      </c>
      <c r="C763" s="98">
        <v>9.9999999999999995E-8</v>
      </c>
      <c r="D763" s="98">
        <v>9.9999999999999995E-7</v>
      </c>
      <c r="E763" s="98">
        <v>1.0000000000000001E-9</v>
      </c>
      <c r="F763" s="98" t="s">
        <v>13</v>
      </c>
      <c r="G763" s="98" t="s">
        <v>70</v>
      </c>
      <c r="H763" s="98">
        <v>0</v>
      </c>
      <c r="I763" s="98">
        <v>0</v>
      </c>
      <c r="K763" s="98">
        <v>0.57935999999999999</v>
      </c>
      <c r="L763" s="98">
        <v>2553.1999999999998</v>
      </c>
      <c r="M763" s="98">
        <v>0.57913999999999999</v>
      </c>
      <c r="N763" s="98">
        <v>2554.1</v>
      </c>
      <c r="O763" s="99" t="s">
        <v>477</v>
      </c>
    </row>
    <row r="764" spans="1:15" x14ac:dyDescent="0.25">
      <c r="A764" s="98" t="s">
        <v>55</v>
      </c>
      <c r="B764" s="98" t="s">
        <v>46</v>
      </c>
      <c r="C764" s="98">
        <v>9.9999999999999995E-8</v>
      </c>
      <c r="D764" s="98">
        <v>9.9999999999999995E-7</v>
      </c>
      <c r="E764" s="98">
        <v>1E-8</v>
      </c>
      <c r="F764" s="98" t="s">
        <v>13</v>
      </c>
      <c r="G764" s="98" t="s">
        <v>70</v>
      </c>
      <c r="H764" s="98">
        <v>0</v>
      </c>
      <c r="I764" s="98">
        <v>0</v>
      </c>
      <c r="K764" s="98">
        <v>5.7737999999999996</v>
      </c>
      <c r="L764" s="98">
        <v>256.81</v>
      </c>
      <c r="M764" s="98">
        <v>5.7736999999999998</v>
      </c>
      <c r="N764" s="98">
        <v>256.81</v>
      </c>
      <c r="O764" s="99" t="s">
        <v>478</v>
      </c>
    </row>
    <row r="765" spans="1:15" x14ac:dyDescent="0.25">
      <c r="A765" s="98" t="s">
        <v>55</v>
      </c>
      <c r="B765" s="98" t="s">
        <v>46</v>
      </c>
      <c r="C765" s="98">
        <v>9.9999999999999995E-8</v>
      </c>
      <c r="D765" s="98">
        <v>9.9999999999999995E-7</v>
      </c>
      <c r="E765" s="98">
        <v>9.9999999999999995E-8</v>
      </c>
      <c r="F765" s="98" t="s">
        <v>13</v>
      </c>
      <c r="G765" s="98" t="s">
        <v>70</v>
      </c>
      <c r="H765" s="98">
        <v>0</v>
      </c>
      <c r="I765" s="98">
        <v>0</v>
      </c>
      <c r="K765" s="98">
        <v>57.735999999999997</v>
      </c>
      <c r="L765" s="98">
        <v>25.681999999999999</v>
      </c>
      <c r="M765" s="98">
        <v>57.735999999999997</v>
      </c>
      <c r="N765" s="98">
        <v>25.681999999999999</v>
      </c>
      <c r="O765" s="99" t="s">
        <v>479</v>
      </c>
    </row>
    <row r="766" spans="1:15" x14ac:dyDescent="0.25">
      <c r="A766" s="98" t="s">
        <v>55</v>
      </c>
      <c r="B766" s="98" t="s">
        <v>46</v>
      </c>
      <c r="C766" s="98">
        <v>9.9999999999999995E-7</v>
      </c>
      <c r="D766" s="98">
        <v>1.0000000000000001E-5</v>
      </c>
      <c r="E766" s="98">
        <v>9.9999999999999998E-13</v>
      </c>
      <c r="F766" s="98" t="s">
        <v>13</v>
      </c>
      <c r="G766" s="98" t="s">
        <v>70</v>
      </c>
      <c r="H766" s="98">
        <v>0</v>
      </c>
      <c r="I766" s="98">
        <v>0</v>
      </c>
      <c r="K766" s="98">
        <v>0.13</v>
      </c>
      <c r="L766" s="98">
        <v>25000</v>
      </c>
      <c r="M766" s="98">
        <v>0.11375</v>
      </c>
      <c r="N766" s="98">
        <v>25625</v>
      </c>
      <c r="O766" s="99" t="s">
        <v>480</v>
      </c>
    </row>
    <row r="767" spans="1:15" x14ac:dyDescent="0.25">
      <c r="A767" s="98" t="s">
        <v>55</v>
      </c>
      <c r="B767" s="98" t="s">
        <v>46</v>
      </c>
      <c r="C767" s="98">
        <v>9.9999999999999995E-7</v>
      </c>
      <c r="D767" s="98">
        <v>1.0000000000000001E-5</v>
      </c>
      <c r="E767" s="98">
        <v>9.9999999999999994E-12</v>
      </c>
      <c r="F767" s="98" t="s">
        <v>13</v>
      </c>
      <c r="G767" s="98" t="s">
        <v>70</v>
      </c>
      <c r="H767" s="98">
        <v>0</v>
      </c>
      <c r="I767" s="98">
        <v>0</v>
      </c>
      <c r="K767" s="98">
        <v>0.13</v>
      </c>
      <c r="L767" s="98">
        <v>25119</v>
      </c>
      <c r="M767" s="98">
        <v>0.11389000000000001</v>
      </c>
      <c r="N767" s="98">
        <v>25617</v>
      </c>
      <c r="O767" s="99" t="s">
        <v>481</v>
      </c>
    </row>
    <row r="768" spans="1:15" x14ac:dyDescent="0.25">
      <c r="A768" s="98" t="s">
        <v>55</v>
      </c>
      <c r="B768" s="98" t="s">
        <v>46</v>
      </c>
      <c r="C768" s="98">
        <v>9.9999999999999995E-7</v>
      </c>
      <c r="D768" s="98">
        <v>1.0000000000000001E-5</v>
      </c>
      <c r="E768" s="98">
        <v>1E-10</v>
      </c>
      <c r="F768" s="98" t="s">
        <v>13</v>
      </c>
      <c r="G768" s="98" t="s">
        <v>70</v>
      </c>
      <c r="H768" s="98">
        <v>0</v>
      </c>
      <c r="I768" s="98">
        <v>0</v>
      </c>
      <c r="K768" s="98">
        <v>0.13</v>
      </c>
      <c r="L768" s="98">
        <v>24832</v>
      </c>
      <c r="M768" s="98">
        <v>0.12601999999999999</v>
      </c>
      <c r="N768" s="98">
        <v>24846</v>
      </c>
      <c r="O768" s="99" t="s">
        <v>482</v>
      </c>
    </row>
    <row r="769" spans="1:15" x14ac:dyDescent="0.25">
      <c r="A769" s="98" t="s">
        <v>55</v>
      </c>
      <c r="B769" s="98" t="s">
        <v>46</v>
      </c>
      <c r="C769" s="98">
        <v>9.9999999999999995E-7</v>
      </c>
      <c r="D769" s="98">
        <v>1.0000000000000001E-5</v>
      </c>
      <c r="E769" s="98">
        <v>1.0000000000000001E-9</v>
      </c>
      <c r="F769" s="98" t="s">
        <v>13</v>
      </c>
      <c r="G769" s="98" t="s">
        <v>70</v>
      </c>
      <c r="H769" s="98">
        <v>0</v>
      </c>
      <c r="I769" s="98">
        <v>0</v>
      </c>
      <c r="K769" s="98">
        <v>0.58396000000000003</v>
      </c>
      <c r="L769" s="98">
        <v>10197</v>
      </c>
      <c r="M769" s="98">
        <v>0.58374000000000004</v>
      </c>
      <c r="N769" s="98">
        <v>10200</v>
      </c>
      <c r="O769" s="99" t="s">
        <v>483</v>
      </c>
    </row>
    <row r="770" spans="1:15" x14ac:dyDescent="0.25">
      <c r="A770" s="98" t="s">
        <v>55</v>
      </c>
      <c r="B770" s="98" t="s">
        <v>46</v>
      </c>
      <c r="C770" s="98">
        <v>9.9999999999999995E-7</v>
      </c>
      <c r="D770" s="98">
        <v>1.0000000000000001E-5</v>
      </c>
      <c r="E770" s="98">
        <v>1E-8</v>
      </c>
      <c r="F770" s="98" t="s">
        <v>13</v>
      </c>
      <c r="G770" s="98" t="s">
        <v>70</v>
      </c>
      <c r="H770" s="98">
        <v>0</v>
      </c>
      <c r="I770" s="98">
        <v>0</v>
      </c>
      <c r="K770" s="98">
        <v>5.7742000000000004</v>
      </c>
      <c r="L770" s="98">
        <v>1129.0999999999999</v>
      </c>
      <c r="M770" s="98">
        <v>5.7740999999999998</v>
      </c>
      <c r="N770" s="98">
        <v>1129.0999999999999</v>
      </c>
      <c r="O770" s="99" t="s">
        <v>484</v>
      </c>
    </row>
    <row r="771" spans="1:15" x14ac:dyDescent="0.25">
      <c r="A771" s="98" t="s">
        <v>55</v>
      </c>
      <c r="B771" s="98" t="s">
        <v>46</v>
      </c>
      <c r="C771" s="98">
        <v>9.9999999999999995E-7</v>
      </c>
      <c r="D771" s="98">
        <v>1.0000000000000001E-5</v>
      </c>
      <c r="E771" s="98">
        <v>9.9999999999999995E-8</v>
      </c>
      <c r="F771" s="98" t="s">
        <v>13</v>
      </c>
      <c r="G771" s="98" t="s">
        <v>70</v>
      </c>
      <c r="H771" s="98">
        <v>0</v>
      </c>
      <c r="I771" s="98">
        <v>0</v>
      </c>
      <c r="K771" s="98">
        <v>57.735999999999997</v>
      </c>
      <c r="L771" s="98">
        <v>113.04</v>
      </c>
      <c r="M771" s="98">
        <v>57.734999999999999</v>
      </c>
      <c r="N771" s="98">
        <v>113.04</v>
      </c>
      <c r="O771" s="99" t="s">
        <v>485</v>
      </c>
    </row>
    <row r="772" spans="1:15" x14ac:dyDescent="0.25">
      <c r="A772" s="98" t="s">
        <v>55</v>
      </c>
      <c r="B772" s="98" t="s">
        <v>46</v>
      </c>
      <c r="C772" s="98">
        <v>1.0000000000000001E-5</v>
      </c>
      <c r="D772" s="98">
        <v>1E-4</v>
      </c>
      <c r="E772" s="98">
        <v>9.9999999999999994E-12</v>
      </c>
      <c r="F772" s="98" t="s">
        <v>13</v>
      </c>
      <c r="G772" s="98" t="s">
        <v>70</v>
      </c>
      <c r="H772" s="98">
        <v>0</v>
      </c>
      <c r="I772" s="98">
        <v>0</v>
      </c>
      <c r="K772" s="98">
        <v>0.16</v>
      </c>
      <c r="L772" s="98">
        <v>23000</v>
      </c>
      <c r="M772" s="98">
        <v>0.11411</v>
      </c>
      <c r="N772" s="98">
        <v>23000</v>
      </c>
      <c r="O772" s="99" t="s">
        <v>486</v>
      </c>
    </row>
    <row r="773" spans="1:15" x14ac:dyDescent="0.25">
      <c r="A773" s="98" t="s">
        <v>55</v>
      </c>
      <c r="B773" s="98" t="s">
        <v>46</v>
      </c>
      <c r="C773" s="98">
        <v>1.0000000000000001E-5</v>
      </c>
      <c r="D773" s="98">
        <v>1E-4</v>
      </c>
      <c r="E773" s="98">
        <v>1E-10</v>
      </c>
      <c r="F773" s="98" t="s">
        <v>13</v>
      </c>
      <c r="G773" s="98" t="s">
        <v>70</v>
      </c>
      <c r="H773" s="98">
        <v>0</v>
      </c>
      <c r="I773" s="98">
        <v>0</v>
      </c>
      <c r="K773" s="98">
        <v>0.16</v>
      </c>
      <c r="L773" s="98">
        <v>23403</v>
      </c>
      <c r="M773" s="98">
        <v>0.11928</v>
      </c>
      <c r="N773" s="98">
        <v>23403</v>
      </c>
      <c r="O773" s="99" t="s">
        <v>487</v>
      </c>
    </row>
    <row r="774" spans="1:15" x14ac:dyDescent="0.25">
      <c r="A774" s="98" t="s">
        <v>55</v>
      </c>
      <c r="B774" s="98" t="s">
        <v>46</v>
      </c>
      <c r="C774" s="98">
        <v>1.0000000000000001E-5</v>
      </c>
      <c r="D774" s="98">
        <v>1E-4</v>
      </c>
      <c r="E774" s="98">
        <v>1.0000000000000001E-9</v>
      </c>
      <c r="F774" s="98" t="s">
        <v>13</v>
      </c>
      <c r="G774" s="98" t="s">
        <v>70</v>
      </c>
      <c r="H774" s="98">
        <v>0</v>
      </c>
      <c r="I774" s="98">
        <v>0</v>
      </c>
      <c r="K774" s="98">
        <v>0.47123999999999999</v>
      </c>
      <c r="L774" s="98">
        <v>20574</v>
      </c>
      <c r="M774" s="98">
        <v>0.46866000000000002</v>
      </c>
      <c r="N774" s="98">
        <v>20574</v>
      </c>
      <c r="O774" s="99" t="s">
        <v>488</v>
      </c>
    </row>
    <row r="775" spans="1:15" x14ac:dyDescent="0.25">
      <c r="A775" s="98" t="s">
        <v>55</v>
      </c>
      <c r="B775" s="98" t="s">
        <v>46</v>
      </c>
      <c r="C775" s="98">
        <v>1.0000000000000001E-5</v>
      </c>
      <c r="D775" s="98">
        <v>1E-4</v>
      </c>
      <c r="E775" s="98">
        <v>1E-8</v>
      </c>
      <c r="F775" s="98" t="s">
        <v>13</v>
      </c>
      <c r="G775" s="98" t="s">
        <v>70</v>
      </c>
      <c r="H775" s="98">
        <v>0</v>
      </c>
      <c r="I775" s="98">
        <v>0</v>
      </c>
      <c r="K775" s="98">
        <v>5.7304000000000004</v>
      </c>
      <c r="L775" s="98">
        <v>5486.9</v>
      </c>
      <c r="M775" s="98">
        <v>5.7294</v>
      </c>
      <c r="N775" s="98">
        <v>5486.9</v>
      </c>
      <c r="O775" s="99" t="s">
        <v>489</v>
      </c>
    </row>
    <row r="776" spans="1:15" x14ac:dyDescent="0.25">
      <c r="A776" s="98" t="s">
        <v>55</v>
      </c>
      <c r="B776" s="98" t="s">
        <v>46</v>
      </c>
      <c r="C776" s="98">
        <v>1.0000000000000001E-5</v>
      </c>
      <c r="D776" s="98">
        <v>1E-4</v>
      </c>
      <c r="E776" s="98">
        <v>9.9999999999999995E-8</v>
      </c>
      <c r="F776" s="98" t="s">
        <v>13</v>
      </c>
      <c r="G776" s="98" t="s">
        <v>70</v>
      </c>
      <c r="H776" s="98">
        <v>0</v>
      </c>
      <c r="I776" s="98">
        <v>0</v>
      </c>
      <c r="K776" s="98">
        <v>57.731000000000002</v>
      </c>
      <c r="L776" s="98">
        <v>581.51</v>
      </c>
      <c r="M776" s="98">
        <v>57.731000000000002</v>
      </c>
      <c r="N776" s="98">
        <v>581.51</v>
      </c>
      <c r="O776" s="99" t="s">
        <v>490</v>
      </c>
    </row>
    <row r="777" spans="1:15" x14ac:dyDescent="0.25">
      <c r="A777" s="98" t="s">
        <v>55</v>
      </c>
      <c r="B777" s="98" t="s">
        <v>46</v>
      </c>
      <c r="C777" s="98">
        <v>1.0000000000000001E-5</v>
      </c>
      <c r="D777" s="98">
        <v>1E-4</v>
      </c>
      <c r="E777" s="98">
        <v>9.9999999999999995E-7</v>
      </c>
      <c r="F777" s="98" t="s">
        <v>13</v>
      </c>
      <c r="G777" s="98" t="s">
        <v>70</v>
      </c>
      <c r="H777" s="98">
        <v>0</v>
      </c>
      <c r="I777" s="98">
        <v>0</v>
      </c>
      <c r="K777" s="98">
        <v>577.35</v>
      </c>
      <c r="L777" s="98">
        <v>61.585000000000001</v>
      </c>
      <c r="M777" s="98">
        <v>577.35</v>
      </c>
      <c r="N777" s="98">
        <v>61.585000000000001</v>
      </c>
      <c r="O777" s="99" t="s">
        <v>491</v>
      </c>
    </row>
    <row r="778" spans="1:15" x14ac:dyDescent="0.25">
      <c r="A778" s="98" t="s">
        <v>55</v>
      </c>
      <c r="B778" s="98" t="s">
        <v>46</v>
      </c>
      <c r="C778" s="98">
        <v>1E-4</v>
      </c>
      <c r="D778" s="98">
        <v>1E-3</v>
      </c>
      <c r="E778" s="98">
        <v>1E-10</v>
      </c>
      <c r="F778" s="98" t="s">
        <v>13</v>
      </c>
      <c r="G778" s="98" t="s">
        <v>70</v>
      </c>
      <c r="H778" s="98">
        <v>0</v>
      </c>
      <c r="I778" s="98">
        <v>0</v>
      </c>
      <c r="K778" s="98">
        <v>6.3</v>
      </c>
      <c r="L778" s="98">
        <v>23000</v>
      </c>
      <c r="M778" s="98">
        <v>5.7455999999999996</v>
      </c>
      <c r="N778" s="98">
        <v>23552</v>
      </c>
      <c r="O778" s="99" t="s">
        <v>492</v>
      </c>
    </row>
    <row r="779" spans="1:15" x14ac:dyDescent="0.25">
      <c r="A779" s="98" t="s">
        <v>55</v>
      </c>
      <c r="B779" s="98" t="s">
        <v>46</v>
      </c>
      <c r="C779" s="98">
        <v>1E-4</v>
      </c>
      <c r="D779" s="98">
        <v>1E-3</v>
      </c>
      <c r="E779" s="98">
        <v>1.0000000000000001E-9</v>
      </c>
      <c r="F779" s="98" t="s">
        <v>13</v>
      </c>
      <c r="G779" s="98" t="s">
        <v>70</v>
      </c>
      <c r="H779" s="98">
        <v>0</v>
      </c>
      <c r="I779" s="98">
        <v>0</v>
      </c>
      <c r="K779" s="98">
        <v>6.3</v>
      </c>
      <c r="L779" s="98">
        <v>23340</v>
      </c>
      <c r="M779" s="98">
        <v>5.7675000000000001</v>
      </c>
      <c r="N779" s="98">
        <v>23536</v>
      </c>
      <c r="O779" s="99" t="s">
        <v>493</v>
      </c>
    </row>
    <row r="780" spans="1:15" x14ac:dyDescent="0.25">
      <c r="A780" s="98" t="s">
        <v>55</v>
      </c>
      <c r="B780" s="98" t="s">
        <v>46</v>
      </c>
      <c r="C780" s="98">
        <v>1E-4</v>
      </c>
      <c r="D780" s="98">
        <v>1E-3</v>
      </c>
      <c r="E780" s="98">
        <v>1E-8</v>
      </c>
      <c r="F780" s="98" t="s">
        <v>13</v>
      </c>
      <c r="G780" s="98" t="s">
        <v>70</v>
      </c>
      <c r="H780" s="98">
        <v>0</v>
      </c>
      <c r="I780" s="98">
        <v>0</v>
      </c>
      <c r="K780" s="98">
        <v>7.7388000000000003</v>
      </c>
      <c r="L780" s="98">
        <v>22133</v>
      </c>
      <c r="M780" s="98">
        <v>7.7351000000000001</v>
      </c>
      <c r="N780" s="98">
        <v>22126</v>
      </c>
      <c r="O780" s="99" t="s">
        <v>494</v>
      </c>
    </row>
    <row r="781" spans="1:15" x14ac:dyDescent="0.25">
      <c r="A781" s="98" t="s">
        <v>55</v>
      </c>
      <c r="B781" s="98" t="s">
        <v>46</v>
      </c>
      <c r="C781" s="98">
        <v>1E-4</v>
      </c>
      <c r="D781" s="98">
        <v>1E-3</v>
      </c>
      <c r="E781" s="98">
        <v>9.9999999999999995E-8</v>
      </c>
      <c r="F781" s="98" t="s">
        <v>13</v>
      </c>
      <c r="G781" s="98" t="s">
        <v>70</v>
      </c>
      <c r="H781" s="98">
        <v>0</v>
      </c>
      <c r="I781" s="98">
        <v>0</v>
      </c>
      <c r="K781" s="98">
        <v>57.585999999999999</v>
      </c>
      <c r="L781" s="98">
        <v>7177.2</v>
      </c>
      <c r="M781" s="98">
        <v>57.585000000000001</v>
      </c>
      <c r="N781" s="98">
        <v>7158.5</v>
      </c>
      <c r="O781" s="99" t="s">
        <v>495</v>
      </c>
    </row>
    <row r="782" spans="1:15" x14ac:dyDescent="0.25">
      <c r="A782" s="98" t="s">
        <v>55</v>
      </c>
      <c r="B782" s="98" t="s">
        <v>46</v>
      </c>
      <c r="C782" s="98">
        <v>1E-4</v>
      </c>
      <c r="D782" s="98">
        <v>1E-3</v>
      </c>
      <c r="E782" s="98">
        <v>9.9999999999999995E-7</v>
      </c>
      <c r="F782" s="98" t="s">
        <v>13</v>
      </c>
      <c r="G782" s="98" t="s">
        <v>70</v>
      </c>
      <c r="H782" s="98">
        <v>0</v>
      </c>
      <c r="I782" s="98">
        <v>0</v>
      </c>
      <c r="K782" s="98">
        <v>577.34</v>
      </c>
      <c r="L782" s="98">
        <v>770.78</v>
      </c>
      <c r="M782" s="98">
        <v>577.34</v>
      </c>
      <c r="N782" s="98">
        <v>762.27</v>
      </c>
      <c r="O782" s="99" t="s">
        <v>496</v>
      </c>
    </row>
    <row r="783" spans="1:15" x14ac:dyDescent="0.25">
      <c r="A783" s="98" t="s">
        <v>55</v>
      </c>
      <c r="B783" s="98" t="s">
        <v>46</v>
      </c>
      <c r="C783" s="98">
        <v>1E-4</v>
      </c>
      <c r="D783" s="98">
        <v>1E-3</v>
      </c>
      <c r="E783" s="98">
        <v>1.0000000000000001E-5</v>
      </c>
      <c r="F783" s="98" t="s">
        <v>13</v>
      </c>
      <c r="G783" s="98" t="s">
        <v>70</v>
      </c>
      <c r="H783" s="98">
        <v>0</v>
      </c>
      <c r="I783" s="98">
        <v>0</v>
      </c>
      <c r="K783" s="98">
        <v>5773.6</v>
      </c>
      <c r="L783" s="98">
        <v>79.686000000000007</v>
      </c>
      <c r="M783" s="98">
        <v>5773.5</v>
      </c>
      <c r="N783" s="98">
        <v>76.28</v>
      </c>
      <c r="O783" s="99" t="s">
        <v>497</v>
      </c>
    </row>
    <row r="784" spans="1:15" x14ac:dyDescent="0.25">
      <c r="A784" s="98" t="s">
        <v>55</v>
      </c>
      <c r="B784" s="98" t="s">
        <v>46</v>
      </c>
      <c r="C784" s="98">
        <v>1E-3</v>
      </c>
      <c r="D784" s="98">
        <v>0.01</v>
      </c>
      <c r="E784" s="98">
        <v>1.0000000000000001E-9</v>
      </c>
      <c r="F784" s="98" t="s">
        <v>13</v>
      </c>
      <c r="G784" s="98" t="s">
        <v>11</v>
      </c>
      <c r="H784" s="98">
        <v>0</v>
      </c>
      <c r="I784" s="98">
        <v>0</v>
      </c>
      <c r="K784" s="98">
        <v>6.4000000000000001E-2</v>
      </c>
      <c r="L784" s="98">
        <v>23</v>
      </c>
      <c r="M784" s="98">
        <v>5.7395000000000002E-2</v>
      </c>
      <c r="N784" s="98">
        <v>23.593</v>
      </c>
      <c r="O784" s="99" t="s">
        <v>498</v>
      </c>
    </row>
    <row r="785" spans="1:15" x14ac:dyDescent="0.25">
      <c r="A785" s="98" t="s">
        <v>55</v>
      </c>
      <c r="B785" s="98" t="s">
        <v>46</v>
      </c>
      <c r="C785" s="98">
        <v>1E-3</v>
      </c>
      <c r="D785" s="98">
        <v>0.01</v>
      </c>
      <c r="E785" s="98">
        <v>1E-8</v>
      </c>
      <c r="F785" s="98" t="s">
        <v>13</v>
      </c>
      <c r="G785" s="98" t="s">
        <v>11</v>
      </c>
      <c r="H785" s="98">
        <v>0</v>
      </c>
      <c r="I785" s="98">
        <v>0</v>
      </c>
      <c r="K785" s="98">
        <v>6.4000000000000001E-2</v>
      </c>
      <c r="L785" s="98">
        <v>23.49</v>
      </c>
      <c r="M785" s="98">
        <v>5.7620999999999999E-2</v>
      </c>
      <c r="N785" s="98">
        <v>23.576000000000001</v>
      </c>
      <c r="O785" s="99" t="s">
        <v>499</v>
      </c>
    </row>
    <row r="786" spans="1:15" x14ac:dyDescent="0.25">
      <c r="A786" s="98" t="s">
        <v>55</v>
      </c>
      <c r="B786" s="98" t="s">
        <v>46</v>
      </c>
      <c r="C786" s="98">
        <v>1E-3</v>
      </c>
      <c r="D786" s="98">
        <v>0.01</v>
      </c>
      <c r="E786" s="98">
        <v>9.9999999999999995E-8</v>
      </c>
      <c r="F786" s="98" t="s">
        <v>13</v>
      </c>
      <c r="G786" s="98" t="s">
        <v>11</v>
      </c>
      <c r="H786" s="98">
        <v>0</v>
      </c>
      <c r="I786" s="98">
        <v>0</v>
      </c>
      <c r="K786" s="98">
        <v>7.7329999999999996E-2</v>
      </c>
      <c r="L786" s="98">
        <v>22.172999999999998</v>
      </c>
      <c r="M786" s="98">
        <v>7.7294000000000002E-2</v>
      </c>
      <c r="N786" s="98">
        <v>22.166</v>
      </c>
      <c r="O786" s="99" t="s">
        <v>500</v>
      </c>
    </row>
    <row r="787" spans="1:15" x14ac:dyDescent="0.25">
      <c r="A787" s="98" t="s">
        <v>55</v>
      </c>
      <c r="B787" s="98" t="s">
        <v>46</v>
      </c>
      <c r="C787" s="98">
        <v>1E-3</v>
      </c>
      <c r="D787" s="98">
        <v>0.01</v>
      </c>
      <c r="E787" s="98">
        <v>9.9999999999999995E-7</v>
      </c>
      <c r="F787" s="98" t="s">
        <v>13</v>
      </c>
      <c r="G787" s="98" t="s">
        <v>11</v>
      </c>
      <c r="H787" s="98">
        <v>0</v>
      </c>
      <c r="I787" s="98">
        <v>0</v>
      </c>
      <c r="K787" s="98">
        <v>0.57584000000000002</v>
      </c>
      <c r="L787" s="98">
        <v>7.1948999999999996</v>
      </c>
      <c r="M787" s="98">
        <v>0.57582999999999995</v>
      </c>
      <c r="N787" s="98">
        <v>7.1763000000000003</v>
      </c>
      <c r="O787" s="99" t="s">
        <v>501</v>
      </c>
    </row>
    <row r="788" spans="1:15" x14ac:dyDescent="0.25">
      <c r="A788" s="98" t="s">
        <v>55</v>
      </c>
      <c r="B788" s="98" t="s">
        <v>46</v>
      </c>
      <c r="C788" s="98">
        <v>1E-3</v>
      </c>
      <c r="D788" s="98">
        <v>0.01</v>
      </c>
      <c r="E788" s="98">
        <v>1.0000000000000001E-5</v>
      </c>
      <c r="F788" s="98" t="s">
        <v>13</v>
      </c>
      <c r="G788" s="98" t="s">
        <v>11</v>
      </c>
      <c r="H788" s="98">
        <v>0</v>
      </c>
      <c r="I788" s="98">
        <v>0</v>
      </c>
      <c r="K788" s="98">
        <v>5.7733999999999996</v>
      </c>
      <c r="L788" s="98">
        <v>0.77276999999999996</v>
      </c>
      <c r="M788" s="98">
        <v>5.7733999999999996</v>
      </c>
      <c r="N788" s="98">
        <v>0.76426000000000005</v>
      </c>
      <c r="O788" s="99" t="s">
        <v>502</v>
      </c>
    </row>
    <row r="789" spans="1:15" x14ac:dyDescent="0.25">
      <c r="A789" s="98" t="s">
        <v>55</v>
      </c>
      <c r="B789" s="98" t="s">
        <v>46</v>
      </c>
      <c r="C789" s="98">
        <v>1E-3</v>
      </c>
      <c r="D789" s="98">
        <v>0.01</v>
      </c>
      <c r="E789" s="98">
        <v>1E-4</v>
      </c>
      <c r="F789" s="98" t="s">
        <v>13</v>
      </c>
      <c r="G789" s="98" t="s">
        <v>11</v>
      </c>
      <c r="H789" s="98">
        <v>0</v>
      </c>
      <c r="I789" s="98">
        <v>0</v>
      </c>
      <c r="K789" s="98">
        <v>57.735999999999997</v>
      </c>
      <c r="L789" s="98">
        <v>7.9884999999999998E-2</v>
      </c>
      <c r="M789" s="98">
        <v>57.734999999999999</v>
      </c>
      <c r="N789" s="98">
        <v>7.6479000000000005E-2</v>
      </c>
      <c r="O789" s="99" t="s">
        <v>503</v>
      </c>
    </row>
    <row r="790" spans="1:15" x14ac:dyDescent="0.25">
      <c r="A790" s="98" t="s">
        <v>55</v>
      </c>
      <c r="B790" s="98" t="s">
        <v>46</v>
      </c>
      <c r="C790" s="98">
        <v>0.01</v>
      </c>
      <c r="D790" s="98">
        <v>0.1</v>
      </c>
      <c r="E790" s="98">
        <v>1E-8</v>
      </c>
      <c r="F790" s="98" t="s">
        <v>13</v>
      </c>
      <c r="G790" s="98" t="s">
        <v>11</v>
      </c>
      <c r="H790" s="98">
        <v>0</v>
      </c>
      <c r="I790" s="98">
        <v>0</v>
      </c>
      <c r="K790" s="98">
        <v>0.67</v>
      </c>
      <c r="L790" s="98">
        <v>40</v>
      </c>
      <c r="M790" s="98">
        <v>0.57450999999999997</v>
      </c>
      <c r="N790" s="98">
        <v>40.857999999999997</v>
      </c>
      <c r="O790" s="99" t="s">
        <v>504</v>
      </c>
    </row>
    <row r="791" spans="1:15" x14ac:dyDescent="0.25">
      <c r="A791" s="98" t="s">
        <v>55</v>
      </c>
      <c r="B791" s="98" t="s">
        <v>46</v>
      </c>
      <c r="C791" s="98">
        <v>0.01</v>
      </c>
      <c r="D791" s="98">
        <v>0.1</v>
      </c>
      <c r="E791" s="98">
        <v>9.9999999999999995E-8</v>
      </c>
      <c r="F791" s="98" t="s">
        <v>13</v>
      </c>
      <c r="G791" s="98" t="s">
        <v>11</v>
      </c>
      <c r="H791" s="98">
        <v>0</v>
      </c>
      <c r="I791" s="98">
        <v>0</v>
      </c>
      <c r="K791" s="98">
        <v>0.67</v>
      </c>
      <c r="L791" s="98">
        <v>40.353999999999999</v>
      </c>
      <c r="M791" s="98">
        <v>0.57628999999999997</v>
      </c>
      <c r="N791" s="98">
        <v>40.844000000000001</v>
      </c>
      <c r="O791" s="99" t="s">
        <v>505</v>
      </c>
    </row>
    <row r="792" spans="1:15" x14ac:dyDescent="0.25">
      <c r="A792" s="98" t="s">
        <v>55</v>
      </c>
      <c r="B792" s="98" t="s">
        <v>46</v>
      </c>
      <c r="C792" s="98">
        <v>0.01</v>
      </c>
      <c r="D792" s="98">
        <v>0.1</v>
      </c>
      <c r="E792" s="98">
        <v>9.9999999999999995E-7</v>
      </c>
      <c r="F792" s="98" t="s">
        <v>13</v>
      </c>
      <c r="G792" s="98" t="s">
        <v>11</v>
      </c>
      <c r="H792" s="98">
        <v>0</v>
      </c>
      <c r="I792" s="98">
        <v>0</v>
      </c>
      <c r="K792" s="98">
        <v>0.75326000000000004</v>
      </c>
      <c r="L792" s="98">
        <v>39.473999999999997</v>
      </c>
      <c r="M792" s="98">
        <v>0.74494000000000005</v>
      </c>
      <c r="N792" s="98">
        <v>39.51</v>
      </c>
      <c r="O792" s="99" t="s">
        <v>506</v>
      </c>
    </row>
    <row r="793" spans="1:15" x14ac:dyDescent="0.25">
      <c r="A793" s="98" t="s">
        <v>55</v>
      </c>
      <c r="B793" s="98" t="s">
        <v>46</v>
      </c>
      <c r="C793" s="98">
        <v>0.01</v>
      </c>
      <c r="D793" s="98">
        <v>0.1</v>
      </c>
      <c r="E793" s="98">
        <v>1.0000000000000001E-5</v>
      </c>
      <c r="F793" s="98" t="s">
        <v>13</v>
      </c>
      <c r="G793" s="98" t="s">
        <v>11</v>
      </c>
      <c r="H793" s="98">
        <v>0</v>
      </c>
      <c r="I793" s="98">
        <v>0</v>
      </c>
      <c r="K793" s="98">
        <v>5.6886000000000001</v>
      </c>
      <c r="L793" s="98">
        <v>17.431000000000001</v>
      </c>
      <c r="M793" s="98">
        <v>5.6829999999999998</v>
      </c>
      <c r="N793" s="98">
        <v>17.367999999999999</v>
      </c>
      <c r="O793" s="99" t="s">
        <v>507</v>
      </c>
    </row>
    <row r="794" spans="1:15" x14ac:dyDescent="0.25">
      <c r="A794" s="98" t="s">
        <v>55</v>
      </c>
      <c r="B794" s="98" t="s">
        <v>46</v>
      </c>
      <c r="C794" s="98">
        <v>0.01</v>
      </c>
      <c r="D794" s="98">
        <v>0.1</v>
      </c>
      <c r="E794" s="98">
        <v>1E-4</v>
      </c>
      <c r="F794" s="98" t="s">
        <v>13</v>
      </c>
      <c r="G794" s="98" t="s">
        <v>11</v>
      </c>
      <c r="H794" s="98">
        <v>0</v>
      </c>
      <c r="I794" s="98">
        <v>0</v>
      </c>
      <c r="K794" s="98">
        <v>57.725999999999999</v>
      </c>
      <c r="L794" s="98">
        <v>2.0333999999999999</v>
      </c>
      <c r="M794" s="98">
        <v>57.723999999999997</v>
      </c>
      <c r="N794" s="98">
        <v>1.9935</v>
      </c>
      <c r="O794" s="99" t="s">
        <v>508</v>
      </c>
    </row>
    <row r="795" spans="1:15" x14ac:dyDescent="0.25">
      <c r="A795" s="98" t="s">
        <v>55</v>
      </c>
      <c r="B795" s="98" t="s">
        <v>46</v>
      </c>
      <c r="C795" s="98">
        <v>0.01</v>
      </c>
      <c r="D795" s="98">
        <v>0.1</v>
      </c>
      <c r="E795" s="98">
        <v>1E-3</v>
      </c>
      <c r="F795" s="98" t="s">
        <v>13</v>
      </c>
      <c r="G795" s="98" t="s">
        <v>11</v>
      </c>
      <c r="H795" s="98">
        <v>0</v>
      </c>
      <c r="I795" s="98">
        <v>0</v>
      </c>
      <c r="K795" s="98">
        <v>577.35</v>
      </c>
      <c r="L795" s="98">
        <v>0.21573000000000001</v>
      </c>
      <c r="M795" s="98">
        <v>577.34</v>
      </c>
      <c r="N795" s="98">
        <v>0.19968</v>
      </c>
      <c r="O795" s="99" t="s">
        <v>509</v>
      </c>
    </row>
    <row r="796" spans="1:15" x14ac:dyDescent="0.25">
      <c r="A796" s="98" t="s">
        <v>55</v>
      </c>
      <c r="B796" s="98" t="s">
        <v>46</v>
      </c>
      <c r="C796" s="98">
        <v>0.1</v>
      </c>
      <c r="D796" s="98">
        <v>1</v>
      </c>
      <c r="E796" s="98">
        <v>9.9999999999999995E-8</v>
      </c>
      <c r="F796" s="98" t="s">
        <v>13</v>
      </c>
      <c r="G796" s="98" t="s">
        <v>11</v>
      </c>
      <c r="H796" s="98">
        <v>0</v>
      </c>
      <c r="I796" s="98">
        <v>0</v>
      </c>
      <c r="K796" s="98">
        <v>12</v>
      </c>
      <c r="L796" s="98">
        <v>130</v>
      </c>
      <c r="M796" s="98">
        <v>11.536</v>
      </c>
      <c r="N796" s="98">
        <v>127.22</v>
      </c>
      <c r="O796" s="99" t="s">
        <v>510</v>
      </c>
    </row>
    <row r="797" spans="1:15" x14ac:dyDescent="0.25">
      <c r="A797" s="98" t="s">
        <v>55</v>
      </c>
      <c r="B797" s="98" t="s">
        <v>46</v>
      </c>
      <c r="C797" s="98">
        <v>0.1</v>
      </c>
      <c r="D797" s="98">
        <v>1</v>
      </c>
      <c r="E797" s="98">
        <v>9.9999999999999995E-7</v>
      </c>
      <c r="F797" s="98" t="s">
        <v>13</v>
      </c>
      <c r="G797" s="98" t="s">
        <v>11</v>
      </c>
      <c r="H797" s="98">
        <v>0</v>
      </c>
      <c r="I797" s="98">
        <v>0</v>
      </c>
      <c r="K797" s="98">
        <v>12</v>
      </c>
      <c r="L797" s="98">
        <v>130</v>
      </c>
      <c r="M797" s="98">
        <v>11.548</v>
      </c>
      <c r="N797" s="98">
        <v>127.21</v>
      </c>
      <c r="O797" s="99" t="s">
        <v>511</v>
      </c>
    </row>
    <row r="798" spans="1:15" x14ac:dyDescent="0.25">
      <c r="A798" s="98" t="s">
        <v>55</v>
      </c>
      <c r="B798" s="98" t="s">
        <v>46</v>
      </c>
      <c r="C798" s="98">
        <v>0.1</v>
      </c>
      <c r="D798" s="98">
        <v>1</v>
      </c>
      <c r="E798" s="98">
        <v>1.0000000000000001E-5</v>
      </c>
      <c r="F798" s="98" t="s">
        <v>13</v>
      </c>
      <c r="G798" s="98" t="s">
        <v>11</v>
      </c>
      <c r="H798" s="98">
        <v>0</v>
      </c>
      <c r="I798" s="98">
        <v>0</v>
      </c>
      <c r="K798" s="98">
        <v>12</v>
      </c>
      <c r="L798" s="98">
        <v>130</v>
      </c>
      <c r="M798" s="98">
        <v>12.276999999999999</v>
      </c>
      <c r="N798" s="98">
        <v>126.6</v>
      </c>
      <c r="O798" s="99" t="s">
        <v>512</v>
      </c>
    </row>
    <row r="799" spans="1:15" x14ac:dyDescent="0.25">
      <c r="A799" s="98" t="s">
        <v>55</v>
      </c>
      <c r="B799" s="98" t="s">
        <v>46</v>
      </c>
      <c r="C799" s="98">
        <v>0.1</v>
      </c>
      <c r="D799" s="98">
        <v>1</v>
      </c>
      <c r="E799" s="98">
        <v>1E-4</v>
      </c>
      <c r="F799" s="98" t="s">
        <v>13</v>
      </c>
      <c r="G799" s="98" t="s">
        <v>11</v>
      </c>
      <c r="H799" s="98">
        <v>0</v>
      </c>
      <c r="I799" s="98">
        <v>0</v>
      </c>
      <c r="K799" s="98">
        <v>52.948999999999998</v>
      </c>
      <c r="L799" s="98">
        <v>97.341999999999999</v>
      </c>
      <c r="M799" s="98">
        <v>52.884</v>
      </c>
      <c r="N799" s="98">
        <v>97.405000000000001</v>
      </c>
      <c r="O799" s="99" t="s">
        <v>513</v>
      </c>
    </row>
    <row r="800" spans="1:15" x14ac:dyDescent="0.25">
      <c r="A800" s="98" t="s">
        <v>55</v>
      </c>
      <c r="B800" s="98" t="s">
        <v>46</v>
      </c>
      <c r="C800" s="98">
        <v>0.1</v>
      </c>
      <c r="D800" s="98">
        <v>1</v>
      </c>
      <c r="E800" s="98">
        <v>1E-3</v>
      </c>
      <c r="F800" s="98" t="s">
        <v>13</v>
      </c>
      <c r="G800" s="98" t="s">
        <v>11</v>
      </c>
      <c r="H800" s="98">
        <v>0</v>
      </c>
      <c r="I800" s="98">
        <v>0</v>
      </c>
      <c r="K800" s="98">
        <v>576.12</v>
      </c>
      <c r="L800" s="98">
        <v>17.673999999999999</v>
      </c>
      <c r="M800" s="98">
        <v>576.1</v>
      </c>
      <c r="N800" s="98">
        <v>17.7</v>
      </c>
      <c r="O800" s="99" t="s">
        <v>514</v>
      </c>
    </row>
    <row r="801" spans="1:15" x14ac:dyDescent="0.25">
      <c r="A801" s="98" t="s">
        <v>55</v>
      </c>
      <c r="B801" s="98" t="s">
        <v>46</v>
      </c>
      <c r="C801" s="98">
        <v>0.1</v>
      </c>
      <c r="D801" s="98">
        <v>1</v>
      </c>
      <c r="E801" s="98">
        <v>0.01</v>
      </c>
      <c r="F801" s="98" t="s">
        <v>13</v>
      </c>
      <c r="G801" s="98" t="s">
        <v>11</v>
      </c>
      <c r="H801" s="98">
        <v>0</v>
      </c>
      <c r="I801" s="98">
        <v>0</v>
      </c>
      <c r="K801" s="98">
        <v>5773.4</v>
      </c>
      <c r="L801" s="98">
        <v>1.7853000000000001</v>
      </c>
      <c r="M801" s="98">
        <v>5771.8</v>
      </c>
      <c r="N801" s="98">
        <v>1.7958000000000001</v>
      </c>
      <c r="O801" s="99" t="s">
        <v>515</v>
      </c>
    </row>
    <row r="802" spans="1:15" x14ac:dyDescent="0.25">
      <c r="A802" s="98" t="s">
        <v>55</v>
      </c>
      <c r="B802" s="98" t="s">
        <v>46</v>
      </c>
      <c r="C802" s="98">
        <v>1</v>
      </c>
      <c r="D802" s="98">
        <v>20</v>
      </c>
      <c r="E802" s="98">
        <v>9.9999999999999995E-7</v>
      </c>
      <c r="F802" s="98" t="s">
        <v>13</v>
      </c>
      <c r="G802" s="98" t="s">
        <v>12</v>
      </c>
      <c r="H802" s="98">
        <v>0</v>
      </c>
      <c r="I802" s="98">
        <v>0</v>
      </c>
      <c r="K802" s="98">
        <v>6.8000000000000005E-2</v>
      </c>
      <c r="L802" s="98">
        <v>3.5999999999999999E-3</v>
      </c>
      <c r="M802" s="98">
        <v>4.2999999999999997E-2</v>
      </c>
      <c r="N802" s="98">
        <v>4.7600000000000003E-3</v>
      </c>
      <c r="O802" s="99" t="s">
        <v>516</v>
      </c>
    </row>
    <row r="803" spans="1:15" x14ac:dyDescent="0.25">
      <c r="A803" s="98" t="s">
        <v>55</v>
      </c>
      <c r="B803" s="98" t="s">
        <v>46</v>
      </c>
      <c r="C803" s="98">
        <v>1</v>
      </c>
      <c r="D803" s="98">
        <v>20</v>
      </c>
      <c r="E803" s="98">
        <v>1.0000000000000001E-5</v>
      </c>
      <c r="F803" s="98" t="s">
        <v>13</v>
      </c>
      <c r="G803" s="98" t="s">
        <v>12</v>
      </c>
      <c r="H803" s="98">
        <v>0</v>
      </c>
      <c r="I803" s="98">
        <v>0</v>
      </c>
      <c r="K803" s="98">
        <v>6.8000000000000005E-2</v>
      </c>
      <c r="L803" s="98">
        <v>3.5999999999999999E-3</v>
      </c>
      <c r="M803" s="98">
        <v>4.3318000000000002E-2</v>
      </c>
      <c r="N803" s="98">
        <v>4.7475E-3</v>
      </c>
      <c r="O803" s="99" t="s">
        <v>517</v>
      </c>
    </row>
    <row r="804" spans="1:15" x14ac:dyDescent="0.25">
      <c r="A804" s="98" t="s">
        <v>55</v>
      </c>
      <c r="B804" s="98" t="s">
        <v>46</v>
      </c>
      <c r="C804" s="98">
        <v>1</v>
      </c>
      <c r="D804" s="98">
        <v>20</v>
      </c>
      <c r="E804" s="98">
        <v>1E-4</v>
      </c>
      <c r="F804" s="98" t="s">
        <v>13</v>
      </c>
      <c r="G804" s="98" t="s">
        <v>12</v>
      </c>
      <c r="H804" s="98">
        <v>0</v>
      </c>
      <c r="I804" s="98">
        <v>0</v>
      </c>
      <c r="K804" s="98">
        <v>7.0892999999999998E-2</v>
      </c>
      <c r="L804" s="98">
        <v>3.8964999999999998E-3</v>
      </c>
      <c r="M804" s="98">
        <v>6.8928000000000003E-2</v>
      </c>
      <c r="N804" s="98">
        <v>3.8257999999999999E-3</v>
      </c>
      <c r="O804" s="99" t="s">
        <v>518</v>
      </c>
    </row>
    <row r="805" spans="1:15" x14ac:dyDescent="0.25">
      <c r="A805" s="98" t="s">
        <v>55</v>
      </c>
      <c r="B805" s="98" t="s">
        <v>46</v>
      </c>
      <c r="C805" s="98">
        <v>1</v>
      </c>
      <c r="D805" s="98">
        <v>20</v>
      </c>
      <c r="E805" s="98">
        <v>1E-3</v>
      </c>
      <c r="F805" s="98" t="s">
        <v>13</v>
      </c>
      <c r="G805" s="98" t="s">
        <v>12</v>
      </c>
      <c r="H805" s="98">
        <v>0</v>
      </c>
      <c r="I805" s="98">
        <v>0</v>
      </c>
      <c r="K805" s="98">
        <v>0.57833999999999997</v>
      </c>
      <c r="L805" s="98">
        <v>8.1072999999999996E-4</v>
      </c>
      <c r="M805" s="98">
        <v>0.57808999999999999</v>
      </c>
      <c r="N805" s="98">
        <v>6.9919999999999997E-4</v>
      </c>
      <c r="O805" s="99" t="s">
        <v>519</v>
      </c>
    </row>
    <row r="806" spans="1:15" x14ac:dyDescent="0.25">
      <c r="A806" s="98" t="s">
        <v>55</v>
      </c>
      <c r="B806" s="98" t="s">
        <v>46</v>
      </c>
      <c r="C806" s="98">
        <v>1</v>
      </c>
      <c r="D806" s="98">
        <v>20</v>
      </c>
      <c r="E806" s="98">
        <v>0.01</v>
      </c>
      <c r="F806" s="98" t="s">
        <v>13</v>
      </c>
      <c r="G806" s="98" t="s">
        <v>12</v>
      </c>
      <c r="H806" s="98">
        <v>0</v>
      </c>
      <c r="I806" s="98">
        <v>0</v>
      </c>
      <c r="K806" s="98">
        <v>5.7739000000000003</v>
      </c>
      <c r="L806" s="98">
        <v>1.1677E-4</v>
      </c>
      <c r="M806" s="98">
        <v>5.7736000000000001</v>
      </c>
      <c r="N806" s="98">
        <v>7.0888000000000003E-5</v>
      </c>
      <c r="O806" s="99" t="s">
        <v>520</v>
      </c>
    </row>
    <row r="807" spans="1:15" x14ac:dyDescent="0.25">
      <c r="A807" s="98" t="s">
        <v>55</v>
      </c>
      <c r="B807" s="98" t="s">
        <v>46</v>
      </c>
      <c r="C807" s="98">
        <v>1</v>
      </c>
      <c r="D807" s="98">
        <v>20</v>
      </c>
      <c r="E807" s="98">
        <v>0.1</v>
      </c>
      <c r="F807" s="98" t="s">
        <v>13</v>
      </c>
      <c r="G807" s="98" t="s">
        <v>12</v>
      </c>
      <c r="H807" s="98">
        <v>0</v>
      </c>
      <c r="I807" s="98">
        <v>0</v>
      </c>
      <c r="K807" s="98">
        <v>57.735999999999997</v>
      </c>
      <c r="L807" s="98">
        <v>2.5449E-5</v>
      </c>
      <c r="M807" s="98">
        <v>57.734999999999999</v>
      </c>
      <c r="N807" s="98">
        <v>7.0898000000000003E-6</v>
      </c>
      <c r="O807" s="99" t="s">
        <v>521</v>
      </c>
    </row>
    <row r="808" spans="1:15" x14ac:dyDescent="0.25">
      <c r="A808" s="98" t="s">
        <v>55</v>
      </c>
      <c r="B808" s="98" t="s">
        <v>3</v>
      </c>
      <c r="C808" s="98">
        <v>0</v>
      </c>
      <c r="D808" s="98">
        <v>0.1</v>
      </c>
      <c r="E808" s="98">
        <v>1E-8</v>
      </c>
      <c r="F808" s="98" t="s">
        <v>6</v>
      </c>
      <c r="G808" s="98" t="s">
        <v>5</v>
      </c>
      <c r="H808" s="98">
        <v>0</v>
      </c>
      <c r="I808" s="98">
        <v>0</v>
      </c>
      <c r="K808" s="98">
        <v>0.62</v>
      </c>
      <c r="L808" s="98">
        <v>8</v>
      </c>
      <c r="M808" s="98">
        <v>0.60546</v>
      </c>
      <c r="N808" s="98">
        <v>8.1091999999999995</v>
      </c>
      <c r="O808" s="99" t="s">
        <v>430</v>
      </c>
    </row>
    <row r="809" spans="1:15" x14ac:dyDescent="0.25">
      <c r="A809" s="98" t="s">
        <v>55</v>
      </c>
      <c r="B809" s="98" t="s">
        <v>3</v>
      </c>
      <c r="C809" s="98">
        <v>0</v>
      </c>
      <c r="D809" s="98">
        <v>0.1</v>
      </c>
      <c r="E809" s="98">
        <v>9.9999999999999995E-8</v>
      </c>
      <c r="F809" s="98" t="s">
        <v>6</v>
      </c>
      <c r="G809" s="98" t="s">
        <v>5</v>
      </c>
      <c r="H809" s="98">
        <v>0</v>
      </c>
      <c r="I809" s="98">
        <v>0</v>
      </c>
      <c r="K809" s="98">
        <v>0.62</v>
      </c>
      <c r="L809" s="98">
        <v>8.0237999999999996</v>
      </c>
      <c r="M809" s="98">
        <v>0.60819000000000001</v>
      </c>
      <c r="N809" s="98">
        <v>8.09</v>
      </c>
      <c r="O809" s="99" t="s">
        <v>431</v>
      </c>
    </row>
    <row r="810" spans="1:15" x14ac:dyDescent="0.25">
      <c r="A810" s="98" t="s">
        <v>55</v>
      </c>
      <c r="B810" s="98" t="s">
        <v>3</v>
      </c>
      <c r="C810" s="98">
        <v>0</v>
      </c>
      <c r="D810" s="98">
        <v>0.1</v>
      </c>
      <c r="E810" s="98">
        <v>9.9999999999999995E-7</v>
      </c>
      <c r="F810" s="98" t="s">
        <v>6</v>
      </c>
      <c r="G810" s="98" t="s">
        <v>5</v>
      </c>
      <c r="H810" s="98">
        <v>0</v>
      </c>
      <c r="I810" s="98">
        <v>0</v>
      </c>
      <c r="K810" s="98">
        <v>0.83938000000000001</v>
      </c>
      <c r="L810" s="98">
        <v>6.96</v>
      </c>
      <c r="M810" s="98">
        <v>0.83736999999999995</v>
      </c>
      <c r="N810" s="98">
        <v>6.93</v>
      </c>
      <c r="O810" s="99" t="s">
        <v>432</v>
      </c>
    </row>
    <row r="811" spans="1:15" x14ac:dyDescent="0.25">
      <c r="A811" s="98" t="s">
        <v>55</v>
      </c>
      <c r="B811" s="98" t="s">
        <v>3</v>
      </c>
      <c r="C811" s="98">
        <v>0</v>
      </c>
      <c r="D811" s="98">
        <v>0.1</v>
      </c>
      <c r="E811" s="98">
        <v>1.0000000000000001E-5</v>
      </c>
      <c r="F811" s="98" t="s">
        <v>6</v>
      </c>
      <c r="G811" s="98" t="s">
        <v>5</v>
      </c>
      <c r="H811" s="98">
        <v>0</v>
      </c>
      <c r="I811" s="98">
        <v>0</v>
      </c>
      <c r="K811" s="98">
        <v>5.8320999999999996</v>
      </c>
      <c r="L811" s="98">
        <v>1.43</v>
      </c>
      <c r="M811" s="98">
        <v>5.8310000000000004</v>
      </c>
      <c r="N811" s="98">
        <v>1.39</v>
      </c>
      <c r="O811" s="99" t="s">
        <v>433</v>
      </c>
    </row>
    <row r="812" spans="1:15" x14ac:dyDescent="0.25">
      <c r="A812" s="98" t="s">
        <v>55</v>
      </c>
      <c r="B812" s="98" t="s">
        <v>3</v>
      </c>
      <c r="C812" s="98">
        <v>0</v>
      </c>
      <c r="D812" s="98">
        <v>0.1</v>
      </c>
      <c r="E812" s="98">
        <v>1E-4</v>
      </c>
      <c r="F812" s="98" t="s">
        <v>6</v>
      </c>
      <c r="G812" s="98" t="s">
        <v>5</v>
      </c>
      <c r="H812" s="98">
        <v>0</v>
      </c>
      <c r="I812" s="98">
        <v>0</v>
      </c>
      <c r="K812" s="98">
        <v>58.003999999999998</v>
      </c>
      <c r="L812" s="98">
        <v>0.15762999999999999</v>
      </c>
      <c r="M812" s="98">
        <v>58.003</v>
      </c>
      <c r="N812" s="98">
        <v>0.14188000000000001</v>
      </c>
      <c r="O812" s="99" t="s">
        <v>434</v>
      </c>
    </row>
    <row r="813" spans="1:15" x14ac:dyDescent="0.25">
      <c r="A813" s="98" t="s">
        <v>55</v>
      </c>
      <c r="B813" s="98" t="s">
        <v>3</v>
      </c>
      <c r="C813" s="98">
        <v>0</v>
      </c>
      <c r="D813" s="98">
        <v>0.1</v>
      </c>
      <c r="E813" s="98">
        <v>1E-3</v>
      </c>
      <c r="F813" s="98" t="s">
        <v>6</v>
      </c>
      <c r="G813" s="98" t="s">
        <v>5</v>
      </c>
      <c r="H813" s="98">
        <v>0</v>
      </c>
      <c r="I813" s="98">
        <v>0</v>
      </c>
      <c r="K813" s="98">
        <v>580</v>
      </c>
      <c r="L813" s="98">
        <v>2.0493000000000001E-2</v>
      </c>
      <c r="M813" s="98">
        <v>580</v>
      </c>
      <c r="N813" s="98">
        <v>1.4191E-2</v>
      </c>
      <c r="O813" s="99" t="s">
        <v>435</v>
      </c>
    </row>
    <row r="814" spans="1:15" x14ac:dyDescent="0.25">
      <c r="A814" s="98" t="s">
        <v>55</v>
      </c>
      <c r="B814" s="98" t="s">
        <v>3</v>
      </c>
      <c r="C814" s="98">
        <v>0</v>
      </c>
      <c r="D814" s="98">
        <v>0.1</v>
      </c>
      <c r="E814" s="98">
        <v>0.01</v>
      </c>
      <c r="F814" s="98" t="s">
        <v>6</v>
      </c>
      <c r="G814" s="98" t="s">
        <v>4</v>
      </c>
      <c r="H814" s="98">
        <v>0</v>
      </c>
      <c r="I814" s="98">
        <v>0</v>
      </c>
      <c r="K814" s="98">
        <v>5.8</v>
      </c>
      <c r="L814" s="98">
        <v>3.9400000000000004E-6</v>
      </c>
      <c r="M814" s="98">
        <v>5.7999000000000001</v>
      </c>
      <c r="N814" s="98">
        <v>1.4191000000000001E-6</v>
      </c>
      <c r="O814" s="99" t="s">
        <v>436</v>
      </c>
    </row>
    <row r="815" spans="1:15" x14ac:dyDescent="0.25">
      <c r="A815" s="98" t="s">
        <v>55</v>
      </c>
      <c r="B815" s="98" t="s">
        <v>3</v>
      </c>
      <c r="C815" s="98">
        <v>0</v>
      </c>
      <c r="D815" s="98">
        <v>0.1</v>
      </c>
      <c r="E815" s="98">
        <v>0.1</v>
      </c>
      <c r="F815" s="98" t="s">
        <v>6</v>
      </c>
      <c r="G815" s="98" t="s">
        <v>4</v>
      </c>
      <c r="H815" s="98">
        <v>0</v>
      </c>
      <c r="I815" s="98">
        <v>0</v>
      </c>
      <c r="K815" s="98">
        <v>58</v>
      </c>
      <c r="L815" s="98">
        <v>1.1503E-6</v>
      </c>
      <c r="M815" s="98">
        <v>58</v>
      </c>
      <c r="N815" s="98">
        <v>1.4191E-7</v>
      </c>
      <c r="O815" s="99" t="s">
        <v>437</v>
      </c>
    </row>
    <row r="816" spans="1:15" x14ac:dyDescent="0.25">
      <c r="A816" s="98" t="s">
        <v>55</v>
      </c>
      <c r="B816" s="98" t="s">
        <v>3</v>
      </c>
      <c r="C816" s="98">
        <v>0</v>
      </c>
      <c r="D816" s="98">
        <v>0.1</v>
      </c>
      <c r="E816" s="98">
        <v>1</v>
      </c>
      <c r="F816" s="98" t="s">
        <v>6</v>
      </c>
      <c r="G816" s="98" t="s">
        <v>4</v>
      </c>
      <c r="H816" s="98">
        <v>0</v>
      </c>
      <c r="I816" s="98">
        <v>0</v>
      </c>
      <c r="K816" s="98">
        <v>580</v>
      </c>
      <c r="L816" s="98">
        <v>4.1754000000000002E-7</v>
      </c>
      <c r="M816" s="98">
        <v>580</v>
      </c>
      <c r="N816" s="98">
        <v>1.4190999999999999E-8</v>
      </c>
      <c r="O816" s="99" t="s">
        <v>438</v>
      </c>
    </row>
    <row r="817" spans="1:15" x14ac:dyDescent="0.25">
      <c r="A817" s="98" t="s">
        <v>55</v>
      </c>
      <c r="B817" s="98" t="s">
        <v>3</v>
      </c>
      <c r="C817" s="98">
        <v>0.1</v>
      </c>
      <c r="D817" s="98">
        <v>1</v>
      </c>
      <c r="E817" s="98">
        <v>1E-8</v>
      </c>
      <c r="F817" s="98" t="s">
        <v>6</v>
      </c>
      <c r="G817" s="98" t="s">
        <v>5</v>
      </c>
      <c r="H817" s="98">
        <v>0</v>
      </c>
      <c r="I817" s="98">
        <v>0</v>
      </c>
      <c r="K817" s="98">
        <v>0.44</v>
      </c>
      <c r="L817" s="98">
        <v>6</v>
      </c>
      <c r="M817" s="98">
        <v>0.43733</v>
      </c>
      <c r="N817" s="98">
        <v>5.9926000000000004</v>
      </c>
      <c r="O817" s="99" t="s">
        <v>439</v>
      </c>
    </row>
    <row r="818" spans="1:15" x14ac:dyDescent="0.25">
      <c r="A818" s="98" t="s">
        <v>55</v>
      </c>
      <c r="B818" s="98" t="s">
        <v>3</v>
      </c>
      <c r="C818" s="98">
        <v>0.1</v>
      </c>
      <c r="D818" s="98">
        <v>1</v>
      </c>
      <c r="E818" s="98">
        <v>9.9999999999999995E-8</v>
      </c>
      <c r="F818" s="98" t="s">
        <v>6</v>
      </c>
      <c r="G818" s="98" t="s">
        <v>5</v>
      </c>
      <c r="H818" s="98">
        <v>0</v>
      </c>
      <c r="I818" s="98">
        <v>0</v>
      </c>
      <c r="K818" s="98">
        <v>0.44094</v>
      </c>
      <c r="L818" s="98">
        <v>5.99</v>
      </c>
      <c r="M818" s="98">
        <v>0.43908999999999998</v>
      </c>
      <c r="N818" s="98">
        <v>5.9911000000000003</v>
      </c>
      <c r="O818" s="99" t="s">
        <v>440</v>
      </c>
    </row>
    <row r="819" spans="1:15" x14ac:dyDescent="0.25">
      <c r="A819" s="98" t="s">
        <v>55</v>
      </c>
      <c r="B819" s="98" t="s">
        <v>3</v>
      </c>
      <c r="C819" s="98">
        <v>0.1</v>
      </c>
      <c r="D819" s="98">
        <v>1</v>
      </c>
      <c r="E819" s="98">
        <v>9.9999999999999995E-7</v>
      </c>
      <c r="F819" s="98" t="s">
        <v>6</v>
      </c>
      <c r="G819" s="98" t="s">
        <v>5</v>
      </c>
      <c r="H819" s="98">
        <v>0</v>
      </c>
      <c r="I819" s="98">
        <v>0</v>
      </c>
      <c r="K819" s="98">
        <v>0.60901000000000005</v>
      </c>
      <c r="L819" s="98">
        <v>5.85</v>
      </c>
      <c r="M819" s="98">
        <v>0.60243999999999998</v>
      </c>
      <c r="N819" s="98">
        <v>5.8536000000000001</v>
      </c>
      <c r="O819" s="99" t="s">
        <v>441</v>
      </c>
    </row>
    <row r="820" spans="1:15" x14ac:dyDescent="0.25">
      <c r="A820" s="98" t="s">
        <v>55</v>
      </c>
      <c r="B820" s="98" t="s">
        <v>3</v>
      </c>
      <c r="C820" s="98">
        <v>0.1</v>
      </c>
      <c r="D820" s="98">
        <v>1</v>
      </c>
      <c r="E820" s="98">
        <v>1.0000000000000001E-5</v>
      </c>
      <c r="F820" s="98" t="s">
        <v>6</v>
      </c>
      <c r="G820" s="98" t="s">
        <v>5</v>
      </c>
      <c r="H820" s="98">
        <v>0</v>
      </c>
      <c r="I820" s="98">
        <v>0</v>
      </c>
      <c r="K820" s="98">
        <v>5.5890000000000004</v>
      </c>
      <c r="L820" s="98">
        <v>3.0792000000000002</v>
      </c>
      <c r="M820" s="98">
        <v>5.5845000000000002</v>
      </c>
      <c r="N820" s="98">
        <v>3.0749</v>
      </c>
      <c r="O820" s="99" t="s">
        <v>442</v>
      </c>
    </row>
    <row r="821" spans="1:15" x14ac:dyDescent="0.25">
      <c r="A821" s="98" t="s">
        <v>55</v>
      </c>
      <c r="B821" s="98" t="s">
        <v>3</v>
      </c>
      <c r="C821" s="98">
        <v>0.1</v>
      </c>
      <c r="D821" s="98">
        <v>1</v>
      </c>
      <c r="E821" s="98">
        <v>1E-4</v>
      </c>
      <c r="F821" s="98" t="s">
        <v>6</v>
      </c>
      <c r="G821" s="98" t="s">
        <v>5</v>
      </c>
      <c r="H821" s="98">
        <v>0</v>
      </c>
      <c r="I821" s="98">
        <v>0</v>
      </c>
      <c r="K821" s="98">
        <v>57.972999999999999</v>
      </c>
      <c r="L821" s="98">
        <v>0.3881</v>
      </c>
      <c r="M821" s="98">
        <v>57.970999999999997</v>
      </c>
      <c r="N821" s="98">
        <v>0.38451999999999997</v>
      </c>
      <c r="O821" s="99" t="s">
        <v>443</v>
      </c>
    </row>
    <row r="822" spans="1:15" x14ac:dyDescent="0.25">
      <c r="A822" s="98" t="s">
        <v>55</v>
      </c>
      <c r="B822" s="98" t="s">
        <v>3</v>
      </c>
      <c r="C822" s="98">
        <v>0.1</v>
      </c>
      <c r="D822" s="98">
        <v>1</v>
      </c>
      <c r="E822" s="98">
        <v>1E-3</v>
      </c>
      <c r="F822" s="98" t="s">
        <v>6</v>
      </c>
      <c r="G822" s="98" t="s">
        <v>5</v>
      </c>
      <c r="H822" s="98">
        <v>0</v>
      </c>
      <c r="I822" s="98">
        <v>0</v>
      </c>
      <c r="K822" s="98">
        <v>580</v>
      </c>
      <c r="L822" s="98">
        <v>4.0017999999999998E-2</v>
      </c>
      <c r="M822" s="98">
        <v>579.96</v>
      </c>
      <c r="N822" s="98">
        <v>3.8571000000000001E-2</v>
      </c>
      <c r="O822" s="99" t="s">
        <v>444</v>
      </c>
    </row>
    <row r="823" spans="1:15" x14ac:dyDescent="0.25">
      <c r="A823" s="98" t="s">
        <v>55</v>
      </c>
      <c r="B823" s="98" t="s">
        <v>3</v>
      </c>
      <c r="C823" s="98">
        <v>1</v>
      </c>
      <c r="D823" s="98">
        <v>10</v>
      </c>
      <c r="E823" s="98">
        <v>9.9999999999999995E-8</v>
      </c>
      <c r="F823" s="98" t="s">
        <v>6</v>
      </c>
      <c r="G823" s="98" t="s">
        <v>5</v>
      </c>
      <c r="H823" s="98">
        <v>0</v>
      </c>
      <c r="I823" s="98">
        <v>0</v>
      </c>
      <c r="K823" s="98">
        <v>1.2</v>
      </c>
      <c r="L823" s="98">
        <v>5.3</v>
      </c>
      <c r="M823" s="98">
        <v>0.75905</v>
      </c>
      <c r="N823" s="98">
        <v>5.3437000000000001</v>
      </c>
      <c r="O823" s="99" t="s">
        <v>445</v>
      </c>
    </row>
    <row r="824" spans="1:15" x14ac:dyDescent="0.25">
      <c r="A824" s="98" t="s">
        <v>55</v>
      </c>
      <c r="B824" s="98" t="s">
        <v>3</v>
      </c>
      <c r="C824" s="98">
        <v>1</v>
      </c>
      <c r="D824" s="98">
        <v>10</v>
      </c>
      <c r="E824" s="98">
        <v>9.9999999999999995E-7</v>
      </c>
      <c r="F824" s="98" t="s">
        <v>6</v>
      </c>
      <c r="G824" s="98" t="s">
        <v>5</v>
      </c>
      <c r="H824" s="98">
        <v>0</v>
      </c>
      <c r="I824" s="98">
        <v>0</v>
      </c>
      <c r="K824" s="98">
        <v>1.2</v>
      </c>
      <c r="L824" s="98">
        <v>5.3409000000000004</v>
      </c>
      <c r="M824" s="98">
        <v>0.78898000000000001</v>
      </c>
      <c r="N824" s="98">
        <v>5.3410000000000002</v>
      </c>
      <c r="O824" s="99" t="s">
        <v>446</v>
      </c>
    </row>
    <row r="825" spans="1:15" x14ac:dyDescent="0.25">
      <c r="A825" s="98" t="s">
        <v>55</v>
      </c>
      <c r="B825" s="98" t="s">
        <v>3</v>
      </c>
      <c r="C825" s="98">
        <v>1</v>
      </c>
      <c r="D825" s="98">
        <v>10</v>
      </c>
      <c r="E825" s="98">
        <v>1.0000000000000001E-5</v>
      </c>
      <c r="F825" s="98" t="s">
        <v>6</v>
      </c>
      <c r="G825" s="98" t="s">
        <v>5</v>
      </c>
      <c r="H825" s="98">
        <v>0</v>
      </c>
      <c r="I825" s="98">
        <v>0</v>
      </c>
      <c r="K825" s="98">
        <v>3.3010000000000002</v>
      </c>
      <c r="L825" s="98">
        <v>5.1204999999999998</v>
      </c>
      <c r="M825" s="98">
        <v>3.2984</v>
      </c>
      <c r="N825" s="98">
        <v>5.1207000000000003</v>
      </c>
      <c r="O825" s="99" t="s">
        <v>447</v>
      </c>
    </row>
    <row r="826" spans="1:15" x14ac:dyDescent="0.25">
      <c r="A826" s="98" t="s">
        <v>55</v>
      </c>
      <c r="B826" s="98" t="s">
        <v>3</v>
      </c>
      <c r="C826" s="98">
        <v>1</v>
      </c>
      <c r="D826" s="98">
        <v>10</v>
      </c>
      <c r="E826" s="98">
        <v>1E-4</v>
      </c>
      <c r="F826" s="98" t="s">
        <v>6</v>
      </c>
      <c r="G826" s="98" t="s">
        <v>5</v>
      </c>
      <c r="H826" s="98">
        <v>0</v>
      </c>
      <c r="I826" s="98">
        <v>0</v>
      </c>
      <c r="K826" s="98">
        <v>55.981000000000002</v>
      </c>
      <c r="L826" s="98">
        <v>2.3401000000000001</v>
      </c>
      <c r="M826" s="98">
        <v>55.98</v>
      </c>
      <c r="N826" s="98">
        <v>2.34</v>
      </c>
      <c r="O826" s="99" t="s">
        <v>448</v>
      </c>
    </row>
    <row r="827" spans="1:15" x14ac:dyDescent="0.25">
      <c r="A827" s="98" t="s">
        <v>55</v>
      </c>
      <c r="B827" s="98" t="s">
        <v>3</v>
      </c>
      <c r="C827" s="98">
        <v>1</v>
      </c>
      <c r="D827" s="98">
        <v>10</v>
      </c>
      <c r="E827" s="98">
        <v>1E-3</v>
      </c>
      <c r="F827" s="98" t="s">
        <v>6</v>
      </c>
      <c r="G827" s="98" t="s">
        <v>5</v>
      </c>
      <c r="H827" s="98">
        <v>0</v>
      </c>
      <c r="I827" s="98">
        <v>0</v>
      </c>
      <c r="K827" s="98">
        <v>579.76</v>
      </c>
      <c r="L827" s="98">
        <v>0.27723999999999999</v>
      </c>
      <c r="M827" s="98">
        <v>579.76</v>
      </c>
      <c r="N827" s="98">
        <v>0.27716000000000002</v>
      </c>
      <c r="O827" s="99" t="s">
        <v>449</v>
      </c>
    </row>
    <row r="828" spans="1:15" x14ac:dyDescent="0.25">
      <c r="A828" s="98" t="s">
        <v>55</v>
      </c>
      <c r="B828" s="98" t="s">
        <v>3</v>
      </c>
      <c r="C828" s="98">
        <v>1</v>
      </c>
      <c r="D828" s="98">
        <v>10</v>
      </c>
      <c r="E828" s="98">
        <v>0.01</v>
      </c>
      <c r="F828" s="98" t="s">
        <v>6</v>
      </c>
      <c r="G828" s="98" t="s">
        <v>5</v>
      </c>
      <c r="H828" s="98">
        <v>0</v>
      </c>
      <c r="I828" s="98">
        <v>0</v>
      </c>
      <c r="K828" s="98">
        <v>5800</v>
      </c>
      <c r="L828" s="98">
        <v>2.7807999999999999E-2</v>
      </c>
      <c r="M828" s="98">
        <v>5799.7</v>
      </c>
      <c r="N828" s="98">
        <v>2.7777E-2</v>
      </c>
      <c r="O828" s="99" t="s">
        <v>450</v>
      </c>
    </row>
    <row r="829" spans="1:15" x14ac:dyDescent="0.25">
      <c r="A829" s="98" t="s">
        <v>55</v>
      </c>
      <c r="B829" s="98" t="s">
        <v>3</v>
      </c>
      <c r="C829" s="98">
        <v>10</v>
      </c>
      <c r="D829" s="98">
        <v>100</v>
      </c>
      <c r="E829" s="98">
        <v>9.9999999999999995E-7</v>
      </c>
      <c r="F829" s="98" t="s">
        <v>6</v>
      </c>
      <c r="G829" s="98" t="s">
        <v>5</v>
      </c>
      <c r="H829" s="98">
        <v>0</v>
      </c>
      <c r="I829" s="98">
        <v>0</v>
      </c>
      <c r="K829" s="98">
        <v>34</v>
      </c>
      <c r="L829" s="98">
        <v>7.8</v>
      </c>
      <c r="M829" s="98">
        <v>33.131999999999998</v>
      </c>
      <c r="N829" s="98">
        <v>7.7866</v>
      </c>
      <c r="O829" s="99" t="s">
        <v>451</v>
      </c>
    </row>
    <row r="830" spans="1:15" x14ac:dyDescent="0.25">
      <c r="A830" s="98" t="s">
        <v>55</v>
      </c>
      <c r="B830" s="98" t="s">
        <v>3</v>
      </c>
      <c r="C830" s="98">
        <v>10</v>
      </c>
      <c r="D830" s="98">
        <v>100</v>
      </c>
      <c r="E830" s="98">
        <v>1.0000000000000001E-5</v>
      </c>
      <c r="F830" s="98" t="s">
        <v>6</v>
      </c>
      <c r="G830" s="98" t="s">
        <v>5</v>
      </c>
      <c r="H830" s="98">
        <v>0</v>
      </c>
      <c r="I830" s="98">
        <v>0</v>
      </c>
      <c r="K830" s="98">
        <v>34</v>
      </c>
      <c r="L830" s="98">
        <v>7.7847999999999997</v>
      </c>
      <c r="M830" s="98">
        <v>33.299999999999997</v>
      </c>
      <c r="N830" s="98">
        <v>7.7850999999999999</v>
      </c>
      <c r="O830" s="99" t="s">
        <v>452</v>
      </c>
    </row>
    <row r="831" spans="1:15" x14ac:dyDescent="0.25">
      <c r="A831" s="98" t="s">
        <v>55</v>
      </c>
      <c r="B831" s="98" t="s">
        <v>3</v>
      </c>
      <c r="C831" s="98">
        <v>10</v>
      </c>
      <c r="D831" s="98">
        <v>100</v>
      </c>
      <c r="E831" s="98">
        <v>1E-4</v>
      </c>
      <c r="F831" s="98" t="s">
        <v>6</v>
      </c>
      <c r="G831" s="98" t="s">
        <v>5</v>
      </c>
      <c r="H831" s="98">
        <v>0</v>
      </c>
      <c r="I831" s="98">
        <v>0</v>
      </c>
      <c r="K831" s="98">
        <v>48.99</v>
      </c>
      <c r="L831" s="98">
        <v>7.6505000000000001</v>
      </c>
      <c r="M831" s="98">
        <v>48.722999999999999</v>
      </c>
      <c r="N831" s="98">
        <v>7.6513999999999998</v>
      </c>
      <c r="O831" s="99" t="s">
        <v>453</v>
      </c>
    </row>
    <row r="832" spans="1:15" x14ac:dyDescent="0.25">
      <c r="A832" s="98" t="s">
        <v>55</v>
      </c>
      <c r="B832" s="98" t="s">
        <v>3</v>
      </c>
      <c r="C832" s="98">
        <v>10</v>
      </c>
      <c r="D832" s="98">
        <v>100</v>
      </c>
      <c r="E832" s="98">
        <v>1E-3</v>
      </c>
      <c r="F832" s="98" t="s">
        <v>6</v>
      </c>
      <c r="G832" s="98" t="s">
        <v>5</v>
      </c>
      <c r="H832" s="98">
        <v>0</v>
      </c>
      <c r="I832" s="98">
        <v>0</v>
      </c>
      <c r="K832" s="98">
        <v>545.46</v>
      </c>
      <c r="L832" s="98">
        <v>4.5282999999999998</v>
      </c>
      <c r="M832" s="98">
        <v>545.28</v>
      </c>
      <c r="N832" s="98">
        <v>4.5242000000000004</v>
      </c>
      <c r="O832" s="99" t="s">
        <v>454</v>
      </c>
    </row>
    <row r="833" spans="1:15" x14ac:dyDescent="0.25">
      <c r="A833" s="98" t="s">
        <v>55</v>
      </c>
      <c r="B833" s="98" t="s">
        <v>3</v>
      </c>
      <c r="C833" s="98">
        <v>10</v>
      </c>
      <c r="D833" s="98">
        <v>100</v>
      </c>
      <c r="E833" s="98">
        <v>0.01</v>
      </c>
      <c r="F833" s="98" t="s">
        <v>6</v>
      </c>
      <c r="G833" s="98" t="s">
        <v>5</v>
      </c>
      <c r="H833" s="98">
        <v>0</v>
      </c>
      <c r="I833" s="98">
        <v>0</v>
      </c>
      <c r="K833" s="98">
        <v>5795</v>
      </c>
      <c r="L833" s="98">
        <v>0.61987000000000003</v>
      </c>
      <c r="M833" s="98">
        <v>5794.9</v>
      </c>
      <c r="N833" s="98">
        <v>0.61636999999999997</v>
      </c>
      <c r="O833" s="99" t="s">
        <v>455</v>
      </c>
    </row>
    <row r="834" spans="1:15" x14ac:dyDescent="0.25">
      <c r="A834" s="98" t="s">
        <v>55</v>
      </c>
      <c r="B834" s="98" t="s">
        <v>3</v>
      </c>
      <c r="C834" s="98">
        <v>100</v>
      </c>
      <c r="D834" s="98">
        <v>1000</v>
      </c>
      <c r="E834" s="98">
        <v>1.0000000000000001E-5</v>
      </c>
      <c r="F834" s="98" t="s">
        <v>6</v>
      </c>
      <c r="G834" s="98" t="s">
        <v>4</v>
      </c>
      <c r="H834" s="98">
        <v>0</v>
      </c>
      <c r="I834" s="98">
        <v>0</v>
      </c>
      <c r="K834" s="98">
        <v>0.11</v>
      </c>
      <c r="L834" s="98">
        <v>8.6999999999999994E-3</v>
      </c>
      <c r="M834" s="98">
        <v>0.10063999999999999</v>
      </c>
      <c r="N834" s="98">
        <v>8.6546999999999995E-3</v>
      </c>
      <c r="O834" s="99" t="s">
        <v>456</v>
      </c>
    </row>
    <row r="835" spans="1:15" x14ac:dyDescent="0.25">
      <c r="A835" s="98" t="s">
        <v>55</v>
      </c>
      <c r="B835" s="98" t="s">
        <v>3</v>
      </c>
      <c r="C835" s="98">
        <v>100</v>
      </c>
      <c r="D835" s="98">
        <v>1000</v>
      </c>
      <c r="E835" s="98">
        <v>1E-4</v>
      </c>
      <c r="F835" s="98" t="s">
        <v>6</v>
      </c>
      <c r="G835" s="98" t="s">
        <v>4</v>
      </c>
      <c r="H835" s="98">
        <v>0</v>
      </c>
      <c r="I835" s="98">
        <v>0</v>
      </c>
      <c r="K835" s="98">
        <v>0.11</v>
      </c>
      <c r="L835" s="98">
        <v>8.6528999999999998E-3</v>
      </c>
      <c r="M835" s="98">
        <v>0.10253</v>
      </c>
      <c r="N835" s="98">
        <v>8.6529999999999992E-3</v>
      </c>
      <c r="O835" s="99" t="s">
        <v>457</v>
      </c>
    </row>
    <row r="836" spans="1:15" x14ac:dyDescent="0.25">
      <c r="A836" s="98" t="s">
        <v>55</v>
      </c>
      <c r="B836" s="98" t="s">
        <v>3</v>
      </c>
      <c r="C836" s="98">
        <v>100</v>
      </c>
      <c r="D836" s="98">
        <v>1000</v>
      </c>
      <c r="E836" s="98">
        <v>1E-3</v>
      </c>
      <c r="F836" s="98" t="s">
        <v>6</v>
      </c>
      <c r="G836" s="98" t="s">
        <v>4</v>
      </c>
      <c r="H836" s="98">
        <v>0</v>
      </c>
      <c r="I836" s="98">
        <v>0</v>
      </c>
      <c r="K836" s="98">
        <v>0.27989000000000003</v>
      </c>
      <c r="L836" s="98">
        <v>8.4975999999999993E-3</v>
      </c>
      <c r="M836" s="98">
        <v>0.27706999999999998</v>
      </c>
      <c r="N836" s="98">
        <v>8.4974999999999998E-3</v>
      </c>
      <c r="O836" s="99" t="s">
        <v>458</v>
      </c>
    </row>
    <row r="837" spans="1:15" x14ac:dyDescent="0.25">
      <c r="A837" s="98" t="s">
        <v>55</v>
      </c>
      <c r="B837" s="98" t="s">
        <v>3</v>
      </c>
      <c r="C837" s="98">
        <v>100</v>
      </c>
      <c r="D837" s="98">
        <v>1000</v>
      </c>
      <c r="E837" s="98">
        <v>0.01</v>
      </c>
      <c r="F837" s="98" t="s">
        <v>6</v>
      </c>
      <c r="G837" s="98" t="s">
        <v>4</v>
      </c>
      <c r="H837" s="98">
        <v>0</v>
      </c>
      <c r="I837" s="98">
        <v>0</v>
      </c>
      <c r="K837" s="98">
        <v>5.3677000000000001</v>
      </c>
      <c r="L837" s="98">
        <v>5.1444000000000004E-3</v>
      </c>
      <c r="M837" s="98">
        <v>5.3662999999999998</v>
      </c>
      <c r="N837" s="98">
        <v>5.1358999999999997E-3</v>
      </c>
      <c r="O837" s="99" t="s">
        <v>459</v>
      </c>
    </row>
    <row r="838" spans="1:15" x14ac:dyDescent="0.25">
      <c r="A838" s="98" t="s">
        <v>55</v>
      </c>
      <c r="B838" s="98" t="s">
        <v>3</v>
      </c>
      <c r="C838" s="98">
        <v>100</v>
      </c>
      <c r="D838" s="98">
        <v>1000</v>
      </c>
      <c r="E838" s="98">
        <v>0.1</v>
      </c>
      <c r="F838" s="98" t="s">
        <v>6</v>
      </c>
      <c r="G838" s="98" t="s">
        <v>4</v>
      </c>
      <c r="H838" s="98">
        <v>0</v>
      </c>
      <c r="I838" s="98">
        <v>0</v>
      </c>
      <c r="K838" s="98">
        <v>57.936</v>
      </c>
      <c r="L838" s="98">
        <v>7.2802999999999995E-4</v>
      </c>
      <c r="M838" s="98">
        <v>57.936</v>
      </c>
      <c r="N838" s="98">
        <v>7.2117999999999998E-4</v>
      </c>
      <c r="O838" s="99" t="s">
        <v>460</v>
      </c>
    </row>
    <row r="839" spans="1:15" x14ac:dyDescent="0.25">
      <c r="A839" s="98" t="s">
        <v>55</v>
      </c>
      <c r="B839" s="98" t="s">
        <v>3</v>
      </c>
      <c r="C839" s="98">
        <v>100</v>
      </c>
      <c r="D839" s="98">
        <v>1000</v>
      </c>
      <c r="E839" s="98">
        <v>1</v>
      </c>
      <c r="F839" s="98" t="s">
        <v>6</v>
      </c>
      <c r="G839" s="98" t="s">
        <v>4</v>
      </c>
      <c r="H839" s="98">
        <v>0</v>
      </c>
      <c r="I839" s="98">
        <v>0</v>
      </c>
      <c r="K839" s="98">
        <v>579.99</v>
      </c>
      <c r="L839" s="98">
        <v>7.5300000000000001E-5</v>
      </c>
      <c r="M839" s="98">
        <v>579.92999999999995</v>
      </c>
      <c r="N839" s="98">
        <v>7.2527999999999994E-5</v>
      </c>
      <c r="O839" s="99" t="s">
        <v>461</v>
      </c>
    </row>
    <row r="840" spans="1:15" x14ac:dyDescent="0.25">
      <c r="A840" s="98" t="s">
        <v>55</v>
      </c>
      <c r="B840" s="98" t="s">
        <v>80</v>
      </c>
      <c r="C840" s="98">
        <v>-454</v>
      </c>
      <c r="D840" s="98">
        <v>300</v>
      </c>
      <c r="E840" s="98">
        <v>0.1</v>
      </c>
      <c r="F840" s="98" t="s">
        <v>26</v>
      </c>
      <c r="G840" s="98" t="s">
        <v>26</v>
      </c>
      <c r="H840" s="98">
        <v>0</v>
      </c>
      <c r="I840" s="98">
        <v>0</v>
      </c>
      <c r="K840" s="98">
        <v>0.12</v>
      </c>
      <c r="L840" s="98">
        <v>0</v>
      </c>
      <c r="M840" s="98">
        <v>8.4620388000000005E-2</v>
      </c>
      <c r="N840" s="98">
        <v>0</v>
      </c>
      <c r="O840" s="99" t="s">
        <v>424</v>
      </c>
    </row>
    <row r="841" spans="1:15" x14ac:dyDescent="0.25">
      <c r="A841" s="98" t="s">
        <v>55</v>
      </c>
      <c r="B841" s="98" t="s">
        <v>80</v>
      </c>
      <c r="C841" s="98">
        <v>-454</v>
      </c>
      <c r="D841" s="98">
        <v>300</v>
      </c>
      <c r="E841" s="98">
        <v>1</v>
      </c>
      <c r="F841" s="98" t="s">
        <v>26</v>
      </c>
      <c r="G841" s="98" t="s">
        <v>26</v>
      </c>
      <c r="H841" s="98">
        <v>0</v>
      </c>
      <c r="I841" s="98">
        <v>0</v>
      </c>
      <c r="K841" s="98">
        <v>0.60176790400000002</v>
      </c>
      <c r="L841" s="98">
        <v>0</v>
      </c>
      <c r="M841" s="98">
        <v>0.58065532799999997</v>
      </c>
      <c r="N841" s="98">
        <v>0</v>
      </c>
      <c r="O841" s="99" t="s">
        <v>425</v>
      </c>
    </row>
    <row r="842" spans="1:15" x14ac:dyDescent="0.25">
      <c r="A842" s="98" t="s">
        <v>55</v>
      </c>
      <c r="B842" s="98" t="s">
        <v>80</v>
      </c>
      <c r="C842" s="98">
        <v>300.00099999999998</v>
      </c>
      <c r="D842" s="98">
        <v>1100</v>
      </c>
      <c r="E842" s="98">
        <v>0.1</v>
      </c>
      <c r="F842" s="98" t="s">
        <v>26</v>
      </c>
      <c r="G842" s="98" t="s">
        <v>26</v>
      </c>
      <c r="H842" s="98">
        <v>0</v>
      </c>
      <c r="I842" s="98">
        <v>0</v>
      </c>
      <c r="K842" s="98">
        <v>0.09</v>
      </c>
      <c r="L842" s="98">
        <v>0</v>
      </c>
      <c r="M842" s="98">
        <v>8.4258116999999993E-2</v>
      </c>
      <c r="N842" s="98">
        <v>0</v>
      </c>
      <c r="O842" s="99" t="s">
        <v>426</v>
      </c>
    </row>
    <row r="843" spans="1:15" x14ac:dyDescent="0.25">
      <c r="A843" s="98" t="s">
        <v>55</v>
      </c>
      <c r="B843" s="98" t="s">
        <v>80</v>
      </c>
      <c r="C843" s="98">
        <v>300.00099999999998</v>
      </c>
      <c r="D843" s="98">
        <v>1100</v>
      </c>
      <c r="E843" s="98">
        <v>1</v>
      </c>
      <c r="F843" s="98" t="s">
        <v>26</v>
      </c>
      <c r="G843" s="98" t="s">
        <v>26</v>
      </c>
      <c r="H843" s="98">
        <v>0</v>
      </c>
      <c r="I843" s="98">
        <v>0</v>
      </c>
      <c r="K843" s="98">
        <v>0.58298645599999999</v>
      </c>
      <c r="L843" s="98">
        <v>0</v>
      </c>
      <c r="M843" s="98">
        <v>0.58060264399999995</v>
      </c>
      <c r="N843" s="98">
        <v>0</v>
      </c>
      <c r="O843" s="99" t="s">
        <v>427</v>
      </c>
    </row>
    <row r="844" spans="1:15" x14ac:dyDescent="0.25">
      <c r="A844" s="98" t="s">
        <v>55</v>
      </c>
      <c r="B844" s="98" t="s">
        <v>80</v>
      </c>
      <c r="C844" s="98">
        <v>1100.001</v>
      </c>
      <c r="D844" s="98">
        <v>1832</v>
      </c>
      <c r="E844" s="98">
        <v>0.1</v>
      </c>
      <c r="F844" s="98" t="s">
        <v>26</v>
      </c>
      <c r="G844" s="98" t="s">
        <v>26</v>
      </c>
      <c r="H844" s="98">
        <v>0</v>
      </c>
      <c r="I844" s="98">
        <v>0</v>
      </c>
      <c r="K844" s="98">
        <v>9.1750578999999999E-2</v>
      </c>
      <c r="L844" s="98">
        <v>0</v>
      </c>
      <c r="M844" s="98">
        <v>8.7890410000000002E-2</v>
      </c>
      <c r="N844" s="98">
        <v>0</v>
      </c>
      <c r="O844" s="99" t="s">
        <v>428</v>
      </c>
    </row>
    <row r="845" spans="1:15" x14ac:dyDescent="0.25">
      <c r="A845" s="98" t="s">
        <v>55</v>
      </c>
      <c r="B845" s="98" t="s">
        <v>80</v>
      </c>
      <c r="C845" s="98">
        <v>1100.001</v>
      </c>
      <c r="D845" s="98">
        <v>1832</v>
      </c>
      <c r="E845" s="98">
        <v>1</v>
      </c>
      <c r="F845" s="98" t="s">
        <v>26</v>
      </c>
      <c r="G845" s="98" t="s">
        <v>26</v>
      </c>
      <c r="H845" s="98">
        <v>0</v>
      </c>
      <c r="I845" s="98">
        <v>0</v>
      </c>
      <c r="K845" s="98">
        <v>0.58352249499999997</v>
      </c>
      <c r="L845" s="98">
        <v>0</v>
      </c>
      <c r="M845" s="98">
        <v>0.58114088200000003</v>
      </c>
      <c r="N845" s="98">
        <v>0</v>
      </c>
      <c r="O845" s="99" t="s">
        <v>429</v>
      </c>
    </row>
    <row r="846" spans="1:15" x14ac:dyDescent="0.25">
      <c r="A846" s="98" t="s">
        <v>55</v>
      </c>
      <c r="B846" s="98" t="s">
        <v>81</v>
      </c>
      <c r="C846" s="98">
        <v>-346</v>
      </c>
      <c r="D846" s="98">
        <v>499.99900000000002</v>
      </c>
      <c r="E846" s="98">
        <v>0.1</v>
      </c>
      <c r="F846" s="98" t="s">
        <v>26</v>
      </c>
      <c r="G846" s="98" t="s">
        <v>26</v>
      </c>
      <c r="H846" s="98">
        <v>0</v>
      </c>
      <c r="I846" s="98">
        <v>0</v>
      </c>
      <c r="K846" s="98">
        <v>0.14000000000000001</v>
      </c>
      <c r="L846" s="98">
        <v>0</v>
      </c>
      <c r="M846" s="98">
        <v>9.1813959000000001E-2</v>
      </c>
      <c r="N846" s="98">
        <v>0</v>
      </c>
      <c r="O846" s="99" t="s">
        <v>418</v>
      </c>
    </row>
    <row r="847" spans="1:15" x14ac:dyDescent="0.25">
      <c r="A847" s="98" t="s">
        <v>55</v>
      </c>
      <c r="B847" s="98" t="s">
        <v>81</v>
      </c>
      <c r="C847" s="98">
        <v>-346</v>
      </c>
      <c r="D847" s="98">
        <v>499.99900000000002</v>
      </c>
      <c r="E847" s="98">
        <v>1</v>
      </c>
      <c r="F847" s="98" t="s">
        <v>26</v>
      </c>
      <c r="G847" s="98" t="s">
        <v>26</v>
      </c>
      <c r="H847" s="98">
        <v>0</v>
      </c>
      <c r="I847" s="98">
        <v>0</v>
      </c>
      <c r="K847" s="98">
        <v>0.61871661300000003</v>
      </c>
      <c r="L847" s="98">
        <v>0</v>
      </c>
      <c r="M847" s="98">
        <v>0.58174719900000005</v>
      </c>
      <c r="N847" s="98">
        <v>0</v>
      </c>
      <c r="O847" s="99" t="s">
        <v>419</v>
      </c>
    </row>
    <row r="848" spans="1:15" x14ac:dyDescent="0.25">
      <c r="A848" s="98" t="s">
        <v>55</v>
      </c>
      <c r="B848" s="98" t="s">
        <v>81</v>
      </c>
      <c r="C848" s="98">
        <v>500</v>
      </c>
      <c r="D848" s="98">
        <v>1350</v>
      </c>
      <c r="E848" s="98">
        <v>0.1</v>
      </c>
      <c r="F848" s="98" t="s">
        <v>26</v>
      </c>
      <c r="G848" s="98" t="s">
        <v>26</v>
      </c>
      <c r="H848" s="98">
        <v>0</v>
      </c>
      <c r="I848" s="98">
        <v>0</v>
      </c>
      <c r="K848" s="98">
        <v>0.11</v>
      </c>
      <c r="L848" s="98">
        <v>0</v>
      </c>
      <c r="M848" s="98">
        <v>8.5418892999999996E-2</v>
      </c>
      <c r="N848" s="98">
        <v>0</v>
      </c>
      <c r="O848" s="99" t="s">
        <v>420</v>
      </c>
    </row>
    <row r="849" spans="1:15" x14ac:dyDescent="0.25">
      <c r="A849" s="98" t="s">
        <v>55</v>
      </c>
      <c r="B849" s="98" t="s">
        <v>81</v>
      </c>
      <c r="C849" s="98">
        <v>500</v>
      </c>
      <c r="D849" s="98">
        <v>1350</v>
      </c>
      <c r="E849" s="98">
        <v>1</v>
      </c>
      <c r="F849" s="98" t="s">
        <v>26</v>
      </c>
      <c r="G849" s="98" t="s">
        <v>26</v>
      </c>
      <c r="H849" s="98">
        <v>0</v>
      </c>
      <c r="I849" s="98">
        <v>0</v>
      </c>
      <c r="K849" s="98">
        <v>0.59112989000000005</v>
      </c>
      <c r="L849" s="98">
        <v>0</v>
      </c>
      <c r="M849" s="98">
        <v>0.580772234</v>
      </c>
      <c r="N849" s="98">
        <v>0</v>
      </c>
      <c r="O849" s="99" t="s">
        <v>421</v>
      </c>
    </row>
    <row r="850" spans="1:15" x14ac:dyDescent="0.25">
      <c r="A850" s="98" t="s">
        <v>55</v>
      </c>
      <c r="B850" s="98" t="s">
        <v>81</v>
      </c>
      <c r="C850" s="98">
        <v>1350.001</v>
      </c>
      <c r="D850" s="98">
        <v>2192</v>
      </c>
      <c r="E850" s="98">
        <v>0.1</v>
      </c>
      <c r="F850" s="98" t="s">
        <v>26</v>
      </c>
      <c r="G850" s="98" t="s">
        <v>26</v>
      </c>
      <c r="H850" s="98">
        <v>0</v>
      </c>
      <c r="I850" s="98">
        <v>0</v>
      </c>
      <c r="K850" s="98">
        <v>0.11</v>
      </c>
      <c r="L850" s="98">
        <v>0</v>
      </c>
      <c r="M850" s="98">
        <v>9.0691639000000004E-2</v>
      </c>
      <c r="N850" s="98">
        <v>0</v>
      </c>
      <c r="O850" s="99" t="s">
        <v>422</v>
      </c>
    </row>
    <row r="851" spans="1:15" x14ac:dyDescent="0.25">
      <c r="A851" s="98" t="s">
        <v>55</v>
      </c>
      <c r="B851" s="98" t="s">
        <v>81</v>
      </c>
      <c r="C851" s="98">
        <v>1350.001</v>
      </c>
      <c r="D851" s="98">
        <v>2192</v>
      </c>
      <c r="E851" s="98">
        <v>1</v>
      </c>
      <c r="F851" s="98" t="s">
        <v>26</v>
      </c>
      <c r="G851" s="98" t="s">
        <v>26</v>
      </c>
      <c r="H851" s="98">
        <v>0</v>
      </c>
      <c r="I851" s="98">
        <v>0</v>
      </c>
      <c r="K851" s="98">
        <v>0.58927052499999999</v>
      </c>
      <c r="L851" s="98">
        <v>0</v>
      </c>
      <c r="M851" s="98">
        <v>0.58157112499999997</v>
      </c>
      <c r="N851" s="98">
        <v>0</v>
      </c>
      <c r="O851" s="99" t="s">
        <v>423</v>
      </c>
    </row>
    <row r="852" spans="1:15" x14ac:dyDescent="0.25">
      <c r="A852" s="98" t="s">
        <v>55</v>
      </c>
      <c r="B852" s="98" t="s">
        <v>82</v>
      </c>
      <c r="C852" s="98">
        <v>-454</v>
      </c>
      <c r="D852" s="98">
        <v>-400.00099999999998</v>
      </c>
      <c r="E852" s="98">
        <v>0.1</v>
      </c>
      <c r="F852" s="98" t="s">
        <v>26</v>
      </c>
      <c r="G852" s="98" t="s">
        <v>26</v>
      </c>
      <c r="H852" s="98">
        <v>0</v>
      </c>
      <c r="I852" s="98">
        <v>0</v>
      </c>
      <c r="K852" s="98">
        <v>0.77443041000000001</v>
      </c>
      <c r="L852" s="98">
        <v>0</v>
      </c>
      <c r="M852" s="98">
        <v>0.76326909399999998</v>
      </c>
      <c r="N852" s="98">
        <v>0</v>
      </c>
      <c r="O852" s="99" t="s">
        <v>410</v>
      </c>
    </row>
    <row r="853" spans="1:15" x14ac:dyDescent="0.25">
      <c r="A853" s="98" t="s">
        <v>55</v>
      </c>
      <c r="B853" s="98" t="s">
        <v>82</v>
      </c>
      <c r="C853" s="98">
        <v>-454</v>
      </c>
      <c r="D853" s="98">
        <v>-400.00099999999998</v>
      </c>
      <c r="E853" s="98">
        <v>1</v>
      </c>
      <c r="F853" s="98" t="s">
        <v>26</v>
      </c>
      <c r="G853" s="98" t="s">
        <v>26</v>
      </c>
      <c r="H853" s="98">
        <v>0</v>
      </c>
      <c r="I853" s="98">
        <v>0</v>
      </c>
      <c r="K853" s="98">
        <v>0.990570901</v>
      </c>
      <c r="L853" s="98">
        <v>0</v>
      </c>
      <c r="M853" s="98">
        <v>0.95529037999999999</v>
      </c>
      <c r="N853" s="98">
        <v>0</v>
      </c>
      <c r="O853" s="99" t="s">
        <v>411</v>
      </c>
    </row>
    <row r="854" spans="1:15" x14ac:dyDescent="0.25">
      <c r="A854" s="98" t="s">
        <v>55</v>
      </c>
      <c r="B854" s="98" t="s">
        <v>82</v>
      </c>
      <c r="C854" s="98">
        <v>-400</v>
      </c>
      <c r="D854" s="98">
        <v>499.99900000000002</v>
      </c>
      <c r="E854" s="98">
        <v>0.1</v>
      </c>
      <c r="F854" s="98" t="s">
        <v>26</v>
      </c>
      <c r="G854" s="98" t="s">
        <v>26</v>
      </c>
      <c r="H854" s="98">
        <v>0</v>
      </c>
      <c r="I854" s="98">
        <v>0</v>
      </c>
      <c r="K854" s="98">
        <v>0.19</v>
      </c>
      <c r="L854" s="98">
        <v>0</v>
      </c>
      <c r="M854" s="98">
        <v>0.135879482</v>
      </c>
      <c r="N854" s="98">
        <v>0</v>
      </c>
      <c r="O854" s="99" t="s">
        <v>412</v>
      </c>
    </row>
    <row r="855" spans="1:15" x14ac:dyDescent="0.25">
      <c r="A855" s="98" t="s">
        <v>55</v>
      </c>
      <c r="B855" s="98" t="s">
        <v>82</v>
      </c>
      <c r="C855" s="98">
        <v>-400</v>
      </c>
      <c r="D855" s="98">
        <v>499.99900000000002</v>
      </c>
      <c r="E855" s="98">
        <v>1</v>
      </c>
      <c r="F855" s="98" t="s">
        <v>26</v>
      </c>
      <c r="G855" s="98" t="s">
        <v>26</v>
      </c>
      <c r="H855" s="98">
        <v>0</v>
      </c>
      <c r="I855" s="98">
        <v>0</v>
      </c>
      <c r="K855" s="98">
        <v>0.63828364500000001</v>
      </c>
      <c r="L855" s="98">
        <v>0</v>
      </c>
      <c r="M855" s="98">
        <v>0.59030774500000005</v>
      </c>
      <c r="N855" s="98">
        <v>0</v>
      </c>
      <c r="O855" s="99" t="s">
        <v>413</v>
      </c>
    </row>
    <row r="856" spans="1:15" x14ac:dyDescent="0.25">
      <c r="A856" s="98" t="s">
        <v>55</v>
      </c>
      <c r="B856" s="98" t="s">
        <v>82</v>
      </c>
      <c r="C856" s="98">
        <v>500</v>
      </c>
      <c r="D856" s="98">
        <v>1500</v>
      </c>
      <c r="E856" s="98">
        <v>0.1</v>
      </c>
      <c r="F856" s="98" t="s">
        <v>26</v>
      </c>
      <c r="G856" s="98" t="s">
        <v>26</v>
      </c>
      <c r="H856" s="98">
        <v>0</v>
      </c>
      <c r="I856" s="98">
        <v>0</v>
      </c>
      <c r="K856" s="98">
        <v>0.12</v>
      </c>
      <c r="L856" s="98">
        <v>0</v>
      </c>
      <c r="M856" s="98">
        <v>8.8716091999999996E-2</v>
      </c>
      <c r="N856" s="98">
        <v>0</v>
      </c>
      <c r="O856" s="99" t="s">
        <v>414</v>
      </c>
    </row>
    <row r="857" spans="1:15" x14ac:dyDescent="0.25">
      <c r="A857" s="98" t="s">
        <v>55</v>
      </c>
      <c r="B857" s="98" t="s">
        <v>82</v>
      </c>
      <c r="C857" s="98">
        <v>500</v>
      </c>
      <c r="D857" s="98">
        <v>1500</v>
      </c>
      <c r="E857" s="98">
        <v>1</v>
      </c>
      <c r="F857" s="98" t="s">
        <v>26</v>
      </c>
      <c r="G857" s="98" t="s">
        <v>26</v>
      </c>
      <c r="H857" s="98">
        <v>0</v>
      </c>
      <c r="I857" s="98">
        <v>0</v>
      </c>
      <c r="K857" s="98">
        <v>0.59947253700000003</v>
      </c>
      <c r="L857" s="98">
        <v>0</v>
      </c>
      <c r="M857" s="98">
        <v>0.58126632899999997</v>
      </c>
      <c r="N857" s="98">
        <v>0</v>
      </c>
      <c r="O857" s="99" t="s">
        <v>415</v>
      </c>
    </row>
    <row r="858" spans="1:15" x14ac:dyDescent="0.25">
      <c r="A858" s="98" t="s">
        <v>55</v>
      </c>
      <c r="B858" s="98" t="s">
        <v>82</v>
      </c>
      <c r="C858" s="98">
        <v>1500.001</v>
      </c>
      <c r="D858" s="98">
        <v>2500</v>
      </c>
      <c r="E858" s="98">
        <v>0.1</v>
      </c>
      <c r="F858" s="98" t="s">
        <v>26</v>
      </c>
      <c r="G858" s="98" t="s">
        <v>26</v>
      </c>
      <c r="H858" s="98">
        <v>0</v>
      </c>
      <c r="I858" s="98">
        <v>0</v>
      </c>
      <c r="K858" s="98">
        <v>0.131346933</v>
      </c>
      <c r="L858" s="98">
        <v>0</v>
      </c>
      <c r="M858" s="98">
        <v>9.8982265999999999E-2</v>
      </c>
      <c r="N858" s="98">
        <v>0</v>
      </c>
      <c r="O858" s="99" t="s">
        <v>416</v>
      </c>
    </row>
    <row r="859" spans="1:15" x14ac:dyDescent="0.25">
      <c r="A859" s="98" t="s">
        <v>55</v>
      </c>
      <c r="B859" s="98" t="s">
        <v>82</v>
      </c>
      <c r="C859" s="98">
        <v>1500.001</v>
      </c>
      <c r="D859" s="98">
        <v>2500</v>
      </c>
      <c r="E859" s="98">
        <v>1</v>
      </c>
      <c r="F859" s="98" t="s">
        <v>26</v>
      </c>
      <c r="G859" s="98" t="s">
        <v>26</v>
      </c>
      <c r="H859" s="98">
        <v>0</v>
      </c>
      <c r="I859" s="98">
        <v>0</v>
      </c>
      <c r="K859" s="98">
        <v>0.60796019599999995</v>
      </c>
      <c r="L859" s="98">
        <v>0</v>
      </c>
      <c r="M859" s="98">
        <v>0.58292151199999998</v>
      </c>
      <c r="N859" s="98">
        <v>0</v>
      </c>
      <c r="O859" s="99" t="s">
        <v>417</v>
      </c>
    </row>
    <row r="860" spans="1:15" x14ac:dyDescent="0.25">
      <c r="A860" s="98" t="s">
        <v>55</v>
      </c>
      <c r="B860" s="98" t="s">
        <v>83</v>
      </c>
      <c r="C860" s="98">
        <v>-454</v>
      </c>
      <c r="D860" s="98">
        <v>-400.00099999999998</v>
      </c>
      <c r="E860" s="98">
        <v>0.1</v>
      </c>
      <c r="F860" s="98" t="s">
        <v>26</v>
      </c>
      <c r="G860" s="98" t="s">
        <v>26</v>
      </c>
      <c r="H860" s="98">
        <v>0</v>
      </c>
      <c r="I860" s="98">
        <v>0</v>
      </c>
      <c r="K860" s="98">
        <v>1.5</v>
      </c>
      <c r="L860" s="98">
        <v>0</v>
      </c>
      <c r="M860" s="98">
        <v>1.4288134379999999</v>
      </c>
      <c r="N860" s="98">
        <v>0</v>
      </c>
      <c r="O860" s="99" t="s">
        <v>400</v>
      </c>
    </row>
    <row r="861" spans="1:15" x14ac:dyDescent="0.25">
      <c r="A861" s="98" t="s">
        <v>55</v>
      </c>
      <c r="B861" s="98" t="s">
        <v>83</v>
      </c>
      <c r="C861" s="98">
        <v>-454</v>
      </c>
      <c r="D861" s="98">
        <v>-400.00099999999998</v>
      </c>
      <c r="E861" s="98">
        <v>1</v>
      </c>
      <c r="F861" s="98" t="s">
        <v>26</v>
      </c>
      <c r="G861" s="98" t="s">
        <v>26</v>
      </c>
      <c r="H861" s="98">
        <v>0</v>
      </c>
      <c r="I861" s="98">
        <v>0</v>
      </c>
      <c r="K861" s="98">
        <v>1.560324096</v>
      </c>
      <c r="L861" s="98">
        <v>0</v>
      </c>
      <c r="M861" s="98">
        <v>1.5399700780000001</v>
      </c>
      <c r="N861" s="98">
        <v>0</v>
      </c>
      <c r="O861" s="99" t="s">
        <v>401</v>
      </c>
    </row>
    <row r="862" spans="1:15" x14ac:dyDescent="0.25">
      <c r="A862" s="98" t="s">
        <v>55</v>
      </c>
      <c r="B862" s="98" t="s">
        <v>83</v>
      </c>
      <c r="C862" s="98">
        <v>-400</v>
      </c>
      <c r="D862" s="98">
        <v>-150.001</v>
      </c>
      <c r="E862" s="98">
        <v>0.1</v>
      </c>
      <c r="F862" s="98" t="s">
        <v>26</v>
      </c>
      <c r="G862" s="98" t="s">
        <v>26</v>
      </c>
      <c r="H862" s="98">
        <v>0</v>
      </c>
      <c r="I862" s="98">
        <v>0</v>
      </c>
      <c r="K862" s="98">
        <v>0.24</v>
      </c>
      <c r="L862" s="98">
        <v>0</v>
      </c>
      <c r="M862" s="98">
        <v>0.19872960000000001</v>
      </c>
      <c r="N862" s="98">
        <v>0</v>
      </c>
      <c r="O862" s="99" t="s">
        <v>402</v>
      </c>
    </row>
    <row r="863" spans="1:15" x14ac:dyDescent="0.25">
      <c r="A863" s="98" t="s">
        <v>55</v>
      </c>
      <c r="B863" s="98" t="s">
        <v>83</v>
      </c>
      <c r="C863" s="98">
        <v>-400</v>
      </c>
      <c r="D863" s="98">
        <v>-150.001</v>
      </c>
      <c r="E863" s="98">
        <v>1</v>
      </c>
      <c r="F863" s="98" t="s">
        <v>26</v>
      </c>
      <c r="G863" s="98" t="s">
        <v>26</v>
      </c>
      <c r="H863" s="98">
        <v>0</v>
      </c>
      <c r="I863" s="98">
        <v>0</v>
      </c>
      <c r="K863" s="98">
        <v>0.65772098800000001</v>
      </c>
      <c r="L863" s="98">
        <v>0</v>
      </c>
      <c r="M863" s="98">
        <v>0.60785973199999999</v>
      </c>
      <c r="N863" s="98">
        <v>0</v>
      </c>
      <c r="O863" s="99" t="s">
        <v>403</v>
      </c>
    </row>
    <row r="864" spans="1:15" x14ac:dyDescent="0.25">
      <c r="A864" s="98" t="s">
        <v>55</v>
      </c>
      <c r="B864" s="98" t="s">
        <v>83</v>
      </c>
      <c r="C864" s="98">
        <v>-150</v>
      </c>
      <c r="D864" s="98">
        <v>700</v>
      </c>
      <c r="E864" s="98">
        <v>0.1</v>
      </c>
      <c r="F864" s="98" t="s">
        <v>26</v>
      </c>
      <c r="G864" s="98" t="s">
        <v>26</v>
      </c>
      <c r="H864" s="98">
        <v>0</v>
      </c>
      <c r="I864" s="98">
        <v>0</v>
      </c>
      <c r="K864" s="98">
        <v>0.14000000000000001</v>
      </c>
      <c r="L864" s="98">
        <v>0</v>
      </c>
      <c r="M864" s="98">
        <v>8.8082791999999993E-2</v>
      </c>
      <c r="N864" s="98">
        <v>0</v>
      </c>
      <c r="O864" s="99" t="s">
        <v>404</v>
      </c>
    </row>
    <row r="865" spans="1:15" x14ac:dyDescent="0.25">
      <c r="A865" s="98" t="s">
        <v>55</v>
      </c>
      <c r="B865" s="98" t="s">
        <v>83</v>
      </c>
      <c r="C865" s="98">
        <v>-150</v>
      </c>
      <c r="D865" s="98">
        <v>700</v>
      </c>
      <c r="E865" s="98">
        <v>1</v>
      </c>
      <c r="F865" s="98" t="s">
        <v>26</v>
      </c>
      <c r="G865" s="98" t="s">
        <v>26</v>
      </c>
      <c r="H865" s="98">
        <v>0</v>
      </c>
      <c r="I865" s="98">
        <v>0</v>
      </c>
      <c r="K865" s="98">
        <v>0.61817394199999998</v>
      </c>
      <c r="L865" s="98">
        <v>0</v>
      </c>
      <c r="M865" s="98">
        <v>0.58117000799999996</v>
      </c>
      <c r="N865" s="98">
        <v>0</v>
      </c>
      <c r="O865" s="99" t="s">
        <v>405</v>
      </c>
    </row>
    <row r="866" spans="1:15" x14ac:dyDescent="0.25">
      <c r="A866" s="98" t="s">
        <v>55</v>
      </c>
      <c r="B866" s="98" t="s">
        <v>83</v>
      </c>
      <c r="C866" s="98">
        <v>700.00099999999998</v>
      </c>
      <c r="D866" s="98">
        <v>1500</v>
      </c>
      <c r="E866" s="98">
        <v>0.1</v>
      </c>
      <c r="F866" s="98" t="s">
        <v>26</v>
      </c>
      <c r="G866" s="98" t="s">
        <v>26</v>
      </c>
      <c r="H866" s="98">
        <v>0</v>
      </c>
      <c r="I866" s="98">
        <v>0</v>
      </c>
      <c r="K866" s="98">
        <v>0.12</v>
      </c>
      <c r="L866" s="98">
        <v>0</v>
      </c>
      <c r="M866" s="98">
        <v>8.7954482E-2</v>
      </c>
      <c r="N866" s="98">
        <v>0</v>
      </c>
      <c r="O866" s="99" t="s">
        <v>406</v>
      </c>
    </row>
    <row r="867" spans="1:15" x14ac:dyDescent="0.25">
      <c r="A867" s="98" t="s">
        <v>55</v>
      </c>
      <c r="B867" s="98" t="s">
        <v>83</v>
      </c>
      <c r="C867" s="98">
        <v>700.00099999999998</v>
      </c>
      <c r="D867" s="98">
        <v>1500</v>
      </c>
      <c r="E867" s="98">
        <v>1</v>
      </c>
      <c r="F867" s="98" t="s">
        <v>26</v>
      </c>
      <c r="G867" s="98" t="s">
        <v>26</v>
      </c>
      <c r="H867" s="98">
        <v>0</v>
      </c>
      <c r="I867" s="98">
        <v>0</v>
      </c>
      <c r="K867" s="98">
        <v>0.60109325599999996</v>
      </c>
      <c r="L867" s="98">
        <v>0</v>
      </c>
      <c r="M867" s="98">
        <v>0.581150575</v>
      </c>
      <c r="N867" s="98">
        <v>0</v>
      </c>
      <c r="O867" s="99" t="s">
        <v>407</v>
      </c>
    </row>
    <row r="868" spans="1:15" x14ac:dyDescent="0.25">
      <c r="A868" s="98" t="s">
        <v>55</v>
      </c>
      <c r="B868" s="98" t="s">
        <v>83</v>
      </c>
      <c r="C868" s="98">
        <v>1500.001</v>
      </c>
      <c r="D868" s="98">
        <v>2372</v>
      </c>
      <c r="E868" s="98">
        <v>0.1</v>
      </c>
      <c r="F868" s="98" t="s">
        <v>26</v>
      </c>
      <c r="G868" s="98" t="s">
        <v>26</v>
      </c>
      <c r="H868" s="98">
        <v>0</v>
      </c>
      <c r="I868" s="98">
        <v>0</v>
      </c>
      <c r="K868" s="98">
        <v>0.13</v>
      </c>
      <c r="L868" s="98">
        <v>0</v>
      </c>
      <c r="M868" s="98">
        <v>9.4805566999999993E-2</v>
      </c>
      <c r="N868" s="98">
        <v>0</v>
      </c>
      <c r="O868" s="99" t="s">
        <v>408</v>
      </c>
    </row>
    <row r="869" spans="1:15" x14ac:dyDescent="0.25">
      <c r="A869" s="98" t="s">
        <v>55</v>
      </c>
      <c r="B869" s="98" t="s">
        <v>83</v>
      </c>
      <c r="C869" s="98">
        <v>1500.001</v>
      </c>
      <c r="D869" s="98">
        <v>2372</v>
      </c>
      <c r="E869" s="98">
        <v>1</v>
      </c>
      <c r="F869" s="98" t="s">
        <v>26</v>
      </c>
      <c r="G869" s="98" t="s">
        <v>26</v>
      </c>
      <c r="H869" s="98">
        <v>0</v>
      </c>
      <c r="I869" s="98">
        <v>0</v>
      </c>
      <c r="K869" s="98">
        <v>0.60385887400000005</v>
      </c>
      <c r="L869" s="98">
        <v>0</v>
      </c>
      <c r="M869" s="98">
        <v>0.58222684199999997</v>
      </c>
      <c r="N869" s="98">
        <v>0</v>
      </c>
      <c r="O869" s="99" t="s">
        <v>409</v>
      </c>
    </row>
    <row r="870" spans="1:15" x14ac:dyDescent="0.25">
      <c r="A870" s="98" t="s">
        <v>55</v>
      </c>
      <c r="B870" s="98" t="s">
        <v>87</v>
      </c>
      <c r="C870" s="98">
        <v>-320</v>
      </c>
      <c r="D870" s="98">
        <v>32</v>
      </c>
      <c r="E870" s="98">
        <v>0.01</v>
      </c>
      <c r="F870" s="98" t="s">
        <v>26</v>
      </c>
      <c r="G870" s="98" t="s">
        <v>26</v>
      </c>
      <c r="H870" s="98">
        <v>0</v>
      </c>
      <c r="I870" s="98">
        <v>0</v>
      </c>
      <c r="K870" s="98">
        <v>1.2999999999999999E-2</v>
      </c>
      <c r="L870" s="98">
        <v>0</v>
      </c>
      <c r="M870" s="98">
        <v>1.0679012999999999E-2</v>
      </c>
      <c r="N870" s="98">
        <v>0</v>
      </c>
      <c r="O870" s="99" t="s">
        <v>385</v>
      </c>
    </row>
    <row r="871" spans="1:15" x14ac:dyDescent="0.25">
      <c r="A871" s="98" t="s">
        <v>55</v>
      </c>
      <c r="B871" s="98" t="s">
        <v>87</v>
      </c>
      <c r="C871" s="98">
        <v>-320</v>
      </c>
      <c r="D871" s="98">
        <v>32</v>
      </c>
      <c r="E871" s="98">
        <v>0.1</v>
      </c>
      <c r="F871" s="98" t="s">
        <v>26</v>
      </c>
      <c r="G871" s="98" t="s">
        <v>26</v>
      </c>
      <c r="H871" s="98">
        <v>0</v>
      </c>
      <c r="I871" s="98">
        <v>0</v>
      </c>
      <c r="K871" s="98">
        <v>5.9935600999999998E-2</v>
      </c>
      <c r="L871" s="98">
        <v>0</v>
      </c>
      <c r="M871" s="98">
        <v>5.8429797999999998E-2</v>
      </c>
      <c r="N871" s="98">
        <v>0</v>
      </c>
      <c r="O871" s="99" t="s">
        <v>386</v>
      </c>
    </row>
    <row r="872" spans="1:15" x14ac:dyDescent="0.25">
      <c r="A872" s="98" t="s">
        <v>55</v>
      </c>
      <c r="B872" s="98" t="s">
        <v>87</v>
      </c>
      <c r="C872" s="98">
        <v>-320</v>
      </c>
      <c r="D872" s="98">
        <v>32</v>
      </c>
      <c r="E872" s="98">
        <v>1</v>
      </c>
      <c r="F872" s="98" t="s">
        <v>26</v>
      </c>
      <c r="G872" s="98" t="s">
        <v>26</v>
      </c>
      <c r="H872" s="98">
        <v>0</v>
      </c>
      <c r="I872" s="98">
        <v>0</v>
      </c>
      <c r="K872" s="98">
        <v>0.57803718000000004</v>
      </c>
      <c r="L872" s="98">
        <v>0</v>
      </c>
      <c r="M872" s="98">
        <v>0.57742015999999996</v>
      </c>
      <c r="N872" s="98">
        <v>0</v>
      </c>
      <c r="O872" s="99" t="s">
        <v>387</v>
      </c>
    </row>
    <row r="873" spans="1:15" x14ac:dyDescent="0.25">
      <c r="A873" s="98" t="s">
        <v>55</v>
      </c>
      <c r="B873" s="98" t="s">
        <v>87</v>
      </c>
      <c r="C873" s="98">
        <v>32.000999999999998</v>
      </c>
      <c r="D873" s="98">
        <v>400</v>
      </c>
      <c r="E873" s="98">
        <v>0.01</v>
      </c>
      <c r="F873" s="98" t="s">
        <v>26</v>
      </c>
      <c r="G873" s="98" t="s">
        <v>26</v>
      </c>
      <c r="H873" s="98">
        <v>0</v>
      </c>
      <c r="I873" s="98">
        <v>0</v>
      </c>
      <c r="K873" s="98">
        <v>1.6E-2</v>
      </c>
      <c r="L873" s="98">
        <v>0</v>
      </c>
      <c r="M873" s="98">
        <v>1.450648E-2</v>
      </c>
      <c r="N873" s="98">
        <v>0</v>
      </c>
      <c r="O873" s="99" t="s">
        <v>388</v>
      </c>
    </row>
    <row r="874" spans="1:15" x14ac:dyDescent="0.25">
      <c r="A874" s="98" t="s">
        <v>55</v>
      </c>
      <c r="B874" s="98" t="s">
        <v>87</v>
      </c>
      <c r="C874" s="98">
        <v>32.000999999999998</v>
      </c>
      <c r="D874" s="98">
        <v>400</v>
      </c>
      <c r="E874" s="98">
        <v>0.1</v>
      </c>
      <c r="F874" s="98" t="s">
        <v>26</v>
      </c>
      <c r="G874" s="98" t="s">
        <v>26</v>
      </c>
      <c r="H874" s="98">
        <v>0</v>
      </c>
      <c r="I874" s="98">
        <v>0</v>
      </c>
      <c r="K874" s="98">
        <v>6.0734445999999997E-2</v>
      </c>
      <c r="L874" s="98">
        <v>0</v>
      </c>
      <c r="M874" s="98">
        <v>5.9248949000000002E-2</v>
      </c>
      <c r="N874" s="98">
        <v>0</v>
      </c>
      <c r="O874" s="99" t="s">
        <v>389</v>
      </c>
    </row>
    <row r="875" spans="1:15" x14ac:dyDescent="0.25">
      <c r="A875" s="98" t="s">
        <v>55</v>
      </c>
      <c r="B875" s="98" t="s">
        <v>87</v>
      </c>
      <c r="C875" s="98">
        <v>32.000999999999998</v>
      </c>
      <c r="D875" s="98">
        <v>400</v>
      </c>
      <c r="E875" s="98">
        <v>1</v>
      </c>
      <c r="F875" s="98" t="s">
        <v>26</v>
      </c>
      <c r="G875" s="98" t="s">
        <v>26</v>
      </c>
      <c r="H875" s="98">
        <v>0</v>
      </c>
      <c r="I875" s="98">
        <v>0</v>
      </c>
      <c r="K875" s="98">
        <v>0.57812055600000001</v>
      </c>
      <c r="L875" s="98">
        <v>0</v>
      </c>
      <c r="M875" s="98">
        <v>0.57750362600000005</v>
      </c>
      <c r="N875" s="98">
        <v>0</v>
      </c>
      <c r="O875" s="99" t="s">
        <v>390</v>
      </c>
    </row>
    <row r="876" spans="1:15" x14ac:dyDescent="0.25">
      <c r="A876" s="98" t="s">
        <v>55</v>
      </c>
      <c r="B876" s="98" t="s">
        <v>87</v>
      </c>
      <c r="C876" s="98">
        <v>400.00099999999998</v>
      </c>
      <c r="D876" s="98">
        <v>800</v>
      </c>
      <c r="E876" s="98">
        <v>0.01</v>
      </c>
      <c r="F876" s="98" t="s">
        <v>26</v>
      </c>
      <c r="G876" s="98" t="s">
        <v>26</v>
      </c>
      <c r="H876" s="98">
        <v>0</v>
      </c>
      <c r="I876" s="98">
        <v>0</v>
      </c>
      <c r="K876" s="98">
        <v>2.1000000000000001E-2</v>
      </c>
      <c r="L876" s="98">
        <v>0</v>
      </c>
      <c r="M876" s="98">
        <v>1.8861624E-2</v>
      </c>
      <c r="N876" s="98">
        <v>0</v>
      </c>
      <c r="O876" s="99" t="s">
        <v>391</v>
      </c>
    </row>
    <row r="877" spans="1:15" x14ac:dyDescent="0.25">
      <c r="A877" s="98" t="s">
        <v>55</v>
      </c>
      <c r="B877" s="98" t="s">
        <v>87</v>
      </c>
      <c r="C877" s="98">
        <v>400.00099999999998</v>
      </c>
      <c r="D877" s="98">
        <v>800</v>
      </c>
      <c r="E877" s="98">
        <v>0.1</v>
      </c>
      <c r="F877" s="98" t="s">
        <v>26</v>
      </c>
      <c r="G877" s="98" t="s">
        <v>26</v>
      </c>
      <c r="H877" s="98">
        <v>0</v>
      </c>
      <c r="I877" s="98">
        <v>0</v>
      </c>
      <c r="K877" s="98">
        <v>6.2482481999999999E-2</v>
      </c>
      <c r="L877" s="98">
        <v>0</v>
      </c>
      <c r="M877" s="98">
        <v>6.0462887999999999E-2</v>
      </c>
      <c r="N877" s="98">
        <v>0</v>
      </c>
      <c r="O877" s="99" t="s">
        <v>392</v>
      </c>
    </row>
    <row r="878" spans="1:15" x14ac:dyDescent="0.25">
      <c r="A878" s="98" t="s">
        <v>55</v>
      </c>
      <c r="B878" s="98" t="s">
        <v>87</v>
      </c>
      <c r="C878" s="98">
        <v>400.00099999999998</v>
      </c>
      <c r="D878" s="98">
        <v>800</v>
      </c>
      <c r="E878" s="98">
        <v>1</v>
      </c>
      <c r="F878" s="98" t="s">
        <v>26</v>
      </c>
      <c r="G878" s="98" t="s">
        <v>26</v>
      </c>
      <c r="H878" s="98">
        <v>0</v>
      </c>
      <c r="I878" s="98">
        <v>0</v>
      </c>
      <c r="K878" s="98">
        <v>0.57848851300000004</v>
      </c>
      <c r="L878" s="98">
        <v>0</v>
      </c>
      <c r="M878" s="98">
        <v>0.57762943200000005</v>
      </c>
      <c r="N878" s="98">
        <v>0</v>
      </c>
      <c r="O878" s="99" t="s">
        <v>393</v>
      </c>
    </row>
    <row r="879" spans="1:15" x14ac:dyDescent="0.25">
      <c r="A879" s="98" t="s">
        <v>55</v>
      </c>
      <c r="B879" s="98" t="s">
        <v>87</v>
      </c>
      <c r="C879" s="98">
        <v>800.00099999999998</v>
      </c>
      <c r="D879" s="98">
        <v>1200</v>
      </c>
      <c r="E879" s="98">
        <v>0.01</v>
      </c>
      <c r="F879" s="98" t="s">
        <v>26</v>
      </c>
      <c r="G879" s="98" t="s">
        <v>26</v>
      </c>
      <c r="H879" s="98">
        <v>0</v>
      </c>
      <c r="I879" s="98">
        <v>0</v>
      </c>
      <c r="K879" s="98">
        <v>2.7260507E-2</v>
      </c>
      <c r="L879" s="98">
        <v>0</v>
      </c>
      <c r="M879" s="98">
        <v>2.6097133000000002E-2</v>
      </c>
      <c r="N879" s="98">
        <v>0</v>
      </c>
      <c r="O879" s="99" t="s">
        <v>394</v>
      </c>
    </row>
    <row r="880" spans="1:15" x14ac:dyDescent="0.25">
      <c r="A880" s="98" t="s">
        <v>55</v>
      </c>
      <c r="B880" s="98" t="s">
        <v>87</v>
      </c>
      <c r="C880" s="98">
        <v>800.00099999999998</v>
      </c>
      <c r="D880" s="98">
        <v>1200</v>
      </c>
      <c r="E880" s="98">
        <v>0.1</v>
      </c>
      <c r="F880" s="98" t="s">
        <v>26</v>
      </c>
      <c r="G880" s="98" t="s">
        <v>26</v>
      </c>
      <c r="H880" s="98">
        <v>0</v>
      </c>
      <c r="I880" s="98">
        <v>0</v>
      </c>
      <c r="K880" s="98">
        <v>6.5033530000000006E-2</v>
      </c>
      <c r="L880" s="98">
        <v>0</v>
      </c>
      <c r="M880" s="98">
        <v>6.3095644000000006E-2</v>
      </c>
      <c r="N880" s="98">
        <v>0</v>
      </c>
      <c r="O880" s="99" t="s">
        <v>395</v>
      </c>
    </row>
    <row r="881" spans="1:15" x14ac:dyDescent="0.25">
      <c r="A881" s="98" t="s">
        <v>55</v>
      </c>
      <c r="B881" s="98" t="s">
        <v>87</v>
      </c>
      <c r="C881" s="98">
        <v>800.00099999999998</v>
      </c>
      <c r="D881" s="98">
        <v>1200</v>
      </c>
      <c r="E881" s="98">
        <v>1</v>
      </c>
      <c r="F881" s="98" t="s">
        <v>26</v>
      </c>
      <c r="G881" s="98" t="s">
        <v>26</v>
      </c>
      <c r="H881" s="98">
        <v>0</v>
      </c>
      <c r="I881" s="98">
        <v>0</v>
      </c>
      <c r="K881" s="98">
        <v>0.57876960799999999</v>
      </c>
      <c r="L881" s="98">
        <v>0</v>
      </c>
      <c r="M881" s="98">
        <v>0.57791094499999995</v>
      </c>
      <c r="N881" s="98">
        <v>0</v>
      </c>
      <c r="O881" s="99" t="s">
        <v>396</v>
      </c>
    </row>
    <row r="882" spans="1:15" x14ac:dyDescent="0.25">
      <c r="A882" s="98" t="s">
        <v>55</v>
      </c>
      <c r="B882" s="98" t="s">
        <v>87</v>
      </c>
      <c r="C882" s="98">
        <v>1200.001</v>
      </c>
      <c r="D882" s="98">
        <v>1562</v>
      </c>
      <c r="E882" s="98">
        <v>0.01</v>
      </c>
      <c r="F882" s="98" t="s">
        <v>26</v>
      </c>
      <c r="G882" s="98" t="s">
        <v>26</v>
      </c>
      <c r="H882" s="98">
        <v>0</v>
      </c>
      <c r="I882" s="98">
        <v>0</v>
      </c>
      <c r="K882" s="98">
        <v>3.4473085000000001E-2</v>
      </c>
      <c r="L882" s="98">
        <v>0</v>
      </c>
      <c r="M882" s="98">
        <v>3.2866752999999999E-2</v>
      </c>
      <c r="N882" s="98">
        <v>0</v>
      </c>
      <c r="O882" s="99" t="s">
        <v>397</v>
      </c>
    </row>
    <row r="883" spans="1:15" x14ac:dyDescent="0.25">
      <c r="A883" s="98" t="s">
        <v>55</v>
      </c>
      <c r="B883" s="98" t="s">
        <v>87</v>
      </c>
      <c r="C883" s="98">
        <v>1200.001</v>
      </c>
      <c r="D883" s="98">
        <v>1562</v>
      </c>
      <c r="E883" s="98">
        <v>0.1</v>
      </c>
      <c r="F883" s="98" t="s">
        <v>26</v>
      </c>
      <c r="G883" s="98" t="s">
        <v>26</v>
      </c>
      <c r="H883" s="98">
        <v>0</v>
      </c>
      <c r="I883" s="98">
        <v>0</v>
      </c>
      <c r="K883" s="98">
        <v>6.9375096999999997E-2</v>
      </c>
      <c r="L883" s="98">
        <v>0</v>
      </c>
      <c r="M883" s="98">
        <v>6.6183255999999996E-2</v>
      </c>
      <c r="N883" s="98">
        <v>0</v>
      </c>
      <c r="O883" s="99" t="s">
        <v>398</v>
      </c>
    </row>
    <row r="884" spans="1:15" x14ac:dyDescent="0.25">
      <c r="A884" s="98" t="s">
        <v>55</v>
      </c>
      <c r="B884" s="98" t="s">
        <v>87</v>
      </c>
      <c r="C884" s="98">
        <v>1200.001</v>
      </c>
      <c r="D884" s="98">
        <v>1562</v>
      </c>
      <c r="E884" s="98">
        <v>1</v>
      </c>
      <c r="F884" s="98" t="s">
        <v>26</v>
      </c>
      <c r="G884" s="98" t="s">
        <v>26</v>
      </c>
      <c r="H884" s="98">
        <v>0</v>
      </c>
      <c r="I884" s="98">
        <v>0</v>
      </c>
      <c r="K884" s="98">
        <v>0.57975076199999998</v>
      </c>
      <c r="L884" s="98">
        <v>0</v>
      </c>
      <c r="M884" s="98">
        <v>0.578256192</v>
      </c>
      <c r="N884" s="98">
        <v>0</v>
      </c>
      <c r="O884" s="99" t="s">
        <v>399</v>
      </c>
    </row>
    <row r="885" spans="1:15" x14ac:dyDescent="0.25">
      <c r="A885" s="98" t="s">
        <v>55</v>
      </c>
      <c r="B885" s="98" t="s">
        <v>88</v>
      </c>
      <c r="C885" s="98">
        <v>-320</v>
      </c>
      <c r="D885" s="98">
        <v>32</v>
      </c>
      <c r="E885" s="98">
        <v>0.01</v>
      </c>
      <c r="F885" s="98" t="s">
        <v>26</v>
      </c>
      <c r="G885" s="98" t="s">
        <v>26</v>
      </c>
      <c r="H885" s="98">
        <v>0</v>
      </c>
      <c r="I885" s="98">
        <v>0</v>
      </c>
      <c r="K885" s="98">
        <v>9.049797E-3</v>
      </c>
      <c r="L885" s="98">
        <v>0</v>
      </c>
      <c r="M885" s="98">
        <v>8.0620870000000008E-3</v>
      </c>
      <c r="N885" s="98">
        <v>0</v>
      </c>
      <c r="O885" s="99" t="s">
        <v>370</v>
      </c>
    </row>
    <row r="886" spans="1:15" x14ac:dyDescent="0.25">
      <c r="A886" s="98" t="s">
        <v>55</v>
      </c>
      <c r="B886" s="98" t="s">
        <v>88</v>
      </c>
      <c r="C886" s="98">
        <v>-320</v>
      </c>
      <c r="D886" s="98">
        <v>32</v>
      </c>
      <c r="E886" s="98">
        <v>0.1</v>
      </c>
      <c r="F886" s="98" t="s">
        <v>26</v>
      </c>
      <c r="G886" s="98" t="s">
        <v>26</v>
      </c>
      <c r="H886" s="98">
        <v>0</v>
      </c>
      <c r="I886" s="98">
        <v>0</v>
      </c>
      <c r="K886" s="98">
        <v>5.8588425E-2</v>
      </c>
      <c r="L886" s="98">
        <v>0</v>
      </c>
      <c r="M886" s="98">
        <v>5.8008596000000003E-2</v>
      </c>
      <c r="N886" s="98">
        <v>0</v>
      </c>
      <c r="O886" s="99" t="s">
        <v>371</v>
      </c>
    </row>
    <row r="887" spans="1:15" x14ac:dyDescent="0.25">
      <c r="A887" s="98" t="s">
        <v>55</v>
      </c>
      <c r="B887" s="98" t="s">
        <v>88</v>
      </c>
      <c r="C887" s="98">
        <v>-320</v>
      </c>
      <c r="D887" s="98">
        <v>32</v>
      </c>
      <c r="E887" s="98">
        <v>1</v>
      </c>
      <c r="F887" s="98" t="s">
        <v>26</v>
      </c>
      <c r="G887" s="98" t="s">
        <v>26</v>
      </c>
      <c r="H887" s="98">
        <v>0</v>
      </c>
      <c r="I887" s="98">
        <v>0</v>
      </c>
      <c r="K887" s="98">
        <v>0.57761182700000002</v>
      </c>
      <c r="L887" s="98">
        <v>0</v>
      </c>
      <c r="M887" s="98">
        <v>0.57737769000000005</v>
      </c>
      <c r="N887" s="98">
        <v>0</v>
      </c>
      <c r="O887" s="99" t="s">
        <v>372</v>
      </c>
    </row>
    <row r="888" spans="1:15" x14ac:dyDescent="0.25">
      <c r="A888" s="98" t="s">
        <v>55</v>
      </c>
      <c r="B888" s="98" t="s">
        <v>88</v>
      </c>
      <c r="C888" s="98">
        <v>32.000999999999998</v>
      </c>
      <c r="D888" s="98">
        <v>400</v>
      </c>
      <c r="E888" s="98">
        <v>0.01</v>
      </c>
      <c r="F888" s="98" t="s">
        <v>26</v>
      </c>
      <c r="G888" s="98" t="s">
        <v>26</v>
      </c>
      <c r="H888" s="98">
        <v>0</v>
      </c>
      <c r="I888" s="98">
        <v>0</v>
      </c>
      <c r="K888" s="98">
        <v>1.6E-2</v>
      </c>
      <c r="L888" s="98">
        <v>0</v>
      </c>
      <c r="M888" s="98">
        <v>1.4466336999999999E-2</v>
      </c>
      <c r="N888" s="98">
        <v>0</v>
      </c>
      <c r="O888" s="99" t="s">
        <v>373</v>
      </c>
    </row>
    <row r="889" spans="1:15" x14ac:dyDescent="0.25">
      <c r="A889" s="98" t="s">
        <v>55</v>
      </c>
      <c r="B889" s="98" t="s">
        <v>88</v>
      </c>
      <c r="C889" s="98">
        <v>32.000999999999998</v>
      </c>
      <c r="D889" s="98">
        <v>400</v>
      </c>
      <c r="E889" s="98">
        <v>0.1</v>
      </c>
      <c r="F889" s="98" t="s">
        <v>26</v>
      </c>
      <c r="G889" s="98" t="s">
        <v>26</v>
      </c>
      <c r="H889" s="98">
        <v>0</v>
      </c>
      <c r="I889" s="98">
        <v>0</v>
      </c>
      <c r="K889" s="98">
        <v>5.9981477999999998E-2</v>
      </c>
      <c r="L889" s="98">
        <v>0</v>
      </c>
      <c r="M889" s="98">
        <v>5.9239132999999999E-2</v>
      </c>
      <c r="N889" s="98">
        <v>0</v>
      </c>
      <c r="O889" s="99" t="s">
        <v>374</v>
      </c>
    </row>
    <row r="890" spans="1:15" x14ac:dyDescent="0.25">
      <c r="A890" s="98" t="s">
        <v>55</v>
      </c>
      <c r="B890" s="98" t="s">
        <v>88</v>
      </c>
      <c r="C890" s="98">
        <v>32.000999999999998</v>
      </c>
      <c r="D890" s="98">
        <v>400</v>
      </c>
      <c r="E890" s="98">
        <v>1</v>
      </c>
      <c r="F890" s="98" t="s">
        <v>26</v>
      </c>
      <c r="G890" s="98" t="s">
        <v>26</v>
      </c>
      <c r="H890" s="98">
        <v>0</v>
      </c>
      <c r="I890" s="98">
        <v>0</v>
      </c>
      <c r="K890" s="98">
        <v>0.57780904</v>
      </c>
      <c r="L890" s="98">
        <v>0</v>
      </c>
      <c r="M890" s="98">
        <v>0.57750261899999999</v>
      </c>
      <c r="N890" s="98">
        <v>0</v>
      </c>
      <c r="O890" s="99" t="s">
        <v>375</v>
      </c>
    </row>
    <row r="891" spans="1:15" x14ac:dyDescent="0.25">
      <c r="A891" s="98" t="s">
        <v>55</v>
      </c>
      <c r="B891" s="98" t="s">
        <v>88</v>
      </c>
      <c r="C891" s="98">
        <v>400.00099999999998</v>
      </c>
      <c r="D891" s="98">
        <v>800</v>
      </c>
      <c r="E891" s="98">
        <v>0.01</v>
      </c>
      <c r="F891" s="98" t="s">
        <v>26</v>
      </c>
      <c r="G891" s="98" t="s">
        <v>26</v>
      </c>
      <c r="H891" s="98">
        <v>0</v>
      </c>
      <c r="I891" s="98">
        <v>0</v>
      </c>
      <c r="K891" s="98">
        <v>0.02</v>
      </c>
      <c r="L891" s="98">
        <v>0</v>
      </c>
      <c r="M891" s="98">
        <v>1.8758799E-2</v>
      </c>
      <c r="N891" s="98">
        <v>0</v>
      </c>
      <c r="O891" s="99" t="s">
        <v>376</v>
      </c>
    </row>
    <row r="892" spans="1:15" x14ac:dyDescent="0.25">
      <c r="A892" s="98" t="s">
        <v>55</v>
      </c>
      <c r="B892" s="98" t="s">
        <v>88</v>
      </c>
      <c r="C892" s="98">
        <v>400.00099999999998</v>
      </c>
      <c r="D892" s="98">
        <v>800</v>
      </c>
      <c r="E892" s="98">
        <v>0.1</v>
      </c>
      <c r="F892" s="98" t="s">
        <v>26</v>
      </c>
      <c r="G892" s="98" t="s">
        <v>26</v>
      </c>
      <c r="H892" s="98">
        <v>0</v>
      </c>
      <c r="I892" s="98">
        <v>0</v>
      </c>
      <c r="K892" s="98">
        <v>6.1158772E-2</v>
      </c>
      <c r="L892" s="98">
        <v>0</v>
      </c>
      <c r="M892" s="98">
        <v>6.0430891E-2</v>
      </c>
      <c r="N892" s="98">
        <v>0</v>
      </c>
      <c r="O892" s="99" t="s">
        <v>377</v>
      </c>
    </row>
    <row r="893" spans="1:15" x14ac:dyDescent="0.25">
      <c r="A893" s="98" t="s">
        <v>55</v>
      </c>
      <c r="B893" s="98" t="s">
        <v>88</v>
      </c>
      <c r="C893" s="98">
        <v>400.00099999999998</v>
      </c>
      <c r="D893" s="98">
        <v>800</v>
      </c>
      <c r="E893" s="98">
        <v>1</v>
      </c>
      <c r="F893" s="98" t="s">
        <v>26</v>
      </c>
      <c r="G893" s="98" t="s">
        <v>26</v>
      </c>
      <c r="H893" s="98">
        <v>0</v>
      </c>
      <c r="I893" s="98">
        <v>0</v>
      </c>
      <c r="K893" s="98">
        <v>0.57793243900000002</v>
      </c>
      <c r="L893" s="98">
        <v>0</v>
      </c>
      <c r="M893" s="98">
        <v>0.57762608400000004</v>
      </c>
      <c r="N893" s="98">
        <v>0</v>
      </c>
      <c r="O893" s="99" t="s">
        <v>378</v>
      </c>
    </row>
    <row r="894" spans="1:15" x14ac:dyDescent="0.25">
      <c r="A894" s="98" t="s">
        <v>55</v>
      </c>
      <c r="B894" s="98" t="s">
        <v>88</v>
      </c>
      <c r="C894" s="98">
        <v>800.00099999999998</v>
      </c>
      <c r="D894" s="98">
        <v>1200</v>
      </c>
      <c r="E894" s="98">
        <v>0.01</v>
      </c>
      <c r="F894" s="98" t="s">
        <v>26</v>
      </c>
      <c r="G894" s="98" t="s">
        <v>26</v>
      </c>
      <c r="H894" s="98">
        <v>0</v>
      </c>
      <c r="I894" s="98">
        <v>0</v>
      </c>
      <c r="K894" s="98">
        <v>2.7080151E-2</v>
      </c>
      <c r="L894" s="98">
        <v>0</v>
      </c>
      <c r="M894" s="98">
        <v>2.5908679E-2</v>
      </c>
      <c r="N894" s="98">
        <v>0</v>
      </c>
      <c r="O894" s="99" t="s">
        <v>379</v>
      </c>
    </row>
    <row r="895" spans="1:15" x14ac:dyDescent="0.25">
      <c r="A895" s="98" t="s">
        <v>55</v>
      </c>
      <c r="B895" s="98" t="s">
        <v>88</v>
      </c>
      <c r="C895" s="98">
        <v>800.00099999999998</v>
      </c>
      <c r="D895" s="98">
        <v>1200</v>
      </c>
      <c r="E895" s="98">
        <v>0.1</v>
      </c>
      <c r="F895" s="98" t="s">
        <v>26</v>
      </c>
      <c r="G895" s="98" t="s">
        <v>26</v>
      </c>
      <c r="H895" s="98">
        <v>0</v>
      </c>
      <c r="I895" s="98">
        <v>0</v>
      </c>
      <c r="K895" s="98">
        <v>6.4958135E-2</v>
      </c>
      <c r="L895" s="98">
        <v>0</v>
      </c>
      <c r="M895" s="98">
        <v>6.3017930999999999E-2</v>
      </c>
      <c r="N895" s="98">
        <v>0</v>
      </c>
      <c r="O895" s="99" t="s">
        <v>380</v>
      </c>
    </row>
    <row r="896" spans="1:15" x14ac:dyDescent="0.25">
      <c r="A896" s="98" t="s">
        <v>55</v>
      </c>
      <c r="B896" s="98" t="s">
        <v>88</v>
      </c>
      <c r="C896" s="98">
        <v>800.00099999999998</v>
      </c>
      <c r="D896" s="98">
        <v>1200</v>
      </c>
      <c r="E896" s="98">
        <v>1</v>
      </c>
      <c r="F896" s="98" t="s">
        <v>26</v>
      </c>
      <c r="G896" s="98" t="s">
        <v>26</v>
      </c>
      <c r="H896" s="98">
        <v>0</v>
      </c>
      <c r="I896" s="98">
        <v>0</v>
      </c>
      <c r="K896" s="98">
        <v>0.57876114099999998</v>
      </c>
      <c r="L896" s="98">
        <v>0</v>
      </c>
      <c r="M896" s="98">
        <v>0.57790246599999995</v>
      </c>
      <c r="N896" s="98">
        <v>0</v>
      </c>
      <c r="O896" s="99" t="s">
        <v>381</v>
      </c>
    </row>
    <row r="897" spans="1:15" x14ac:dyDescent="0.25">
      <c r="A897" s="98" t="s">
        <v>55</v>
      </c>
      <c r="B897" s="98" t="s">
        <v>88</v>
      </c>
      <c r="C897" s="98">
        <v>1200.001</v>
      </c>
      <c r="D897" s="98">
        <v>1562</v>
      </c>
      <c r="E897" s="98">
        <v>0.01</v>
      </c>
      <c r="F897" s="98" t="s">
        <v>26</v>
      </c>
      <c r="G897" s="98" t="s">
        <v>26</v>
      </c>
      <c r="H897" s="98">
        <v>0</v>
      </c>
      <c r="I897" s="98">
        <v>0</v>
      </c>
      <c r="K897" s="98">
        <v>3.3168701000000002E-2</v>
      </c>
      <c r="L897" s="98">
        <v>0</v>
      </c>
      <c r="M897" s="98">
        <v>3.2593935999999997E-2</v>
      </c>
      <c r="N897" s="98">
        <v>0</v>
      </c>
      <c r="O897" s="99" t="s">
        <v>382</v>
      </c>
    </row>
    <row r="898" spans="1:15" x14ac:dyDescent="0.25">
      <c r="A898" s="98" t="s">
        <v>55</v>
      </c>
      <c r="B898" s="98" t="s">
        <v>88</v>
      </c>
      <c r="C898" s="98">
        <v>1200.001</v>
      </c>
      <c r="D898" s="98">
        <v>1562</v>
      </c>
      <c r="E898" s="98">
        <v>0.1</v>
      </c>
      <c r="F898" s="98" t="s">
        <v>26</v>
      </c>
      <c r="G898" s="98" t="s">
        <v>26</v>
      </c>
      <c r="H898" s="98">
        <v>0</v>
      </c>
      <c r="I898" s="98">
        <v>0</v>
      </c>
      <c r="K898" s="98">
        <v>6.7183012E-2</v>
      </c>
      <c r="L898" s="98">
        <v>0</v>
      </c>
      <c r="M898" s="98">
        <v>6.6048199000000002E-2</v>
      </c>
      <c r="N898" s="98">
        <v>0</v>
      </c>
      <c r="O898" s="99" t="s">
        <v>383</v>
      </c>
    </row>
    <row r="899" spans="1:15" x14ac:dyDescent="0.25">
      <c r="A899" s="98" t="s">
        <v>55</v>
      </c>
      <c r="B899" s="98" t="s">
        <v>88</v>
      </c>
      <c r="C899" s="98">
        <v>1200.001</v>
      </c>
      <c r="D899" s="98">
        <v>1562</v>
      </c>
      <c r="E899" s="98">
        <v>1</v>
      </c>
      <c r="F899" s="98" t="s">
        <v>26</v>
      </c>
      <c r="G899" s="98" t="s">
        <v>26</v>
      </c>
      <c r="H899" s="98">
        <v>0</v>
      </c>
      <c r="I899" s="98">
        <v>0</v>
      </c>
      <c r="K899" s="98">
        <v>0.57876345299999998</v>
      </c>
      <c r="L899" s="98">
        <v>0</v>
      </c>
      <c r="M899" s="98">
        <v>0.57824074999999997</v>
      </c>
      <c r="N899" s="98">
        <v>0</v>
      </c>
      <c r="O899" s="99" t="s">
        <v>384</v>
      </c>
    </row>
    <row r="900" spans="1:15" x14ac:dyDescent="0.25">
      <c r="A900" s="98" t="s">
        <v>55</v>
      </c>
      <c r="B900" s="98" t="s">
        <v>84</v>
      </c>
      <c r="C900" s="98">
        <v>-58</v>
      </c>
      <c r="D900" s="98">
        <v>31.998999999999999</v>
      </c>
      <c r="E900" s="98">
        <v>0.1</v>
      </c>
      <c r="F900" s="98" t="s">
        <v>26</v>
      </c>
      <c r="G900" s="98" t="s">
        <v>26</v>
      </c>
      <c r="H900" s="98">
        <v>0</v>
      </c>
      <c r="I900" s="98">
        <v>0</v>
      </c>
      <c r="K900" s="98">
        <v>0.26</v>
      </c>
      <c r="L900" s="98">
        <v>0</v>
      </c>
      <c r="M900" s="98">
        <v>0.22214629799999999</v>
      </c>
      <c r="N900" s="98">
        <v>0</v>
      </c>
      <c r="O900" s="99" t="s">
        <v>362</v>
      </c>
    </row>
    <row r="901" spans="1:15" x14ac:dyDescent="0.25">
      <c r="A901" s="98" t="s">
        <v>55</v>
      </c>
      <c r="B901" s="98" t="s">
        <v>84</v>
      </c>
      <c r="C901" s="98">
        <v>-58</v>
      </c>
      <c r="D901" s="98">
        <v>31.998999999999999</v>
      </c>
      <c r="E901" s="98">
        <v>1</v>
      </c>
      <c r="F901" s="98" t="s">
        <v>26</v>
      </c>
      <c r="G901" s="98" t="s">
        <v>26</v>
      </c>
      <c r="H901" s="98">
        <v>0</v>
      </c>
      <c r="I901" s="98">
        <v>0</v>
      </c>
      <c r="K901" s="98">
        <v>0.66464951500000002</v>
      </c>
      <c r="L901" s="98">
        <v>0</v>
      </c>
      <c r="M901" s="98">
        <v>0.61591312499999995</v>
      </c>
      <c r="N901" s="98">
        <v>0</v>
      </c>
      <c r="O901" s="99" t="s">
        <v>363</v>
      </c>
    </row>
    <row r="902" spans="1:15" x14ac:dyDescent="0.25">
      <c r="A902" s="98" t="s">
        <v>55</v>
      </c>
      <c r="B902" s="98" t="s">
        <v>84</v>
      </c>
      <c r="C902" s="98">
        <v>32</v>
      </c>
      <c r="D902" s="98">
        <v>1100</v>
      </c>
      <c r="E902" s="98">
        <v>0.1</v>
      </c>
      <c r="F902" s="98" t="s">
        <v>26</v>
      </c>
      <c r="G902" s="98" t="s">
        <v>26</v>
      </c>
      <c r="H902" s="98">
        <v>0</v>
      </c>
      <c r="I902" s="98">
        <v>0</v>
      </c>
      <c r="K902" s="98">
        <v>0.19</v>
      </c>
      <c r="L902" s="98">
        <v>0</v>
      </c>
      <c r="M902" s="98">
        <v>0.13897985700000001</v>
      </c>
      <c r="N902" s="98">
        <v>0</v>
      </c>
      <c r="O902" s="99" t="s">
        <v>364</v>
      </c>
    </row>
    <row r="903" spans="1:15" x14ac:dyDescent="0.25">
      <c r="A903" s="98" t="s">
        <v>55</v>
      </c>
      <c r="B903" s="98" t="s">
        <v>84</v>
      </c>
      <c r="C903" s="98">
        <v>32</v>
      </c>
      <c r="D903" s="98">
        <v>1100</v>
      </c>
      <c r="E903" s="98">
        <v>1</v>
      </c>
      <c r="F903" s="98" t="s">
        <v>26</v>
      </c>
      <c r="G903" s="98" t="s">
        <v>26</v>
      </c>
      <c r="H903" s="98">
        <v>0</v>
      </c>
      <c r="I903" s="98">
        <v>0</v>
      </c>
      <c r="K903" s="98">
        <v>0.64165832099999998</v>
      </c>
      <c r="L903" s="98">
        <v>0</v>
      </c>
      <c r="M903" s="98">
        <v>0.591029103</v>
      </c>
      <c r="N903" s="98">
        <v>0</v>
      </c>
      <c r="O903" s="99" t="s">
        <v>365</v>
      </c>
    </row>
    <row r="904" spans="1:15" x14ac:dyDescent="0.25">
      <c r="A904" s="98" t="s">
        <v>55</v>
      </c>
      <c r="B904" s="98" t="s">
        <v>84</v>
      </c>
      <c r="C904" s="98">
        <v>1100.001</v>
      </c>
      <c r="D904" s="98">
        <v>2200</v>
      </c>
      <c r="E904" s="98">
        <v>0.1</v>
      </c>
      <c r="F904" s="98" t="s">
        <v>26</v>
      </c>
      <c r="G904" s="98" t="s">
        <v>26</v>
      </c>
      <c r="H904" s="98">
        <v>0</v>
      </c>
      <c r="I904" s="98">
        <v>0</v>
      </c>
      <c r="K904" s="98">
        <v>0.16</v>
      </c>
      <c r="L904" s="98">
        <v>0</v>
      </c>
      <c r="M904" s="98">
        <v>0.105713381</v>
      </c>
      <c r="N904" s="98">
        <v>0</v>
      </c>
      <c r="O904" s="99" t="s">
        <v>366</v>
      </c>
    </row>
    <row r="905" spans="1:15" x14ac:dyDescent="0.25">
      <c r="A905" s="98" t="s">
        <v>55</v>
      </c>
      <c r="B905" s="98" t="s">
        <v>84</v>
      </c>
      <c r="C905" s="98">
        <v>1100.001</v>
      </c>
      <c r="D905" s="98">
        <v>2200</v>
      </c>
      <c r="E905" s="98">
        <v>1</v>
      </c>
      <c r="F905" s="98" t="s">
        <v>26</v>
      </c>
      <c r="G905" s="98" t="s">
        <v>26</v>
      </c>
      <c r="H905" s="98">
        <v>0</v>
      </c>
      <c r="I905" s="98">
        <v>0</v>
      </c>
      <c r="K905" s="98">
        <v>0.62759628499999998</v>
      </c>
      <c r="L905" s="98">
        <v>0</v>
      </c>
      <c r="M905" s="98">
        <v>0.58410214800000004</v>
      </c>
      <c r="N905" s="98">
        <v>0</v>
      </c>
      <c r="O905" s="99" t="s">
        <v>367</v>
      </c>
    </row>
    <row r="906" spans="1:15" x14ac:dyDescent="0.25">
      <c r="A906" s="98" t="s">
        <v>55</v>
      </c>
      <c r="B906" s="98" t="s">
        <v>84</v>
      </c>
      <c r="C906" s="98">
        <v>2200.0010000000002</v>
      </c>
      <c r="D906" s="98">
        <v>3214</v>
      </c>
      <c r="E906" s="98">
        <v>0.1</v>
      </c>
      <c r="F906" s="98" t="s">
        <v>26</v>
      </c>
      <c r="G906" s="98" t="s">
        <v>26</v>
      </c>
      <c r="H906" s="98">
        <v>0</v>
      </c>
      <c r="I906" s="98">
        <v>0</v>
      </c>
      <c r="K906" s="98">
        <v>0.17</v>
      </c>
      <c r="L906" s="98">
        <v>0</v>
      </c>
      <c r="M906" s="98">
        <v>0.122419896</v>
      </c>
      <c r="N906" s="98">
        <v>0</v>
      </c>
      <c r="O906" s="99" t="s">
        <v>368</v>
      </c>
    </row>
    <row r="907" spans="1:15" x14ac:dyDescent="0.25">
      <c r="A907" s="98" t="s">
        <v>55</v>
      </c>
      <c r="B907" s="98" t="s">
        <v>84</v>
      </c>
      <c r="C907" s="98">
        <v>2200.0010000000002</v>
      </c>
      <c r="D907" s="98">
        <v>3214</v>
      </c>
      <c r="E907" s="98">
        <v>1</v>
      </c>
      <c r="F907" s="98" t="s">
        <v>26</v>
      </c>
      <c r="G907" s="98" t="s">
        <v>26</v>
      </c>
      <c r="H907" s="98">
        <v>0</v>
      </c>
      <c r="I907" s="98">
        <v>0</v>
      </c>
      <c r="K907" s="98">
        <v>0.63062541100000002</v>
      </c>
      <c r="L907" s="98">
        <v>0</v>
      </c>
      <c r="M907" s="98">
        <v>0.58735562600000002</v>
      </c>
      <c r="N907" s="98">
        <v>0</v>
      </c>
      <c r="O907" s="99" t="s">
        <v>369</v>
      </c>
    </row>
    <row r="908" spans="1:15" x14ac:dyDescent="0.25">
      <c r="A908" s="98" t="s">
        <v>55</v>
      </c>
      <c r="B908" s="98" t="s">
        <v>85</v>
      </c>
      <c r="C908" s="98">
        <v>-58</v>
      </c>
      <c r="D908" s="98">
        <v>31.998999999999999</v>
      </c>
      <c r="E908" s="98">
        <v>0.1</v>
      </c>
      <c r="F908" s="98" t="s">
        <v>26</v>
      </c>
      <c r="G908" s="98" t="s">
        <v>26</v>
      </c>
      <c r="H908" s="98">
        <v>0</v>
      </c>
      <c r="I908" s="98">
        <v>0</v>
      </c>
      <c r="K908" s="98">
        <v>0.22</v>
      </c>
      <c r="L908" s="98">
        <v>0</v>
      </c>
      <c r="M908" s="98">
        <v>0.17935751599999999</v>
      </c>
      <c r="N908" s="98">
        <v>0</v>
      </c>
      <c r="O908" s="99" t="s">
        <v>354</v>
      </c>
    </row>
    <row r="909" spans="1:15" x14ac:dyDescent="0.25">
      <c r="A909" s="98" t="s">
        <v>55</v>
      </c>
      <c r="B909" s="98" t="s">
        <v>85</v>
      </c>
      <c r="C909" s="98">
        <v>-58</v>
      </c>
      <c r="D909" s="98">
        <v>31.998999999999999</v>
      </c>
      <c r="E909" s="98">
        <v>1</v>
      </c>
      <c r="F909" s="98" t="s">
        <v>26</v>
      </c>
      <c r="G909" s="98" t="s">
        <v>26</v>
      </c>
      <c r="H909" s="98">
        <v>0</v>
      </c>
      <c r="I909" s="98">
        <v>0</v>
      </c>
      <c r="K909" s="98">
        <v>0.65159735900000004</v>
      </c>
      <c r="L909" s="98">
        <v>0</v>
      </c>
      <c r="M909" s="98">
        <v>0.60180488399999998</v>
      </c>
      <c r="N909" s="98">
        <v>0</v>
      </c>
      <c r="O909" s="99" t="s">
        <v>355</v>
      </c>
    </row>
    <row r="910" spans="1:15" x14ac:dyDescent="0.25">
      <c r="A910" s="98" t="s">
        <v>55</v>
      </c>
      <c r="B910" s="98" t="s">
        <v>85</v>
      </c>
      <c r="C910" s="98">
        <v>32</v>
      </c>
      <c r="D910" s="98">
        <v>1100</v>
      </c>
      <c r="E910" s="98">
        <v>0.1</v>
      </c>
      <c r="F910" s="98" t="s">
        <v>26</v>
      </c>
      <c r="G910" s="98" t="s">
        <v>26</v>
      </c>
      <c r="H910" s="98">
        <v>0</v>
      </c>
      <c r="I910" s="98">
        <v>0</v>
      </c>
      <c r="K910" s="98">
        <v>0.18</v>
      </c>
      <c r="L910" s="98">
        <v>0</v>
      </c>
      <c r="M910" s="98">
        <v>0.12667225100000001</v>
      </c>
      <c r="N910" s="98">
        <v>0</v>
      </c>
      <c r="O910" s="99" t="s">
        <v>356</v>
      </c>
    </row>
    <row r="911" spans="1:15" x14ac:dyDescent="0.25">
      <c r="A911" s="98" t="s">
        <v>55</v>
      </c>
      <c r="B911" s="98" t="s">
        <v>85</v>
      </c>
      <c r="C911" s="98">
        <v>32</v>
      </c>
      <c r="D911" s="98">
        <v>1100</v>
      </c>
      <c r="E911" s="98">
        <v>1</v>
      </c>
      <c r="F911" s="98" t="s">
        <v>26</v>
      </c>
      <c r="G911" s="98" t="s">
        <v>26</v>
      </c>
      <c r="H911" s="98">
        <v>0</v>
      </c>
      <c r="I911" s="98">
        <v>0</v>
      </c>
      <c r="K911" s="98">
        <v>0.63801956900000001</v>
      </c>
      <c r="L911" s="98">
        <v>0</v>
      </c>
      <c r="M911" s="98">
        <v>0.58825662700000003</v>
      </c>
      <c r="N911" s="98">
        <v>0</v>
      </c>
      <c r="O911" s="99" t="s">
        <v>357</v>
      </c>
    </row>
    <row r="912" spans="1:15" x14ac:dyDescent="0.25">
      <c r="A912" s="98" t="s">
        <v>55</v>
      </c>
      <c r="B912" s="98" t="s">
        <v>85</v>
      </c>
      <c r="C912" s="98">
        <v>1100.001</v>
      </c>
      <c r="D912" s="98">
        <v>2200</v>
      </c>
      <c r="E912" s="98">
        <v>0.1</v>
      </c>
      <c r="F912" s="98" t="s">
        <v>26</v>
      </c>
      <c r="G912" s="98" t="s">
        <v>26</v>
      </c>
      <c r="H912" s="98">
        <v>0</v>
      </c>
      <c r="I912" s="98">
        <v>0</v>
      </c>
      <c r="K912" s="98">
        <v>0.17</v>
      </c>
      <c r="L912" s="98">
        <v>0</v>
      </c>
      <c r="M912" s="98">
        <v>0.105713381</v>
      </c>
      <c r="N912" s="98">
        <v>0</v>
      </c>
      <c r="O912" s="99" t="s">
        <v>358</v>
      </c>
    </row>
    <row r="913" spans="1:15" x14ac:dyDescent="0.25">
      <c r="A913" s="98" t="s">
        <v>55</v>
      </c>
      <c r="B913" s="98" t="s">
        <v>85</v>
      </c>
      <c r="C913" s="98">
        <v>1100.001</v>
      </c>
      <c r="D913" s="98">
        <v>2200</v>
      </c>
      <c r="E913" s="98">
        <v>1</v>
      </c>
      <c r="F913" s="98" t="s">
        <v>26</v>
      </c>
      <c r="G913" s="98" t="s">
        <v>26</v>
      </c>
      <c r="H913" s="98">
        <v>0</v>
      </c>
      <c r="I913" s="98">
        <v>0</v>
      </c>
      <c r="K913" s="98">
        <v>0.62833487399999999</v>
      </c>
      <c r="L913" s="98">
        <v>0</v>
      </c>
      <c r="M913" s="98">
        <v>0.58489566299999995</v>
      </c>
      <c r="N913" s="98">
        <v>0</v>
      </c>
      <c r="O913" s="99" t="s">
        <v>359</v>
      </c>
    </row>
    <row r="914" spans="1:15" x14ac:dyDescent="0.25">
      <c r="A914" s="98" t="s">
        <v>55</v>
      </c>
      <c r="B914" s="98" t="s">
        <v>85</v>
      </c>
      <c r="C914" s="98">
        <v>2200.0010000000002</v>
      </c>
      <c r="D914" s="98">
        <v>3214</v>
      </c>
      <c r="E914" s="98">
        <v>0.1</v>
      </c>
      <c r="F914" s="98" t="s">
        <v>26</v>
      </c>
      <c r="G914" s="98" t="s">
        <v>26</v>
      </c>
      <c r="H914" s="98">
        <v>0</v>
      </c>
      <c r="I914" s="98">
        <v>0</v>
      </c>
      <c r="K914" s="98">
        <v>0.17</v>
      </c>
      <c r="L914" s="98">
        <v>0</v>
      </c>
      <c r="M914" s="98">
        <v>0.122419896</v>
      </c>
      <c r="N914" s="98">
        <v>0</v>
      </c>
      <c r="O914" s="99" t="s">
        <v>360</v>
      </c>
    </row>
    <row r="915" spans="1:15" x14ac:dyDescent="0.25">
      <c r="A915" s="98" t="s">
        <v>55</v>
      </c>
      <c r="B915" s="98" t="s">
        <v>85</v>
      </c>
      <c r="C915" s="98">
        <v>2200.0010000000002</v>
      </c>
      <c r="D915" s="98">
        <v>3214</v>
      </c>
      <c r="E915" s="98">
        <v>1</v>
      </c>
      <c r="F915" s="98" t="s">
        <v>26</v>
      </c>
      <c r="G915" s="98" t="s">
        <v>26</v>
      </c>
      <c r="H915" s="98">
        <v>0</v>
      </c>
      <c r="I915" s="98">
        <v>0</v>
      </c>
      <c r="K915" s="98">
        <v>0.63062541100000002</v>
      </c>
      <c r="L915" s="98">
        <v>0</v>
      </c>
      <c r="M915" s="98">
        <v>0.58877774100000002</v>
      </c>
      <c r="N915" s="98">
        <v>0</v>
      </c>
      <c r="O915" s="99" t="s">
        <v>361</v>
      </c>
    </row>
    <row r="916" spans="1:15" x14ac:dyDescent="0.25">
      <c r="A916" s="98" t="s">
        <v>55</v>
      </c>
      <c r="B916" s="98" t="s">
        <v>86</v>
      </c>
      <c r="C916" s="98">
        <v>-454</v>
      </c>
      <c r="D916" s="98">
        <v>-400.00099999999998</v>
      </c>
      <c r="E916" s="98">
        <v>0.1</v>
      </c>
      <c r="F916" s="98" t="s">
        <v>26</v>
      </c>
      <c r="G916" s="98" t="s">
        <v>26</v>
      </c>
      <c r="H916" s="98">
        <v>0</v>
      </c>
      <c r="I916" s="98">
        <v>0</v>
      </c>
      <c r="K916" s="98">
        <v>0.41398294899999999</v>
      </c>
      <c r="L916" s="98">
        <v>0</v>
      </c>
      <c r="M916" s="98">
        <v>0.39270743800000002</v>
      </c>
      <c r="N916" s="98">
        <v>0</v>
      </c>
      <c r="O916" s="99" t="s">
        <v>348</v>
      </c>
    </row>
    <row r="917" spans="1:15" x14ac:dyDescent="0.25">
      <c r="A917" s="98" t="s">
        <v>55</v>
      </c>
      <c r="B917" s="98" t="s">
        <v>86</v>
      </c>
      <c r="C917" s="98">
        <v>-454</v>
      </c>
      <c r="D917" s="98">
        <v>-400.00099999999998</v>
      </c>
      <c r="E917" s="98">
        <v>1</v>
      </c>
      <c r="F917" s="98" t="s">
        <v>26</v>
      </c>
      <c r="G917" s="98" t="s">
        <v>26</v>
      </c>
      <c r="H917" s="98">
        <v>0</v>
      </c>
      <c r="I917" s="98">
        <v>0</v>
      </c>
      <c r="K917" s="98">
        <v>0.74355237399999996</v>
      </c>
      <c r="L917" s="98">
        <v>0</v>
      </c>
      <c r="M917" s="98">
        <v>0.69585855799999996</v>
      </c>
      <c r="N917" s="98">
        <v>0</v>
      </c>
      <c r="O917" s="99" t="s">
        <v>349</v>
      </c>
    </row>
    <row r="918" spans="1:15" x14ac:dyDescent="0.25">
      <c r="A918" s="98" t="s">
        <v>55</v>
      </c>
      <c r="B918" s="98" t="s">
        <v>86</v>
      </c>
      <c r="C918" s="98">
        <v>-400</v>
      </c>
      <c r="D918" s="98">
        <v>199.999</v>
      </c>
      <c r="E918" s="98">
        <v>0.1</v>
      </c>
      <c r="F918" s="98" t="s">
        <v>26</v>
      </c>
      <c r="G918" s="98" t="s">
        <v>26</v>
      </c>
      <c r="H918" s="98">
        <v>0</v>
      </c>
      <c r="I918" s="98">
        <v>0</v>
      </c>
      <c r="K918" s="98">
        <v>0.18</v>
      </c>
      <c r="L918" s="98">
        <v>0</v>
      </c>
      <c r="M918" s="98">
        <v>0.124119993</v>
      </c>
      <c r="N918" s="98">
        <v>0</v>
      </c>
      <c r="O918" s="99" t="s">
        <v>350</v>
      </c>
    </row>
    <row r="919" spans="1:15" x14ac:dyDescent="0.25">
      <c r="A919" s="98" t="s">
        <v>55</v>
      </c>
      <c r="B919" s="98" t="s">
        <v>86</v>
      </c>
      <c r="C919" s="98">
        <v>-400</v>
      </c>
      <c r="D919" s="98">
        <v>199.999</v>
      </c>
      <c r="E919" s="98">
        <v>1</v>
      </c>
      <c r="F919" s="98" t="s">
        <v>26</v>
      </c>
      <c r="G919" s="98" t="s">
        <v>26</v>
      </c>
      <c r="H919" s="98">
        <v>0</v>
      </c>
      <c r="I919" s="98">
        <v>0</v>
      </c>
      <c r="K919" s="98">
        <v>0.63424617999999999</v>
      </c>
      <c r="L919" s="98">
        <v>0</v>
      </c>
      <c r="M919" s="98">
        <v>0.58771232100000004</v>
      </c>
      <c r="N919" s="98">
        <v>0</v>
      </c>
      <c r="O919" s="99" t="s">
        <v>351</v>
      </c>
    </row>
    <row r="920" spans="1:15" x14ac:dyDescent="0.25">
      <c r="A920" s="98" t="s">
        <v>55</v>
      </c>
      <c r="B920" s="98" t="s">
        <v>86</v>
      </c>
      <c r="C920" s="98">
        <v>200</v>
      </c>
      <c r="D920" s="98">
        <v>752</v>
      </c>
      <c r="E920" s="98">
        <v>0.1</v>
      </c>
      <c r="F920" s="98" t="s">
        <v>26</v>
      </c>
      <c r="G920" s="98" t="s">
        <v>26</v>
      </c>
      <c r="H920" s="98">
        <v>0</v>
      </c>
      <c r="I920" s="98">
        <v>0</v>
      </c>
      <c r="K920" s="98">
        <v>0.11</v>
      </c>
      <c r="L920" s="98">
        <v>0</v>
      </c>
      <c r="M920" s="98">
        <v>8.3094007999999997E-2</v>
      </c>
      <c r="N920" s="98">
        <v>0</v>
      </c>
      <c r="O920" s="99" t="s">
        <v>352</v>
      </c>
    </row>
    <row r="921" spans="1:15" x14ac:dyDescent="0.25">
      <c r="A921" s="98" t="s">
        <v>55</v>
      </c>
      <c r="B921" s="98" t="s">
        <v>86</v>
      </c>
      <c r="C921" s="98">
        <v>200</v>
      </c>
      <c r="D921" s="98">
        <v>752</v>
      </c>
      <c r="E921" s="98">
        <v>1</v>
      </c>
      <c r="F921" s="98" t="s">
        <v>26</v>
      </c>
      <c r="G921" s="98" t="s">
        <v>26</v>
      </c>
      <c r="H921" s="98">
        <v>0</v>
      </c>
      <c r="I921" s="98">
        <v>0</v>
      </c>
      <c r="K921" s="98">
        <v>0.59634521399999996</v>
      </c>
      <c r="L921" s="98">
        <v>0</v>
      </c>
      <c r="M921" s="98">
        <v>0.58043484899999997</v>
      </c>
      <c r="N921" s="98">
        <v>0</v>
      </c>
      <c r="O921" s="99" t="s">
        <v>353</v>
      </c>
    </row>
    <row r="922" spans="1:15" x14ac:dyDescent="0.25">
      <c r="A922" s="98" t="s">
        <v>55</v>
      </c>
      <c r="B922" s="98" t="s">
        <v>17</v>
      </c>
      <c r="C922" s="98">
        <v>0</v>
      </c>
      <c r="D922" s="98">
        <v>40</v>
      </c>
      <c r="E922" s="98">
        <v>9.9999999999999995E-7</v>
      </c>
      <c r="F922" s="98" t="s">
        <v>9</v>
      </c>
      <c r="G922" s="98" t="s">
        <v>9</v>
      </c>
      <c r="H922" s="98">
        <v>0</v>
      </c>
      <c r="I922" s="98">
        <v>0</v>
      </c>
      <c r="K922" s="98">
        <v>0</v>
      </c>
      <c r="L922" s="98">
        <v>6E-10</v>
      </c>
      <c r="M922" s="98">
        <v>1.1000000000000001E-11</v>
      </c>
      <c r="N922" s="98">
        <v>5.7699999999999997E-10</v>
      </c>
      <c r="O922" s="99" t="s">
        <v>307</v>
      </c>
    </row>
    <row r="923" spans="1:15" x14ac:dyDescent="0.25">
      <c r="A923" s="98" t="s">
        <v>55</v>
      </c>
      <c r="B923" s="98" t="s">
        <v>17</v>
      </c>
      <c r="C923" s="98">
        <v>0</v>
      </c>
      <c r="D923" s="98">
        <v>40</v>
      </c>
      <c r="E923" s="98">
        <v>1.0000000000000001E-5</v>
      </c>
      <c r="F923" s="98" t="s">
        <v>9</v>
      </c>
      <c r="G923" s="98" t="s">
        <v>9</v>
      </c>
      <c r="H923" s="98">
        <v>0</v>
      </c>
      <c r="I923" s="98">
        <v>0</v>
      </c>
      <c r="K923" s="98">
        <v>0</v>
      </c>
      <c r="L923" s="98">
        <v>6E-10</v>
      </c>
      <c r="M923" s="98">
        <v>3E-11</v>
      </c>
      <c r="N923" s="98">
        <v>5.7699999999999997E-10</v>
      </c>
      <c r="O923" s="99" t="s">
        <v>308</v>
      </c>
    </row>
    <row r="924" spans="1:15" x14ac:dyDescent="0.25">
      <c r="A924" s="98" t="s">
        <v>55</v>
      </c>
      <c r="B924" s="98" t="s">
        <v>17</v>
      </c>
      <c r="C924" s="98">
        <v>0</v>
      </c>
      <c r="D924" s="98">
        <v>40</v>
      </c>
      <c r="E924" s="98">
        <v>1E-4</v>
      </c>
      <c r="F924" s="98" t="s">
        <v>9</v>
      </c>
      <c r="G924" s="98" t="s">
        <v>9</v>
      </c>
      <c r="H924" s="98">
        <v>0</v>
      </c>
      <c r="I924" s="98">
        <v>0</v>
      </c>
      <c r="K924" s="98">
        <v>0</v>
      </c>
      <c r="L924" s="98">
        <v>6E-10</v>
      </c>
      <c r="M924" s="98">
        <v>2.9509999999999998E-9</v>
      </c>
      <c r="N924" s="98">
        <v>5.7699999999999997E-10</v>
      </c>
      <c r="O924" s="99" t="s">
        <v>309</v>
      </c>
    </row>
    <row r="925" spans="1:15" x14ac:dyDescent="0.25">
      <c r="A925" s="98" t="s">
        <v>55</v>
      </c>
      <c r="B925" s="98" t="s">
        <v>17</v>
      </c>
      <c r="C925" s="98">
        <v>0</v>
      </c>
      <c r="D925" s="98">
        <v>40</v>
      </c>
      <c r="E925" s="98">
        <v>1E-3</v>
      </c>
      <c r="F925" s="98" t="s">
        <v>9</v>
      </c>
      <c r="G925" s="98" t="s">
        <v>9</v>
      </c>
      <c r="H925" s="98">
        <v>0</v>
      </c>
      <c r="I925" s="98">
        <v>0</v>
      </c>
      <c r="K925" s="98">
        <v>2.2343999999999999E-7</v>
      </c>
      <c r="L925" s="98">
        <v>5.9400000000000002E-10</v>
      </c>
      <c r="M925" s="98">
        <v>2.4522999999999998E-7</v>
      </c>
      <c r="N925" s="98">
        <v>5.7099999999999999E-10</v>
      </c>
      <c r="O925" s="99" t="s">
        <v>310</v>
      </c>
    </row>
    <row r="926" spans="1:15" x14ac:dyDescent="0.25">
      <c r="A926" s="98" t="s">
        <v>55</v>
      </c>
      <c r="B926" s="98" t="s">
        <v>17</v>
      </c>
      <c r="C926" s="98">
        <v>0</v>
      </c>
      <c r="D926" s="98">
        <v>40</v>
      </c>
      <c r="E926" s="98">
        <v>0.01</v>
      </c>
      <c r="F926" s="98" t="s">
        <v>9</v>
      </c>
      <c r="G926" s="98" t="s">
        <v>9</v>
      </c>
      <c r="H926" s="98">
        <v>0</v>
      </c>
      <c r="I926" s="98">
        <v>0</v>
      </c>
      <c r="K926" s="98">
        <v>5.3364999999999996E-6</v>
      </c>
      <c r="L926" s="98">
        <v>4.6700000000000004E-10</v>
      </c>
      <c r="M926" s="98">
        <v>5.3407999999999998E-6</v>
      </c>
      <c r="N926" s="98">
        <v>4.6200000000000001E-10</v>
      </c>
      <c r="O926" s="99" t="s">
        <v>311</v>
      </c>
    </row>
    <row r="927" spans="1:15" x14ac:dyDescent="0.25">
      <c r="A927" s="98" t="s">
        <v>55</v>
      </c>
      <c r="B927" s="98" t="s">
        <v>17</v>
      </c>
      <c r="C927" s="98">
        <v>0</v>
      </c>
      <c r="D927" s="98">
        <v>40</v>
      </c>
      <c r="E927" s="98">
        <v>0.1</v>
      </c>
      <c r="F927" s="98" t="s">
        <v>9</v>
      </c>
      <c r="G927" s="98" t="s">
        <v>9</v>
      </c>
      <c r="H927" s="98">
        <v>0</v>
      </c>
      <c r="I927" s="98">
        <v>0</v>
      </c>
      <c r="K927" s="98">
        <v>5.7624999999999998E-5</v>
      </c>
      <c r="L927" s="98">
        <v>1.1399999999999999E-10</v>
      </c>
      <c r="M927" s="98">
        <v>5.7299999999999997E-5</v>
      </c>
      <c r="N927" s="98">
        <v>1.1399999999999999E-10</v>
      </c>
      <c r="O927" s="99" t="s">
        <v>312</v>
      </c>
    </row>
    <row r="928" spans="1:15" x14ac:dyDescent="0.25">
      <c r="A928" s="98" t="s">
        <v>55</v>
      </c>
      <c r="B928" s="98" t="s">
        <v>17</v>
      </c>
      <c r="C928" s="98">
        <v>0</v>
      </c>
      <c r="D928" s="98">
        <v>40</v>
      </c>
      <c r="E928" s="98">
        <v>1</v>
      </c>
      <c r="F928" s="98" t="s">
        <v>9</v>
      </c>
      <c r="G928" s="98" t="s">
        <v>9</v>
      </c>
      <c r="H928" s="98">
        <v>0</v>
      </c>
      <c r="I928" s="98">
        <v>0</v>
      </c>
      <c r="K928" s="98">
        <v>5.7700000000000004E-4</v>
      </c>
      <c r="L928" s="98">
        <v>1.2000000000000001E-11</v>
      </c>
      <c r="M928" s="98">
        <v>5.7700000000000004E-4</v>
      </c>
      <c r="N928" s="98">
        <v>1.2000000000000001E-11</v>
      </c>
      <c r="O928" s="99" t="s">
        <v>313</v>
      </c>
    </row>
    <row r="929" spans="1:15" x14ac:dyDescent="0.25">
      <c r="A929" s="98" t="s">
        <v>55</v>
      </c>
      <c r="B929" s="98" t="s">
        <v>17</v>
      </c>
      <c r="C929" s="98">
        <v>0</v>
      </c>
      <c r="D929" s="98">
        <v>40</v>
      </c>
      <c r="E929" s="98">
        <v>10</v>
      </c>
      <c r="F929" s="98" t="s">
        <v>9</v>
      </c>
      <c r="G929" s="98" t="s">
        <v>9</v>
      </c>
      <c r="H929" s="98">
        <v>0</v>
      </c>
      <c r="I929" s="98">
        <v>0</v>
      </c>
      <c r="K929" s="98">
        <v>5.7736000000000003E-3</v>
      </c>
      <c r="L929" s="98">
        <v>9.9999999999999998E-13</v>
      </c>
      <c r="M929" s="98">
        <v>5.7730999999999998E-3</v>
      </c>
      <c r="N929" s="98">
        <v>9.9999999999999998E-13</v>
      </c>
      <c r="O929" s="99" t="s">
        <v>314</v>
      </c>
    </row>
    <row r="930" spans="1:15" x14ac:dyDescent="0.25">
      <c r="A930" s="98" t="s">
        <v>55</v>
      </c>
      <c r="B930" s="98" t="s">
        <v>17</v>
      </c>
      <c r="C930" s="98">
        <v>0</v>
      </c>
      <c r="D930" s="98">
        <v>40</v>
      </c>
      <c r="E930" s="98">
        <v>100</v>
      </c>
      <c r="F930" s="98" t="s">
        <v>9</v>
      </c>
      <c r="G930" s="98" t="s">
        <v>9</v>
      </c>
      <c r="H930" s="98">
        <v>0</v>
      </c>
      <c r="I930" s="98">
        <v>0</v>
      </c>
      <c r="K930" s="98">
        <v>5.7736000000000003E-2</v>
      </c>
      <c r="L930" s="98">
        <v>0</v>
      </c>
      <c r="M930" s="98">
        <v>5.7735000000000002E-2</v>
      </c>
      <c r="N930" s="98">
        <v>0</v>
      </c>
      <c r="O930" s="99" t="s">
        <v>1469</v>
      </c>
    </row>
    <row r="931" spans="1:15" x14ac:dyDescent="0.25">
      <c r="A931" s="98" t="s">
        <v>55</v>
      </c>
      <c r="B931" s="98" t="s">
        <v>17</v>
      </c>
      <c r="C931" s="98">
        <v>0</v>
      </c>
      <c r="D931" s="98">
        <v>40</v>
      </c>
      <c r="E931" s="98">
        <v>1000</v>
      </c>
      <c r="F931" s="98" t="s">
        <v>9</v>
      </c>
      <c r="G931" s="98" t="s">
        <v>9</v>
      </c>
      <c r="H931" s="98">
        <v>0</v>
      </c>
      <c r="I931" s="98">
        <v>0</v>
      </c>
      <c r="K931" s="98">
        <v>0.57735999999999998</v>
      </c>
      <c r="L931" s="98">
        <v>0</v>
      </c>
      <c r="M931" s="98">
        <v>0.57735000000000003</v>
      </c>
      <c r="N931" s="98">
        <v>0</v>
      </c>
      <c r="O931" s="99" t="s">
        <v>315</v>
      </c>
    </row>
    <row r="932" spans="1:15" x14ac:dyDescent="0.25">
      <c r="A932" s="98" t="s">
        <v>55</v>
      </c>
      <c r="B932" s="98" t="s">
        <v>17</v>
      </c>
      <c r="C932" s="98">
        <v>0</v>
      </c>
      <c r="D932" s="98">
        <v>40</v>
      </c>
      <c r="E932" s="98">
        <v>10000</v>
      </c>
      <c r="F932" s="98" t="s">
        <v>9</v>
      </c>
      <c r="G932" s="98" t="s">
        <v>9</v>
      </c>
      <c r="H932" s="98">
        <v>0</v>
      </c>
      <c r="I932" s="98">
        <v>0</v>
      </c>
      <c r="K932" s="98">
        <v>5.7736000000000001</v>
      </c>
      <c r="L932" s="98">
        <v>0</v>
      </c>
      <c r="M932" s="98">
        <v>5.7736000000000001</v>
      </c>
      <c r="N932" s="98">
        <v>0</v>
      </c>
      <c r="O932" s="99" t="s">
        <v>316</v>
      </c>
    </row>
    <row r="933" spans="1:15" x14ac:dyDescent="0.25">
      <c r="A933" s="98" t="s">
        <v>55</v>
      </c>
      <c r="B933" s="98" t="s">
        <v>17</v>
      </c>
      <c r="C933" s="98">
        <v>40</v>
      </c>
      <c r="D933" s="98">
        <v>1000</v>
      </c>
      <c r="E933" s="98">
        <v>1E-4</v>
      </c>
      <c r="F933" s="98" t="s">
        <v>9</v>
      </c>
      <c r="G933" s="98" t="s">
        <v>9</v>
      </c>
      <c r="H933" s="98">
        <v>0</v>
      </c>
      <c r="I933" s="98">
        <v>0</v>
      </c>
      <c r="K933" s="98">
        <v>2.8999999999999998E-7</v>
      </c>
      <c r="L933" s="98">
        <v>1.3E-7</v>
      </c>
      <c r="M933" s="98">
        <v>2.53E-7</v>
      </c>
      <c r="N933" s="98">
        <v>1.2897E-7</v>
      </c>
      <c r="O933" s="99" t="s">
        <v>317</v>
      </c>
    </row>
    <row r="934" spans="1:15" x14ac:dyDescent="0.25">
      <c r="A934" s="98" t="s">
        <v>55</v>
      </c>
      <c r="B934" s="98" t="s">
        <v>17</v>
      </c>
      <c r="C934" s="98">
        <v>40</v>
      </c>
      <c r="D934" s="98">
        <v>1000</v>
      </c>
      <c r="E934" s="98">
        <v>1E-3</v>
      </c>
      <c r="F934" s="98" t="s">
        <v>9</v>
      </c>
      <c r="G934" s="98" t="s">
        <v>9</v>
      </c>
      <c r="H934" s="98">
        <v>0</v>
      </c>
      <c r="I934" s="98">
        <v>0</v>
      </c>
      <c r="K934" s="98">
        <v>6.5700000000000002E-7</v>
      </c>
      <c r="L934" s="98">
        <v>1.2893999999999999E-7</v>
      </c>
      <c r="M934" s="98">
        <v>5.9800000000000003E-7</v>
      </c>
      <c r="N934" s="98">
        <v>1.2907E-7</v>
      </c>
      <c r="O934" s="99" t="s">
        <v>318</v>
      </c>
    </row>
    <row r="935" spans="1:15" x14ac:dyDescent="0.25">
      <c r="A935" s="98" t="s">
        <v>55</v>
      </c>
      <c r="B935" s="98" t="s">
        <v>17</v>
      </c>
      <c r="C935" s="98">
        <v>40</v>
      </c>
      <c r="D935" s="98">
        <v>1000</v>
      </c>
      <c r="E935" s="98">
        <v>0.01</v>
      </c>
      <c r="F935" s="98" t="s">
        <v>9</v>
      </c>
      <c r="G935" s="98" t="s">
        <v>9</v>
      </c>
      <c r="H935" s="98">
        <v>0</v>
      </c>
      <c r="I935" s="98">
        <v>0</v>
      </c>
      <c r="K935" s="98">
        <v>2.6089999999999999E-5</v>
      </c>
      <c r="L935" s="98">
        <v>1.3885E-7</v>
      </c>
      <c r="M935" s="98">
        <v>2.5942E-5</v>
      </c>
      <c r="N935" s="98">
        <v>1.3918000000000001E-7</v>
      </c>
      <c r="O935" s="99" t="s">
        <v>319</v>
      </c>
    </row>
    <row r="936" spans="1:15" x14ac:dyDescent="0.25">
      <c r="A936" s="98" t="s">
        <v>55</v>
      </c>
      <c r="B936" s="98" t="s">
        <v>17</v>
      </c>
      <c r="C936" s="98">
        <v>40</v>
      </c>
      <c r="D936" s="98">
        <v>1000</v>
      </c>
      <c r="E936" s="98">
        <v>0.1</v>
      </c>
      <c r="F936" s="98" t="s">
        <v>9</v>
      </c>
      <c r="G936" s="98" t="s">
        <v>9</v>
      </c>
      <c r="H936" s="98">
        <v>0</v>
      </c>
      <c r="I936" s="98">
        <v>0</v>
      </c>
      <c r="K936" s="98">
        <v>3.9689E-4</v>
      </c>
      <c r="L936" s="98">
        <v>5.5570000000000003E-7</v>
      </c>
      <c r="M936" s="98">
        <v>3.9680999999999999E-4</v>
      </c>
      <c r="N936" s="98">
        <v>5.5588000000000003E-7</v>
      </c>
      <c r="O936" s="99" t="s">
        <v>320</v>
      </c>
    </row>
    <row r="937" spans="1:15" x14ac:dyDescent="0.25">
      <c r="A937" s="98" t="s">
        <v>55</v>
      </c>
      <c r="B937" s="98" t="s">
        <v>17</v>
      </c>
      <c r="C937" s="98">
        <v>40</v>
      </c>
      <c r="D937" s="98">
        <v>1000</v>
      </c>
      <c r="E937" s="98">
        <v>1</v>
      </c>
      <c r="F937" s="98" t="s">
        <v>9</v>
      </c>
      <c r="G937" s="98" t="s">
        <v>9</v>
      </c>
      <c r="H937" s="98">
        <v>0</v>
      </c>
      <c r="I937" s="98">
        <v>0</v>
      </c>
      <c r="K937" s="98">
        <v>3.9871999999999998E-3</v>
      </c>
      <c r="L937" s="98">
        <v>5.4141000000000004E-6</v>
      </c>
      <c r="M937" s="98">
        <v>3.9871999999999998E-3</v>
      </c>
      <c r="N937" s="98">
        <v>5.4141000000000004E-6</v>
      </c>
      <c r="O937" s="99" t="s">
        <v>321</v>
      </c>
    </row>
    <row r="938" spans="1:15" x14ac:dyDescent="0.25">
      <c r="A938" s="98" t="s">
        <v>55</v>
      </c>
      <c r="B938" s="98" t="s">
        <v>17</v>
      </c>
      <c r="C938" s="98">
        <v>40</v>
      </c>
      <c r="D938" s="98">
        <v>1000</v>
      </c>
      <c r="E938" s="98">
        <v>10</v>
      </c>
      <c r="F938" s="98" t="s">
        <v>9</v>
      </c>
      <c r="G938" s="98" t="s">
        <v>9</v>
      </c>
      <c r="H938" s="98">
        <v>0</v>
      </c>
      <c r="I938" s="98">
        <v>0</v>
      </c>
      <c r="K938" s="98">
        <v>5.5948999999999999E-2</v>
      </c>
      <c r="L938" s="98">
        <v>5.41E-5</v>
      </c>
      <c r="M938" s="98">
        <v>5.5948999999999999E-2</v>
      </c>
      <c r="N938" s="98">
        <v>5.41E-5</v>
      </c>
      <c r="O938" s="99" t="s">
        <v>322</v>
      </c>
    </row>
    <row r="939" spans="1:15" x14ac:dyDescent="0.25">
      <c r="A939" s="98" t="s">
        <v>55</v>
      </c>
      <c r="B939" s="98" t="s">
        <v>17</v>
      </c>
      <c r="C939" s="98">
        <v>1000</v>
      </c>
      <c r="D939" s="98">
        <v>10000</v>
      </c>
      <c r="E939" s="98">
        <v>1E-3</v>
      </c>
      <c r="F939" s="98" t="s">
        <v>9</v>
      </c>
      <c r="G939" s="98" t="s">
        <v>9</v>
      </c>
      <c r="H939" s="98">
        <v>0</v>
      </c>
      <c r="I939" s="98">
        <v>0</v>
      </c>
      <c r="K939" s="98">
        <v>4.3999999999999997E-9</v>
      </c>
      <c r="L939" s="98">
        <v>1.3E-7</v>
      </c>
      <c r="M939" s="98">
        <v>7.4100000000000003E-10</v>
      </c>
      <c r="N939" s="98">
        <v>1.2921999999999999E-7</v>
      </c>
      <c r="O939" s="99" t="s">
        <v>323</v>
      </c>
    </row>
    <row r="940" spans="1:15" x14ac:dyDescent="0.25">
      <c r="A940" s="98" t="s">
        <v>55</v>
      </c>
      <c r="B940" s="98" t="s">
        <v>17</v>
      </c>
      <c r="C940" s="98">
        <v>1000</v>
      </c>
      <c r="D940" s="98">
        <v>10000</v>
      </c>
      <c r="E940" s="98">
        <v>0.01</v>
      </c>
      <c r="F940" s="98" t="s">
        <v>9</v>
      </c>
      <c r="G940" s="98" t="s">
        <v>9</v>
      </c>
      <c r="H940" s="98">
        <v>0</v>
      </c>
      <c r="I940" s="98">
        <v>0</v>
      </c>
      <c r="K940" s="98">
        <v>1.9500000000000001E-7</v>
      </c>
      <c r="L940" s="98">
        <v>1.29E-7</v>
      </c>
      <c r="M940" s="98">
        <v>1.3799999999999999E-7</v>
      </c>
      <c r="N940" s="98">
        <v>1.2921E-7</v>
      </c>
      <c r="O940" s="99" t="s">
        <v>324</v>
      </c>
    </row>
    <row r="941" spans="1:15" x14ac:dyDescent="0.25">
      <c r="A941" s="98" t="s">
        <v>55</v>
      </c>
      <c r="B941" s="98" t="s">
        <v>17</v>
      </c>
      <c r="C941" s="98">
        <v>1000</v>
      </c>
      <c r="D941" s="98">
        <v>10000</v>
      </c>
      <c r="E941" s="98">
        <v>0.1</v>
      </c>
      <c r="F941" s="98" t="s">
        <v>9</v>
      </c>
      <c r="G941" s="98" t="s">
        <v>9</v>
      </c>
      <c r="H941" s="98">
        <v>0</v>
      </c>
      <c r="I941" s="98">
        <v>0</v>
      </c>
      <c r="K941" s="98">
        <v>1.3574000000000001E-5</v>
      </c>
      <c r="L941" s="98">
        <v>1.2799E-7</v>
      </c>
      <c r="M941" s="98">
        <v>1.3570999999999999E-5</v>
      </c>
      <c r="N941" s="98">
        <v>1.2799E-7</v>
      </c>
      <c r="O941" s="99" t="s">
        <v>325</v>
      </c>
    </row>
    <row r="942" spans="1:15" x14ac:dyDescent="0.25">
      <c r="A942" s="98" t="s">
        <v>55</v>
      </c>
      <c r="B942" s="98" t="s">
        <v>17</v>
      </c>
      <c r="C942" s="98">
        <v>1000</v>
      </c>
      <c r="D942" s="98">
        <v>10000</v>
      </c>
      <c r="E942" s="98">
        <v>1</v>
      </c>
      <c r="F942" s="98" t="s">
        <v>9</v>
      </c>
      <c r="G942" s="98" t="s">
        <v>9</v>
      </c>
      <c r="H942" s="98">
        <v>0</v>
      </c>
      <c r="I942" s="98">
        <v>0</v>
      </c>
      <c r="K942" s="98">
        <v>6.8566000000000005E-4</v>
      </c>
      <c r="L942" s="98">
        <v>9.1516999999999998E-8</v>
      </c>
      <c r="M942" s="98">
        <v>6.8565E-4</v>
      </c>
      <c r="N942" s="98">
        <v>9.1517999999999999E-8</v>
      </c>
      <c r="O942" s="99" t="s">
        <v>326</v>
      </c>
    </row>
    <row r="943" spans="1:15" x14ac:dyDescent="0.25">
      <c r="A943" s="98" t="s">
        <v>55</v>
      </c>
      <c r="B943" s="98" t="s">
        <v>17</v>
      </c>
      <c r="C943" s="98">
        <v>1000</v>
      </c>
      <c r="D943" s="98">
        <v>10000</v>
      </c>
      <c r="E943" s="98">
        <v>10</v>
      </c>
      <c r="F943" s="98" t="s">
        <v>9</v>
      </c>
      <c r="G943" s="98" t="s">
        <v>9</v>
      </c>
      <c r="H943" s="98">
        <v>0</v>
      </c>
      <c r="I943" s="98">
        <v>0</v>
      </c>
      <c r="K943" s="98">
        <v>5.7844000000000003E-3</v>
      </c>
      <c r="L943" s="98">
        <v>1.571E-8</v>
      </c>
      <c r="M943" s="98">
        <v>5.7844000000000003E-3</v>
      </c>
      <c r="N943" s="98">
        <v>1.571E-8</v>
      </c>
      <c r="O943" s="99" t="s">
        <v>327</v>
      </c>
    </row>
    <row r="944" spans="1:15" x14ac:dyDescent="0.25">
      <c r="A944" s="98" t="s">
        <v>55</v>
      </c>
      <c r="B944" s="98" t="s">
        <v>17</v>
      </c>
      <c r="C944" s="98">
        <v>1000</v>
      </c>
      <c r="D944" s="98">
        <v>10000</v>
      </c>
      <c r="E944" s="98">
        <v>100</v>
      </c>
      <c r="F944" s="98" t="s">
        <v>9</v>
      </c>
      <c r="G944" s="98" t="s">
        <v>9</v>
      </c>
      <c r="H944" s="98">
        <v>0</v>
      </c>
      <c r="I944" s="98">
        <v>0</v>
      </c>
      <c r="K944" s="98">
        <v>5.7734000000000001E-2</v>
      </c>
      <c r="L944" s="98">
        <v>1.5900000000000001E-9</v>
      </c>
      <c r="M944" s="98">
        <v>5.772E-2</v>
      </c>
      <c r="N944" s="98">
        <v>1.5900000000000001E-9</v>
      </c>
      <c r="O944" s="99" t="s">
        <v>328</v>
      </c>
    </row>
    <row r="945" spans="1:15" x14ac:dyDescent="0.25">
      <c r="A945" s="98" t="s">
        <v>55</v>
      </c>
      <c r="B945" s="98" t="s">
        <v>17</v>
      </c>
      <c r="C945" s="98">
        <v>10000</v>
      </c>
      <c r="D945" s="98">
        <v>100000</v>
      </c>
      <c r="E945" s="98">
        <v>0.01</v>
      </c>
      <c r="F945" s="98" t="s">
        <v>9</v>
      </c>
      <c r="G945" s="98" t="s">
        <v>9</v>
      </c>
      <c r="H945" s="98">
        <v>0</v>
      </c>
      <c r="I945" s="98">
        <v>0</v>
      </c>
      <c r="K945" s="98">
        <v>4.3999999999999997E-8</v>
      </c>
      <c r="L945" s="98">
        <v>7.0000000000000001E-12</v>
      </c>
      <c r="M945" s="98">
        <v>7.4140000000000002E-9</v>
      </c>
      <c r="N945" s="98">
        <v>1.29E-7</v>
      </c>
      <c r="O945" s="99" t="s">
        <v>329</v>
      </c>
    </row>
    <row r="946" spans="1:15" x14ac:dyDescent="0.25">
      <c r="A946" s="98" t="s">
        <v>55</v>
      </c>
      <c r="B946" s="98" t="s">
        <v>17</v>
      </c>
      <c r="C946" s="98">
        <v>10000</v>
      </c>
      <c r="D946" s="98">
        <v>100000</v>
      </c>
      <c r="E946" s="98">
        <v>0.1</v>
      </c>
      <c r="F946" s="98" t="s">
        <v>9</v>
      </c>
      <c r="G946" s="98" t="s">
        <v>9</v>
      </c>
      <c r="H946" s="98">
        <v>0</v>
      </c>
      <c r="I946" s="98">
        <v>0</v>
      </c>
      <c r="K946" s="98">
        <v>1.9518000000000001E-6</v>
      </c>
      <c r="L946" s="98">
        <v>1.384E-9</v>
      </c>
      <c r="M946" s="98">
        <v>1.3799999999999999E-6</v>
      </c>
      <c r="N946" s="98">
        <v>1.2921E-7</v>
      </c>
      <c r="O946" s="99" t="s">
        <v>330</v>
      </c>
    </row>
    <row r="947" spans="1:15" x14ac:dyDescent="0.25">
      <c r="A947" s="98" t="s">
        <v>55</v>
      </c>
      <c r="B947" s="98" t="s">
        <v>17</v>
      </c>
      <c r="C947" s="98">
        <v>10000</v>
      </c>
      <c r="D947" s="98">
        <v>100000</v>
      </c>
      <c r="E947" s="98">
        <v>1</v>
      </c>
      <c r="F947" s="98" t="s">
        <v>9</v>
      </c>
      <c r="G947" s="98" t="s">
        <v>9</v>
      </c>
      <c r="H947" s="98">
        <v>0</v>
      </c>
      <c r="I947" s="98">
        <v>0</v>
      </c>
      <c r="K947" s="98">
        <v>1.3574E-4</v>
      </c>
      <c r="L947" s="98">
        <v>1.3570999999999999E-7</v>
      </c>
      <c r="M947" s="98">
        <v>1.3570999999999999E-4</v>
      </c>
      <c r="N947" s="98">
        <v>1.2799E-7</v>
      </c>
      <c r="O947" s="99" t="s">
        <v>331</v>
      </c>
    </row>
    <row r="948" spans="1:15" x14ac:dyDescent="0.25">
      <c r="A948" s="98" t="s">
        <v>55</v>
      </c>
      <c r="B948" s="98" t="s">
        <v>17</v>
      </c>
      <c r="C948" s="98">
        <v>10000</v>
      </c>
      <c r="D948" s="98">
        <v>100000</v>
      </c>
      <c r="E948" s="98">
        <v>10</v>
      </c>
      <c r="F948" s="98" t="s">
        <v>9</v>
      </c>
      <c r="G948" s="98" t="s">
        <v>9</v>
      </c>
      <c r="H948" s="98">
        <v>0</v>
      </c>
      <c r="I948" s="98">
        <v>0</v>
      </c>
      <c r="K948" s="98">
        <v>6.8566E-3</v>
      </c>
      <c r="L948" s="98">
        <v>6.8565000000000003E-6</v>
      </c>
      <c r="M948" s="98">
        <v>6.8564999999999997E-3</v>
      </c>
      <c r="N948" s="98">
        <v>9.1517999999999999E-8</v>
      </c>
      <c r="O948" s="99" t="s">
        <v>332</v>
      </c>
    </row>
    <row r="949" spans="1:15" x14ac:dyDescent="0.25">
      <c r="A949" s="98" t="s">
        <v>55</v>
      </c>
      <c r="B949" s="98" t="s">
        <v>17</v>
      </c>
      <c r="C949" s="98">
        <v>10000</v>
      </c>
      <c r="D949" s="98">
        <v>100000</v>
      </c>
      <c r="E949" s="98">
        <v>100</v>
      </c>
      <c r="F949" s="98" t="s">
        <v>9</v>
      </c>
      <c r="G949" s="98" t="s">
        <v>9</v>
      </c>
      <c r="H949" s="98">
        <v>0</v>
      </c>
      <c r="I949" s="98">
        <v>0</v>
      </c>
      <c r="K949" s="98">
        <v>5.7844E-2</v>
      </c>
      <c r="L949" s="98">
        <v>5.7843999999999997E-5</v>
      </c>
      <c r="M949" s="98">
        <v>5.7844E-2</v>
      </c>
      <c r="N949" s="98">
        <v>1.571E-8</v>
      </c>
      <c r="O949" s="99" t="s">
        <v>333</v>
      </c>
    </row>
    <row r="950" spans="1:15" x14ac:dyDescent="0.25">
      <c r="A950" s="98" t="s">
        <v>55</v>
      </c>
      <c r="B950" s="98" t="s">
        <v>17</v>
      </c>
      <c r="C950" s="98">
        <v>10000</v>
      </c>
      <c r="D950" s="98">
        <v>100000</v>
      </c>
      <c r="E950" s="98">
        <v>1000</v>
      </c>
      <c r="F950" s="98" t="s">
        <v>9</v>
      </c>
      <c r="G950" s="98" t="s">
        <v>9</v>
      </c>
      <c r="H950" s="98">
        <v>0</v>
      </c>
      <c r="I950" s="98">
        <v>0</v>
      </c>
      <c r="K950" s="98">
        <v>0.57733999999999996</v>
      </c>
      <c r="L950" s="98">
        <v>5.7720000000000004E-4</v>
      </c>
      <c r="M950" s="98">
        <v>0.57720000000000005</v>
      </c>
      <c r="N950" s="98">
        <v>1.5900000000000001E-9</v>
      </c>
      <c r="O950" s="99" t="s">
        <v>334</v>
      </c>
    </row>
    <row r="951" spans="1:15" x14ac:dyDescent="0.25">
      <c r="A951" s="98" t="s">
        <v>55</v>
      </c>
      <c r="B951" s="98" t="s">
        <v>17</v>
      </c>
      <c r="C951" s="98">
        <v>10000</v>
      </c>
      <c r="D951" s="98">
        <v>100000</v>
      </c>
      <c r="E951" s="98">
        <v>10000</v>
      </c>
      <c r="F951" s="98" t="s">
        <v>9</v>
      </c>
      <c r="G951" s="98" t="s">
        <v>9</v>
      </c>
      <c r="H951" s="98">
        <v>0</v>
      </c>
      <c r="I951" s="98">
        <v>0</v>
      </c>
      <c r="K951" s="98">
        <v>5.7736000000000001</v>
      </c>
      <c r="L951" s="98">
        <v>5.77E-3</v>
      </c>
      <c r="M951" s="98">
        <v>5.7733999999999996</v>
      </c>
      <c r="N951" s="98">
        <v>1.5899999999999999E-10</v>
      </c>
      <c r="O951" s="99" t="s">
        <v>335</v>
      </c>
    </row>
    <row r="952" spans="1:15" x14ac:dyDescent="0.25">
      <c r="A952" s="98" t="s">
        <v>55</v>
      </c>
      <c r="B952" s="98" t="s">
        <v>17</v>
      </c>
      <c r="C952" s="98">
        <v>100000</v>
      </c>
      <c r="D952" s="98">
        <v>1000000</v>
      </c>
      <c r="E952" s="98">
        <v>0.1</v>
      </c>
      <c r="F952" s="98" t="s">
        <v>9</v>
      </c>
      <c r="G952" s="98" t="s">
        <v>9</v>
      </c>
      <c r="H952" s="98">
        <v>0</v>
      </c>
      <c r="I952" s="98">
        <v>0</v>
      </c>
      <c r="K952" s="98">
        <v>4.4000000000000002E-7</v>
      </c>
      <c r="L952" s="98">
        <v>1.3E-7</v>
      </c>
      <c r="M952" s="98">
        <v>7.4099999999999995E-8</v>
      </c>
      <c r="N952" s="98">
        <v>1.2921999999999999E-7</v>
      </c>
      <c r="O952" s="99" t="s">
        <v>336</v>
      </c>
    </row>
    <row r="953" spans="1:15" x14ac:dyDescent="0.25">
      <c r="A953" s="98" t="s">
        <v>55</v>
      </c>
      <c r="B953" s="98" t="s">
        <v>17</v>
      </c>
      <c r="C953" s="98">
        <v>100000</v>
      </c>
      <c r="D953" s="98">
        <v>1000000</v>
      </c>
      <c r="E953" s="98">
        <v>1</v>
      </c>
      <c r="F953" s="98" t="s">
        <v>9</v>
      </c>
      <c r="G953" s="98" t="s">
        <v>9</v>
      </c>
      <c r="H953" s="98">
        <v>0</v>
      </c>
      <c r="I953" s="98">
        <v>0</v>
      </c>
      <c r="K953" s="98">
        <v>1.9517999999999998E-5</v>
      </c>
      <c r="L953" s="98">
        <v>1.2919999999999999E-7</v>
      </c>
      <c r="M953" s="98">
        <v>1.3837E-5</v>
      </c>
      <c r="N953" s="98">
        <v>1.2921E-7</v>
      </c>
      <c r="O953" s="99" t="s">
        <v>337</v>
      </c>
    </row>
    <row r="954" spans="1:15" x14ac:dyDescent="0.25">
      <c r="A954" s="98" t="s">
        <v>55</v>
      </c>
      <c r="B954" s="98" t="s">
        <v>17</v>
      </c>
      <c r="C954" s="98">
        <v>100000</v>
      </c>
      <c r="D954" s="98">
        <v>1000000</v>
      </c>
      <c r="E954" s="98">
        <v>10</v>
      </c>
      <c r="F954" s="98" t="s">
        <v>9</v>
      </c>
      <c r="G954" s="98" t="s">
        <v>9</v>
      </c>
      <c r="H954" s="98">
        <v>0</v>
      </c>
      <c r="I954" s="98">
        <v>0</v>
      </c>
      <c r="K954" s="98">
        <v>1.3573999999999999E-3</v>
      </c>
      <c r="L954" s="98">
        <v>1.2799E-7</v>
      </c>
      <c r="M954" s="98">
        <v>1.3571E-3</v>
      </c>
      <c r="N954" s="98">
        <v>1.2799E-7</v>
      </c>
      <c r="O954" s="99" t="s">
        <v>338</v>
      </c>
    </row>
    <row r="955" spans="1:15" x14ac:dyDescent="0.25">
      <c r="A955" s="98" t="s">
        <v>55</v>
      </c>
      <c r="B955" s="98" t="s">
        <v>17</v>
      </c>
      <c r="C955" s="98">
        <v>100000</v>
      </c>
      <c r="D955" s="98">
        <v>1000000</v>
      </c>
      <c r="E955" s="98">
        <v>100</v>
      </c>
      <c r="F955" s="98" t="s">
        <v>9</v>
      </c>
      <c r="G955" s="98" t="s">
        <v>9</v>
      </c>
      <c r="H955" s="98">
        <v>0</v>
      </c>
      <c r="I955" s="98">
        <v>0</v>
      </c>
      <c r="K955" s="98">
        <v>6.8566000000000002E-2</v>
      </c>
      <c r="L955" s="98">
        <v>9.1516999999999998E-8</v>
      </c>
      <c r="M955" s="98">
        <v>6.8565000000000001E-2</v>
      </c>
      <c r="N955" s="98">
        <v>9.1517999999999999E-8</v>
      </c>
      <c r="O955" s="99" t="s">
        <v>339</v>
      </c>
    </row>
    <row r="956" spans="1:15" x14ac:dyDescent="0.25">
      <c r="A956" s="98" t="s">
        <v>55</v>
      </c>
      <c r="B956" s="98" t="s">
        <v>17</v>
      </c>
      <c r="C956" s="98">
        <v>100000</v>
      </c>
      <c r="D956" s="98">
        <v>1000000</v>
      </c>
      <c r="E956" s="98">
        <v>1000</v>
      </c>
      <c r="F956" s="98" t="s">
        <v>9</v>
      </c>
      <c r="G956" s="98" t="s">
        <v>9</v>
      </c>
      <c r="H956" s="98">
        <v>0</v>
      </c>
      <c r="I956" s="98">
        <v>0</v>
      </c>
      <c r="K956" s="98">
        <v>0.57843999999999995</v>
      </c>
      <c r="L956" s="98">
        <v>1.571E-8</v>
      </c>
      <c r="M956" s="98">
        <v>0.57843999999999995</v>
      </c>
      <c r="N956" s="98">
        <v>1.571E-8</v>
      </c>
      <c r="O956" s="99" t="s">
        <v>340</v>
      </c>
    </row>
    <row r="957" spans="1:15" x14ac:dyDescent="0.25">
      <c r="A957" s="98" t="s">
        <v>55</v>
      </c>
      <c r="B957" s="98" t="s">
        <v>17</v>
      </c>
      <c r="C957" s="98">
        <v>100000</v>
      </c>
      <c r="D957" s="98">
        <v>1000000</v>
      </c>
      <c r="E957" s="98">
        <v>10000</v>
      </c>
      <c r="F957" s="98" t="s">
        <v>9</v>
      </c>
      <c r="G957" s="98" t="s">
        <v>9</v>
      </c>
      <c r="H957" s="98">
        <v>0</v>
      </c>
      <c r="I957" s="98">
        <v>0</v>
      </c>
      <c r="K957" s="98">
        <v>5.7733999999999996</v>
      </c>
      <c r="L957" s="98">
        <v>1.5900000000000001E-9</v>
      </c>
      <c r="M957" s="98">
        <v>5.7720000000000002</v>
      </c>
      <c r="N957" s="98">
        <v>1.5900000000000001E-9</v>
      </c>
      <c r="O957" s="99" t="s">
        <v>341</v>
      </c>
    </row>
    <row r="958" spans="1:15" x14ac:dyDescent="0.25">
      <c r="A958" s="98" t="s">
        <v>55</v>
      </c>
      <c r="B958" s="98" t="s">
        <v>17</v>
      </c>
      <c r="C958" s="98">
        <v>1000000</v>
      </c>
      <c r="D958" s="98">
        <v>10000000</v>
      </c>
      <c r="E958" s="98">
        <v>1</v>
      </c>
      <c r="F958" s="98" t="s">
        <v>9</v>
      </c>
      <c r="G958" s="98" t="s">
        <v>9</v>
      </c>
      <c r="H958" s="98">
        <v>0</v>
      </c>
      <c r="I958" s="98">
        <v>0</v>
      </c>
      <c r="K958" s="98">
        <v>4.4000000000000002E-6</v>
      </c>
      <c r="L958" s="98">
        <v>1.3E-7</v>
      </c>
      <c r="M958" s="98">
        <v>7.4137000000000003E-7</v>
      </c>
      <c r="N958" s="98">
        <v>1.2921999999999999E-7</v>
      </c>
      <c r="O958" s="99" t="s">
        <v>342</v>
      </c>
    </row>
    <row r="959" spans="1:15" x14ac:dyDescent="0.25">
      <c r="A959" s="98" t="s">
        <v>55</v>
      </c>
      <c r="B959" s="98" t="s">
        <v>17</v>
      </c>
      <c r="C959" s="98">
        <v>1000000</v>
      </c>
      <c r="D959" s="98">
        <v>10000000</v>
      </c>
      <c r="E959" s="98">
        <v>10</v>
      </c>
      <c r="F959" s="98" t="s">
        <v>9</v>
      </c>
      <c r="G959" s="98" t="s">
        <v>9</v>
      </c>
      <c r="H959" s="98">
        <v>0</v>
      </c>
      <c r="I959" s="98">
        <v>0</v>
      </c>
      <c r="K959" s="98">
        <v>1.9518000000000001E-4</v>
      </c>
      <c r="L959" s="98">
        <v>1.2919999999999999E-7</v>
      </c>
      <c r="M959" s="98">
        <v>1.3836999999999999E-4</v>
      </c>
      <c r="N959" s="98">
        <v>1.2921E-7</v>
      </c>
      <c r="O959" s="99" t="s">
        <v>343</v>
      </c>
    </row>
    <row r="960" spans="1:15" x14ac:dyDescent="0.25">
      <c r="A960" s="98" t="s">
        <v>55</v>
      </c>
      <c r="B960" s="98" t="s">
        <v>17</v>
      </c>
      <c r="C960" s="98">
        <v>1000000</v>
      </c>
      <c r="D960" s="98">
        <v>10000000</v>
      </c>
      <c r="E960" s="98">
        <v>100</v>
      </c>
      <c r="F960" s="98" t="s">
        <v>9</v>
      </c>
      <c r="G960" s="98" t="s">
        <v>9</v>
      </c>
      <c r="H960" s="98">
        <v>0</v>
      </c>
      <c r="I960" s="98">
        <v>0</v>
      </c>
      <c r="K960" s="98">
        <v>1.3573999999999999E-2</v>
      </c>
      <c r="L960" s="98">
        <v>1.2799E-7</v>
      </c>
      <c r="M960" s="98">
        <v>1.3571E-2</v>
      </c>
      <c r="N960" s="98">
        <v>1.2799E-7</v>
      </c>
      <c r="O960" s="99" t="s">
        <v>344</v>
      </c>
    </row>
    <row r="961" spans="1:15" x14ac:dyDescent="0.25">
      <c r="A961" s="98" t="s">
        <v>55</v>
      </c>
      <c r="B961" s="98" t="s">
        <v>17</v>
      </c>
      <c r="C961" s="98">
        <v>1000000</v>
      </c>
      <c r="D961" s="98">
        <v>10000000</v>
      </c>
      <c r="E961" s="98">
        <v>1000</v>
      </c>
      <c r="F961" s="98" t="s">
        <v>9</v>
      </c>
      <c r="G961" s="98" t="s">
        <v>9</v>
      </c>
      <c r="H961" s="98">
        <v>0</v>
      </c>
      <c r="I961" s="98">
        <v>0</v>
      </c>
      <c r="K961" s="98">
        <v>0.68566000000000005</v>
      </c>
      <c r="L961" s="98">
        <v>9.1516999999999998E-8</v>
      </c>
      <c r="M961" s="98">
        <v>0.68564999999999998</v>
      </c>
      <c r="N961" s="98">
        <v>9.1517999999999999E-8</v>
      </c>
      <c r="O961" s="99" t="s">
        <v>345</v>
      </c>
    </row>
    <row r="962" spans="1:15" x14ac:dyDescent="0.25">
      <c r="A962" s="98" t="s">
        <v>55</v>
      </c>
      <c r="B962" s="98" t="s">
        <v>17</v>
      </c>
      <c r="C962" s="98">
        <v>1000000</v>
      </c>
      <c r="D962" s="98">
        <v>10000000</v>
      </c>
      <c r="E962" s="98">
        <v>10000</v>
      </c>
      <c r="F962" s="98" t="s">
        <v>9</v>
      </c>
      <c r="G962" s="98" t="s">
        <v>9</v>
      </c>
      <c r="H962" s="98">
        <v>0</v>
      </c>
      <c r="I962" s="98">
        <v>0</v>
      </c>
      <c r="K962" s="98">
        <v>5.7843999999999998</v>
      </c>
      <c r="L962" s="98">
        <v>1.571E-8</v>
      </c>
      <c r="M962" s="98">
        <v>5.7843999999999998</v>
      </c>
      <c r="N962" s="98">
        <v>1.571E-8</v>
      </c>
      <c r="O962" s="99" t="s">
        <v>346</v>
      </c>
    </row>
    <row r="963" spans="1:15" x14ac:dyDescent="0.25">
      <c r="A963" s="98" t="s">
        <v>55</v>
      </c>
      <c r="B963" s="98" t="s">
        <v>17</v>
      </c>
      <c r="C963" s="98">
        <v>1000000</v>
      </c>
      <c r="D963" s="98">
        <v>10000000</v>
      </c>
      <c r="E963" s="98">
        <v>100000</v>
      </c>
      <c r="F963" s="98" t="s">
        <v>9</v>
      </c>
      <c r="G963" s="98" t="s">
        <v>9</v>
      </c>
      <c r="H963" s="98">
        <v>0</v>
      </c>
      <c r="I963" s="98">
        <v>0</v>
      </c>
      <c r="K963" s="98">
        <v>57.734000000000002</v>
      </c>
      <c r="L963" s="98">
        <v>1.5900000000000001E-9</v>
      </c>
      <c r="M963" s="98">
        <v>57.72</v>
      </c>
      <c r="N963" s="98">
        <v>1.5900000000000001E-9</v>
      </c>
      <c r="O963" s="99" t="s">
        <v>347</v>
      </c>
    </row>
    <row r="964" spans="1:15" x14ac:dyDescent="0.25">
      <c r="A964" s="98" t="s">
        <v>55</v>
      </c>
      <c r="B964" s="98" t="s">
        <v>7</v>
      </c>
      <c r="C964" s="98">
        <v>0</v>
      </c>
      <c r="D964" s="98">
        <v>10</v>
      </c>
      <c r="E964" s="98">
        <v>1.0000000000000001E-5</v>
      </c>
      <c r="F964" s="98" t="s">
        <v>102</v>
      </c>
      <c r="G964" s="98" t="s">
        <v>22</v>
      </c>
      <c r="H964" s="98">
        <v>0</v>
      </c>
      <c r="I964" s="98">
        <v>0</v>
      </c>
      <c r="K964" s="98">
        <v>65</v>
      </c>
      <c r="L964" s="98">
        <v>17</v>
      </c>
      <c r="M964" s="98">
        <v>61.667999999999999</v>
      </c>
      <c r="N964" s="98">
        <v>17.321000000000002</v>
      </c>
      <c r="O964" s="99" t="s">
        <v>247</v>
      </c>
    </row>
    <row r="965" spans="1:15" x14ac:dyDescent="0.25">
      <c r="A965" s="98" t="s">
        <v>55</v>
      </c>
      <c r="B965" s="98" t="s">
        <v>7</v>
      </c>
      <c r="C965" s="98">
        <v>0</v>
      </c>
      <c r="D965" s="98">
        <v>10</v>
      </c>
      <c r="E965" s="98">
        <v>1E-4</v>
      </c>
      <c r="F965" s="98" t="s">
        <v>102</v>
      </c>
      <c r="G965" s="98" t="s">
        <v>22</v>
      </c>
      <c r="H965" s="98">
        <v>0</v>
      </c>
      <c r="I965" s="98">
        <v>0</v>
      </c>
      <c r="K965" s="98">
        <v>81.733999999999995</v>
      </c>
      <c r="L965" s="98">
        <v>16.018000000000001</v>
      </c>
      <c r="M965" s="98">
        <v>81.655000000000001</v>
      </c>
      <c r="N965" s="98">
        <v>16.015000000000001</v>
      </c>
      <c r="O965" s="99" t="s">
        <v>248</v>
      </c>
    </row>
    <row r="966" spans="1:15" x14ac:dyDescent="0.25">
      <c r="A966" s="98" t="s">
        <v>55</v>
      </c>
      <c r="B966" s="98" t="s">
        <v>7</v>
      </c>
      <c r="C966" s="98">
        <v>0</v>
      </c>
      <c r="D966" s="98">
        <v>10</v>
      </c>
      <c r="E966" s="98">
        <v>1E-3</v>
      </c>
      <c r="F966" s="98" t="s">
        <v>102</v>
      </c>
      <c r="G966" s="98" t="s">
        <v>22</v>
      </c>
      <c r="H966" s="98">
        <v>0</v>
      </c>
      <c r="I966" s="98">
        <v>0</v>
      </c>
      <c r="K966" s="98">
        <v>578.24</v>
      </c>
      <c r="L966" s="98">
        <v>4.5206999999999997</v>
      </c>
      <c r="M966" s="98">
        <v>578.20000000000005</v>
      </c>
      <c r="N966" s="98">
        <v>4.5079000000000002</v>
      </c>
      <c r="O966" s="99" t="s">
        <v>249</v>
      </c>
    </row>
    <row r="967" spans="1:15" x14ac:dyDescent="0.25">
      <c r="A967" s="98" t="s">
        <v>55</v>
      </c>
      <c r="B967" s="98" t="s">
        <v>7</v>
      </c>
      <c r="C967" s="98">
        <v>0</v>
      </c>
      <c r="D967" s="98">
        <v>10</v>
      </c>
      <c r="E967" s="98">
        <v>0.01</v>
      </c>
      <c r="F967" s="98" t="s">
        <v>102</v>
      </c>
      <c r="G967" s="98" t="s">
        <v>22</v>
      </c>
      <c r="H967" s="98">
        <v>0</v>
      </c>
      <c r="I967" s="98">
        <v>0</v>
      </c>
      <c r="K967" s="98">
        <v>5773.6</v>
      </c>
      <c r="L967" s="98">
        <v>0.47627000000000003</v>
      </c>
      <c r="M967" s="98">
        <v>5773.6</v>
      </c>
      <c r="N967" s="98">
        <v>0.47059000000000001</v>
      </c>
      <c r="O967" s="99" t="s">
        <v>250</v>
      </c>
    </row>
    <row r="968" spans="1:15" x14ac:dyDescent="0.25">
      <c r="A968" s="98" t="s">
        <v>55</v>
      </c>
      <c r="B968" s="98" t="s">
        <v>7</v>
      </c>
      <c r="C968" s="98">
        <v>0</v>
      </c>
      <c r="D968" s="98">
        <v>10</v>
      </c>
      <c r="E968" s="98">
        <v>0.1</v>
      </c>
      <c r="F968" s="98" t="s">
        <v>102</v>
      </c>
      <c r="G968" s="98" t="s">
        <v>22</v>
      </c>
      <c r="H968" s="98">
        <v>0</v>
      </c>
      <c r="I968" s="98">
        <v>0</v>
      </c>
      <c r="K968" s="98">
        <v>57736</v>
      </c>
      <c r="L968" s="98">
        <v>4.9352E-2</v>
      </c>
      <c r="M968" s="98">
        <v>57736</v>
      </c>
      <c r="N968" s="98">
        <v>4.7080999999999998E-2</v>
      </c>
      <c r="O968" s="99" t="s">
        <v>251</v>
      </c>
    </row>
    <row r="969" spans="1:15" x14ac:dyDescent="0.25">
      <c r="A969" s="98" t="s">
        <v>55</v>
      </c>
      <c r="B969" s="98" t="s">
        <v>7</v>
      </c>
      <c r="C969" s="98">
        <v>0</v>
      </c>
      <c r="D969" s="98">
        <v>10</v>
      </c>
      <c r="E969" s="98">
        <v>1</v>
      </c>
      <c r="F969" s="98" t="s">
        <v>102</v>
      </c>
      <c r="G969" s="98" t="s">
        <v>22</v>
      </c>
      <c r="H969" s="98">
        <v>0</v>
      </c>
      <c r="I969" s="98">
        <v>0</v>
      </c>
      <c r="K969" s="98">
        <v>577360</v>
      </c>
      <c r="L969" s="98">
        <v>5.6165E-3</v>
      </c>
      <c r="M969" s="98">
        <v>577360</v>
      </c>
      <c r="N969" s="98">
        <v>4.7080999999999998E-3</v>
      </c>
      <c r="O969" s="99" t="s">
        <v>252</v>
      </c>
    </row>
    <row r="970" spans="1:15" x14ac:dyDescent="0.25">
      <c r="A970" s="98" t="s">
        <v>55</v>
      </c>
      <c r="B970" s="98" t="s">
        <v>7</v>
      </c>
      <c r="C970" s="98">
        <v>0</v>
      </c>
      <c r="D970" s="98">
        <v>10</v>
      </c>
      <c r="E970" s="98">
        <v>10</v>
      </c>
      <c r="F970" s="98" t="s">
        <v>102</v>
      </c>
      <c r="G970" s="98" t="s">
        <v>22</v>
      </c>
      <c r="H970" s="98">
        <v>0</v>
      </c>
      <c r="I970" s="98">
        <v>0</v>
      </c>
      <c r="K970" s="98">
        <v>5770000</v>
      </c>
      <c r="L970" s="98">
        <v>8.3416999999999996E-4</v>
      </c>
      <c r="M970" s="98">
        <v>5770000</v>
      </c>
      <c r="N970" s="98">
        <v>4.7081E-4</v>
      </c>
      <c r="O970" s="99" t="s">
        <v>253</v>
      </c>
    </row>
    <row r="971" spans="1:15" x14ac:dyDescent="0.25">
      <c r="A971" s="98" t="s">
        <v>55</v>
      </c>
      <c r="B971" s="98" t="s">
        <v>7</v>
      </c>
      <c r="C971" s="98">
        <v>0</v>
      </c>
      <c r="D971" s="98">
        <v>10</v>
      </c>
      <c r="E971" s="98">
        <v>100</v>
      </c>
      <c r="F971" s="98" t="s">
        <v>102</v>
      </c>
      <c r="G971" s="98" t="s">
        <v>22</v>
      </c>
      <c r="H971" s="98">
        <v>0</v>
      </c>
      <c r="I971" s="98">
        <v>0</v>
      </c>
      <c r="K971" s="98">
        <v>57736000</v>
      </c>
      <c r="L971" s="98">
        <v>1.9242E-4</v>
      </c>
      <c r="M971" s="98">
        <v>57736000</v>
      </c>
      <c r="N971" s="98">
        <v>4.7080000000000003E-5</v>
      </c>
      <c r="O971" s="99" t="s">
        <v>254</v>
      </c>
    </row>
    <row r="972" spans="1:15" x14ac:dyDescent="0.25">
      <c r="A972" s="98" t="s">
        <v>55</v>
      </c>
      <c r="B972" s="98" t="s">
        <v>7</v>
      </c>
      <c r="C972" s="98">
        <v>0</v>
      </c>
      <c r="D972" s="98">
        <v>10</v>
      </c>
      <c r="E972" s="98">
        <v>1000</v>
      </c>
      <c r="F972" s="98" t="s">
        <v>102</v>
      </c>
      <c r="G972" s="98" t="s">
        <v>22</v>
      </c>
      <c r="H972" s="98">
        <v>0</v>
      </c>
      <c r="I972" s="98">
        <v>0</v>
      </c>
      <c r="K972" s="98">
        <v>577360000</v>
      </c>
      <c r="L972" s="98">
        <v>6.2849999999999996E-5</v>
      </c>
      <c r="M972" s="98">
        <v>577360000</v>
      </c>
      <c r="N972" s="98">
        <v>4.7021000000000003E-6</v>
      </c>
      <c r="O972" s="99" t="s">
        <v>255</v>
      </c>
    </row>
    <row r="973" spans="1:15" x14ac:dyDescent="0.25">
      <c r="A973" s="98" t="s">
        <v>55</v>
      </c>
      <c r="B973" s="98" t="s">
        <v>7</v>
      </c>
      <c r="C973" s="98">
        <v>0</v>
      </c>
      <c r="D973" s="98">
        <v>10</v>
      </c>
      <c r="E973" s="98">
        <v>10000</v>
      </c>
      <c r="F973" s="98" t="s">
        <v>102</v>
      </c>
      <c r="G973" s="98" t="s">
        <v>22</v>
      </c>
      <c r="H973" s="98">
        <v>0</v>
      </c>
      <c r="I973" s="98">
        <v>0</v>
      </c>
      <c r="K973" s="98">
        <v>5773600000</v>
      </c>
      <c r="L973" s="98">
        <v>2.3736000000000001E-5</v>
      </c>
      <c r="M973" s="98">
        <v>5773600000</v>
      </c>
      <c r="N973" s="98">
        <v>0</v>
      </c>
      <c r="O973" s="99" t="s">
        <v>256</v>
      </c>
    </row>
    <row r="974" spans="1:15" x14ac:dyDescent="0.25">
      <c r="A974" s="98" t="s">
        <v>55</v>
      </c>
      <c r="B974" s="98" t="s">
        <v>7</v>
      </c>
      <c r="C974" s="98">
        <v>0</v>
      </c>
      <c r="D974" s="98">
        <v>10</v>
      </c>
      <c r="E974" s="98">
        <v>100000</v>
      </c>
      <c r="F974" s="98" t="s">
        <v>102</v>
      </c>
      <c r="G974" s="98" t="s">
        <v>22</v>
      </c>
      <c r="H974" s="98">
        <v>0</v>
      </c>
      <c r="I974" s="98">
        <v>0</v>
      </c>
      <c r="K974" s="98">
        <v>57736000000</v>
      </c>
      <c r="L974" s="98">
        <v>8.4771000000000005E-6</v>
      </c>
      <c r="M974" s="98">
        <v>57736000000</v>
      </c>
      <c r="N974" s="98">
        <v>0</v>
      </c>
      <c r="O974" s="99" t="s">
        <v>257</v>
      </c>
    </row>
    <row r="975" spans="1:15" x14ac:dyDescent="0.25">
      <c r="A975" s="98" t="s">
        <v>55</v>
      </c>
      <c r="B975" s="98" t="s">
        <v>7</v>
      </c>
      <c r="C975" s="98">
        <v>0</v>
      </c>
      <c r="D975" s="98">
        <v>10</v>
      </c>
      <c r="E975" s="98">
        <v>1000000</v>
      </c>
      <c r="F975" s="98" t="s">
        <v>102</v>
      </c>
      <c r="G975" s="98" t="s">
        <v>22</v>
      </c>
      <c r="H975" s="98">
        <v>0</v>
      </c>
      <c r="I975" s="98">
        <v>0</v>
      </c>
      <c r="K975" s="98">
        <v>577360000000</v>
      </c>
      <c r="L975" s="98">
        <v>0</v>
      </c>
      <c r="M975" s="98">
        <v>577360000000</v>
      </c>
      <c r="N975" s="98">
        <v>0</v>
      </c>
      <c r="O975" s="99" t="s">
        <v>258</v>
      </c>
    </row>
    <row r="976" spans="1:15" x14ac:dyDescent="0.25">
      <c r="A976" s="98" t="s">
        <v>55</v>
      </c>
      <c r="B976" s="98" t="s">
        <v>7</v>
      </c>
      <c r="C976" s="98">
        <v>10</v>
      </c>
      <c r="D976" s="98">
        <v>100</v>
      </c>
      <c r="E976" s="98">
        <v>1.0000000000000001E-5</v>
      </c>
      <c r="F976" s="98" t="s">
        <v>102</v>
      </c>
      <c r="G976" s="98" t="s">
        <v>22</v>
      </c>
      <c r="H976" s="98">
        <v>0</v>
      </c>
      <c r="I976" s="98">
        <v>0</v>
      </c>
      <c r="K976" s="98">
        <v>580</v>
      </c>
      <c r="L976" s="98">
        <v>14</v>
      </c>
      <c r="M976" s="98">
        <v>577.27</v>
      </c>
      <c r="N976" s="98">
        <v>0</v>
      </c>
      <c r="O976" s="99" t="s">
        <v>259</v>
      </c>
    </row>
    <row r="977" spans="1:15" x14ac:dyDescent="0.25">
      <c r="A977" s="98" t="s">
        <v>55</v>
      </c>
      <c r="B977" s="98" t="s">
        <v>7</v>
      </c>
      <c r="C977" s="98">
        <v>10</v>
      </c>
      <c r="D977" s="98">
        <v>100</v>
      </c>
      <c r="E977" s="98">
        <v>1E-4</v>
      </c>
      <c r="F977" s="98" t="s">
        <v>102</v>
      </c>
      <c r="G977" s="98" t="s">
        <v>22</v>
      </c>
      <c r="H977" s="98">
        <v>0</v>
      </c>
      <c r="I977" s="98">
        <v>0</v>
      </c>
      <c r="K977" s="98">
        <v>580</v>
      </c>
      <c r="L977" s="98">
        <v>13.975</v>
      </c>
      <c r="M977" s="98">
        <v>579.78</v>
      </c>
      <c r="N977" s="98">
        <v>13.975</v>
      </c>
      <c r="O977" s="99" t="s">
        <v>260</v>
      </c>
    </row>
    <row r="978" spans="1:15" x14ac:dyDescent="0.25">
      <c r="A978" s="98" t="s">
        <v>55</v>
      </c>
      <c r="B978" s="98" t="s">
        <v>7</v>
      </c>
      <c r="C978" s="98">
        <v>10</v>
      </c>
      <c r="D978" s="98">
        <v>100</v>
      </c>
      <c r="E978" s="98">
        <v>1E-3</v>
      </c>
      <c r="F978" s="98" t="s">
        <v>102</v>
      </c>
      <c r="G978" s="98" t="s">
        <v>22</v>
      </c>
      <c r="H978" s="98">
        <v>0</v>
      </c>
      <c r="I978" s="98">
        <v>0</v>
      </c>
      <c r="K978" s="98">
        <v>794.35</v>
      </c>
      <c r="L978" s="98">
        <v>12.648</v>
      </c>
      <c r="M978" s="98">
        <v>794.24</v>
      </c>
      <c r="N978" s="98">
        <v>12.648</v>
      </c>
      <c r="O978" s="99" t="s">
        <v>261</v>
      </c>
    </row>
    <row r="979" spans="1:15" x14ac:dyDescent="0.25">
      <c r="A979" s="98" t="s">
        <v>55</v>
      </c>
      <c r="B979" s="98" t="s">
        <v>7</v>
      </c>
      <c r="C979" s="98">
        <v>10</v>
      </c>
      <c r="D979" s="98">
        <v>100</v>
      </c>
      <c r="E979" s="98">
        <v>0.01</v>
      </c>
      <c r="F979" s="98" t="s">
        <v>102</v>
      </c>
      <c r="G979" s="98" t="s">
        <v>22</v>
      </c>
      <c r="H979" s="98">
        <v>0</v>
      </c>
      <c r="I979" s="98">
        <v>0</v>
      </c>
      <c r="K979" s="98">
        <v>5786.4</v>
      </c>
      <c r="L979" s="98">
        <v>3.1625999999999999</v>
      </c>
      <c r="M979" s="98">
        <v>5786.3</v>
      </c>
      <c r="N979" s="98">
        <v>3.1617000000000002</v>
      </c>
      <c r="O979" s="99" t="s">
        <v>262</v>
      </c>
    </row>
    <row r="980" spans="1:15" x14ac:dyDescent="0.25">
      <c r="A980" s="98" t="s">
        <v>55</v>
      </c>
      <c r="B980" s="98" t="s">
        <v>7</v>
      </c>
      <c r="C980" s="98">
        <v>10</v>
      </c>
      <c r="D980" s="98">
        <v>100</v>
      </c>
      <c r="E980" s="98">
        <v>0.1</v>
      </c>
      <c r="F980" s="98" t="s">
        <v>102</v>
      </c>
      <c r="G980" s="98" t="s">
        <v>22</v>
      </c>
      <c r="H980" s="98">
        <v>0</v>
      </c>
      <c r="I980" s="98">
        <v>0</v>
      </c>
      <c r="K980" s="98">
        <v>57737</v>
      </c>
      <c r="L980" s="98">
        <v>0.32668999999999998</v>
      </c>
      <c r="M980" s="98">
        <v>57737</v>
      </c>
      <c r="N980" s="98">
        <v>0.32628000000000001</v>
      </c>
      <c r="O980" s="99" t="s">
        <v>263</v>
      </c>
    </row>
    <row r="981" spans="1:15" x14ac:dyDescent="0.25">
      <c r="A981" s="98" t="s">
        <v>55</v>
      </c>
      <c r="B981" s="98" t="s">
        <v>7</v>
      </c>
      <c r="C981" s="98">
        <v>10</v>
      </c>
      <c r="D981" s="98">
        <v>100</v>
      </c>
      <c r="E981" s="98">
        <v>1</v>
      </c>
      <c r="F981" s="98" t="s">
        <v>102</v>
      </c>
      <c r="G981" s="98" t="s">
        <v>22</v>
      </c>
      <c r="H981" s="98">
        <v>0</v>
      </c>
      <c r="I981" s="98">
        <v>0</v>
      </c>
      <c r="K981" s="98">
        <v>577360</v>
      </c>
      <c r="L981" s="98">
        <v>3.2801999999999998E-2</v>
      </c>
      <c r="M981" s="98">
        <v>577350</v>
      </c>
      <c r="N981" s="98">
        <v>3.2639000000000001E-2</v>
      </c>
      <c r="O981" s="99" t="s">
        <v>264</v>
      </c>
    </row>
    <row r="982" spans="1:15" x14ac:dyDescent="0.25">
      <c r="A982" s="98" t="s">
        <v>55</v>
      </c>
      <c r="B982" s="98" t="s">
        <v>7</v>
      </c>
      <c r="C982" s="98">
        <v>100</v>
      </c>
      <c r="D982" s="98">
        <v>1000</v>
      </c>
      <c r="E982" s="98">
        <v>1E-4</v>
      </c>
      <c r="F982" s="98" t="s">
        <v>102</v>
      </c>
      <c r="G982" s="98" t="s">
        <v>22</v>
      </c>
      <c r="H982" s="98">
        <v>0</v>
      </c>
      <c r="I982" s="98">
        <v>0</v>
      </c>
      <c r="K982" s="98">
        <v>590</v>
      </c>
      <c r="L982" s="98">
        <v>12</v>
      </c>
      <c r="M982" s="98">
        <v>568.01</v>
      </c>
      <c r="N982" s="98">
        <v>11.811999999999999</v>
      </c>
      <c r="O982" s="99" t="s">
        <v>265</v>
      </c>
    </row>
    <row r="983" spans="1:15" x14ac:dyDescent="0.25">
      <c r="A983" s="98" t="s">
        <v>55</v>
      </c>
      <c r="B983" s="98" t="s">
        <v>7</v>
      </c>
      <c r="C983" s="98">
        <v>100</v>
      </c>
      <c r="D983" s="98">
        <v>1000</v>
      </c>
      <c r="E983" s="98">
        <v>1E-3</v>
      </c>
      <c r="F983" s="98" t="s">
        <v>102</v>
      </c>
      <c r="G983" s="98" t="s">
        <v>22</v>
      </c>
      <c r="H983" s="98">
        <v>0</v>
      </c>
      <c r="I983" s="98">
        <v>0</v>
      </c>
      <c r="K983" s="98">
        <v>647.66</v>
      </c>
      <c r="L983" s="98">
        <v>11.942</v>
      </c>
      <c r="M983" s="98">
        <v>669.04</v>
      </c>
      <c r="N983" s="98">
        <v>11.724</v>
      </c>
      <c r="O983" s="99" t="s">
        <v>266</v>
      </c>
    </row>
    <row r="984" spans="1:15" x14ac:dyDescent="0.25">
      <c r="A984" s="98" t="s">
        <v>55</v>
      </c>
      <c r="B984" s="98" t="s">
        <v>7</v>
      </c>
      <c r="C984" s="98">
        <v>100</v>
      </c>
      <c r="D984" s="98">
        <v>1000</v>
      </c>
      <c r="E984" s="98">
        <v>0.01</v>
      </c>
      <c r="F984" s="98" t="s">
        <v>102</v>
      </c>
      <c r="G984" s="98" t="s">
        <v>22</v>
      </c>
      <c r="H984" s="98">
        <v>0</v>
      </c>
      <c r="I984" s="98">
        <v>0</v>
      </c>
      <c r="K984" s="98">
        <v>5185.8</v>
      </c>
      <c r="L984" s="98">
        <v>8.4755000000000003</v>
      </c>
      <c r="M984" s="98">
        <v>5185</v>
      </c>
      <c r="N984" s="98">
        <v>8.4748000000000001</v>
      </c>
      <c r="O984" s="99" t="s">
        <v>267</v>
      </c>
    </row>
    <row r="985" spans="1:15" x14ac:dyDescent="0.25">
      <c r="A985" s="98" t="s">
        <v>55</v>
      </c>
      <c r="B985" s="98" t="s">
        <v>7</v>
      </c>
      <c r="C985" s="98">
        <v>100</v>
      </c>
      <c r="D985" s="98">
        <v>1000</v>
      </c>
      <c r="E985" s="98">
        <v>0.1</v>
      </c>
      <c r="F985" s="98" t="s">
        <v>102</v>
      </c>
      <c r="G985" s="98" t="s">
        <v>22</v>
      </c>
      <c r="H985" s="98">
        <v>0</v>
      </c>
      <c r="I985" s="98">
        <v>0</v>
      </c>
      <c r="K985" s="98">
        <v>57619</v>
      </c>
      <c r="L985" s="98">
        <v>1.4298999999999999</v>
      </c>
      <c r="M985" s="98">
        <v>57619</v>
      </c>
      <c r="N985" s="98">
        <v>1.4287000000000001</v>
      </c>
      <c r="O985" s="99" t="s">
        <v>268</v>
      </c>
    </row>
    <row r="986" spans="1:15" x14ac:dyDescent="0.25">
      <c r="A986" s="98" t="s">
        <v>55</v>
      </c>
      <c r="B986" s="98" t="s">
        <v>7</v>
      </c>
      <c r="C986" s="98">
        <v>100</v>
      </c>
      <c r="D986" s="98">
        <v>1000</v>
      </c>
      <c r="E986" s="98">
        <v>1</v>
      </c>
      <c r="F986" s="98" t="s">
        <v>102</v>
      </c>
      <c r="G986" s="98" t="s">
        <v>22</v>
      </c>
      <c r="H986" s="98">
        <v>0</v>
      </c>
      <c r="I986" s="98">
        <v>0</v>
      </c>
      <c r="K986" s="98">
        <v>577340</v>
      </c>
      <c r="L986" s="98">
        <v>0.14501</v>
      </c>
      <c r="M986" s="98">
        <v>577340</v>
      </c>
      <c r="N986" s="98">
        <v>0.14451</v>
      </c>
      <c r="O986" s="99" t="s">
        <v>269</v>
      </c>
    </row>
    <row r="987" spans="1:15" x14ac:dyDescent="0.25">
      <c r="A987" s="98" t="s">
        <v>55</v>
      </c>
      <c r="B987" s="98" t="s">
        <v>7</v>
      </c>
      <c r="C987" s="98">
        <v>100</v>
      </c>
      <c r="D987" s="98">
        <v>1000</v>
      </c>
      <c r="E987" s="98">
        <v>10</v>
      </c>
      <c r="F987" s="98" t="s">
        <v>102</v>
      </c>
      <c r="G987" s="98" t="s">
        <v>22</v>
      </c>
      <c r="H987" s="98">
        <v>0</v>
      </c>
      <c r="I987" s="98">
        <v>0</v>
      </c>
      <c r="K987" s="98">
        <v>5773600</v>
      </c>
      <c r="L987" s="98">
        <v>1.4652999999999999E-2</v>
      </c>
      <c r="M987" s="98">
        <v>5773500</v>
      </c>
      <c r="N987" s="98">
        <v>1.4453000000000001E-2</v>
      </c>
      <c r="O987" s="99" t="s">
        <v>270</v>
      </c>
    </row>
    <row r="988" spans="1:15" x14ac:dyDescent="0.25">
      <c r="A988" s="98" t="s">
        <v>55</v>
      </c>
      <c r="B988" s="98" t="s">
        <v>7</v>
      </c>
      <c r="C988" s="98">
        <v>1000</v>
      </c>
      <c r="D988" s="98">
        <v>10000</v>
      </c>
      <c r="E988" s="98">
        <v>1E-3</v>
      </c>
      <c r="F988" s="98" t="s">
        <v>102</v>
      </c>
      <c r="G988" s="98" t="s">
        <v>48</v>
      </c>
      <c r="H988" s="98">
        <v>0</v>
      </c>
      <c r="I988" s="98">
        <v>0</v>
      </c>
      <c r="K988" s="98">
        <v>5.9</v>
      </c>
      <c r="L988" s="98">
        <v>1.2E-2</v>
      </c>
      <c r="M988" s="98">
        <v>5.8777999999999997</v>
      </c>
      <c r="N988" s="98">
        <v>1.1642E-2</v>
      </c>
      <c r="O988" s="99" t="s">
        <v>271</v>
      </c>
    </row>
    <row r="989" spans="1:15" x14ac:dyDescent="0.25">
      <c r="A989" s="98" t="s">
        <v>55</v>
      </c>
      <c r="B989" s="98" t="s">
        <v>7</v>
      </c>
      <c r="C989" s="98">
        <v>1000</v>
      </c>
      <c r="D989" s="98">
        <v>10000</v>
      </c>
      <c r="E989" s="98">
        <v>0.01</v>
      </c>
      <c r="F989" s="98" t="s">
        <v>102</v>
      </c>
      <c r="G989" s="98" t="s">
        <v>48</v>
      </c>
      <c r="H989" s="98">
        <v>0</v>
      </c>
      <c r="I989" s="98">
        <v>0</v>
      </c>
      <c r="K989" s="98">
        <v>6.5110999999999999</v>
      </c>
      <c r="L989" s="98">
        <v>1.1939E-2</v>
      </c>
      <c r="M989" s="98">
        <v>6.8826999999999998</v>
      </c>
      <c r="N989" s="98">
        <v>1.1554999999999999E-2</v>
      </c>
      <c r="O989" s="99" t="s">
        <v>272</v>
      </c>
    </row>
    <row r="990" spans="1:15" x14ac:dyDescent="0.25">
      <c r="A990" s="98" t="s">
        <v>55</v>
      </c>
      <c r="B990" s="98" t="s">
        <v>7</v>
      </c>
      <c r="C990" s="98">
        <v>1000</v>
      </c>
      <c r="D990" s="98">
        <v>10000</v>
      </c>
      <c r="E990" s="98">
        <v>0.1</v>
      </c>
      <c r="F990" s="98" t="s">
        <v>102</v>
      </c>
      <c r="G990" s="98" t="s">
        <v>48</v>
      </c>
      <c r="H990" s="98">
        <v>0</v>
      </c>
      <c r="I990" s="98">
        <v>0</v>
      </c>
      <c r="K990" s="98">
        <v>52.024000000000001</v>
      </c>
      <c r="L990" s="98">
        <v>8.3239000000000004E-3</v>
      </c>
      <c r="M990" s="98">
        <v>52.009</v>
      </c>
      <c r="N990" s="98">
        <v>8.3230999999999999E-3</v>
      </c>
      <c r="O990" s="99" t="s">
        <v>273</v>
      </c>
    </row>
    <row r="991" spans="1:15" x14ac:dyDescent="0.25">
      <c r="A991" s="98" t="s">
        <v>55</v>
      </c>
      <c r="B991" s="98" t="s">
        <v>7</v>
      </c>
      <c r="C991" s="98">
        <v>1000</v>
      </c>
      <c r="D991" s="98">
        <v>10000</v>
      </c>
      <c r="E991" s="98">
        <v>1</v>
      </c>
      <c r="F991" s="98" t="s">
        <v>102</v>
      </c>
      <c r="G991" s="98" t="s">
        <v>48</v>
      </c>
      <c r="H991" s="98">
        <v>0</v>
      </c>
      <c r="I991" s="98">
        <v>0</v>
      </c>
      <c r="K991" s="98">
        <v>576.23</v>
      </c>
      <c r="L991" s="98">
        <v>1.3955E-3</v>
      </c>
      <c r="M991" s="98">
        <v>576.23</v>
      </c>
      <c r="N991" s="98">
        <v>1.3939E-3</v>
      </c>
      <c r="O991" s="99" t="s">
        <v>274</v>
      </c>
    </row>
    <row r="992" spans="1:15" x14ac:dyDescent="0.25">
      <c r="A992" s="98" t="s">
        <v>55</v>
      </c>
      <c r="B992" s="98" t="s">
        <v>7</v>
      </c>
      <c r="C992" s="98">
        <v>1000</v>
      </c>
      <c r="D992" s="98">
        <v>10000</v>
      </c>
      <c r="E992" s="98">
        <v>10</v>
      </c>
      <c r="F992" s="98" t="s">
        <v>102</v>
      </c>
      <c r="G992" s="98" t="s">
        <v>48</v>
      </c>
      <c r="H992" s="98">
        <v>0</v>
      </c>
      <c r="I992" s="98">
        <v>0</v>
      </c>
      <c r="K992" s="98">
        <v>5773.4</v>
      </c>
      <c r="L992" s="98">
        <v>1.416E-4</v>
      </c>
      <c r="M992" s="98">
        <v>5773.4</v>
      </c>
      <c r="N992" s="98">
        <v>1.4095000000000001E-4</v>
      </c>
      <c r="O992" s="99" t="s">
        <v>275</v>
      </c>
    </row>
    <row r="993" spans="1:15" x14ac:dyDescent="0.25">
      <c r="A993" s="98" t="s">
        <v>55</v>
      </c>
      <c r="B993" s="98" t="s">
        <v>7</v>
      </c>
      <c r="C993" s="98">
        <v>1000</v>
      </c>
      <c r="D993" s="98">
        <v>10000</v>
      </c>
      <c r="E993" s="98">
        <v>100</v>
      </c>
      <c r="F993" s="98" t="s">
        <v>102</v>
      </c>
      <c r="G993" s="98" t="s">
        <v>48</v>
      </c>
      <c r="H993" s="98">
        <v>0</v>
      </c>
      <c r="I993" s="98">
        <v>0</v>
      </c>
      <c r="K993" s="98">
        <v>57736</v>
      </c>
      <c r="L993" s="98">
        <v>1.4357E-5</v>
      </c>
      <c r="M993" s="98">
        <v>57735</v>
      </c>
      <c r="N993" s="98">
        <v>1.4097000000000001E-5</v>
      </c>
      <c r="O993" s="99" t="s">
        <v>276</v>
      </c>
    </row>
    <row r="994" spans="1:15" x14ac:dyDescent="0.25">
      <c r="A994" s="98" t="s">
        <v>55</v>
      </c>
      <c r="B994" s="98" t="s">
        <v>7</v>
      </c>
      <c r="C994" s="98">
        <v>10000</v>
      </c>
      <c r="D994" s="98">
        <v>100000</v>
      </c>
      <c r="E994" s="98">
        <v>0.01</v>
      </c>
      <c r="F994" s="98" t="s">
        <v>102</v>
      </c>
      <c r="G994" s="98" t="s">
        <v>48</v>
      </c>
      <c r="H994" s="98">
        <v>0</v>
      </c>
      <c r="I994" s="98">
        <v>0</v>
      </c>
      <c r="K994" s="98">
        <v>58</v>
      </c>
      <c r="L994" s="98">
        <v>1.2E-2</v>
      </c>
      <c r="M994" s="98">
        <v>53.872999999999998</v>
      </c>
      <c r="N994" s="98">
        <v>1.2026999999999999E-2</v>
      </c>
      <c r="O994" s="99" t="s">
        <v>277</v>
      </c>
    </row>
    <row r="995" spans="1:15" x14ac:dyDescent="0.25">
      <c r="A995" s="98" t="s">
        <v>55</v>
      </c>
      <c r="B995" s="98" t="s">
        <v>7</v>
      </c>
      <c r="C995" s="98">
        <v>10000</v>
      </c>
      <c r="D995" s="98">
        <v>100000</v>
      </c>
      <c r="E995" s="98">
        <v>0.1</v>
      </c>
      <c r="F995" s="98" t="s">
        <v>102</v>
      </c>
      <c r="G995" s="98" t="s">
        <v>48</v>
      </c>
      <c r="H995" s="98">
        <v>0</v>
      </c>
      <c r="I995" s="98">
        <v>0</v>
      </c>
      <c r="K995" s="98">
        <v>64.108000000000004</v>
      </c>
      <c r="L995" s="98">
        <v>1.1939E-2</v>
      </c>
      <c r="M995" s="98">
        <v>63.985999999999997</v>
      </c>
      <c r="N995" s="98">
        <v>1.1939E-2</v>
      </c>
      <c r="O995" s="99" t="s">
        <v>278</v>
      </c>
    </row>
    <row r="996" spans="1:15" x14ac:dyDescent="0.25">
      <c r="A996" s="98" t="s">
        <v>55</v>
      </c>
      <c r="B996" s="98" t="s">
        <v>7</v>
      </c>
      <c r="C996" s="98">
        <v>10000</v>
      </c>
      <c r="D996" s="98">
        <v>100000</v>
      </c>
      <c r="E996" s="98">
        <v>1</v>
      </c>
      <c r="F996" s="98" t="s">
        <v>102</v>
      </c>
      <c r="G996" s="98" t="s">
        <v>48</v>
      </c>
      <c r="H996" s="98">
        <v>0</v>
      </c>
      <c r="I996" s="98">
        <v>0</v>
      </c>
      <c r="K996" s="98">
        <v>516.51</v>
      </c>
      <c r="L996" s="98">
        <v>8.6656000000000007E-3</v>
      </c>
      <c r="M996" s="98">
        <v>516.37</v>
      </c>
      <c r="N996" s="98">
        <v>8.6648999999999997E-3</v>
      </c>
      <c r="O996" s="99" t="s">
        <v>279</v>
      </c>
    </row>
    <row r="997" spans="1:15" x14ac:dyDescent="0.25">
      <c r="A997" s="98" t="s">
        <v>55</v>
      </c>
      <c r="B997" s="98" t="s">
        <v>7</v>
      </c>
      <c r="C997" s="98">
        <v>10000</v>
      </c>
      <c r="D997" s="98">
        <v>100000</v>
      </c>
      <c r="E997" s="98">
        <v>10</v>
      </c>
      <c r="F997" s="98" t="s">
        <v>102</v>
      </c>
      <c r="G997" s="98" t="s">
        <v>48</v>
      </c>
      <c r="H997" s="98">
        <v>0</v>
      </c>
      <c r="I997" s="98">
        <v>0</v>
      </c>
      <c r="K997" s="98">
        <v>5761.5</v>
      </c>
      <c r="L997" s="98">
        <v>1.4741999999999999E-3</v>
      </c>
      <c r="M997" s="98">
        <v>5761.5</v>
      </c>
      <c r="N997" s="98">
        <v>1.4725999999999999E-3</v>
      </c>
      <c r="O997" s="99" t="s">
        <v>280</v>
      </c>
    </row>
    <row r="998" spans="1:15" x14ac:dyDescent="0.25">
      <c r="A998" s="98" t="s">
        <v>55</v>
      </c>
      <c r="B998" s="98" t="s">
        <v>7</v>
      </c>
      <c r="C998" s="98">
        <v>10000</v>
      </c>
      <c r="D998" s="98">
        <v>100000</v>
      </c>
      <c r="E998" s="98">
        <v>100</v>
      </c>
      <c r="F998" s="98" t="s">
        <v>102</v>
      </c>
      <c r="G998" s="98" t="s">
        <v>48</v>
      </c>
      <c r="H998" s="98">
        <v>0</v>
      </c>
      <c r="I998" s="98">
        <v>0</v>
      </c>
      <c r="K998" s="98">
        <v>57734</v>
      </c>
      <c r="L998" s="98">
        <v>1.4965000000000001E-4</v>
      </c>
      <c r="M998" s="98">
        <v>57734</v>
      </c>
      <c r="N998" s="98">
        <v>1.4899999999999999E-4</v>
      </c>
      <c r="O998" s="99" t="s">
        <v>281</v>
      </c>
    </row>
    <row r="999" spans="1:15" x14ac:dyDescent="0.25">
      <c r="A999" s="98" t="s">
        <v>55</v>
      </c>
      <c r="B999" s="98" t="s">
        <v>7</v>
      </c>
      <c r="C999" s="98">
        <v>10000</v>
      </c>
      <c r="D999" s="98">
        <v>100000</v>
      </c>
      <c r="E999" s="98">
        <v>1000</v>
      </c>
      <c r="F999" s="98" t="s">
        <v>102</v>
      </c>
      <c r="G999" s="98" t="s">
        <v>48</v>
      </c>
      <c r="H999" s="98">
        <v>0</v>
      </c>
      <c r="I999" s="98">
        <v>0</v>
      </c>
      <c r="K999" s="98">
        <v>577360</v>
      </c>
      <c r="L999" s="98">
        <v>1.5162E-5</v>
      </c>
      <c r="M999" s="98">
        <v>577350</v>
      </c>
      <c r="N999" s="98">
        <v>1.4902000000000001E-5</v>
      </c>
      <c r="O999" s="99" t="s">
        <v>282</v>
      </c>
    </row>
    <row r="1000" spans="1:15" x14ac:dyDescent="0.25">
      <c r="A1000" s="98" t="s">
        <v>55</v>
      </c>
      <c r="B1000" s="98" t="s">
        <v>7</v>
      </c>
      <c r="C1000" s="98">
        <v>100000</v>
      </c>
      <c r="D1000" s="98">
        <v>1000000</v>
      </c>
      <c r="E1000" s="98">
        <v>0.1</v>
      </c>
      <c r="F1000" s="98" t="s">
        <v>102</v>
      </c>
      <c r="G1000" s="98" t="s">
        <v>49</v>
      </c>
      <c r="H1000" s="98">
        <v>0</v>
      </c>
      <c r="I1000" s="98">
        <v>0</v>
      </c>
      <c r="K1000" s="98">
        <v>2.2999999999999998</v>
      </c>
      <c r="L1000" s="98">
        <v>1.8E-5</v>
      </c>
      <c r="M1000" s="98">
        <v>2.2686999999999999</v>
      </c>
      <c r="N1000" s="98">
        <v>1.7870999999999999E-5</v>
      </c>
      <c r="O1000" s="99" t="s">
        <v>283</v>
      </c>
    </row>
    <row r="1001" spans="1:15" x14ac:dyDescent="0.25">
      <c r="A1001" s="98" t="s">
        <v>55</v>
      </c>
      <c r="B1001" s="98" t="s">
        <v>7</v>
      </c>
      <c r="C1001" s="98">
        <v>100000</v>
      </c>
      <c r="D1001" s="98">
        <v>1000000</v>
      </c>
      <c r="E1001" s="98">
        <v>1</v>
      </c>
      <c r="F1001" s="98" t="s">
        <v>102</v>
      </c>
      <c r="G1001" s="98" t="s">
        <v>49</v>
      </c>
      <c r="H1001" s="98">
        <v>0</v>
      </c>
      <c r="I1001" s="98">
        <v>0</v>
      </c>
      <c r="K1001" s="98">
        <v>2.2999999999999998</v>
      </c>
      <c r="L1001" s="98">
        <v>1.8E-5</v>
      </c>
      <c r="M1001" s="98">
        <v>2.3129</v>
      </c>
      <c r="N1001" s="98">
        <v>1.7835000000000001E-5</v>
      </c>
      <c r="O1001" s="99" t="s">
        <v>284</v>
      </c>
    </row>
    <row r="1002" spans="1:15" x14ac:dyDescent="0.25">
      <c r="A1002" s="98" t="s">
        <v>55</v>
      </c>
      <c r="B1002" s="98" t="s">
        <v>7</v>
      </c>
      <c r="C1002" s="98">
        <v>100000</v>
      </c>
      <c r="D1002" s="98">
        <v>1000000</v>
      </c>
      <c r="E1002" s="98">
        <v>10</v>
      </c>
      <c r="F1002" s="98" t="s">
        <v>102</v>
      </c>
      <c r="G1002" s="98" t="s">
        <v>49</v>
      </c>
      <c r="H1002" s="98">
        <v>0</v>
      </c>
      <c r="I1002" s="98">
        <v>0</v>
      </c>
      <c r="K1002" s="98">
        <v>5.5163000000000002</v>
      </c>
      <c r="L1002" s="98">
        <v>1.5438E-5</v>
      </c>
      <c r="M1002" s="98">
        <v>5.5115999999999996</v>
      </c>
      <c r="N1002" s="98">
        <v>1.5438999999999999E-5</v>
      </c>
      <c r="O1002" s="99" t="s">
        <v>285</v>
      </c>
    </row>
    <row r="1003" spans="1:15" x14ac:dyDescent="0.25">
      <c r="A1003" s="98" t="s">
        <v>55</v>
      </c>
      <c r="B1003" s="98" t="s">
        <v>7</v>
      </c>
      <c r="C1003" s="98">
        <v>100000</v>
      </c>
      <c r="D1003" s="98">
        <v>1000000</v>
      </c>
      <c r="E1003" s="98">
        <v>100</v>
      </c>
      <c r="F1003" s="98" t="s">
        <v>102</v>
      </c>
      <c r="G1003" s="98" t="s">
        <v>49</v>
      </c>
      <c r="H1003" s="98">
        <v>0</v>
      </c>
      <c r="I1003" s="98">
        <v>0</v>
      </c>
      <c r="K1003" s="98">
        <v>57.515999999999998</v>
      </c>
      <c r="L1003" s="98">
        <v>3.6360999999999998E-6</v>
      </c>
      <c r="M1003" s="98">
        <v>57.515000000000001</v>
      </c>
      <c r="N1003" s="98">
        <v>3.6327E-6</v>
      </c>
      <c r="O1003" s="99" t="s">
        <v>286</v>
      </c>
    </row>
    <row r="1004" spans="1:15" x14ac:dyDescent="0.25">
      <c r="A1004" s="98" t="s">
        <v>55</v>
      </c>
      <c r="B1004" s="98" t="s">
        <v>7</v>
      </c>
      <c r="C1004" s="98">
        <v>100000</v>
      </c>
      <c r="D1004" s="98">
        <v>1000000</v>
      </c>
      <c r="E1004" s="98">
        <v>1000</v>
      </c>
      <c r="F1004" s="98" t="s">
        <v>102</v>
      </c>
      <c r="G1004" s="98" t="s">
        <v>49</v>
      </c>
      <c r="H1004" s="98">
        <v>0</v>
      </c>
      <c r="I1004" s="98">
        <v>0</v>
      </c>
      <c r="K1004" s="98">
        <v>577.33000000000004</v>
      </c>
      <c r="L1004" s="98">
        <v>3.7584000000000001E-7</v>
      </c>
      <c r="M1004" s="98">
        <v>577.33000000000004</v>
      </c>
      <c r="N1004" s="98">
        <v>3.7432999999999999E-7</v>
      </c>
      <c r="O1004" s="99" t="s">
        <v>287</v>
      </c>
    </row>
    <row r="1005" spans="1:15" x14ac:dyDescent="0.25">
      <c r="A1005" s="98" t="s">
        <v>55</v>
      </c>
      <c r="B1005" s="98" t="s">
        <v>7</v>
      </c>
      <c r="C1005" s="98">
        <v>100000</v>
      </c>
      <c r="D1005" s="98">
        <v>1000000</v>
      </c>
      <c r="E1005" s="98">
        <v>10000</v>
      </c>
      <c r="F1005" s="98" t="s">
        <v>102</v>
      </c>
      <c r="G1005" s="98" t="s">
        <v>49</v>
      </c>
      <c r="H1005" s="98">
        <v>0</v>
      </c>
      <c r="I1005" s="98">
        <v>0</v>
      </c>
      <c r="K1005" s="98">
        <v>5773.6</v>
      </c>
      <c r="L1005" s="98">
        <v>3.8047999999999998E-8</v>
      </c>
      <c r="M1005" s="98">
        <v>5773.5</v>
      </c>
      <c r="N1005" s="98">
        <v>3.7445000000000002E-8</v>
      </c>
      <c r="O1005" s="99" t="s">
        <v>288</v>
      </c>
    </row>
    <row r="1006" spans="1:15" x14ac:dyDescent="0.25">
      <c r="A1006" s="98" t="s">
        <v>55</v>
      </c>
      <c r="B1006" s="98" t="s">
        <v>7</v>
      </c>
      <c r="C1006" s="98">
        <v>1000000</v>
      </c>
      <c r="D1006" s="98">
        <v>10000000</v>
      </c>
      <c r="E1006" s="98">
        <v>1</v>
      </c>
      <c r="F1006" s="98" t="s">
        <v>102</v>
      </c>
      <c r="G1006" s="98" t="s">
        <v>49</v>
      </c>
      <c r="H1006" s="98">
        <v>0</v>
      </c>
      <c r="I1006" s="98">
        <v>0</v>
      </c>
      <c r="K1006" s="98">
        <v>120</v>
      </c>
      <c r="L1006" s="98">
        <v>5.8999999999999998E-5</v>
      </c>
      <c r="M1006" s="98">
        <v>115.5</v>
      </c>
      <c r="N1006" s="98">
        <v>5.7738999999999997E-5</v>
      </c>
      <c r="O1006" s="99" t="s">
        <v>289</v>
      </c>
    </row>
    <row r="1007" spans="1:15" x14ac:dyDescent="0.25">
      <c r="A1007" s="98" t="s">
        <v>55</v>
      </c>
      <c r="B1007" s="98" t="s">
        <v>7</v>
      </c>
      <c r="C1007" s="98">
        <v>1000000</v>
      </c>
      <c r="D1007" s="98">
        <v>10000000</v>
      </c>
      <c r="E1007" s="98">
        <v>10</v>
      </c>
      <c r="F1007" s="98" t="s">
        <v>102</v>
      </c>
      <c r="G1007" s="98" t="s">
        <v>49</v>
      </c>
      <c r="H1007" s="98">
        <v>0</v>
      </c>
      <c r="I1007" s="98">
        <v>0</v>
      </c>
      <c r="K1007" s="98">
        <v>120</v>
      </c>
      <c r="L1007" s="98">
        <v>5.8999999999999998E-5</v>
      </c>
      <c r="M1007" s="98">
        <v>115.61</v>
      </c>
      <c r="N1007" s="98">
        <v>5.7731E-5</v>
      </c>
      <c r="O1007" s="99" t="s">
        <v>290</v>
      </c>
    </row>
    <row r="1008" spans="1:15" x14ac:dyDescent="0.25">
      <c r="A1008" s="98" t="s">
        <v>55</v>
      </c>
      <c r="B1008" s="98" t="s">
        <v>7</v>
      </c>
      <c r="C1008" s="98">
        <v>1000000</v>
      </c>
      <c r="D1008" s="98">
        <v>10000000</v>
      </c>
      <c r="E1008" s="98">
        <v>100</v>
      </c>
      <c r="F1008" s="98" t="s">
        <v>102</v>
      </c>
      <c r="G1008" s="98" t="s">
        <v>49</v>
      </c>
      <c r="H1008" s="98">
        <v>0</v>
      </c>
      <c r="I1008" s="98">
        <v>0</v>
      </c>
      <c r="K1008" s="98">
        <v>124.34</v>
      </c>
      <c r="L1008" s="98">
        <v>5.8566999999999997E-5</v>
      </c>
      <c r="M1008" s="98">
        <v>125.65</v>
      </c>
      <c r="N1008" s="98">
        <v>5.6965000000000001E-5</v>
      </c>
      <c r="O1008" s="99" t="s">
        <v>291</v>
      </c>
    </row>
    <row r="1009" spans="1:15" x14ac:dyDescent="0.25">
      <c r="A1009" s="98" t="s">
        <v>55</v>
      </c>
      <c r="B1009" s="98" t="s">
        <v>7</v>
      </c>
      <c r="C1009" s="98">
        <v>1000000</v>
      </c>
      <c r="D1009" s="98">
        <v>10000000</v>
      </c>
      <c r="E1009" s="98">
        <v>1000</v>
      </c>
      <c r="F1009" s="98" t="s">
        <v>102</v>
      </c>
      <c r="G1009" s="98" t="s">
        <v>49</v>
      </c>
      <c r="H1009" s="98">
        <v>0</v>
      </c>
      <c r="I1009" s="98">
        <v>0</v>
      </c>
      <c r="K1009" s="98">
        <v>569.84</v>
      </c>
      <c r="L1009" s="98">
        <v>3.3312999999999998E-5</v>
      </c>
      <c r="M1009" s="98">
        <v>569.54999999999995</v>
      </c>
      <c r="N1009" s="98">
        <v>3.3235999999999998E-5</v>
      </c>
      <c r="O1009" s="99" t="s">
        <v>292</v>
      </c>
    </row>
    <row r="1010" spans="1:15" x14ac:dyDescent="0.25">
      <c r="A1010" s="98" t="s">
        <v>55</v>
      </c>
      <c r="B1010" s="98" t="s">
        <v>7</v>
      </c>
      <c r="C1010" s="98">
        <v>1000000</v>
      </c>
      <c r="D1010" s="98">
        <v>10000000</v>
      </c>
      <c r="E1010" s="98">
        <v>10000</v>
      </c>
      <c r="F1010" s="98" t="s">
        <v>102</v>
      </c>
      <c r="G1010" s="98" t="s">
        <v>49</v>
      </c>
      <c r="H1010" s="98">
        <v>0</v>
      </c>
      <c r="I1010" s="98">
        <v>0</v>
      </c>
      <c r="K1010" s="98">
        <v>5771.9</v>
      </c>
      <c r="L1010" s="98">
        <v>4.3707999999999997E-6</v>
      </c>
      <c r="M1010" s="98">
        <v>5771.8</v>
      </c>
      <c r="N1010" s="98">
        <v>4.3144999999999999E-6</v>
      </c>
      <c r="O1010" s="99" t="s">
        <v>293</v>
      </c>
    </row>
    <row r="1011" spans="1:15" x14ac:dyDescent="0.25">
      <c r="A1011" s="98" t="s">
        <v>55</v>
      </c>
      <c r="B1011" s="98" t="s">
        <v>7</v>
      </c>
      <c r="C1011" s="98">
        <v>1000000</v>
      </c>
      <c r="D1011" s="98">
        <v>10000000</v>
      </c>
      <c r="E1011" s="98">
        <v>100000</v>
      </c>
      <c r="F1011" s="98" t="s">
        <v>102</v>
      </c>
      <c r="G1011" s="98" t="s">
        <v>49</v>
      </c>
      <c r="H1011" s="98">
        <v>0</v>
      </c>
      <c r="I1011" s="98">
        <v>0</v>
      </c>
      <c r="K1011" s="98">
        <v>57735</v>
      </c>
      <c r="L1011" s="98">
        <v>4.5578999999999998E-7</v>
      </c>
      <c r="M1011" s="98">
        <v>57731</v>
      </c>
      <c r="N1011" s="98">
        <v>4.3308000000000001E-7</v>
      </c>
      <c r="O1011" s="99" t="s">
        <v>294</v>
      </c>
    </row>
    <row r="1012" spans="1:15" x14ac:dyDescent="0.25">
      <c r="A1012" s="98" t="s">
        <v>55</v>
      </c>
      <c r="B1012" s="98" t="s">
        <v>7</v>
      </c>
      <c r="C1012" s="98">
        <v>10000000</v>
      </c>
      <c r="D1012" s="98">
        <v>100000000</v>
      </c>
      <c r="E1012" s="98">
        <v>10</v>
      </c>
      <c r="F1012" s="98" t="s">
        <v>102</v>
      </c>
      <c r="G1012" s="98" t="s">
        <v>176</v>
      </c>
      <c r="H1012" s="98">
        <v>0</v>
      </c>
      <c r="I1012" s="98">
        <v>0</v>
      </c>
      <c r="K1012" s="98">
        <v>1.2</v>
      </c>
      <c r="L1012" s="98">
        <v>5.7999999999999995E-7</v>
      </c>
      <c r="M1012" s="98">
        <v>1.1508</v>
      </c>
      <c r="N1012" s="98">
        <v>5.7800000000000001E-7</v>
      </c>
      <c r="O1012" s="99" t="s">
        <v>295</v>
      </c>
    </row>
    <row r="1013" spans="1:15" x14ac:dyDescent="0.25">
      <c r="A1013" s="98" t="s">
        <v>55</v>
      </c>
      <c r="B1013" s="98" t="s">
        <v>7</v>
      </c>
      <c r="C1013" s="98">
        <v>10000000</v>
      </c>
      <c r="D1013" s="98">
        <v>100000000</v>
      </c>
      <c r="E1013" s="98">
        <v>100</v>
      </c>
      <c r="F1013" s="98" t="s">
        <v>102</v>
      </c>
      <c r="G1013" s="98" t="s">
        <v>176</v>
      </c>
      <c r="H1013" s="98">
        <v>0</v>
      </c>
      <c r="I1013" s="98">
        <v>0</v>
      </c>
      <c r="K1013" s="98">
        <v>1.2</v>
      </c>
      <c r="L1013" s="98">
        <v>5.7999999999999995E-7</v>
      </c>
      <c r="M1013" s="98">
        <v>1.1511</v>
      </c>
      <c r="N1013" s="98">
        <v>5.778E-7</v>
      </c>
      <c r="O1013" s="99" t="s">
        <v>296</v>
      </c>
    </row>
    <row r="1014" spans="1:15" x14ac:dyDescent="0.25">
      <c r="A1014" s="98" t="s">
        <v>55</v>
      </c>
      <c r="B1014" s="98" t="s">
        <v>7</v>
      </c>
      <c r="C1014" s="98">
        <v>10000000</v>
      </c>
      <c r="D1014" s="98">
        <v>100000000</v>
      </c>
      <c r="E1014" s="98">
        <v>1000</v>
      </c>
      <c r="F1014" s="98" t="s">
        <v>102</v>
      </c>
      <c r="G1014" s="98" t="s">
        <v>176</v>
      </c>
      <c r="H1014" s="98">
        <v>0</v>
      </c>
      <c r="I1014" s="98">
        <v>0</v>
      </c>
      <c r="K1014" s="98">
        <v>1.2</v>
      </c>
      <c r="L1014" s="98">
        <v>5.7999999999999995E-7</v>
      </c>
      <c r="M1014" s="98">
        <v>1.1777</v>
      </c>
      <c r="N1014" s="98">
        <v>5.7756000000000004E-7</v>
      </c>
      <c r="O1014" s="99" t="s">
        <v>297</v>
      </c>
    </row>
    <row r="1015" spans="1:15" x14ac:dyDescent="0.25">
      <c r="A1015" s="98" t="s">
        <v>55</v>
      </c>
      <c r="B1015" s="98" t="s">
        <v>7</v>
      </c>
      <c r="C1015" s="98">
        <v>10000000</v>
      </c>
      <c r="D1015" s="98">
        <v>100000000</v>
      </c>
      <c r="E1015" s="98">
        <v>10000</v>
      </c>
      <c r="F1015" s="98" t="s">
        <v>102</v>
      </c>
      <c r="G1015" s="98" t="s">
        <v>176</v>
      </c>
      <c r="H1015" s="98">
        <v>0</v>
      </c>
      <c r="I1015" s="98">
        <v>0</v>
      </c>
      <c r="K1015" s="98">
        <v>3.4529000000000001</v>
      </c>
      <c r="L1015" s="98">
        <v>5.5767999999999995E-7</v>
      </c>
      <c r="M1015" s="98">
        <v>3.4420000000000002</v>
      </c>
      <c r="N1015" s="98">
        <v>5.5771000000000004E-7</v>
      </c>
      <c r="O1015" s="99" t="s">
        <v>298</v>
      </c>
    </row>
    <row r="1016" spans="1:15" x14ac:dyDescent="0.25">
      <c r="A1016" s="98" t="s">
        <v>55</v>
      </c>
      <c r="B1016" s="98" t="s">
        <v>7</v>
      </c>
      <c r="C1016" s="98">
        <v>10000000</v>
      </c>
      <c r="D1016" s="98">
        <v>100000000</v>
      </c>
      <c r="E1016" s="98">
        <v>100000</v>
      </c>
      <c r="F1016" s="98" t="s">
        <v>102</v>
      </c>
      <c r="G1016" s="98" t="s">
        <v>176</v>
      </c>
      <c r="H1016" s="98">
        <v>0</v>
      </c>
      <c r="I1016" s="98">
        <v>0</v>
      </c>
      <c r="K1016" s="98">
        <v>55.448999999999998</v>
      </c>
      <c r="L1016" s="98">
        <v>2.7074E-7</v>
      </c>
      <c r="M1016" s="98">
        <v>55.444000000000003</v>
      </c>
      <c r="N1016" s="98">
        <v>2.7056000000000001E-7</v>
      </c>
      <c r="O1016" s="99" t="s">
        <v>299</v>
      </c>
    </row>
    <row r="1017" spans="1:15" x14ac:dyDescent="0.25">
      <c r="A1017" s="98" t="s">
        <v>55</v>
      </c>
      <c r="B1017" s="98" t="s">
        <v>7</v>
      </c>
      <c r="C1017" s="98">
        <v>10000000</v>
      </c>
      <c r="D1017" s="98">
        <v>100000000</v>
      </c>
      <c r="E1017" s="98">
        <v>10000000</v>
      </c>
      <c r="F1017" s="98" t="s">
        <v>102</v>
      </c>
      <c r="G1017" s="98" t="s">
        <v>176</v>
      </c>
      <c r="H1017" s="98">
        <v>0</v>
      </c>
      <c r="I1017" s="98">
        <v>0</v>
      </c>
      <c r="K1017" s="98">
        <v>5773.5</v>
      </c>
      <c r="L1017" s="98">
        <v>3.3069999999999999E-9</v>
      </c>
      <c r="M1017" s="98">
        <v>5770.9</v>
      </c>
      <c r="N1017" s="98">
        <v>3.2960000000000002E-9</v>
      </c>
      <c r="O1017" s="99" t="s">
        <v>300</v>
      </c>
    </row>
    <row r="1018" spans="1:15" x14ac:dyDescent="0.25">
      <c r="A1018" s="98" t="s">
        <v>55</v>
      </c>
      <c r="B1018" s="98" t="s">
        <v>7</v>
      </c>
      <c r="C1018" s="98">
        <v>100000000</v>
      </c>
      <c r="D1018" s="98">
        <v>1000000000</v>
      </c>
      <c r="E1018" s="98">
        <v>100</v>
      </c>
      <c r="F1018" s="98" t="s">
        <v>102</v>
      </c>
      <c r="G1018" s="98" t="s">
        <v>176</v>
      </c>
      <c r="H1018" s="98">
        <v>0</v>
      </c>
      <c r="I1018" s="98">
        <v>0</v>
      </c>
      <c r="K1018" s="98">
        <v>12</v>
      </c>
      <c r="L1018" s="98">
        <v>5.8000000000000004E-6</v>
      </c>
      <c r="M1018" s="98">
        <v>11.592000000000001</v>
      </c>
      <c r="N1018" s="98">
        <v>5.7734999999999999E-6</v>
      </c>
      <c r="O1018" s="99" t="s">
        <v>301</v>
      </c>
    </row>
    <row r="1019" spans="1:15" x14ac:dyDescent="0.25">
      <c r="A1019" s="98" t="s">
        <v>55</v>
      </c>
      <c r="B1019" s="98" t="s">
        <v>7</v>
      </c>
      <c r="C1019" s="98">
        <v>100000000</v>
      </c>
      <c r="D1019" s="98">
        <v>1000000000</v>
      </c>
      <c r="E1019" s="98">
        <v>1000</v>
      </c>
      <c r="F1019" s="98" t="s">
        <v>102</v>
      </c>
      <c r="G1019" s="98" t="s">
        <v>176</v>
      </c>
      <c r="H1019" s="98">
        <v>0</v>
      </c>
      <c r="I1019" s="98">
        <v>0</v>
      </c>
      <c r="K1019" s="98">
        <v>12</v>
      </c>
      <c r="L1019" s="98">
        <v>5.8000000000000004E-6</v>
      </c>
      <c r="M1019" s="98">
        <v>11.592000000000001</v>
      </c>
      <c r="N1019" s="98">
        <v>5.7734999999999999E-6</v>
      </c>
      <c r="O1019" s="99" t="s">
        <v>302</v>
      </c>
    </row>
    <row r="1020" spans="1:15" x14ac:dyDescent="0.25">
      <c r="A1020" s="98" t="s">
        <v>55</v>
      </c>
      <c r="B1020" s="98" t="s">
        <v>7</v>
      </c>
      <c r="C1020" s="98">
        <v>100000000</v>
      </c>
      <c r="D1020" s="98">
        <v>1000000000</v>
      </c>
      <c r="E1020" s="98">
        <v>10000</v>
      </c>
      <c r="F1020" s="98" t="s">
        <v>102</v>
      </c>
      <c r="G1020" s="98" t="s">
        <v>176</v>
      </c>
      <c r="H1020" s="98">
        <v>0</v>
      </c>
      <c r="I1020" s="98">
        <v>0</v>
      </c>
      <c r="K1020" s="98">
        <v>12</v>
      </c>
      <c r="L1020" s="98">
        <v>5.8000000000000004E-6</v>
      </c>
      <c r="M1020" s="98">
        <v>11.595000000000001</v>
      </c>
      <c r="N1020" s="98">
        <v>5.7706999999999997E-6</v>
      </c>
      <c r="O1020" s="99" t="s">
        <v>303</v>
      </c>
    </row>
    <row r="1021" spans="1:15" x14ac:dyDescent="0.25">
      <c r="A1021" s="98" t="s">
        <v>55</v>
      </c>
      <c r="B1021" s="98" t="s">
        <v>7</v>
      </c>
      <c r="C1021" s="98">
        <v>100000000</v>
      </c>
      <c r="D1021" s="98">
        <v>1000000000</v>
      </c>
      <c r="E1021" s="98">
        <v>100000</v>
      </c>
      <c r="F1021" s="98" t="s">
        <v>102</v>
      </c>
      <c r="G1021" s="98" t="s">
        <v>176</v>
      </c>
      <c r="H1021" s="98">
        <v>0</v>
      </c>
      <c r="I1021" s="98">
        <v>0</v>
      </c>
      <c r="K1021" s="98">
        <v>12</v>
      </c>
      <c r="L1021" s="98">
        <v>5.8000000000000004E-6</v>
      </c>
      <c r="M1021" s="98">
        <v>14.68</v>
      </c>
      <c r="N1021" s="98">
        <v>5.7706999999999997E-6</v>
      </c>
      <c r="O1021" s="99" t="s">
        <v>304</v>
      </c>
    </row>
    <row r="1022" spans="1:15" x14ac:dyDescent="0.25">
      <c r="A1022" s="98" t="s">
        <v>55</v>
      </c>
      <c r="B1022" s="98" t="s">
        <v>7</v>
      </c>
      <c r="C1022" s="98">
        <v>100000000</v>
      </c>
      <c r="D1022" s="98">
        <v>1000000000</v>
      </c>
      <c r="E1022" s="98">
        <v>10000000</v>
      </c>
      <c r="F1022" s="98" t="s">
        <v>102</v>
      </c>
      <c r="G1022" s="98" t="s">
        <v>176</v>
      </c>
      <c r="H1022" s="98">
        <v>0</v>
      </c>
      <c r="I1022" s="98">
        <v>0</v>
      </c>
      <c r="K1022" s="98">
        <v>5540.2</v>
      </c>
      <c r="L1022" s="98">
        <v>2.6330999999999998E-6</v>
      </c>
      <c r="M1022" s="98">
        <v>5540.2</v>
      </c>
      <c r="N1022" s="98">
        <v>2.633E-6</v>
      </c>
      <c r="O1022" s="99" t="s">
        <v>305</v>
      </c>
    </row>
    <row r="1023" spans="1:15" x14ac:dyDescent="0.25">
      <c r="A1023" s="98" t="s">
        <v>55</v>
      </c>
      <c r="B1023" s="98" t="s">
        <v>7</v>
      </c>
      <c r="C1023" s="98">
        <v>100000000</v>
      </c>
      <c r="D1023" s="98">
        <v>1000000000</v>
      </c>
      <c r="E1023" s="98">
        <v>100000000</v>
      </c>
      <c r="F1023" s="98" t="s">
        <v>102</v>
      </c>
      <c r="G1023" s="98" t="s">
        <v>176</v>
      </c>
      <c r="H1023" s="98">
        <v>0</v>
      </c>
      <c r="I1023" s="98">
        <v>0</v>
      </c>
      <c r="K1023" s="98">
        <v>57707</v>
      </c>
      <c r="L1023" s="98">
        <v>3.1791000000000002E-7</v>
      </c>
      <c r="M1023" s="98">
        <v>57475</v>
      </c>
      <c r="N1023" s="98">
        <v>3.1790000000000001E-7</v>
      </c>
      <c r="O1023" s="99" t="s">
        <v>306</v>
      </c>
    </row>
    <row r="1024" spans="1:15" x14ac:dyDescent="0.25">
      <c r="A1024" s="98" t="s">
        <v>54</v>
      </c>
      <c r="B1024" s="98" t="s">
        <v>47</v>
      </c>
      <c r="C1024" s="98">
        <v>0</v>
      </c>
      <c r="D1024" s="98">
        <v>3.3000999999999999E-4</v>
      </c>
      <c r="E1024" s="98">
        <v>1E-8</v>
      </c>
      <c r="F1024" s="98" t="s">
        <v>13</v>
      </c>
      <c r="G1024" s="98" t="s">
        <v>11</v>
      </c>
      <c r="H1024" s="98">
        <v>4.4999999999999998E-2</v>
      </c>
      <c r="I1024" s="98">
        <v>1.0000100000000001</v>
      </c>
      <c r="J1024" s="98" t="s">
        <v>10</v>
      </c>
      <c r="K1024" s="98">
        <v>0.14000000000000001</v>
      </c>
      <c r="L1024" s="98">
        <v>1400</v>
      </c>
      <c r="M1024" s="98">
        <v>0.11584999999999999</v>
      </c>
      <c r="N1024" s="98">
        <v>1442.9</v>
      </c>
      <c r="O1024" s="99" t="s">
        <v>2744</v>
      </c>
    </row>
    <row r="1025" spans="1:15" x14ac:dyDescent="0.25">
      <c r="A1025" s="98" t="s">
        <v>54</v>
      </c>
      <c r="B1025" s="98" t="s">
        <v>47</v>
      </c>
      <c r="C1025" s="98">
        <v>0</v>
      </c>
      <c r="D1025" s="98">
        <v>3.3000999999999999E-4</v>
      </c>
      <c r="E1025" s="98">
        <v>1E-8</v>
      </c>
      <c r="F1025" s="98" t="s">
        <v>13</v>
      </c>
      <c r="G1025" s="98" t="s">
        <v>11</v>
      </c>
      <c r="H1025" s="98">
        <v>1</v>
      </c>
      <c r="I1025" s="98">
        <v>5.01</v>
      </c>
      <c r="J1025" s="98" t="s">
        <v>10</v>
      </c>
      <c r="K1025" s="98">
        <v>0.18</v>
      </c>
      <c r="L1025" s="98">
        <v>3500</v>
      </c>
      <c r="M1025" s="98">
        <v>0.17344000000000001</v>
      </c>
      <c r="N1025" s="98">
        <v>3463.7</v>
      </c>
      <c r="O1025" s="99" t="s">
        <v>2271</v>
      </c>
    </row>
    <row r="1026" spans="1:15" x14ac:dyDescent="0.25">
      <c r="A1026" s="98" t="s">
        <v>54</v>
      </c>
      <c r="B1026" s="98" t="s">
        <v>47</v>
      </c>
      <c r="C1026" s="98">
        <v>0</v>
      </c>
      <c r="D1026" s="98">
        <v>3.3000999999999999E-4</v>
      </c>
      <c r="E1026" s="98">
        <v>1E-8</v>
      </c>
      <c r="F1026" s="98" t="s">
        <v>13</v>
      </c>
      <c r="G1026" s="98" t="s">
        <v>11</v>
      </c>
      <c r="H1026" s="98">
        <v>0.01</v>
      </c>
      <c r="I1026" s="98">
        <v>2.001E-2</v>
      </c>
      <c r="J1026" s="98" t="s">
        <v>10</v>
      </c>
      <c r="K1026" s="98">
        <v>0.13</v>
      </c>
      <c r="L1026" s="98">
        <v>2300</v>
      </c>
      <c r="M1026" s="98">
        <v>0.11565</v>
      </c>
      <c r="N1026" s="98">
        <v>2314.1999999999998</v>
      </c>
      <c r="O1026" s="99" t="s">
        <v>2275</v>
      </c>
    </row>
    <row r="1027" spans="1:15" x14ac:dyDescent="0.25">
      <c r="A1027" s="98" t="s">
        <v>54</v>
      </c>
      <c r="B1027" s="98" t="s">
        <v>47</v>
      </c>
      <c r="C1027" s="98">
        <v>0</v>
      </c>
      <c r="D1027" s="98">
        <v>3.3000999999999999E-4</v>
      </c>
      <c r="E1027" s="98">
        <v>1E-8</v>
      </c>
      <c r="F1027" s="98" t="s">
        <v>13</v>
      </c>
      <c r="G1027" s="98" t="s">
        <v>11</v>
      </c>
      <c r="H1027" s="98">
        <v>10</v>
      </c>
      <c r="I1027" s="98">
        <v>30</v>
      </c>
      <c r="J1027" s="98" t="s">
        <v>10</v>
      </c>
      <c r="K1027" s="98">
        <v>0.62</v>
      </c>
      <c r="L1027" s="98">
        <v>18000</v>
      </c>
      <c r="M1027" s="98">
        <v>0.46198</v>
      </c>
      <c r="N1027" s="98">
        <v>18475</v>
      </c>
      <c r="O1027" s="99" t="s">
        <v>2745</v>
      </c>
    </row>
    <row r="1028" spans="1:15" x14ac:dyDescent="0.25">
      <c r="A1028" s="98" t="s">
        <v>54</v>
      </c>
      <c r="B1028" s="98" t="s">
        <v>47</v>
      </c>
      <c r="C1028" s="98">
        <v>0</v>
      </c>
      <c r="D1028" s="98">
        <v>3.3000999999999999E-4</v>
      </c>
      <c r="E1028" s="98">
        <v>1E-8</v>
      </c>
      <c r="F1028" s="98" t="s">
        <v>13</v>
      </c>
      <c r="G1028" s="98" t="s">
        <v>11</v>
      </c>
      <c r="H1028" s="98">
        <v>0.02</v>
      </c>
      <c r="I1028" s="98">
        <v>4.5010000000000001E-2</v>
      </c>
      <c r="J1028" s="98" t="s">
        <v>10</v>
      </c>
      <c r="K1028" s="98">
        <v>0.13</v>
      </c>
      <c r="L1028" s="98">
        <v>1700</v>
      </c>
      <c r="M1028" s="98">
        <v>0.11582000000000001</v>
      </c>
      <c r="N1028" s="98">
        <v>1731.6</v>
      </c>
      <c r="O1028" s="99" t="s">
        <v>2272</v>
      </c>
    </row>
    <row r="1029" spans="1:15" x14ac:dyDescent="0.25">
      <c r="A1029" s="98" t="s">
        <v>54</v>
      </c>
      <c r="B1029" s="98" t="s">
        <v>47</v>
      </c>
      <c r="C1029" s="98">
        <v>0</v>
      </c>
      <c r="D1029" s="98">
        <v>3.3000999999999999E-4</v>
      </c>
      <c r="E1029" s="98">
        <v>1E-8</v>
      </c>
      <c r="F1029" s="98" t="s">
        <v>13</v>
      </c>
      <c r="G1029" s="98" t="s">
        <v>11</v>
      </c>
      <c r="H1029" s="98">
        <v>5</v>
      </c>
      <c r="I1029" s="98">
        <v>10.01</v>
      </c>
      <c r="J1029" s="98" t="s">
        <v>10</v>
      </c>
      <c r="K1029" s="98">
        <v>0.25</v>
      </c>
      <c r="L1029" s="98">
        <v>9200</v>
      </c>
      <c r="M1029" s="98">
        <v>0.23105999999999999</v>
      </c>
      <c r="N1029" s="98">
        <v>9237.4</v>
      </c>
      <c r="O1029" s="99" t="s">
        <v>2273</v>
      </c>
    </row>
    <row r="1030" spans="1:15" x14ac:dyDescent="0.25">
      <c r="A1030" s="98" t="s">
        <v>54</v>
      </c>
      <c r="B1030" s="98" t="s">
        <v>47</v>
      </c>
      <c r="C1030" s="98">
        <v>0</v>
      </c>
      <c r="D1030" s="98">
        <v>3.3000999999999999E-4</v>
      </c>
      <c r="E1030" s="98">
        <v>1E-8</v>
      </c>
      <c r="F1030" s="98" t="s">
        <v>13</v>
      </c>
      <c r="G1030" s="98" t="s">
        <v>11</v>
      </c>
      <c r="H1030" s="98">
        <v>30</v>
      </c>
      <c r="I1030" s="98">
        <v>30.1</v>
      </c>
      <c r="J1030" s="98" t="s">
        <v>10</v>
      </c>
      <c r="K1030" s="98">
        <v>0.62</v>
      </c>
      <c r="L1030" s="98">
        <v>18000</v>
      </c>
      <c r="M1030" s="98">
        <v>0.46198</v>
      </c>
      <c r="N1030" s="98">
        <v>18475</v>
      </c>
      <c r="O1030" s="99" t="s">
        <v>2274</v>
      </c>
    </row>
    <row r="1031" spans="1:15" x14ac:dyDescent="0.25">
      <c r="A1031" s="98" t="s">
        <v>54</v>
      </c>
      <c r="B1031" s="98" t="s">
        <v>47</v>
      </c>
      <c r="C1031" s="98">
        <v>0</v>
      </c>
      <c r="D1031" s="98">
        <v>3.3000999999999999E-4</v>
      </c>
      <c r="E1031" s="98">
        <v>9.9999999999999995E-8</v>
      </c>
      <c r="F1031" s="98" t="s">
        <v>13</v>
      </c>
      <c r="G1031" s="98" t="s">
        <v>11</v>
      </c>
      <c r="H1031" s="98">
        <v>4.4999999999999998E-2</v>
      </c>
      <c r="I1031" s="98">
        <v>1.0000100000000001</v>
      </c>
      <c r="J1031" s="98" t="s">
        <v>10</v>
      </c>
      <c r="K1031" s="98">
        <v>0.14000000000000001</v>
      </c>
      <c r="L1031" s="98">
        <v>1400</v>
      </c>
      <c r="M1031" s="98">
        <v>0.12669</v>
      </c>
      <c r="N1031" s="98">
        <v>1418.5</v>
      </c>
      <c r="O1031" s="99" t="s">
        <v>2281</v>
      </c>
    </row>
    <row r="1032" spans="1:15" x14ac:dyDescent="0.25">
      <c r="A1032" s="98" t="s">
        <v>54</v>
      </c>
      <c r="B1032" s="98" t="s">
        <v>47</v>
      </c>
      <c r="C1032" s="98">
        <v>0</v>
      </c>
      <c r="D1032" s="98">
        <v>3.3000999999999999E-4</v>
      </c>
      <c r="E1032" s="98">
        <v>9.9999999999999995E-8</v>
      </c>
      <c r="F1032" s="98" t="s">
        <v>13</v>
      </c>
      <c r="G1032" s="98" t="s">
        <v>11</v>
      </c>
      <c r="H1032" s="98">
        <v>5</v>
      </c>
      <c r="I1032" s="98">
        <v>10.01</v>
      </c>
      <c r="J1032" s="98" t="s">
        <v>10</v>
      </c>
      <c r="K1032" s="98">
        <v>0.25</v>
      </c>
      <c r="L1032" s="98">
        <v>9200</v>
      </c>
      <c r="M1032" s="98">
        <v>0.23463000000000001</v>
      </c>
      <c r="N1032" s="98">
        <v>9228.1</v>
      </c>
      <c r="O1032" s="99" t="s">
        <v>2280</v>
      </c>
    </row>
    <row r="1033" spans="1:15" x14ac:dyDescent="0.25">
      <c r="A1033" s="98" t="s">
        <v>54</v>
      </c>
      <c r="B1033" s="98" t="s">
        <v>47</v>
      </c>
      <c r="C1033" s="98">
        <v>0</v>
      </c>
      <c r="D1033" s="98">
        <v>3.3000999999999999E-4</v>
      </c>
      <c r="E1033" s="98">
        <v>9.9999999999999995E-8</v>
      </c>
      <c r="F1033" s="98" t="s">
        <v>13</v>
      </c>
      <c r="G1033" s="98" t="s">
        <v>11</v>
      </c>
      <c r="H1033" s="98">
        <v>1</v>
      </c>
      <c r="I1033" s="98">
        <v>5.01</v>
      </c>
      <c r="J1033" s="98" t="s">
        <v>10</v>
      </c>
      <c r="K1033" s="98">
        <v>0.18</v>
      </c>
      <c r="L1033" s="98">
        <v>3500</v>
      </c>
      <c r="M1033" s="98">
        <v>0.17984</v>
      </c>
      <c r="N1033" s="98">
        <v>3448.1</v>
      </c>
      <c r="O1033" s="99" t="s">
        <v>2277</v>
      </c>
    </row>
    <row r="1034" spans="1:15" x14ac:dyDescent="0.25">
      <c r="A1034" s="98" t="s">
        <v>54</v>
      </c>
      <c r="B1034" s="98" t="s">
        <v>47</v>
      </c>
      <c r="C1034" s="98">
        <v>0</v>
      </c>
      <c r="D1034" s="98">
        <v>3.3000999999999999E-4</v>
      </c>
      <c r="E1034" s="98">
        <v>9.9999999999999995E-8</v>
      </c>
      <c r="F1034" s="98" t="s">
        <v>13</v>
      </c>
      <c r="G1034" s="98" t="s">
        <v>11</v>
      </c>
      <c r="H1034" s="98">
        <v>0.02</v>
      </c>
      <c r="I1034" s="98">
        <v>4.5010000000000001E-2</v>
      </c>
      <c r="J1034" s="98" t="s">
        <v>10</v>
      </c>
      <c r="K1034" s="98">
        <v>0.13</v>
      </c>
      <c r="L1034" s="98">
        <v>1700</v>
      </c>
      <c r="M1034" s="98">
        <v>0.12620000000000001</v>
      </c>
      <c r="N1034" s="98">
        <v>1707.4</v>
      </c>
      <c r="O1034" s="99" t="s">
        <v>2276</v>
      </c>
    </row>
    <row r="1035" spans="1:15" x14ac:dyDescent="0.25">
      <c r="A1035" s="98" t="s">
        <v>54</v>
      </c>
      <c r="B1035" s="98" t="s">
        <v>47</v>
      </c>
      <c r="C1035" s="98">
        <v>0</v>
      </c>
      <c r="D1035" s="98">
        <v>3.3000999999999999E-4</v>
      </c>
      <c r="E1035" s="98">
        <v>9.9999999999999995E-8</v>
      </c>
      <c r="F1035" s="98" t="s">
        <v>13</v>
      </c>
      <c r="G1035" s="98" t="s">
        <v>11</v>
      </c>
      <c r="H1035" s="98">
        <v>30</v>
      </c>
      <c r="I1035" s="98">
        <v>30.1</v>
      </c>
      <c r="J1035" s="98" t="s">
        <v>10</v>
      </c>
      <c r="K1035" s="98">
        <v>0.62</v>
      </c>
      <c r="L1035" s="98">
        <v>18000</v>
      </c>
      <c r="M1035" s="98">
        <v>0.46389000000000002</v>
      </c>
      <c r="N1035" s="98">
        <v>18470</v>
      </c>
      <c r="O1035" s="99" t="s">
        <v>2746</v>
      </c>
    </row>
    <row r="1036" spans="1:15" x14ac:dyDescent="0.25">
      <c r="A1036" s="98" t="s">
        <v>54</v>
      </c>
      <c r="B1036" s="98" t="s">
        <v>47</v>
      </c>
      <c r="C1036" s="98">
        <v>0</v>
      </c>
      <c r="D1036" s="98">
        <v>3.3000999999999999E-4</v>
      </c>
      <c r="E1036" s="98">
        <v>9.9999999999999995E-8</v>
      </c>
      <c r="F1036" s="98" t="s">
        <v>13</v>
      </c>
      <c r="G1036" s="98" t="s">
        <v>11</v>
      </c>
      <c r="H1036" s="98">
        <v>0.01</v>
      </c>
      <c r="I1036" s="98">
        <v>2.001E-2</v>
      </c>
      <c r="J1036" s="98" t="s">
        <v>10</v>
      </c>
      <c r="K1036" s="98">
        <v>0.13</v>
      </c>
      <c r="L1036" s="98">
        <v>2300</v>
      </c>
      <c r="M1036" s="98">
        <v>0.12522</v>
      </c>
      <c r="N1036" s="98">
        <v>2290.9</v>
      </c>
      <c r="O1036" s="99" t="s">
        <v>2278</v>
      </c>
    </row>
    <row r="1037" spans="1:15" x14ac:dyDescent="0.25">
      <c r="A1037" s="98" t="s">
        <v>54</v>
      </c>
      <c r="B1037" s="98" t="s">
        <v>47</v>
      </c>
      <c r="C1037" s="98">
        <v>0</v>
      </c>
      <c r="D1037" s="98">
        <v>3.3000999999999999E-4</v>
      </c>
      <c r="E1037" s="98">
        <v>9.9999999999999995E-8</v>
      </c>
      <c r="F1037" s="98" t="s">
        <v>13</v>
      </c>
      <c r="G1037" s="98" t="s">
        <v>11</v>
      </c>
      <c r="H1037" s="98">
        <v>10</v>
      </c>
      <c r="I1037" s="98">
        <v>30</v>
      </c>
      <c r="J1037" s="98" t="s">
        <v>10</v>
      </c>
      <c r="K1037" s="98">
        <v>0.62</v>
      </c>
      <c r="L1037" s="98">
        <v>18000</v>
      </c>
      <c r="M1037" s="98">
        <v>0.46389000000000002</v>
      </c>
      <c r="N1037" s="98">
        <v>18470</v>
      </c>
      <c r="O1037" s="99" t="s">
        <v>2279</v>
      </c>
    </row>
    <row r="1038" spans="1:15" x14ac:dyDescent="0.25">
      <c r="A1038" s="98" t="s">
        <v>54</v>
      </c>
      <c r="B1038" s="98" t="s">
        <v>47</v>
      </c>
      <c r="C1038" s="98">
        <v>0</v>
      </c>
      <c r="D1038" s="98">
        <v>3.3000999999999999E-4</v>
      </c>
      <c r="E1038" s="98">
        <v>9.9999999999999995E-7</v>
      </c>
      <c r="F1038" s="98" t="s">
        <v>13</v>
      </c>
      <c r="G1038" s="98" t="s">
        <v>11</v>
      </c>
      <c r="H1038" s="98">
        <v>4.4999999999999998E-2</v>
      </c>
      <c r="I1038" s="98">
        <v>1.0000100000000001</v>
      </c>
      <c r="J1038" s="98" t="s">
        <v>10</v>
      </c>
      <c r="K1038" s="98">
        <v>0.57669999999999999</v>
      </c>
      <c r="L1038" s="98">
        <v>759.64</v>
      </c>
      <c r="M1038" s="98">
        <v>0.57647000000000004</v>
      </c>
      <c r="N1038" s="98">
        <v>758.92</v>
      </c>
      <c r="O1038" s="99" t="s">
        <v>2284</v>
      </c>
    </row>
    <row r="1039" spans="1:15" x14ac:dyDescent="0.25">
      <c r="A1039" s="98" t="s">
        <v>54</v>
      </c>
      <c r="B1039" s="98" t="s">
        <v>47</v>
      </c>
      <c r="C1039" s="98">
        <v>0</v>
      </c>
      <c r="D1039" s="98">
        <v>3.3000999999999999E-4</v>
      </c>
      <c r="E1039" s="98">
        <v>9.9999999999999995E-7</v>
      </c>
      <c r="F1039" s="98" t="s">
        <v>13</v>
      </c>
      <c r="G1039" s="98" t="s">
        <v>11</v>
      </c>
      <c r="H1039" s="98">
        <v>0.02</v>
      </c>
      <c r="I1039" s="98">
        <v>4.5010000000000001E-2</v>
      </c>
      <c r="J1039" s="98" t="s">
        <v>10</v>
      </c>
      <c r="K1039" s="98">
        <v>0.57237000000000005</v>
      </c>
      <c r="L1039" s="98">
        <v>986.73</v>
      </c>
      <c r="M1039" s="98">
        <v>0.57213000000000003</v>
      </c>
      <c r="N1039" s="98">
        <v>986.13</v>
      </c>
      <c r="O1039" s="99" t="s">
        <v>2749</v>
      </c>
    </row>
    <row r="1040" spans="1:15" x14ac:dyDescent="0.25">
      <c r="A1040" s="98" t="s">
        <v>54</v>
      </c>
      <c r="B1040" s="98" t="s">
        <v>47</v>
      </c>
      <c r="C1040" s="98">
        <v>0</v>
      </c>
      <c r="D1040" s="98">
        <v>3.3000999999999999E-4</v>
      </c>
      <c r="E1040" s="98">
        <v>9.9999999999999995E-7</v>
      </c>
      <c r="F1040" s="98" t="s">
        <v>13</v>
      </c>
      <c r="G1040" s="98" t="s">
        <v>11</v>
      </c>
      <c r="H1040" s="98">
        <v>10</v>
      </c>
      <c r="I1040" s="98">
        <v>30</v>
      </c>
      <c r="J1040" s="98" t="s">
        <v>10</v>
      </c>
      <c r="K1040" s="98">
        <v>0.62980000000000003</v>
      </c>
      <c r="L1040" s="98">
        <v>18044</v>
      </c>
      <c r="M1040" s="98">
        <v>0.62958000000000003</v>
      </c>
      <c r="N1040" s="98">
        <v>18044</v>
      </c>
      <c r="O1040" s="99" t="s">
        <v>2747</v>
      </c>
    </row>
    <row r="1041" spans="1:15" x14ac:dyDescent="0.25">
      <c r="A1041" s="98" t="s">
        <v>54</v>
      </c>
      <c r="B1041" s="98" t="s">
        <v>47</v>
      </c>
      <c r="C1041" s="98">
        <v>0</v>
      </c>
      <c r="D1041" s="98">
        <v>3.3000999999999999E-4</v>
      </c>
      <c r="E1041" s="98">
        <v>9.9999999999999995E-7</v>
      </c>
      <c r="F1041" s="98" t="s">
        <v>13</v>
      </c>
      <c r="G1041" s="98" t="s">
        <v>11</v>
      </c>
      <c r="H1041" s="98">
        <v>5</v>
      </c>
      <c r="I1041" s="98">
        <v>10.01</v>
      </c>
      <c r="J1041" s="98" t="s">
        <v>10</v>
      </c>
      <c r="K1041" s="98">
        <v>0.51629999999999998</v>
      </c>
      <c r="L1041" s="98">
        <v>8526.7000000000007</v>
      </c>
      <c r="M1041" s="98">
        <v>0.51576</v>
      </c>
      <c r="N1041" s="98">
        <v>8527.5</v>
      </c>
      <c r="O1041" s="99" t="s">
        <v>2283</v>
      </c>
    </row>
    <row r="1042" spans="1:15" x14ac:dyDescent="0.25">
      <c r="A1042" s="98" t="s">
        <v>54</v>
      </c>
      <c r="B1042" s="98" t="s">
        <v>47</v>
      </c>
      <c r="C1042" s="98">
        <v>0</v>
      </c>
      <c r="D1042" s="98">
        <v>3.3000999999999999E-4</v>
      </c>
      <c r="E1042" s="98">
        <v>9.9999999999999995E-7</v>
      </c>
      <c r="F1042" s="98" t="s">
        <v>13</v>
      </c>
      <c r="G1042" s="98" t="s">
        <v>11</v>
      </c>
      <c r="H1042" s="98">
        <v>30</v>
      </c>
      <c r="I1042" s="98">
        <v>30.1</v>
      </c>
      <c r="J1042" s="98" t="s">
        <v>10</v>
      </c>
      <c r="K1042" s="98">
        <v>0.62980000000000003</v>
      </c>
      <c r="L1042" s="98">
        <v>18044</v>
      </c>
      <c r="M1042" s="98">
        <v>0.62958000000000003</v>
      </c>
      <c r="N1042" s="98">
        <v>18044</v>
      </c>
      <c r="O1042" s="99" t="s">
        <v>2285</v>
      </c>
    </row>
    <row r="1043" spans="1:15" x14ac:dyDescent="0.25">
      <c r="A1043" s="98" t="s">
        <v>54</v>
      </c>
      <c r="B1043" s="98" t="s">
        <v>47</v>
      </c>
      <c r="C1043" s="98">
        <v>0</v>
      </c>
      <c r="D1043" s="98">
        <v>3.3000999999999999E-4</v>
      </c>
      <c r="E1043" s="98">
        <v>9.9999999999999995E-7</v>
      </c>
      <c r="F1043" s="98" t="s">
        <v>13</v>
      </c>
      <c r="G1043" s="98" t="s">
        <v>11</v>
      </c>
      <c r="H1043" s="98">
        <v>0.01</v>
      </c>
      <c r="I1043" s="98">
        <v>2.001E-2</v>
      </c>
      <c r="J1043" s="98" t="s">
        <v>10</v>
      </c>
      <c r="K1043" s="98">
        <v>0.56557999999999997</v>
      </c>
      <c r="L1043" s="98">
        <v>1474.9</v>
      </c>
      <c r="M1043" s="98">
        <v>0.56533</v>
      </c>
      <c r="N1043" s="98">
        <v>1474.5</v>
      </c>
      <c r="O1043" s="99" t="s">
        <v>2282</v>
      </c>
    </row>
    <row r="1044" spans="1:15" x14ac:dyDescent="0.25">
      <c r="A1044" s="98" t="s">
        <v>54</v>
      </c>
      <c r="B1044" s="98" t="s">
        <v>47</v>
      </c>
      <c r="C1044" s="98">
        <v>0</v>
      </c>
      <c r="D1044" s="98">
        <v>3.3000999999999999E-4</v>
      </c>
      <c r="E1044" s="98">
        <v>9.9999999999999995E-7</v>
      </c>
      <c r="F1044" s="98" t="s">
        <v>13</v>
      </c>
      <c r="G1044" s="98" t="s">
        <v>11</v>
      </c>
      <c r="H1044" s="98">
        <v>1</v>
      </c>
      <c r="I1044" s="98">
        <v>5.01</v>
      </c>
      <c r="J1044" s="98" t="s">
        <v>10</v>
      </c>
      <c r="K1044" s="98">
        <v>0.56230999999999998</v>
      </c>
      <c r="L1044" s="98">
        <v>2652.9</v>
      </c>
      <c r="M1044" s="98">
        <v>0.56206999999999996</v>
      </c>
      <c r="N1044" s="98">
        <v>2652.8</v>
      </c>
      <c r="O1044" s="99" t="s">
        <v>2748</v>
      </c>
    </row>
    <row r="1045" spans="1:15" x14ac:dyDescent="0.25">
      <c r="A1045" s="98" t="s">
        <v>54</v>
      </c>
      <c r="B1045" s="98" t="s">
        <v>47</v>
      </c>
      <c r="C1045" s="98">
        <v>0</v>
      </c>
      <c r="D1045" s="98">
        <v>3.3000999999999999E-4</v>
      </c>
      <c r="E1045" s="98">
        <v>1.0000000000000001E-5</v>
      </c>
      <c r="F1045" s="98" t="s">
        <v>13</v>
      </c>
      <c r="G1045" s="98" t="s">
        <v>11</v>
      </c>
      <c r="H1045" s="98">
        <v>0.01</v>
      </c>
      <c r="I1045" s="98">
        <v>2.001E-2</v>
      </c>
      <c r="J1045" s="98" t="s">
        <v>10</v>
      </c>
      <c r="K1045" s="98">
        <v>5.7994000000000003</v>
      </c>
      <c r="L1045" s="98">
        <v>124.28</v>
      </c>
      <c r="M1045" s="98">
        <v>5.7992999999999997</v>
      </c>
      <c r="N1045" s="98">
        <v>123.73</v>
      </c>
      <c r="O1045" s="99" t="s">
        <v>2288</v>
      </c>
    </row>
    <row r="1046" spans="1:15" x14ac:dyDescent="0.25">
      <c r="A1046" s="98" t="s">
        <v>54</v>
      </c>
      <c r="B1046" s="98" t="s">
        <v>47</v>
      </c>
      <c r="C1046" s="98">
        <v>0</v>
      </c>
      <c r="D1046" s="98">
        <v>3.3000999999999999E-4</v>
      </c>
      <c r="E1046" s="98">
        <v>1.0000000000000001E-5</v>
      </c>
      <c r="F1046" s="98" t="s">
        <v>13</v>
      </c>
      <c r="G1046" s="98" t="s">
        <v>11</v>
      </c>
      <c r="H1046" s="98">
        <v>0.02</v>
      </c>
      <c r="I1046" s="98">
        <v>4.5010000000000001E-2</v>
      </c>
      <c r="J1046" s="98" t="s">
        <v>10</v>
      </c>
      <c r="K1046" s="98">
        <v>5.7723000000000004</v>
      </c>
      <c r="L1046" s="98">
        <v>128.02000000000001</v>
      </c>
      <c r="M1046" s="98">
        <v>5.7721999999999998</v>
      </c>
      <c r="N1046" s="98">
        <v>127.48</v>
      </c>
      <c r="O1046" s="99" t="s">
        <v>2751</v>
      </c>
    </row>
    <row r="1047" spans="1:15" x14ac:dyDescent="0.25">
      <c r="A1047" s="98" t="s">
        <v>54</v>
      </c>
      <c r="B1047" s="98" t="s">
        <v>47</v>
      </c>
      <c r="C1047" s="98">
        <v>0</v>
      </c>
      <c r="D1047" s="98">
        <v>3.3000999999999999E-4</v>
      </c>
      <c r="E1047" s="98">
        <v>1.0000000000000001E-5</v>
      </c>
      <c r="F1047" s="98" t="s">
        <v>13</v>
      </c>
      <c r="G1047" s="98" t="s">
        <v>11</v>
      </c>
      <c r="H1047" s="98">
        <v>30</v>
      </c>
      <c r="I1047" s="98">
        <v>30.1</v>
      </c>
      <c r="J1047" s="98" t="s">
        <v>10</v>
      </c>
      <c r="K1047" s="98">
        <v>5.5819999999999999</v>
      </c>
      <c r="L1047" s="98">
        <v>9564.6</v>
      </c>
      <c r="M1047" s="98">
        <v>5.5818000000000003</v>
      </c>
      <c r="N1047" s="98">
        <v>9564.1</v>
      </c>
      <c r="O1047" s="99" t="s">
        <v>2750</v>
      </c>
    </row>
    <row r="1048" spans="1:15" x14ac:dyDescent="0.25">
      <c r="A1048" s="98" t="s">
        <v>54</v>
      </c>
      <c r="B1048" s="98" t="s">
        <v>47</v>
      </c>
      <c r="C1048" s="98">
        <v>0</v>
      </c>
      <c r="D1048" s="98">
        <v>3.3000999999999999E-4</v>
      </c>
      <c r="E1048" s="98">
        <v>1.0000000000000001E-5</v>
      </c>
      <c r="F1048" s="98" t="s">
        <v>13</v>
      </c>
      <c r="G1048" s="98" t="s">
        <v>11</v>
      </c>
      <c r="H1048" s="98">
        <v>10</v>
      </c>
      <c r="I1048" s="98">
        <v>30</v>
      </c>
      <c r="J1048" s="98" t="s">
        <v>10</v>
      </c>
      <c r="K1048" s="98">
        <v>5.5819999999999999</v>
      </c>
      <c r="L1048" s="98">
        <v>9564.6</v>
      </c>
      <c r="M1048" s="98">
        <v>5.5818000000000003</v>
      </c>
      <c r="N1048" s="98">
        <v>9564.1</v>
      </c>
      <c r="O1048" s="99" t="s">
        <v>2286</v>
      </c>
    </row>
    <row r="1049" spans="1:15" x14ac:dyDescent="0.25">
      <c r="A1049" s="98" t="s">
        <v>54</v>
      </c>
      <c r="B1049" s="98" t="s">
        <v>47</v>
      </c>
      <c r="C1049" s="98">
        <v>0</v>
      </c>
      <c r="D1049" s="98">
        <v>3.3000999999999999E-4</v>
      </c>
      <c r="E1049" s="98">
        <v>1.0000000000000001E-5</v>
      </c>
      <c r="F1049" s="98" t="s">
        <v>13</v>
      </c>
      <c r="G1049" s="98" t="s">
        <v>11</v>
      </c>
      <c r="H1049" s="98">
        <v>1</v>
      </c>
      <c r="I1049" s="98">
        <v>5.01</v>
      </c>
      <c r="J1049" s="98" t="s">
        <v>10</v>
      </c>
      <c r="K1049" s="98">
        <v>5.7664999999999997</v>
      </c>
      <c r="L1049" s="98">
        <v>471.27</v>
      </c>
      <c r="M1049" s="98">
        <v>5.7664</v>
      </c>
      <c r="N1049" s="98">
        <v>470.74</v>
      </c>
      <c r="O1049" s="99" t="s">
        <v>2290</v>
      </c>
    </row>
    <row r="1050" spans="1:15" x14ac:dyDescent="0.25">
      <c r="A1050" s="98" t="s">
        <v>54</v>
      </c>
      <c r="B1050" s="98" t="s">
        <v>47</v>
      </c>
      <c r="C1050" s="98">
        <v>0</v>
      </c>
      <c r="D1050" s="98">
        <v>3.3000999999999999E-4</v>
      </c>
      <c r="E1050" s="98">
        <v>1.0000000000000001E-5</v>
      </c>
      <c r="F1050" s="98" t="s">
        <v>13</v>
      </c>
      <c r="G1050" s="98" t="s">
        <v>11</v>
      </c>
      <c r="H1050" s="98">
        <v>5</v>
      </c>
      <c r="I1050" s="98">
        <v>10.01</v>
      </c>
      <c r="J1050" s="98" t="s">
        <v>10</v>
      </c>
      <c r="K1050" s="98">
        <v>5.7138999999999998</v>
      </c>
      <c r="L1050" s="98">
        <v>2807.7</v>
      </c>
      <c r="M1050" s="98">
        <v>5.7137000000000002</v>
      </c>
      <c r="N1050" s="98">
        <v>2806.8</v>
      </c>
      <c r="O1050" s="99" t="s">
        <v>2287</v>
      </c>
    </row>
    <row r="1051" spans="1:15" x14ac:dyDescent="0.25">
      <c r="A1051" s="98" t="s">
        <v>54</v>
      </c>
      <c r="B1051" s="98" t="s">
        <v>47</v>
      </c>
      <c r="C1051" s="98">
        <v>0</v>
      </c>
      <c r="D1051" s="98">
        <v>3.3000999999999999E-4</v>
      </c>
      <c r="E1051" s="98">
        <v>1.0000000000000001E-5</v>
      </c>
      <c r="F1051" s="98" t="s">
        <v>13</v>
      </c>
      <c r="G1051" s="98" t="s">
        <v>11</v>
      </c>
      <c r="H1051" s="98">
        <v>4.4999999999999998E-2</v>
      </c>
      <c r="I1051" s="98">
        <v>1.0000100000000001</v>
      </c>
      <c r="J1051" s="98" t="s">
        <v>10</v>
      </c>
      <c r="K1051" s="98">
        <v>5.7731000000000003</v>
      </c>
      <c r="L1051" s="98">
        <v>93.963999999999999</v>
      </c>
      <c r="M1051" s="98">
        <v>5.7729999999999997</v>
      </c>
      <c r="N1051" s="98">
        <v>93.42</v>
      </c>
      <c r="O1051" s="99" t="s">
        <v>2289</v>
      </c>
    </row>
    <row r="1052" spans="1:15" x14ac:dyDescent="0.25">
      <c r="A1052" s="98" t="s">
        <v>54</v>
      </c>
      <c r="B1052" s="98" t="s">
        <v>47</v>
      </c>
      <c r="C1052" s="98">
        <v>0</v>
      </c>
      <c r="D1052" s="98">
        <v>3.3000999999999999E-4</v>
      </c>
      <c r="E1052" s="98">
        <v>1E-4</v>
      </c>
      <c r="F1052" s="98" t="s">
        <v>13</v>
      </c>
      <c r="G1052" s="98" t="s">
        <v>11</v>
      </c>
      <c r="H1052" s="98">
        <v>30</v>
      </c>
      <c r="I1052" s="98">
        <v>30.1</v>
      </c>
      <c r="J1052" s="98" t="s">
        <v>10</v>
      </c>
      <c r="K1052" s="98">
        <v>57.709000000000003</v>
      </c>
      <c r="L1052" s="98">
        <v>1205.5</v>
      </c>
      <c r="M1052" s="98">
        <v>57.709000000000003</v>
      </c>
      <c r="N1052" s="98">
        <v>1205.0999999999999</v>
      </c>
      <c r="O1052" s="99" t="s">
        <v>2752</v>
      </c>
    </row>
    <row r="1053" spans="1:15" x14ac:dyDescent="0.25">
      <c r="A1053" s="98" t="s">
        <v>54</v>
      </c>
      <c r="B1053" s="98" t="s">
        <v>47</v>
      </c>
      <c r="C1053" s="98">
        <v>0</v>
      </c>
      <c r="D1053" s="98">
        <v>3.3000999999999999E-4</v>
      </c>
      <c r="E1053" s="98">
        <v>1E-4</v>
      </c>
      <c r="F1053" s="98" t="s">
        <v>13</v>
      </c>
      <c r="G1053" s="98" t="s">
        <v>11</v>
      </c>
      <c r="H1053" s="98">
        <v>0.01</v>
      </c>
      <c r="I1053" s="98">
        <v>2.001E-2</v>
      </c>
      <c r="J1053" s="98" t="s">
        <v>10</v>
      </c>
      <c r="K1053" s="98">
        <v>58.024999999999999</v>
      </c>
      <c r="L1053" s="98">
        <v>-857.45</v>
      </c>
      <c r="M1053" s="98">
        <v>58.024999999999999</v>
      </c>
      <c r="N1053" s="98">
        <v>-857.67</v>
      </c>
      <c r="O1053" s="99" t="s">
        <v>2292</v>
      </c>
    </row>
    <row r="1054" spans="1:15" x14ac:dyDescent="0.25">
      <c r="A1054" s="98" t="s">
        <v>54</v>
      </c>
      <c r="B1054" s="98" t="s">
        <v>47</v>
      </c>
      <c r="C1054" s="98">
        <v>0</v>
      </c>
      <c r="D1054" s="98">
        <v>3.3000999999999999E-4</v>
      </c>
      <c r="E1054" s="98">
        <v>1E-4</v>
      </c>
      <c r="F1054" s="98" t="s">
        <v>13</v>
      </c>
      <c r="G1054" s="98" t="s">
        <v>11</v>
      </c>
      <c r="H1054" s="98">
        <v>0.02</v>
      </c>
      <c r="I1054" s="98">
        <v>4.5010000000000001E-2</v>
      </c>
      <c r="J1054" s="98" t="s">
        <v>10</v>
      </c>
      <c r="K1054" s="98">
        <v>57.734999999999999</v>
      </c>
      <c r="L1054" s="98">
        <v>13.015000000000001</v>
      </c>
      <c r="M1054" s="98">
        <v>57.734999999999999</v>
      </c>
      <c r="N1054" s="98">
        <v>12.795</v>
      </c>
      <c r="O1054" s="99" t="s">
        <v>2291</v>
      </c>
    </row>
    <row r="1055" spans="1:15" x14ac:dyDescent="0.25">
      <c r="A1055" s="98" t="s">
        <v>54</v>
      </c>
      <c r="B1055" s="98" t="s">
        <v>47</v>
      </c>
      <c r="C1055" s="98">
        <v>0</v>
      </c>
      <c r="D1055" s="98">
        <v>3.3000999999999999E-4</v>
      </c>
      <c r="E1055" s="98">
        <v>1E-4</v>
      </c>
      <c r="F1055" s="98" t="s">
        <v>13</v>
      </c>
      <c r="G1055" s="98" t="s">
        <v>11</v>
      </c>
      <c r="H1055" s="98">
        <v>1</v>
      </c>
      <c r="I1055" s="98">
        <v>5.01</v>
      </c>
      <c r="J1055" s="98" t="s">
        <v>10</v>
      </c>
      <c r="K1055" s="98">
        <v>57.734999999999999</v>
      </c>
      <c r="L1055" s="98">
        <v>47.917999999999999</v>
      </c>
      <c r="M1055" s="98">
        <v>57.734999999999999</v>
      </c>
      <c r="N1055" s="98">
        <v>47.698999999999998</v>
      </c>
      <c r="O1055" s="99" t="s">
        <v>2294</v>
      </c>
    </row>
    <row r="1056" spans="1:15" x14ac:dyDescent="0.25">
      <c r="A1056" s="98" t="s">
        <v>54</v>
      </c>
      <c r="B1056" s="98" t="s">
        <v>47</v>
      </c>
      <c r="C1056" s="98">
        <v>0</v>
      </c>
      <c r="D1056" s="98">
        <v>3.3000999999999999E-4</v>
      </c>
      <c r="E1056" s="98">
        <v>1E-4</v>
      </c>
      <c r="F1056" s="98" t="s">
        <v>13</v>
      </c>
      <c r="G1056" s="98" t="s">
        <v>11</v>
      </c>
      <c r="H1056" s="98">
        <v>4.4999999999999998E-2</v>
      </c>
      <c r="I1056" s="98">
        <v>1.0000100000000001</v>
      </c>
      <c r="J1056" s="98" t="s">
        <v>10</v>
      </c>
      <c r="K1056" s="98">
        <v>57.735999999999997</v>
      </c>
      <c r="L1056" s="98">
        <v>9.5875000000000004</v>
      </c>
      <c r="M1056" s="98">
        <v>57.734999999999999</v>
      </c>
      <c r="N1056" s="98">
        <v>9.3679000000000006</v>
      </c>
      <c r="O1056" s="99" t="s">
        <v>2293</v>
      </c>
    </row>
    <row r="1057" spans="1:15" x14ac:dyDescent="0.25">
      <c r="A1057" s="98" t="s">
        <v>54</v>
      </c>
      <c r="B1057" s="98" t="s">
        <v>47</v>
      </c>
      <c r="C1057" s="98">
        <v>0</v>
      </c>
      <c r="D1057" s="98">
        <v>3.3000999999999999E-4</v>
      </c>
      <c r="E1057" s="98">
        <v>1E-4</v>
      </c>
      <c r="F1057" s="98" t="s">
        <v>13</v>
      </c>
      <c r="G1057" s="98" t="s">
        <v>11</v>
      </c>
      <c r="H1057" s="98">
        <v>5</v>
      </c>
      <c r="I1057" s="98">
        <v>10.01</v>
      </c>
      <c r="J1057" s="98" t="s">
        <v>10</v>
      </c>
      <c r="K1057" s="98">
        <v>57.728999999999999</v>
      </c>
      <c r="L1057" s="98">
        <v>302.48</v>
      </c>
      <c r="M1057" s="98">
        <v>57.728999999999999</v>
      </c>
      <c r="N1057" s="98">
        <v>302.01</v>
      </c>
      <c r="O1057" s="99" t="s">
        <v>2295</v>
      </c>
    </row>
    <row r="1058" spans="1:15" x14ac:dyDescent="0.25">
      <c r="A1058" s="98" t="s">
        <v>54</v>
      </c>
      <c r="B1058" s="98" t="s">
        <v>47</v>
      </c>
      <c r="C1058" s="98">
        <v>0</v>
      </c>
      <c r="D1058" s="98">
        <v>3.3000999999999999E-4</v>
      </c>
      <c r="E1058" s="98">
        <v>1E-4</v>
      </c>
      <c r="F1058" s="98" t="s">
        <v>13</v>
      </c>
      <c r="G1058" s="98" t="s">
        <v>11</v>
      </c>
      <c r="H1058" s="98">
        <v>10</v>
      </c>
      <c r="I1058" s="98">
        <v>30</v>
      </c>
      <c r="J1058" s="98" t="s">
        <v>10</v>
      </c>
      <c r="K1058" s="98">
        <v>57.709000000000003</v>
      </c>
      <c r="L1058" s="98">
        <v>1205.5</v>
      </c>
      <c r="M1058" s="98">
        <v>57.709000000000003</v>
      </c>
      <c r="N1058" s="98">
        <v>1205.0999999999999</v>
      </c>
      <c r="O1058" s="99" t="s">
        <v>2296</v>
      </c>
    </row>
    <row r="1059" spans="1:15" x14ac:dyDescent="0.25">
      <c r="A1059" s="98" t="s">
        <v>54</v>
      </c>
      <c r="B1059" s="98" t="s">
        <v>47</v>
      </c>
      <c r="C1059" s="98">
        <v>0</v>
      </c>
      <c r="D1059" s="98">
        <v>3.3000999999999999E-4</v>
      </c>
      <c r="E1059" s="98">
        <v>1E-3</v>
      </c>
      <c r="F1059" s="98" t="s">
        <v>13</v>
      </c>
      <c r="G1059" s="98" t="s">
        <v>11</v>
      </c>
      <c r="H1059" s="98">
        <v>30</v>
      </c>
      <c r="I1059" s="98">
        <v>30.1</v>
      </c>
      <c r="J1059" s="98" t="s">
        <v>10</v>
      </c>
      <c r="K1059" s="98">
        <v>577.35</v>
      </c>
      <c r="L1059" s="98">
        <v>121.09</v>
      </c>
      <c r="M1059" s="98">
        <v>577.32000000000005</v>
      </c>
      <c r="N1059" s="98">
        <v>120.9</v>
      </c>
      <c r="O1059" s="99" t="s">
        <v>2297</v>
      </c>
    </row>
    <row r="1060" spans="1:15" x14ac:dyDescent="0.25">
      <c r="A1060" s="98" t="s">
        <v>54</v>
      </c>
      <c r="B1060" s="98" t="s">
        <v>47</v>
      </c>
      <c r="C1060" s="98">
        <v>0</v>
      </c>
      <c r="D1060" s="98">
        <v>3.3000999999999999E-4</v>
      </c>
      <c r="E1060" s="98">
        <v>1E-3</v>
      </c>
      <c r="F1060" s="98" t="s">
        <v>13</v>
      </c>
      <c r="G1060" s="98" t="s">
        <v>11</v>
      </c>
      <c r="H1060" s="98">
        <v>0.01</v>
      </c>
      <c r="I1060" s="98">
        <v>2.001E-2</v>
      </c>
      <c r="J1060" s="98" t="s">
        <v>10</v>
      </c>
      <c r="K1060" s="98">
        <v>580.26</v>
      </c>
      <c r="L1060" s="98">
        <v>-8787.4</v>
      </c>
      <c r="M1060" s="98">
        <v>580.03</v>
      </c>
      <c r="N1060" s="98">
        <v>-8787.5</v>
      </c>
      <c r="O1060" s="99" t="s">
        <v>2300</v>
      </c>
    </row>
    <row r="1061" spans="1:15" x14ac:dyDescent="0.25">
      <c r="A1061" s="98" t="s">
        <v>54</v>
      </c>
      <c r="B1061" s="98" t="s">
        <v>47</v>
      </c>
      <c r="C1061" s="98">
        <v>0</v>
      </c>
      <c r="D1061" s="98">
        <v>3.3000999999999999E-4</v>
      </c>
      <c r="E1061" s="98">
        <v>1E-3</v>
      </c>
      <c r="F1061" s="98" t="s">
        <v>13</v>
      </c>
      <c r="G1061" s="98" t="s">
        <v>11</v>
      </c>
      <c r="H1061" s="98">
        <v>0.02</v>
      </c>
      <c r="I1061" s="98">
        <v>4.5010000000000001E-2</v>
      </c>
      <c r="J1061" s="98" t="s">
        <v>10</v>
      </c>
      <c r="K1061" s="98">
        <v>577.36</v>
      </c>
      <c r="L1061" s="98">
        <v>1.3673999999999999</v>
      </c>
      <c r="M1061" s="98">
        <v>577.35</v>
      </c>
      <c r="N1061" s="98">
        <v>1.2795000000000001</v>
      </c>
      <c r="O1061" s="99" t="s">
        <v>2301</v>
      </c>
    </row>
    <row r="1062" spans="1:15" x14ac:dyDescent="0.25">
      <c r="A1062" s="98" t="s">
        <v>54</v>
      </c>
      <c r="B1062" s="98" t="s">
        <v>47</v>
      </c>
      <c r="C1062" s="98">
        <v>0</v>
      </c>
      <c r="D1062" s="98">
        <v>3.3000999999999999E-4</v>
      </c>
      <c r="E1062" s="98">
        <v>1E-3</v>
      </c>
      <c r="F1062" s="98" t="s">
        <v>13</v>
      </c>
      <c r="G1062" s="98" t="s">
        <v>11</v>
      </c>
      <c r="H1062" s="98">
        <v>1</v>
      </c>
      <c r="I1062" s="98">
        <v>5.01</v>
      </c>
      <c r="J1062" s="98" t="s">
        <v>10</v>
      </c>
      <c r="K1062" s="98">
        <v>577.36</v>
      </c>
      <c r="L1062" s="98">
        <v>4.8582999999999998</v>
      </c>
      <c r="M1062" s="98">
        <v>577.35</v>
      </c>
      <c r="N1062" s="98">
        <v>4.7705000000000002</v>
      </c>
      <c r="O1062" s="99" t="s">
        <v>2753</v>
      </c>
    </row>
    <row r="1063" spans="1:15" x14ac:dyDescent="0.25">
      <c r="A1063" s="98" t="s">
        <v>54</v>
      </c>
      <c r="B1063" s="98" t="s">
        <v>47</v>
      </c>
      <c r="C1063" s="98">
        <v>0</v>
      </c>
      <c r="D1063" s="98">
        <v>3.3000999999999999E-4</v>
      </c>
      <c r="E1063" s="98">
        <v>1E-3</v>
      </c>
      <c r="F1063" s="98" t="s">
        <v>13</v>
      </c>
      <c r="G1063" s="98" t="s">
        <v>11</v>
      </c>
      <c r="H1063" s="98">
        <v>5</v>
      </c>
      <c r="I1063" s="98">
        <v>10.01</v>
      </c>
      <c r="J1063" s="98" t="s">
        <v>10</v>
      </c>
      <c r="K1063" s="98">
        <v>577.35</v>
      </c>
      <c r="L1063" s="98">
        <v>30.413</v>
      </c>
      <c r="M1063" s="98">
        <v>577.35</v>
      </c>
      <c r="N1063" s="98">
        <v>30.225999999999999</v>
      </c>
      <c r="O1063" s="99" t="s">
        <v>2298</v>
      </c>
    </row>
    <row r="1064" spans="1:15" x14ac:dyDescent="0.25">
      <c r="A1064" s="98" t="s">
        <v>54</v>
      </c>
      <c r="B1064" s="98" t="s">
        <v>47</v>
      </c>
      <c r="C1064" s="98">
        <v>0</v>
      </c>
      <c r="D1064" s="98">
        <v>3.3000999999999999E-4</v>
      </c>
      <c r="E1064" s="98">
        <v>1E-3</v>
      </c>
      <c r="F1064" s="98" t="s">
        <v>13</v>
      </c>
      <c r="G1064" s="98" t="s">
        <v>11</v>
      </c>
      <c r="H1064" s="98">
        <v>4.4999999999999998E-2</v>
      </c>
      <c r="I1064" s="98">
        <v>1.0000100000000001</v>
      </c>
      <c r="J1064" s="98" t="s">
        <v>10</v>
      </c>
      <c r="K1064" s="98">
        <v>577.36</v>
      </c>
      <c r="L1064" s="98">
        <v>1.0246</v>
      </c>
      <c r="M1064" s="98">
        <v>577.36</v>
      </c>
      <c r="N1064" s="98">
        <v>0.93681999999999999</v>
      </c>
      <c r="O1064" s="99" t="s">
        <v>2754</v>
      </c>
    </row>
    <row r="1065" spans="1:15" x14ac:dyDescent="0.25">
      <c r="A1065" s="98" t="s">
        <v>54</v>
      </c>
      <c r="B1065" s="98" t="s">
        <v>47</v>
      </c>
      <c r="C1065" s="98">
        <v>0</v>
      </c>
      <c r="D1065" s="98">
        <v>3.3000999999999999E-4</v>
      </c>
      <c r="E1065" s="98">
        <v>1E-3</v>
      </c>
      <c r="F1065" s="98" t="s">
        <v>13</v>
      </c>
      <c r="G1065" s="98" t="s">
        <v>11</v>
      </c>
      <c r="H1065" s="98">
        <v>10</v>
      </c>
      <c r="I1065" s="98">
        <v>30</v>
      </c>
      <c r="J1065" s="98" t="s">
        <v>10</v>
      </c>
      <c r="K1065" s="98">
        <v>577.35</v>
      </c>
      <c r="L1065" s="98">
        <v>121.09</v>
      </c>
      <c r="M1065" s="98">
        <v>577.32000000000005</v>
      </c>
      <c r="N1065" s="98">
        <v>120.9</v>
      </c>
      <c r="O1065" s="99" t="s">
        <v>2299</v>
      </c>
    </row>
    <row r="1066" spans="1:15" x14ac:dyDescent="0.25">
      <c r="A1066" s="98" t="s">
        <v>54</v>
      </c>
      <c r="B1066" s="98" t="s">
        <v>47</v>
      </c>
      <c r="C1066" s="98">
        <v>0</v>
      </c>
      <c r="D1066" s="98">
        <v>3.3000999999999999E-4</v>
      </c>
      <c r="E1066" s="98">
        <v>0.01</v>
      </c>
      <c r="F1066" s="98" t="s">
        <v>13</v>
      </c>
      <c r="G1066" s="98" t="s">
        <v>11</v>
      </c>
      <c r="H1066" s="98">
        <v>30</v>
      </c>
      <c r="I1066" s="98">
        <v>30.1</v>
      </c>
      <c r="J1066" s="98" t="s">
        <v>10</v>
      </c>
      <c r="K1066" s="98">
        <v>5773.6</v>
      </c>
      <c r="L1066" s="98">
        <v>12.164999999999999</v>
      </c>
      <c r="M1066" s="98">
        <v>5773.5</v>
      </c>
      <c r="N1066" s="98">
        <v>12.09</v>
      </c>
      <c r="O1066" s="99" t="s">
        <v>2305</v>
      </c>
    </row>
    <row r="1067" spans="1:15" x14ac:dyDescent="0.25">
      <c r="A1067" s="98" t="s">
        <v>54</v>
      </c>
      <c r="B1067" s="98" t="s">
        <v>47</v>
      </c>
      <c r="C1067" s="98">
        <v>0</v>
      </c>
      <c r="D1067" s="98">
        <v>3.3000999999999999E-4</v>
      </c>
      <c r="E1067" s="98">
        <v>0.01</v>
      </c>
      <c r="F1067" s="98" t="s">
        <v>13</v>
      </c>
      <c r="G1067" s="98" t="s">
        <v>11</v>
      </c>
      <c r="H1067" s="98">
        <v>1</v>
      </c>
      <c r="I1067" s="98">
        <v>5.01</v>
      </c>
      <c r="J1067" s="98" t="s">
        <v>10</v>
      </c>
      <c r="K1067" s="98">
        <v>5773.6</v>
      </c>
      <c r="L1067" s="98">
        <v>0.51217999999999997</v>
      </c>
      <c r="M1067" s="98">
        <v>5773.6</v>
      </c>
      <c r="N1067" s="98">
        <v>0.47704999999999997</v>
      </c>
      <c r="O1067" s="99" t="s">
        <v>2757</v>
      </c>
    </row>
    <row r="1068" spans="1:15" x14ac:dyDescent="0.25">
      <c r="A1068" s="98" t="s">
        <v>54</v>
      </c>
      <c r="B1068" s="98" t="s">
        <v>47</v>
      </c>
      <c r="C1068" s="98">
        <v>0</v>
      </c>
      <c r="D1068" s="98">
        <v>3.3000999999999999E-4</v>
      </c>
      <c r="E1068" s="98">
        <v>0.01</v>
      </c>
      <c r="F1068" s="98" t="s">
        <v>13</v>
      </c>
      <c r="G1068" s="98" t="s">
        <v>11</v>
      </c>
      <c r="H1068" s="98">
        <v>0.01</v>
      </c>
      <c r="I1068" s="98">
        <v>2.001E-2</v>
      </c>
      <c r="J1068" s="98" t="s">
        <v>10</v>
      </c>
      <c r="K1068" s="98">
        <v>5802.6</v>
      </c>
      <c r="L1068" s="98">
        <v>-87896</v>
      </c>
      <c r="M1068" s="98">
        <v>5800</v>
      </c>
      <c r="N1068" s="98">
        <v>-87896</v>
      </c>
      <c r="O1068" s="99" t="s">
        <v>2303</v>
      </c>
    </row>
    <row r="1069" spans="1:15" x14ac:dyDescent="0.25">
      <c r="A1069" s="98" t="s">
        <v>54</v>
      </c>
      <c r="B1069" s="98" t="s">
        <v>47</v>
      </c>
      <c r="C1069" s="98">
        <v>0</v>
      </c>
      <c r="D1069" s="98">
        <v>3.3000999999999999E-4</v>
      </c>
      <c r="E1069" s="98">
        <v>0.01</v>
      </c>
      <c r="F1069" s="98" t="s">
        <v>13</v>
      </c>
      <c r="G1069" s="98" t="s">
        <v>11</v>
      </c>
      <c r="H1069" s="98">
        <v>10</v>
      </c>
      <c r="I1069" s="98">
        <v>30</v>
      </c>
      <c r="J1069" s="98" t="s">
        <v>10</v>
      </c>
      <c r="K1069" s="98">
        <v>5773.6</v>
      </c>
      <c r="L1069" s="98">
        <v>12.164999999999999</v>
      </c>
      <c r="M1069" s="98">
        <v>5773.5</v>
      </c>
      <c r="N1069" s="98">
        <v>12.09</v>
      </c>
      <c r="O1069" s="99" t="s">
        <v>2756</v>
      </c>
    </row>
    <row r="1070" spans="1:15" x14ac:dyDescent="0.25">
      <c r="A1070" s="98" t="s">
        <v>54</v>
      </c>
      <c r="B1070" s="98" t="s">
        <v>47</v>
      </c>
      <c r="C1070" s="98">
        <v>0</v>
      </c>
      <c r="D1070" s="98">
        <v>3.3000999999999999E-4</v>
      </c>
      <c r="E1070" s="98">
        <v>0.01</v>
      </c>
      <c r="F1070" s="98" t="s">
        <v>13</v>
      </c>
      <c r="G1070" s="98" t="s">
        <v>11</v>
      </c>
      <c r="H1070" s="98">
        <v>0.02</v>
      </c>
      <c r="I1070" s="98">
        <v>4.5010000000000001E-2</v>
      </c>
      <c r="J1070" s="98" t="s">
        <v>10</v>
      </c>
      <c r="K1070" s="98">
        <v>5773.6</v>
      </c>
      <c r="L1070" s="98">
        <v>0.16308</v>
      </c>
      <c r="M1070" s="98">
        <v>5773.6</v>
      </c>
      <c r="N1070" s="98">
        <v>0.12795999999999999</v>
      </c>
      <c r="O1070" s="99" t="s">
        <v>2304</v>
      </c>
    </row>
    <row r="1071" spans="1:15" x14ac:dyDescent="0.25">
      <c r="A1071" s="98" t="s">
        <v>54</v>
      </c>
      <c r="B1071" s="98" t="s">
        <v>47</v>
      </c>
      <c r="C1071" s="98">
        <v>0</v>
      </c>
      <c r="D1071" s="98">
        <v>3.3000999999999999E-4</v>
      </c>
      <c r="E1071" s="98">
        <v>0.01</v>
      </c>
      <c r="F1071" s="98" t="s">
        <v>13</v>
      </c>
      <c r="G1071" s="98" t="s">
        <v>11</v>
      </c>
      <c r="H1071" s="98">
        <v>4.4999999999999998E-2</v>
      </c>
      <c r="I1071" s="98">
        <v>1.0000100000000001</v>
      </c>
      <c r="J1071" s="98" t="s">
        <v>10</v>
      </c>
      <c r="K1071" s="98">
        <v>5773.6</v>
      </c>
      <c r="L1071" s="98">
        <v>0.12881000000000001</v>
      </c>
      <c r="M1071" s="98">
        <v>5773.6</v>
      </c>
      <c r="N1071" s="98">
        <v>9.3682000000000001E-2</v>
      </c>
      <c r="O1071" s="99" t="s">
        <v>2755</v>
      </c>
    </row>
    <row r="1072" spans="1:15" x14ac:dyDescent="0.25">
      <c r="A1072" s="98" t="s">
        <v>54</v>
      </c>
      <c r="B1072" s="98" t="s">
        <v>47</v>
      </c>
      <c r="C1072" s="98">
        <v>0</v>
      </c>
      <c r="D1072" s="98">
        <v>3.3000999999999999E-4</v>
      </c>
      <c r="E1072" s="98">
        <v>0.01</v>
      </c>
      <c r="F1072" s="98" t="s">
        <v>13</v>
      </c>
      <c r="G1072" s="98" t="s">
        <v>11</v>
      </c>
      <c r="H1072" s="98">
        <v>5</v>
      </c>
      <c r="I1072" s="98">
        <v>10.01</v>
      </c>
      <c r="J1072" s="98" t="s">
        <v>10</v>
      </c>
      <c r="K1072" s="98">
        <v>5773.6</v>
      </c>
      <c r="L1072" s="98">
        <v>3.0975999999999999</v>
      </c>
      <c r="M1072" s="98">
        <v>5773.5</v>
      </c>
      <c r="N1072" s="98">
        <v>3.0226000000000002</v>
      </c>
      <c r="O1072" s="99" t="s">
        <v>2302</v>
      </c>
    </row>
    <row r="1073" spans="1:15" x14ac:dyDescent="0.25">
      <c r="A1073" s="98" t="s">
        <v>54</v>
      </c>
      <c r="B1073" s="98" t="s">
        <v>47</v>
      </c>
      <c r="C1073" s="98">
        <v>0</v>
      </c>
      <c r="D1073" s="98">
        <v>3.3000999999999999E-4</v>
      </c>
      <c r="E1073" s="98">
        <v>0.1</v>
      </c>
      <c r="F1073" s="98" t="s">
        <v>13</v>
      </c>
      <c r="G1073" s="98" t="s">
        <v>11</v>
      </c>
      <c r="H1073" s="98">
        <v>1</v>
      </c>
      <c r="I1073" s="98">
        <v>5.01</v>
      </c>
      <c r="J1073" s="98" t="s">
        <v>10</v>
      </c>
      <c r="K1073" s="98">
        <v>57736</v>
      </c>
      <c r="L1073" s="98">
        <v>6.1755999999999998E-2</v>
      </c>
      <c r="M1073" s="98">
        <v>57736</v>
      </c>
      <c r="N1073" s="98">
        <v>4.7704999999999997E-2</v>
      </c>
      <c r="O1073" s="99" t="s">
        <v>2758</v>
      </c>
    </row>
    <row r="1074" spans="1:15" x14ac:dyDescent="0.25">
      <c r="A1074" s="98" t="s">
        <v>54</v>
      </c>
      <c r="B1074" s="98" t="s">
        <v>47</v>
      </c>
      <c r="C1074" s="98">
        <v>0</v>
      </c>
      <c r="D1074" s="98">
        <v>3.3000999999999999E-4</v>
      </c>
      <c r="E1074" s="98">
        <v>0.1</v>
      </c>
      <c r="F1074" s="98" t="s">
        <v>13</v>
      </c>
      <c r="G1074" s="98" t="s">
        <v>11</v>
      </c>
      <c r="H1074" s="98">
        <v>30</v>
      </c>
      <c r="I1074" s="98">
        <v>30.1</v>
      </c>
      <c r="J1074" s="98" t="s">
        <v>10</v>
      </c>
      <c r="K1074" s="98">
        <v>57736</v>
      </c>
      <c r="L1074" s="98">
        <v>1.2390000000000001</v>
      </c>
      <c r="M1074" s="98">
        <v>57735</v>
      </c>
      <c r="N1074" s="98">
        <v>1.2090000000000001</v>
      </c>
      <c r="O1074" s="99" t="s">
        <v>2309</v>
      </c>
    </row>
    <row r="1075" spans="1:15" x14ac:dyDescent="0.25">
      <c r="A1075" s="98" t="s">
        <v>54</v>
      </c>
      <c r="B1075" s="98" t="s">
        <v>47</v>
      </c>
      <c r="C1075" s="98">
        <v>0</v>
      </c>
      <c r="D1075" s="98">
        <v>3.3000999999999999E-4</v>
      </c>
      <c r="E1075" s="98">
        <v>0.1</v>
      </c>
      <c r="F1075" s="98" t="s">
        <v>13</v>
      </c>
      <c r="G1075" s="98" t="s">
        <v>11</v>
      </c>
      <c r="H1075" s="98">
        <v>0.01</v>
      </c>
      <c r="I1075" s="98">
        <v>2.001E-2</v>
      </c>
      <c r="J1075" s="98" t="s">
        <v>10</v>
      </c>
      <c r="K1075" s="98">
        <v>58026</v>
      </c>
      <c r="L1075" s="98">
        <v>-878960</v>
      </c>
      <c r="M1075" s="98">
        <v>58000</v>
      </c>
      <c r="N1075" s="98">
        <v>-878960</v>
      </c>
      <c r="O1075" s="99" t="s">
        <v>2306</v>
      </c>
    </row>
    <row r="1076" spans="1:15" x14ac:dyDescent="0.25">
      <c r="A1076" s="98" t="s">
        <v>54</v>
      </c>
      <c r="B1076" s="98" t="s">
        <v>47</v>
      </c>
      <c r="C1076" s="98">
        <v>0</v>
      </c>
      <c r="D1076" s="98">
        <v>3.3000999999999999E-4</v>
      </c>
      <c r="E1076" s="98">
        <v>0.1</v>
      </c>
      <c r="F1076" s="98" t="s">
        <v>13</v>
      </c>
      <c r="G1076" s="98" t="s">
        <v>11</v>
      </c>
      <c r="H1076" s="98">
        <v>10</v>
      </c>
      <c r="I1076" s="98">
        <v>30</v>
      </c>
      <c r="J1076" s="98" t="s">
        <v>10</v>
      </c>
      <c r="K1076" s="98">
        <v>57736</v>
      </c>
      <c r="L1076" s="98">
        <v>1.2390000000000001</v>
      </c>
      <c r="M1076" s="98">
        <v>57735</v>
      </c>
      <c r="N1076" s="98">
        <v>1.2090000000000001</v>
      </c>
      <c r="O1076" s="99" t="s">
        <v>2307</v>
      </c>
    </row>
    <row r="1077" spans="1:15" x14ac:dyDescent="0.25">
      <c r="A1077" s="98" t="s">
        <v>54</v>
      </c>
      <c r="B1077" s="98" t="s">
        <v>47</v>
      </c>
      <c r="C1077" s="98">
        <v>0</v>
      </c>
      <c r="D1077" s="98">
        <v>3.3000999999999999E-4</v>
      </c>
      <c r="E1077" s="98">
        <v>0.1</v>
      </c>
      <c r="F1077" s="98" t="s">
        <v>13</v>
      </c>
      <c r="G1077" s="98" t="s">
        <v>11</v>
      </c>
      <c r="H1077" s="98">
        <v>5</v>
      </c>
      <c r="I1077" s="98">
        <v>10.01</v>
      </c>
      <c r="J1077" s="98" t="s">
        <v>10</v>
      </c>
      <c r="K1077" s="98">
        <v>57736</v>
      </c>
      <c r="L1077" s="98">
        <v>0.33223999999999998</v>
      </c>
      <c r="M1077" s="98">
        <v>57736</v>
      </c>
      <c r="N1077" s="98">
        <v>0.30225999999999997</v>
      </c>
      <c r="O1077" s="99" t="s">
        <v>2308</v>
      </c>
    </row>
    <row r="1078" spans="1:15" x14ac:dyDescent="0.25">
      <c r="A1078" s="98" t="s">
        <v>54</v>
      </c>
      <c r="B1078" s="98" t="s">
        <v>47</v>
      </c>
      <c r="C1078" s="98">
        <v>0</v>
      </c>
      <c r="D1078" s="98">
        <v>3.3000999999999999E-4</v>
      </c>
      <c r="E1078" s="98">
        <v>0.1</v>
      </c>
      <c r="F1078" s="98" t="s">
        <v>13</v>
      </c>
      <c r="G1078" s="98" t="s">
        <v>11</v>
      </c>
      <c r="H1078" s="98">
        <v>4.4999999999999998E-2</v>
      </c>
      <c r="I1078" s="98">
        <v>1.0000100000000001</v>
      </c>
      <c r="J1078" s="98" t="s">
        <v>10</v>
      </c>
      <c r="K1078" s="98">
        <v>57736</v>
      </c>
      <c r="L1078" s="98">
        <v>2.342E-2</v>
      </c>
      <c r="M1078" s="98">
        <v>57736</v>
      </c>
      <c r="N1078" s="98">
        <v>9.3682000000000001E-3</v>
      </c>
      <c r="O1078" s="99" t="s">
        <v>2310</v>
      </c>
    </row>
    <row r="1079" spans="1:15" x14ac:dyDescent="0.25">
      <c r="A1079" s="98" t="s">
        <v>54</v>
      </c>
      <c r="B1079" s="98" t="s">
        <v>47</v>
      </c>
      <c r="C1079" s="98">
        <v>0</v>
      </c>
      <c r="D1079" s="98">
        <v>3.3000999999999999E-4</v>
      </c>
      <c r="E1079" s="98">
        <v>0.1</v>
      </c>
      <c r="F1079" s="98" t="s">
        <v>13</v>
      </c>
      <c r="G1079" s="98" t="s">
        <v>11</v>
      </c>
      <c r="H1079" s="98">
        <v>0.02</v>
      </c>
      <c r="I1079" s="98">
        <v>4.5010000000000001E-2</v>
      </c>
      <c r="J1079" s="98" t="s">
        <v>10</v>
      </c>
      <c r="K1079" s="98">
        <v>57736</v>
      </c>
      <c r="L1079" s="98">
        <v>2.6846999999999999E-2</v>
      </c>
      <c r="M1079" s="98">
        <v>57736</v>
      </c>
      <c r="N1079" s="98">
        <v>1.2796E-2</v>
      </c>
      <c r="O1079" s="99" t="s">
        <v>2311</v>
      </c>
    </row>
    <row r="1080" spans="1:15" x14ac:dyDescent="0.25">
      <c r="A1080" s="98" t="s">
        <v>54</v>
      </c>
      <c r="B1080" s="98" t="s">
        <v>47</v>
      </c>
      <c r="C1080" s="98">
        <v>0</v>
      </c>
      <c r="D1080" s="98">
        <v>3.3000999999999999E-4</v>
      </c>
      <c r="E1080" s="98">
        <v>1</v>
      </c>
      <c r="F1080" s="98" t="s">
        <v>13</v>
      </c>
      <c r="G1080" s="98" t="s">
        <v>11</v>
      </c>
      <c r="H1080" s="98">
        <v>4.4999999999999998E-2</v>
      </c>
      <c r="I1080" s="98">
        <v>1.0000100000000001</v>
      </c>
      <c r="J1080" s="98" t="s">
        <v>10</v>
      </c>
      <c r="K1080" s="98">
        <v>577360</v>
      </c>
      <c r="L1080" s="98">
        <v>6.5572E-3</v>
      </c>
      <c r="M1080" s="98">
        <v>577360</v>
      </c>
      <c r="N1080" s="98">
        <v>9.3674000000000003E-4</v>
      </c>
      <c r="O1080" s="99" t="s">
        <v>2317</v>
      </c>
    </row>
    <row r="1081" spans="1:15" x14ac:dyDescent="0.25">
      <c r="A1081" s="98" t="s">
        <v>54</v>
      </c>
      <c r="B1081" s="98" t="s">
        <v>47</v>
      </c>
      <c r="C1081" s="98">
        <v>0</v>
      </c>
      <c r="D1081" s="98">
        <v>3.3000999999999999E-4</v>
      </c>
      <c r="E1081" s="98">
        <v>1</v>
      </c>
      <c r="F1081" s="98" t="s">
        <v>13</v>
      </c>
      <c r="G1081" s="98" t="s">
        <v>11</v>
      </c>
      <c r="H1081" s="98">
        <v>5</v>
      </c>
      <c r="I1081" s="98">
        <v>10.01</v>
      </c>
      <c r="J1081" s="98" t="s">
        <v>10</v>
      </c>
      <c r="K1081" s="98">
        <v>577360</v>
      </c>
      <c r="L1081" s="98">
        <v>4.2220000000000001E-2</v>
      </c>
      <c r="M1081" s="98">
        <v>577360</v>
      </c>
      <c r="N1081" s="98">
        <v>3.0225999999999999E-2</v>
      </c>
      <c r="O1081" s="99" t="s">
        <v>2316</v>
      </c>
    </row>
    <row r="1082" spans="1:15" x14ac:dyDescent="0.25">
      <c r="A1082" s="98" t="s">
        <v>54</v>
      </c>
      <c r="B1082" s="98" t="s">
        <v>47</v>
      </c>
      <c r="C1082" s="98">
        <v>0</v>
      </c>
      <c r="D1082" s="98">
        <v>3.3000999999999999E-4</v>
      </c>
      <c r="E1082" s="98">
        <v>1</v>
      </c>
      <c r="F1082" s="98" t="s">
        <v>13</v>
      </c>
      <c r="G1082" s="98" t="s">
        <v>11</v>
      </c>
      <c r="H1082" s="98">
        <v>30</v>
      </c>
      <c r="I1082" s="98">
        <v>30.1</v>
      </c>
      <c r="J1082" s="98" t="s">
        <v>10</v>
      </c>
      <c r="K1082" s="98">
        <v>577360</v>
      </c>
      <c r="L1082" s="98">
        <v>0.13289999999999999</v>
      </c>
      <c r="M1082" s="98">
        <v>577360</v>
      </c>
      <c r="N1082" s="98">
        <v>0.12089999999999999</v>
      </c>
      <c r="O1082" s="99" t="s">
        <v>2315</v>
      </c>
    </row>
    <row r="1083" spans="1:15" x14ac:dyDescent="0.25">
      <c r="A1083" s="98" t="s">
        <v>54</v>
      </c>
      <c r="B1083" s="98" t="s">
        <v>47</v>
      </c>
      <c r="C1083" s="98">
        <v>0</v>
      </c>
      <c r="D1083" s="98">
        <v>3.3000999999999999E-4</v>
      </c>
      <c r="E1083" s="98">
        <v>1</v>
      </c>
      <c r="F1083" s="98" t="s">
        <v>13</v>
      </c>
      <c r="G1083" s="98" t="s">
        <v>11</v>
      </c>
      <c r="H1083" s="98">
        <v>10</v>
      </c>
      <c r="I1083" s="98">
        <v>30</v>
      </c>
      <c r="J1083" s="98" t="s">
        <v>10</v>
      </c>
      <c r="K1083" s="98">
        <v>577360</v>
      </c>
      <c r="L1083" s="98">
        <v>0.13289999999999999</v>
      </c>
      <c r="M1083" s="98">
        <v>577360</v>
      </c>
      <c r="N1083" s="98">
        <v>0.12089999999999999</v>
      </c>
      <c r="O1083" s="99" t="s">
        <v>2312</v>
      </c>
    </row>
    <row r="1084" spans="1:15" x14ac:dyDescent="0.25">
      <c r="A1084" s="98" t="s">
        <v>54</v>
      </c>
      <c r="B1084" s="98" t="s">
        <v>47</v>
      </c>
      <c r="C1084" s="98">
        <v>0</v>
      </c>
      <c r="D1084" s="98">
        <v>3.3000999999999999E-4</v>
      </c>
      <c r="E1084" s="98">
        <v>1</v>
      </c>
      <c r="F1084" s="98" t="s">
        <v>13</v>
      </c>
      <c r="G1084" s="98" t="s">
        <v>11</v>
      </c>
      <c r="H1084" s="98">
        <v>1</v>
      </c>
      <c r="I1084" s="98">
        <v>5.01</v>
      </c>
      <c r="J1084" s="98" t="s">
        <v>10</v>
      </c>
      <c r="K1084" s="98">
        <v>577360</v>
      </c>
      <c r="L1084" s="98">
        <v>1.0390999999999999E-2</v>
      </c>
      <c r="M1084" s="98">
        <v>577360</v>
      </c>
      <c r="N1084" s="98">
        <v>4.7702999999999999E-3</v>
      </c>
      <c r="O1084" s="99" t="s">
        <v>2314</v>
      </c>
    </row>
    <row r="1085" spans="1:15" x14ac:dyDescent="0.25">
      <c r="A1085" s="98" t="s">
        <v>54</v>
      </c>
      <c r="B1085" s="98" t="s">
        <v>47</v>
      </c>
      <c r="C1085" s="98">
        <v>0</v>
      </c>
      <c r="D1085" s="98">
        <v>3.3000999999999999E-4</v>
      </c>
      <c r="E1085" s="98">
        <v>1</v>
      </c>
      <c r="F1085" s="98" t="s">
        <v>13</v>
      </c>
      <c r="G1085" s="98" t="s">
        <v>11</v>
      </c>
      <c r="H1085" s="98">
        <v>0.02</v>
      </c>
      <c r="I1085" s="98">
        <v>4.5010000000000001E-2</v>
      </c>
      <c r="J1085" s="98" t="s">
        <v>10</v>
      </c>
      <c r="K1085" s="98">
        <v>577360</v>
      </c>
      <c r="L1085" s="98">
        <v>6.8998000000000002E-3</v>
      </c>
      <c r="M1085" s="98">
        <v>577360</v>
      </c>
      <c r="N1085" s="98">
        <v>1.2794E-3</v>
      </c>
      <c r="O1085" s="99" t="s">
        <v>2759</v>
      </c>
    </row>
    <row r="1086" spans="1:15" x14ac:dyDescent="0.25">
      <c r="A1086" s="98" t="s">
        <v>54</v>
      </c>
      <c r="B1086" s="98" t="s">
        <v>47</v>
      </c>
      <c r="C1086" s="98">
        <v>0</v>
      </c>
      <c r="D1086" s="98">
        <v>3.3000999999999999E-4</v>
      </c>
      <c r="E1086" s="98">
        <v>1</v>
      </c>
      <c r="F1086" s="98" t="s">
        <v>13</v>
      </c>
      <c r="G1086" s="98" t="s">
        <v>11</v>
      </c>
      <c r="H1086" s="98">
        <v>0.01</v>
      </c>
      <c r="I1086" s="98">
        <v>2.001E-2</v>
      </c>
      <c r="J1086" s="98" t="s">
        <v>10</v>
      </c>
      <c r="K1086" s="98">
        <v>580260</v>
      </c>
      <c r="L1086" s="98">
        <v>-8789600</v>
      </c>
      <c r="M1086" s="98">
        <v>580000</v>
      </c>
      <c r="N1086" s="98">
        <v>-8789600</v>
      </c>
      <c r="O1086" s="99" t="s">
        <v>2313</v>
      </c>
    </row>
    <row r="1087" spans="1:15" x14ac:dyDescent="0.25">
      <c r="A1087" s="98" t="s">
        <v>54</v>
      </c>
      <c r="B1087" s="98" t="s">
        <v>47</v>
      </c>
      <c r="C1087" s="98">
        <v>0</v>
      </c>
      <c r="D1087" s="98">
        <v>3.3000999999999999E-4</v>
      </c>
      <c r="E1087" s="98">
        <v>10</v>
      </c>
      <c r="F1087" s="98" t="s">
        <v>13</v>
      </c>
      <c r="G1087" s="98" t="s">
        <v>11</v>
      </c>
      <c r="H1087" s="98">
        <v>30</v>
      </c>
      <c r="I1087" s="98">
        <v>30.1</v>
      </c>
      <c r="J1087" s="98" t="s">
        <v>10</v>
      </c>
      <c r="K1087" s="98">
        <v>5773600</v>
      </c>
      <c r="L1087" s="98">
        <v>1.6888E-2</v>
      </c>
      <c r="M1087" s="98">
        <v>5773600</v>
      </c>
      <c r="N1087" s="98">
        <v>1.2089000000000001E-2</v>
      </c>
      <c r="O1087" s="99" t="s">
        <v>2761</v>
      </c>
    </row>
    <row r="1088" spans="1:15" x14ac:dyDescent="0.25">
      <c r="A1088" s="98" t="s">
        <v>54</v>
      </c>
      <c r="B1088" s="98" t="s">
        <v>47</v>
      </c>
      <c r="C1088" s="98">
        <v>0</v>
      </c>
      <c r="D1088" s="98">
        <v>3.3000999999999999E-4</v>
      </c>
      <c r="E1088" s="98">
        <v>10</v>
      </c>
      <c r="F1088" s="98" t="s">
        <v>13</v>
      </c>
      <c r="G1088" s="98" t="s">
        <v>11</v>
      </c>
      <c r="H1088" s="98">
        <v>10</v>
      </c>
      <c r="I1088" s="98">
        <v>30</v>
      </c>
      <c r="J1088" s="98" t="s">
        <v>10</v>
      </c>
      <c r="K1088" s="98">
        <v>5773600</v>
      </c>
      <c r="L1088" s="98">
        <v>1.6888E-2</v>
      </c>
      <c r="M1088" s="98">
        <v>5773600</v>
      </c>
      <c r="N1088" s="98">
        <v>1.2089000000000001E-2</v>
      </c>
      <c r="O1088" s="99" t="s">
        <v>2320</v>
      </c>
    </row>
    <row r="1089" spans="1:15" x14ac:dyDescent="0.25">
      <c r="A1089" s="98" t="s">
        <v>54</v>
      </c>
      <c r="B1089" s="98" t="s">
        <v>47</v>
      </c>
      <c r="C1089" s="98">
        <v>0</v>
      </c>
      <c r="D1089" s="98">
        <v>3.3000999999999999E-4</v>
      </c>
      <c r="E1089" s="98">
        <v>10</v>
      </c>
      <c r="F1089" s="98" t="s">
        <v>13</v>
      </c>
      <c r="G1089" s="98" t="s">
        <v>11</v>
      </c>
      <c r="H1089" s="98">
        <v>1</v>
      </c>
      <c r="I1089" s="98">
        <v>5.01</v>
      </c>
      <c r="J1089" s="98" t="s">
        <v>10</v>
      </c>
      <c r="K1089" s="98">
        <v>5773600</v>
      </c>
      <c r="L1089" s="98">
        <v>2.7258999999999999E-3</v>
      </c>
      <c r="M1089" s="98">
        <v>5773600</v>
      </c>
      <c r="N1089" s="98">
        <v>4.7648999999999999E-4</v>
      </c>
      <c r="O1089" s="99" t="s">
        <v>2319</v>
      </c>
    </row>
    <row r="1090" spans="1:15" x14ac:dyDescent="0.25">
      <c r="A1090" s="98" t="s">
        <v>54</v>
      </c>
      <c r="B1090" s="98" t="s">
        <v>47</v>
      </c>
      <c r="C1090" s="98">
        <v>0</v>
      </c>
      <c r="D1090" s="98">
        <v>3.3000999999999999E-4</v>
      </c>
      <c r="E1090" s="98">
        <v>10</v>
      </c>
      <c r="F1090" s="98" t="s">
        <v>13</v>
      </c>
      <c r="G1090" s="98" t="s">
        <v>11</v>
      </c>
      <c r="H1090" s="98">
        <v>0.02</v>
      </c>
      <c r="I1090" s="98">
        <v>4.5010000000000001E-2</v>
      </c>
      <c r="J1090" s="98" t="s">
        <v>10</v>
      </c>
      <c r="K1090" s="98">
        <v>5773600</v>
      </c>
      <c r="L1090" s="98">
        <v>2.3793999999999998E-3</v>
      </c>
      <c r="M1090" s="98">
        <v>5773600</v>
      </c>
      <c r="N1090" s="98">
        <v>1.2994999999999999E-4</v>
      </c>
      <c r="O1090" s="99" t="s">
        <v>2321</v>
      </c>
    </row>
    <row r="1091" spans="1:15" x14ac:dyDescent="0.25">
      <c r="A1091" s="98" t="s">
        <v>54</v>
      </c>
      <c r="B1091" s="98" t="s">
        <v>47</v>
      </c>
      <c r="C1091" s="98">
        <v>0</v>
      </c>
      <c r="D1091" s="98">
        <v>3.3000999999999999E-4</v>
      </c>
      <c r="E1091" s="98">
        <v>10</v>
      </c>
      <c r="F1091" s="98" t="s">
        <v>13</v>
      </c>
      <c r="G1091" s="98" t="s">
        <v>11</v>
      </c>
      <c r="H1091" s="98">
        <v>0.01</v>
      </c>
      <c r="I1091" s="98">
        <v>2.001E-2</v>
      </c>
      <c r="J1091" s="98" t="s">
        <v>10</v>
      </c>
      <c r="K1091" s="98">
        <v>5802600</v>
      </c>
      <c r="L1091" s="98">
        <v>-87896000</v>
      </c>
      <c r="M1091" s="98">
        <v>5800000</v>
      </c>
      <c r="N1091" s="98">
        <v>-87896000</v>
      </c>
      <c r="O1091" s="99" t="s">
        <v>2760</v>
      </c>
    </row>
    <row r="1092" spans="1:15" x14ac:dyDescent="0.25">
      <c r="A1092" s="98" t="s">
        <v>54</v>
      </c>
      <c r="B1092" s="98" t="s">
        <v>47</v>
      </c>
      <c r="C1092" s="98">
        <v>0</v>
      </c>
      <c r="D1092" s="98">
        <v>3.3000999999999999E-4</v>
      </c>
      <c r="E1092" s="98">
        <v>10</v>
      </c>
      <c r="F1092" s="98" t="s">
        <v>13</v>
      </c>
      <c r="G1092" s="98" t="s">
        <v>11</v>
      </c>
      <c r="H1092" s="98">
        <v>5</v>
      </c>
      <c r="I1092" s="98">
        <v>10.01</v>
      </c>
      <c r="J1092" s="98" t="s">
        <v>10</v>
      </c>
      <c r="K1092" s="98">
        <v>5773600</v>
      </c>
      <c r="L1092" s="98">
        <v>7.8188000000000007E-3</v>
      </c>
      <c r="M1092" s="98">
        <v>5773600</v>
      </c>
      <c r="N1092" s="98">
        <v>3.0228999999999998E-3</v>
      </c>
      <c r="O1092" s="99" t="s">
        <v>2762</v>
      </c>
    </row>
    <row r="1093" spans="1:15" x14ac:dyDescent="0.25">
      <c r="A1093" s="98" t="s">
        <v>54</v>
      </c>
      <c r="B1093" s="98" t="s">
        <v>47</v>
      </c>
      <c r="C1093" s="98">
        <v>0</v>
      </c>
      <c r="D1093" s="98">
        <v>3.3000999999999999E-4</v>
      </c>
      <c r="E1093" s="98">
        <v>10</v>
      </c>
      <c r="F1093" s="98" t="s">
        <v>13</v>
      </c>
      <c r="G1093" s="98" t="s">
        <v>11</v>
      </c>
      <c r="H1093" s="98">
        <v>4.4999999999999998E-2</v>
      </c>
      <c r="I1093" s="98">
        <v>1.0000100000000001</v>
      </c>
      <c r="J1093" s="98" t="s">
        <v>10</v>
      </c>
      <c r="K1093" s="98">
        <v>5773600</v>
      </c>
      <c r="L1093" s="98">
        <v>2.3422E-3</v>
      </c>
      <c r="M1093" s="98">
        <v>5773600</v>
      </c>
      <c r="N1093" s="98">
        <v>9.5916999999999997E-5</v>
      </c>
      <c r="O1093" s="99" t="s">
        <v>2318</v>
      </c>
    </row>
    <row r="1094" spans="1:15" x14ac:dyDescent="0.25">
      <c r="A1094" s="98" t="s">
        <v>54</v>
      </c>
      <c r="B1094" s="98" t="s">
        <v>47</v>
      </c>
      <c r="C1094" s="98">
        <v>3.3E-4</v>
      </c>
      <c r="D1094" s="98">
        <v>3.3000999999999998E-3</v>
      </c>
      <c r="E1094" s="98">
        <v>1E-8</v>
      </c>
      <c r="F1094" s="98" t="s">
        <v>13</v>
      </c>
      <c r="G1094" s="98" t="s">
        <v>11</v>
      </c>
      <c r="H1094" s="98">
        <v>1</v>
      </c>
      <c r="I1094" s="98">
        <v>5.01</v>
      </c>
      <c r="J1094" s="98" t="s">
        <v>10</v>
      </c>
      <c r="K1094" s="98">
        <v>0.27</v>
      </c>
      <c r="L1094" s="98">
        <v>2300</v>
      </c>
      <c r="M1094" s="98">
        <v>0.23111999999999999</v>
      </c>
      <c r="N1094" s="98">
        <v>2309.6999999999998</v>
      </c>
      <c r="O1094" s="99" t="s">
        <v>2765</v>
      </c>
    </row>
    <row r="1095" spans="1:15" x14ac:dyDescent="0.25">
      <c r="A1095" s="98" t="s">
        <v>54</v>
      </c>
      <c r="B1095" s="98" t="s">
        <v>47</v>
      </c>
      <c r="C1095" s="98">
        <v>3.3E-4</v>
      </c>
      <c r="D1095" s="98">
        <v>3.3000999999999998E-3</v>
      </c>
      <c r="E1095" s="98">
        <v>1E-8</v>
      </c>
      <c r="F1095" s="98" t="s">
        <v>13</v>
      </c>
      <c r="G1095" s="98" t="s">
        <v>11</v>
      </c>
      <c r="H1095" s="98">
        <v>0.02</v>
      </c>
      <c r="I1095" s="98">
        <v>4.5010000000000001E-2</v>
      </c>
      <c r="J1095" s="98" t="s">
        <v>10</v>
      </c>
      <c r="K1095" s="98">
        <v>0.32</v>
      </c>
      <c r="L1095" s="98">
        <v>1400</v>
      </c>
      <c r="M1095" s="98">
        <v>0.17327000000000001</v>
      </c>
      <c r="N1095" s="98">
        <v>1443.8</v>
      </c>
      <c r="O1095" s="99" t="s">
        <v>2324</v>
      </c>
    </row>
    <row r="1096" spans="1:15" x14ac:dyDescent="0.25">
      <c r="A1096" s="98" t="s">
        <v>54</v>
      </c>
      <c r="B1096" s="98" t="s">
        <v>47</v>
      </c>
      <c r="C1096" s="98">
        <v>3.3E-4</v>
      </c>
      <c r="D1096" s="98">
        <v>3.3000999999999998E-3</v>
      </c>
      <c r="E1096" s="98">
        <v>1E-8</v>
      </c>
      <c r="F1096" s="98" t="s">
        <v>13</v>
      </c>
      <c r="G1096" s="98" t="s">
        <v>11</v>
      </c>
      <c r="H1096" s="98">
        <v>0.01</v>
      </c>
      <c r="I1096" s="98">
        <v>2.001E-2</v>
      </c>
      <c r="J1096" s="98" t="s">
        <v>10</v>
      </c>
      <c r="K1096" s="98">
        <v>0.23</v>
      </c>
      <c r="L1096" s="98">
        <v>2300</v>
      </c>
      <c r="M1096" s="98">
        <v>0.17326</v>
      </c>
      <c r="N1096" s="98">
        <v>2315.4</v>
      </c>
      <c r="O1096" s="99" t="s">
        <v>2764</v>
      </c>
    </row>
    <row r="1097" spans="1:15" x14ac:dyDescent="0.25">
      <c r="A1097" s="98" t="s">
        <v>54</v>
      </c>
      <c r="B1097" s="98" t="s">
        <v>47</v>
      </c>
      <c r="C1097" s="98">
        <v>3.3E-4</v>
      </c>
      <c r="D1097" s="98">
        <v>3.3000999999999998E-3</v>
      </c>
      <c r="E1097" s="98">
        <v>1E-8</v>
      </c>
      <c r="F1097" s="98" t="s">
        <v>13</v>
      </c>
      <c r="G1097" s="98" t="s">
        <v>11</v>
      </c>
      <c r="H1097" s="98">
        <v>30</v>
      </c>
      <c r="I1097" s="98">
        <v>30.1</v>
      </c>
      <c r="J1097" s="98" t="s">
        <v>10</v>
      </c>
      <c r="K1097" s="98">
        <v>0.7</v>
      </c>
      <c r="L1097" s="98">
        <v>12000</v>
      </c>
      <c r="M1097" s="98">
        <v>0.69332000000000005</v>
      </c>
      <c r="N1097" s="98">
        <v>11547</v>
      </c>
      <c r="O1097" s="99" t="s">
        <v>2323</v>
      </c>
    </row>
    <row r="1098" spans="1:15" x14ac:dyDescent="0.25">
      <c r="A1098" s="98" t="s">
        <v>54</v>
      </c>
      <c r="B1098" s="98" t="s">
        <v>47</v>
      </c>
      <c r="C1098" s="98">
        <v>3.3E-4</v>
      </c>
      <c r="D1098" s="98">
        <v>3.3000999999999998E-3</v>
      </c>
      <c r="E1098" s="98">
        <v>1E-8</v>
      </c>
      <c r="F1098" s="98" t="s">
        <v>13</v>
      </c>
      <c r="G1098" s="98" t="s">
        <v>11</v>
      </c>
      <c r="H1098" s="98">
        <v>10</v>
      </c>
      <c r="I1098" s="98">
        <v>30</v>
      </c>
      <c r="J1098" s="98" t="s">
        <v>10</v>
      </c>
      <c r="K1098" s="98">
        <v>0.7</v>
      </c>
      <c r="L1098" s="98">
        <v>12000</v>
      </c>
      <c r="M1098" s="98">
        <v>0.69332000000000005</v>
      </c>
      <c r="N1098" s="98">
        <v>11547</v>
      </c>
      <c r="O1098" s="99" t="s">
        <v>2325</v>
      </c>
    </row>
    <row r="1099" spans="1:15" x14ac:dyDescent="0.25">
      <c r="A1099" s="98" t="s">
        <v>54</v>
      </c>
      <c r="B1099" s="98" t="s">
        <v>47</v>
      </c>
      <c r="C1099" s="98">
        <v>3.3E-4</v>
      </c>
      <c r="D1099" s="98">
        <v>3.3000999999999998E-3</v>
      </c>
      <c r="E1099" s="98">
        <v>1E-8</v>
      </c>
      <c r="F1099" s="98" t="s">
        <v>13</v>
      </c>
      <c r="G1099" s="98" t="s">
        <v>11</v>
      </c>
      <c r="H1099" s="98">
        <v>4.4999999999999998E-2</v>
      </c>
      <c r="I1099" s="98">
        <v>1.0000100000000001</v>
      </c>
      <c r="J1099" s="98" t="s">
        <v>10</v>
      </c>
      <c r="K1099" s="98">
        <v>0.18</v>
      </c>
      <c r="L1099" s="98">
        <v>1200</v>
      </c>
      <c r="M1099" s="98">
        <v>0.17374999999999999</v>
      </c>
      <c r="N1099" s="98">
        <v>1155.2</v>
      </c>
      <c r="O1099" s="99" t="s">
        <v>2763</v>
      </c>
    </row>
    <row r="1100" spans="1:15" x14ac:dyDescent="0.25">
      <c r="A1100" s="98" t="s">
        <v>54</v>
      </c>
      <c r="B1100" s="98" t="s">
        <v>47</v>
      </c>
      <c r="C1100" s="98">
        <v>3.3E-4</v>
      </c>
      <c r="D1100" s="98">
        <v>3.3000999999999998E-3</v>
      </c>
      <c r="E1100" s="98">
        <v>1E-8</v>
      </c>
      <c r="F1100" s="98" t="s">
        <v>13</v>
      </c>
      <c r="G1100" s="98" t="s">
        <v>11</v>
      </c>
      <c r="H1100" s="98">
        <v>5</v>
      </c>
      <c r="I1100" s="98">
        <v>10.01</v>
      </c>
      <c r="J1100" s="98" t="s">
        <v>10</v>
      </c>
      <c r="K1100" s="98">
        <v>0.35</v>
      </c>
      <c r="L1100" s="98">
        <v>5800</v>
      </c>
      <c r="M1100" s="98">
        <v>0.34654000000000001</v>
      </c>
      <c r="N1100" s="98">
        <v>5773.6</v>
      </c>
      <c r="O1100" s="99" t="s">
        <v>2322</v>
      </c>
    </row>
    <row r="1101" spans="1:15" x14ac:dyDescent="0.25">
      <c r="A1101" s="98" t="s">
        <v>54</v>
      </c>
      <c r="B1101" s="98" t="s">
        <v>47</v>
      </c>
      <c r="C1101" s="98">
        <v>3.3E-4</v>
      </c>
      <c r="D1101" s="98">
        <v>3.3000999999999998E-3</v>
      </c>
      <c r="E1101" s="98">
        <v>9.9999999999999995E-8</v>
      </c>
      <c r="F1101" s="98" t="s">
        <v>13</v>
      </c>
      <c r="G1101" s="98" t="s">
        <v>11</v>
      </c>
      <c r="H1101" s="98">
        <v>4.4999999999999998E-2</v>
      </c>
      <c r="I1101" s="98">
        <v>1.0000100000000001</v>
      </c>
      <c r="J1101" s="98" t="s">
        <v>10</v>
      </c>
      <c r="K1101" s="98">
        <v>0.18</v>
      </c>
      <c r="L1101" s="98">
        <v>1200</v>
      </c>
      <c r="M1101" s="98">
        <v>0.17651</v>
      </c>
      <c r="N1101" s="98">
        <v>1154.4000000000001</v>
      </c>
      <c r="O1101" s="99" t="s">
        <v>2328</v>
      </c>
    </row>
    <row r="1102" spans="1:15" x14ac:dyDescent="0.25">
      <c r="A1102" s="98" t="s">
        <v>54</v>
      </c>
      <c r="B1102" s="98" t="s">
        <v>47</v>
      </c>
      <c r="C1102" s="98">
        <v>3.3E-4</v>
      </c>
      <c r="D1102" s="98">
        <v>3.3000999999999998E-3</v>
      </c>
      <c r="E1102" s="98">
        <v>9.9999999999999995E-8</v>
      </c>
      <c r="F1102" s="98" t="s">
        <v>13</v>
      </c>
      <c r="G1102" s="98" t="s">
        <v>11</v>
      </c>
      <c r="H1102" s="98">
        <v>30</v>
      </c>
      <c r="I1102" s="98">
        <v>30.1</v>
      </c>
      <c r="J1102" s="98" t="s">
        <v>10</v>
      </c>
      <c r="K1102" s="98">
        <v>0.7</v>
      </c>
      <c r="L1102" s="98">
        <v>12000</v>
      </c>
      <c r="M1102" s="98">
        <v>0.69338999999999995</v>
      </c>
      <c r="N1102" s="98">
        <v>11547</v>
      </c>
      <c r="O1102" s="99" t="s">
        <v>2766</v>
      </c>
    </row>
    <row r="1103" spans="1:15" x14ac:dyDescent="0.25">
      <c r="A1103" s="98" t="s">
        <v>54</v>
      </c>
      <c r="B1103" s="98" t="s">
        <v>47</v>
      </c>
      <c r="C1103" s="98">
        <v>3.3E-4</v>
      </c>
      <c r="D1103" s="98">
        <v>3.3000999999999998E-3</v>
      </c>
      <c r="E1103" s="98">
        <v>9.9999999999999995E-8</v>
      </c>
      <c r="F1103" s="98" t="s">
        <v>13</v>
      </c>
      <c r="G1103" s="98" t="s">
        <v>11</v>
      </c>
      <c r="H1103" s="98">
        <v>0.01</v>
      </c>
      <c r="I1103" s="98">
        <v>2.001E-2</v>
      </c>
      <c r="J1103" s="98" t="s">
        <v>10</v>
      </c>
      <c r="K1103" s="98">
        <v>0.23</v>
      </c>
      <c r="L1103" s="98">
        <v>2300</v>
      </c>
      <c r="M1103" s="98">
        <v>0.17480999999999999</v>
      </c>
      <c r="N1103" s="98">
        <v>2314.9</v>
      </c>
      <c r="O1103" s="99" t="s">
        <v>2329</v>
      </c>
    </row>
    <row r="1104" spans="1:15" x14ac:dyDescent="0.25">
      <c r="A1104" s="98" t="s">
        <v>54</v>
      </c>
      <c r="B1104" s="98" t="s">
        <v>47</v>
      </c>
      <c r="C1104" s="98">
        <v>3.3E-4</v>
      </c>
      <c r="D1104" s="98">
        <v>3.3000999999999998E-3</v>
      </c>
      <c r="E1104" s="98">
        <v>9.9999999999999995E-8</v>
      </c>
      <c r="F1104" s="98" t="s">
        <v>13</v>
      </c>
      <c r="G1104" s="98" t="s">
        <v>11</v>
      </c>
      <c r="H1104" s="98">
        <v>0.02</v>
      </c>
      <c r="I1104" s="98">
        <v>4.5010000000000001E-2</v>
      </c>
      <c r="J1104" s="98" t="s">
        <v>10</v>
      </c>
      <c r="K1104" s="98">
        <v>0.32</v>
      </c>
      <c r="L1104" s="98">
        <v>1400</v>
      </c>
      <c r="M1104" s="98">
        <v>0.17604</v>
      </c>
      <c r="N1104" s="98">
        <v>1443.1</v>
      </c>
      <c r="O1104" s="99" t="s">
        <v>2331</v>
      </c>
    </row>
    <row r="1105" spans="1:15" x14ac:dyDescent="0.25">
      <c r="A1105" s="98" t="s">
        <v>54</v>
      </c>
      <c r="B1105" s="98" t="s">
        <v>47</v>
      </c>
      <c r="C1105" s="98">
        <v>3.3E-4</v>
      </c>
      <c r="D1105" s="98">
        <v>3.3000999999999998E-3</v>
      </c>
      <c r="E1105" s="98">
        <v>9.9999999999999995E-8</v>
      </c>
      <c r="F1105" s="98" t="s">
        <v>13</v>
      </c>
      <c r="G1105" s="98" t="s">
        <v>11</v>
      </c>
      <c r="H1105" s="98">
        <v>10</v>
      </c>
      <c r="I1105" s="98">
        <v>30</v>
      </c>
      <c r="J1105" s="98" t="s">
        <v>10</v>
      </c>
      <c r="K1105" s="98">
        <v>0.7</v>
      </c>
      <c r="L1105" s="98">
        <v>12000</v>
      </c>
      <c r="M1105" s="98">
        <v>0.69338999999999995</v>
      </c>
      <c r="N1105" s="98">
        <v>11547</v>
      </c>
      <c r="O1105" s="99" t="s">
        <v>2326</v>
      </c>
    </row>
    <row r="1106" spans="1:15" x14ac:dyDescent="0.25">
      <c r="A1106" s="98" t="s">
        <v>54</v>
      </c>
      <c r="B1106" s="98" t="s">
        <v>47</v>
      </c>
      <c r="C1106" s="98">
        <v>3.3E-4</v>
      </c>
      <c r="D1106" s="98">
        <v>3.3000999999999998E-3</v>
      </c>
      <c r="E1106" s="98">
        <v>9.9999999999999995E-8</v>
      </c>
      <c r="F1106" s="98" t="s">
        <v>13</v>
      </c>
      <c r="G1106" s="98" t="s">
        <v>11</v>
      </c>
      <c r="H1106" s="98">
        <v>1</v>
      </c>
      <c r="I1106" s="98">
        <v>5.01</v>
      </c>
      <c r="J1106" s="98" t="s">
        <v>10</v>
      </c>
      <c r="K1106" s="98">
        <v>0.27</v>
      </c>
      <c r="L1106" s="98">
        <v>2300</v>
      </c>
      <c r="M1106" s="98">
        <v>0.23280000000000001</v>
      </c>
      <c r="N1106" s="98">
        <v>2309.1999999999998</v>
      </c>
      <c r="O1106" s="99" t="s">
        <v>2330</v>
      </c>
    </row>
    <row r="1107" spans="1:15" x14ac:dyDescent="0.25">
      <c r="A1107" s="98" t="s">
        <v>54</v>
      </c>
      <c r="B1107" s="98" t="s">
        <v>47</v>
      </c>
      <c r="C1107" s="98">
        <v>3.3E-4</v>
      </c>
      <c r="D1107" s="98">
        <v>3.3000999999999998E-3</v>
      </c>
      <c r="E1107" s="98">
        <v>9.9999999999999995E-8</v>
      </c>
      <c r="F1107" s="98" t="s">
        <v>13</v>
      </c>
      <c r="G1107" s="98" t="s">
        <v>11</v>
      </c>
      <c r="H1107" s="98">
        <v>5</v>
      </c>
      <c r="I1107" s="98">
        <v>10.01</v>
      </c>
      <c r="J1107" s="98" t="s">
        <v>10</v>
      </c>
      <c r="K1107" s="98">
        <v>0.35</v>
      </c>
      <c r="L1107" s="98">
        <v>5800</v>
      </c>
      <c r="M1107" s="98">
        <v>0.34723999999999999</v>
      </c>
      <c r="N1107" s="98">
        <v>5773.4</v>
      </c>
      <c r="O1107" s="99" t="s">
        <v>2327</v>
      </c>
    </row>
    <row r="1108" spans="1:15" x14ac:dyDescent="0.25">
      <c r="A1108" s="98" t="s">
        <v>54</v>
      </c>
      <c r="B1108" s="98" t="s">
        <v>47</v>
      </c>
      <c r="C1108" s="98">
        <v>3.3E-4</v>
      </c>
      <c r="D1108" s="98">
        <v>3.3000999999999998E-3</v>
      </c>
      <c r="E1108" s="98">
        <v>9.9999999999999995E-7</v>
      </c>
      <c r="F1108" s="98" t="s">
        <v>13</v>
      </c>
      <c r="G1108" s="98" t="s">
        <v>11</v>
      </c>
      <c r="H1108" s="98">
        <v>5</v>
      </c>
      <c r="I1108" s="98">
        <v>10.01</v>
      </c>
      <c r="J1108" s="98" t="s">
        <v>10</v>
      </c>
      <c r="K1108" s="98">
        <v>0.41769000000000001</v>
      </c>
      <c r="L1108" s="98">
        <v>5779.5</v>
      </c>
      <c r="M1108" s="98">
        <v>0.4264</v>
      </c>
      <c r="N1108" s="98">
        <v>5752</v>
      </c>
      <c r="O1108" s="99" t="s">
        <v>2336</v>
      </c>
    </row>
    <row r="1109" spans="1:15" x14ac:dyDescent="0.25">
      <c r="A1109" s="98" t="s">
        <v>54</v>
      </c>
      <c r="B1109" s="98" t="s">
        <v>47</v>
      </c>
      <c r="C1109" s="98">
        <v>3.3E-4</v>
      </c>
      <c r="D1109" s="98">
        <v>3.3000999999999998E-3</v>
      </c>
      <c r="E1109" s="98">
        <v>9.9999999999999995E-7</v>
      </c>
      <c r="F1109" s="98" t="s">
        <v>13</v>
      </c>
      <c r="G1109" s="98" t="s">
        <v>11</v>
      </c>
      <c r="H1109" s="98">
        <v>0.01</v>
      </c>
      <c r="I1109" s="98">
        <v>2.001E-2</v>
      </c>
      <c r="J1109" s="98" t="s">
        <v>10</v>
      </c>
      <c r="K1109" s="98">
        <v>0.35293999999999998</v>
      </c>
      <c r="L1109" s="98">
        <v>2267.3000000000002</v>
      </c>
      <c r="M1109" s="98">
        <v>0.35227000000000003</v>
      </c>
      <c r="N1109" s="98">
        <v>2267.5</v>
      </c>
      <c r="O1109" s="99" t="s">
        <v>2767</v>
      </c>
    </row>
    <row r="1110" spans="1:15" x14ac:dyDescent="0.25">
      <c r="A1110" s="98" t="s">
        <v>54</v>
      </c>
      <c r="B1110" s="98" t="s">
        <v>47</v>
      </c>
      <c r="C1110" s="98">
        <v>3.3E-4</v>
      </c>
      <c r="D1110" s="98">
        <v>3.3000999999999998E-3</v>
      </c>
      <c r="E1110" s="98">
        <v>9.9999999999999995E-7</v>
      </c>
      <c r="F1110" s="98" t="s">
        <v>13</v>
      </c>
      <c r="G1110" s="98" t="s">
        <v>11</v>
      </c>
      <c r="H1110" s="98">
        <v>30</v>
      </c>
      <c r="I1110" s="98">
        <v>30.1</v>
      </c>
      <c r="J1110" s="98" t="s">
        <v>10</v>
      </c>
      <c r="K1110" s="98">
        <v>0.7</v>
      </c>
      <c r="L1110" s="98">
        <v>12000</v>
      </c>
      <c r="M1110" s="98">
        <v>0.7339</v>
      </c>
      <c r="N1110" s="98">
        <v>11536</v>
      </c>
      <c r="O1110" s="99" t="s">
        <v>2335</v>
      </c>
    </row>
    <row r="1111" spans="1:15" x14ac:dyDescent="0.25">
      <c r="A1111" s="98" t="s">
        <v>54</v>
      </c>
      <c r="B1111" s="98" t="s">
        <v>47</v>
      </c>
      <c r="C1111" s="98">
        <v>3.3E-4</v>
      </c>
      <c r="D1111" s="98">
        <v>3.3000999999999998E-3</v>
      </c>
      <c r="E1111" s="98">
        <v>9.9999999999999995E-7</v>
      </c>
      <c r="F1111" s="98" t="s">
        <v>13</v>
      </c>
      <c r="G1111" s="98" t="s">
        <v>11</v>
      </c>
      <c r="H1111" s="98">
        <v>10</v>
      </c>
      <c r="I1111" s="98">
        <v>30</v>
      </c>
      <c r="J1111" s="98" t="s">
        <v>10</v>
      </c>
      <c r="K1111" s="98">
        <v>0.7</v>
      </c>
      <c r="L1111" s="98">
        <v>12000</v>
      </c>
      <c r="M1111" s="98">
        <v>0.7339</v>
      </c>
      <c r="N1111" s="98">
        <v>11536</v>
      </c>
      <c r="O1111" s="99" t="s">
        <v>2333</v>
      </c>
    </row>
    <row r="1112" spans="1:15" x14ac:dyDescent="0.25">
      <c r="A1112" s="98" t="s">
        <v>54</v>
      </c>
      <c r="B1112" s="98" t="s">
        <v>47</v>
      </c>
      <c r="C1112" s="98">
        <v>3.3E-4</v>
      </c>
      <c r="D1112" s="98">
        <v>3.3000999999999998E-3</v>
      </c>
      <c r="E1112" s="98">
        <v>9.9999999999999995E-7</v>
      </c>
      <c r="F1112" s="98" t="s">
        <v>13</v>
      </c>
      <c r="G1112" s="98" t="s">
        <v>11</v>
      </c>
      <c r="H1112" s="98">
        <v>0.02</v>
      </c>
      <c r="I1112" s="98">
        <v>4.5010000000000001E-2</v>
      </c>
      <c r="J1112" s="98" t="s">
        <v>10</v>
      </c>
      <c r="K1112" s="98">
        <v>0.41399000000000002</v>
      </c>
      <c r="L1112" s="98">
        <v>1381.1</v>
      </c>
      <c r="M1112" s="98">
        <v>0.41349000000000002</v>
      </c>
      <c r="N1112" s="98">
        <v>1381.2</v>
      </c>
      <c r="O1112" s="99" t="s">
        <v>2334</v>
      </c>
    </row>
    <row r="1113" spans="1:15" x14ac:dyDescent="0.25">
      <c r="A1113" s="98" t="s">
        <v>54</v>
      </c>
      <c r="B1113" s="98" t="s">
        <v>47</v>
      </c>
      <c r="C1113" s="98">
        <v>3.3E-4</v>
      </c>
      <c r="D1113" s="98">
        <v>3.3000999999999998E-3</v>
      </c>
      <c r="E1113" s="98">
        <v>9.9999999999999995E-7</v>
      </c>
      <c r="F1113" s="98" t="s">
        <v>13</v>
      </c>
      <c r="G1113" s="98" t="s">
        <v>11</v>
      </c>
      <c r="H1113" s="98">
        <v>1</v>
      </c>
      <c r="I1113" s="98">
        <v>5.01</v>
      </c>
      <c r="J1113" s="98" t="s">
        <v>10</v>
      </c>
      <c r="K1113" s="98">
        <v>0.40200999999999998</v>
      </c>
      <c r="L1113" s="98">
        <v>2264.3000000000002</v>
      </c>
      <c r="M1113" s="98">
        <v>0.40155999999999997</v>
      </c>
      <c r="N1113" s="98">
        <v>2264.4</v>
      </c>
      <c r="O1113" s="99" t="s">
        <v>2337</v>
      </c>
    </row>
    <row r="1114" spans="1:15" x14ac:dyDescent="0.25">
      <c r="A1114" s="98" t="s">
        <v>54</v>
      </c>
      <c r="B1114" s="98" t="s">
        <v>47</v>
      </c>
      <c r="C1114" s="98">
        <v>3.3E-4</v>
      </c>
      <c r="D1114" s="98">
        <v>3.3000999999999998E-3</v>
      </c>
      <c r="E1114" s="98">
        <v>9.9999999999999995E-7</v>
      </c>
      <c r="F1114" s="98" t="s">
        <v>13</v>
      </c>
      <c r="G1114" s="98" t="s">
        <v>11</v>
      </c>
      <c r="H1114" s="98">
        <v>4.4999999999999998E-2</v>
      </c>
      <c r="I1114" s="98">
        <v>1.0000100000000001</v>
      </c>
      <c r="J1114" s="98" t="s">
        <v>10</v>
      </c>
      <c r="K1114" s="98">
        <v>0.43013000000000001</v>
      </c>
      <c r="L1114" s="98">
        <v>1124.2</v>
      </c>
      <c r="M1114" s="98">
        <v>0.44201000000000001</v>
      </c>
      <c r="N1114" s="98">
        <v>1086.4000000000001</v>
      </c>
      <c r="O1114" s="99" t="s">
        <v>2332</v>
      </c>
    </row>
    <row r="1115" spans="1:15" x14ac:dyDescent="0.25">
      <c r="A1115" s="98" t="s">
        <v>54</v>
      </c>
      <c r="B1115" s="98" t="s">
        <v>47</v>
      </c>
      <c r="C1115" s="98">
        <v>3.3E-4</v>
      </c>
      <c r="D1115" s="98">
        <v>3.3000999999999998E-3</v>
      </c>
      <c r="E1115" s="98">
        <v>1.0000000000000001E-5</v>
      </c>
      <c r="F1115" s="98" t="s">
        <v>13</v>
      </c>
      <c r="G1115" s="98" t="s">
        <v>11</v>
      </c>
      <c r="H1115" s="98">
        <v>0.02</v>
      </c>
      <c r="I1115" s="98">
        <v>4.5010000000000001E-2</v>
      </c>
      <c r="J1115" s="98" t="s">
        <v>10</v>
      </c>
      <c r="K1115" s="98">
        <v>5.6117999999999997</v>
      </c>
      <c r="L1115" s="98">
        <v>601.75</v>
      </c>
      <c r="M1115" s="98">
        <v>5.6113999999999997</v>
      </c>
      <c r="N1115" s="98">
        <v>601.72</v>
      </c>
      <c r="O1115" s="99" t="s">
        <v>2340</v>
      </c>
    </row>
    <row r="1116" spans="1:15" x14ac:dyDescent="0.25">
      <c r="A1116" s="98" t="s">
        <v>54</v>
      </c>
      <c r="B1116" s="98" t="s">
        <v>47</v>
      </c>
      <c r="C1116" s="98">
        <v>3.3E-4</v>
      </c>
      <c r="D1116" s="98">
        <v>3.3000999999999998E-3</v>
      </c>
      <c r="E1116" s="98">
        <v>1.0000000000000001E-5</v>
      </c>
      <c r="F1116" s="98" t="s">
        <v>13</v>
      </c>
      <c r="G1116" s="98" t="s">
        <v>11</v>
      </c>
      <c r="H1116" s="98">
        <v>1</v>
      </c>
      <c r="I1116" s="98">
        <v>5.01</v>
      </c>
      <c r="J1116" s="98" t="s">
        <v>10</v>
      </c>
      <c r="K1116" s="98">
        <v>5.4265999999999996</v>
      </c>
      <c r="L1116" s="98">
        <v>1309.3</v>
      </c>
      <c r="M1116" s="98">
        <v>5.4263000000000003</v>
      </c>
      <c r="N1116" s="98">
        <v>1309.3</v>
      </c>
      <c r="O1116" s="99" t="s">
        <v>2770</v>
      </c>
    </row>
    <row r="1117" spans="1:15" x14ac:dyDescent="0.25">
      <c r="A1117" s="98" t="s">
        <v>54</v>
      </c>
      <c r="B1117" s="98" t="s">
        <v>47</v>
      </c>
      <c r="C1117" s="98">
        <v>3.3E-4</v>
      </c>
      <c r="D1117" s="98">
        <v>3.3000999999999998E-3</v>
      </c>
      <c r="E1117" s="98">
        <v>1.0000000000000001E-5</v>
      </c>
      <c r="F1117" s="98" t="s">
        <v>13</v>
      </c>
      <c r="G1117" s="98" t="s">
        <v>11</v>
      </c>
      <c r="H1117" s="98">
        <v>4.4999999999999998E-2</v>
      </c>
      <c r="I1117" s="98">
        <v>1.0000100000000001</v>
      </c>
      <c r="J1117" s="98" t="s">
        <v>10</v>
      </c>
      <c r="K1117" s="98">
        <v>5.6654</v>
      </c>
      <c r="L1117" s="98">
        <v>409.29</v>
      </c>
      <c r="M1117" s="98">
        <v>5.6650999999999998</v>
      </c>
      <c r="N1117" s="98">
        <v>409.25</v>
      </c>
      <c r="O1117" s="99" t="s">
        <v>2338</v>
      </c>
    </row>
    <row r="1118" spans="1:15" x14ac:dyDescent="0.25">
      <c r="A1118" s="98" t="s">
        <v>54</v>
      </c>
      <c r="B1118" s="98" t="s">
        <v>47</v>
      </c>
      <c r="C1118" s="98">
        <v>3.3E-4</v>
      </c>
      <c r="D1118" s="98">
        <v>3.3000999999999998E-3</v>
      </c>
      <c r="E1118" s="98">
        <v>1.0000000000000001E-5</v>
      </c>
      <c r="F1118" s="98" t="s">
        <v>13</v>
      </c>
      <c r="G1118" s="98" t="s">
        <v>11</v>
      </c>
      <c r="H1118" s="98">
        <v>10</v>
      </c>
      <c r="I1118" s="98">
        <v>30</v>
      </c>
      <c r="J1118" s="98" t="s">
        <v>10</v>
      </c>
      <c r="K1118" s="98">
        <v>3.6591999999999998</v>
      </c>
      <c r="L1118" s="98">
        <v>11103</v>
      </c>
      <c r="M1118" s="98">
        <v>3.7772999999999999</v>
      </c>
      <c r="N1118" s="98">
        <v>10742</v>
      </c>
      <c r="O1118" s="99" t="s">
        <v>2341</v>
      </c>
    </row>
    <row r="1119" spans="1:15" x14ac:dyDescent="0.25">
      <c r="A1119" s="98" t="s">
        <v>54</v>
      </c>
      <c r="B1119" s="98" t="s">
        <v>47</v>
      </c>
      <c r="C1119" s="98">
        <v>3.3E-4</v>
      </c>
      <c r="D1119" s="98">
        <v>3.3000999999999998E-3</v>
      </c>
      <c r="E1119" s="98">
        <v>1.0000000000000001E-5</v>
      </c>
      <c r="F1119" s="98" t="s">
        <v>13</v>
      </c>
      <c r="G1119" s="98" t="s">
        <v>11</v>
      </c>
      <c r="H1119" s="98">
        <v>30</v>
      </c>
      <c r="I1119" s="98">
        <v>30.1</v>
      </c>
      <c r="J1119" s="98" t="s">
        <v>10</v>
      </c>
      <c r="K1119" s="98">
        <v>3.6591999999999998</v>
      </c>
      <c r="L1119" s="98">
        <v>11103</v>
      </c>
      <c r="M1119" s="98">
        <v>3.7772999999999999</v>
      </c>
      <c r="N1119" s="98">
        <v>10742</v>
      </c>
      <c r="O1119" s="99" t="s">
        <v>2769</v>
      </c>
    </row>
    <row r="1120" spans="1:15" x14ac:dyDescent="0.25">
      <c r="A1120" s="98" t="s">
        <v>54</v>
      </c>
      <c r="B1120" s="98" t="s">
        <v>47</v>
      </c>
      <c r="C1120" s="98">
        <v>3.3E-4</v>
      </c>
      <c r="D1120" s="98">
        <v>3.3000999999999998E-3</v>
      </c>
      <c r="E1120" s="98">
        <v>1.0000000000000001E-5</v>
      </c>
      <c r="F1120" s="98" t="s">
        <v>13</v>
      </c>
      <c r="G1120" s="98" t="s">
        <v>11</v>
      </c>
      <c r="H1120" s="98">
        <v>0.01</v>
      </c>
      <c r="I1120" s="98">
        <v>2.001E-2</v>
      </c>
      <c r="J1120" s="98" t="s">
        <v>10</v>
      </c>
      <c r="K1120" s="98">
        <v>5.4199000000000002</v>
      </c>
      <c r="L1120" s="98">
        <v>1301.8</v>
      </c>
      <c r="M1120" s="98">
        <v>5.4195000000000002</v>
      </c>
      <c r="N1120" s="98">
        <v>1301.8</v>
      </c>
      <c r="O1120" s="99" t="s">
        <v>2339</v>
      </c>
    </row>
    <row r="1121" spans="1:15" x14ac:dyDescent="0.25">
      <c r="A1121" s="98" t="s">
        <v>54</v>
      </c>
      <c r="B1121" s="98" t="s">
        <v>47</v>
      </c>
      <c r="C1121" s="98">
        <v>3.3E-4</v>
      </c>
      <c r="D1121" s="98">
        <v>3.3000999999999998E-3</v>
      </c>
      <c r="E1121" s="98">
        <v>1.0000000000000001E-5</v>
      </c>
      <c r="F1121" s="98" t="s">
        <v>13</v>
      </c>
      <c r="G1121" s="98" t="s">
        <v>11</v>
      </c>
      <c r="H1121" s="98">
        <v>5</v>
      </c>
      <c r="I1121" s="98">
        <v>10.01</v>
      </c>
      <c r="J1121" s="98" t="s">
        <v>10</v>
      </c>
      <c r="K1121" s="98">
        <v>4.6372999999999998</v>
      </c>
      <c r="L1121" s="98">
        <v>4728.3</v>
      </c>
      <c r="M1121" s="98">
        <v>4.6368999999999998</v>
      </c>
      <c r="N1121" s="98">
        <v>4728.3</v>
      </c>
      <c r="O1121" s="99" t="s">
        <v>2768</v>
      </c>
    </row>
    <row r="1122" spans="1:15" x14ac:dyDescent="0.25">
      <c r="A1122" s="98" t="s">
        <v>54</v>
      </c>
      <c r="B1122" s="98" t="s">
        <v>47</v>
      </c>
      <c r="C1122" s="98">
        <v>3.3E-4</v>
      </c>
      <c r="D1122" s="98">
        <v>3.3000999999999998E-3</v>
      </c>
      <c r="E1122" s="98">
        <v>1E-4</v>
      </c>
      <c r="F1122" s="98" t="s">
        <v>13</v>
      </c>
      <c r="G1122" s="98" t="s">
        <v>11</v>
      </c>
      <c r="H1122" s="98">
        <v>0.01</v>
      </c>
      <c r="I1122" s="98">
        <v>2.001E-2</v>
      </c>
      <c r="J1122" s="98" t="s">
        <v>10</v>
      </c>
      <c r="K1122" s="98">
        <v>57.686</v>
      </c>
      <c r="L1122" s="98">
        <v>174.69</v>
      </c>
      <c r="M1122" s="98">
        <v>57.685000000000002</v>
      </c>
      <c r="N1122" s="98">
        <v>174.66</v>
      </c>
      <c r="O1122" s="99" t="s">
        <v>2346</v>
      </c>
    </row>
    <row r="1123" spans="1:15" x14ac:dyDescent="0.25">
      <c r="A1123" s="98" t="s">
        <v>54</v>
      </c>
      <c r="B1123" s="98" t="s">
        <v>47</v>
      </c>
      <c r="C1123" s="98">
        <v>3.3E-4</v>
      </c>
      <c r="D1123" s="98">
        <v>3.3000999999999998E-3</v>
      </c>
      <c r="E1123" s="98">
        <v>1E-4</v>
      </c>
      <c r="F1123" s="98" t="s">
        <v>13</v>
      </c>
      <c r="G1123" s="98" t="s">
        <v>11</v>
      </c>
      <c r="H1123" s="98">
        <v>4.4999999999999998E-2</v>
      </c>
      <c r="I1123" s="98">
        <v>1.0000100000000001</v>
      </c>
      <c r="J1123" s="98" t="s">
        <v>10</v>
      </c>
      <c r="K1123" s="98">
        <v>57.722999999999999</v>
      </c>
      <c r="L1123" s="98">
        <v>45.396999999999998</v>
      </c>
      <c r="M1123" s="98">
        <v>57.722999999999999</v>
      </c>
      <c r="N1123" s="98">
        <v>45.366</v>
      </c>
      <c r="O1123" s="99" t="s">
        <v>2343</v>
      </c>
    </row>
    <row r="1124" spans="1:15" x14ac:dyDescent="0.25">
      <c r="A1124" s="98" t="s">
        <v>54</v>
      </c>
      <c r="B1124" s="98" t="s">
        <v>47</v>
      </c>
      <c r="C1124" s="98">
        <v>3.3E-4</v>
      </c>
      <c r="D1124" s="98">
        <v>3.3000999999999998E-3</v>
      </c>
      <c r="E1124" s="98">
        <v>1E-4</v>
      </c>
      <c r="F1124" s="98" t="s">
        <v>13</v>
      </c>
      <c r="G1124" s="98" t="s">
        <v>11</v>
      </c>
      <c r="H1124" s="98">
        <v>10</v>
      </c>
      <c r="I1124" s="98">
        <v>30</v>
      </c>
      <c r="J1124" s="98" t="s">
        <v>10</v>
      </c>
      <c r="K1124" s="98">
        <v>56.616999999999997</v>
      </c>
      <c r="L1124" s="98">
        <v>3922.7</v>
      </c>
      <c r="M1124" s="98">
        <v>56.616</v>
      </c>
      <c r="N1124" s="98">
        <v>3922.6</v>
      </c>
      <c r="O1124" s="99" t="s">
        <v>2771</v>
      </c>
    </row>
    <row r="1125" spans="1:15" x14ac:dyDescent="0.25">
      <c r="A1125" s="98" t="s">
        <v>54</v>
      </c>
      <c r="B1125" s="98" t="s">
        <v>47</v>
      </c>
      <c r="C1125" s="98">
        <v>3.3E-4</v>
      </c>
      <c r="D1125" s="98">
        <v>3.3000999999999998E-3</v>
      </c>
      <c r="E1125" s="98">
        <v>1E-4</v>
      </c>
      <c r="F1125" s="98" t="s">
        <v>13</v>
      </c>
      <c r="G1125" s="98" t="s">
        <v>11</v>
      </c>
      <c r="H1125" s="98">
        <v>30</v>
      </c>
      <c r="I1125" s="98">
        <v>30.1</v>
      </c>
      <c r="J1125" s="98" t="s">
        <v>10</v>
      </c>
      <c r="K1125" s="98">
        <v>56.616999999999997</v>
      </c>
      <c r="L1125" s="98">
        <v>3922.7</v>
      </c>
      <c r="M1125" s="98">
        <v>56.616</v>
      </c>
      <c r="N1125" s="98">
        <v>3922.6</v>
      </c>
      <c r="O1125" s="99" t="s">
        <v>2772</v>
      </c>
    </row>
    <row r="1126" spans="1:15" x14ac:dyDescent="0.25">
      <c r="A1126" s="98" t="s">
        <v>54</v>
      </c>
      <c r="B1126" s="98" t="s">
        <v>47</v>
      </c>
      <c r="C1126" s="98">
        <v>3.3E-4</v>
      </c>
      <c r="D1126" s="98">
        <v>3.3000999999999998E-3</v>
      </c>
      <c r="E1126" s="98">
        <v>1E-4</v>
      </c>
      <c r="F1126" s="98" t="s">
        <v>13</v>
      </c>
      <c r="G1126" s="98" t="s">
        <v>11</v>
      </c>
      <c r="H1126" s="98">
        <v>1</v>
      </c>
      <c r="I1126" s="98">
        <v>5.01</v>
      </c>
      <c r="J1126" s="98" t="s">
        <v>10</v>
      </c>
      <c r="K1126" s="98">
        <v>57.686</v>
      </c>
      <c r="L1126" s="98">
        <v>176.15</v>
      </c>
      <c r="M1126" s="98">
        <v>57.686</v>
      </c>
      <c r="N1126" s="98">
        <v>176.12</v>
      </c>
      <c r="O1126" s="99" t="s">
        <v>2345</v>
      </c>
    </row>
    <row r="1127" spans="1:15" x14ac:dyDescent="0.25">
      <c r="A1127" s="98" t="s">
        <v>54</v>
      </c>
      <c r="B1127" s="98" t="s">
        <v>47</v>
      </c>
      <c r="C1127" s="98">
        <v>3.3E-4</v>
      </c>
      <c r="D1127" s="98">
        <v>3.3000999999999998E-3</v>
      </c>
      <c r="E1127" s="98">
        <v>1E-4</v>
      </c>
      <c r="F1127" s="98" t="s">
        <v>13</v>
      </c>
      <c r="G1127" s="98" t="s">
        <v>11</v>
      </c>
      <c r="H1127" s="98">
        <v>5</v>
      </c>
      <c r="I1127" s="98">
        <v>10.01</v>
      </c>
      <c r="J1127" s="98" t="s">
        <v>10</v>
      </c>
      <c r="K1127" s="98">
        <v>57.432000000000002</v>
      </c>
      <c r="L1127" s="98">
        <v>1053.3</v>
      </c>
      <c r="M1127" s="98">
        <v>57.432000000000002</v>
      </c>
      <c r="N1127" s="98">
        <v>1053.2</v>
      </c>
      <c r="O1127" s="99" t="s">
        <v>2342</v>
      </c>
    </row>
    <row r="1128" spans="1:15" x14ac:dyDescent="0.25">
      <c r="A1128" s="98" t="s">
        <v>54</v>
      </c>
      <c r="B1128" s="98" t="s">
        <v>47</v>
      </c>
      <c r="C1128" s="98">
        <v>3.3E-4</v>
      </c>
      <c r="D1128" s="98">
        <v>3.3000999999999998E-3</v>
      </c>
      <c r="E1128" s="98">
        <v>1E-4</v>
      </c>
      <c r="F1128" s="98" t="s">
        <v>13</v>
      </c>
      <c r="G1128" s="98" t="s">
        <v>11</v>
      </c>
      <c r="H1128" s="98">
        <v>0.02</v>
      </c>
      <c r="I1128" s="98">
        <v>4.5010000000000001E-2</v>
      </c>
      <c r="J1128" s="98" t="s">
        <v>10</v>
      </c>
      <c r="K1128" s="98">
        <v>57.716000000000001</v>
      </c>
      <c r="L1128" s="98">
        <v>69.766000000000005</v>
      </c>
      <c r="M1128" s="98">
        <v>57.716000000000001</v>
      </c>
      <c r="N1128" s="98">
        <v>69.734999999999999</v>
      </c>
      <c r="O1128" s="99" t="s">
        <v>2344</v>
      </c>
    </row>
    <row r="1129" spans="1:15" x14ac:dyDescent="0.25">
      <c r="A1129" s="98" t="s">
        <v>54</v>
      </c>
      <c r="B1129" s="98" t="s">
        <v>47</v>
      </c>
      <c r="C1129" s="98">
        <v>3.3E-3</v>
      </c>
      <c r="D1129" s="98">
        <v>3.3001000000000003E-2</v>
      </c>
      <c r="E1129" s="98">
        <v>1E-8</v>
      </c>
      <c r="F1129" s="98" t="s">
        <v>13</v>
      </c>
      <c r="G1129" s="98" t="s">
        <v>11</v>
      </c>
      <c r="H1129" s="98">
        <v>10</v>
      </c>
      <c r="I1129" s="98">
        <v>30</v>
      </c>
      <c r="J1129" s="98" t="s">
        <v>10</v>
      </c>
      <c r="K1129" s="98">
        <v>5.3</v>
      </c>
      <c r="L1129" s="98">
        <v>4600</v>
      </c>
      <c r="M1129" s="98">
        <v>4.6162999999999998</v>
      </c>
      <c r="N1129" s="98">
        <v>4619.8999999999996</v>
      </c>
      <c r="O1129" s="99" t="s">
        <v>2347</v>
      </c>
    </row>
    <row r="1130" spans="1:15" x14ac:dyDescent="0.25">
      <c r="A1130" s="98" t="s">
        <v>54</v>
      </c>
      <c r="B1130" s="98" t="s">
        <v>47</v>
      </c>
      <c r="C1130" s="98">
        <v>3.3E-3</v>
      </c>
      <c r="D1130" s="98">
        <v>3.3001000000000003E-2</v>
      </c>
      <c r="E1130" s="98">
        <v>1E-8</v>
      </c>
      <c r="F1130" s="98" t="s">
        <v>13</v>
      </c>
      <c r="G1130" s="98" t="s">
        <v>11</v>
      </c>
      <c r="H1130" s="98">
        <v>1</v>
      </c>
      <c r="I1130" s="98">
        <v>5.01</v>
      </c>
      <c r="J1130" s="98" t="s">
        <v>10</v>
      </c>
      <c r="K1130" s="98">
        <v>2.4</v>
      </c>
      <c r="L1130" s="98">
        <v>930</v>
      </c>
      <c r="M1130" s="98">
        <v>2.3048000000000002</v>
      </c>
      <c r="N1130" s="98">
        <v>925.75</v>
      </c>
      <c r="O1130" s="99" t="s">
        <v>2350</v>
      </c>
    </row>
    <row r="1131" spans="1:15" x14ac:dyDescent="0.25">
      <c r="A1131" s="98" t="s">
        <v>54</v>
      </c>
      <c r="B1131" s="98" t="s">
        <v>47</v>
      </c>
      <c r="C1131" s="98">
        <v>3.3E-3</v>
      </c>
      <c r="D1131" s="98">
        <v>3.3001000000000003E-2</v>
      </c>
      <c r="E1131" s="98">
        <v>1E-8</v>
      </c>
      <c r="F1131" s="98" t="s">
        <v>13</v>
      </c>
      <c r="G1131" s="98" t="s">
        <v>11</v>
      </c>
      <c r="H1131" s="98">
        <v>5</v>
      </c>
      <c r="I1131" s="98">
        <v>10.01</v>
      </c>
      <c r="J1131" s="98" t="s">
        <v>10</v>
      </c>
      <c r="K1131" s="98">
        <v>3.8</v>
      </c>
      <c r="L1131" s="98">
        <v>2300</v>
      </c>
      <c r="M1131" s="98">
        <v>3.4643999999999999</v>
      </c>
      <c r="N1131" s="98">
        <v>2309.4</v>
      </c>
      <c r="O1131" s="99" t="s">
        <v>2351</v>
      </c>
    </row>
    <row r="1132" spans="1:15" x14ac:dyDescent="0.25">
      <c r="A1132" s="98" t="s">
        <v>54</v>
      </c>
      <c r="B1132" s="98" t="s">
        <v>47</v>
      </c>
      <c r="C1132" s="98">
        <v>3.3E-3</v>
      </c>
      <c r="D1132" s="98">
        <v>3.3001000000000003E-2</v>
      </c>
      <c r="E1132" s="98">
        <v>1E-8</v>
      </c>
      <c r="F1132" s="98" t="s">
        <v>13</v>
      </c>
      <c r="G1132" s="98" t="s">
        <v>11</v>
      </c>
      <c r="H1132" s="98">
        <v>4.4999999999999998E-2</v>
      </c>
      <c r="I1132" s="98">
        <v>1.0000100000000001</v>
      </c>
      <c r="J1132" s="98" t="s">
        <v>10</v>
      </c>
      <c r="K1132" s="98">
        <v>2.4</v>
      </c>
      <c r="L1132" s="98">
        <v>470</v>
      </c>
      <c r="M1132" s="98">
        <v>2.2997999999999998</v>
      </c>
      <c r="N1132" s="98">
        <v>465.62</v>
      </c>
      <c r="O1132" s="99" t="s">
        <v>2349</v>
      </c>
    </row>
    <row r="1133" spans="1:15" x14ac:dyDescent="0.25">
      <c r="A1133" s="98" t="s">
        <v>54</v>
      </c>
      <c r="B1133" s="98" t="s">
        <v>47</v>
      </c>
      <c r="C1133" s="98">
        <v>3.3E-3</v>
      </c>
      <c r="D1133" s="98">
        <v>3.3001000000000003E-2</v>
      </c>
      <c r="E1133" s="98">
        <v>1E-8</v>
      </c>
      <c r="F1133" s="98" t="s">
        <v>13</v>
      </c>
      <c r="G1133" s="98" t="s">
        <v>11</v>
      </c>
      <c r="H1133" s="98">
        <v>0.01</v>
      </c>
      <c r="I1133" s="98">
        <v>2.001E-2</v>
      </c>
      <c r="J1133" s="98" t="s">
        <v>10</v>
      </c>
      <c r="K1133" s="98">
        <v>2.4</v>
      </c>
      <c r="L1133" s="98">
        <v>2100</v>
      </c>
      <c r="M1133" s="98">
        <v>2.3005</v>
      </c>
      <c r="N1133" s="98">
        <v>2087.6</v>
      </c>
      <c r="O1133" s="99" t="s">
        <v>2348</v>
      </c>
    </row>
    <row r="1134" spans="1:15" x14ac:dyDescent="0.25">
      <c r="A1134" s="98" t="s">
        <v>54</v>
      </c>
      <c r="B1134" s="98" t="s">
        <v>47</v>
      </c>
      <c r="C1134" s="98">
        <v>3.3E-3</v>
      </c>
      <c r="D1134" s="98">
        <v>3.3001000000000003E-2</v>
      </c>
      <c r="E1134" s="98">
        <v>1E-8</v>
      </c>
      <c r="F1134" s="98" t="s">
        <v>13</v>
      </c>
      <c r="G1134" s="98" t="s">
        <v>11</v>
      </c>
      <c r="H1134" s="98">
        <v>0.02</v>
      </c>
      <c r="I1134" s="98">
        <v>4.5010000000000001E-2</v>
      </c>
      <c r="J1134" s="98" t="s">
        <v>10</v>
      </c>
      <c r="K1134" s="98">
        <v>3.8</v>
      </c>
      <c r="L1134" s="98">
        <v>1000</v>
      </c>
      <c r="M1134" s="98">
        <v>2.2968000000000002</v>
      </c>
      <c r="N1134" s="98">
        <v>1043.5999999999999</v>
      </c>
      <c r="O1134" s="99" t="s">
        <v>2773</v>
      </c>
    </row>
    <row r="1135" spans="1:15" x14ac:dyDescent="0.25">
      <c r="A1135" s="98" t="s">
        <v>54</v>
      </c>
      <c r="B1135" s="98" t="s">
        <v>47</v>
      </c>
      <c r="C1135" s="98">
        <v>3.3E-3</v>
      </c>
      <c r="D1135" s="98">
        <v>3.3001000000000003E-2</v>
      </c>
      <c r="E1135" s="98">
        <v>9.9999999999999995E-8</v>
      </c>
      <c r="F1135" s="98" t="s">
        <v>13</v>
      </c>
      <c r="G1135" s="98" t="s">
        <v>11</v>
      </c>
      <c r="H1135" s="98">
        <v>5</v>
      </c>
      <c r="I1135" s="98">
        <v>10.01</v>
      </c>
      <c r="J1135" s="98" t="s">
        <v>10</v>
      </c>
      <c r="K1135" s="98">
        <v>3.8</v>
      </c>
      <c r="L1135" s="98">
        <v>2300</v>
      </c>
      <c r="M1135" s="98">
        <v>3.4807000000000001</v>
      </c>
      <c r="N1135" s="98">
        <v>2309</v>
      </c>
      <c r="O1135" s="99" t="s">
        <v>2774</v>
      </c>
    </row>
    <row r="1136" spans="1:15" x14ac:dyDescent="0.25">
      <c r="A1136" s="98" t="s">
        <v>54</v>
      </c>
      <c r="B1136" s="98" t="s">
        <v>47</v>
      </c>
      <c r="C1136" s="98">
        <v>3.3E-3</v>
      </c>
      <c r="D1136" s="98">
        <v>3.3001000000000003E-2</v>
      </c>
      <c r="E1136" s="98">
        <v>9.9999999999999995E-8</v>
      </c>
      <c r="F1136" s="98" t="s">
        <v>13</v>
      </c>
      <c r="G1136" s="98" t="s">
        <v>11</v>
      </c>
      <c r="H1136" s="98">
        <v>10</v>
      </c>
      <c r="I1136" s="98">
        <v>30</v>
      </c>
      <c r="J1136" s="98" t="s">
        <v>10</v>
      </c>
      <c r="K1136" s="98">
        <v>5.3</v>
      </c>
      <c r="L1136" s="98">
        <v>4600</v>
      </c>
      <c r="M1136" s="98">
        <v>4.6261999999999999</v>
      </c>
      <c r="N1136" s="98">
        <v>4619.6000000000004</v>
      </c>
      <c r="O1136" s="99" t="s">
        <v>2355</v>
      </c>
    </row>
    <row r="1137" spans="1:15" x14ac:dyDescent="0.25">
      <c r="A1137" s="98" t="s">
        <v>54</v>
      </c>
      <c r="B1137" s="98" t="s">
        <v>47</v>
      </c>
      <c r="C1137" s="98">
        <v>3.3E-3</v>
      </c>
      <c r="D1137" s="98">
        <v>3.3001000000000003E-2</v>
      </c>
      <c r="E1137" s="98">
        <v>9.9999999999999995E-8</v>
      </c>
      <c r="F1137" s="98" t="s">
        <v>13</v>
      </c>
      <c r="G1137" s="98" t="s">
        <v>11</v>
      </c>
      <c r="H1137" s="98">
        <v>0.01</v>
      </c>
      <c r="I1137" s="98">
        <v>2.001E-2</v>
      </c>
      <c r="J1137" s="98" t="s">
        <v>10</v>
      </c>
      <c r="K1137" s="98">
        <v>2.4</v>
      </c>
      <c r="L1137" s="98">
        <v>2100</v>
      </c>
      <c r="M1137" s="98">
        <v>2.3157000000000001</v>
      </c>
      <c r="N1137" s="98">
        <v>2087.1</v>
      </c>
      <c r="O1137" s="99" t="s">
        <v>2353</v>
      </c>
    </row>
    <row r="1138" spans="1:15" x14ac:dyDescent="0.25">
      <c r="A1138" s="98" t="s">
        <v>54</v>
      </c>
      <c r="B1138" s="98" t="s">
        <v>47</v>
      </c>
      <c r="C1138" s="98">
        <v>3.3E-3</v>
      </c>
      <c r="D1138" s="98">
        <v>3.3001000000000003E-2</v>
      </c>
      <c r="E1138" s="98">
        <v>9.9999999999999995E-8</v>
      </c>
      <c r="F1138" s="98" t="s">
        <v>13</v>
      </c>
      <c r="G1138" s="98" t="s">
        <v>11</v>
      </c>
      <c r="H1138" s="98">
        <v>0.02</v>
      </c>
      <c r="I1138" s="98">
        <v>4.5010000000000001E-2</v>
      </c>
      <c r="J1138" s="98" t="s">
        <v>10</v>
      </c>
      <c r="K1138" s="98">
        <v>3.8</v>
      </c>
      <c r="L1138" s="98">
        <v>1000</v>
      </c>
      <c r="M1138" s="98">
        <v>2.3281999999999998</v>
      </c>
      <c r="N1138" s="98">
        <v>1042.8</v>
      </c>
      <c r="O1138" s="99" t="s">
        <v>2354</v>
      </c>
    </row>
    <row r="1139" spans="1:15" x14ac:dyDescent="0.25">
      <c r="A1139" s="98" t="s">
        <v>54</v>
      </c>
      <c r="B1139" s="98" t="s">
        <v>47</v>
      </c>
      <c r="C1139" s="98">
        <v>3.3E-3</v>
      </c>
      <c r="D1139" s="98">
        <v>3.3001000000000003E-2</v>
      </c>
      <c r="E1139" s="98">
        <v>9.9999999999999995E-8</v>
      </c>
      <c r="F1139" s="98" t="s">
        <v>13</v>
      </c>
      <c r="G1139" s="98" t="s">
        <v>11</v>
      </c>
      <c r="H1139" s="98">
        <v>1</v>
      </c>
      <c r="I1139" s="98">
        <v>5.01</v>
      </c>
      <c r="J1139" s="98" t="s">
        <v>10</v>
      </c>
      <c r="K1139" s="98">
        <v>2.4</v>
      </c>
      <c r="L1139" s="98">
        <v>930</v>
      </c>
      <c r="M1139" s="98">
        <v>2.3386</v>
      </c>
      <c r="N1139" s="98">
        <v>924.88</v>
      </c>
      <c r="O1139" s="99" t="s">
        <v>2775</v>
      </c>
    </row>
    <row r="1140" spans="1:15" x14ac:dyDescent="0.25">
      <c r="A1140" s="98" t="s">
        <v>54</v>
      </c>
      <c r="B1140" s="98" t="s">
        <v>47</v>
      </c>
      <c r="C1140" s="98">
        <v>3.3E-3</v>
      </c>
      <c r="D1140" s="98">
        <v>3.3001000000000003E-2</v>
      </c>
      <c r="E1140" s="98">
        <v>9.9999999999999995E-8</v>
      </c>
      <c r="F1140" s="98" t="s">
        <v>13</v>
      </c>
      <c r="G1140" s="98" t="s">
        <v>11</v>
      </c>
      <c r="H1140" s="98">
        <v>4.4999999999999998E-2</v>
      </c>
      <c r="I1140" s="98">
        <v>1.0000100000000001</v>
      </c>
      <c r="J1140" s="98" t="s">
        <v>10</v>
      </c>
      <c r="K1140" s="98">
        <v>2.4</v>
      </c>
      <c r="L1140" s="98">
        <v>470</v>
      </c>
      <c r="M1140" s="98">
        <v>2.3464</v>
      </c>
      <c r="N1140" s="98">
        <v>464.49</v>
      </c>
      <c r="O1140" s="99" t="s">
        <v>2352</v>
      </c>
    </row>
    <row r="1141" spans="1:15" x14ac:dyDescent="0.25">
      <c r="A1141" s="98" t="s">
        <v>54</v>
      </c>
      <c r="B1141" s="98" t="s">
        <v>47</v>
      </c>
      <c r="C1141" s="98">
        <v>3.3E-3</v>
      </c>
      <c r="D1141" s="98">
        <v>3.3001000000000003E-2</v>
      </c>
      <c r="E1141" s="98">
        <v>9.9999999999999995E-7</v>
      </c>
      <c r="F1141" s="98" t="s">
        <v>13</v>
      </c>
      <c r="G1141" s="98" t="s">
        <v>11</v>
      </c>
      <c r="H1141" s="98">
        <v>0.01</v>
      </c>
      <c r="I1141" s="98">
        <v>2.001E-2</v>
      </c>
      <c r="J1141" s="98" t="s">
        <v>10</v>
      </c>
      <c r="K1141" s="98">
        <v>4.0896999999999997</v>
      </c>
      <c r="L1141" s="98">
        <v>2048.8000000000002</v>
      </c>
      <c r="M1141" s="98">
        <v>4.1185</v>
      </c>
      <c r="N1141" s="98">
        <v>2039.5</v>
      </c>
      <c r="O1141" s="99" t="s">
        <v>2357</v>
      </c>
    </row>
    <row r="1142" spans="1:15" x14ac:dyDescent="0.25">
      <c r="A1142" s="98" t="s">
        <v>54</v>
      </c>
      <c r="B1142" s="98" t="s">
        <v>47</v>
      </c>
      <c r="C1142" s="98">
        <v>3.3E-3</v>
      </c>
      <c r="D1142" s="98">
        <v>3.3001000000000003E-2</v>
      </c>
      <c r="E1142" s="98">
        <v>9.9999999999999995E-7</v>
      </c>
      <c r="F1142" s="98" t="s">
        <v>13</v>
      </c>
      <c r="G1142" s="98" t="s">
        <v>11</v>
      </c>
      <c r="H1142" s="98">
        <v>5</v>
      </c>
      <c r="I1142" s="98">
        <v>10.01</v>
      </c>
      <c r="J1142" s="98" t="s">
        <v>10</v>
      </c>
      <c r="K1142" s="98">
        <v>5.0186000000000002</v>
      </c>
      <c r="L1142" s="98">
        <v>2268.6999999999998</v>
      </c>
      <c r="M1142" s="98">
        <v>5.0129000000000001</v>
      </c>
      <c r="N1142" s="98">
        <v>2268.8000000000002</v>
      </c>
      <c r="O1142" s="99" t="s">
        <v>2358</v>
      </c>
    </row>
    <row r="1143" spans="1:15" x14ac:dyDescent="0.25">
      <c r="A1143" s="98" t="s">
        <v>54</v>
      </c>
      <c r="B1143" s="98" t="s">
        <v>47</v>
      </c>
      <c r="C1143" s="98">
        <v>3.3E-3</v>
      </c>
      <c r="D1143" s="98">
        <v>3.3001000000000003E-2</v>
      </c>
      <c r="E1143" s="98">
        <v>9.9999999999999995E-7</v>
      </c>
      <c r="F1143" s="98" t="s">
        <v>13</v>
      </c>
      <c r="G1143" s="98" t="s">
        <v>11</v>
      </c>
      <c r="H1143" s="98">
        <v>1</v>
      </c>
      <c r="I1143" s="98">
        <v>5.01</v>
      </c>
      <c r="J1143" s="98" t="s">
        <v>10</v>
      </c>
      <c r="K1143" s="98">
        <v>5.0491000000000001</v>
      </c>
      <c r="L1143" s="98">
        <v>857.92</v>
      </c>
      <c r="M1143" s="98">
        <v>5.0465999999999998</v>
      </c>
      <c r="N1143" s="98">
        <v>857.92</v>
      </c>
      <c r="O1143" s="99" t="s">
        <v>2359</v>
      </c>
    </row>
    <row r="1144" spans="1:15" x14ac:dyDescent="0.25">
      <c r="A1144" s="98" t="s">
        <v>54</v>
      </c>
      <c r="B1144" s="98" t="s">
        <v>47</v>
      </c>
      <c r="C1144" s="98">
        <v>3.3E-3</v>
      </c>
      <c r="D1144" s="98">
        <v>3.3001000000000003E-2</v>
      </c>
      <c r="E1144" s="98">
        <v>9.9999999999999995E-7</v>
      </c>
      <c r="F1144" s="98" t="s">
        <v>13</v>
      </c>
      <c r="G1144" s="98" t="s">
        <v>11</v>
      </c>
      <c r="H1144" s="98">
        <v>0.02</v>
      </c>
      <c r="I1144" s="98">
        <v>4.5010000000000001E-2</v>
      </c>
      <c r="J1144" s="98" t="s">
        <v>10</v>
      </c>
      <c r="K1144" s="98">
        <v>4.9169999999999998</v>
      </c>
      <c r="L1144" s="98">
        <v>977.92</v>
      </c>
      <c r="M1144" s="98">
        <v>4.9145000000000003</v>
      </c>
      <c r="N1144" s="98">
        <v>977.93</v>
      </c>
      <c r="O1144" s="99" t="s">
        <v>2776</v>
      </c>
    </row>
    <row r="1145" spans="1:15" x14ac:dyDescent="0.25">
      <c r="A1145" s="98" t="s">
        <v>54</v>
      </c>
      <c r="B1145" s="98" t="s">
        <v>47</v>
      </c>
      <c r="C1145" s="98">
        <v>3.3E-3</v>
      </c>
      <c r="D1145" s="98">
        <v>3.3001000000000003E-2</v>
      </c>
      <c r="E1145" s="98">
        <v>9.9999999999999995E-7</v>
      </c>
      <c r="F1145" s="98" t="s">
        <v>13</v>
      </c>
      <c r="G1145" s="98" t="s">
        <v>11</v>
      </c>
      <c r="H1145" s="98">
        <v>4.4999999999999998E-2</v>
      </c>
      <c r="I1145" s="98">
        <v>1.0000100000000001</v>
      </c>
      <c r="J1145" s="98" t="s">
        <v>10</v>
      </c>
      <c r="K1145" s="98">
        <v>5.6395999999999997</v>
      </c>
      <c r="L1145" s="98">
        <v>392.41</v>
      </c>
      <c r="M1145" s="98">
        <v>5.6368999999999998</v>
      </c>
      <c r="N1145" s="98">
        <v>392.36</v>
      </c>
      <c r="O1145" s="99" t="s">
        <v>2777</v>
      </c>
    </row>
    <row r="1146" spans="1:15" x14ac:dyDescent="0.25">
      <c r="A1146" s="98" t="s">
        <v>54</v>
      </c>
      <c r="B1146" s="98" t="s">
        <v>47</v>
      </c>
      <c r="C1146" s="98">
        <v>3.3E-3</v>
      </c>
      <c r="D1146" s="98">
        <v>3.3001000000000003E-2</v>
      </c>
      <c r="E1146" s="98">
        <v>9.9999999999999995E-7</v>
      </c>
      <c r="F1146" s="98" t="s">
        <v>13</v>
      </c>
      <c r="G1146" s="98" t="s">
        <v>11</v>
      </c>
      <c r="H1146" s="98">
        <v>10</v>
      </c>
      <c r="I1146" s="98">
        <v>30</v>
      </c>
      <c r="J1146" s="98" t="s">
        <v>10</v>
      </c>
      <c r="K1146" s="98">
        <v>5.5293999999999999</v>
      </c>
      <c r="L1146" s="98">
        <v>4595.5</v>
      </c>
      <c r="M1146" s="98">
        <v>5.5179</v>
      </c>
      <c r="N1146" s="98">
        <v>4595.8</v>
      </c>
      <c r="O1146" s="99" t="s">
        <v>2356</v>
      </c>
    </row>
    <row r="1147" spans="1:15" x14ac:dyDescent="0.25">
      <c r="A1147" s="98" t="s">
        <v>54</v>
      </c>
      <c r="B1147" s="98" t="s">
        <v>47</v>
      </c>
      <c r="C1147" s="98">
        <v>3.3E-3</v>
      </c>
      <c r="D1147" s="98">
        <v>3.3001000000000003E-2</v>
      </c>
      <c r="E1147" s="98">
        <v>1.0000000000000001E-5</v>
      </c>
      <c r="F1147" s="98" t="s">
        <v>13</v>
      </c>
      <c r="G1147" s="98" t="s">
        <v>11</v>
      </c>
      <c r="H1147" s="98">
        <v>10</v>
      </c>
      <c r="I1147" s="98">
        <v>30</v>
      </c>
      <c r="J1147" s="98" t="s">
        <v>10</v>
      </c>
      <c r="K1147" s="98">
        <v>49.259</v>
      </c>
      <c r="L1147" s="98">
        <v>3578.8</v>
      </c>
      <c r="M1147" s="98">
        <v>49.247</v>
      </c>
      <c r="N1147" s="98">
        <v>3578.8</v>
      </c>
      <c r="O1147" s="99" t="s">
        <v>2360</v>
      </c>
    </row>
    <row r="1148" spans="1:15" x14ac:dyDescent="0.25">
      <c r="A1148" s="98" t="s">
        <v>54</v>
      </c>
      <c r="B1148" s="98" t="s">
        <v>47</v>
      </c>
      <c r="C1148" s="98">
        <v>3.3E-3</v>
      </c>
      <c r="D1148" s="98">
        <v>3.3001000000000003E-2</v>
      </c>
      <c r="E1148" s="98">
        <v>1.0000000000000001E-5</v>
      </c>
      <c r="F1148" s="98" t="s">
        <v>13</v>
      </c>
      <c r="G1148" s="98" t="s">
        <v>11</v>
      </c>
      <c r="H1148" s="98">
        <v>5</v>
      </c>
      <c r="I1148" s="98">
        <v>10.01</v>
      </c>
      <c r="J1148" s="98" t="s">
        <v>10</v>
      </c>
      <c r="K1148" s="98">
        <v>54.396999999999998</v>
      </c>
      <c r="L1148" s="98">
        <v>1333.5</v>
      </c>
      <c r="M1148" s="98">
        <v>54.39</v>
      </c>
      <c r="N1148" s="98">
        <v>1333.5</v>
      </c>
      <c r="O1148" s="99" t="s">
        <v>2779</v>
      </c>
    </row>
    <row r="1149" spans="1:15" x14ac:dyDescent="0.25">
      <c r="A1149" s="98" t="s">
        <v>54</v>
      </c>
      <c r="B1149" s="98" t="s">
        <v>47</v>
      </c>
      <c r="C1149" s="98">
        <v>3.3E-3</v>
      </c>
      <c r="D1149" s="98">
        <v>3.3001000000000003E-2</v>
      </c>
      <c r="E1149" s="98">
        <v>1.0000000000000001E-5</v>
      </c>
      <c r="F1149" s="98" t="s">
        <v>13</v>
      </c>
      <c r="G1149" s="98" t="s">
        <v>11</v>
      </c>
      <c r="H1149" s="98">
        <v>1</v>
      </c>
      <c r="I1149" s="98">
        <v>5.01</v>
      </c>
      <c r="J1149" s="98" t="s">
        <v>10</v>
      </c>
      <c r="K1149" s="98">
        <v>57.046999999999997</v>
      </c>
      <c r="L1149" s="98">
        <v>284.47000000000003</v>
      </c>
      <c r="M1149" s="98">
        <v>57.045000000000002</v>
      </c>
      <c r="N1149" s="98">
        <v>284.35000000000002</v>
      </c>
      <c r="O1149" s="99" t="s">
        <v>2778</v>
      </c>
    </row>
    <row r="1150" spans="1:15" x14ac:dyDescent="0.25">
      <c r="A1150" s="98" t="s">
        <v>54</v>
      </c>
      <c r="B1150" s="98" t="s">
        <v>47</v>
      </c>
      <c r="C1150" s="98">
        <v>3.3E-3</v>
      </c>
      <c r="D1150" s="98">
        <v>3.3001000000000003E-2</v>
      </c>
      <c r="E1150" s="98">
        <v>1.0000000000000001E-5</v>
      </c>
      <c r="F1150" s="98" t="s">
        <v>13</v>
      </c>
      <c r="G1150" s="98" t="s">
        <v>11</v>
      </c>
      <c r="H1150" s="98">
        <v>0.02</v>
      </c>
      <c r="I1150" s="98">
        <v>4.5010000000000001E-2</v>
      </c>
      <c r="J1150" s="98" t="s">
        <v>10</v>
      </c>
      <c r="K1150" s="98">
        <v>56.865000000000002</v>
      </c>
      <c r="L1150" s="98">
        <v>350.66</v>
      </c>
      <c r="M1150" s="98">
        <v>56.863</v>
      </c>
      <c r="N1150" s="98">
        <v>350.55</v>
      </c>
      <c r="O1150" s="99" t="s">
        <v>2362</v>
      </c>
    </row>
    <row r="1151" spans="1:15" x14ac:dyDescent="0.25">
      <c r="A1151" s="98" t="s">
        <v>54</v>
      </c>
      <c r="B1151" s="98" t="s">
        <v>47</v>
      </c>
      <c r="C1151" s="98">
        <v>3.3E-3</v>
      </c>
      <c r="D1151" s="98">
        <v>3.3001000000000003E-2</v>
      </c>
      <c r="E1151" s="98">
        <v>1.0000000000000001E-5</v>
      </c>
      <c r="F1151" s="98" t="s">
        <v>13</v>
      </c>
      <c r="G1151" s="98" t="s">
        <v>11</v>
      </c>
      <c r="H1151" s="98">
        <v>0.01</v>
      </c>
      <c r="I1151" s="98">
        <v>2.001E-2</v>
      </c>
      <c r="J1151" s="98" t="s">
        <v>10</v>
      </c>
      <c r="K1151" s="98">
        <v>54.774000000000001</v>
      </c>
      <c r="L1151" s="98">
        <v>1117.8</v>
      </c>
      <c r="M1151" s="98">
        <v>54.773000000000003</v>
      </c>
      <c r="N1151" s="98">
        <v>1117.7</v>
      </c>
      <c r="O1151" s="99" t="s">
        <v>2361</v>
      </c>
    </row>
    <row r="1152" spans="1:15" x14ac:dyDescent="0.25">
      <c r="A1152" s="98" t="s">
        <v>54</v>
      </c>
      <c r="B1152" s="98" t="s">
        <v>47</v>
      </c>
      <c r="C1152" s="98">
        <v>3.3E-3</v>
      </c>
      <c r="D1152" s="98">
        <v>3.3001000000000003E-2</v>
      </c>
      <c r="E1152" s="98">
        <v>1.0000000000000001E-5</v>
      </c>
      <c r="F1152" s="98" t="s">
        <v>13</v>
      </c>
      <c r="G1152" s="98" t="s">
        <v>11</v>
      </c>
      <c r="H1152" s="98">
        <v>4.4999999999999998E-2</v>
      </c>
      <c r="I1152" s="98">
        <v>1.0000100000000001</v>
      </c>
      <c r="J1152" s="98" t="s">
        <v>10</v>
      </c>
      <c r="K1152" s="98">
        <v>57.584000000000003</v>
      </c>
      <c r="L1152" s="98">
        <v>84.81</v>
      </c>
      <c r="M1152" s="98">
        <v>57.582999999999998</v>
      </c>
      <c r="N1152" s="98">
        <v>84.671999999999997</v>
      </c>
      <c r="O1152" s="99" t="s">
        <v>2363</v>
      </c>
    </row>
    <row r="1153" spans="1:15" x14ac:dyDescent="0.25">
      <c r="A1153" s="98" t="s">
        <v>54</v>
      </c>
      <c r="B1153" s="98" t="s">
        <v>47</v>
      </c>
      <c r="C1153" s="98">
        <v>3.3E-3</v>
      </c>
      <c r="D1153" s="98">
        <v>3.3001000000000003E-2</v>
      </c>
      <c r="E1153" s="98">
        <v>1E-4</v>
      </c>
      <c r="F1153" s="98" t="s">
        <v>13</v>
      </c>
      <c r="G1153" s="98" t="s">
        <v>11</v>
      </c>
      <c r="H1153" s="98">
        <v>1</v>
      </c>
      <c r="I1153" s="98">
        <v>5.01</v>
      </c>
      <c r="J1153" s="98" t="s">
        <v>10</v>
      </c>
      <c r="K1153" s="98">
        <v>577.28</v>
      </c>
      <c r="L1153" s="98">
        <v>30.67</v>
      </c>
      <c r="M1153" s="98">
        <v>577.28</v>
      </c>
      <c r="N1153" s="98">
        <v>30.611999999999998</v>
      </c>
      <c r="O1153" s="99" t="s">
        <v>2364</v>
      </c>
    </row>
    <row r="1154" spans="1:15" x14ac:dyDescent="0.25">
      <c r="A1154" s="98" t="s">
        <v>54</v>
      </c>
      <c r="B1154" s="98" t="s">
        <v>47</v>
      </c>
      <c r="C1154" s="98">
        <v>3.3E-3</v>
      </c>
      <c r="D1154" s="98">
        <v>3.3001000000000003E-2</v>
      </c>
      <c r="E1154" s="98">
        <v>1E-4</v>
      </c>
      <c r="F1154" s="98" t="s">
        <v>13</v>
      </c>
      <c r="G1154" s="98" t="s">
        <v>11</v>
      </c>
      <c r="H1154" s="98">
        <v>0.01</v>
      </c>
      <c r="I1154" s="98">
        <v>2.001E-2</v>
      </c>
      <c r="J1154" s="98" t="s">
        <v>10</v>
      </c>
      <c r="K1154" s="98">
        <v>576.95000000000005</v>
      </c>
      <c r="L1154" s="98">
        <v>144.81</v>
      </c>
      <c r="M1154" s="98">
        <v>576.95000000000005</v>
      </c>
      <c r="N1154" s="98">
        <v>144.75</v>
      </c>
      <c r="O1154" s="99" t="s">
        <v>2780</v>
      </c>
    </row>
    <row r="1155" spans="1:15" x14ac:dyDescent="0.25">
      <c r="A1155" s="98" t="s">
        <v>54</v>
      </c>
      <c r="B1155" s="98" t="s">
        <v>47</v>
      </c>
      <c r="C1155" s="98">
        <v>3.3E-3</v>
      </c>
      <c r="D1155" s="98">
        <v>3.3001000000000003E-2</v>
      </c>
      <c r="E1155" s="98">
        <v>1E-4</v>
      </c>
      <c r="F1155" s="98" t="s">
        <v>13</v>
      </c>
      <c r="G1155" s="98" t="s">
        <v>11</v>
      </c>
      <c r="H1155" s="98">
        <v>10</v>
      </c>
      <c r="I1155" s="98">
        <v>30</v>
      </c>
      <c r="J1155" s="98" t="s">
        <v>10</v>
      </c>
      <c r="K1155" s="98">
        <v>575.41</v>
      </c>
      <c r="L1155" s="98">
        <v>695.3</v>
      </c>
      <c r="M1155" s="98">
        <v>575.4</v>
      </c>
      <c r="N1155" s="98">
        <v>695.06</v>
      </c>
      <c r="O1155" s="99" t="s">
        <v>2365</v>
      </c>
    </row>
    <row r="1156" spans="1:15" x14ac:dyDescent="0.25">
      <c r="A1156" s="98" t="s">
        <v>54</v>
      </c>
      <c r="B1156" s="98" t="s">
        <v>47</v>
      </c>
      <c r="C1156" s="98">
        <v>3.3E-3</v>
      </c>
      <c r="D1156" s="98">
        <v>3.3001000000000003E-2</v>
      </c>
      <c r="E1156" s="98">
        <v>1E-4</v>
      </c>
      <c r="F1156" s="98" t="s">
        <v>13</v>
      </c>
      <c r="G1156" s="98" t="s">
        <v>11</v>
      </c>
      <c r="H1156" s="98">
        <v>5</v>
      </c>
      <c r="I1156" s="98">
        <v>10.01</v>
      </c>
      <c r="J1156" s="98" t="s">
        <v>10</v>
      </c>
      <c r="K1156" s="98">
        <v>576.87</v>
      </c>
      <c r="L1156" s="98">
        <v>180.75</v>
      </c>
      <c r="M1156" s="98">
        <v>576.87</v>
      </c>
      <c r="N1156" s="98">
        <v>180.65</v>
      </c>
      <c r="O1156" s="99" t="s">
        <v>2368</v>
      </c>
    </row>
    <row r="1157" spans="1:15" x14ac:dyDescent="0.25">
      <c r="A1157" s="98" t="s">
        <v>54</v>
      </c>
      <c r="B1157" s="98" t="s">
        <v>47</v>
      </c>
      <c r="C1157" s="98">
        <v>3.3E-3</v>
      </c>
      <c r="D1157" s="98">
        <v>3.3001000000000003E-2</v>
      </c>
      <c r="E1157" s="98">
        <v>1E-4</v>
      </c>
      <c r="F1157" s="98" t="s">
        <v>13</v>
      </c>
      <c r="G1157" s="98" t="s">
        <v>11</v>
      </c>
      <c r="H1157" s="98">
        <v>0.02</v>
      </c>
      <c r="I1157" s="98">
        <v>4.5010000000000001E-2</v>
      </c>
      <c r="J1157" s="98" t="s">
        <v>10</v>
      </c>
      <c r="K1157" s="98">
        <v>577.26</v>
      </c>
      <c r="L1157" s="98">
        <v>38.406999999999996</v>
      </c>
      <c r="M1157" s="98">
        <v>577.26</v>
      </c>
      <c r="N1157" s="98">
        <v>38.348999999999997</v>
      </c>
      <c r="O1157" s="99" t="s">
        <v>2781</v>
      </c>
    </row>
    <row r="1158" spans="1:15" x14ac:dyDescent="0.25">
      <c r="A1158" s="98" t="s">
        <v>54</v>
      </c>
      <c r="B1158" s="98" t="s">
        <v>47</v>
      </c>
      <c r="C1158" s="98">
        <v>3.3E-3</v>
      </c>
      <c r="D1158" s="98">
        <v>3.3001000000000003E-2</v>
      </c>
      <c r="E1158" s="98">
        <v>1E-4</v>
      </c>
      <c r="F1158" s="98" t="s">
        <v>13</v>
      </c>
      <c r="G1158" s="98" t="s">
        <v>11</v>
      </c>
      <c r="H1158" s="98">
        <v>4.4999999999999998E-2</v>
      </c>
      <c r="I1158" s="98">
        <v>1.0000100000000001</v>
      </c>
      <c r="J1158" s="98" t="s">
        <v>10</v>
      </c>
      <c r="K1158" s="98">
        <v>577.34</v>
      </c>
      <c r="L1158" s="98">
        <v>8.7265999999999995</v>
      </c>
      <c r="M1158" s="98">
        <v>577.34</v>
      </c>
      <c r="N1158" s="98">
        <v>8.6681000000000008</v>
      </c>
      <c r="O1158" s="99" t="s">
        <v>2367</v>
      </c>
    </row>
    <row r="1159" spans="1:15" x14ac:dyDescent="0.25">
      <c r="A1159" s="98" t="s">
        <v>54</v>
      </c>
      <c r="B1159" s="98" t="s">
        <v>47</v>
      </c>
      <c r="C1159" s="98">
        <v>3.3E-3</v>
      </c>
      <c r="D1159" s="98">
        <v>3.3001000000000003E-2</v>
      </c>
      <c r="E1159" s="98">
        <v>1E-4</v>
      </c>
      <c r="F1159" s="98" t="s">
        <v>13</v>
      </c>
      <c r="G1159" s="98" t="s">
        <v>11</v>
      </c>
      <c r="H1159" s="98">
        <v>30</v>
      </c>
      <c r="I1159" s="98">
        <v>30.01</v>
      </c>
      <c r="J1159" s="98" t="s">
        <v>10</v>
      </c>
      <c r="K1159" s="98">
        <v>575.41</v>
      </c>
      <c r="L1159" s="98">
        <v>695.3</v>
      </c>
      <c r="M1159" s="98">
        <v>575.4</v>
      </c>
      <c r="N1159" s="98">
        <v>695.06</v>
      </c>
      <c r="O1159" s="99" t="s">
        <v>2366</v>
      </c>
    </row>
    <row r="1160" spans="1:15" x14ac:dyDescent="0.25">
      <c r="A1160" s="98" t="s">
        <v>54</v>
      </c>
      <c r="B1160" s="98" t="s">
        <v>47</v>
      </c>
      <c r="C1160" s="98">
        <v>3.3000000000000002E-2</v>
      </c>
      <c r="D1160" s="98">
        <v>0.33001000000000003</v>
      </c>
      <c r="E1160" s="98">
        <v>9.9999999999999995E-7</v>
      </c>
      <c r="F1160" s="98" t="s">
        <v>13</v>
      </c>
      <c r="G1160" s="98" t="s">
        <v>12</v>
      </c>
      <c r="H1160" s="98">
        <v>5</v>
      </c>
      <c r="I1160" s="98">
        <v>10.01</v>
      </c>
      <c r="J1160" s="98" t="s">
        <v>10</v>
      </c>
      <c r="K1160" s="98">
        <v>0.12</v>
      </c>
      <c r="L1160" s="98">
        <v>2.2999999999999998</v>
      </c>
      <c r="M1160" s="98">
        <v>0.11543</v>
      </c>
      <c r="N1160" s="98">
        <v>2.3113999999999999</v>
      </c>
      <c r="O1160" s="99" t="s">
        <v>2371</v>
      </c>
    </row>
    <row r="1161" spans="1:15" x14ac:dyDescent="0.25">
      <c r="A1161" s="98" t="s">
        <v>54</v>
      </c>
      <c r="B1161" s="98" t="s">
        <v>47</v>
      </c>
      <c r="C1161" s="98">
        <v>3.3000000000000002E-2</v>
      </c>
      <c r="D1161" s="98">
        <v>0.33001000000000003</v>
      </c>
      <c r="E1161" s="98">
        <v>9.9999999999999995E-7</v>
      </c>
      <c r="F1161" s="98" t="s">
        <v>13</v>
      </c>
      <c r="G1161" s="98" t="s">
        <v>12</v>
      </c>
      <c r="H1161" s="98">
        <v>4.4999999999999998E-2</v>
      </c>
      <c r="I1161" s="98">
        <v>1.0000100000000001</v>
      </c>
      <c r="J1161" s="98" t="s">
        <v>10</v>
      </c>
      <c r="K1161" s="98">
        <v>2.4E-2</v>
      </c>
      <c r="L1161" s="98">
        <v>0.47</v>
      </c>
      <c r="M1161" s="98">
        <v>2.282E-2</v>
      </c>
      <c r="N1161" s="98">
        <v>0.47204000000000002</v>
      </c>
      <c r="O1161" s="99" t="s">
        <v>2369</v>
      </c>
    </row>
    <row r="1162" spans="1:15" x14ac:dyDescent="0.25">
      <c r="A1162" s="98" t="s">
        <v>54</v>
      </c>
      <c r="B1162" s="98" t="s">
        <v>47</v>
      </c>
      <c r="C1162" s="98">
        <v>3.3000000000000002E-2</v>
      </c>
      <c r="D1162" s="98">
        <v>0.33001000000000003</v>
      </c>
      <c r="E1162" s="98">
        <v>9.9999999999999995E-7</v>
      </c>
      <c r="F1162" s="98" t="s">
        <v>13</v>
      </c>
      <c r="G1162" s="98" t="s">
        <v>12</v>
      </c>
      <c r="H1162" s="98">
        <v>10</v>
      </c>
      <c r="I1162" s="98">
        <v>30</v>
      </c>
      <c r="J1162" s="98" t="s">
        <v>10</v>
      </c>
      <c r="K1162" s="98">
        <v>0.24</v>
      </c>
      <c r="L1162" s="98">
        <v>4.5999999999999996</v>
      </c>
      <c r="M1162" s="98">
        <v>0.23085</v>
      </c>
      <c r="N1162" s="98">
        <v>4.6219000000000001</v>
      </c>
      <c r="O1162" s="99" t="s">
        <v>2372</v>
      </c>
    </row>
    <row r="1163" spans="1:15" x14ac:dyDescent="0.25">
      <c r="A1163" s="98" t="s">
        <v>54</v>
      </c>
      <c r="B1163" s="98" t="s">
        <v>47</v>
      </c>
      <c r="C1163" s="98">
        <v>3.3000000000000002E-2</v>
      </c>
      <c r="D1163" s="98">
        <v>0.33001000000000003</v>
      </c>
      <c r="E1163" s="98">
        <v>9.9999999999999995E-7</v>
      </c>
      <c r="F1163" s="98" t="s">
        <v>13</v>
      </c>
      <c r="G1163" s="98" t="s">
        <v>12</v>
      </c>
      <c r="H1163" s="98">
        <v>0.01</v>
      </c>
      <c r="I1163" s="98">
        <v>2.001E-2</v>
      </c>
      <c r="J1163" s="98" t="s">
        <v>10</v>
      </c>
      <c r="K1163" s="98">
        <v>2.3E-2</v>
      </c>
      <c r="L1163" s="98">
        <v>2.1</v>
      </c>
      <c r="M1163" s="98">
        <v>2.2917E-2</v>
      </c>
      <c r="N1163" s="98">
        <v>2.0907</v>
      </c>
      <c r="O1163" s="99" t="s">
        <v>2375</v>
      </c>
    </row>
    <row r="1164" spans="1:15" x14ac:dyDescent="0.25">
      <c r="A1164" s="98" t="s">
        <v>54</v>
      </c>
      <c r="B1164" s="98" t="s">
        <v>47</v>
      </c>
      <c r="C1164" s="98">
        <v>3.3000000000000002E-2</v>
      </c>
      <c r="D1164" s="98">
        <v>0.33001000000000003</v>
      </c>
      <c r="E1164" s="98">
        <v>9.9999999999999995E-7</v>
      </c>
      <c r="F1164" s="98" t="s">
        <v>13</v>
      </c>
      <c r="G1164" s="98" t="s">
        <v>12</v>
      </c>
      <c r="H1164" s="98">
        <v>1</v>
      </c>
      <c r="I1164" s="98">
        <v>5.01</v>
      </c>
      <c r="J1164" s="98" t="s">
        <v>10</v>
      </c>
      <c r="K1164" s="98">
        <v>5.8000000000000003E-2</v>
      </c>
      <c r="L1164" s="98">
        <v>1.2</v>
      </c>
      <c r="M1164" s="98">
        <v>5.7624000000000002E-2</v>
      </c>
      <c r="N1164" s="98">
        <v>1.1588000000000001</v>
      </c>
      <c r="O1164" s="99" t="s">
        <v>2374</v>
      </c>
    </row>
    <row r="1165" spans="1:15" x14ac:dyDescent="0.25">
      <c r="A1165" s="98" t="s">
        <v>54</v>
      </c>
      <c r="B1165" s="98" t="s">
        <v>47</v>
      </c>
      <c r="C1165" s="98">
        <v>3.3000000000000002E-2</v>
      </c>
      <c r="D1165" s="98">
        <v>0.33001000000000003</v>
      </c>
      <c r="E1165" s="98">
        <v>9.9999999999999995E-7</v>
      </c>
      <c r="F1165" s="98" t="s">
        <v>13</v>
      </c>
      <c r="G1165" s="98" t="s">
        <v>12</v>
      </c>
      <c r="H1165" s="98">
        <v>30</v>
      </c>
      <c r="I1165" s="98">
        <v>30.01</v>
      </c>
      <c r="J1165" s="98" t="s">
        <v>10</v>
      </c>
      <c r="K1165" s="98">
        <v>0.24</v>
      </c>
      <c r="L1165" s="98">
        <v>4.5999999999999996</v>
      </c>
      <c r="M1165" s="98">
        <v>0.23085</v>
      </c>
      <c r="N1165" s="98">
        <v>4.6219000000000001</v>
      </c>
      <c r="O1165" s="99" t="s">
        <v>2370</v>
      </c>
    </row>
    <row r="1166" spans="1:15" x14ac:dyDescent="0.25">
      <c r="A1166" s="98" t="s">
        <v>54</v>
      </c>
      <c r="B1166" s="98" t="s">
        <v>47</v>
      </c>
      <c r="C1166" s="98">
        <v>3.3000000000000002E-2</v>
      </c>
      <c r="D1166" s="98">
        <v>0.33001000000000003</v>
      </c>
      <c r="E1166" s="98">
        <v>9.9999999999999995E-7</v>
      </c>
      <c r="F1166" s="98" t="s">
        <v>13</v>
      </c>
      <c r="G1166" s="98" t="s">
        <v>12</v>
      </c>
      <c r="H1166" s="98">
        <v>0.02</v>
      </c>
      <c r="I1166" s="98">
        <v>4.5010000000000001E-2</v>
      </c>
      <c r="J1166" s="98" t="s">
        <v>10</v>
      </c>
      <c r="K1166" s="98">
        <v>3.7999999999999999E-2</v>
      </c>
      <c r="L1166" s="98">
        <v>1</v>
      </c>
      <c r="M1166" s="98">
        <v>2.3094E-2</v>
      </c>
      <c r="N1166" s="98">
        <v>1.0436000000000001</v>
      </c>
      <c r="O1166" s="99" t="s">
        <v>2373</v>
      </c>
    </row>
    <row r="1167" spans="1:15" x14ac:dyDescent="0.25">
      <c r="A1167" s="98" t="s">
        <v>54</v>
      </c>
      <c r="B1167" s="98" t="s">
        <v>47</v>
      </c>
      <c r="C1167" s="98">
        <v>3.3000000000000002E-2</v>
      </c>
      <c r="D1167" s="98">
        <v>0.33001000000000003</v>
      </c>
      <c r="E1167" s="98">
        <v>1.0000000000000001E-5</v>
      </c>
      <c r="F1167" s="98" t="s">
        <v>13</v>
      </c>
      <c r="G1167" s="98" t="s">
        <v>12</v>
      </c>
      <c r="H1167" s="98">
        <v>1</v>
      </c>
      <c r="I1167" s="98">
        <v>5.01</v>
      </c>
      <c r="J1167" s="98" t="s">
        <v>10</v>
      </c>
      <c r="K1167" s="98">
        <v>5.8000000000000003E-2</v>
      </c>
      <c r="L1167" s="98">
        <v>1.2</v>
      </c>
      <c r="M1167" s="98">
        <v>5.7825000000000001E-2</v>
      </c>
      <c r="N1167" s="98">
        <v>1.1583000000000001</v>
      </c>
      <c r="O1167" s="99" t="s">
        <v>2377</v>
      </c>
    </row>
    <row r="1168" spans="1:15" x14ac:dyDescent="0.25">
      <c r="A1168" s="98" t="s">
        <v>54</v>
      </c>
      <c r="B1168" s="98" t="s">
        <v>47</v>
      </c>
      <c r="C1168" s="98">
        <v>3.3000000000000002E-2</v>
      </c>
      <c r="D1168" s="98">
        <v>0.33001000000000003</v>
      </c>
      <c r="E1168" s="98">
        <v>1.0000000000000001E-5</v>
      </c>
      <c r="F1168" s="98" t="s">
        <v>13</v>
      </c>
      <c r="G1168" s="98" t="s">
        <v>12</v>
      </c>
      <c r="H1168" s="98">
        <v>4.4999999999999998E-2</v>
      </c>
      <c r="I1168" s="98">
        <v>1.0000100000000001</v>
      </c>
      <c r="J1168" s="98" t="s">
        <v>10</v>
      </c>
      <c r="K1168" s="98">
        <v>2.4E-2</v>
      </c>
      <c r="L1168" s="98">
        <v>0.47</v>
      </c>
      <c r="M1168" s="98">
        <v>2.3285E-2</v>
      </c>
      <c r="N1168" s="98">
        <v>0.47091</v>
      </c>
      <c r="O1168" s="99" t="s">
        <v>2783</v>
      </c>
    </row>
    <row r="1169" spans="1:15" x14ac:dyDescent="0.25">
      <c r="A1169" s="98" t="s">
        <v>54</v>
      </c>
      <c r="B1169" s="98" t="s">
        <v>47</v>
      </c>
      <c r="C1169" s="98">
        <v>3.3000000000000002E-2</v>
      </c>
      <c r="D1169" s="98">
        <v>0.33001000000000003</v>
      </c>
      <c r="E1169" s="98">
        <v>1.0000000000000001E-5</v>
      </c>
      <c r="F1169" s="98" t="s">
        <v>13</v>
      </c>
      <c r="G1169" s="98" t="s">
        <v>12</v>
      </c>
      <c r="H1169" s="98">
        <v>0.02</v>
      </c>
      <c r="I1169" s="98">
        <v>4.5010000000000001E-2</v>
      </c>
      <c r="J1169" s="98" t="s">
        <v>10</v>
      </c>
      <c r="K1169" s="98">
        <v>3.7999999999999999E-2</v>
      </c>
      <c r="L1169" s="98">
        <v>1</v>
      </c>
      <c r="M1169" s="98">
        <v>2.3358E-2</v>
      </c>
      <c r="N1169" s="98">
        <v>1.0427999999999999</v>
      </c>
      <c r="O1169" s="99" t="s">
        <v>2376</v>
      </c>
    </row>
    <row r="1170" spans="1:15" x14ac:dyDescent="0.25">
      <c r="A1170" s="98" t="s">
        <v>54</v>
      </c>
      <c r="B1170" s="98" t="s">
        <v>47</v>
      </c>
      <c r="C1170" s="98">
        <v>3.3000000000000002E-2</v>
      </c>
      <c r="D1170" s="98">
        <v>0.33001000000000003</v>
      </c>
      <c r="E1170" s="98">
        <v>1.0000000000000001E-5</v>
      </c>
      <c r="F1170" s="98" t="s">
        <v>13</v>
      </c>
      <c r="G1170" s="98" t="s">
        <v>12</v>
      </c>
      <c r="H1170" s="98">
        <v>0.01</v>
      </c>
      <c r="I1170" s="98">
        <v>2.001E-2</v>
      </c>
      <c r="J1170" s="98" t="s">
        <v>10</v>
      </c>
      <c r="K1170" s="98">
        <v>2.3E-2</v>
      </c>
      <c r="L1170" s="98">
        <v>2.1</v>
      </c>
      <c r="M1170" s="98">
        <v>2.3129E-2</v>
      </c>
      <c r="N1170" s="98">
        <v>2.0901000000000001</v>
      </c>
      <c r="O1170" s="99" t="s">
        <v>2379</v>
      </c>
    </row>
    <row r="1171" spans="1:15" x14ac:dyDescent="0.25">
      <c r="A1171" s="98" t="s">
        <v>54</v>
      </c>
      <c r="B1171" s="98" t="s">
        <v>47</v>
      </c>
      <c r="C1171" s="98">
        <v>3.3000000000000002E-2</v>
      </c>
      <c r="D1171" s="98">
        <v>0.33001000000000003</v>
      </c>
      <c r="E1171" s="98">
        <v>1.0000000000000001E-5</v>
      </c>
      <c r="F1171" s="98" t="s">
        <v>13</v>
      </c>
      <c r="G1171" s="98" t="s">
        <v>12</v>
      </c>
      <c r="H1171" s="98">
        <v>5</v>
      </c>
      <c r="I1171" s="98">
        <v>10.01</v>
      </c>
      <c r="J1171" s="98" t="s">
        <v>10</v>
      </c>
      <c r="K1171" s="98">
        <v>0.12</v>
      </c>
      <c r="L1171" s="98">
        <v>2.2999999999999998</v>
      </c>
      <c r="M1171" s="98">
        <v>0.11552</v>
      </c>
      <c r="N1171" s="98">
        <v>2.3111999999999999</v>
      </c>
      <c r="O1171" s="99" t="s">
        <v>2782</v>
      </c>
    </row>
    <row r="1172" spans="1:15" x14ac:dyDescent="0.25">
      <c r="A1172" s="98" t="s">
        <v>54</v>
      </c>
      <c r="B1172" s="98" t="s">
        <v>47</v>
      </c>
      <c r="C1172" s="98">
        <v>3.3000000000000002E-2</v>
      </c>
      <c r="D1172" s="98">
        <v>0.33001000000000003</v>
      </c>
      <c r="E1172" s="98">
        <v>1.0000000000000001E-5</v>
      </c>
      <c r="F1172" s="98" t="s">
        <v>13</v>
      </c>
      <c r="G1172" s="98" t="s">
        <v>12</v>
      </c>
      <c r="H1172" s="98">
        <v>10</v>
      </c>
      <c r="I1172" s="98">
        <v>30</v>
      </c>
      <c r="J1172" s="98" t="s">
        <v>10</v>
      </c>
      <c r="K1172" s="98">
        <v>0.24</v>
      </c>
      <c r="L1172" s="98">
        <v>4.5999999999999996</v>
      </c>
      <c r="M1172" s="98">
        <v>0.23089999999999999</v>
      </c>
      <c r="N1172" s="98">
        <v>4.6218000000000004</v>
      </c>
      <c r="O1172" s="99" t="s">
        <v>2378</v>
      </c>
    </row>
    <row r="1173" spans="1:15" x14ac:dyDescent="0.25">
      <c r="A1173" s="98" t="s">
        <v>54</v>
      </c>
      <c r="B1173" s="98" t="s">
        <v>47</v>
      </c>
      <c r="C1173" s="98">
        <v>3.3000000000000002E-2</v>
      </c>
      <c r="D1173" s="98">
        <v>0.33001000000000003</v>
      </c>
      <c r="E1173" s="98">
        <v>1.0000000000000001E-5</v>
      </c>
      <c r="F1173" s="98" t="s">
        <v>13</v>
      </c>
      <c r="G1173" s="98" t="s">
        <v>12</v>
      </c>
      <c r="H1173" s="98">
        <v>30</v>
      </c>
      <c r="I1173" s="98">
        <v>30.01</v>
      </c>
      <c r="J1173" s="98" t="s">
        <v>10</v>
      </c>
      <c r="K1173" s="98">
        <v>0.24</v>
      </c>
      <c r="L1173" s="98">
        <v>4.5999999999999996</v>
      </c>
      <c r="M1173" s="98">
        <v>0.23089999999999999</v>
      </c>
      <c r="N1173" s="98">
        <v>4.6218000000000004</v>
      </c>
      <c r="O1173" s="99" t="s">
        <v>2380</v>
      </c>
    </row>
    <row r="1174" spans="1:15" x14ac:dyDescent="0.25">
      <c r="A1174" s="98" t="s">
        <v>54</v>
      </c>
      <c r="B1174" s="98" t="s">
        <v>47</v>
      </c>
      <c r="C1174" s="98">
        <v>3.3000000000000002E-2</v>
      </c>
      <c r="D1174" s="98">
        <v>0.33001000000000003</v>
      </c>
      <c r="E1174" s="98">
        <v>1E-4</v>
      </c>
      <c r="F1174" s="98" t="s">
        <v>13</v>
      </c>
      <c r="G1174" s="98" t="s">
        <v>12</v>
      </c>
      <c r="H1174" s="98">
        <v>10</v>
      </c>
      <c r="I1174" s="98">
        <v>30</v>
      </c>
      <c r="J1174" s="98" t="s">
        <v>10</v>
      </c>
      <c r="K1174" s="98">
        <v>0.24</v>
      </c>
      <c r="L1174" s="98">
        <v>4.5999999999999996</v>
      </c>
      <c r="M1174" s="98">
        <v>0.23555999999999999</v>
      </c>
      <c r="N1174" s="98">
        <v>4.6105</v>
      </c>
      <c r="O1174" s="99" t="s">
        <v>2382</v>
      </c>
    </row>
    <row r="1175" spans="1:15" x14ac:dyDescent="0.25">
      <c r="A1175" s="98" t="s">
        <v>54</v>
      </c>
      <c r="B1175" s="98" t="s">
        <v>47</v>
      </c>
      <c r="C1175" s="98">
        <v>3.3000000000000002E-2</v>
      </c>
      <c r="D1175" s="98">
        <v>0.33001000000000003</v>
      </c>
      <c r="E1175" s="98">
        <v>1E-4</v>
      </c>
      <c r="F1175" s="98" t="s">
        <v>13</v>
      </c>
      <c r="G1175" s="98" t="s">
        <v>12</v>
      </c>
      <c r="H1175" s="98">
        <v>5</v>
      </c>
      <c r="I1175" s="98">
        <v>10.01</v>
      </c>
      <c r="J1175" s="98" t="s">
        <v>10</v>
      </c>
      <c r="K1175" s="98">
        <v>0.12471</v>
      </c>
      <c r="L1175" s="98">
        <v>2.2890999999999999</v>
      </c>
      <c r="M1175" s="98">
        <v>0.12466000000000001</v>
      </c>
      <c r="N1175" s="98">
        <v>2.2892000000000001</v>
      </c>
      <c r="O1175" s="99" t="s">
        <v>2384</v>
      </c>
    </row>
    <row r="1176" spans="1:15" x14ac:dyDescent="0.25">
      <c r="A1176" s="98" t="s">
        <v>54</v>
      </c>
      <c r="B1176" s="98" t="s">
        <v>47</v>
      </c>
      <c r="C1176" s="98">
        <v>3.3000000000000002E-2</v>
      </c>
      <c r="D1176" s="98">
        <v>0.33001000000000003</v>
      </c>
      <c r="E1176" s="98">
        <v>1E-4</v>
      </c>
      <c r="F1176" s="98" t="s">
        <v>13</v>
      </c>
      <c r="G1176" s="98" t="s">
        <v>12</v>
      </c>
      <c r="H1176" s="98">
        <v>30</v>
      </c>
      <c r="I1176" s="98">
        <v>30.01</v>
      </c>
      <c r="J1176" s="98" t="s">
        <v>10</v>
      </c>
      <c r="K1176" s="98">
        <v>0.24</v>
      </c>
      <c r="L1176" s="98">
        <v>4.5999999999999996</v>
      </c>
      <c r="M1176" s="98">
        <v>0.23555999999999999</v>
      </c>
      <c r="N1176" s="98">
        <v>4.6105</v>
      </c>
      <c r="O1176" s="99" t="s">
        <v>2784</v>
      </c>
    </row>
    <row r="1177" spans="1:15" x14ac:dyDescent="0.25">
      <c r="A1177" s="98" t="s">
        <v>54</v>
      </c>
      <c r="B1177" s="98" t="s">
        <v>47</v>
      </c>
      <c r="C1177" s="98">
        <v>3.3000000000000002E-2</v>
      </c>
      <c r="D1177" s="98">
        <v>0.33001000000000003</v>
      </c>
      <c r="E1177" s="98">
        <v>1E-4</v>
      </c>
      <c r="F1177" s="98" t="s">
        <v>13</v>
      </c>
      <c r="G1177" s="98" t="s">
        <v>12</v>
      </c>
      <c r="H1177" s="98">
        <v>0.02</v>
      </c>
      <c r="I1177" s="98">
        <v>4.5010000000000001E-2</v>
      </c>
      <c r="J1177" s="98" t="s">
        <v>10</v>
      </c>
      <c r="K1177" s="98">
        <v>4.9202999999999997E-2</v>
      </c>
      <c r="L1177" s="98">
        <v>0.97804000000000002</v>
      </c>
      <c r="M1177" s="98">
        <v>4.9192E-2</v>
      </c>
      <c r="N1177" s="98">
        <v>0.97804000000000002</v>
      </c>
      <c r="O1177" s="99" t="s">
        <v>2785</v>
      </c>
    </row>
    <row r="1178" spans="1:15" x14ac:dyDescent="0.25">
      <c r="A1178" s="98" t="s">
        <v>54</v>
      </c>
      <c r="B1178" s="98" t="s">
        <v>47</v>
      </c>
      <c r="C1178" s="98">
        <v>3.3000000000000002E-2</v>
      </c>
      <c r="D1178" s="98">
        <v>0.33001000000000003</v>
      </c>
      <c r="E1178" s="98">
        <v>1E-4</v>
      </c>
      <c r="F1178" s="98" t="s">
        <v>13</v>
      </c>
      <c r="G1178" s="98" t="s">
        <v>12</v>
      </c>
      <c r="H1178" s="98">
        <v>1</v>
      </c>
      <c r="I1178" s="98">
        <v>5.01</v>
      </c>
      <c r="J1178" s="98" t="s">
        <v>10</v>
      </c>
      <c r="K1178" s="98">
        <v>7.3934E-2</v>
      </c>
      <c r="L1178" s="98">
        <v>1.1516999999999999</v>
      </c>
      <c r="M1178" s="98">
        <v>7.5028999999999998E-2</v>
      </c>
      <c r="N1178" s="98">
        <v>1.1174999999999999</v>
      </c>
      <c r="O1178" s="99" t="s">
        <v>2383</v>
      </c>
    </row>
    <row r="1179" spans="1:15" x14ac:dyDescent="0.25">
      <c r="A1179" s="98" t="s">
        <v>54</v>
      </c>
      <c r="B1179" s="98" t="s">
        <v>47</v>
      </c>
      <c r="C1179" s="98">
        <v>3.3000000000000002E-2</v>
      </c>
      <c r="D1179" s="98">
        <v>0.33001000000000003</v>
      </c>
      <c r="E1179" s="98">
        <v>1E-4</v>
      </c>
      <c r="F1179" s="98" t="s">
        <v>13</v>
      </c>
      <c r="G1179" s="98" t="s">
        <v>12</v>
      </c>
      <c r="H1179" s="98">
        <v>4.4999999999999998E-2</v>
      </c>
      <c r="I1179" s="98">
        <v>1.0000100000000001</v>
      </c>
      <c r="J1179" s="98" t="s">
        <v>10</v>
      </c>
      <c r="K1179" s="98">
        <v>5.6196999999999997E-2</v>
      </c>
      <c r="L1179" s="98">
        <v>0.39853</v>
      </c>
      <c r="M1179" s="98">
        <v>5.6184999999999999E-2</v>
      </c>
      <c r="N1179" s="98">
        <v>0.39850999999999998</v>
      </c>
      <c r="O1179" s="99" t="s">
        <v>2381</v>
      </c>
    </row>
    <row r="1180" spans="1:15" x14ac:dyDescent="0.25">
      <c r="A1180" s="98" t="s">
        <v>54</v>
      </c>
      <c r="B1180" s="98" t="s">
        <v>47</v>
      </c>
      <c r="C1180" s="98">
        <v>3.3000000000000002E-2</v>
      </c>
      <c r="D1180" s="98">
        <v>0.33001000000000003</v>
      </c>
      <c r="E1180" s="98">
        <v>1E-4</v>
      </c>
      <c r="F1180" s="98" t="s">
        <v>13</v>
      </c>
      <c r="G1180" s="98" t="s">
        <v>12</v>
      </c>
      <c r="H1180" s="98">
        <v>0.01</v>
      </c>
      <c r="I1180" s="98">
        <v>2.001E-2</v>
      </c>
      <c r="J1180" s="98" t="s">
        <v>10</v>
      </c>
      <c r="K1180" s="98">
        <v>4.1051999999999998E-2</v>
      </c>
      <c r="L1180" s="98">
        <v>2.0453000000000001</v>
      </c>
      <c r="M1180" s="98">
        <v>4.1147999999999997E-2</v>
      </c>
      <c r="N1180" s="98">
        <v>2.0425</v>
      </c>
      <c r="O1180" s="99" t="s">
        <v>2385</v>
      </c>
    </row>
    <row r="1181" spans="1:15" x14ac:dyDescent="0.25">
      <c r="A1181" s="98" t="s">
        <v>54</v>
      </c>
      <c r="B1181" s="98" t="s">
        <v>47</v>
      </c>
      <c r="C1181" s="98">
        <v>3.3000000000000002E-2</v>
      </c>
      <c r="D1181" s="98">
        <v>0.33001000000000003</v>
      </c>
      <c r="E1181" s="98">
        <v>1E-3</v>
      </c>
      <c r="F1181" s="98" t="s">
        <v>13</v>
      </c>
      <c r="G1181" s="98" t="s">
        <v>12</v>
      </c>
      <c r="H1181" s="98">
        <v>0.01</v>
      </c>
      <c r="I1181" s="98">
        <v>2.001E-2</v>
      </c>
      <c r="J1181" s="98" t="s">
        <v>10</v>
      </c>
      <c r="K1181" s="98">
        <v>0.54766999999999999</v>
      </c>
      <c r="L1181" s="98">
        <v>1.1202000000000001</v>
      </c>
      <c r="M1181" s="98">
        <v>0.54766000000000004</v>
      </c>
      <c r="N1181" s="98">
        <v>1.1202000000000001</v>
      </c>
      <c r="O1181" s="99" t="s">
        <v>2386</v>
      </c>
    </row>
    <row r="1182" spans="1:15" x14ac:dyDescent="0.25">
      <c r="A1182" s="98" t="s">
        <v>54</v>
      </c>
      <c r="B1182" s="98" t="s">
        <v>47</v>
      </c>
      <c r="C1182" s="98">
        <v>3.3000000000000002E-2</v>
      </c>
      <c r="D1182" s="98">
        <v>0.33001000000000003</v>
      </c>
      <c r="E1182" s="98">
        <v>1E-3</v>
      </c>
      <c r="F1182" s="98" t="s">
        <v>13</v>
      </c>
      <c r="G1182" s="98" t="s">
        <v>12</v>
      </c>
      <c r="H1182" s="98">
        <v>4.4999999999999998E-2</v>
      </c>
      <c r="I1182" s="98">
        <v>1.0000100000000001</v>
      </c>
      <c r="J1182" s="98" t="s">
        <v>10</v>
      </c>
      <c r="K1182" s="98">
        <v>0.57577999999999996</v>
      </c>
      <c r="L1182" s="98">
        <v>8.6645E-2</v>
      </c>
      <c r="M1182" s="98">
        <v>0.57577</v>
      </c>
      <c r="N1182" s="98">
        <v>8.6583999999999994E-2</v>
      </c>
      <c r="O1182" s="99" t="s">
        <v>2390</v>
      </c>
    </row>
    <row r="1183" spans="1:15" x14ac:dyDescent="0.25">
      <c r="A1183" s="98" t="s">
        <v>54</v>
      </c>
      <c r="B1183" s="98" t="s">
        <v>47</v>
      </c>
      <c r="C1183" s="98">
        <v>3.3000000000000002E-2</v>
      </c>
      <c r="D1183" s="98">
        <v>0.33001000000000003</v>
      </c>
      <c r="E1183" s="98">
        <v>1E-3</v>
      </c>
      <c r="F1183" s="98" t="s">
        <v>13</v>
      </c>
      <c r="G1183" s="98" t="s">
        <v>12</v>
      </c>
      <c r="H1183" s="98">
        <v>10</v>
      </c>
      <c r="I1183" s="98">
        <v>30</v>
      </c>
      <c r="J1183" s="98" t="s">
        <v>10</v>
      </c>
      <c r="K1183" s="98">
        <v>0.56477999999999995</v>
      </c>
      <c r="L1183" s="98">
        <v>3.8904999999999998</v>
      </c>
      <c r="M1183" s="98">
        <v>0.56466000000000005</v>
      </c>
      <c r="N1183" s="98">
        <v>3.8906000000000001</v>
      </c>
      <c r="O1183" s="99" t="s">
        <v>2387</v>
      </c>
    </row>
    <row r="1184" spans="1:15" x14ac:dyDescent="0.25">
      <c r="A1184" s="98" t="s">
        <v>54</v>
      </c>
      <c r="B1184" s="98" t="s">
        <v>47</v>
      </c>
      <c r="C1184" s="98">
        <v>3.3000000000000002E-2</v>
      </c>
      <c r="D1184" s="98">
        <v>0.33001000000000003</v>
      </c>
      <c r="E1184" s="98">
        <v>1E-3</v>
      </c>
      <c r="F1184" s="98" t="s">
        <v>13</v>
      </c>
      <c r="G1184" s="98" t="s">
        <v>12</v>
      </c>
      <c r="H1184" s="98">
        <v>5</v>
      </c>
      <c r="I1184" s="98">
        <v>10.01</v>
      </c>
      <c r="J1184" s="98" t="s">
        <v>10</v>
      </c>
      <c r="K1184" s="98">
        <v>0.55922000000000005</v>
      </c>
      <c r="L1184" s="98">
        <v>1.4903999999999999</v>
      </c>
      <c r="M1184" s="98">
        <v>0.55915999999999999</v>
      </c>
      <c r="N1184" s="98">
        <v>1.4903999999999999</v>
      </c>
      <c r="O1184" s="99" t="s">
        <v>2389</v>
      </c>
    </row>
    <row r="1185" spans="1:15" x14ac:dyDescent="0.25">
      <c r="A1185" s="98" t="s">
        <v>54</v>
      </c>
      <c r="B1185" s="98" t="s">
        <v>47</v>
      </c>
      <c r="C1185" s="98">
        <v>3.3000000000000002E-2</v>
      </c>
      <c r="D1185" s="98">
        <v>0.33001000000000003</v>
      </c>
      <c r="E1185" s="98">
        <v>1E-3</v>
      </c>
      <c r="F1185" s="98" t="s">
        <v>13</v>
      </c>
      <c r="G1185" s="98" t="s">
        <v>12</v>
      </c>
      <c r="H1185" s="98">
        <v>0.02</v>
      </c>
      <c r="I1185" s="98">
        <v>4.5010000000000001E-2</v>
      </c>
      <c r="J1185" s="98" t="s">
        <v>10</v>
      </c>
      <c r="K1185" s="98">
        <v>0.56864000000000003</v>
      </c>
      <c r="L1185" s="98">
        <v>0.35072999999999999</v>
      </c>
      <c r="M1185" s="98">
        <v>0.56864000000000003</v>
      </c>
      <c r="N1185" s="98">
        <v>0.35067999999999999</v>
      </c>
      <c r="O1185" s="99" t="s">
        <v>2391</v>
      </c>
    </row>
    <row r="1186" spans="1:15" x14ac:dyDescent="0.25">
      <c r="A1186" s="98" t="s">
        <v>54</v>
      </c>
      <c r="B1186" s="98" t="s">
        <v>47</v>
      </c>
      <c r="C1186" s="98">
        <v>3.3000000000000002E-2</v>
      </c>
      <c r="D1186" s="98">
        <v>0.33001000000000003</v>
      </c>
      <c r="E1186" s="98">
        <v>1E-3</v>
      </c>
      <c r="F1186" s="98" t="s">
        <v>13</v>
      </c>
      <c r="G1186" s="98" t="s">
        <v>12</v>
      </c>
      <c r="H1186" s="98">
        <v>30</v>
      </c>
      <c r="I1186" s="98">
        <v>30.01</v>
      </c>
      <c r="J1186" s="98" t="s">
        <v>10</v>
      </c>
      <c r="K1186" s="98">
        <v>0.56477999999999995</v>
      </c>
      <c r="L1186" s="98">
        <v>3.8904999999999998</v>
      </c>
      <c r="M1186" s="98">
        <v>0.56466000000000005</v>
      </c>
      <c r="N1186" s="98">
        <v>3.8906000000000001</v>
      </c>
      <c r="O1186" s="99" t="s">
        <v>2388</v>
      </c>
    </row>
    <row r="1187" spans="1:15" x14ac:dyDescent="0.25">
      <c r="A1187" s="98" t="s">
        <v>54</v>
      </c>
      <c r="B1187" s="98" t="s">
        <v>47</v>
      </c>
      <c r="C1187" s="98">
        <v>3.3000000000000002E-2</v>
      </c>
      <c r="D1187" s="98">
        <v>0.33001000000000003</v>
      </c>
      <c r="E1187" s="98">
        <v>1E-3</v>
      </c>
      <c r="F1187" s="98" t="s">
        <v>13</v>
      </c>
      <c r="G1187" s="98" t="s">
        <v>12</v>
      </c>
      <c r="H1187" s="98">
        <v>1</v>
      </c>
      <c r="I1187" s="98">
        <v>5.01</v>
      </c>
      <c r="J1187" s="98" t="s">
        <v>10</v>
      </c>
      <c r="K1187" s="98">
        <v>0.56964999999999999</v>
      </c>
      <c r="L1187" s="98">
        <v>0.47367999999999999</v>
      </c>
      <c r="M1187" s="98">
        <v>0.56962999999999997</v>
      </c>
      <c r="N1187" s="98">
        <v>0.47360999999999998</v>
      </c>
      <c r="O1187" s="99" t="s">
        <v>2786</v>
      </c>
    </row>
    <row r="1188" spans="1:15" x14ac:dyDescent="0.25">
      <c r="A1188" s="98" t="s">
        <v>54</v>
      </c>
      <c r="B1188" s="98" t="s">
        <v>47</v>
      </c>
      <c r="C1188" s="98">
        <v>3.3000000000000002E-2</v>
      </c>
      <c r="D1188" s="98">
        <v>0.33001000000000003</v>
      </c>
      <c r="E1188" s="98">
        <v>0.01</v>
      </c>
      <c r="F1188" s="98" t="s">
        <v>13</v>
      </c>
      <c r="G1188" s="98" t="s">
        <v>12</v>
      </c>
      <c r="H1188" s="98">
        <v>4.4999999999999998E-2</v>
      </c>
      <c r="I1188" s="98">
        <v>1.0000100000000001</v>
      </c>
      <c r="J1188" s="98" t="s">
        <v>10</v>
      </c>
      <c r="K1188" s="98">
        <v>5.7733999999999996</v>
      </c>
      <c r="L1188" s="98">
        <v>8.8941000000000003E-3</v>
      </c>
      <c r="M1188" s="98">
        <v>5.7733999999999996</v>
      </c>
      <c r="N1188" s="98">
        <v>8.8681999999999997E-3</v>
      </c>
      <c r="O1188" s="99" t="s">
        <v>2394</v>
      </c>
    </row>
    <row r="1189" spans="1:15" x14ac:dyDescent="0.25">
      <c r="A1189" s="98" t="s">
        <v>54</v>
      </c>
      <c r="B1189" s="98" t="s">
        <v>47</v>
      </c>
      <c r="C1189" s="98">
        <v>3.3000000000000002E-2</v>
      </c>
      <c r="D1189" s="98">
        <v>0.33001000000000003</v>
      </c>
      <c r="E1189" s="98">
        <v>0.01</v>
      </c>
      <c r="F1189" s="98" t="s">
        <v>13</v>
      </c>
      <c r="G1189" s="98" t="s">
        <v>12</v>
      </c>
      <c r="H1189" s="98">
        <v>10</v>
      </c>
      <c r="I1189" s="98">
        <v>30</v>
      </c>
      <c r="J1189" s="98" t="s">
        <v>10</v>
      </c>
      <c r="K1189" s="98">
        <v>5.7587000000000002</v>
      </c>
      <c r="L1189" s="98">
        <v>0.83674000000000004</v>
      </c>
      <c r="M1189" s="98">
        <v>5.7587000000000002</v>
      </c>
      <c r="N1189" s="98">
        <v>0.83650999999999998</v>
      </c>
      <c r="O1189" s="99" t="s">
        <v>2787</v>
      </c>
    </row>
    <row r="1190" spans="1:15" x14ac:dyDescent="0.25">
      <c r="A1190" s="98" t="s">
        <v>54</v>
      </c>
      <c r="B1190" s="98" t="s">
        <v>47</v>
      </c>
      <c r="C1190" s="98">
        <v>3.3000000000000002E-2</v>
      </c>
      <c r="D1190" s="98">
        <v>0.33001000000000003</v>
      </c>
      <c r="E1190" s="98">
        <v>0.01</v>
      </c>
      <c r="F1190" s="98" t="s">
        <v>13</v>
      </c>
      <c r="G1190" s="98" t="s">
        <v>12</v>
      </c>
      <c r="H1190" s="98">
        <v>30</v>
      </c>
      <c r="I1190" s="98">
        <v>30.01</v>
      </c>
      <c r="J1190" s="98" t="s">
        <v>10</v>
      </c>
      <c r="K1190" s="98">
        <v>5.7587000000000002</v>
      </c>
      <c r="L1190" s="98">
        <v>0.83674000000000004</v>
      </c>
      <c r="M1190" s="98">
        <v>5.7587000000000002</v>
      </c>
      <c r="N1190" s="98">
        <v>0.83650999999999998</v>
      </c>
      <c r="O1190" s="99" t="s">
        <v>2392</v>
      </c>
    </row>
    <row r="1191" spans="1:15" x14ac:dyDescent="0.25">
      <c r="A1191" s="98" t="s">
        <v>54</v>
      </c>
      <c r="B1191" s="98" t="s">
        <v>47</v>
      </c>
      <c r="C1191" s="98">
        <v>3.3000000000000002E-2</v>
      </c>
      <c r="D1191" s="98">
        <v>0.33001000000000003</v>
      </c>
      <c r="E1191" s="98">
        <v>0.01</v>
      </c>
      <c r="F1191" s="98" t="s">
        <v>13</v>
      </c>
      <c r="G1191" s="98" t="s">
        <v>12</v>
      </c>
      <c r="H1191" s="98">
        <v>1</v>
      </c>
      <c r="I1191" s="98">
        <v>5.01</v>
      </c>
      <c r="J1191" s="98" t="s">
        <v>10</v>
      </c>
      <c r="K1191" s="98">
        <v>5.7725999999999997</v>
      </c>
      <c r="L1191" s="98">
        <v>5.3741999999999998E-2</v>
      </c>
      <c r="M1191" s="98">
        <v>5.7725999999999997</v>
      </c>
      <c r="N1191" s="98">
        <v>5.3697000000000002E-2</v>
      </c>
      <c r="O1191" s="99" t="s">
        <v>2397</v>
      </c>
    </row>
    <row r="1192" spans="1:15" x14ac:dyDescent="0.25">
      <c r="A1192" s="98" t="s">
        <v>54</v>
      </c>
      <c r="B1192" s="98" t="s">
        <v>47</v>
      </c>
      <c r="C1192" s="98">
        <v>3.3000000000000002E-2</v>
      </c>
      <c r="D1192" s="98">
        <v>0.33001000000000003</v>
      </c>
      <c r="E1192" s="98">
        <v>0.01</v>
      </c>
      <c r="F1192" s="98" t="s">
        <v>13</v>
      </c>
      <c r="G1192" s="98" t="s">
        <v>12</v>
      </c>
      <c r="H1192" s="98">
        <v>5</v>
      </c>
      <c r="I1192" s="98">
        <v>10.01</v>
      </c>
      <c r="J1192" s="98" t="s">
        <v>10</v>
      </c>
      <c r="K1192" s="98">
        <v>5.7697000000000003</v>
      </c>
      <c r="L1192" s="98">
        <v>0.21298</v>
      </c>
      <c r="M1192" s="98">
        <v>5.7697000000000003</v>
      </c>
      <c r="N1192" s="98">
        <v>0.21288000000000001</v>
      </c>
      <c r="O1192" s="99" t="s">
        <v>2393</v>
      </c>
    </row>
    <row r="1193" spans="1:15" x14ac:dyDescent="0.25">
      <c r="A1193" s="98" t="s">
        <v>54</v>
      </c>
      <c r="B1193" s="98" t="s">
        <v>47</v>
      </c>
      <c r="C1193" s="98">
        <v>3.3000000000000002E-2</v>
      </c>
      <c r="D1193" s="98">
        <v>0.33001000000000003</v>
      </c>
      <c r="E1193" s="98">
        <v>0.01</v>
      </c>
      <c r="F1193" s="98" t="s">
        <v>13</v>
      </c>
      <c r="G1193" s="98" t="s">
        <v>12</v>
      </c>
      <c r="H1193" s="98">
        <v>0.01</v>
      </c>
      <c r="I1193" s="98">
        <v>2.001E-2</v>
      </c>
      <c r="J1193" s="98" t="s">
        <v>10</v>
      </c>
      <c r="K1193" s="98">
        <v>5.7694999999999999</v>
      </c>
      <c r="L1193" s="98">
        <v>0.14516999999999999</v>
      </c>
      <c r="M1193" s="98">
        <v>5.7694999999999999</v>
      </c>
      <c r="N1193" s="98">
        <v>0.14515</v>
      </c>
      <c r="O1193" s="99" t="s">
        <v>2395</v>
      </c>
    </row>
    <row r="1194" spans="1:15" x14ac:dyDescent="0.25">
      <c r="A1194" s="98" t="s">
        <v>54</v>
      </c>
      <c r="B1194" s="98" t="s">
        <v>47</v>
      </c>
      <c r="C1194" s="98">
        <v>3.3000000000000002E-2</v>
      </c>
      <c r="D1194" s="98">
        <v>0.33001000000000003</v>
      </c>
      <c r="E1194" s="98">
        <v>0.01</v>
      </c>
      <c r="F1194" s="98" t="s">
        <v>13</v>
      </c>
      <c r="G1194" s="98" t="s">
        <v>12</v>
      </c>
      <c r="H1194" s="98">
        <v>0.02</v>
      </c>
      <c r="I1194" s="98">
        <v>4.5010000000000001E-2</v>
      </c>
      <c r="J1194" s="98" t="s">
        <v>10</v>
      </c>
      <c r="K1194" s="98">
        <v>5.7725999999999997</v>
      </c>
      <c r="L1194" s="98">
        <v>3.8390000000000001E-2</v>
      </c>
      <c r="M1194" s="98">
        <v>5.7725999999999997</v>
      </c>
      <c r="N1194" s="98">
        <v>3.8365000000000003E-2</v>
      </c>
      <c r="O1194" s="99" t="s">
        <v>2396</v>
      </c>
    </row>
    <row r="1195" spans="1:15" x14ac:dyDescent="0.25">
      <c r="A1195" s="98" t="s">
        <v>54</v>
      </c>
      <c r="B1195" s="98" t="s">
        <v>47</v>
      </c>
      <c r="C1195" s="98">
        <v>0.33</v>
      </c>
      <c r="D1195" s="98">
        <v>1.1000099999999999</v>
      </c>
      <c r="E1195" s="98">
        <v>1.0000000000000001E-5</v>
      </c>
      <c r="F1195" s="98" t="s">
        <v>13</v>
      </c>
      <c r="G1195" s="98" t="s">
        <v>12</v>
      </c>
      <c r="H1195" s="98">
        <v>4.4999999999999998E-2</v>
      </c>
      <c r="I1195" s="98">
        <v>1.0000100000000001</v>
      </c>
      <c r="J1195" s="98" t="s">
        <v>10</v>
      </c>
      <c r="K1195" s="98">
        <v>0.12</v>
      </c>
      <c r="L1195" s="98">
        <v>0.57999999999999996</v>
      </c>
      <c r="M1195" s="98">
        <v>0.11734</v>
      </c>
      <c r="N1195" s="98">
        <v>0.57738999999999996</v>
      </c>
      <c r="O1195" s="99" t="s">
        <v>2400</v>
      </c>
    </row>
    <row r="1196" spans="1:15" x14ac:dyDescent="0.25">
      <c r="A1196" s="98" t="s">
        <v>54</v>
      </c>
      <c r="B1196" s="98" t="s">
        <v>47</v>
      </c>
      <c r="C1196" s="98">
        <v>0.33</v>
      </c>
      <c r="D1196" s="98">
        <v>1.1000099999999999</v>
      </c>
      <c r="E1196" s="98">
        <v>1.0000000000000001E-5</v>
      </c>
      <c r="F1196" s="98" t="s">
        <v>13</v>
      </c>
      <c r="G1196" s="98" t="s">
        <v>12</v>
      </c>
      <c r="H1196" s="98">
        <v>1</v>
      </c>
      <c r="I1196" s="98">
        <v>5.01</v>
      </c>
      <c r="J1196" s="98" t="s">
        <v>10</v>
      </c>
      <c r="K1196" s="98">
        <v>1.2</v>
      </c>
      <c r="L1196" s="98">
        <v>6.9</v>
      </c>
      <c r="M1196" s="98">
        <v>1.1549</v>
      </c>
      <c r="N1196" s="98">
        <v>6.9282000000000004</v>
      </c>
      <c r="O1196" s="99" t="s">
        <v>2399</v>
      </c>
    </row>
    <row r="1197" spans="1:15" x14ac:dyDescent="0.25">
      <c r="A1197" s="98" t="s">
        <v>54</v>
      </c>
      <c r="B1197" s="98" t="s">
        <v>47</v>
      </c>
      <c r="C1197" s="98">
        <v>0.33</v>
      </c>
      <c r="D1197" s="98">
        <v>1.1000099999999999</v>
      </c>
      <c r="E1197" s="98">
        <v>1.0000000000000001E-5</v>
      </c>
      <c r="F1197" s="98" t="s">
        <v>13</v>
      </c>
      <c r="G1197" s="98" t="s">
        <v>12</v>
      </c>
      <c r="H1197" s="98">
        <v>5</v>
      </c>
      <c r="I1197" s="98">
        <v>10</v>
      </c>
      <c r="J1197" s="98" t="s">
        <v>10</v>
      </c>
      <c r="K1197" s="98">
        <v>5.8</v>
      </c>
      <c r="L1197" s="98">
        <v>29</v>
      </c>
      <c r="M1197" s="98">
        <v>5.7733999999999996</v>
      </c>
      <c r="N1197" s="98">
        <v>28.867999999999999</v>
      </c>
      <c r="O1197" s="99" t="s">
        <v>2788</v>
      </c>
    </row>
    <row r="1198" spans="1:15" x14ac:dyDescent="0.25">
      <c r="A1198" s="98" t="s">
        <v>54</v>
      </c>
      <c r="B1198" s="98" t="s">
        <v>47</v>
      </c>
      <c r="C1198" s="98">
        <v>0.33</v>
      </c>
      <c r="D1198" s="98">
        <v>1.1000099999999999</v>
      </c>
      <c r="E1198" s="98">
        <v>1.0000000000000001E-5</v>
      </c>
      <c r="F1198" s="98" t="s">
        <v>13</v>
      </c>
      <c r="G1198" s="98" t="s">
        <v>12</v>
      </c>
      <c r="H1198" s="98">
        <v>0.01</v>
      </c>
      <c r="I1198" s="98">
        <v>4.5010000000000001E-2</v>
      </c>
      <c r="J1198" s="98" t="s">
        <v>10</v>
      </c>
      <c r="K1198" s="98">
        <v>0.12</v>
      </c>
      <c r="L1198" s="98">
        <v>2.1</v>
      </c>
      <c r="M1198" s="98">
        <v>0.11617</v>
      </c>
      <c r="N1198" s="98">
        <v>2.0783999999999998</v>
      </c>
      <c r="O1198" s="99" t="s">
        <v>2398</v>
      </c>
    </row>
    <row r="1199" spans="1:15" x14ac:dyDescent="0.25">
      <c r="A1199" s="98" t="s">
        <v>54</v>
      </c>
      <c r="B1199" s="98" t="s">
        <v>47</v>
      </c>
      <c r="C1199" s="98">
        <v>0.33</v>
      </c>
      <c r="D1199" s="98">
        <v>1.1000099999999999</v>
      </c>
      <c r="E1199" s="98">
        <v>1.0000000000000001E-5</v>
      </c>
      <c r="F1199" s="98" t="s">
        <v>13</v>
      </c>
      <c r="G1199" s="98" t="s">
        <v>12</v>
      </c>
      <c r="H1199" s="98">
        <v>10</v>
      </c>
      <c r="I1199" s="98">
        <v>10.01</v>
      </c>
      <c r="J1199" s="98" t="s">
        <v>10</v>
      </c>
      <c r="K1199" s="98">
        <v>5.8</v>
      </c>
      <c r="L1199" s="98">
        <v>29</v>
      </c>
      <c r="M1199" s="98">
        <v>5.7733999999999996</v>
      </c>
      <c r="N1199" s="98">
        <v>28.867999999999999</v>
      </c>
      <c r="O1199" s="99" t="s">
        <v>2401</v>
      </c>
    </row>
    <row r="1200" spans="1:15" x14ac:dyDescent="0.25">
      <c r="A1200" s="98" t="s">
        <v>54</v>
      </c>
      <c r="B1200" s="98" t="s">
        <v>47</v>
      </c>
      <c r="C1200" s="98">
        <v>0.33</v>
      </c>
      <c r="D1200" s="98">
        <v>1.1000099999999999</v>
      </c>
      <c r="E1200" s="98">
        <v>1E-4</v>
      </c>
      <c r="F1200" s="98" t="s">
        <v>13</v>
      </c>
      <c r="G1200" s="98" t="s">
        <v>12</v>
      </c>
      <c r="H1200" s="98">
        <v>0.01</v>
      </c>
      <c r="I1200" s="98">
        <v>4.5010000000000001E-2</v>
      </c>
      <c r="J1200" s="98" t="s">
        <v>10</v>
      </c>
      <c r="K1200" s="98">
        <v>0.12</v>
      </c>
      <c r="L1200" s="98">
        <v>2.1</v>
      </c>
      <c r="M1200" s="98">
        <v>0.11882</v>
      </c>
      <c r="N1200" s="98">
        <v>2.0766</v>
      </c>
      <c r="O1200" s="99" t="s">
        <v>2404</v>
      </c>
    </row>
    <row r="1201" spans="1:15" x14ac:dyDescent="0.25">
      <c r="A1201" s="98" t="s">
        <v>54</v>
      </c>
      <c r="B1201" s="98" t="s">
        <v>47</v>
      </c>
      <c r="C1201" s="98">
        <v>0.33</v>
      </c>
      <c r="D1201" s="98">
        <v>1.1000099999999999</v>
      </c>
      <c r="E1201" s="98">
        <v>1E-4</v>
      </c>
      <c r="F1201" s="98" t="s">
        <v>13</v>
      </c>
      <c r="G1201" s="98" t="s">
        <v>12</v>
      </c>
      <c r="H1201" s="98">
        <v>4.4999999999999998E-2</v>
      </c>
      <c r="I1201" s="98">
        <v>1.0000100000000001</v>
      </c>
      <c r="J1201" s="98" t="s">
        <v>10</v>
      </c>
      <c r="K1201" s="98">
        <v>0.12267</v>
      </c>
      <c r="L1201" s="98">
        <v>0.57757999999999998</v>
      </c>
      <c r="M1201" s="98">
        <v>0.124</v>
      </c>
      <c r="N1201" s="98">
        <v>0.57333000000000001</v>
      </c>
      <c r="O1201" s="99" t="s">
        <v>2789</v>
      </c>
    </row>
    <row r="1202" spans="1:15" x14ac:dyDescent="0.25">
      <c r="A1202" s="98" t="s">
        <v>54</v>
      </c>
      <c r="B1202" s="98" t="s">
        <v>47</v>
      </c>
      <c r="C1202" s="98">
        <v>0.33</v>
      </c>
      <c r="D1202" s="98">
        <v>1.1000099999999999</v>
      </c>
      <c r="E1202" s="98">
        <v>1E-4</v>
      </c>
      <c r="F1202" s="98" t="s">
        <v>13</v>
      </c>
      <c r="G1202" s="98" t="s">
        <v>12</v>
      </c>
      <c r="H1202" s="98">
        <v>1</v>
      </c>
      <c r="I1202" s="98">
        <v>5.01</v>
      </c>
      <c r="J1202" s="98" t="s">
        <v>10</v>
      </c>
      <c r="K1202" s="98">
        <v>1.2</v>
      </c>
      <c r="L1202" s="98">
        <v>6.9</v>
      </c>
      <c r="M1202" s="98">
        <v>1.1555</v>
      </c>
      <c r="N1202" s="98">
        <v>6.9278000000000004</v>
      </c>
      <c r="O1202" s="99" t="s">
        <v>2403</v>
      </c>
    </row>
    <row r="1203" spans="1:15" x14ac:dyDescent="0.25">
      <c r="A1203" s="98" t="s">
        <v>54</v>
      </c>
      <c r="B1203" s="98" t="s">
        <v>47</v>
      </c>
      <c r="C1203" s="98">
        <v>0.33</v>
      </c>
      <c r="D1203" s="98">
        <v>1.1000099999999999</v>
      </c>
      <c r="E1203" s="98">
        <v>1E-4</v>
      </c>
      <c r="F1203" s="98" t="s">
        <v>13</v>
      </c>
      <c r="G1203" s="98" t="s">
        <v>12</v>
      </c>
      <c r="H1203" s="98">
        <v>5</v>
      </c>
      <c r="I1203" s="98">
        <v>10</v>
      </c>
      <c r="J1203" s="98" t="s">
        <v>10</v>
      </c>
      <c r="K1203" s="98">
        <v>5.8</v>
      </c>
      <c r="L1203" s="98">
        <v>29</v>
      </c>
      <c r="M1203" s="98">
        <v>5.7742000000000004</v>
      </c>
      <c r="N1203" s="98">
        <v>28.867000000000001</v>
      </c>
      <c r="O1203" s="99" t="s">
        <v>2402</v>
      </c>
    </row>
    <row r="1204" spans="1:15" x14ac:dyDescent="0.25">
      <c r="A1204" s="98" t="s">
        <v>54</v>
      </c>
      <c r="B1204" s="98" t="s">
        <v>47</v>
      </c>
      <c r="C1204" s="98">
        <v>0.33</v>
      </c>
      <c r="D1204" s="98">
        <v>1.1000099999999999</v>
      </c>
      <c r="E1204" s="98">
        <v>1E-4</v>
      </c>
      <c r="F1204" s="98" t="s">
        <v>13</v>
      </c>
      <c r="G1204" s="98" t="s">
        <v>12</v>
      </c>
      <c r="H1204" s="98">
        <v>10</v>
      </c>
      <c r="I1204" s="98">
        <v>10.01</v>
      </c>
      <c r="J1204" s="98" t="s">
        <v>10</v>
      </c>
      <c r="K1204" s="98">
        <v>5.8</v>
      </c>
      <c r="L1204" s="98">
        <v>29</v>
      </c>
      <c r="M1204" s="98">
        <v>5.7742000000000004</v>
      </c>
      <c r="N1204" s="98">
        <v>28.867000000000001</v>
      </c>
      <c r="O1204" s="99" t="s">
        <v>2790</v>
      </c>
    </row>
    <row r="1205" spans="1:15" x14ac:dyDescent="0.25">
      <c r="A1205" s="98" t="s">
        <v>54</v>
      </c>
      <c r="B1205" s="98" t="s">
        <v>47</v>
      </c>
      <c r="C1205" s="98">
        <v>0.33</v>
      </c>
      <c r="D1205" s="98">
        <v>1.1000099999999999</v>
      </c>
      <c r="E1205" s="98">
        <v>1E-3</v>
      </c>
      <c r="F1205" s="98" t="s">
        <v>13</v>
      </c>
      <c r="G1205" s="98" t="s">
        <v>12</v>
      </c>
      <c r="H1205" s="98">
        <v>1</v>
      </c>
      <c r="I1205" s="98">
        <v>5.01</v>
      </c>
      <c r="J1205" s="98" t="s">
        <v>10</v>
      </c>
      <c r="K1205" s="98">
        <v>1.2163999999999999</v>
      </c>
      <c r="L1205" s="98">
        <v>6.8902999999999999</v>
      </c>
      <c r="M1205" s="98">
        <v>1.2155</v>
      </c>
      <c r="N1205" s="98">
        <v>6.8903999999999996</v>
      </c>
      <c r="O1205" s="99" t="s">
        <v>2408</v>
      </c>
    </row>
    <row r="1206" spans="1:15" x14ac:dyDescent="0.25">
      <c r="A1206" s="98" t="s">
        <v>54</v>
      </c>
      <c r="B1206" s="98" t="s">
        <v>47</v>
      </c>
      <c r="C1206" s="98">
        <v>0.33</v>
      </c>
      <c r="D1206" s="98">
        <v>1.1000099999999999</v>
      </c>
      <c r="E1206" s="98">
        <v>1E-3</v>
      </c>
      <c r="F1206" s="98" t="s">
        <v>13</v>
      </c>
      <c r="G1206" s="98" t="s">
        <v>12</v>
      </c>
      <c r="H1206" s="98">
        <v>4.4999999999999998E-2</v>
      </c>
      <c r="I1206" s="98">
        <v>1.0000100000000001</v>
      </c>
      <c r="J1206" s="98" t="s">
        <v>10</v>
      </c>
      <c r="K1206" s="98">
        <v>0.52825</v>
      </c>
      <c r="L1206" s="98">
        <v>0.38235000000000002</v>
      </c>
      <c r="M1206" s="98">
        <v>0.52822999999999998</v>
      </c>
      <c r="N1206" s="98">
        <v>0.38200000000000001</v>
      </c>
      <c r="O1206" s="99" t="s">
        <v>2407</v>
      </c>
    </row>
    <row r="1207" spans="1:15" x14ac:dyDescent="0.25">
      <c r="A1207" s="98" t="s">
        <v>54</v>
      </c>
      <c r="B1207" s="98" t="s">
        <v>47</v>
      </c>
      <c r="C1207" s="98">
        <v>0.33</v>
      </c>
      <c r="D1207" s="98">
        <v>1.1000099999999999</v>
      </c>
      <c r="E1207" s="98">
        <v>1E-3</v>
      </c>
      <c r="F1207" s="98" t="s">
        <v>13</v>
      </c>
      <c r="G1207" s="98" t="s">
        <v>12</v>
      </c>
      <c r="H1207" s="98">
        <v>10</v>
      </c>
      <c r="I1207" s="98">
        <v>10.01</v>
      </c>
      <c r="J1207" s="98" t="s">
        <v>10</v>
      </c>
      <c r="K1207" s="98">
        <v>5.8</v>
      </c>
      <c r="L1207" s="98">
        <v>29</v>
      </c>
      <c r="M1207" s="98">
        <v>5.7873999999999999</v>
      </c>
      <c r="N1207" s="98">
        <v>28.859000000000002</v>
      </c>
      <c r="O1207" s="99" t="s">
        <v>2791</v>
      </c>
    </row>
    <row r="1208" spans="1:15" x14ac:dyDescent="0.25">
      <c r="A1208" s="98" t="s">
        <v>54</v>
      </c>
      <c r="B1208" s="98" t="s">
        <v>47</v>
      </c>
      <c r="C1208" s="98">
        <v>0.33</v>
      </c>
      <c r="D1208" s="98">
        <v>1.1000099999999999</v>
      </c>
      <c r="E1208" s="98">
        <v>1E-3</v>
      </c>
      <c r="F1208" s="98" t="s">
        <v>13</v>
      </c>
      <c r="G1208" s="98" t="s">
        <v>12</v>
      </c>
      <c r="H1208" s="98">
        <v>5</v>
      </c>
      <c r="I1208" s="98">
        <v>10</v>
      </c>
      <c r="J1208" s="98" t="s">
        <v>10</v>
      </c>
      <c r="K1208" s="98">
        <v>5.8</v>
      </c>
      <c r="L1208" s="98">
        <v>29</v>
      </c>
      <c r="M1208" s="98">
        <v>5.7873999999999999</v>
      </c>
      <c r="N1208" s="98">
        <v>28.859000000000002</v>
      </c>
      <c r="O1208" s="99" t="s">
        <v>2405</v>
      </c>
    </row>
    <row r="1209" spans="1:15" x14ac:dyDescent="0.25">
      <c r="A1209" s="98" t="s">
        <v>54</v>
      </c>
      <c r="B1209" s="98" t="s">
        <v>47</v>
      </c>
      <c r="C1209" s="98">
        <v>0.33</v>
      </c>
      <c r="D1209" s="98">
        <v>1.1000099999999999</v>
      </c>
      <c r="E1209" s="98">
        <v>1E-3</v>
      </c>
      <c r="F1209" s="98" t="s">
        <v>13</v>
      </c>
      <c r="G1209" s="98" t="s">
        <v>12</v>
      </c>
      <c r="H1209" s="98">
        <v>0.01</v>
      </c>
      <c r="I1209" s="98">
        <v>4.5010000000000001E-2</v>
      </c>
      <c r="J1209" s="98" t="s">
        <v>10</v>
      </c>
      <c r="K1209" s="98">
        <v>0.35291</v>
      </c>
      <c r="L1209" s="98">
        <v>1.9255</v>
      </c>
      <c r="M1209" s="98">
        <v>0.35283999999999999</v>
      </c>
      <c r="N1209" s="98">
        <v>1.9254</v>
      </c>
      <c r="O1209" s="99" t="s">
        <v>2406</v>
      </c>
    </row>
    <row r="1210" spans="1:15" x14ac:dyDescent="0.25">
      <c r="A1210" s="98" t="s">
        <v>54</v>
      </c>
      <c r="B1210" s="98" t="s">
        <v>47</v>
      </c>
      <c r="C1210" s="98">
        <v>0.33</v>
      </c>
      <c r="D1210" s="98">
        <v>1.1000099999999999</v>
      </c>
      <c r="E1210" s="98">
        <v>0.01</v>
      </c>
      <c r="F1210" s="98" t="s">
        <v>13</v>
      </c>
      <c r="G1210" s="98" t="s">
        <v>12</v>
      </c>
      <c r="H1210" s="98">
        <v>4.4999999999999998E-2</v>
      </c>
      <c r="I1210" s="98">
        <v>1.0000100000000001</v>
      </c>
      <c r="J1210" s="98" t="s">
        <v>10</v>
      </c>
      <c r="K1210" s="98">
        <v>5.7643000000000004</v>
      </c>
      <c r="L1210" s="98">
        <v>5.3023000000000001E-2</v>
      </c>
      <c r="M1210" s="98">
        <v>5.7643000000000004</v>
      </c>
      <c r="N1210" s="98">
        <v>5.2760000000000001E-2</v>
      </c>
      <c r="O1210" s="99" t="s">
        <v>2412</v>
      </c>
    </row>
    <row r="1211" spans="1:15" x14ac:dyDescent="0.25">
      <c r="A1211" s="98" t="s">
        <v>54</v>
      </c>
      <c r="B1211" s="98" t="s">
        <v>47</v>
      </c>
      <c r="C1211" s="98">
        <v>0.33</v>
      </c>
      <c r="D1211" s="98">
        <v>1.1000099999999999</v>
      </c>
      <c r="E1211" s="98">
        <v>0.01</v>
      </c>
      <c r="F1211" s="98" t="s">
        <v>13</v>
      </c>
      <c r="G1211" s="98" t="s">
        <v>12</v>
      </c>
      <c r="H1211" s="98">
        <v>5</v>
      </c>
      <c r="I1211" s="98">
        <v>10</v>
      </c>
      <c r="J1211" s="98" t="s">
        <v>10</v>
      </c>
      <c r="K1211" s="98">
        <v>7.0907999999999998</v>
      </c>
      <c r="L1211" s="98">
        <v>28.073</v>
      </c>
      <c r="M1211" s="98">
        <v>7.0891000000000002</v>
      </c>
      <c r="N1211" s="98">
        <v>28.073</v>
      </c>
      <c r="O1211" s="99" t="s">
        <v>2410</v>
      </c>
    </row>
    <row r="1212" spans="1:15" x14ac:dyDescent="0.25">
      <c r="A1212" s="98" t="s">
        <v>54</v>
      </c>
      <c r="B1212" s="98" t="s">
        <v>47</v>
      </c>
      <c r="C1212" s="98">
        <v>0.33</v>
      </c>
      <c r="D1212" s="98">
        <v>1.1000099999999999</v>
      </c>
      <c r="E1212" s="98">
        <v>0.01</v>
      </c>
      <c r="F1212" s="98" t="s">
        <v>13</v>
      </c>
      <c r="G1212" s="98" t="s">
        <v>12</v>
      </c>
      <c r="H1212" s="98">
        <v>0.01</v>
      </c>
      <c r="I1212" s="98">
        <v>4.5010000000000001E-2</v>
      </c>
      <c r="J1212" s="98" t="s">
        <v>10</v>
      </c>
      <c r="K1212" s="98">
        <v>5.6471</v>
      </c>
      <c r="L1212" s="98">
        <v>0.55145</v>
      </c>
      <c r="M1212" s="98">
        <v>5.6471</v>
      </c>
      <c r="N1212" s="98">
        <v>0.55120999999999998</v>
      </c>
      <c r="O1212" s="99" t="s">
        <v>2792</v>
      </c>
    </row>
    <row r="1213" spans="1:15" x14ac:dyDescent="0.25">
      <c r="A1213" s="98" t="s">
        <v>54</v>
      </c>
      <c r="B1213" s="98" t="s">
        <v>47</v>
      </c>
      <c r="C1213" s="98">
        <v>0.33</v>
      </c>
      <c r="D1213" s="98">
        <v>1.1000099999999999</v>
      </c>
      <c r="E1213" s="98">
        <v>0.01</v>
      </c>
      <c r="F1213" s="98" t="s">
        <v>13</v>
      </c>
      <c r="G1213" s="98" t="s">
        <v>12</v>
      </c>
      <c r="H1213" s="98">
        <v>10</v>
      </c>
      <c r="I1213" s="98">
        <v>10.01</v>
      </c>
      <c r="J1213" s="98" t="s">
        <v>10</v>
      </c>
      <c r="K1213" s="98">
        <v>7.0907999999999998</v>
      </c>
      <c r="L1213" s="98">
        <v>28.073</v>
      </c>
      <c r="M1213" s="98">
        <v>7.0891000000000002</v>
      </c>
      <c r="N1213" s="98">
        <v>28.073</v>
      </c>
      <c r="O1213" s="99" t="s">
        <v>2411</v>
      </c>
    </row>
    <row r="1214" spans="1:15" x14ac:dyDescent="0.25">
      <c r="A1214" s="98" t="s">
        <v>54</v>
      </c>
      <c r="B1214" s="98" t="s">
        <v>47</v>
      </c>
      <c r="C1214" s="98">
        <v>0.33</v>
      </c>
      <c r="D1214" s="98">
        <v>1.1000099999999999</v>
      </c>
      <c r="E1214" s="98">
        <v>0.01</v>
      </c>
      <c r="F1214" s="98" t="s">
        <v>13</v>
      </c>
      <c r="G1214" s="98" t="s">
        <v>12</v>
      </c>
      <c r="H1214" s="98">
        <v>1</v>
      </c>
      <c r="I1214" s="98">
        <v>5.01</v>
      </c>
      <c r="J1214" s="98" t="s">
        <v>10</v>
      </c>
      <c r="K1214" s="98">
        <v>5.1010999999999997</v>
      </c>
      <c r="L1214" s="98">
        <v>4.9149000000000003</v>
      </c>
      <c r="M1214" s="98">
        <v>5.0998000000000001</v>
      </c>
      <c r="N1214" s="98">
        <v>4.9135999999999997</v>
      </c>
      <c r="O1214" s="99" t="s">
        <v>2409</v>
      </c>
    </row>
    <row r="1215" spans="1:15" x14ac:dyDescent="0.25">
      <c r="A1215" s="98" t="s">
        <v>54</v>
      </c>
      <c r="B1215" s="98" t="s">
        <v>47</v>
      </c>
      <c r="C1215" s="98">
        <v>0.33</v>
      </c>
      <c r="D1215" s="98">
        <v>1.1000099999999999</v>
      </c>
      <c r="E1215" s="98">
        <v>0.1</v>
      </c>
      <c r="F1215" s="98" t="s">
        <v>13</v>
      </c>
      <c r="G1215" s="98" t="s">
        <v>12</v>
      </c>
      <c r="H1215" s="98">
        <v>5</v>
      </c>
      <c r="I1215" s="98">
        <v>10</v>
      </c>
      <c r="J1215" s="98" t="s">
        <v>10</v>
      </c>
      <c r="K1215" s="98">
        <v>55.816000000000003</v>
      </c>
      <c r="L1215" s="98">
        <v>11.862</v>
      </c>
      <c r="M1215" s="98">
        <v>55.814999999999998</v>
      </c>
      <c r="N1215" s="98">
        <v>11.86</v>
      </c>
      <c r="O1215" s="99" t="s">
        <v>2794</v>
      </c>
    </row>
    <row r="1216" spans="1:15" x14ac:dyDescent="0.25">
      <c r="A1216" s="98" t="s">
        <v>54</v>
      </c>
      <c r="B1216" s="98" t="s">
        <v>47</v>
      </c>
      <c r="C1216" s="98">
        <v>0.33</v>
      </c>
      <c r="D1216" s="98">
        <v>1.1000099999999999</v>
      </c>
      <c r="E1216" s="98">
        <v>0.1</v>
      </c>
      <c r="F1216" s="98" t="s">
        <v>13</v>
      </c>
      <c r="G1216" s="98" t="s">
        <v>12</v>
      </c>
      <c r="H1216" s="98">
        <v>4.4999999999999998E-2</v>
      </c>
      <c r="I1216" s="98">
        <v>1.0000100000000001</v>
      </c>
      <c r="J1216" s="98" t="s">
        <v>10</v>
      </c>
      <c r="K1216" s="98">
        <v>57.734999999999999</v>
      </c>
      <c r="L1216" s="98">
        <v>5.4079999999999996E-3</v>
      </c>
      <c r="M1216" s="98">
        <v>57.734999999999999</v>
      </c>
      <c r="N1216" s="98">
        <v>5.3017999999999997E-3</v>
      </c>
      <c r="O1216" s="99" t="s">
        <v>2414</v>
      </c>
    </row>
    <row r="1217" spans="1:15" x14ac:dyDescent="0.25">
      <c r="A1217" s="98" t="s">
        <v>54</v>
      </c>
      <c r="B1217" s="98" t="s">
        <v>47</v>
      </c>
      <c r="C1217" s="98">
        <v>0.33</v>
      </c>
      <c r="D1217" s="98">
        <v>1.1000099999999999</v>
      </c>
      <c r="E1217" s="98">
        <v>0.1</v>
      </c>
      <c r="F1217" s="98" t="s">
        <v>13</v>
      </c>
      <c r="G1217" s="98" t="s">
        <v>12</v>
      </c>
      <c r="H1217" s="98">
        <v>0.01</v>
      </c>
      <c r="I1217" s="98">
        <v>4.5010000000000001E-2</v>
      </c>
      <c r="J1217" s="98" t="s">
        <v>10</v>
      </c>
      <c r="K1217" s="98">
        <v>57.722000000000001</v>
      </c>
      <c r="L1217" s="98">
        <v>5.7755000000000001E-2</v>
      </c>
      <c r="M1217" s="98">
        <v>57.722000000000001</v>
      </c>
      <c r="N1217" s="98">
        <v>5.7648999999999999E-2</v>
      </c>
      <c r="O1217" s="99" t="s">
        <v>2793</v>
      </c>
    </row>
    <row r="1218" spans="1:15" x14ac:dyDescent="0.25">
      <c r="A1218" s="98" t="s">
        <v>54</v>
      </c>
      <c r="B1218" s="98" t="s">
        <v>47</v>
      </c>
      <c r="C1218" s="98">
        <v>0.33</v>
      </c>
      <c r="D1218" s="98">
        <v>1.1000099999999999</v>
      </c>
      <c r="E1218" s="98">
        <v>0.1</v>
      </c>
      <c r="F1218" s="98" t="s">
        <v>13</v>
      </c>
      <c r="G1218" s="98" t="s">
        <v>12</v>
      </c>
      <c r="H1218" s="98">
        <v>1</v>
      </c>
      <c r="I1218" s="98">
        <v>5.01</v>
      </c>
      <c r="J1218" s="98" t="s">
        <v>10</v>
      </c>
      <c r="K1218" s="98">
        <v>57.597999999999999</v>
      </c>
      <c r="L1218" s="98">
        <v>0.72965000000000002</v>
      </c>
      <c r="M1218" s="98">
        <v>57.597999999999999</v>
      </c>
      <c r="N1218" s="98">
        <v>0.72819</v>
      </c>
      <c r="O1218" s="99" t="s">
        <v>2413</v>
      </c>
    </row>
    <row r="1219" spans="1:15" x14ac:dyDescent="0.25">
      <c r="A1219" s="98" t="s">
        <v>54</v>
      </c>
      <c r="B1219" s="98" t="s">
        <v>47</v>
      </c>
      <c r="C1219" s="98">
        <v>0.33</v>
      </c>
      <c r="D1219" s="98">
        <v>1.1000099999999999</v>
      </c>
      <c r="E1219" s="98">
        <v>0.1</v>
      </c>
      <c r="F1219" s="98" t="s">
        <v>13</v>
      </c>
      <c r="G1219" s="98" t="s">
        <v>12</v>
      </c>
      <c r="H1219" s="98">
        <v>10</v>
      </c>
      <c r="I1219" s="98">
        <v>10.01</v>
      </c>
      <c r="J1219" s="98" t="s">
        <v>10</v>
      </c>
      <c r="K1219" s="98">
        <v>55.816000000000003</v>
      </c>
      <c r="L1219" s="98">
        <v>11.862</v>
      </c>
      <c r="M1219" s="98">
        <v>55.814999999999998</v>
      </c>
      <c r="N1219" s="98">
        <v>11.86</v>
      </c>
      <c r="O1219" s="99" t="s">
        <v>2415</v>
      </c>
    </row>
    <row r="1220" spans="1:15" x14ac:dyDescent="0.25">
      <c r="A1220" s="98" t="s">
        <v>54</v>
      </c>
      <c r="B1220" s="98" t="s">
        <v>47</v>
      </c>
      <c r="C1220" s="98">
        <v>1.1000000000000001</v>
      </c>
      <c r="D1220" s="98">
        <v>3.0009999999999999</v>
      </c>
      <c r="E1220" s="98">
        <v>1.0000000000000001E-5</v>
      </c>
      <c r="F1220" s="98" t="s">
        <v>13</v>
      </c>
      <c r="G1220" s="98" t="s">
        <v>12</v>
      </c>
      <c r="H1220" s="98">
        <v>0.01</v>
      </c>
      <c r="I1220" s="98">
        <v>4.5010000000000001E-2</v>
      </c>
      <c r="J1220" s="98" t="s">
        <v>10</v>
      </c>
      <c r="K1220" s="98">
        <v>0.12</v>
      </c>
      <c r="L1220" s="98">
        <v>2.1</v>
      </c>
      <c r="M1220" s="98">
        <v>0.11589000000000001</v>
      </c>
      <c r="N1220" s="98">
        <v>2.0787</v>
      </c>
      <c r="O1220" s="99" t="s">
        <v>2419</v>
      </c>
    </row>
    <row r="1221" spans="1:15" x14ac:dyDescent="0.25">
      <c r="A1221" s="98" t="s">
        <v>54</v>
      </c>
      <c r="B1221" s="98" t="s">
        <v>47</v>
      </c>
      <c r="C1221" s="98">
        <v>1.1000000000000001</v>
      </c>
      <c r="D1221" s="98">
        <v>3.0009999999999999</v>
      </c>
      <c r="E1221" s="98">
        <v>1.0000000000000001E-5</v>
      </c>
      <c r="F1221" s="98" t="s">
        <v>13</v>
      </c>
      <c r="G1221" s="98" t="s">
        <v>12</v>
      </c>
      <c r="H1221" s="98">
        <v>10</v>
      </c>
      <c r="I1221" s="98">
        <v>10.01</v>
      </c>
      <c r="J1221" s="98" t="s">
        <v>10</v>
      </c>
      <c r="K1221" s="98">
        <v>5.8</v>
      </c>
      <c r="L1221" s="98">
        <v>29</v>
      </c>
      <c r="M1221" s="98">
        <v>5.7729999999999997</v>
      </c>
      <c r="N1221" s="98">
        <v>28.867999999999999</v>
      </c>
      <c r="O1221" s="99" t="s">
        <v>2418</v>
      </c>
    </row>
    <row r="1222" spans="1:15" x14ac:dyDescent="0.25">
      <c r="A1222" s="98" t="s">
        <v>54</v>
      </c>
      <c r="B1222" s="98" t="s">
        <v>47</v>
      </c>
      <c r="C1222" s="98">
        <v>1.1000000000000001</v>
      </c>
      <c r="D1222" s="98">
        <v>3.0009999999999999</v>
      </c>
      <c r="E1222" s="98">
        <v>1.0000000000000001E-5</v>
      </c>
      <c r="F1222" s="98" t="s">
        <v>13</v>
      </c>
      <c r="G1222" s="98" t="s">
        <v>12</v>
      </c>
      <c r="H1222" s="98">
        <v>1</v>
      </c>
      <c r="I1222" s="98">
        <v>5.01</v>
      </c>
      <c r="J1222" s="98" t="s">
        <v>10</v>
      </c>
      <c r="K1222" s="98">
        <v>1.3</v>
      </c>
      <c r="L1222" s="98">
        <v>6.9</v>
      </c>
      <c r="M1222" s="98">
        <v>1.1548</v>
      </c>
      <c r="N1222" s="98">
        <v>6.9283000000000001</v>
      </c>
      <c r="O1222" s="99" t="s">
        <v>2795</v>
      </c>
    </row>
    <row r="1223" spans="1:15" x14ac:dyDescent="0.25">
      <c r="A1223" s="98" t="s">
        <v>54</v>
      </c>
      <c r="B1223" s="98" t="s">
        <v>47</v>
      </c>
      <c r="C1223" s="98">
        <v>1.1000000000000001</v>
      </c>
      <c r="D1223" s="98">
        <v>3.0009999999999999</v>
      </c>
      <c r="E1223" s="98">
        <v>1.0000000000000001E-5</v>
      </c>
      <c r="F1223" s="98" t="s">
        <v>13</v>
      </c>
      <c r="G1223" s="98" t="s">
        <v>12</v>
      </c>
      <c r="H1223" s="98">
        <v>5</v>
      </c>
      <c r="I1223" s="98">
        <v>10</v>
      </c>
      <c r="J1223" s="98" t="s">
        <v>10</v>
      </c>
      <c r="K1223" s="98">
        <v>5.8</v>
      </c>
      <c r="L1223" s="98">
        <v>29</v>
      </c>
      <c r="M1223" s="98">
        <v>5.7729999999999997</v>
      </c>
      <c r="N1223" s="98">
        <v>28.867999999999999</v>
      </c>
      <c r="O1223" s="99" t="s">
        <v>2417</v>
      </c>
    </row>
    <row r="1224" spans="1:15" x14ac:dyDescent="0.25">
      <c r="A1224" s="98" t="s">
        <v>54</v>
      </c>
      <c r="B1224" s="98" t="s">
        <v>47</v>
      </c>
      <c r="C1224" s="98">
        <v>1.1000000000000001</v>
      </c>
      <c r="D1224" s="98">
        <v>3.0009999999999999</v>
      </c>
      <c r="E1224" s="98">
        <v>1.0000000000000001E-5</v>
      </c>
      <c r="F1224" s="98" t="s">
        <v>13</v>
      </c>
      <c r="G1224" s="98" t="s">
        <v>12</v>
      </c>
      <c r="H1224" s="98">
        <v>4.4999999999999998E-2</v>
      </c>
      <c r="I1224" s="98">
        <v>1.0000100000000001</v>
      </c>
      <c r="J1224" s="98" t="s">
        <v>10</v>
      </c>
      <c r="K1224" s="98">
        <v>0.13</v>
      </c>
      <c r="L1224" s="98">
        <v>0.69</v>
      </c>
      <c r="M1224" s="98">
        <v>0.11619</v>
      </c>
      <c r="N1224" s="98">
        <v>0.69369000000000003</v>
      </c>
      <c r="O1224" s="99" t="s">
        <v>2416</v>
      </c>
    </row>
    <row r="1225" spans="1:15" x14ac:dyDescent="0.25">
      <c r="A1225" s="98" t="s">
        <v>54</v>
      </c>
      <c r="B1225" s="98" t="s">
        <v>47</v>
      </c>
      <c r="C1225" s="98">
        <v>1.1000000000000001</v>
      </c>
      <c r="D1225" s="98">
        <v>3.0009999999999999</v>
      </c>
      <c r="E1225" s="98">
        <v>1E-4</v>
      </c>
      <c r="F1225" s="98" t="s">
        <v>13</v>
      </c>
      <c r="G1225" s="98" t="s">
        <v>12</v>
      </c>
      <c r="H1225" s="98">
        <v>0.01</v>
      </c>
      <c r="I1225" s="98">
        <v>4.5010000000000001E-2</v>
      </c>
      <c r="J1225" s="98" t="s">
        <v>10</v>
      </c>
      <c r="K1225" s="98">
        <v>0.12</v>
      </c>
      <c r="L1225" s="98">
        <v>2.1</v>
      </c>
      <c r="M1225" s="98">
        <v>0.11676</v>
      </c>
      <c r="N1225" s="98">
        <v>2.0785</v>
      </c>
      <c r="O1225" s="99" t="s">
        <v>2423</v>
      </c>
    </row>
    <row r="1226" spans="1:15" x14ac:dyDescent="0.25">
      <c r="A1226" s="98" t="s">
        <v>54</v>
      </c>
      <c r="B1226" s="98" t="s">
        <v>47</v>
      </c>
      <c r="C1226" s="98">
        <v>1.1000000000000001</v>
      </c>
      <c r="D1226" s="98">
        <v>3.0009999999999999</v>
      </c>
      <c r="E1226" s="98">
        <v>1E-4</v>
      </c>
      <c r="F1226" s="98" t="s">
        <v>13</v>
      </c>
      <c r="G1226" s="98" t="s">
        <v>12</v>
      </c>
      <c r="H1226" s="98">
        <v>5</v>
      </c>
      <c r="I1226" s="98">
        <v>10</v>
      </c>
      <c r="J1226" s="98" t="s">
        <v>10</v>
      </c>
      <c r="K1226" s="98">
        <v>5.8</v>
      </c>
      <c r="L1226" s="98">
        <v>29</v>
      </c>
      <c r="M1226" s="98">
        <v>5.7731000000000003</v>
      </c>
      <c r="N1226" s="98">
        <v>28.867999999999999</v>
      </c>
      <c r="O1226" s="99" t="s">
        <v>2421</v>
      </c>
    </row>
    <row r="1227" spans="1:15" x14ac:dyDescent="0.25">
      <c r="A1227" s="98" t="s">
        <v>54</v>
      </c>
      <c r="B1227" s="98" t="s">
        <v>47</v>
      </c>
      <c r="C1227" s="98">
        <v>1.1000000000000001</v>
      </c>
      <c r="D1227" s="98">
        <v>3.0009999999999999</v>
      </c>
      <c r="E1227" s="98">
        <v>1E-4</v>
      </c>
      <c r="F1227" s="98" t="s">
        <v>13</v>
      </c>
      <c r="G1227" s="98" t="s">
        <v>12</v>
      </c>
      <c r="H1227" s="98">
        <v>4.4999999999999998E-2</v>
      </c>
      <c r="I1227" s="98">
        <v>1.0000100000000001</v>
      </c>
      <c r="J1227" s="98" t="s">
        <v>10</v>
      </c>
      <c r="K1227" s="98">
        <v>0.13</v>
      </c>
      <c r="L1227" s="98">
        <v>0.69</v>
      </c>
      <c r="M1227" s="98">
        <v>0.11867999999999999</v>
      </c>
      <c r="N1227" s="98">
        <v>0.69310000000000005</v>
      </c>
      <c r="O1227" s="99" t="s">
        <v>2796</v>
      </c>
    </row>
    <row r="1228" spans="1:15" x14ac:dyDescent="0.25">
      <c r="A1228" s="98" t="s">
        <v>54</v>
      </c>
      <c r="B1228" s="98" t="s">
        <v>47</v>
      </c>
      <c r="C1228" s="98">
        <v>1.1000000000000001</v>
      </c>
      <c r="D1228" s="98">
        <v>3.0009999999999999</v>
      </c>
      <c r="E1228" s="98">
        <v>1E-4</v>
      </c>
      <c r="F1228" s="98" t="s">
        <v>13</v>
      </c>
      <c r="G1228" s="98" t="s">
        <v>12</v>
      </c>
      <c r="H1228" s="98">
        <v>10</v>
      </c>
      <c r="I1228" s="98">
        <v>10.01</v>
      </c>
      <c r="J1228" s="98" t="s">
        <v>10</v>
      </c>
      <c r="K1228" s="98">
        <v>5.8</v>
      </c>
      <c r="L1228" s="98">
        <v>29</v>
      </c>
      <c r="M1228" s="98">
        <v>5.7731000000000003</v>
      </c>
      <c r="N1228" s="98">
        <v>28.867999999999999</v>
      </c>
      <c r="O1228" s="99" t="s">
        <v>2420</v>
      </c>
    </row>
    <row r="1229" spans="1:15" x14ac:dyDescent="0.25">
      <c r="A1229" s="98" t="s">
        <v>54</v>
      </c>
      <c r="B1229" s="98" t="s">
        <v>47</v>
      </c>
      <c r="C1229" s="98">
        <v>1.1000000000000001</v>
      </c>
      <c r="D1229" s="98">
        <v>3.0009999999999999</v>
      </c>
      <c r="E1229" s="98">
        <v>1E-4</v>
      </c>
      <c r="F1229" s="98" t="s">
        <v>13</v>
      </c>
      <c r="G1229" s="98" t="s">
        <v>12</v>
      </c>
      <c r="H1229" s="98">
        <v>1</v>
      </c>
      <c r="I1229" s="98">
        <v>5.01</v>
      </c>
      <c r="J1229" s="98" t="s">
        <v>10</v>
      </c>
      <c r="K1229" s="98">
        <v>1.3</v>
      </c>
      <c r="L1229" s="98">
        <v>6.9</v>
      </c>
      <c r="M1229" s="98">
        <v>1.1552</v>
      </c>
      <c r="N1229" s="98">
        <v>6.9282000000000004</v>
      </c>
      <c r="O1229" s="99" t="s">
        <v>2422</v>
      </c>
    </row>
    <row r="1230" spans="1:15" x14ac:dyDescent="0.25">
      <c r="A1230" s="98" t="s">
        <v>54</v>
      </c>
      <c r="B1230" s="98" t="s">
        <v>47</v>
      </c>
      <c r="C1230" s="98">
        <v>1.1000000000000001</v>
      </c>
      <c r="D1230" s="98">
        <v>3.0009999999999999</v>
      </c>
      <c r="E1230" s="98">
        <v>1E-3</v>
      </c>
      <c r="F1230" s="98" t="s">
        <v>13</v>
      </c>
      <c r="G1230" s="98" t="s">
        <v>12</v>
      </c>
      <c r="H1230" s="98">
        <v>10</v>
      </c>
      <c r="I1230" s="98">
        <v>10.01</v>
      </c>
      <c r="J1230" s="98" t="s">
        <v>10</v>
      </c>
      <c r="K1230" s="98">
        <v>5.8</v>
      </c>
      <c r="L1230" s="98">
        <v>29</v>
      </c>
      <c r="M1230" s="98">
        <v>5.78</v>
      </c>
      <c r="N1230" s="98">
        <v>28.866</v>
      </c>
      <c r="O1230" s="99" t="s">
        <v>2425</v>
      </c>
    </row>
    <row r="1231" spans="1:15" x14ac:dyDescent="0.25">
      <c r="A1231" s="98" t="s">
        <v>54</v>
      </c>
      <c r="B1231" s="98" t="s">
        <v>47</v>
      </c>
      <c r="C1231" s="98">
        <v>1.1000000000000001</v>
      </c>
      <c r="D1231" s="98">
        <v>3.0009999999999999</v>
      </c>
      <c r="E1231" s="98">
        <v>1E-3</v>
      </c>
      <c r="F1231" s="98" t="s">
        <v>13</v>
      </c>
      <c r="G1231" s="98" t="s">
        <v>12</v>
      </c>
      <c r="H1231" s="98">
        <v>5</v>
      </c>
      <c r="I1231" s="98">
        <v>10</v>
      </c>
      <c r="J1231" s="98" t="s">
        <v>10</v>
      </c>
      <c r="K1231" s="98">
        <v>5.8</v>
      </c>
      <c r="L1231" s="98">
        <v>29</v>
      </c>
      <c r="M1231" s="98">
        <v>5.78</v>
      </c>
      <c r="N1231" s="98">
        <v>28.866</v>
      </c>
      <c r="O1231" s="99" t="s">
        <v>2426</v>
      </c>
    </row>
    <row r="1232" spans="1:15" x14ac:dyDescent="0.25">
      <c r="A1232" s="98" t="s">
        <v>54</v>
      </c>
      <c r="B1232" s="98" t="s">
        <v>47</v>
      </c>
      <c r="C1232" s="98">
        <v>1.1000000000000001</v>
      </c>
      <c r="D1232" s="98">
        <v>3.0009999999999999</v>
      </c>
      <c r="E1232" s="98">
        <v>1E-3</v>
      </c>
      <c r="F1232" s="98" t="s">
        <v>13</v>
      </c>
      <c r="G1232" s="98" t="s">
        <v>12</v>
      </c>
      <c r="H1232" s="98">
        <v>1</v>
      </c>
      <c r="I1232" s="98">
        <v>5.01</v>
      </c>
      <c r="J1232" s="98" t="s">
        <v>10</v>
      </c>
      <c r="K1232" s="98">
        <v>1.3</v>
      </c>
      <c r="L1232" s="98">
        <v>6.9</v>
      </c>
      <c r="M1232" s="98">
        <v>1.1803999999999999</v>
      </c>
      <c r="N1232" s="98">
        <v>6.9222999999999999</v>
      </c>
      <c r="O1232" s="99" t="s">
        <v>2797</v>
      </c>
    </row>
    <row r="1233" spans="1:15" x14ac:dyDescent="0.25">
      <c r="A1233" s="98" t="s">
        <v>54</v>
      </c>
      <c r="B1233" s="98" t="s">
        <v>47</v>
      </c>
      <c r="C1233" s="98">
        <v>1.1000000000000001</v>
      </c>
      <c r="D1233" s="98">
        <v>3.0009999999999999</v>
      </c>
      <c r="E1233" s="98">
        <v>1E-3</v>
      </c>
      <c r="F1233" s="98" t="s">
        <v>13</v>
      </c>
      <c r="G1233" s="98" t="s">
        <v>12</v>
      </c>
      <c r="H1233" s="98">
        <v>4.4999999999999998E-2</v>
      </c>
      <c r="I1233" s="98">
        <v>1.0000100000000001</v>
      </c>
      <c r="J1233" s="98" t="s">
        <v>10</v>
      </c>
      <c r="K1233" s="98">
        <v>0.35192000000000001</v>
      </c>
      <c r="L1233" s="98">
        <v>0.64234000000000002</v>
      </c>
      <c r="M1233" s="98">
        <v>0.34550999999999998</v>
      </c>
      <c r="N1233" s="98">
        <v>0.6421</v>
      </c>
      <c r="O1233" s="99" t="s">
        <v>2424</v>
      </c>
    </row>
    <row r="1234" spans="1:15" x14ac:dyDescent="0.25">
      <c r="A1234" s="98" t="s">
        <v>54</v>
      </c>
      <c r="B1234" s="98" t="s">
        <v>47</v>
      </c>
      <c r="C1234" s="98">
        <v>1.1000000000000001</v>
      </c>
      <c r="D1234" s="98">
        <v>3.0009999999999999</v>
      </c>
      <c r="E1234" s="98">
        <v>1E-3</v>
      </c>
      <c r="F1234" s="98" t="s">
        <v>13</v>
      </c>
      <c r="G1234" s="98" t="s">
        <v>12</v>
      </c>
      <c r="H1234" s="98">
        <v>0.01</v>
      </c>
      <c r="I1234" s="98">
        <v>4.5010000000000001E-2</v>
      </c>
      <c r="J1234" s="98" t="s">
        <v>10</v>
      </c>
      <c r="K1234" s="98">
        <v>0.18892</v>
      </c>
      <c r="L1234" s="98">
        <v>2.077</v>
      </c>
      <c r="M1234" s="98">
        <v>0.20868</v>
      </c>
      <c r="N1234" s="98">
        <v>2.0565000000000002</v>
      </c>
      <c r="O1234" s="99" t="s">
        <v>2798</v>
      </c>
    </row>
    <row r="1235" spans="1:15" x14ac:dyDescent="0.25">
      <c r="A1235" s="98" t="s">
        <v>54</v>
      </c>
      <c r="B1235" s="98" t="s">
        <v>47</v>
      </c>
      <c r="C1235" s="98">
        <v>1.1000000000000001</v>
      </c>
      <c r="D1235" s="98">
        <v>3.0009999999999999</v>
      </c>
      <c r="E1235" s="98">
        <v>0.01</v>
      </c>
      <c r="F1235" s="98" t="s">
        <v>13</v>
      </c>
      <c r="G1235" s="98" t="s">
        <v>12</v>
      </c>
      <c r="H1235" s="98">
        <v>5</v>
      </c>
      <c r="I1235" s="98">
        <v>10</v>
      </c>
      <c r="J1235" s="98" t="s">
        <v>10</v>
      </c>
      <c r="K1235" s="98">
        <v>6.2283999999999997</v>
      </c>
      <c r="L1235" s="98">
        <v>28.856999999999999</v>
      </c>
      <c r="M1235" s="98">
        <v>6.3663999999999996</v>
      </c>
      <c r="N1235" s="98">
        <v>28.73</v>
      </c>
      <c r="O1235" s="99" t="s">
        <v>2431</v>
      </c>
    </row>
    <row r="1236" spans="1:15" x14ac:dyDescent="0.25">
      <c r="A1236" s="98" t="s">
        <v>54</v>
      </c>
      <c r="B1236" s="98" t="s">
        <v>47</v>
      </c>
      <c r="C1236" s="98">
        <v>1.1000000000000001</v>
      </c>
      <c r="D1236" s="98">
        <v>3.0009999999999999</v>
      </c>
      <c r="E1236" s="98">
        <v>0.01</v>
      </c>
      <c r="F1236" s="98" t="s">
        <v>13</v>
      </c>
      <c r="G1236" s="98" t="s">
        <v>12</v>
      </c>
      <c r="H1236" s="98">
        <v>0.01</v>
      </c>
      <c r="I1236" s="98">
        <v>4.5010000000000001E-2</v>
      </c>
      <c r="J1236" s="98" t="s">
        <v>10</v>
      </c>
      <c r="K1236" s="98">
        <v>4.9070999999999998</v>
      </c>
      <c r="L1236" s="98">
        <v>1.2281</v>
      </c>
      <c r="M1236" s="98">
        <v>4.9043000000000001</v>
      </c>
      <c r="N1236" s="98">
        <v>1.2264999999999999</v>
      </c>
      <c r="O1236" s="99" t="s">
        <v>2429</v>
      </c>
    </row>
    <row r="1237" spans="1:15" x14ac:dyDescent="0.25">
      <c r="A1237" s="98" t="s">
        <v>54</v>
      </c>
      <c r="B1237" s="98" t="s">
        <v>47</v>
      </c>
      <c r="C1237" s="98">
        <v>1.1000000000000001</v>
      </c>
      <c r="D1237" s="98">
        <v>3.0009999999999999</v>
      </c>
      <c r="E1237" s="98">
        <v>0.01</v>
      </c>
      <c r="F1237" s="98" t="s">
        <v>13</v>
      </c>
      <c r="G1237" s="98" t="s">
        <v>12</v>
      </c>
      <c r="H1237" s="98">
        <v>1</v>
      </c>
      <c r="I1237" s="98">
        <v>5.01</v>
      </c>
      <c r="J1237" s="98" t="s">
        <v>10</v>
      </c>
      <c r="K1237" s="98">
        <v>3.4546999999999999</v>
      </c>
      <c r="L1237" s="98">
        <v>6.4116</v>
      </c>
      <c r="M1237" s="98">
        <v>3.4521000000000002</v>
      </c>
      <c r="N1237" s="98">
        <v>6.4115000000000002</v>
      </c>
      <c r="O1237" s="99" t="s">
        <v>2430</v>
      </c>
    </row>
    <row r="1238" spans="1:15" x14ac:dyDescent="0.25">
      <c r="A1238" s="98" t="s">
        <v>54</v>
      </c>
      <c r="B1238" s="98" t="s">
        <v>47</v>
      </c>
      <c r="C1238" s="98">
        <v>1.1000000000000001</v>
      </c>
      <c r="D1238" s="98">
        <v>3.0009999999999999</v>
      </c>
      <c r="E1238" s="98">
        <v>0.01</v>
      </c>
      <c r="F1238" s="98" t="s">
        <v>13</v>
      </c>
      <c r="G1238" s="98" t="s">
        <v>12</v>
      </c>
      <c r="H1238" s="98">
        <v>4.4999999999999998E-2</v>
      </c>
      <c r="I1238" s="98">
        <v>1.0000100000000001</v>
      </c>
      <c r="J1238" s="98" t="s">
        <v>10</v>
      </c>
      <c r="K1238" s="98">
        <v>5.6463000000000001</v>
      </c>
      <c r="L1238" s="98">
        <v>0.18057000000000001</v>
      </c>
      <c r="M1238" s="98">
        <v>5.6448</v>
      </c>
      <c r="N1238" s="98">
        <v>0.17757999999999999</v>
      </c>
      <c r="O1238" s="99" t="s">
        <v>2428</v>
      </c>
    </row>
    <row r="1239" spans="1:15" x14ac:dyDescent="0.25">
      <c r="A1239" s="98" t="s">
        <v>54</v>
      </c>
      <c r="B1239" s="98" t="s">
        <v>47</v>
      </c>
      <c r="C1239" s="98">
        <v>1.1000000000000001</v>
      </c>
      <c r="D1239" s="98">
        <v>3.0009999999999999</v>
      </c>
      <c r="E1239" s="98">
        <v>0.01</v>
      </c>
      <c r="F1239" s="98" t="s">
        <v>13</v>
      </c>
      <c r="G1239" s="98" t="s">
        <v>12</v>
      </c>
      <c r="H1239" s="98">
        <v>10</v>
      </c>
      <c r="I1239" s="98">
        <v>10.01</v>
      </c>
      <c r="J1239" s="98" t="s">
        <v>10</v>
      </c>
      <c r="K1239" s="98">
        <v>6.2283999999999997</v>
      </c>
      <c r="L1239" s="98">
        <v>28.856999999999999</v>
      </c>
      <c r="M1239" s="98">
        <v>6.3663999999999996</v>
      </c>
      <c r="N1239" s="98">
        <v>28.73</v>
      </c>
      <c r="O1239" s="99" t="s">
        <v>2427</v>
      </c>
    </row>
    <row r="1240" spans="1:15" x14ac:dyDescent="0.25">
      <c r="A1240" s="98" t="s">
        <v>54</v>
      </c>
      <c r="B1240" s="98" t="s">
        <v>47</v>
      </c>
      <c r="C1240" s="98">
        <v>1.1000000000000001</v>
      </c>
      <c r="D1240" s="98">
        <v>3.0009999999999999</v>
      </c>
      <c r="E1240" s="98">
        <v>0.1</v>
      </c>
      <c r="F1240" s="98" t="s">
        <v>13</v>
      </c>
      <c r="G1240" s="98" t="s">
        <v>12</v>
      </c>
      <c r="H1240" s="98">
        <v>10</v>
      </c>
      <c r="I1240" s="98">
        <v>10.01</v>
      </c>
      <c r="J1240" s="98" t="s">
        <v>10</v>
      </c>
      <c r="K1240" s="98">
        <v>45.661999999999999</v>
      </c>
      <c r="L1240" s="98">
        <v>21.093</v>
      </c>
      <c r="M1240" s="98">
        <v>45.658999999999999</v>
      </c>
      <c r="N1240" s="98">
        <v>21.091999999999999</v>
      </c>
      <c r="O1240" s="99" t="s">
        <v>2432</v>
      </c>
    </row>
    <row r="1241" spans="1:15" x14ac:dyDescent="0.25">
      <c r="A1241" s="98" t="s">
        <v>54</v>
      </c>
      <c r="B1241" s="98" t="s">
        <v>47</v>
      </c>
      <c r="C1241" s="98">
        <v>1.1000000000000001</v>
      </c>
      <c r="D1241" s="98">
        <v>3.0009999999999999</v>
      </c>
      <c r="E1241" s="98">
        <v>0.1</v>
      </c>
      <c r="F1241" s="98" t="s">
        <v>13</v>
      </c>
      <c r="G1241" s="98" t="s">
        <v>12</v>
      </c>
      <c r="H1241" s="98">
        <v>4.4999999999999998E-2</v>
      </c>
      <c r="I1241" s="98">
        <v>1.0000100000000001</v>
      </c>
      <c r="J1241" s="98" t="s">
        <v>10</v>
      </c>
      <c r="K1241" s="98">
        <v>57.722000000000001</v>
      </c>
      <c r="L1241" s="98">
        <v>1.9812E-2</v>
      </c>
      <c r="M1241" s="98">
        <v>57.722000000000001</v>
      </c>
      <c r="N1241" s="98">
        <v>1.8474000000000001E-2</v>
      </c>
      <c r="O1241" s="99" t="s">
        <v>2799</v>
      </c>
    </row>
    <row r="1242" spans="1:15" x14ac:dyDescent="0.25">
      <c r="A1242" s="98" t="s">
        <v>54</v>
      </c>
      <c r="B1242" s="98" t="s">
        <v>47</v>
      </c>
      <c r="C1242" s="98">
        <v>1.1000000000000001</v>
      </c>
      <c r="D1242" s="98">
        <v>3.0009999999999999</v>
      </c>
      <c r="E1242" s="98">
        <v>0.1</v>
      </c>
      <c r="F1242" s="98" t="s">
        <v>13</v>
      </c>
      <c r="G1242" s="98" t="s">
        <v>12</v>
      </c>
      <c r="H1242" s="98">
        <v>1</v>
      </c>
      <c r="I1242" s="98">
        <v>5.01</v>
      </c>
      <c r="J1242" s="98" t="s">
        <v>10</v>
      </c>
      <c r="K1242" s="98">
        <v>56.451000000000001</v>
      </c>
      <c r="L1242" s="98">
        <v>1.7722</v>
      </c>
      <c r="M1242" s="98">
        <v>56.451000000000001</v>
      </c>
      <c r="N1242" s="98">
        <v>1.7709999999999999</v>
      </c>
      <c r="O1242" s="99" t="s">
        <v>2433</v>
      </c>
    </row>
    <row r="1243" spans="1:15" x14ac:dyDescent="0.25">
      <c r="A1243" s="98" t="s">
        <v>54</v>
      </c>
      <c r="B1243" s="98" t="s">
        <v>47</v>
      </c>
      <c r="C1243" s="98">
        <v>1.1000000000000001</v>
      </c>
      <c r="D1243" s="98">
        <v>3.0009999999999999</v>
      </c>
      <c r="E1243" s="98">
        <v>0.1</v>
      </c>
      <c r="F1243" s="98" t="s">
        <v>13</v>
      </c>
      <c r="G1243" s="98" t="s">
        <v>12</v>
      </c>
      <c r="H1243" s="98">
        <v>5</v>
      </c>
      <c r="I1243" s="98">
        <v>10</v>
      </c>
      <c r="J1243" s="98" t="s">
        <v>10</v>
      </c>
      <c r="K1243" s="98">
        <v>45.661999999999999</v>
      </c>
      <c r="L1243" s="98">
        <v>21.093</v>
      </c>
      <c r="M1243" s="98">
        <v>45.658999999999999</v>
      </c>
      <c r="N1243" s="98">
        <v>21.091999999999999</v>
      </c>
      <c r="O1243" s="99" t="s">
        <v>2434</v>
      </c>
    </row>
    <row r="1244" spans="1:15" x14ac:dyDescent="0.25">
      <c r="A1244" s="98" t="s">
        <v>54</v>
      </c>
      <c r="B1244" s="98" t="s">
        <v>47</v>
      </c>
      <c r="C1244" s="98">
        <v>1.1000000000000001</v>
      </c>
      <c r="D1244" s="98">
        <v>3.0009999999999999</v>
      </c>
      <c r="E1244" s="98">
        <v>0.1</v>
      </c>
      <c r="F1244" s="98" t="s">
        <v>13</v>
      </c>
      <c r="G1244" s="98" t="s">
        <v>12</v>
      </c>
      <c r="H1244" s="98">
        <v>0.01</v>
      </c>
      <c r="I1244" s="98">
        <v>4.5010000000000001E-2</v>
      </c>
      <c r="J1244" s="98" t="s">
        <v>10</v>
      </c>
      <c r="K1244" s="98">
        <v>57.613</v>
      </c>
      <c r="L1244" s="98">
        <v>0.15837999999999999</v>
      </c>
      <c r="M1244" s="98">
        <v>57.613</v>
      </c>
      <c r="N1244" s="98">
        <v>0.15706000000000001</v>
      </c>
      <c r="O1244" s="99" t="s">
        <v>2800</v>
      </c>
    </row>
    <row r="1245" spans="1:15" x14ac:dyDescent="0.25">
      <c r="A1245" s="98" t="s">
        <v>54</v>
      </c>
      <c r="B1245" s="98" t="s">
        <v>47</v>
      </c>
      <c r="C1245" s="98">
        <v>3</v>
      </c>
      <c r="D1245" s="98">
        <v>11.000999999999999</v>
      </c>
      <c r="E1245" s="98">
        <v>1E-4</v>
      </c>
      <c r="F1245" s="98" t="s">
        <v>13</v>
      </c>
      <c r="G1245" s="98" t="s">
        <v>12</v>
      </c>
      <c r="H1245" s="98">
        <v>5</v>
      </c>
      <c r="I1245" s="98">
        <v>5.01</v>
      </c>
      <c r="J1245" s="98" t="s">
        <v>10</v>
      </c>
      <c r="K1245" s="98">
        <v>2.5</v>
      </c>
      <c r="L1245" s="98">
        <v>35</v>
      </c>
      <c r="M1245" s="98">
        <v>2.3102999999999998</v>
      </c>
      <c r="N1245" s="98">
        <v>34.640999999999998</v>
      </c>
      <c r="O1245" s="99" t="s">
        <v>2435</v>
      </c>
    </row>
    <row r="1246" spans="1:15" x14ac:dyDescent="0.25">
      <c r="A1246" s="98" t="s">
        <v>54</v>
      </c>
      <c r="B1246" s="98" t="s">
        <v>47</v>
      </c>
      <c r="C1246" s="98">
        <v>3</v>
      </c>
      <c r="D1246" s="98">
        <v>11.000999999999999</v>
      </c>
      <c r="E1246" s="98">
        <v>1E-4</v>
      </c>
      <c r="F1246" s="98" t="s">
        <v>13</v>
      </c>
      <c r="G1246" s="98" t="s">
        <v>12</v>
      </c>
      <c r="H1246" s="98">
        <v>1</v>
      </c>
      <c r="I1246" s="98">
        <v>5</v>
      </c>
      <c r="J1246" s="98" t="s">
        <v>10</v>
      </c>
      <c r="K1246" s="98">
        <v>2.5</v>
      </c>
      <c r="L1246" s="98">
        <v>35</v>
      </c>
      <c r="M1246" s="98">
        <v>2.3102999999999998</v>
      </c>
      <c r="N1246" s="98">
        <v>34.640999999999998</v>
      </c>
      <c r="O1246" s="99" t="s">
        <v>2436</v>
      </c>
    </row>
    <row r="1247" spans="1:15" x14ac:dyDescent="0.25">
      <c r="A1247" s="98" t="s">
        <v>54</v>
      </c>
      <c r="B1247" s="98" t="s">
        <v>47</v>
      </c>
      <c r="C1247" s="98">
        <v>3</v>
      </c>
      <c r="D1247" s="98">
        <v>11.000999999999999</v>
      </c>
      <c r="E1247" s="98">
        <v>1E-4</v>
      </c>
      <c r="F1247" s="98" t="s">
        <v>13</v>
      </c>
      <c r="G1247" s="98" t="s">
        <v>12</v>
      </c>
      <c r="H1247" s="98">
        <v>4.4999999999999998E-2</v>
      </c>
      <c r="I1247" s="98">
        <v>0.10001</v>
      </c>
      <c r="J1247" s="98" t="s">
        <v>10</v>
      </c>
      <c r="K1247" s="98">
        <v>2.4</v>
      </c>
      <c r="L1247" s="98">
        <v>0.69</v>
      </c>
      <c r="M1247" s="98">
        <v>2.3298000000000001</v>
      </c>
      <c r="N1247" s="98">
        <v>0.69372999999999996</v>
      </c>
      <c r="O1247" s="99" t="s">
        <v>2801</v>
      </c>
    </row>
    <row r="1248" spans="1:15" x14ac:dyDescent="0.25">
      <c r="A1248" s="98" t="s">
        <v>54</v>
      </c>
      <c r="B1248" s="98" t="s">
        <v>47</v>
      </c>
      <c r="C1248" s="98">
        <v>3</v>
      </c>
      <c r="D1248" s="98">
        <v>11.000999999999999</v>
      </c>
      <c r="E1248" s="98">
        <v>1E-4</v>
      </c>
      <c r="F1248" s="98" t="s">
        <v>13</v>
      </c>
      <c r="G1248" s="98" t="s">
        <v>12</v>
      </c>
      <c r="H1248" s="98">
        <v>0.1</v>
      </c>
      <c r="I1248" s="98">
        <v>1.0000100000000001</v>
      </c>
      <c r="J1248" s="98" t="s">
        <v>10</v>
      </c>
      <c r="K1248" s="98">
        <v>2.4</v>
      </c>
      <c r="L1248" s="98">
        <v>1.2</v>
      </c>
      <c r="M1248" s="98">
        <v>2.3239999999999998</v>
      </c>
      <c r="N1248" s="98">
        <v>1.1553</v>
      </c>
      <c r="O1248" s="99" t="s">
        <v>2802</v>
      </c>
    </row>
    <row r="1249" spans="1:15" x14ac:dyDescent="0.25">
      <c r="A1249" s="98" t="s">
        <v>54</v>
      </c>
      <c r="B1249" s="98" t="s">
        <v>47</v>
      </c>
      <c r="C1249" s="98">
        <v>3</v>
      </c>
      <c r="D1249" s="98">
        <v>11.000999999999999</v>
      </c>
      <c r="E1249" s="98">
        <v>1E-3</v>
      </c>
      <c r="F1249" s="98" t="s">
        <v>13</v>
      </c>
      <c r="G1249" s="98" t="s">
        <v>12</v>
      </c>
      <c r="H1249" s="98">
        <v>1</v>
      </c>
      <c r="I1249" s="98">
        <v>5</v>
      </c>
      <c r="J1249" s="98" t="s">
        <v>10</v>
      </c>
      <c r="K1249" s="98">
        <v>2.5</v>
      </c>
      <c r="L1249" s="98">
        <v>35</v>
      </c>
      <c r="M1249" s="98">
        <v>2.3111999999999999</v>
      </c>
      <c r="N1249" s="98">
        <v>34.640999999999998</v>
      </c>
      <c r="O1249" s="99" t="s">
        <v>2439</v>
      </c>
    </row>
    <row r="1250" spans="1:15" x14ac:dyDescent="0.25">
      <c r="A1250" s="98" t="s">
        <v>54</v>
      </c>
      <c r="B1250" s="98" t="s">
        <v>47</v>
      </c>
      <c r="C1250" s="98">
        <v>3</v>
      </c>
      <c r="D1250" s="98">
        <v>11.000999999999999</v>
      </c>
      <c r="E1250" s="98">
        <v>1E-3</v>
      </c>
      <c r="F1250" s="98" t="s">
        <v>13</v>
      </c>
      <c r="G1250" s="98" t="s">
        <v>12</v>
      </c>
      <c r="H1250" s="98">
        <v>4.4999999999999998E-2</v>
      </c>
      <c r="I1250" s="98">
        <v>0.10001</v>
      </c>
      <c r="J1250" s="98" t="s">
        <v>10</v>
      </c>
      <c r="K1250" s="98">
        <v>2.4</v>
      </c>
      <c r="L1250" s="98">
        <v>0.69</v>
      </c>
      <c r="M1250" s="98">
        <v>2.3708999999999998</v>
      </c>
      <c r="N1250" s="98">
        <v>0.69111999999999996</v>
      </c>
      <c r="O1250" s="99" t="s">
        <v>2438</v>
      </c>
    </row>
    <row r="1251" spans="1:15" x14ac:dyDescent="0.25">
      <c r="A1251" s="98" t="s">
        <v>54</v>
      </c>
      <c r="B1251" s="98" t="s">
        <v>47</v>
      </c>
      <c r="C1251" s="98">
        <v>3</v>
      </c>
      <c r="D1251" s="98">
        <v>11.000999999999999</v>
      </c>
      <c r="E1251" s="98">
        <v>1E-3</v>
      </c>
      <c r="F1251" s="98" t="s">
        <v>13</v>
      </c>
      <c r="G1251" s="98" t="s">
        <v>12</v>
      </c>
      <c r="H1251" s="98">
        <v>0.1</v>
      </c>
      <c r="I1251" s="98">
        <v>1.0000100000000001</v>
      </c>
      <c r="J1251" s="98" t="s">
        <v>10</v>
      </c>
      <c r="K1251" s="98">
        <v>2.4</v>
      </c>
      <c r="L1251" s="98">
        <v>1.2</v>
      </c>
      <c r="M1251" s="98">
        <v>2.3551000000000002</v>
      </c>
      <c r="N1251" s="98">
        <v>1.1531</v>
      </c>
      <c r="O1251" s="99" t="s">
        <v>2803</v>
      </c>
    </row>
    <row r="1252" spans="1:15" x14ac:dyDescent="0.25">
      <c r="A1252" s="98" t="s">
        <v>54</v>
      </c>
      <c r="B1252" s="98" t="s">
        <v>47</v>
      </c>
      <c r="C1252" s="98">
        <v>3</v>
      </c>
      <c r="D1252" s="98">
        <v>11.000999999999999</v>
      </c>
      <c r="E1252" s="98">
        <v>1E-3</v>
      </c>
      <c r="F1252" s="98" t="s">
        <v>13</v>
      </c>
      <c r="G1252" s="98" t="s">
        <v>12</v>
      </c>
      <c r="H1252" s="98">
        <v>5</v>
      </c>
      <c r="I1252" s="98">
        <v>5.01</v>
      </c>
      <c r="J1252" s="98" t="s">
        <v>10</v>
      </c>
      <c r="K1252" s="98">
        <v>2.5</v>
      </c>
      <c r="L1252" s="98">
        <v>35</v>
      </c>
      <c r="M1252" s="98">
        <v>2.3111999999999999</v>
      </c>
      <c r="N1252" s="98">
        <v>34.640999999999998</v>
      </c>
      <c r="O1252" s="99" t="s">
        <v>2437</v>
      </c>
    </row>
    <row r="1253" spans="1:15" x14ac:dyDescent="0.25">
      <c r="A1253" s="98" t="s">
        <v>54</v>
      </c>
      <c r="B1253" s="98" t="s">
        <v>47</v>
      </c>
      <c r="C1253" s="98">
        <v>3</v>
      </c>
      <c r="D1253" s="98">
        <v>11.000999999999999</v>
      </c>
      <c r="E1253" s="98">
        <v>0.01</v>
      </c>
      <c r="F1253" s="98" t="s">
        <v>13</v>
      </c>
      <c r="G1253" s="98" t="s">
        <v>12</v>
      </c>
      <c r="H1253" s="98">
        <v>0.1</v>
      </c>
      <c r="I1253" s="98">
        <v>1.0000100000000001</v>
      </c>
      <c r="J1253" s="98" t="s">
        <v>10</v>
      </c>
      <c r="K1253" s="98">
        <v>5.1971999999999996</v>
      </c>
      <c r="L1253" s="98">
        <v>0.99041000000000001</v>
      </c>
      <c r="M1253" s="98">
        <v>5.1951000000000001</v>
      </c>
      <c r="N1253" s="98">
        <v>0.99036000000000002</v>
      </c>
      <c r="O1253" s="99" t="s">
        <v>2441</v>
      </c>
    </row>
    <row r="1254" spans="1:15" x14ac:dyDescent="0.25">
      <c r="A1254" s="98" t="s">
        <v>54</v>
      </c>
      <c r="B1254" s="98" t="s">
        <v>47</v>
      </c>
      <c r="C1254" s="98">
        <v>3</v>
      </c>
      <c r="D1254" s="98">
        <v>11.000999999999999</v>
      </c>
      <c r="E1254" s="98">
        <v>0.01</v>
      </c>
      <c r="F1254" s="98" t="s">
        <v>13</v>
      </c>
      <c r="G1254" s="98" t="s">
        <v>12</v>
      </c>
      <c r="H1254" s="98">
        <v>4.4999999999999998E-2</v>
      </c>
      <c r="I1254" s="98">
        <v>0.10001</v>
      </c>
      <c r="J1254" s="98" t="s">
        <v>10</v>
      </c>
      <c r="K1254" s="98">
        <v>5.6643999999999997</v>
      </c>
      <c r="L1254" s="98">
        <v>0.53041000000000005</v>
      </c>
      <c r="M1254" s="98">
        <v>5.6622000000000003</v>
      </c>
      <c r="N1254" s="98">
        <v>0.53025999999999995</v>
      </c>
      <c r="O1254" s="99" t="s">
        <v>2804</v>
      </c>
    </row>
    <row r="1255" spans="1:15" x14ac:dyDescent="0.25">
      <c r="A1255" s="98" t="s">
        <v>54</v>
      </c>
      <c r="B1255" s="98" t="s">
        <v>47</v>
      </c>
      <c r="C1255" s="98">
        <v>3</v>
      </c>
      <c r="D1255" s="98">
        <v>11.000999999999999</v>
      </c>
      <c r="E1255" s="98">
        <v>0.01</v>
      </c>
      <c r="F1255" s="98" t="s">
        <v>13</v>
      </c>
      <c r="G1255" s="98" t="s">
        <v>12</v>
      </c>
      <c r="H1255" s="98">
        <v>1</v>
      </c>
      <c r="I1255" s="98">
        <v>5</v>
      </c>
      <c r="J1255" s="98" t="s">
        <v>10</v>
      </c>
      <c r="K1255" s="98">
        <v>2.5</v>
      </c>
      <c r="L1255" s="98">
        <v>35</v>
      </c>
      <c r="M1255" s="98">
        <v>2.5084</v>
      </c>
      <c r="N1255" s="98">
        <v>34.627000000000002</v>
      </c>
      <c r="O1255" s="99" t="s">
        <v>2440</v>
      </c>
    </row>
    <row r="1256" spans="1:15" x14ac:dyDescent="0.25">
      <c r="A1256" s="98" t="s">
        <v>54</v>
      </c>
      <c r="B1256" s="98" t="s">
        <v>47</v>
      </c>
      <c r="C1256" s="98">
        <v>3</v>
      </c>
      <c r="D1256" s="98">
        <v>11.000999999999999</v>
      </c>
      <c r="E1256" s="98">
        <v>0.01</v>
      </c>
      <c r="F1256" s="98" t="s">
        <v>13</v>
      </c>
      <c r="G1256" s="98" t="s">
        <v>12</v>
      </c>
      <c r="H1256" s="98">
        <v>5</v>
      </c>
      <c r="I1256" s="98">
        <v>5.01</v>
      </c>
      <c r="J1256" s="98" t="s">
        <v>10</v>
      </c>
      <c r="K1256" s="98">
        <v>2.5</v>
      </c>
      <c r="L1256" s="98">
        <v>35</v>
      </c>
      <c r="M1256" s="98">
        <v>2.5084</v>
      </c>
      <c r="N1256" s="98">
        <v>34.627000000000002</v>
      </c>
      <c r="O1256" s="99" t="s">
        <v>2805</v>
      </c>
    </row>
    <row r="1257" spans="1:15" x14ac:dyDescent="0.25">
      <c r="A1257" s="98" t="s">
        <v>54</v>
      </c>
      <c r="B1257" s="98" t="s">
        <v>47</v>
      </c>
      <c r="C1257" s="98">
        <v>3</v>
      </c>
      <c r="D1257" s="98">
        <v>11.000999999999999</v>
      </c>
      <c r="E1257" s="98">
        <v>0.1</v>
      </c>
      <c r="F1257" s="98" t="s">
        <v>13</v>
      </c>
      <c r="G1257" s="98" t="s">
        <v>12</v>
      </c>
      <c r="H1257" s="98">
        <v>5</v>
      </c>
      <c r="I1257" s="98">
        <v>5.01</v>
      </c>
      <c r="J1257" s="98" t="s">
        <v>10</v>
      </c>
      <c r="K1257" s="98">
        <v>20.888000000000002</v>
      </c>
      <c r="L1257" s="98">
        <v>33.345999999999997</v>
      </c>
      <c r="M1257" s="98">
        <v>20.867000000000001</v>
      </c>
      <c r="N1257" s="98">
        <v>33.347000000000001</v>
      </c>
      <c r="O1257" s="99" t="s">
        <v>2444</v>
      </c>
    </row>
    <row r="1258" spans="1:15" x14ac:dyDescent="0.25">
      <c r="A1258" s="98" t="s">
        <v>54</v>
      </c>
      <c r="B1258" s="98" t="s">
        <v>47</v>
      </c>
      <c r="C1258" s="98">
        <v>3</v>
      </c>
      <c r="D1258" s="98">
        <v>11.000999999999999</v>
      </c>
      <c r="E1258" s="98">
        <v>0.1</v>
      </c>
      <c r="F1258" s="98" t="s">
        <v>13</v>
      </c>
      <c r="G1258" s="98" t="s">
        <v>12</v>
      </c>
      <c r="H1258" s="98">
        <v>0.1</v>
      </c>
      <c r="I1258" s="98">
        <v>1.0000100000000001</v>
      </c>
      <c r="J1258" s="98" t="s">
        <v>10</v>
      </c>
      <c r="K1258" s="98">
        <v>57.411999999999999</v>
      </c>
      <c r="L1258" s="98">
        <v>0.20433000000000001</v>
      </c>
      <c r="M1258" s="98">
        <v>57.411000000000001</v>
      </c>
      <c r="N1258" s="98">
        <v>0.20413000000000001</v>
      </c>
      <c r="O1258" s="99" t="s">
        <v>2442</v>
      </c>
    </row>
    <row r="1259" spans="1:15" x14ac:dyDescent="0.25">
      <c r="A1259" s="98" t="s">
        <v>54</v>
      </c>
      <c r="B1259" s="98" t="s">
        <v>47</v>
      </c>
      <c r="C1259" s="98">
        <v>3</v>
      </c>
      <c r="D1259" s="98">
        <v>11.000999999999999</v>
      </c>
      <c r="E1259" s="98">
        <v>0.1</v>
      </c>
      <c r="F1259" s="98" t="s">
        <v>13</v>
      </c>
      <c r="G1259" s="98" t="s">
        <v>12</v>
      </c>
      <c r="H1259" s="98">
        <v>4.4999999999999998E-2</v>
      </c>
      <c r="I1259" s="98">
        <v>0.10001</v>
      </c>
      <c r="J1259" s="98" t="s">
        <v>10</v>
      </c>
      <c r="K1259" s="98">
        <v>57.646999999999998</v>
      </c>
      <c r="L1259" s="98">
        <v>8.5551000000000002E-2</v>
      </c>
      <c r="M1259" s="98">
        <v>57.646000000000001</v>
      </c>
      <c r="N1259" s="98">
        <v>8.5343000000000002E-2</v>
      </c>
      <c r="O1259" s="99" t="s">
        <v>2806</v>
      </c>
    </row>
    <row r="1260" spans="1:15" x14ac:dyDescent="0.25">
      <c r="A1260" s="98" t="s">
        <v>54</v>
      </c>
      <c r="B1260" s="98" t="s">
        <v>47</v>
      </c>
      <c r="C1260" s="98">
        <v>3</v>
      </c>
      <c r="D1260" s="98">
        <v>11.000999999999999</v>
      </c>
      <c r="E1260" s="98">
        <v>0.1</v>
      </c>
      <c r="F1260" s="98" t="s">
        <v>13</v>
      </c>
      <c r="G1260" s="98" t="s">
        <v>12</v>
      </c>
      <c r="H1260" s="98">
        <v>1</v>
      </c>
      <c r="I1260" s="98">
        <v>5</v>
      </c>
      <c r="J1260" s="98" t="s">
        <v>10</v>
      </c>
      <c r="K1260" s="98">
        <v>20.888000000000002</v>
      </c>
      <c r="L1260" s="98">
        <v>33.345999999999997</v>
      </c>
      <c r="M1260" s="98">
        <v>20.867000000000001</v>
      </c>
      <c r="N1260" s="98">
        <v>33.347000000000001</v>
      </c>
      <c r="O1260" s="99" t="s">
        <v>2443</v>
      </c>
    </row>
    <row r="1261" spans="1:15" x14ac:dyDescent="0.25">
      <c r="A1261" s="98" t="s">
        <v>54</v>
      </c>
      <c r="B1261" s="98" t="s">
        <v>47</v>
      </c>
      <c r="C1261" s="98">
        <v>3</v>
      </c>
      <c r="D1261" s="98">
        <v>11.000999999999999</v>
      </c>
      <c r="E1261" s="98">
        <v>1</v>
      </c>
      <c r="F1261" s="98" t="s">
        <v>13</v>
      </c>
      <c r="G1261" s="98" t="s">
        <v>12</v>
      </c>
      <c r="H1261" s="98">
        <v>0.1</v>
      </c>
      <c r="I1261" s="98">
        <v>1.0000100000000001</v>
      </c>
      <c r="J1261" s="98" t="s">
        <v>10</v>
      </c>
      <c r="K1261" s="98">
        <v>577.32000000000005</v>
      </c>
      <c r="L1261" s="98">
        <v>2.0884E-2</v>
      </c>
      <c r="M1261" s="98">
        <v>577.32000000000005</v>
      </c>
      <c r="N1261" s="98">
        <v>2.0799000000000002E-2</v>
      </c>
      <c r="O1261" s="99" t="s">
        <v>2447</v>
      </c>
    </row>
    <row r="1262" spans="1:15" x14ac:dyDescent="0.25">
      <c r="A1262" s="98" t="s">
        <v>54</v>
      </c>
      <c r="B1262" s="98" t="s">
        <v>47</v>
      </c>
      <c r="C1262" s="98">
        <v>3</v>
      </c>
      <c r="D1262" s="98">
        <v>11.000999999999999</v>
      </c>
      <c r="E1262" s="98">
        <v>1</v>
      </c>
      <c r="F1262" s="98" t="s">
        <v>13</v>
      </c>
      <c r="G1262" s="98" t="s">
        <v>12</v>
      </c>
      <c r="H1262" s="98">
        <v>1</v>
      </c>
      <c r="I1262" s="98">
        <v>5</v>
      </c>
      <c r="J1262" s="98" t="s">
        <v>10</v>
      </c>
      <c r="K1262" s="98">
        <v>547.30999999999995</v>
      </c>
      <c r="L1262" s="98">
        <v>13.25</v>
      </c>
      <c r="M1262" s="98">
        <v>547.29999999999995</v>
      </c>
      <c r="N1262" s="98">
        <v>13.249000000000001</v>
      </c>
      <c r="O1262" s="99" t="s">
        <v>2448</v>
      </c>
    </row>
    <row r="1263" spans="1:15" x14ac:dyDescent="0.25">
      <c r="A1263" s="98" t="s">
        <v>54</v>
      </c>
      <c r="B1263" s="98" t="s">
        <v>47</v>
      </c>
      <c r="C1263" s="98">
        <v>3</v>
      </c>
      <c r="D1263" s="98">
        <v>11.000999999999999</v>
      </c>
      <c r="E1263" s="98">
        <v>1</v>
      </c>
      <c r="F1263" s="98" t="s">
        <v>13</v>
      </c>
      <c r="G1263" s="98" t="s">
        <v>12</v>
      </c>
      <c r="H1263" s="98">
        <v>5</v>
      </c>
      <c r="I1263" s="98">
        <v>5.01</v>
      </c>
      <c r="J1263" s="98" t="s">
        <v>10</v>
      </c>
      <c r="K1263" s="98">
        <v>547.30999999999995</v>
      </c>
      <c r="L1263" s="98">
        <v>13.25</v>
      </c>
      <c r="M1263" s="98">
        <v>547.29999999999995</v>
      </c>
      <c r="N1263" s="98">
        <v>13.249000000000001</v>
      </c>
      <c r="O1263" s="99" t="s">
        <v>2446</v>
      </c>
    </row>
    <row r="1264" spans="1:15" x14ac:dyDescent="0.25">
      <c r="A1264" s="98" t="s">
        <v>54</v>
      </c>
      <c r="B1264" s="98" t="s">
        <v>47</v>
      </c>
      <c r="C1264" s="98">
        <v>3</v>
      </c>
      <c r="D1264" s="98">
        <v>11.000999999999999</v>
      </c>
      <c r="E1264" s="98">
        <v>1</v>
      </c>
      <c r="F1264" s="98" t="s">
        <v>13</v>
      </c>
      <c r="G1264" s="98" t="s">
        <v>12</v>
      </c>
      <c r="H1264" s="98">
        <v>4.4999999999999998E-2</v>
      </c>
      <c r="I1264" s="98">
        <v>0.10001</v>
      </c>
      <c r="J1264" s="98" t="s">
        <v>10</v>
      </c>
      <c r="K1264" s="98">
        <v>577.35</v>
      </c>
      <c r="L1264" s="98">
        <v>8.6937999999999998E-3</v>
      </c>
      <c r="M1264" s="98">
        <v>577.35</v>
      </c>
      <c r="N1264" s="98">
        <v>8.6087000000000004E-3</v>
      </c>
      <c r="O1264" s="99" t="s">
        <v>2445</v>
      </c>
    </row>
    <row r="1265" spans="1:15" x14ac:dyDescent="0.25">
      <c r="A1265" s="98" t="s">
        <v>54</v>
      </c>
      <c r="B1265" s="98" t="s">
        <v>47</v>
      </c>
      <c r="C1265" s="98">
        <v>11</v>
      </c>
      <c r="D1265" s="98">
        <v>20.501000000000001</v>
      </c>
      <c r="E1265" s="98">
        <v>1E-4</v>
      </c>
      <c r="F1265" s="98" t="s">
        <v>13</v>
      </c>
      <c r="G1265" s="98" t="s">
        <v>12</v>
      </c>
      <c r="H1265" s="98">
        <v>4.4999999999999998E-2</v>
      </c>
      <c r="I1265" s="98">
        <v>0.10001</v>
      </c>
      <c r="J1265" s="98" t="s">
        <v>10</v>
      </c>
      <c r="K1265" s="98">
        <v>5.8</v>
      </c>
      <c r="L1265" s="98">
        <v>1.4</v>
      </c>
      <c r="M1265" s="98">
        <v>5.7744999999999997</v>
      </c>
      <c r="N1265" s="98">
        <v>1.3859999999999999</v>
      </c>
      <c r="O1265" s="99" t="s">
        <v>2449</v>
      </c>
    </row>
    <row r="1266" spans="1:15" x14ac:dyDescent="0.25">
      <c r="A1266" s="98" t="s">
        <v>54</v>
      </c>
      <c r="B1266" s="98" t="s">
        <v>47</v>
      </c>
      <c r="C1266" s="98">
        <v>11</v>
      </c>
      <c r="D1266" s="98">
        <v>20.501000000000001</v>
      </c>
      <c r="E1266" s="98">
        <v>1E-4</v>
      </c>
      <c r="F1266" s="98" t="s">
        <v>13</v>
      </c>
      <c r="G1266" s="98" t="s">
        <v>12</v>
      </c>
      <c r="H1266" s="98">
        <v>1</v>
      </c>
      <c r="I1266" s="98">
        <v>5</v>
      </c>
      <c r="J1266" s="98" t="s">
        <v>10</v>
      </c>
      <c r="K1266" s="98">
        <v>5.9</v>
      </c>
      <c r="L1266" s="98">
        <v>35</v>
      </c>
      <c r="M1266" s="98">
        <v>5.7742000000000004</v>
      </c>
      <c r="N1266" s="98">
        <v>34.640999999999998</v>
      </c>
      <c r="O1266" s="99" t="s">
        <v>2450</v>
      </c>
    </row>
    <row r="1267" spans="1:15" x14ac:dyDescent="0.25">
      <c r="A1267" s="98" t="s">
        <v>54</v>
      </c>
      <c r="B1267" s="98" t="s">
        <v>47</v>
      </c>
      <c r="C1267" s="98">
        <v>11</v>
      </c>
      <c r="D1267" s="98">
        <v>20.501000000000001</v>
      </c>
      <c r="E1267" s="98">
        <v>1E-4</v>
      </c>
      <c r="F1267" s="98" t="s">
        <v>13</v>
      </c>
      <c r="G1267" s="98" t="s">
        <v>12</v>
      </c>
      <c r="H1267" s="98">
        <v>5</v>
      </c>
      <c r="I1267" s="98">
        <v>5.01</v>
      </c>
      <c r="J1267" s="98" t="s">
        <v>10</v>
      </c>
      <c r="K1267" s="98">
        <v>5.9</v>
      </c>
      <c r="L1267" s="98">
        <v>35</v>
      </c>
      <c r="M1267" s="98">
        <v>5.7742000000000004</v>
      </c>
      <c r="N1267" s="98">
        <v>34.640999999999998</v>
      </c>
      <c r="O1267" s="99" t="s">
        <v>2452</v>
      </c>
    </row>
    <row r="1268" spans="1:15" x14ac:dyDescent="0.25">
      <c r="A1268" s="98" t="s">
        <v>54</v>
      </c>
      <c r="B1268" s="98" t="s">
        <v>47</v>
      </c>
      <c r="C1268" s="98">
        <v>11</v>
      </c>
      <c r="D1268" s="98">
        <v>20.501000000000001</v>
      </c>
      <c r="E1268" s="98">
        <v>1E-4</v>
      </c>
      <c r="F1268" s="98" t="s">
        <v>13</v>
      </c>
      <c r="G1268" s="98" t="s">
        <v>12</v>
      </c>
      <c r="H1268" s="98">
        <v>0.1</v>
      </c>
      <c r="I1268" s="98">
        <v>1.0000100000000001</v>
      </c>
      <c r="J1268" s="98" t="s">
        <v>10</v>
      </c>
      <c r="K1268" s="98">
        <v>6.5</v>
      </c>
      <c r="L1268" s="98">
        <v>1.7</v>
      </c>
      <c r="M1268" s="98">
        <v>5.7754000000000003</v>
      </c>
      <c r="N1268" s="98">
        <v>1.7323999999999999</v>
      </c>
      <c r="O1268" s="99" t="s">
        <v>2451</v>
      </c>
    </row>
    <row r="1269" spans="1:15" x14ac:dyDescent="0.25">
      <c r="A1269" s="98" t="s">
        <v>54</v>
      </c>
      <c r="B1269" s="98" t="s">
        <v>47</v>
      </c>
      <c r="C1269" s="98">
        <v>11</v>
      </c>
      <c r="D1269" s="98">
        <v>20.501000000000001</v>
      </c>
      <c r="E1269" s="98">
        <v>1E-3</v>
      </c>
      <c r="F1269" s="98" t="s">
        <v>13</v>
      </c>
      <c r="G1269" s="98" t="s">
        <v>12</v>
      </c>
      <c r="H1269" s="98">
        <v>5</v>
      </c>
      <c r="I1269" s="98">
        <v>5.01</v>
      </c>
      <c r="J1269" s="98" t="s">
        <v>10</v>
      </c>
      <c r="K1269" s="98">
        <v>5.9</v>
      </c>
      <c r="L1269" s="98">
        <v>35</v>
      </c>
      <c r="M1269" s="98">
        <v>5.7744999999999997</v>
      </c>
      <c r="N1269" s="98">
        <v>34.640999999999998</v>
      </c>
      <c r="O1269" s="99" t="s">
        <v>2456</v>
      </c>
    </row>
    <row r="1270" spans="1:15" x14ac:dyDescent="0.25">
      <c r="A1270" s="98" t="s">
        <v>54</v>
      </c>
      <c r="B1270" s="98" t="s">
        <v>47</v>
      </c>
      <c r="C1270" s="98">
        <v>11</v>
      </c>
      <c r="D1270" s="98">
        <v>20.501000000000001</v>
      </c>
      <c r="E1270" s="98">
        <v>1E-3</v>
      </c>
      <c r="F1270" s="98" t="s">
        <v>13</v>
      </c>
      <c r="G1270" s="98" t="s">
        <v>12</v>
      </c>
      <c r="H1270" s="98">
        <v>4.4999999999999998E-2</v>
      </c>
      <c r="I1270" s="98">
        <v>0.10001</v>
      </c>
      <c r="J1270" s="98" t="s">
        <v>10</v>
      </c>
      <c r="K1270" s="98">
        <v>5.8</v>
      </c>
      <c r="L1270" s="98">
        <v>1.4</v>
      </c>
      <c r="M1270" s="98">
        <v>5.7854999999999999</v>
      </c>
      <c r="N1270" s="98">
        <v>1.3856999999999999</v>
      </c>
      <c r="O1270" s="99" t="s">
        <v>2454</v>
      </c>
    </row>
    <row r="1271" spans="1:15" x14ac:dyDescent="0.25">
      <c r="A1271" s="98" t="s">
        <v>54</v>
      </c>
      <c r="B1271" s="98" t="s">
        <v>47</v>
      </c>
      <c r="C1271" s="98">
        <v>11</v>
      </c>
      <c r="D1271" s="98">
        <v>20.501000000000001</v>
      </c>
      <c r="E1271" s="98">
        <v>1E-3</v>
      </c>
      <c r="F1271" s="98" t="s">
        <v>13</v>
      </c>
      <c r="G1271" s="98" t="s">
        <v>12</v>
      </c>
      <c r="H1271" s="98">
        <v>1</v>
      </c>
      <c r="I1271" s="98">
        <v>5</v>
      </c>
      <c r="J1271" s="98" t="s">
        <v>10</v>
      </c>
      <c r="K1271" s="98">
        <v>5.9</v>
      </c>
      <c r="L1271" s="98">
        <v>35</v>
      </c>
      <c r="M1271" s="98">
        <v>5.7744999999999997</v>
      </c>
      <c r="N1271" s="98">
        <v>34.640999999999998</v>
      </c>
      <c r="O1271" s="99" t="s">
        <v>2453</v>
      </c>
    </row>
    <row r="1272" spans="1:15" x14ac:dyDescent="0.25">
      <c r="A1272" s="98" t="s">
        <v>54</v>
      </c>
      <c r="B1272" s="98" t="s">
        <v>47</v>
      </c>
      <c r="C1272" s="98">
        <v>11</v>
      </c>
      <c r="D1272" s="98">
        <v>20.501000000000001</v>
      </c>
      <c r="E1272" s="98">
        <v>1E-3</v>
      </c>
      <c r="F1272" s="98" t="s">
        <v>13</v>
      </c>
      <c r="G1272" s="98" t="s">
        <v>12</v>
      </c>
      <c r="H1272" s="98">
        <v>0.1</v>
      </c>
      <c r="I1272" s="98">
        <v>1.0000100000000001</v>
      </c>
      <c r="J1272" s="98" t="s">
        <v>10</v>
      </c>
      <c r="K1272" s="98">
        <v>6.5</v>
      </c>
      <c r="L1272" s="98">
        <v>1.7</v>
      </c>
      <c r="M1272" s="98">
        <v>5.7851999999999997</v>
      </c>
      <c r="N1272" s="98">
        <v>1.7321</v>
      </c>
      <c r="O1272" s="99" t="s">
        <v>2455</v>
      </c>
    </row>
    <row r="1273" spans="1:15" x14ac:dyDescent="0.25">
      <c r="A1273" s="98" t="s">
        <v>54</v>
      </c>
      <c r="B1273" s="98" t="s">
        <v>47</v>
      </c>
      <c r="C1273" s="98">
        <v>11</v>
      </c>
      <c r="D1273" s="98">
        <v>20.501000000000001</v>
      </c>
      <c r="E1273" s="98">
        <v>0.01</v>
      </c>
      <c r="F1273" s="98" t="s">
        <v>13</v>
      </c>
      <c r="G1273" s="98" t="s">
        <v>12</v>
      </c>
      <c r="H1273" s="98">
        <v>1</v>
      </c>
      <c r="I1273" s="98">
        <v>5</v>
      </c>
      <c r="J1273" s="98" t="s">
        <v>10</v>
      </c>
      <c r="K1273" s="98">
        <v>5.9</v>
      </c>
      <c r="L1273" s="98">
        <v>35</v>
      </c>
      <c r="M1273" s="98">
        <v>5.8395000000000001</v>
      </c>
      <c r="N1273" s="98">
        <v>34.639000000000003</v>
      </c>
      <c r="O1273" s="99" t="s">
        <v>2459</v>
      </c>
    </row>
    <row r="1274" spans="1:15" x14ac:dyDescent="0.25">
      <c r="A1274" s="98" t="s">
        <v>54</v>
      </c>
      <c r="B1274" s="98" t="s">
        <v>47</v>
      </c>
      <c r="C1274" s="98">
        <v>11</v>
      </c>
      <c r="D1274" s="98">
        <v>20.501000000000001</v>
      </c>
      <c r="E1274" s="98">
        <v>0.01</v>
      </c>
      <c r="F1274" s="98" t="s">
        <v>13</v>
      </c>
      <c r="G1274" s="98" t="s">
        <v>12</v>
      </c>
      <c r="H1274" s="98">
        <v>4.4999999999999998E-2</v>
      </c>
      <c r="I1274" s="98">
        <v>0.10001</v>
      </c>
      <c r="J1274" s="98" t="s">
        <v>10</v>
      </c>
      <c r="K1274" s="98">
        <v>6.9249000000000001</v>
      </c>
      <c r="L1274" s="98">
        <v>1.3567</v>
      </c>
      <c r="M1274" s="98">
        <v>6.9028</v>
      </c>
      <c r="N1274" s="98">
        <v>1.3548</v>
      </c>
      <c r="O1274" s="99" t="s">
        <v>2807</v>
      </c>
    </row>
    <row r="1275" spans="1:15" x14ac:dyDescent="0.25">
      <c r="A1275" s="98" t="s">
        <v>54</v>
      </c>
      <c r="B1275" s="98" t="s">
        <v>47</v>
      </c>
      <c r="C1275" s="98">
        <v>11</v>
      </c>
      <c r="D1275" s="98">
        <v>20.501000000000001</v>
      </c>
      <c r="E1275" s="98">
        <v>0.01</v>
      </c>
      <c r="F1275" s="98" t="s">
        <v>13</v>
      </c>
      <c r="G1275" s="98" t="s">
        <v>12</v>
      </c>
      <c r="H1275" s="98">
        <v>0.1</v>
      </c>
      <c r="I1275" s="98">
        <v>1.0000100000000001</v>
      </c>
      <c r="J1275" s="98" t="s">
        <v>10</v>
      </c>
      <c r="K1275" s="98">
        <v>6.7671000000000001</v>
      </c>
      <c r="L1275" s="98">
        <v>1.7061999999999999</v>
      </c>
      <c r="M1275" s="98">
        <v>6.7465999999999999</v>
      </c>
      <c r="N1275" s="98">
        <v>1.7047000000000001</v>
      </c>
      <c r="O1275" s="99" t="s">
        <v>2458</v>
      </c>
    </row>
    <row r="1276" spans="1:15" x14ac:dyDescent="0.25">
      <c r="A1276" s="98" t="s">
        <v>54</v>
      </c>
      <c r="B1276" s="98" t="s">
        <v>47</v>
      </c>
      <c r="C1276" s="98">
        <v>11</v>
      </c>
      <c r="D1276" s="98">
        <v>20.501000000000001</v>
      </c>
      <c r="E1276" s="98">
        <v>0.01</v>
      </c>
      <c r="F1276" s="98" t="s">
        <v>13</v>
      </c>
      <c r="G1276" s="98" t="s">
        <v>12</v>
      </c>
      <c r="H1276" s="98">
        <v>5</v>
      </c>
      <c r="I1276" s="98">
        <v>5.01</v>
      </c>
      <c r="J1276" s="98" t="s">
        <v>10</v>
      </c>
      <c r="K1276" s="98">
        <v>5.9</v>
      </c>
      <c r="L1276" s="98">
        <v>35</v>
      </c>
      <c r="M1276" s="98">
        <v>5.8395000000000001</v>
      </c>
      <c r="N1276" s="98">
        <v>34.639000000000003</v>
      </c>
      <c r="O1276" s="99" t="s">
        <v>2457</v>
      </c>
    </row>
    <row r="1277" spans="1:15" x14ac:dyDescent="0.25">
      <c r="A1277" s="98" t="s">
        <v>54</v>
      </c>
      <c r="B1277" s="98" t="s">
        <v>47</v>
      </c>
      <c r="C1277" s="98">
        <v>11</v>
      </c>
      <c r="D1277" s="98">
        <v>20.501000000000001</v>
      </c>
      <c r="E1277" s="98">
        <v>0.1</v>
      </c>
      <c r="F1277" s="98" t="s">
        <v>13</v>
      </c>
      <c r="G1277" s="98" t="s">
        <v>12</v>
      </c>
      <c r="H1277" s="98">
        <v>5</v>
      </c>
      <c r="I1277" s="98">
        <v>5.01</v>
      </c>
      <c r="J1277" s="98" t="s">
        <v>10</v>
      </c>
      <c r="K1277" s="98">
        <v>6.5765000000000002</v>
      </c>
      <c r="L1277" s="98">
        <v>34.962000000000003</v>
      </c>
      <c r="M1277" s="98">
        <v>12.385999999999999</v>
      </c>
      <c r="N1277" s="98">
        <v>34.433</v>
      </c>
      <c r="O1277" s="99" t="s">
        <v>2461</v>
      </c>
    </row>
    <row r="1278" spans="1:15" x14ac:dyDescent="0.25">
      <c r="A1278" s="98" t="s">
        <v>54</v>
      </c>
      <c r="B1278" s="98" t="s">
        <v>47</v>
      </c>
      <c r="C1278" s="98">
        <v>11</v>
      </c>
      <c r="D1278" s="98">
        <v>20.501000000000001</v>
      </c>
      <c r="E1278" s="98">
        <v>0.1</v>
      </c>
      <c r="F1278" s="98" t="s">
        <v>13</v>
      </c>
      <c r="G1278" s="98" t="s">
        <v>12</v>
      </c>
      <c r="H1278" s="98">
        <v>1</v>
      </c>
      <c r="I1278" s="98">
        <v>5</v>
      </c>
      <c r="J1278" s="98" t="s">
        <v>10</v>
      </c>
      <c r="K1278" s="98">
        <v>6.5765000000000002</v>
      </c>
      <c r="L1278" s="98">
        <v>34.962000000000003</v>
      </c>
      <c r="M1278" s="98">
        <v>12.385999999999999</v>
      </c>
      <c r="N1278" s="98">
        <v>34.433</v>
      </c>
      <c r="O1278" s="99" t="s">
        <v>2808</v>
      </c>
    </row>
    <row r="1279" spans="1:15" x14ac:dyDescent="0.25">
      <c r="A1279" s="98" t="s">
        <v>54</v>
      </c>
      <c r="B1279" s="98" t="s">
        <v>47</v>
      </c>
      <c r="C1279" s="98">
        <v>11</v>
      </c>
      <c r="D1279" s="98">
        <v>20.501000000000001</v>
      </c>
      <c r="E1279" s="98">
        <v>0.1</v>
      </c>
      <c r="F1279" s="98" t="s">
        <v>13</v>
      </c>
      <c r="G1279" s="98" t="s">
        <v>12</v>
      </c>
      <c r="H1279" s="98">
        <v>4.4999999999999998E-2</v>
      </c>
      <c r="I1279" s="98">
        <v>0.10001</v>
      </c>
      <c r="J1279" s="98" t="s">
        <v>10</v>
      </c>
      <c r="K1279" s="98">
        <v>55.152999999999999</v>
      </c>
      <c r="L1279" s="98">
        <v>0.59996000000000005</v>
      </c>
      <c r="M1279" s="98">
        <v>55.167999999999999</v>
      </c>
      <c r="N1279" s="98">
        <v>0.59309999999999996</v>
      </c>
      <c r="O1279" s="99" t="s">
        <v>2460</v>
      </c>
    </row>
    <row r="1280" spans="1:15" x14ac:dyDescent="0.25">
      <c r="A1280" s="98" t="s">
        <v>54</v>
      </c>
      <c r="B1280" s="98" t="s">
        <v>47</v>
      </c>
      <c r="C1280" s="98">
        <v>11</v>
      </c>
      <c r="D1280" s="98">
        <v>20.501000000000001</v>
      </c>
      <c r="E1280" s="98">
        <v>0.1</v>
      </c>
      <c r="F1280" s="98" t="s">
        <v>13</v>
      </c>
      <c r="G1280" s="98" t="s">
        <v>12</v>
      </c>
      <c r="H1280" s="98">
        <v>0.1</v>
      </c>
      <c r="I1280" s="98">
        <v>1.0000100000000001</v>
      </c>
      <c r="J1280" s="98" t="s">
        <v>10</v>
      </c>
      <c r="K1280" s="98">
        <v>53.698999999999998</v>
      </c>
      <c r="L1280" s="98">
        <v>0.85924999999999996</v>
      </c>
      <c r="M1280" s="98">
        <v>53.709000000000003</v>
      </c>
      <c r="N1280" s="98">
        <v>0.85296000000000005</v>
      </c>
      <c r="O1280" s="99" t="s">
        <v>2462</v>
      </c>
    </row>
    <row r="1281" spans="1:15" x14ac:dyDescent="0.25">
      <c r="A1281" s="98" t="s">
        <v>54</v>
      </c>
      <c r="B1281" s="98" t="s">
        <v>47</v>
      </c>
      <c r="C1281" s="98">
        <v>11</v>
      </c>
      <c r="D1281" s="98">
        <v>20.501000000000001</v>
      </c>
      <c r="E1281" s="98">
        <v>1</v>
      </c>
      <c r="F1281" s="98" t="s">
        <v>13</v>
      </c>
      <c r="G1281" s="98" t="s">
        <v>12</v>
      </c>
      <c r="H1281" s="98">
        <v>1</v>
      </c>
      <c r="I1281" s="98">
        <v>5</v>
      </c>
      <c r="J1281" s="98" t="s">
        <v>10</v>
      </c>
      <c r="K1281" s="98">
        <v>437.55</v>
      </c>
      <c r="L1281" s="98">
        <v>23.603000000000002</v>
      </c>
      <c r="M1281" s="98">
        <v>437.54</v>
      </c>
      <c r="N1281" s="98">
        <v>23.602</v>
      </c>
      <c r="O1281" s="99" t="s">
        <v>2463</v>
      </c>
    </row>
    <row r="1282" spans="1:15" x14ac:dyDescent="0.25">
      <c r="A1282" s="98" t="s">
        <v>54</v>
      </c>
      <c r="B1282" s="98" t="s">
        <v>47</v>
      </c>
      <c r="C1282" s="98">
        <v>11</v>
      </c>
      <c r="D1282" s="98">
        <v>20.501000000000001</v>
      </c>
      <c r="E1282" s="98">
        <v>1</v>
      </c>
      <c r="F1282" s="98" t="s">
        <v>13</v>
      </c>
      <c r="G1282" s="98" t="s">
        <v>12</v>
      </c>
      <c r="H1282" s="98">
        <v>4.4999999999999998E-2</v>
      </c>
      <c r="I1282" s="98">
        <v>0.10001</v>
      </c>
      <c r="J1282" s="98" t="s">
        <v>10</v>
      </c>
      <c r="K1282" s="98">
        <v>579.65</v>
      </c>
      <c r="L1282" s="98">
        <v>6.9317000000000004E-2</v>
      </c>
      <c r="M1282" s="98">
        <v>579.66</v>
      </c>
      <c r="N1282" s="98">
        <v>6.5887000000000001E-2</v>
      </c>
      <c r="O1282" s="99" t="s">
        <v>2464</v>
      </c>
    </row>
    <row r="1283" spans="1:15" x14ac:dyDescent="0.25">
      <c r="A1283" s="98" t="s">
        <v>54</v>
      </c>
      <c r="B1283" s="98" t="s">
        <v>47</v>
      </c>
      <c r="C1283" s="98">
        <v>11</v>
      </c>
      <c r="D1283" s="98">
        <v>20.501000000000001</v>
      </c>
      <c r="E1283" s="98">
        <v>1</v>
      </c>
      <c r="F1283" s="98" t="s">
        <v>13</v>
      </c>
      <c r="G1283" s="98" t="s">
        <v>12</v>
      </c>
      <c r="H1283" s="98">
        <v>5</v>
      </c>
      <c r="I1283" s="98">
        <v>5.01</v>
      </c>
      <c r="J1283" s="98" t="s">
        <v>10</v>
      </c>
      <c r="K1283" s="98">
        <v>437.55</v>
      </c>
      <c r="L1283" s="98">
        <v>23.603000000000002</v>
      </c>
      <c r="M1283" s="98">
        <v>437.54</v>
      </c>
      <c r="N1283" s="98">
        <v>23.602</v>
      </c>
      <c r="O1283" s="99" t="s">
        <v>2465</v>
      </c>
    </row>
    <row r="1284" spans="1:15" x14ac:dyDescent="0.25">
      <c r="A1284" s="98" t="s">
        <v>54</v>
      </c>
      <c r="B1284" s="98" t="s">
        <v>47</v>
      </c>
      <c r="C1284" s="98">
        <v>11</v>
      </c>
      <c r="D1284" s="98">
        <v>20.501000000000001</v>
      </c>
      <c r="E1284" s="98">
        <v>1</v>
      </c>
      <c r="F1284" s="98" t="s">
        <v>13</v>
      </c>
      <c r="G1284" s="98" t="s">
        <v>12</v>
      </c>
      <c r="H1284" s="98">
        <v>0.1</v>
      </c>
      <c r="I1284" s="98">
        <v>1.0000100000000001</v>
      </c>
      <c r="J1284" s="98" t="s">
        <v>10</v>
      </c>
      <c r="K1284" s="98">
        <v>579.44000000000005</v>
      </c>
      <c r="L1284" s="98">
        <v>0.10199999999999999</v>
      </c>
      <c r="M1284" s="98">
        <v>579.45000000000005</v>
      </c>
      <c r="N1284" s="98">
        <v>9.8572000000000007E-2</v>
      </c>
      <c r="O1284" s="99" t="s">
        <v>2809</v>
      </c>
    </row>
    <row r="1285" spans="1:15" x14ac:dyDescent="0.25">
      <c r="A1285" s="98" t="s">
        <v>54</v>
      </c>
      <c r="B1285" s="98" t="s">
        <v>61</v>
      </c>
      <c r="C1285" s="98">
        <v>1</v>
      </c>
      <c r="D1285" s="98">
        <v>11.000999999999999</v>
      </c>
      <c r="E1285" s="98">
        <v>1E-4</v>
      </c>
      <c r="F1285" s="98" t="s">
        <v>13</v>
      </c>
      <c r="G1285" s="98" t="s">
        <v>12</v>
      </c>
      <c r="H1285" s="98">
        <v>0.01</v>
      </c>
      <c r="I1285" s="98">
        <v>4.5010000000000001E-2</v>
      </c>
      <c r="J1285" s="98" t="s">
        <v>10</v>
      </c>
      <c r="K1285" s="98">
        <v>3.3</v>
      </c>
      <c r="L1285" s="98">
        <v>2.7</v>
      </c>
      <c r="M1285" s="98">
        <v>0.97318000000000005</v>
      </c>
      <c r="N1285" s="98">
        <v>2.8730000000000002</v>
      </c>
      <c r="O1285" s="99" t="s">
        <v>2197</v>
      </c>
    </row>
    <row r="1286" spans="1:15" x14ac:dyDescent="0.25">
      <c r="A1286" s="98" t="s">
        <v>54</v>
      </c>
      <c r="B1286" s="98" t="s">
        <v>61</v>
      </c>
      <c r="C1286" s="98">
        <v>1</v>
      </c>
      <c r="D1286" s="98">
        <v>11.000999999999999</v>
      </c>
      <c r="E1286" s="98">
        <v>1E-3</v>
      </c>
      <c r="F1286" s="98" t="s">
        <v>13</v>
      </c>
      <c r="G1286" s="98" t="s">
        <v>12</v>
      </c>
      <c r="H1286" s="98">
        <v>10</v>
      </c>
      <c r="I1286" s="98">
        <v>10.01</v>
      </c>
      <c r="J1286" s="98" t="s">
        <v>10</v>
      </c>
      <c r="K1286" s="98">
        <v>58</v>
      </c>
      <c r="L1286" s="98">
        <v>29</v>
      </c>
      <c r="M1286" s="98">
        <v>57.703000000000003</v>
      </c>
      <c r="N1286" s="98">
        <v>28.928999999999998</v>
      </c>
      <c r="O1286" s="99" t="s">
        <v>2202</v>
      </c>
    </row>
    <row r="1287" spans="1:15" x14ac:dyDescent="0.25">
      <c r="A1287" s="98" t="s">
        <v>54</v>
      </c>
      <c r="B1287" s="98" t="s">
        <v>61</v>
      </c>
      <c r="C1287" s="98">
        <v>1</v>
      </c>
      <c r="D1287" s="98">
        <v>11.000999999999999</v>
      </c>
      <c r="E1287" s="98">
        <v>1E-3</v>
      </c>
      <c r="F1287" s="98" t="s">
        <v>13</v>
      </c>
      <c r="G1287" s="98" t="s">
        <v>12</v>
      </c>
      <c r="H1287" s="98">
        <v>5</v>
      </c>
      <c r="I1287" s="98">
        <v>10</v>
      </c>
      <c r="J1287" s="98" t="s">
        <v>10</v>
      </c>
      <c r="K1287" s="98">
        <v>58</v>
      </c>
      <c r="L1287" s="98">
        <v>29</v>
      </c>
      <c r="M1287" s="98">
        <v>57.703000000000003</v>
      </c>
      <c r="N1287" s="98">
        <v>28.928999999999998</v>
      </c>
      <c r="O1287" s="99" t="s">
        <v>2198</v>
      </c>
    </row>
    <row r="1288" spans="1:15" x14ac:dyDescent="0.25">
      <c r="A1288" s="98" t="s">
        <v>54</v>
      </c>
      <c r="B1288" s="98" t="s">
        <v>61</v>
      </c>
      <c r="C1288" s="98">
        <v>1</v>
      </c>
      <c r="D1288" s="98">
        <v>11.000999999999999</v>
      </c>
      <c r="E1288" s="98">
        <v>1E-3</v>
      </c>
      <c r="F1288" s="98" t="s">
        <v>13</v>
      </c>
      <c r="G1288" s="98" t="s">
        <v>12</v>
      </c>
      <c r="H1288" s="98">
        <v>1</v>
      </c>
      <c r="I1288" s="98">
        <v>5.01</v>
      </c>
      <c r="J1288" s="98" t="s">
        <v>10</v>
      </c>
      <c r="K1288" s="98">
        <v>12</v>
      </c>
      <c r="L1288" s="98">
        <v>7.2</v>
      </c>
      <c r="M1288" s="98">
        <v>11.404999999999999</v>
      </c>
      <c r="N1288" s="98">
        <v>7.1882000000000001</v>
      </c>
      <c r="O1288" s="99" t="s">
        <v>2200</v>
      </c>
    </row>
    <row r="1289" spans="1:15" x14ac:dyDescent="0.25">
      <c r="A1289" s="98" t="s">
        <v>54</v>
      </c>
      <c r="B1289" s="98" t="s">
        <v>61</v>
      </c>
      <c r="C1289" s="98">
        <v>1</v>
      </c>
      <c r="D1289" s="98">
        <v>11.000999999999999</v>
      </c>
      <c r="E1289" s="98">
        <v>1E-3</v>
      </c>
      <c r="F1289" s="98" t="s">
        <v>13</v>
      </c>
      <c r="G1289" s="98" t="s">
        <v>12</v>
      </c>
      <c r="H1289" s="98">
        <v>4.4999999999999998E-2</v>
      </c>
      <c r="I1289" s="98">
        <v>1.0000100000000001</v>
      </c>
      <c r="J1289" s="98" t="s">
        <v>10</v>
      </c>
      <c r="K1289" s="98">
        <v>0.66</v>
      </c>
      <c r="L1289" s="98">
        <v>2.1</v>
      </c>
      <c r="M1289" s="98">
        <v>0.65508</v>
      </c>
      <c r="N1289" s="98">
        <v>2.0543</v>
      </c>
      <c r="O1289" s="99" t="s">
        <v>2199</v>
      </c>
    </row>
    <row r="1290" spans="1:15" x14ac:dyDescent="0.25">
      <c r="A1290" s="98" t="s">
        <v>54</v>
      </c>
      <c r="B1290" s="98" t="s">
        <v>61</v>
      </c>
      <c r="C1290" s="98">
        <v>1</v>
      </c>
      <c r="D1290" s="98">
        <v>11.000999999999999</v>
      </c>
      <c r="E1290" s="98">
        <v>1E-3</v>
      </c>
      <c r="F1290" s="98" t="s">
        <v>13</v>
      </c>
      <c r="G1290" s="98" t="s">
        <v>12</v>
      </c>
      <c r="H1290" s="98">
        <v>0.01</v>
      </c>
      <c r="I1290" s="98">
        <v>4.5010000000000001E-2</v>
      </c>
      <c r="J1290" s="98" t="s">
        <v>10</v>
      </c>
      <c r="K1290" s="98">
        <v>4.3265000000000002</v>
      </c>
      <c r="L1290" s="98">
        <v>2.6149</v>
      </c>
      <c r="M1290" s="98">
        <v>4.3204000000000002</v>
      </c>
      <c r="N1290" s="98">
        <v>2.6147999999999998</v>
      </c>
      <c r="O1290" s="99" t="s">
        <v>2201</v>
      </c>
    </row>
    <row r="1291" spans="1:15" x14ac:dyDescent="0.25">
      <c r="A1291" s="98" t="s">
        <v>54</v>
      </c>
      <c r="B1291" s="98" t="s">
        <v>61</v>
      </c>
      <c r="C1291" s="98">
        <v>1</v>
      </c>
      <c r="D1291" s="98">
        <v>11.000999999999999</v>
      </c>
      <c r="E1291" s="98">
        <v>0.01</v>
      </c>
      <c r="F1291" s="98" t="s">
        <v>13</v>
      </c>
      <c r="G1291" s="98" t="s">
        <v>12</v>
      </c>
      <c r="H1291" s="98">
        <v>1</v>
      </c>
      <c r="I1291" s="98">
        <v>5.01</v>
      </c>
      <c r="J1291" s="98" t="s">
        <v>10</v>
      </c>
      <c r="K1291" s="98">
        <v>12.361000000000001</v>
      </c>
      <c r="L1291" s="98">
        <v>7.1186999999999996</v>
      </c>
      <c r="M1291" s="98">
        <v>12.349</v>
      </c>
      <c r="N1291" s="98">
        <v>7.1191000000000004</v>
      </c>
      <c r="O1291" s="99" t="s">
        <v>2203</v>
      </c>
    </row>
    <row r="1292" spans="1:15" x14ac:dyDescent="0.25">
      <c r="A1292" s="98" t="s">
        <v>54</v>
      </c>
      <c r="B1292" s="98" t="s">
        <v>61</v>
      </c>
      <c r="C1292" s="98">
        <v>1</v>
      </c>
      <c r="D1292" s="98">
        <v>11.000999999999999</v>
      </c>
      <c r="E1292" s="98">
        <v>0.01</v>
      </c>
      <c r="F1292" s="98" t="s">
        <v>13</v>
      </c>
      <c r="G1292" s="98" t="s">
        <v>12</v>
      </c>
      <c r="H1292" s="98">
        <v>5</v>
      </c>
      <c r="I1292" s="98">
        <v>10</v>
      </c>
      <c r="J1292" s="98" t="s">
        <v>10</v>
      </c>
      <c r="K1292" s="98">
        <v>58</v>
      </c>
      <c r="L1292" s="98">
        <v>28.914000000000001</v>
      </c>
      <c r="M1292" s="98">
        <v>57.905000000000001</v>
      </c>
      <c r="N1292" s="98">
        <v>28.914999999999999</v>
      </c>
      <c r="O1292" s="99" t="s">
        <v>2205</v>
      </c>
    </row>
    <row r="1293" spans="1:15" x14ac:dyDescent="0.25">
      <c r="A1293" s="98" t="s">
        <v>54</v>
      </c>
      <c r="B1293" s="98" t="s">
        <v>61</v>
      </c>
      <c r="C1293" s="98">
        <v>1</v>
      </c>
      <c r="D1293" s="98">
        <v>11.000999999999999</v>
      </c>
      <c r="E1293" s="98">
        <v>0.01</v>
      </c>
      <c r="F1293" s="98" t="s">
        <v>13</v>
      </c>
      <c r="G1293" s="98" t="s">
        <v>12</v>
      </c>
      <c r="H1293" s="98">
        <v>10</v>
      </c>
      <c r="I1293" s="98">
        <v>10.01</v>
      </c>
      <c r="J1293" s="98" t="s">
        <v>10</v>
      </c>
      <c r="K1293" s="98">
        <v>58</v>
      </c>
      <c r="L1293" s="98">
        <v>28.914000000000001</v>
      </c>
      <c r="M1293" s="98">
        <v>57.905000000000001</v>
      </c>
      <c r="N1293" s="98">
        <v>28.914999999999999</v>
      </c>
      <c r="O1293" s="99" t="s">
        <v>2728</v>
      </c>
    </row>
    <row r="1294" spans="1:15" x14ac:dyDescent="0.25">
      <c r="A1294" s="98" t="s">
        <v>54</v>
      </c>
      <c r="B1294" s="98" t="s">
        <v>61</v>
      </c>
      <c r="C1294" s="98">
        <v>1</v>
      </c>
      <c r="D1294" s="98">
        <v>11.000999999999999</v>
      </c>
      <c r="E1294" s="98">
        <v>0.01</v>
      </c>
      <c r="F1294" s="98" t="s">
        <v>13</v>
      </c>
      <c r="G1294" s="98" t="s">
        <v>12</v>
      </c>
      <c r="H1294" s="98">
        <v>0.01</v>
      </c>
      <c r="I1294" s="98">
        <v>4.5010000000000001E-2</v>
      </c>
      <c r="J1294" s="98" t="s">
        <v>10</v>
      </c>
      <c r="K1294" s="98">
        <v>57.286999999999999</v>
      </c>
      <c r="L1294" s="98">
        <v>0.84058999999999995</v>
      </c>
      <c r="M1294" s="98">
        <v>57.284999999999997</v>
      </c>
      <c r="N1294" s="98">
        <v>0.83952000000000004</v>
      </c>
      <c r="O1294" s="99" t="s">
        <v>2727</v>
      </c>
    </row>
    <row r="1295" spans="1:15" x14ac:dyDescent="0.25">
      <c r="A1295" s="98" t="s">
        <v>54</v>
      </c>
      <c r="B1295" s="98" t="s">
        <v>61</v>
      </c>
      <c r="C1295" s="98">
        <v>1</v>
      </c>
      <c r="D1295" s="98">
        <v>11.000999999999999</v>
      </c>
      <c r="E1295" s="98">
        <v>0.01</v>
      </c>
      <c r="F1295" s="98" t="s">
        <v>13</v>
      </c>
      <c r="G1295" s="98" t="s">
        <v>12</v>
      </c>
      <c r="H1295" s="98">
        <v>4.4999999999999998E-2</v>
      </c>
      <c r="I1295" s="98">
        <v>1.0000100000000001</v>
      </c>
      <c r="J1295" s="98" t="s">
        <v>10</v>
      </c>
      <c r="K1295" s="98">
        <v>4.6182999999999996</v>
      </c>
      <c r="L1295" s="98">
        <v>1.7586999999999999</v>
      </c>
      <c r="M1295" s="98">
        <v>4.6169000000000002</v>
      </c>
      <c r="N1295" s="98">
        <v>1.7583</v>
      </c>
      <c r="O1295" s="99" t="s">
        <v>2204</v>
      </c>
    </row>
    <row r="1296" spans="1:15" x14ac:dyDescent="0.25">
      <c r="A1296" s="98" t="s">
        <v>54</v>
      </c>
      <c r="B1296" s="98" t="s">
        <v>61</v>
      </c>
      <c r="C1296" s="98">
        <v>1</v>
      </c>
      <c r="D1296" s="98">
        <v>11.000999999999999</v>
      </c>
      <c r="E1296" s="98">
        <v>0.1</v>
      </c>
      <c r="F1296" s="98" t="s">
        <v>13</v>
      </c>
      <c r="G1296" s="98" t="s">
        <v>12</v>
      </c>
      <c r="H1296" s="98">
        <v>1</v>
      </c>
      <c r="I1296" s="98">
        <v>5.01</v>
      </c>
      <c r="J1296" s="98" t="s">
        <v>10</v>
      </c>
      <c r="K1296" s="98">
        <v>56.262</v>
      </c>
      <c r="L1296" s="98">
        <v>4.6574</v>
      </c>
      <c r="M1296" s="98">
        <v>56.247999999999998</v>
      </c>
      <c r="N1296" s="98">
        <v>4.6563999999999997</v>
      </c>
      <c r="O1296" s="99" t="s">
        <v>2729</v>
      </c>
    </row>
    <row r="1297" spans="1:15" x14ac:dyDescent="0.25">
      <c r="A1297" s="98" t="s">
        <v>54</v>
      </c>
      <c r="B1297" s="98" t="s">
        <v>61</v>
      </c>
      <c r="C1297" s="98">
        <v>1</v>
      </c>
      <c r="D1297" s="98">
        <v>11.000999999999999</v>
      </c>
      <c r="E1297" s="98">
        <v>0.1</v>
      </c>
      <c r="F1297" s="98" t="s">
        <v>13</v>
      </c>
      <c r="G1297" s="98" t="s">
        <v>12</v>
      </c>
      <c r="H1297" s="98">
        <v>5</v>
      </c>
      <c r="I1297" s="98">
        <v>10</v>
      </c>
      <c r="J1297" s="98" t="s">
        <v>10</v>
      </c>
      <c r="K1297" s="98">
        <v>76.668000000000006</v>
      </c>
      <c r="L1297" s="98">
        <v>27.611000000000001</v>
      </c>
      <c r="M1297" s="98">
        <v>76.638000000000005</v>
      </c>
      <c r="N1297" s="98">
        <v>27.611999999999998</v>
      </c>
      <c r="O1297" s="99" t="s">
        <v>2207</v>
      </c>
    </row>
    <row r="1298" spans="1:15" x14ac:dyDescent="0.25">
      <c r="A1298" s="98" t="s">
        <v>54</v>
      </c>
      <c r="B1298" s="98" t="s">
        <v>61</v>
      </c>
      <c r="C1298" s="98">
        <v>1</v>
      </c>
      <c r="D1298" s="98">
        <v>11.000999999999999</v>
      </c>
      <c r="E1298" s="98">
        <v>0.1</v>
      </c>
      <c r="F1298" s="98" t="s">
        <v>13</v>
      </c>
      <c r="G1298" s="98" t="s">
        <v>12</v>
      </c>
      <c r="H1298" s="98">
        <v>0.01</v>
      </c>
      <c r="I1298" s="98">
        <v>4.5010000000000001E-2</v>
      </c>
      <c r="J1298" s="98" t="s">
        <v>10</v>
      </c>
      <c r="K1298" s="98">
        <v>579.91999999999996</v>
      </c>
      <c r="L1298" s="98">
        <v>9.0643000000000001E-2</v>
      </c>
      <c r="M1298" s="98">
        <v>579.91999999999996</v>
      </c>
      <c r="N1298" s="98">
        <v>9.0135999999999994E-2</v>
      </c>
      <c r="O1298" s="99" t="s">
        <v>2208</v>
      </c>
    </row>
    <row r="1299" spans="1:15" x14ac:dyDescent="0.25">
      <c r="A1299" s="98" t="s">
        <v>54</v>
      </c>
      <c r="B1299" s="98" t="s">
        <v>61</v>
      </c>
      <c r="C1299" s="98">
        <v>1</v>
      </c>
      <c r="D1299" s="98">
        <v>11.000999999999999</v>
      </c>
      <c r="E1299" s="98">
        <v>0.1</v>
      </c>
      <c r="F1299" s="98" t="s">
        <v>13</v>
      </c>
      <c r="G1299" s="98" t="s">
        <v>12</v>
      </c>
      <c r="H1299" s="98">
        <v>4.4999999999999998E-2</v>
      </c>
      <c r="I1299" s="98">
        <v>1.0000100000000001</v>
      </c>
      <c r="J1299" s="98" t="s">
        <v>10</v>
      </c>
      <c r="K1299" s="98">
        <v>57.618000000000002</v>
      </c>
      <c r="L1299" s="98">
        <v>0.44323000000000001</v>
      </c>
      <c r="M1299" s="98">
        <v>57.618000000000002</v>
      </c>
      <c r="N1299" s="98">
        <v>0.44244</v>
      </c>
      <c r="O1299" s="99" t="s">
        <v>2209</v>
      </c>
    </row>
    <row r="1300" spans="1:15" x14ac:dyDescent="0.25">
      <c r="A1300" s="98" t="s">
        <v>54</v>
      </c>
      <c r="B1300" s="98" t="s">
        <v>61</v>
      </c>
      <c r="C1300" s="98">
        <v>1</v>
      </c>
      <c r="D1300" s="98">
        <v>11.000999999999999</v>
      </c>
      <c r="E1300" s="98">
        <v>0.1</v>
      </c>
      <c r="F1300" s="98" t="s">
        <v>13</v>
      </c>
      <c r="G1300" s="98" t="s">
        <v>12</v>
      </c>
      <c r="H1300" s="98">
        <v>10</v>
      </c>
      <c r="I1300" s="98">
        <v>10.01</v>
      </c>
      <c r="J1300" s="98" t="s">
        <v>10</v>
      </c>
      <c r="K1300" s="98">
        <v>76.668000000000006</v>
      </c>
      <c r="L1300" s="98">
        <v>27.611000000000001</v>
      </c>
      <c r="M1300" s="98">
        <v>76.638000000000005</v>
      </c>
      <c r="N1300" s="98">
        <v>27.611999999999998</v>
      </c>
      <c r="O1300" s="99" t="s">
        <v>2206</v>
      </c>
    </row>
    <row r="1301" spans="1:15" x14ac:dyDescent="0.25">
      <c r="A1301" s="98" t="s">
        <v>54</v>
      </c>
      <c r="B1301" s="98" t="s">
        <v>61</v>
      </c>
      <c r="C1301" s="98">
        <v>1</v>
      </c>
      <c r="D1301" s="98">
        <v>11.000999999999999</v>
      </c>
      <c r="E1301" s="98">
        <v>1</v>
      </c>
      <c r="F1301" s="98" t="s">
        <v>13</v>
      </c>
      <c r="G1301" s="98" t="s">
        <v>12</v>
      </c>
      <c r="H1301" s="98">
        <v>10</v>
      </c>
      <c r="I1301" s="98">
        <v>10.01</v>
      </c>
      <c r="J1301" s="98" t="s">
        <v>10</v>
      </c>
      <c r="K1301" s="98">
        <v>575.98</v>
      </c>
      <c r="L1301" s="98">
        <v>10.476000000000001</v>
      </c>
      <c r="M1301" s="98">
        <v>575.96</v>
      </c>
      <c r="N1301" s="98">
        <v>10.474</v>
      </c>
      <c r="O1301" s="99" t="s">
        <v>2214</v>
      </c>
    </row>
    <row r="1302" spans="1:15" x14ac:dyDescent="0.25">
      <c r="A1302" s="98" t="s">
        <v>54</v>
      </c>
      <c r="B1302" s="98" t="s">
        <v>61</v>
      </c>
      <c r="C1302" s="98">
        <v>1</v>
      </c>
      <c r="D1302" s="98">
        <v>11.000999999999999</v>
      </c>
      <c r="E1302" s="98">
        <v>1</v>
      </c>
      <c r="F1302" s="98" t="s">
        <v>13</v>
      </c>
      <c r="G1302" s="98" t="s">
        <v>12</v>
      </c>
      <c r="H1302" s="98">
        <v>0.01</v>
      </c>
      <c r="I1302" s="98">
        <v>4.5010000000000001E-2</v>
      </c>
      <c r="J1302" s="98" t="s">
        <v>10</v>
      </c>
      <c r="K1302" s="98">
        <v>5800</v>
      </c>
      <c r="L1302" s="98">
        <v>9.2241000000000007E-3</v>
      </c>
      <c r="M1302" s="98">
        <v>5800</v>
      </c>
      <c r="N1302" s="98">
        <v>9.0206999999999996E-3</v>
      </c>
      <c r="O1302" s="99" t="s">
        <v>2213</v>
      </c>
    </row>
    <row r="1303" spans="1:15" x14ac:dyDescent="0.25">
      <c r="A1303" s="98" t="s">
        <v>54</v>
      </c>
      <c r="B1303" s="98" t="s">
        <v>61</v>
      </c>
      <c r="C1303" s="98">
        <v>1</v>
      </c>
      <c r="D1303" s="98">
        <v>11.000999999999999</v>
      </c>
      <c r="E1303" s="98">
        <v>1</v>
      </c>
      <c r="F1303" s="98" t="s">
        <v>13</v>
      </c>
      <c r="G1303" s="98" t="s">
        <v>12</v>
      </c>
      <c r="H1303" s="98">
        <v>1</v>
      </c>
      <c r="I1303" s="98">
        <v>5.01</v>
      </c>
      <c r="J1303" s="98" t="s">
        <v>10</v>
      </c>
      <c r="K1303" s="98">
        <v>579.63</v>
      </c>
      <c r="L1303" s="98">
        <v>0.67288000000000003</v>
      </c>
      <c r="M1303" s="98">
        <v>579.63</v>
      </c>
      <c r="N1303" s="98">
        <v>0.67162999999999995</v>
      </c>
      <c r="O1303" s="99" t="s">
        <v>2212</v>
      </c>
    </row>
    <row r="1304" spans="1:15" x14ac:dyDescent="0.25">
      <c r="A1304" s="98" t="s">
        <v>54</v>
      </c>
      <c r="B1304" s="98" t="s">
        <v>61</v>
      </c>
      <c r="C1304" s="98">
        <v>1</v>
      </c>
      <c r="D1304" s="98">
        <v>11.000999999999999</v>
      </c>
      <c r="E1304" s="98">
        <v>1</v>
      </c>
      <c r="F1304" s="98" t="s">
        <v>13</v>
      </c>
      <c r="G1304" s="98" t="s">
        <v>12</v>
      </c>
      <c r="H1304" s="98">
        <v>5</v>
      </c>
      <c r="I1304" s="98">
        <v>10</v>
      </c>
      <c r="J1304" s="98" t="s">
        <v>10</v>
      </c>
      <c r="K1304" s="98">
        <v>575.98</v>
      </c>
      <c r="L1304" s="98">
        <v>10.476000000000001</v>
      </c>
      <c r="M1304" s="98">
        <v>575.96</v>
      </c>
      <c r="N1304" s="98">
        <v>10.474</v>
      </c>
      <c r="O1304" s="99" t="s">
        <v>2210</v>
      </c>
    </row>
    <row r="1305" spans="1:15" x14ac:dyDescent="0.25">
      <c r="A1305" s="98" t="s">
        <v>54</v>
      </c>
      <c r="B1305" s="98" t="s">
        <v>61</v>
      </c>
      <c r="C1305" s="98">
        <v>1</v>
      </c>
      <c r="D1305" s="98">
        <v>11.000999999999999</v>
      </c>
      <c r="E1305" s="98">
        <v>1</v>
      </c>
      <c r="F1305" s="98" t="s">
        <v>13</v>
      </c>
      <c r="G1305" s="98" t="s">
        <v>12</v>
      </c>
      <c r="H1305" s="98">
        <v>4.4999999999999998E-2</v>
      </c>
      <c r="I1305" s="98">
        <v>1.0000100000000001</v>
      </c>
      <c r="J1305" s="98" t="s">
        <v>10</v>
      </c>
      <c r="K1305" s="98">
        <v>579.96</v>
      </c>
      <c r="L1305" s="98">
        <v>4.6302000000000003E-2</v>
      </c>
      <c r="M1305" s="98">
        <v>579.96</v>
      </c>
      <c r="N1305" s="98">
        <v>4.5959E-2</v>
      </c>
      <c r="O1305" s="99" t="s">
        <v>2211</v>
      </c>
    </row>
    <row r="1306" spans="1:15" x14ac:dyDescent="0.25">
      <c r="A1306" s="98" t="s">
        <v>54</v>
      </c>
      <c r="B1306" s="98" t="s">
        <v>61</v>
      </c>
      <c r="C1306" s="98">
        <v>1</v>
      </c>
      <c r="D1306" s="98">
        <v>11.000999999999999</v>
      </c>
      <c r="E1306" s="98">
        <v>10</v>
      </c>
      <c r="F1306" s="98" t="s">
        <v>13</v>
      </c>
      <c r="G1306" s="98" t="s">
        <v>12</v>
      </c>
      <c r="H1306" s="98">
        <v>10</v>
      </c>
      <c r="I1306" s="98">
        <v>10.01</v>
      </c>
      <c r="J1306" s="98" t="s">
        <v>10</v>
      </c>
      <c r="K1306" s="98">
        <v>5799.5</v>
      </c>
      <c r="L1306" s="98">
        <v>1.1535</v>
      </c>
      <c r="M1306" s="98">
        <v>5799.5</v>
      </c>
      <c r="N1306" s="98">
        <v>1.1523000000000001</v>
      </c>
      <c r="O1306" s="99" t="s">
        <v>2218</v>
      </c>
    </row>
    <row r="1307" spans="1:15" x14ac:dyDescent="0.25">
      <c r="A1307" s="98" t="s">
        <v>54</v>
      </c>
      <c r="B1307" s="98" t="s">
        <v>61</v>
      </c>
      <c r="C1307" s="98">
        <v>1</v>
      </c>
      <c r="D1307" s="98">
        <v>11.000999999999999</v>
      </c>
      <c r="E1307" s="98">
        <v>10</v>
      </c>
      <c r="F1307" s="98" t="s">
        <v>13</v>
      </c>
      <c r="G1307" s="98" t="s">
        <v>12</v>
      </c>
      <c r="H1307" s="98">
        <v>5</v>
      </c>
      <c r="I1307" s="98">
        <v>10</v>
      </c>
      <c r="J1307" s="98" t="s">
        <v>10</v>
      </c>
      <c r="K1307" s="98">
        <v>5799.5</v>
      </c>
      <c r="L1307" s="98">
        <v>1.1535</v>
      </c>
      <c r="M1307" s="98">
        <v>5799.5</v>
      </c>
      <c r="N1307" s="98">
        <v>1.1523000000000001</v>
      </c>
      <c r="O1307" s="99" t="s">
        <v>2215</v>
      </c>
    </row>
    <row r="1308" spans="1:15" x14ac:dyDescent="0.25">
      <c r="A1308" s="98" t="s">
        <v>54</v>
      </c>
      <c r="B1308" s="98" t="s">
        <v>61</v>
      </c>
      <c r="C1308" s="98">
        <v>1</v>
      </c>
      <c r="D1308" s="98">
        <v>11.000999999999999</v>
      </c>
      <c r="E1308" s="98">
        <v>10</v>
      </c>
      <c r="F1308" s="98" t="s">
        <v>13</v>
      </c>
      <c r="G1308" s="98" t="s">
        <v>12</v>
      </c>
      <c r="H1308" s="98">
        <v>4.4999999999999998E-2</v>
      </c>
      <c r="I1308" s="98">
        <v>1.0000100000000001</v>
      </c>
      <c r="J1308" s="98" t="s">
        <v>10</v>
      </c>
      <c r="K1308" s="98">
        <v>5800</v>
      </c>
      <c r="L1308" s="98">
        <v>4.7349999999999996E-3</v>
      </c>
      <c r="M1308" s="98">
        <v>5800</v>
      </c>
      <c r="N1308" s="98">
        <v>4.5976999999999997E-3</v>
      </c>
      <c r="O1308" s="99" t="s">
        <v>2217</v>
      </c>
    </row>
    <row r="1309" spans="1:15" x14ac:dyDescent="0.25">
      <c r="A1309" s="98" t="s">
        <v>54</v>
      </c>
      <c r="B1309" s="98" t="s">
        <v>61</v>
      </c>
      <c r="C1309" s="98">
        <v>1</v>
      </c>
      <c r="D1309" s="98">
        <v>11.000999999999999</v>
      </c>
      <c r="E1309" s="98">
        <v>10</v>
      </c>
      <c r="F1309" s="98" t="s">
        <v>13</v>
      </c>
      <c r="G1309" s="98" t="s">
        <v>12</v>
      </c>
      <c r="H1309" s="98">
        <v>0.01</v>
      </c>
      <c r="I1309" s="98">
        <v>4.5010000000000001E-2</v>
      </c>
      <c r="J1309" s="98" t="s">
        <v>10</v>
      </c>
      <c r="K1309" s="98">
        <v>58000</v>
      </c>
      <c r="L1309" s="98">
        <v>9.8346000000000002E-4</v>
      </c>
      <c r="M1309" s="98">
        <v>58000</v>
      </c>
      <c r="N1309" s="98">
        <v>9.0207999999999998E-4</v>
      </c>
      <c r="O1309" s="99" t="s">
        <v>2216</v>
      </c>
    </row>
    <row r="1310" spans="1:15" x14ac:dyDescent="0.25">
      <c r="A1310" s="98" t="s">
        <v>54</v>
      </c>
      <c r="B1310" s="98" t="s">
        <v>61</v>
      </c>
      <c r="C1310" s="98">
        <v>1</v>
      </c>
      <c r="D1310" s="98">
        <v>11.000999999999999</v>
      </c>
      <c r="E1310" s="98">
        <v>10</v>
      </c>
      <c r="F1310" s="98" t="s">
        <v>13</v>
      </c>
      <c r="G1310" s="98" t="s">
        <v>12</v>
      </c>
      <c r="H1310" s="98">
        <v>1</v>
      </c>
      <c r="I1310" s="98">
        <v>5.01</v>
      </c>
      <c r="J1310" s="98" t="s">
        <v>10</v>
      </c>
      <c r="K1310" s="98">
        <v>5800</v>
      </c>
      <c r="L1310" s="98">
        <v>6.8090999999999999E-2</v>
      </c>
      <c r="M1310" s="98">
        <v>5800</v>
      </c>
      <c r="N1310" s="98">
        <v>6.7582000000000003E-2</v>
      </c>
      <c r="O1310" s="99" t="s">
        <v>2730</v>
      </c>
    </row>
    <row r="1311" spans="1:15" x14ac:dyDescent="0.25">
      <c r="A1311" s="98" t="s">
        <v>54</v>
      </c>
      <c r="B1311" s="98" t="s">
        <v>61</v>
      </c>
      <c r="C1311" s="98">
        <v>11</v>
      </c>
      <c r="D1311" s="98">
        <v>30.001000000000001</v>
      </c>
      <c r="E1311" s="98">
        <v>1E-3</v>
      </c>
      <c r="F1311" s="98" t="s">
        <v>13</v>
      </c>
      <c r="G1311" s="98" t="s">
        <v>12</v>
      </c>
      <c r="H1311" s="98">
        <v>10</v>
      </c>
      <c r="I1311" s="98">
        <v>10.01</v>
      </c>
      <c r="J1311" s="98" t="s">
        <v>10</v>
      </c>
      <c r="K1311" s="98">
        <v>58</v>
      </c>
      <c r="L1311" s="98">
        <v>29</v>
      </c>
      <c r="M1311" s="98">
        <v>57.627000000000002</v>
      </c>
      <c r="N1311" s="98">
        <v>28.936</v>
      </c>
      <c r="O1311" s="99" t="s">
        <v>2220</v>
      </c>
    </row>
    <row r="1312" spans="1:15" x14ac:dyDescent="0.25">
      <c r="A1312" s="98" t="s">
        <v>54</v>
      </c>
      <c r="B1312" s="98" t="s">
        <v>61</v>
      </c>
      <c r="C1312" s="98">
        <v>11</v>
      </c>
      <c r="D1312" s="98">
        <v>30.001000000000001</v>
      </c>
      <c r="E1312" s="98">
        <v>1E-3</v>
      </c>
      <c r="F1312" s="98" t="s">
        <v>13</v>
      </c>
      <c r="G1312" s="98" t="s">
        <v>12</v>
      </c>
      <c r="H1312" s="98">
        <v>5</v>
      </c>
      <c r="I1312" s="98">
        <v>10</v>
      </c>
      <c r="J1312" s="98" t="s">
        <v>10</v>
      </c>
      <c r="K1312" s="98">
        <v>58</v>
      </c>
      <c r="L1312" s="98">
        <v>29</v>
      </c>
      <c r="M1312" s="98">
        <v>57.627000000000002</v>
      </c>
      <c r="N1312" s="98">
        <v>28.936</v>
      </c>
      <c r="O1312" s="99" t="s">
        <v>2221</v>
      </c>
    </row>
    <row r="1313" spans="1:15" x14ac:dyDescent="0.25">
      <c r="A1313" s="98" t="s">
        <v>54</v>
      </c>
      <c r="B1313" s="98" t="s">
        <v>61</v>
      </c>
      <c r="C1313" s="98">
        <v>11</v>
      </c>
      <c r="D1313" s="98">
        <v>30.001000000000001</v>
      </c>
      <c r="E1313" s="98">
        <v>1E-3</v>
      </c>
      <c r="F1313" s="98" t="s">
        <v>13</v>
      </c>
      <c r="G1313" s="98" t="s">
        <v>12</v>
      </c>
      <c r="H1313" s="98">
        <v>0.01</v>
      </c>
      <c r="I1313" s="98">
        <v>4.5010000000000001E-2</v>
      </c>
      <c r="J1313" s="98" t="s">
        <v>10</v>
      </c>
      <c r="K1313" s="98">
        <v>0.87</v>
      </c>
      <c r="L1313" s="98">
        <v>2.9</v>
      </c>
      <c r="M1313" s="98">
        <v>0.85389000000000004</v>
      </c>
      <c r="N1313" s="98">
        <v>2.8839000000000001</v>
      </c>
      <c r="O1313" s="99" t="s">
        <v>2731</v>
      </c>
    </row>
    <row r="1314" spans="1:15" x14ac:dyDescent="0.25">
      <c r="A1314" s="98" t="s">
        <v>54</v>
      </c>
      <c r="B1314" s="98" t="s">
        <v>61</v>
      </c>
      <c r="C1314" s="98">
        <v>11</v>
      </c>
      <c r="D1314" s="98">
        <v>30.001000000000001</v>
      </c>
      <c r="E1314" s="98">
        <v>1E-3</v>
      </c>
      <c r="F1314" s="98" t="s">
        <v>13</v>
      </c>
      <c r="G1314" s="98" t="s">
        <v>12</v>
      </c>
      <c r="H1314" s="98">
        <v>4.4999999999999998E-2</v>
      </c>
      <c r="I1314" s="98">
        <v>1.0000100000000001</v>
      </c>
      <c r="J1314" s="98" t="s">
        <v>10</v>
      </c>
      <c r="K1314" s="98">
        <v>0.9</v>
      </c>
      <c r="L1314" s="98">
        <v>2.1</v>
      </c>
      <c r="M1314" s="98">
        <v>0.42297000000000001</v>
      </c>
      <c r="N1314" s="98">
        <v>2.1154999999999999</v>
      </c>
      <c r="O1314" s="99" t="s">
        <v>2222</v>
      </c>
    </row>
    <row r="1315" spans="1:15" x14ac:dyDescent="0.25">
      <c r="A1315" s="98" t="s">
        <v>54</v>
      </c>
      <c r="B1315" s="98" t="s">
        <v>61</v>
      </c>
      <c r="C1315" s="98">
        <v>11</v>
      </c>
      <c r="D1315" s="98">
        <v>30.001000000000001</v>
      </c>
      <c r="E1315" s="98">
        <v>1E-3</v>
      </c>
      <c r="F1315" s="98" t="s">
        <v>13</v>
      </c>
      <c r="G1315" s="98" t="s">
        <v>12</v>
      </c>
      <c r="H1315" s="98">
        <v>1</v>
      </c>
      <c r="I1315" s="98">
        <v>5.01</v>
      </c>
      <c r="J1315" s="98" t="s">
        <v>10</v>
      </c>
      <c r="K1315" s="98">
        <v>12</v>
      </c>
      <c r="L1315" s="98">
        <v>7.2</v>
      </c>
      <c r="M1315" s="98">
        <v>11.173999999999999</v>
      </c>
      <c r="N1315" s="98">
        <v>7.2092000000000001</v>
      </c>
      <c r="O1315" s="99" t="s">
        <v>2219</v>
      </c>
    </row>
    <row r="1316" spans="1:15" x14ac:dyDescent="0.25">
      <c r="A1316" s="98" t="s">
        <v>54</v>
      </c>
      <c r="B1316" s="98" t="s">
        <v>61</v>
      </c>
      <c r="C1316" s="98">
        <v>11</v>
      </c>
      <c r="D1316" s="98">
        <v>30.001000000000001</v>
      </c>
      <c r="E1316" s="98">
        <v>0.01</v>
      </c>
      <c r="F1316" s="98" t="s">
        <v>13</v>
      </c>
      <c r="G1316" s="98" t="s">
        <v>12</v>
      </c>
      <c r="H1316" s="98">
        <v>1</v>
      </c>
      <c r="I1316" s="98">
        <v>5.01</v>
      </c>
      <c r="J1316" s="98" t="s">
        <v>10</v>
      </c>
      <c r="K1316" s="98">
        <v>12</v>
      </c>
      <c r="L1316" s="98">
        <v>7.2</v>
      </c>
      <c r="M1316" s="98">
        <v>11.422000000000001</v>
      </c>
      <c r="N1316" s="98">
        <v>7.2034000000000002</v>
      </c>
      <c r="O1316" s="99" t="s">
        <v>2225</v>
      </c>
    </row>
    <row r="1317" spans="1:15" x14ac:dyDescent="0.25">
      <c r="A1317" s="98" t="s">
        <v>54</v>
      </c>
      <c r="B1317" s="98" t="s">
        <v>61</v>
      </c>
      <c r="C1317" s="98">
        <v>11</v>
      </c>
      <c r="D1317" s="98">
        <v>30.001000000000001</v>
      </c>
      <c r="E1317" s="98">
        <v>0.01</v>
      </c>
      <c r="F1317" s="98" t="s">
        <v>13</v>
      </c>
      <c r="G1317" s="98" t="s">
        <v>12</v>
      </c>
      <c r="H1317" s="98">
        <v>4.4999999999999998E-2</v>
      </c>
      <c r="I1317" s="98">
        <v>1.0000100000000001</v>
      </c>
      <c r="J1317" s="98" t="s">
        <v>10</v>
      </c>
      <c r="K1317" s="98">
        <v>1.3908</v>
      </c>
      <c r="L1317" s="98">
        <v>2.0926999999999998</v>
      </c>
      <c r="M1317" s="98">
        <v>1.3648</v>
      </c>
      <c r="N1317" s="98">
        <v>2.0928</v>
      </c>
      <c r="O1317" s="99" t="s">
        <v>2226</v>
      </c>
    </row>
    <row r="1318" spans="1:15" x14ac:dyDescent="0.25">
      <c r="A1318" s="98" t="s">
        <v>54</v>
      </c>
      <c r="B1318" s="98" t="s">
        <v>61</v>
      </c>
      <c r="C1318" s="98">
        <v>11</v>
      </c>
      <c r="D1318" s="98">
        <v>30.001000000000001</v>
      </c>
      <c r="E1318" s="98">
        <v>0.01</v>
      </c>
      <c r="F1318" s="98" t="s">
        <v>13</v>
      </c>
      <c r="G1318" s="98" t="s">
        <v>12</v>
      </c>
      <c r="H1318" s="98">
        <v>0.01</v>
      </c>
      <c r="I1318" s="98">
        <v>4.5010000000000001E-2</v>
      </c>
      <c r="J1318" s="98" t="s">
        <v>10</v>
      </c>
      <c r="K1318" s="98">
        <v>1.4280999999999999</v>
      </c>
      <c r="L1318" s="98">
        <v>2.8814000000000002</v>
      </c>
      <c r="M1318" s="98">
        <v>1.5428999999999999</v>
      </c>
      <c r="N1318" s="98">
        <v>2.8673000000000002</v>
      </c>
      <c r="O1318" s="99" t="s">
        <v>2227</v>
      </c>
    </row>
    <row r="1319" spans="1:15" x14ac:dyDescent="0.25">
      <c r="A1319" s="98" t="s">
        <v>54</v>
      </c>
      <c r="B1319" s="98" t="s">
        <v>61</v>
      </c>
      <c r="C1319" s="98">
        <v>11</v>
      </c>
      <c r="D1319" s="98">
        <v>30.001000000000001</v>
      </c>
      <c r="E1319" s="98">
        <v>0.01</v>
      </c>
      <c r="F1319" s="98" t="s">
        <v>13</v>
      </c>
      <c r="G1319" s="98" t="s">
        <v>12</v>
      </c>
      <c r="H1319" s="98">
        <v>5</v>
      </c>
      <c r="I1319" s="98">
        <v>10</v>
      </c>
      <c r="J1319" s="98" t="s">
        <v>10</v>
      </c>
      <c r="K1319" s="98">
        <v>58</v>
      </c>
      <c r="L1319" s="98">
        <v>29</v>
      </c>
      <c r="M1319" s="98">
        <v>57.682000000000002</v>
      </c>
      <c r="N1319" s="98">
        <v>28.934999999999999</v>
      </c>
      <c r="O1319" s="99" t="s">
        <v>2224</v>
      </c>
    </row>
    <row r="1320" spans="1:15" x14ac:dyDescent="0.25">
      <c r="A1320" s="98" t="s">
        <v>54</v>
      </c>
      <c r="B1320" s="98" t="s">
        <v>61</v>
      </c>
      <c r="C1320" s="98">
        <v>11</v>
      </c>
      <c r="D1320" s="98">
        <v>30.001000000000001</v>
      </c>
      <c r="E1320" s="98">
        <v>0.01</v>
      </c>
      <c r="F1320" s="98" t="s">
        <v>13</v>
      </c>
      <c r="G1320" s="98" t="s">
        <v>12</v>
      </c>
      <c r="H1320" s="98">
        <v>10</v>
      </c>
      <c r="I1320" s="98">
        <v>10.01</v>
      </c>
      <c r="J1320" s="98" t="s">
        <v>10</v>
      </c>
      <c r="K1320" s="98">
        <v>58</v>
      </c>
      <c r="L1320" s="98">
        <v>29</v>
      </c>
      <c r="M1320" s="98">
        <v>57.682000000000002</v>
      </c>
      <c r="N1320" s="98">
        <v>28.934999999999999</v>
      </c>
      <c r="O1320" s="99" t="s">
        <v>2223</v>
      </c>
    </row>
    <row r="1321" spans="1:15" x14ac:dyDescent="0.25">
      <c r="A1321" s="98" t="s">
        <v>54</v>
      </c>
      <c r="B1321" s="98" t="s">
        <v>61</v>
      </c>
      <c r="C1321" s="98">
        <v>11</v>
      </c>
      <c r="D1321" s="98">
        <v>30.001000000000001</v>
      </c>
      <c r="E1321" s="98">
        <v>0.1</v>
      </c>
      <c r="F1321" s="98" t="s">
        <v>13</v>
      </c>
      <c r="G1321" s="98" t="s">
        <v>12</v>
      </c>
      <c r="H1321" s="98">
        <v>1</v>
      </c>
      <c r="I1321" s="98">
        <v>5.01</v>
      </c>
      <c r="J1321" s="98" t="s">
        <v>10</v>
      </c>
      <c r="K1321" s="98">
        <v>33.826999999999998</v>
      </c>
      <c r="L1321" s="98">
        <v>6.6978</v>
      </c>
      <c r="M1321" s="98">
        <v>33.792000000000002</v>
      </c>
      <c r="N1321" s="98">
        <v>6.6978999999999997</v>
      </c>
      <c r="O1321" s="99" t="s">
        <v>2732</v>
      </c>
    </row>
    <row r="1322" spans="1:15" x14ac:dyDescent="0.25">
      <c r="A1322" s="98" t="s">
        <v>54</v>
      </c>
      <c r="B1322" s="98" t="s">
        <v>61</v>
      </c>
      <c r="C1322" s="98">
        <v>11</v>
      </c>
      <c r="D1322" s="98">
        <v>30.001000000000001</v>
      </c>
      <c r="E1322" s="98">
        <v>0.1</v>
      </c>
      <c r="F1322" s="98" t="s">
        <v>13</v>
      </c>
      <c r="G1322" s="98" t="s">
        <v>12</v>
      </c>
      <c r="H1322" s="98">
        <v>5</v>
      </c>
      <c r="I1322" s="98">
        <v>10</v>
      </c>
      <c r="J1322" s="98" t="s">
        <v>10</v>
      </c>
      <c r="K1322" s="98">
        <v>63.353000000000002</v>
      </c>
      <c r="L1322" s="98">
        <v>28.821999999999999</v>
      </c>
      <c r="M1322" s="98">
        <v>63.613</v>
      </c>
      <c r="N1322" s="98">
        <v>28.797000000000001</v>
      </c>
      <c r="O1322" s="99" t="s">
        <v>2229</v>
      </c>
    </row>
    <row r="1323" spans="1:15" x14ac:dyDescent="0.25">
      <c r="A1323" s="98" t="s">
        <v>54</v>
      </c>
      <c r="B1323" s="98" t="s">
        <v>61</v>
      </c>
      <c r="C1323" s="98">
        <v>11</v>
      </c>
      <c r="D1323" s="98">
        <v>30.001000000000001</v>
      </c>
      <c r="E1323" s="98">
        <v>0.1</v>
      </c>
      <c r="F1323" s="98" t="s">
        <v>13</v>
      </c>
      <c r="G1323" s="98" t="s">
        <v>12</v>
      </c>
      <c r="H1323" s="98">
        <v>10</v>
      </c>
      <c r="I1323" s="98">
        <v>10.01</v>
      </c>
      <c r="J1323" s="98" t="s">
        <v>10</v>
      </c>
      <c r="K1323" s="98">
        <v>63.353000000000002</v>
      </c>
      <c r="L1323" s="98">
        <v>28.821999999999999</v>
      </c>
      <c r="M1323" s="98">
        <v>63.613</v>
      </c>
      <c r="N1323" s="98">
        <v>28.797000000000001</v>
      </c>
      <c r="O1323" s="99" t="s">
        <v>2733</v>
      </c>
    </row>
    <row r="1324" spans="1:15" x14ac:dyDescent="0.25">
      <c r="A1324" s="98" t="s">
        <v>54</v>
      </c>
      <c r="B1324" s="98" t="s">
        <v>61</v>
      </c>
      <c r="C1324" s="98">
        <v>11</v>
      </c>
      <c r="D1324" s="98">
        <v>30.001000000000001</v>
      </c>
      <c r="E1324" s="98">
        <v>0.1</v>
      </c>
      <c r="F1324" s="98" t="s">
        <v>13</v>
      </c>
      <c r="G1324" s="98" t="s">
        <v>12</v>
      </c>
      <c r="H1324" s="98">
        <v>0.01</v>
      </c>
      <c r="I1324" s="98">
        <v>4.5010000000000001E-2</v>
      </c>
      <c r="J1324" s="98" t="s">
        <v>10</v>
      </c>
      <c r="K1324" s="98">
        <v>44.393999999999998</v>
      </c>
      <c r="L1324" s="98">
        <v>2.0188000000000001</v>
      </c>
      <c r="M1324" s="98">
        <v>44.317</v>
      </c>
      <c r="N1324" s="98">
        <v>2.0184000000000002</v>
      </c>
      <c r="O1324" s="99" t="s">
        <v>2230</v>
      </c>
    </row>
    <row r="1325" spans="1:15" x14ac:dyDescent="0.25">
      <c r="A1325" s="98" t="s">
        <v>54</v>
      </c>
      <c r="B1325" s="98" t="s">
        <v>61</v>
      </c>
      <c r="C1325" s="98">
        <v>11</v>
      </c>
      <c r="D1325" s="98">
        <v>30.001000000000001</v>
      </c>
      <c r="E1325" s="98">
        <v>0.1</v>
      </c>
      <c r="F1325" s="98" t="s">
        <v>13</v>
      </c>
      <c r="G1325" s="98" t="s">
        <v>12</v>
      </c>
      <c r="H1325" s="98">
        <v>4.4999999999999998E-2</v>
      </c>
      <c r="I1325" s="98">
        <v>1.0000100000000001</v>
      </c>
      <c r="J1325" s="98" t="s">
        <v>10</v>
      </c>
      <c r="K1325" s="98">
        <v>48.985999999999997</v>
      </c>
      <c r="L1325" s="98">
        <v>1.2457</v>
      </c>
      <c r="M1325" s="98">
        <v>48.966999999999999</v>
      </c>
      <c r="N1325" s="98">
        <v>1.244</v>
      </c>
      <c r="O1325" s="99" t="s">
        <v>2228</v>
      </c>
    </row>
    <row r="1326" spans="1:15" x14ac:dyDescent="0.25">
      <c r="A1326" s="98" t="s">
        <v>54</v>
      </c>
      <c r="B1326" s="98" t="s">
        <v>61</v>
      </c>
      <c r="C1326" s="98">
        <v>11</v>
      </c>
      <c r="D1326" s="98">
        <v>30.001000000000001</v>
      </c>
      <c r="E1326" s="98">
        <v>1</v>
      </c>
      <c r="F1326" s="98" t="s">
        <v>13</v>
      </c>
      <c r="G1326" s="98" t="s">
        <v>12</v>
      </c>
      <c r="H1326" s="98">
        <v>1</v>
      </c>
      <c r="I1326" s="98">
        <v>5.01</v>
      </c>
      <c r="J1326" s="98" t="s">
        <v>10</v>
      </c>
      <c r="K1326" s="98">
        <v>566.19000000000005</v>
      </c>
      <c r="L1326" s="98">
        <v>1.8955</v>
      </c>
      <c r="M1326" s="98">
        <v>566.17999999999995</v>
      </c>
      <c r="N1326" s="98">
        <v>1.8942000000000001</v>
      </c>
      <c r="O1326" s="99" t="s">
        <v>2234</v>
      </c>
    </row>
    <row r="1327" spans="1:15" x14ac:dyDescent="0.25">
      <c r="A1327" s="98" t="s">
        <v>54</v>
      </c>
      <c r="B1327" s="98" t="s">
        <v>61</v>
      </c>
      <c r="C1327" s="98">
        <v>11</v>
      </c>
      <c r="D1327" s="98">
        <v>30.001000000000001</v>
      </c>
      <c r="E1327" s="98">
        <v>1</v>
      </c>
      <c r="F1327" s="98" t="s">
        <v>13</v>
      </c>
      <c r="G1327" s="98" t="s">
        <v>12</v>
      </c>
      <c r="H1327" s="98">
        <v>10</v>
      </c>
      <c r="I1327" s="98">
        <v>10.01</v>
      </c>
      <c r="J1327" s="98" t="s">
        <v>10</v>
      </c>
      <c r="K1327" s="98">
        <v>458.92</v>
      </c>
      <c r="L1327" s="98">
        <v>21.117999999999999</v>
      </c>
      <c r="M1327" s="98">
        <v>458.89</v>
      </c>
      <c r="N1327" s="98">
        <v>21.117000000000001</v>
      </c>
      <c r="O1327" s="99" t="s">
        <v>2233</v>
      </c>
    </row>
    <row r="1328" spans="1:15" x14ac:dyDescent="0.25">
      <c r="A1328" s="98" t="s">
        <v>54</v>
      </c>
      <c r="B1328" s="98" t="s">
        <v>61</v>
      </c>
      <c r="C1328" s="98">
        <v>11</v>
      </c>
      <c r="D1328" s="98">
        <v>30.001000000000001</v>
      </c>
      <c r="E1328" s="98">
        <v>1</v>
      </c>
      <c r="F1328" s="98" t="s">
        <v>13</v>
      </c>
      <c r="G1328" s="98" t="s">
        <v>12</v>
      </c>
      <c r="H1328" s="98">
        <v>5</v>
      </c>
      <c r="I1328" s="98">
        <v>10</v>
      </c>
      <c r="J1328" s="98" t="s">
        <v>10</v>
      </c>
      <c r="K1328" s="98">
        <v>458.92</v>
      </c>
      <c r="L1328" s="98">
        <v>21.117999999999999</v>
      </c>
      <c r="M1328" s="98">
        <v>458.89</v>
      </c>
      <c r="N1328" s="98">
        <v>21.117000000000001</v>
      </c>
      <c r="O1328" s="99" t="s">
        <v>2231</v>
      </c>
    </row>
    <row r="1329" spans="1:15" x14ac:dyDescent="0.25">
      <c r="A1329" s="98" t="s">
        <v>54</v>
      </c>
      <c r="B1329" s="98" t="s">
        <v>61</v>
      </c>
      <c r="C1329" s="98">
        <v>11</v>
      </c>
      <c r="D1329" s="98">
        <v>30.001000000000001</v>
      </c>
      <c r="E1329" s="98">
        <v>1</v>
      </c>
      <c r="F1329" s="98" t="s">
        <v>13</v>
      </c>
      <c r="G1329" s="98" t="s">
        <v>12</v>
      </c>
      <c r="H1329" s="98">
        <v>4.4999999999999998E-2</v>
      </c>
      <c r="I1329" s="98">
        <v>1.0000100000000001</v>
      </c>
      <c r="J1329" s="98" t="s">
        <v>10</v>
      </c>
      <c r="K1329" s="98">
        <v>578.74</v>
      </c>
      <c r="L1329" s="98">
        <v>0.1605</v>
      </c>
      <c r="M1329" s="98">
        <v>578.73</v>
      </c>
      <c r="N1329" s="98">
        <v>0.15917999999999999</v>
      </c>
      <c r="O1329" s="99" t="s">
        <v>2734</v>
      </c>
    </row>
    <row r="1330" spans="1:15" x14ac:dyDescent="0.25">
      <c r="A1330" s="98" t="s">
        <v>54</v>
      </c>
      <c r="B1330" s="98" t="s">
        <v>61</v>
      </c>
      <c r="C1330" s="98">
        <v>11</v>
      </c>
      <c r="D1330" s="98">
        <v>30.001000000000001</v>
      </c>
      <c r="E1330" s="98">
        <v>1</v>
      </c>
      <c r="F1330" s="98" t="s">
        <v>13</v>
      </c>
      <c r="G1330" s="98" t="s">
        <v>12</v>
      </c>
      <c r="H1330" s="98">
        <v>0.01</v>
      </c>
      <c r="I1330" s="98">
        <v>4.5010000000000001E-2</v>
      </c>
      <c r="J1330" s="98" t="s">
        <v>10</v>
      </c>
      <c r="K1330" s="98">
        <v>577.67999999999995</v>
      </c>
      <c r="L1330" s="98">
        <v>0.29774</v>
      </c>
      <c r="M1330" s="98">
        <v>577.66</v>
      </c>
      <c r="N1330" s="98">
        <v>0.29630000000000001</v>
      </c>
      <c r="O1330" s="99" t="s">
        <v>2232</v>
      </c>
    </row>
    <row r="1331" spans="1:15" x14ac:dyDescent="0.25">
      <c r="A1331" s="98" t="s">
        <v>54</v>
      </c>
      <c r="B1331" s="98" t="s">
        <v>61</v>
      </c>
      <c r="C1331" s="98">
        <v>11</v>
      </c>
      <c r="D1331" s="98">
        <v>30.001000000000001</v>
      </c>
      <c r="E1331" s="98">
        <v>10</v>
      </c>
      <c r="F1331" s="98" t="s">
        <v>13</v>
      </c>
      <c r="G1331" s="98" t="s">
        <v>12</v>
      </c>
      <c r="H1331" s="98">
        <v>5</v>
      </c>
      <c r="I1331" s="98">
        <v>10</v>
      </c>
      <c r="J1331" s="98" t="s">
        <v>10</v>
      </c>
      <c r="K1331" s="98">
        <v>5776.7</v>
      </c>
      <c r="L1331" s="98">
        <v>3.2241</v>
      </c>
      <c r="M1331" s="98">
        <v>5776.7</v>
      </c>
      <c r="N1331" s="98">
        <v>3.2231000000000001</v>
      </c>
      <c r="O1331" s="99" t="s">
        <v>2235</v>
      </c>
    </row>
    <row r="1332" spans="1:15" x14ac:dyDescent="0.25">
      <c r="A1332" s="98" t="s">
        <v>54</v>
      </c>
      <c r="B1332" s="98" t="s">
        <v>61</v>
      </c>
      <c r="C1332" s="98">
        <v>11</v>
      </c>
      <c r="D1332" s="98">
        <v>30.001000000000001</v>
      </c>
      <c r="E1332" s="98">
        <v>10</v>
      </c>
      <c r="F1332" s="98" t="s">
        <v>13</v>
      </c>
      <c r="G1332" s="98" t="s">
        <v>12</v>
      </c>
      <c r="H1332" s="98">
        <v>10</v>
      </c>
      <c r="I1332" s="98">
        <v>10.01</v>
      </c>
      <c r="J1332" s="98" t="s">
        <v>10</v>
      </c>
      <c r="K1332" s="98">
        <v>5776.7</v>
      </c>
      <c r="L1332" s="98">
        <v>3.2241</v>
      </c>
      <c r="M1332" s="98">
        <v>5776.7</v>
      </c>
      <c r="N1332" s="98">
        <v>3.2231000000000001</v>
      </c>
      <c r="O1332" s="99" t="s">
        <v>2736</v>
      </c>
    </row>
    <row r="1333" spans="1:15" x14ac:dyDescent="0.25">
      <c r="A1333" s="98" t="s">
        <v>54</v>
      </c>
      <c r="B1333" s="98" t="s">
        <v>61</v>
      </c>
      <c r="C1333" s="98">
        <v>11</v>
      </c>
      <c r="D1333" s="98">
        <v>30.001000000000001</v>
      </c>
      <c r="E1333" s="98">
        <v>10</v>
      </c>
      <c r="F1333" s="98" t="s">
        <v>13</v>
      </c>
      <c r="G1333" s="98" t="s">
        <v>12</v>
      </c>
      <c r="H1333" s="98">
        <v>0.01</v>
      </c>
      <c r="I1333" s="98">
        <v>4.5010000000000001E-2</v>
      </c>
      <c r="J1333" s="98" t="s">
        <v>10</v>
      </c>
      <c r="K1333" s="98">
        <v>5799.8</v>
      </c>
      <c r="L1333" s="98">
        <v>3.0408000000000001E-2</v>
      </c>
      <c r="M1333" s="98">
        <v>5799.8</v>
      </c>
      <c r="N1333" s="98">
        <v>2.9818999999999998E-2</v>
      </c>
      <c r="O1333" s="99" t="s">
        <v>2735</v>
      </c>
    </row>
    <row r="1334" spans="1:15" x14ac:dyDescent="0.25">
      <c r="A1334" s="98" t="s">
        <v>54</v>
      </c>
      <c r="B1334" s="98" t="s">
        <v>61</v>
      </c>
      <c r="C1334" s="98">
        <v>11</v>
      </c>
      <c r="D1334" s="98">
        <v>30.001000000000001</v>
      </c>
      <c r="E1334" s="98">
        <v>10</v>
      </c>
      <c r="F1334" s="98" t="s">
        <v>13</v>
      </c>
      <c r="G1334" s="98" t="s">
        <v>12</v>
      </c>
      <c r="H1334" s="98">
        <v>1</v>
      </c>
      <c r="I1334" s="98">
        <v>5.01</v>
      </c>
      <c r="J1334" s="98" t="s">
        <v>10</v>
      </c>
      <c r="K1334" s="98">
        <v>5798.5</v>
      </c>
      <c r="L1334" s="98">
        <v>0.19808000000000001</v>
      </c>
      <c r="M1334" s="98">
        <v>5798.5</v>
      </c>
      <c r="N1334" s="98">
        <v>0.19750000000000001</v>
      </c>
      <c r="O1334" s="99" t="s">
        <v>2237</v>
      </c>
    </row>
    <row r="1335" spans="1:15" x14ac:dyDescent="0.25">
      <c r="A1335" s="98" t="s">
        <v>54</v>
      </c>
      <c r="B1335" s="98" t="s">
        <v>61</v>
      </c>
      <c r="C1335" s="98">
        <v>11</v>
      </c>
      <c r="D1335" s="98">
        <v>30.001000000000001</v>
      </c>
      <c r="E1335" s="98">
        <v>10</v>
      </c>
      <c r="F1335" s="98" t="s">
        <v>13</v>
      </c>
      <c r="G1335" s="98" t="s">
        <v>12</v>
      </c>
      <c r="H1335" s="98">
        <v>4.4999999999999998E-2</v>
      </c>
      <c r="I1335" s="98">
        <v>1.0000100000000001</v>
      </c>
      <c r="J1335" s="98" t="s">
        <v>10</v>
      </c>
      <c r="K1335" s="98">
        <v>5799.9</v>
      </c>
      <c r="L1335" s="98">
        <v>1.6507000000000001E-2</v>
      </c>
      <c r="M1335" s="98">
        <v>5799.9</v>
      </c>
      <c r="N1335" s="98">
        <v>1.5972E-2</v>
      </c>
      <c r="O1335" s="99" t="s">
        <v>2236</v>
      </c>
    </row>
    <row r="1336" spans="1:15" x14ac:dyDescent="0.25">
      <c r="A1336" s="98" t="s">
        <v>54</v>
      </c>
      <c r="B1336" s="98" t="s">
        <v>61</v>
      </c>
      <c r="C1336" s="98">
        <v>30</v>
      </c>
      <c r="D1336" s="98">
        <v>110.01</v>
      </c>
      <c r="E1336" s="98">
        <v>0.01</v>
      </c>
      <c r="F1336" s="98" t="s">
        <v>13</v>
      </c>
      <c r="G1336" s="98" t="s">
        <v>12</v>
      </c>
      <c r="H1336" s="98">
        <v>1</v>
      </c>
      <c r="I1336" s="98">
        <v>5</v>
      </c>
      <c r="J1336" s="98" t="s">
        <v>10</v>
      </c>
      <c r="K1336" s="98">
        <v>24</v>
      </c>
      <c r="L1336" s="98">
        <v>35</v>
      </c>
      <c r="M1336" s="98">
        <v>23.064</v>
      </c>
      <c r="N1336" s="98">
        <v>34.698999999999998</v>
      </c>
      <c r="O1336" s="99" t="s">
        <v>2238</v>
      </c>
    </row>
    <row r="1337" spans="1:15" x14ac:dyDescent="0.25">
      <c r="A1337" s="98" t="s">
        <v>54</v>
      </c>
      <c r="B1337" s="98" t="s">
        <v>61</v>
      </c>
      <c r="C1337" s="98">
        <v>30</v>
      </c>
      <c r="D1337" s="98">
        <v>110.01</v>
      </c>
      <c r="E1337" s="98">
        <v>0.01</v>
      </c>
      <c r="F1337" s="98" t="s">
        <v>13</v>
      </c>
      <c r="G1337" s="98" t="s">
        <v>12</v>
      </c>
      <c r="H1337" s="98">
        <v>0.1</v>
      </c>
      <c r="I1337" s="98">
        <v>1.0000100000000001</v>
      </c>
      <c r="J1337" s="98" t="s">
        <v>10</v>
      </c>
      <c r="K1337" s="98">
        <v>15</v>
      </c>
      <c r="L1337" s="98">
        <v>2.2999999999999998</v>
      </c>
      <c r="M1337" s="98">
        <v>14.872</v>
      </c>
      <c r="N1337" s="98">
        <v>2.2866</v>
      </c>
      <c r="O1337" s="99" t="s">
        <v>2240</v>
      </c>
    </row>
    <row r="1338" spans="1:15" x14ac:dyDescent="0.25">
      <c r="A1338" s="98" t="s">
        <v>54</v>
      </c>
      <c r="B1338" s="98" t="s">
        <v>61</v>
      </c>
      <c r="C1338" s="98">
        <v>30</v>
      </c>
      <c r="D1338" s="98">
        <v>110.01</v>
      </c>
      <c r="E1338" s="98">
        <v>0.01</v>
      </c>
      <c r="F1338" s="98" t="s">
        <v>13</v>
      </c>
      <c r="G1338" s="98" t="s">
        <v>12</v>
      </c>
      <c r="H1338" s="98">
        <v>4.4999999999999998E-2</v>
      </c>
      <c r="I1338" s="98">
        <v>0.10001</v>
      </c>
      <c r="J1338" s="98" t="s">
        <v>10</v>
      </c>
      <c r="K1338" s="98">
        <v>12</v>
      </c>
      <c r="L1338" s="98">
        <v>2.1</v>
      </c>
      <c r="M1338" s="98">
        <v>11.984</v>
      </c>
      <c r="N1338" s="98">
        <v>2.0859999999999999</v>
      </c>
      <c r="O1338" s="99" t="s">
        <v>2239</v>
      </c>
    </row>
    <row r="1339" spans="1:15" x14ac:dyDescent="0.25">
      <c r="A1339" s="98" t="s">
        <v>54</v>
      </c>
      <c r="B1339" s="98" t="s">
        <v>61</v>
      </c>
      <c r="C1339" s="98">
        <v>30</v>
      </c>
      <c r="D1339" s="98">
        <v>110.01</v>
      </c>
      <c r="E1339" s="98">
        <v>0.01</v>
      </c>
      <c r="F1339" s="98" t="s">
        <v>13</v>
      </c>
      <c r="G1339" s="98" t="s">
        <v>12</v>
      </c>
      <c r="H1339" s="98">
        <v>5</v>
      </c>
      <c r="I1339" s="98">
        <v>5.01</v>
      </c>
      <c r="J1339" s="98" t="s">
        <v>10</v>
      </c>
      <c r="K1339" s="98">
        <v>24</v>
      </c>
      <c r="L1339" s="98">
        <v>35</v>
      </c>
      <c r="M1339" s="98">
        <v>23.064</v>
      </c>
      <c r="N1339" s="98">
        <v>34.698999999999998</v>
      </c>
      <c r="O1339" s="99" t="s">
        <v>2241</v>
      </c>
    </row>
    <row r="1340" spans="1:15" x14ac:dyDescent="0.25">
      <c r="A1340" s="98" t="s">
        <v>54</v>
      </c>
      <c r="B1340" s="98" t="s">
        <v>61</v>
      </c>
      <c r="C1340" s="98">
        <v>30</v>
      </c>
      <c r="D1340" s="98">
        <v>110.01</v>
      </c>
      <c r="E1340" s="98">
        <v>0.1</v>
      </c>
      <c r="F1340" s="98" t="s">
        <v>13</v>
      </c>
      <c r="G1340" s="98" t="s">
        <v>12</v>
      </c>
      <c r="H1340" s="98">
        <v>0.1</v>
      </c>
      <c r="I1340" s="98">
        <v>1.0000100000000001</v>
      </c>
      <c r="J1340" s="98" t="s">
        <v>10</v>
      </c>
      <c r="K1340" s="98">
        <v>37.347999999999999</v>
      </c>
      <c r="L1340" s="98">
        <v>2.1392000000000002</v>
      </c>
      <c r="M1340" s="98">
        <v>37.319000000000003</v>
      </c>
      <c r="N1340" s="98">
        <v>2.1387</v>
      </c>
      <c r="O1340" s="99" t="s">
        <v>2242</v>
      </c>
    </row>
    <row r="1341" spans="1:15" x14ac:dyDescent="0.25">
      <c r="A1341" s="98" t="s">
        <v>54</v>
      </c>
      <c r="B1341" s="98" t="s">
        <v>61</v>
      </c>
      <c r="C1341" s="98">
        <v>30</v>
      </c>
      <c r="D1341" s="98">
        <v>110.01</v>
      </c>
      <c r="E1341" s="98">
        <v>0.1</v>
      </c>
      <c r="F1341" s="98" t="s">
        <v>13</v>
      </c>
      <c r="G1341" s="98" t="s">
        <v>12</v>
      </c>
      <c r="H1341" s="98">
        <v>5</v>
      </c>
      <c r="I1341" s="98">
        <v>5.01</v>
      </c>
      <c r="J1341" s="98" t="s">
        <v>10</v>
      </c>
      <c r="K1341" s="98">
        <v>24</v>
      </c>
      <c r="L1341" s="98">
        <v>35</v>
      </c>
      <c r="M1341" s="98">
        <v>25.111999999999998</v>
      </c>
      <c r="N1341" s="98">
        <v>34.683999999999997</v>
      </c>
      <c r="O1341" s="99" t="s">
        <v>2245</v>
      </c>
    </row>
    <row r="1342" spans="1:15" x14ac:dyDescent="0.25">
      <c r="A1342" s="98" t="s">
        <v>54</v>
      </c>
      <c r="B1342" s="98" t="s">
        <v>61</v>
      </c>
      <c r="C1342" s="98">
        <v>30</v>
      </c>
      <c r="D1342" s="98">
        <v>110.01</v>
      </c>
      <c r="E1342" s="98">
        <v>0.1</v>
      </c>
      <c r="F1342" s="98" t="s">
        <v>13</v>
      </c>
      <c r="G1342" s="98" t="s">
        <v>12</v>
      </c>
      <c r="H1342" s="98">
        <v>1</v>
      </c>
      <c r="I1342" s="98">
        <v>5</v>
      </c>
      <c r="J1342" s="98" t="s">
        <v>10</v>
      </c>
      <c r="K1342" s="98">
        <v>24</v>
      </c>
      <c r="L1342" s="98">
        <v>35</v>
      </c>
      <c r="M1342" s="98">
        <v>25.111999999999998</v>
      </c>
      <c r="N1342" s="98">
        <v>34.683999999999997</v>
      </c>
      <c r="O1342" s="99" t="s">
        <v>2244</v>
      </c>
    </row>
    <row r="1343" spans="1:15" x14ac:dyDescent="0.25">
      <c r="A1343" s="98" t="s">
        <v>54</v>
      </c>
      <c r="B1343" s="98" t="s">
        <v>61</v>
      </c>
      <c r="C1343" s="98">
        <v>30</v>
      </c>
      <c r="D1343" s="98">
        <v>110.01</v>
      </c>
      <c r="E1343" s="98">
        <v>0.1</v>
      </c>
      <c r="F1343" s="98" t="s">
        <v>13</v>
      </c>
      <c r="G1343" s="98" t="s">
        <v>12</v>
      </c>
      <c r="H1343" s="98">
        <v>4.4999999999999998E-2</v>
      </c>
      <c r="I1343" s="98">
        <v>0.10001</v>
      </c>
      <c r="J1343" s="98" t="s">
        <v>10</v>
      </c>
      <c r="K1343" s="98">
        <v>36.579000000000001</v>
      </c>
      <c r="L1343" s="98">
        <v>1.9251</v>
      </c>
      <c r="M1343" s="98">
        <v>36.551000000000002</v>
      </c>
      <c r="N1343" s="98">
        <v>1.9245000000000001</v>
      </c>
      <c r="O1343" s="99" t="s">
        <v>2243</v>
      </c>
    </row>
    <row r="1344" spans="1:15" x14ac:dyDescent="0.25">
      <c r="A1344" s="98" t="s">
        <v>54</v>
      </c>
      <c r="B1344" s="98" t="s">
        <v>61</v>
      </c>
      <c r="C1344" s="98">
        <v>30</v>
      </c>
      <c r="D1344" s="98">
        <v>110.01</v>
      </c>
      <c r="E1344" s="98">
        <v>1</v>
      </c>
      <c r="F1344" s="98" t="s">
        <v>13</v>
      </c>
      <c r="G1344" s="98" t="s">
        <v>12</v>
      </c>
      <c r="H1344" s="98">
        <v>5</v>
      </c>
      <c r="I1344" s="98">
        <v>5.01</v>
      </c>
      <c r="J1344" s="98" t="s">
        <v>10</v>
      </c>
      <c r="K1344" s="98">
        <v>210.04</v>
      </c>
      <c r="L1344" s="98">
        <v>33.396000000000001</v>
      </c>
      <c r="M1344" s="98">
        <v>210.02</v>
      </c>
      <c r="N1344" s="98">
        <v>33.395000000000003</v>
      </c>
      <c r="O1344" s="99" t="s">
        <v>2248</v>
      </c>
    </row>
    <row r="1345" spans="1:15" x14ac:dyDescent="0.25">
      <c r="A1345" s="98" t="s">
        <v>54</v>
      </c>
      <c r="B1345" s="98" t="s">
        <v>61</v>
      </c>
      <c r="C1345" s="98">
        <v>30</v>
      </c>
      <c r="D1345" s="98">
        <v>110.01</v>
      </c>
      <c r="E1345" s="98">
        <v>1</v>
      </c>
      <c r="F1345" s="98" t="s">
        <v>13</v>
      </c>
      <c r="G1345" s="98" t="s">
        <v>12</v>
      </c>
      <c r="H1345" s="98">
        <v>1</v>
      </c>
      <c r="I1345" s="98">
        <v>5</v>
      </c>
      <c r="J1345" s="98" t="s">
        <v>10</v>
      </c>
      <c r="K1345" s="98">
        <v>210.04</v>
      </c>
      <c r="L1345" s="98">
        <v>33.396000000000001</v>
      </c>
      <c r="M1345" s="98">
        <v>210.02</v>
      </c>
      <c r="N1345" s="98">
        <v>33.395000000000003</v>
      </c>
      <c r="O1345" s="99" t="s">
        <v>2247</v>
      </c>
    </row>
    <row r="1346" spans="1:15" x14ac:dyDescent="0.25">
      <c r="A1346" s="98" t="s">
        <v>54</v>
      </c>
      <c r="B1346" s="98" t="s">
        <v>61</v>
      </c>
      <c r="C1346" s="98">
        <v>30</v>
      </c>
      <c r="D1346" s="98">
        <v>110.01</v>
      </c>
      <c r="E1346" s="98">
        <v>1</v>
      </c>
      <c r="F1346" s="98" t="s">
        <v>13</v>
      </c>
      <c r="G1346" s="98" t="s">
        <v>12</v>
      </c>
      <c r="H1346" s="98">
        <v>0.1</v>
      </c>
      <c r="I1346" s="98">
        <v>1.0000100000000001</v>
      </c>
      <c r="J1346" s="98" t="s">
        <v>10</v>
      </c>
      <c r="K1346" s="98">
        <v>566.33000000000004</v>
      </c>
      <c r="L1346" s="98">
        <v>0.65491999999999995</v>
      </c>
      <c r="M1346" s="98">
        <v>566.34</v>
      </c>
      <c r="N1346" s="98">
        <v>0.65351000000000004</v>
      </c>
      <c r="O1346" s="99" t="s">
        <v>2249</v>
      </c>
    </row>
    <row r="1347" spans="1:15" x14ac:dyDescent="0.25">
      <c r="A1347" s="98" t="s">
        <v>54</v>
      </c>
      <c r="B1347" s="98" t="s">
        <v>61</v>
      </c>
      <c r="C1347" s="98">
        <v>30</v>
      </c>
      <c r="D1347" s="98">
        <v>110.01</v>
      </c>
      <c r="E1347" s="98">
        <v>1</v>
      </c>
      <c r="F1347" s="98" t="s">
        <v>13</v>
      </c>
      <c r="G1347" s="98" t="s">
        <v>12</v>
      </c>
      <c r="H1347" s="98">
        <v>4.4999999999999998E-2</v>
      </c>
      <c r="I1347" s="98">
        <v>0.10001</v>
      </c>
      <c r="J1347" s="98" t="s">
        <v>10</v>
      </c>
      <c r="K1347" s="98">
        <v>568.42999999999995</v>
      </c>
      <c r="L1347" s="98">
        <v>0.54491000000000001</v>
      </c>
      <c r="M1347" s="98">
        <v>568.44000000000005</v>
      </c>
      <c r="N1347" s="98">
        <v>0.54347000000000001</v>
      </c>
      <c r="O1347" s="99" t="s">
        <v>2246</v>
      </c>
    </row>
    <row r="1348" spans="1:15" x14ac:dyDescent="0.25">
      <c r="A1348" s="98" t="s">
        <v>54</v>
      </c>
      <c r="B1348" s="98" t="s">
        <v>61</v>
      </c>
      <c r="C1348" s="98">
        <v>30</v>
      </c>
      <c r="D1348" s="98">
        <v>110.01</v>
      </c>
      <c r="E1348" s="98">
        <v>10</v>
      </c>
      <c r="F1348" s="98" t="s">
        <v>13</v>
      </c>
      <c r="G1348" s="98" t="s">
        <v>12</v>
      </c>
      <c r="H1348" s="98">
        <v>1</v>
      </c>
      <c r="I1348" s="98">
        <v>5</v>
      </c>
      <c r="J1348" s="98" t="s">
        <v>10</v>
      </c>
      <c r="K1348" s="98">
        <v>5499.6</v>
      </c>
      <c r="L1348" s="98">
        <v>13.241</v>
      </c>
      <c r="M1348" s="98">
        <v>5499.7</v>
      </c>
      <c r="N1348" s="98">
        <v>13.239000000000001</v>
      </c>
      <c r="O1348" s="99" t="s">
        <v>2252</v>
      </c>
    </row>
    <row r="1349" spans="1:15" x14ac:dyDescent="0.25">
      <c r="A1349" s="98" t="s">
        <v>54</v>
      </c>
      <c r="B1349" s="98" t="s">
        <v>61</v>
      </c>
      <c r="C1349" s="98">
        <v>30</v>
      </c>
      <c r="D1349" s="98">
        <v>110.01</v>
      </c>
      <c r="E1349" s="98">
        <v>10</v>
      </c>
      <c r="F1349" s="98" t="s">
        <v>13</v>
      </c>
      <c r="G1349" s="98" t="s">
        <v>12</v>
      </c>
      <c r="H1349" s="98">
        <v>0.1</v>
      </c>
      <c r="I1349" s="98">
        <v>1.0000100000000001</v>
      </c>
      <c r="J1349" s="98" t="s">
        <v>10</v>
      </c>
      <c r="K1349" s="98">
        <v>5798.5</v>
      </c>
      <c r="L1349" s="98">
        <v>6.9560999999999998E-2</v>
      </c>
      <c r="M1349" s="98">
        <v>5798.5</v>
      </c>
      <c r="N1349" s="98">
        <v>6.8926000000000001E-2</v>
      </c>
      <c r="O1349" s="99" t="s">
        <v>2737</v>
      </c>
    </row>
    <row r="1350" spans="1:15" x14ac:dyDescent="0.25">
      <c r="A1350" s="98" t="s">
        <v>54</v>
      </c>
      <c r="B1350" s="98" t="s">
        <v>61</v>
      </c>
      <c r="C1350" s="98">
        <v>30</v>
      </c>
      <c r="D1350" s="98">
        <v>110.01</v>
      </c>
      <c r="E1350" s="98">
        <v>10</v>
      </c>
      <c r="F1350" s="98" t="s">
        <v>13</v>
      </c>
      <c r="G1350" s="98" t="s">
        <v>12</v>
      </c>
      <c r="H1350" s="98">
        <v>5</v>
      </c>
      <c r="I1350" s="98">
        <v>5.01</v>
      </c>
      <c r="J1350" s="98" t="s">
        <v>10</v>
      </c>
      <c r="K1350" s="98">
        <v>5499.6</v>
      </c>
      <c r="L1350" s="98">
        <v>13.241</v>
      </c>
      <c r="M1350" s="98">
        <v>5499.7</v>
      </c>
      <c r="N1350" s="98">
        <v>13.239000000000001</v>
      </c>
      <c r="O1350" s="99" t="s">
        <v>2251</v>
      </c>
    </row>
    <row r="1351" spans="1:15" x14ac:dyDescent="0.25">
      <c r="A1351" s="98" t="s">
        <v>54</v>
      </c>
      <c r="B1351" s="98" t="s">
        <v>61</v>
      </c>
      <c r="C1351" s="98">
        <v>30</v>
      </c>
      <c r="D1351" s="98">
        <v>110.01</v>
      </c>
      <c r="E1351" s="98">
        <v>10</v>
      </c>
      <c r="F1351" s="98" t="s">
        <v>13</v>
      </c>
      <c r="G1351" s="98" t="s">
        <v>12</v>
      </c>
      <c r="H1351" s="98">
        <v>4.4999999999999998E-2</v>
      </c>
      <c r="I1351" s="98">
        <v>0.10001</v>
      </c>
      <c r="J1351" s="98" t="s">
        <v>10</v>
      </c>
      <c r="K1351" s="98">
        <v>5798.8</v>
      </c>
      <c r="L1351" s="98">
        <v>5.7436000000000001E-2</v>
      </c>
      <c r="M1351" s="98">
        <v>5798.8</v>
      </c>
      <c r="N1351" s="98">
        <v>5.6800999999999997E-2</v>
      </c>
      <c r="O1351" s="99" t="s">
        <v>2250</v>
      </c>
    </row>
    <row r="1352" spans="1:15" x14ac:dyDescent="0.25">
      <c r="A1352" s="98" t="s">
        <v>54</v>
      </c>
      <c r="B1352" s="98" t="s">
        <v>61</v>
      </c>
      <c r="C1352" s="98">
        <v>30</v>
      </c>
      <c r="D1352" s="98">
        <v>110.01</v>
      </c>
      <c r="E1352" s="98">
        <v>100</v>
      </c>
      <c r="F1352" s="98" t="s">
        <v>13</v>
      </c>
      <c r="G1352" s="98" t="s">
        <v>12</v>
      </c>
      <c r="H1352" s="98">
        <v>0.1</v>
      </c>
      <c r="I1352" s="98">
        <v>1.0000100000000001</v>
      </c>
      <c r="J1352" s="98" t="s">
        <v>10</v>
      </c>
      <c r="K1352" s="98">
        <v>58000</v>
      </c>
      <c r="L1352" s="98">
        <v>7.1509E-3</v>
      </c>
      <c r="M1352" s="98">
        <v>58000</v>
      </c>
      <c r="N1352" s="98">
        <v>6.8966000000000001E-3</v>
      </c>
      <c r="O1352" s="99" t="s">
        <v>2254</v>
      </c>
    </row>
    <row r="1353" spans="1:15" x14ac:dyDescent="0.25">
      <c r="A1353" s="98" t="s">
        <v>54</v>
      </c>
      <c r="B1353" s="98" t="s">
        <v>61</v>
      </c>
      <c r="C1353" s="98">
        <v>30</v>
      </c>
      <c r="D1353" s="98">
        <v>110.01</v>
      </c>
      <c r="E1353" s="98">
        <v>100</v>
      </c>
      <c r="F1353" s="98" t="s">
        <v>13</v>
      </c>
      <c r="G1353" s="98" t="s">
        <v>12</v>
      </c>
      <c r="H1353" s="98">
        <v>4.4999999999999998E-2</v>
      </c>
      <c r="I1353" s="98">
        <v>0.10001</v>
      </c>
      <c r="J1353" s="98" t="s">
        <v>10</v>
      </c>
      <c r="K1353" s="98">
        <v>58000</v>
      </c>
      <c r="L1353" s="98">
        <v>5.9370999999999998E-3</v>
      </c>
      <c r="M1353" s="98">
        <v>58000</v>
      </c>
      <c r="N1353" s="98">
        <v>5.6828E-3</v>
      </c>
      <c r="O1353" s="99" t="s">
        <v>2253</v>
      </c>
    </row>
    <row r="1354" spans="1:15" x14ac:dyDescent="0.25">
      <c r="A1354" s="98" t="s">
        <v>54</v>
      </c>
      <c r="B1354" s="98" t="s">
        <v>61</v>
      </c>
      <c r="C1354" s="98">
        <v>30</v>
      </c>
      <c r="D1354" s="98">
        <v>110.01</v>
      </c>
      <c r="E1354" s="98">
        <v>100</v>
      </c>
      <c r="F1354" s="98" t="s">
        <v>13</v>
      </c>
      <c r="G1354" s="98" t="s">
        <v>12</v>
      </c>
      <c r="H1354" s="98">
        <v>1</v>
      </c>
      <c r="I1354" s="98">
        <v>5</v>
      </c>
      <c r="J1354" s="98" t="s">
        <v>10</v>
      </c>
      <c r="K1354" s="98">
        <v>57966</v>
      </c>
      <c r="L1354" s="98">
        <v>1.4661</v>
      </c>
      <c r="M1354" s="98">
        <v>57966</v>
      </c>
      <c r="N1354" s="98">
        <v>1.4652000000000001</v>
      </c>
      <c r="O1354" s="99" t="s">
        <v>2738</v>
      </c>
    </row>
    <row r="1355" spans="1:15" x14ac:dyDescent="0.25">
      <c r="A1355" s="98" t="s">
        <v>54</v>
      </c>
      <c r="B1355" s="98" t="s">
        <v>61</v>
      </c>
      <c r="C1355" s="98">
        <v>30</v>
      </c>
      <c r="D1355" s="98">
        <v>110.01</v>
      </c>
      <c r="E1355" s="98">
        <v>100</v>
      </c>
      <c r="F1355" s="98" t="s">
        <v>13</v>
      </c>
      <c r="G1355" s="98" t="s">
        <v>12</v>
      </c>
      <c r="H1355" s="98">
        <v>5</v>
      </c>
      <c r="I1355" s="98">
        <v>5.01</v>
      </c>
      <c r="J1355" s="98" t="s">
        <v>10</v>
      </c>
      <c r="K1355" s="98">
        <v>57966</v>
      </c>
      <c r="L1355" s="98">
        <v>1.4661</v>
      </c>
      <c r="M1355" s="98">
        <v>57966</v>
      </c>
      <c r="N1355" s="98">
        <v>1.4652000000000001</v>
      </c>
      <c r="O1355" s="99" t="s">
        <v>2739</v>
      </c>
    </row>
    <row r="1356" spans="1:15" x14ac:dyDescent="0.25">
      <c r="A1356" s="98" t="s">
        <v>54</v>
      </c>
      <c r="B1356" s="98" t="s">
        <v>61</v>
      </c>
      <c r="C1356" s="98">
        <v>110</v>
      </c>
      <c r="D1356" s="98">
        <v>205.01</v>
      </c>
      <c r="E1356" s="98">
        <v>0.01</v>
      </c>
      <c r="F1356" s="98" t="s">
        <v>13</v>
      </c>
      <c r="G1356" s="98" t="s">
        <v>12</v>
      </c>
      <c r="H1356" s="98">
        <v>0.1</v>
      </c>
      <c r="I1356" s="98">
        <v>1.0000100000000001</v>
      </c>
      <c r="J1356" s="98" t="s">
        <v>10</v>
      </c>
      <c r="K1356" s="98">
        <v>49</v>
      </c>
      <c r="L1356" s="98">
        <v>2.6</v>
      </c>
      <c r="M1356" s="98">
        <v>42.201999999999998</v>
      </c>
      <c r="N1356" s="98">
        <v>2.6324000000000001</v>
      </c>
      <c r="O1356" s="99" t="s">
        <v>2740</v>
      </c>
    </row>
    <row r="1357" spans="1:15" x14ac:dyDescent="0.25">
      <c r="A1357" s="98" t="s">
        <v>54</v>
      </c>
      <c r="B1357" s="98" t="s">
        <v>61</v>
      </c>
      <c r="C1357" s="98">
        <v>110</v>
      </c>
      <c r="D1357" s="98">
        <v>205.01</v>
      </c>
      <c r="E1357" s="98">
        <v>0.01</v>
      </c>
      <c r="F1357" s="98" t="s">
        <v>13</v>
      </c>
      <c r="G1357" s="98" t="s">
        <v>12</v>
      </c>
      <c r="H1357" s="98">
        <v>5</v>
      </c>
      <c r="I1357" s="98">
        <v>5.01</v>
      </c>
      <c r="J1357" s="98" t="s">
        <v>10</v>
      </c>
      <c r="K1357" s="98">
        <v>58</v>
      </c>
      <c r="L1357" s="98">
        <v>35</v>
      </c>
      <c r="M1357" s="98">
        <v>57.612000000000002</v>
      </c>
      <c r="N1357" s="98">
        <v>34.698999999999998</v>
      </c>
      <c r="O1357" s="99" t="s">
        <v>2255</v>
      </c>
    </row>
    <row r="1358" spans="1:15" x14ac:dyDescent="0.25">
      <c r="A1358" s="98" t="s">
        <v>54</v>
      </c>
      <c r="B1358" s="98" t="s">
        <v>61</v>
      </c>
      <c r="C1358" s="98">
        <v>110</v>
      </c>
      <c r="D1358" s="98">
        <v>205.01</v>
      </c>
      <c r="E1358" s="98">
        <v>0.01</v>
      </c>
      <c r="F1358" s="98" t="s">
        <v>13</v>
      </c>
      <c r="G1358" s="98" t="s">
        <v>12</v>
      </c>
      <c r="H1358" s="98">
        <v>4.4999999999999998E-2</v>
      </c>
      <c r="I1358" s="98">
        <v>0.10001</v>
      </c>
      <c r="J1358" s="98" t="s">
        <v>10</v>
      </c>
      <c r="K1358" s="98">
        <v>42</v>
      </c>
      <c r="L1358" s="98">
        <v>2.4</v>
      </c>
      <c r="M1358" s="98">
        <v>38.552999999999997</v>
      </c>
      <c r="N1358" s="98">
        <v>2.4159000000000002</v>
      </c>
      <c r="O1358" s="99" t="s">
        <v>2256</v>
      </c>
    </row>
    <row r="1359" spans="1:15" x14ac:dyDescent="0.25">
      <c r="A1359" s="98" t="s">
        <v>54</v>
      </c>
      <c r="B1359" s="98" t="s">
        <v>61</v>
      </c>
      <c r="C1359" s="98">
        <v>110</v>
      </c>
      <c r="D1359" s="98">
        <v>205.01</v>
      </c>
      <c r="E1359" s="98">
        <v>0.01</v>
      </c>
      <c r="F1359" s="98" t="s">
        <v>13</v>
      </c>
      <c r="G1359" s="98" t="s">
        <v>12</v>
      </c>
      <c r="H1359" s="98">
        <v>1</v>
      </c>
      <c r="I1359" s="98">
        <v>5</v>
      </c>
      <c r="J1359" s="98" t="s">
        <v>10</v>
      </c>
      <c r="K1359" s="98">
        <v>58</v>
      </c>
      <c r="L1359" s="98">
        <v>35</v>
      </c>
      <c r="M1359" s="98">
        <v>57.612000000000002</v>
      </c>
      <c r="N1359" s="98">
        <v>34.698999999999998</v>
      </c>
      <c r="O1359" s="99" t="s">
        <v>2741</v>
      </c>
    </row>
    <row r="1360" spans="1:15" x14ac:dyDescent="0.25">
      <c r="A1360" s="98" t="s">
        <v>54</v>
      </c>
      <c r="B1360" s="98" t="s">
        <v>61</v>
      </c>
      <c r="C1360" s="98">
        <v>110</v>
      </c>
      <c r="D1360" s="98">
        <v>205.01</v>
      </c>
      <c r="E1360" s="98">
        <v>0.1</v>
      </c>
      <c r="F1360" s="98" t="s">
        <v>13</v>
      </c>
      <c r="G1360" s="98" t="s">
        <v>12</v>
      </c>
      <c r="H1360" s="98">
        <v>0.1</v>
      </c>
      <c r="I1360" s="98">
        <v>1.0000100000000001</v>
      </c>
      <c r="J1360" s="98" t="s">
        <v>10</v>
      </c>
      <c r="K1360" s="98">
        <v>49.765000000000001</v>
      </c>
      <c r="L1360" s="98">
        <v>2.6107999999999998</v>
      </c>
      <c r="M1360" s="98">
        <v>49.649000000000001</v>
      </c>
      <c r="N1360" s="98">
        <v>2.61</v>
      </c>
      <c r="O1360" s="99" t="s">
        <v>2742</v>
      </c>
    </row>
    <row r="1361" spans="1:15" x14ac:dyDescent="0.25">
      <c r="A1361" s="98" t="s">
        <v>54</v>
      </c>
      <c r="B1361" s="98" t="s">
        <v>61</v>
      </c>
      <c r="C1361" s="98">
        <v>110</v>
      </c>
      <c r="D1361" s="98">
        <v>205.01</v>
      </c>
      <c r="E1361" s="98">
        <v>0.1</v>
      </c>
      <c r="F1361" s="98" t="s">
        <v>13</v>
      </c>
      <c r="G1361" s="98" t="s">
        <v>12</v>
      </c>
      <c r="H1361" s="98">
        <v>4.4999999999999998E-2</v>
      </c>
      <c r="I1361" s="98">
        <v>0.10001</v>
      </c>
      <c r="J1361" s="98" t="s">
        <v>10</v>
      </c>
      <c r="K1361" s="98">
        <v>46.786999999999999</v>
      </c>
      <c r="L1361" s="98">
        <v>2.3923999999999999</v>
      </c>
      <c r="M1361" s="98">
        <v>46.65</v>
      </c>
      <c r="N1361" s="98">
        <v>2.3915999999999999</v>
      </c>
      <c r="O1361" s="99" t="s">
        <v>2258</v>
      </c>
    </row>
    <row r="1362" spans="1:15" x14ac:dyDescent="0.25">
      <c r="A1362" s="98" t="s">
        <v>54</v>
      </c>
      <c r="B1362" s="98" t="s">
        <v>61</v>
      </c>
      <c r="C1362" s="98">
        <v>110</v>
      </c>
      <c r="D1362" s="98">
        <v>205.01</v>
      </c>
      <c r="E1362" s="98">
        <v>0.1</v>
      </c>
      <c r="F1362" s="98" t="s">
        <v>13</v>
      </c>
      <c r="G1362" s="98" t="s">
        <v>12</v>
      </c>
      <c r="H1362" s="98">
        <v>5</v>
      </c>
      <c r="I1362" s="98">
        <v>5.01</v>
      </c>
      <c r="J1362" s="98" t="s">
        <v>10</v>
      </c>
      <c r="K1362" s="98">
        <v>58</v>
      </c>
      <c r="L1362" s="98">
        <v>35</v>
      </c>
      <c r="M1362" s="98">
        <v>58.262</v>
      </c>
      <c r="N1362" s="98">
        <v>34.697000000000003</v>
      </c>
      <c r="O1362" s="99" t="s">
        <v>2743</v>
      </c>
    </row>
    <row r="1363" spans="1:15" x14ac:dyDescent="0.25">
      <c r="A1363" s="98" t="s">
        <v>54</v>
      </c>
      <c r="B1363" s="98" t="s">
        <v>61</v>
      </c>
      <c r="C1363" s="98">
        <v>110</v>
      </c>
      <c r="D1363" s="98">
        <v>205.01</v>
      </c>
      <c r="E1363" s="98">
        <v>0.1</v>
      </c>
      <c r="F1363" s="98" t="s">
        <v>13</v>
      </c>
      <c r="G1363" s="98" t="s">
        <v>12</v>
      </c>
      <c r="H1363" s="98">
        <v>1</v>
      </c>
      <c r="I1363" s="98">
        <v>5</v>
      </c>
      <c r="J1363" s="98" t="s">
        <v>10</v>
      </c>
      <c r="K1363" s="98">
        <v>58</v>
      </c>
      <c r="L1363" s="98">
        <v>35</v>
      </c>
      <c r="M1363" s="98">
        <v>58.262</v>
      </c>
      <c r="N1363" s="98">
        <v>34.697000000000003</v>
      </c>
      <c r="O1363" s="99" t="s">
        <v>2257</v>
      </c>
    </row>
    <row r="1364" spans="1:15" x14ac:dyDescent="0.25">
      <c r="A1364" s="98" t="s">
        <v>54</v>
      </c>
      <c r="B1364" s="98" t="s">
        <v>61</v>
      </c>
      <c r="C1364" s="98">
        <v>110</v>
      </c>
      <c r="D1364" s="98">
        <v>205.01</v>
      </c>
      <c r="E1364" s="98">
        <v>1</v>
      </c>
      <c r="F1364" s="98" t="s">
        <v>13</v>
      </c>
      <c r="G1364" s="98" t="s">
        <v>12</v>
      </c>
      <c r="H1364" s="98">
        <v>0.1</v>
      </c>
      <c r="I1364" s="98">
        <v>1.0000100000000001</v>
      </c>
      <c r="J1364" s="98" t="s">
        <v>10</v>
      </c>
      <c r="K1364" s="98">
        <v>490.55</v>
      </c>
      <c r="L1364" s="98">
        <v>1.6184000000000001</v>
      </c>
      <c r="M1364" s="98">
        <v>490.58</v>
      </c>
      <c r="N1364" s="98">
        <v>1.6144000000000001</v>
      </c>
      <c r="O1364" s="99" t="s">
        <v>2261</v>
      </c>
    </row>
    <row r="1365" spans="1:15" x14ac:dyDescent="0.25">
      <c r="A1365" s="98" t="s">
        <v>54</v>
      </c>
      <c r="B1365" s="98" t="s">
        <v>61</v>
      </c>
      <c r="C1365" s="98">
        <v>110</v>
      </c>
      <c r="D1365" s="98">
        <v>205.01</v>
      </c>
      <c r="E1365" s="98">
        <v>1</v>
      </c>
      <c r="F1365" s="98" t="s">
        <v>13</v>
      </c>
      <c r="G1365" s="98" t="s">
        <v>12</v>
      </c>
      <c r="H1365" s="98">
        <v>1</v>
      </c>
      <c r="I1365" s="98">
        <v>5</v>
      </c>
      <c r="J1365" s="98" t="s">
        <v>10</v>
      </c>
      <c r="K1365" s="98">
        <v>79.069999999999993</v>
      </c>
      <c r="L1365" s="98">
        <v>34.896999999999998</v>
      </c>
      <c r="M1365" s="98">
        <v>123.66</v>
      </c>
      <c r="N1365" s="98">
        <v>34.491</v>
      </c>
      <c r="O1365" s="99" t="s">
        <v>2262</v>
      </c>
    </row>
    <row r="1366" spans="1:15" x14ac:dyDescent="0.25">
      <c r="A1366" s="98" t="s">
        <v>54</v>
      </c>
      <c r="B1366" s="98" t="s">
        <v>61</v>
      </c>
      <c r="C1366" s="98">
        <v>110</v>
      </c>
      <c r="D1366" s="98">
        <v>205.01</v>
      </c>
      <c r="E1366" s="98">
        <v>1</v>
      </c>
      <c r="F1366" s="98" t="s">
        <v>13</v>
      </c>
      <c r="G1366" s="98" t="s">
        <v>12</v>
      </c>
      <c r="H1366" s="98">
        <v>4.4999999999999998E-2</v>
      </c>
      <c r="I1366" s="98">
        <v>0.10001</v>
      </c>
      <c r="J1366" s="98" t="s">
        <v>10</v>
      </c>
      <c r="K1366" s="98">
        <v>500.59</v>
      </c>
      <c r="L1366" s="98">
        <v>1.4072</v>
      </c>
      <c r="M1366" s="98">
        <v>500.63</v>
      </c>
      <c r="N1366" s="98">
        <v>1.403</v>
      </c>
      <c r="O1366" s="99" t="s">
        <v>2260</v>
      </c>
    </row>
    <row r="1367" spans="1:15" x14ac:dyDescent="0.25">
      <c r="A1367" s="98" t="s">
        <v>54</v>
      </c>
      <c r="B1367" s="98" t="s">
        <v>61</v>
      </c>
      <c r="C1367" s="98">
        <v>110</v>
      </c>
      <c r="D1367" s="98">
        <v>205.01</v>
      </c>
      <c r="E1367" s="98">
        <v>1</v>
      </c>
      <c r="F1367" s="98" t="s">
        <v>13</v>
      </c>
      <c r="G1367" s="98" t="s">
        <v>12</v>
      </c>
      <c r="H1367" s="98">
        <v>5</v>
      </c>
      <c r="I1367" s="98">
        <v>5.01</v>
      </c>
      <c r="J1367" s="98" t="s">
        <v>10</v>
      </c>
      <c r="K1367" s="98">
        <v>79.069999999999993</v>
      </c>
      <c r="L1367" s="98">
        <v>34.896999999999998</v>
      </c>
      <c r="M1367" s="98">
        <v>123.66</v>
      </c>
      <c r="N1367" s="98">
        <v>34.491</v>
      </c>
      <c r="O1367" s="99" t="s">
        <v>2259</v>
      </c>
    </row>
    <row r="1368" spans="1:15" x14ac:dyDescent="0.25">
      <c r="A1368" s="98" t="s">
        <v>54</v>
      </c>
      <c r="B1368" s="98" t="s">
        <v>61</v>
      </c>
      <c r="C1368" s="98">
        <v>110</v>
      </c>
      <c r="D1368" s="98">
        <v>205.01</v>
      </c>
      <c r="E1368" s="98">
        <v>10</v>
      </c>
      <c r="F1368" s="98" t="s">
        <v>13</v>
      </c>
      <c r="G1368" s="98" t="s">
        <v>12</v>
      </c>
      <c r="H1368" s="98">
        <v>0.1</v>
      </c>
      <c r="I1368" s="98">
        <v>1.0000100000000001</v>
      </c>
      <c r="J1368" s="98" t="s">
        <v>10</v>
      </c>
      <c r="K1368" s="98">
        <v>5786.7</v>
      </c>
      <c r="L1368" s="98">
        <v>0.20930000000000001</v>
      </c>
      <c r="M1368" s="98">
        <v>5786.8</v>
      </c>
      <c r="N1368" s="98">
        <v>0.20663999999999999</v>
      </c>
      <c r="O1368" s="99" t="s">
        <v>2265</v>
      </c>
    </row>
    <row r="1369" spans="1:15" x14ac:dyDescent="0.25">
      <c r="A1369" s="98" t="s">
        <v>54</v>
      </c>
      <c r="B1369" s="98" t="s">
        <v>61</v>
      </c>
      <c r="C1369" s="98">
        <v>110</v>
      </c>
      <c r="D1369" s="98">
        <v>205.01</v>
      </c>
      <c r="E1369" s="98">
        <v>10</v>
      </c>
      <c r="F1369" s="98" t="s">
        <v>13</v>
      </c>
      <c r="G1369" s="98" t="s">
        <v>12</v>
      </c>
      <c r="H1369" s="98">
        <v>4.4999999999999998E-2</v>
      </c>
      <c r="I1369" s="98">
        <v>0.10001</v>
      </c>
      <c r="J1369" s="98" t="s">
        <v>10</v>
      </c>
      <c r="K1369" s="98">
        <v>5788.7</v>
      </c>
      <c r="L1369" s="98">
        <v>0.17673</v>
      </c>
      <c r="M1369" s="98">
        <v>5788.8</v>
      </c>
      <c r="N1369" s="98">
        <v>0.17407</v>
      </c>
      <c r="O1369" s="99" t="s">
        <v>2266</v>
      </c>
    </row>
    <row r="1370" spans="1:15" x14ac:dyDescent="0.25">
      <c r="A1370" s="98" t="s">
        <v>54</v>
      </c>
      <c r="B1370" s="98" t="s">
        <v>61</v>
      </c>
      <c r="C1370" s="98">
        <v>110</v>
      </c>
      <c r="D1370" s="98">
        <v>205.01</v>
      </c>
      <c r="E1370" s="98">
        <v>10</v>
      </c>
      <c r="F1370" s="98" t="s">
        <v>13</v>
      </c>
      <c r="G1370" s="98" t="s">
        <v>12</v>
      </c>
      <c r="H1370" s="98">
        <v>5</v>
      </c>
      <c r="I1370" s="98">
        <v>5.01</v>
      </c>
      <c r="J1370" s="98" t="s">
        <v>10</v>
      </c>
      <c r="K1370" s="98">
        <v>4372.5</v>
      </c>
      <c r="L1370" s="98">
        <v>23.661999999999999</v>
      </c>
      <c r="M1370" s="98">
        <v>4372.3999999999996</v>
      </c>
      <c r="N1370" s="98">
        <v>23.661000000000001</v>
      </c>
      <c r="O1370" s="99" t="s">
        <v>2263</v>
      </c>
    </row>
    <row r="1371" spans="1:15" x14ac:dyDescent="0.25">
      <c r="A1371" s="98" t="s">
        <v>54</v>
      </c>
      <c r="B1371" s="98" t="s">
        <v>61</v>
      </c>
      <c r="C1371" s="98">
        <v>110</v>
      </c>
      <c r="D1371" s="98">
        <v>205.01</v>
      </c>
      <c r="E1371" s="98">
        <v>10</v>
      </c>
      <c r="F1371" s="98" t="s">
        <v>13</v>
      </c>
      <c r="G1371" s="98" t="s">
        <v>12</v>
      </c>
      <c r="H1371" s="98">
        <v>1</v>
      </c>
      <c r="I1371" s="98">
        <v>5</v>
      </c>
      <c r="J1371" s="98" t="s">
        <v>10</v>
      </c>
      <c r="K1371" s="98">
        <v>4372.5</v>
      </c>
      <c r="L1371" s="98">
        <v>23.661999999999999</v>
      </c>
      <c r="M1371" s="98">
        <v>4372.3999999999996</v>
      </c>
      <c r="N1371" s="98">
        <v>23.661000000000001</v>
      </c>
      <c r="O1371" s="99" t="s">
        <v>2264</v>
      </c>
    </row>
    <row r="1372" spans="1:15" x14ac:dyDescent="0.25">
      <c r="A1372" s="98" t="s">
        <v>54</v>
      </c>
      <c r="B1372" s="98" t="s">
        <v>61</v>
      </c>
      <c r="C1372" s="98">
        <v>110</v>
      </c>
      <c r="D1372" s="98">
        <v>205.01</v>
      </c>
      <c r="E1372" s="98">
        <v>100</v>
      </c>
      <c r="F1372" s="98" t="s">
        <v>13</v>
      </c>
      <c r="G1372" s="98" t="s">
        <v>12</v>
      </c>
      <c r="H1372" s="98">
        <v>0.1</v>
      </c>
      <c r="I1372" s="98">
        <v>1.0000100000000001</v>
      </c>
      <c r="J1372" s="98" t="s">
        <v>10</v>
      </c>
      <c r="K1372" s="98">
        <v>57999</v>
      </c>
      <c r="L1372" s="98">
        <v>2.1802999999999999E-2</v>
      </c>
      <c r="M1372" s="98">
        <v>57999</v>
      </c>
      <c r="N1372" s="98">
        <v>2.0732E-2</v>
      </c>
      <c r="O1372" s="99" t="s">
        <v>2269</v>
      </c>
    </row>
    <row r="1373" spans="1:15" x14ac:dyDescent="0.25">
      <c r="A1373" s="98" t="s">
        <v>54</v>
      </c>
      <c r="B1373" s="98" t="s">
        <v>61</v>
      </c>
      <c r="C1373" s="98">
        <v>110</v>
      </c>
      <c r="D1373" s="98">
        <v>205.01</v>
      </c>
      <c r="E1373" s="98">
        <v>100</v>
      </c>
      <c r="F1373" s="98" t="s">
        <v>13</v>
      </c>
      <c r="G1373" s="98" t="s">
        <v>12</v>
      </c>
      <c r="H1373" s="98">
        <v>4.4999999999999998E-2</v>
      </c>
      <c r="I1373" s="98">
        <v>0.10001</v>
      </c>
      <c r="J1373" s="98" t="s">
        <v>10</v>
      </c>
      <c r="K1373" s="98">
        <v>57999</v>
      </c>
      <c r="L1373" s="98">
        <v>1.8526000000000001E-2</v>
      </c>
      <c r="M1373" s="98">
        <v>57999</v>
      </c>
      <c r="N1373" s="98">
        <v>1.7454999999999998E-2</v>
      </c>
      <c r="O1373" s="99" t="s">
        <v>2267</v>
      </c>
    </row>
    <row r="1374" spans="1:15" x14ac:dyDescent="0.25">
      <c r="A1374" s="98" t="s">
        <v>54</v>
      </c>
      <c r="B1374" s="98" t="s">
        <v>61</v>
      </c>
      <c r="C1374" s="98">
        <v>110</v>
      </c>
      <c r="D1374" s="98">
        <v>205.01</v>
      </c>
      <c r="E1374" s="98">
        <v>100</v>
      </c>
      <c r="F1374" s="98" t="s">
        <v>13</v>
      </c>
      <c r="G1374" s="98" t="s">
        <v>12</v>
      </c>
      <c r="H1374" s="98">
        <v>1</v>
      </c>
      <c r="I1374" s="98">
        <v>5</v>
      </c>
      <c r="J1374" s="98" t="s">
        <v>10</v>
      </c>
      <c r="K1374" s="98">
        <v>57768</v>
      </c>
      <c r="L1374" s="98">
        <v>3.2888999999999999</v>
      </c>
      <c r="M1374" s="98">
        <v>57768</v>
      </c>
      <c r="N1374" s="98">
        <v>3.2877999999999998</v>
      </c>
      <c r="O1374" s="99" t="s">
        <v>2268</v>
      </c>
    </row>
    <row r="1375" spans="1:15" x14ac:dyDescent="0.25">
      <c r="A1375" s="98" t="s">
        <v>54</v>
      </c>
      <c r="B1375" s="98" t="s">
        <v>61</v>
      </c>
      <c r="C1375" s="98">
        <v>110</v>
      </c>
      <c r="D1375" s="98">
        <v>205.01</v>
      </c>
      <c r="E1375" s="98">
        <v>100</v>
      </c>
      <c r="F1375" s="98" t="s">
        <v>13</v>
      </c>
      <c r="G1375" s="98" t="s">
        <v>12</v>
      </c>
      <c r="H1375" s="98">
        <v>5</v>
      </c>
      <c r="I1375" s="98">
        <v>5.01</v>
      </c>
      <c r="J1375" s="98" t="s">
        <v>10</v>
      </c>
      <c r="K1375" s="98">
        <v>57768</v>
      </c>
      <c r="L1375" s="98">
        <v>3.2888999999999999</v>
      </c>
      <c r="M1375" s="98">
        <v>57768</v>
      </c>
      <c r="N1375" s="98">
        <v>3.2877999999999998</v>
      </c>
      <c r="O1375" s="99" t="s">
        <v>2270</v>
      </c>
    </row>
    <row r="1376" spans="1:15" x14ac:dyDescent="0.25">
      <c r="A1376" s="98" t="s">
        <v>54</v>
      </c>
      <c r="B1376" s="98" t="s">
        <v>62</v>
      </c>
      <c r="C1376" s="98">
        <v>22</v>
      </c>
      <c r="D1376" s="98">
        <v>60.000999999999998</v>
      </c>
      <c r="E1376" s="98">
        <v>1E-3</v>
      </c>
      <c r="F1376" s="98" t="s">
        <v>13</v>
      </c>
      <c r="G1376" s="98" t="s">
        <v>12</v>
      </c>
      <c r="H1376" s="98">
        <v>1</v>
      </c>
      <c r="I1376" s="98">
        <v>5.01</v>
      </c>
      <c r="J1376" s="98" t="s">
        <v>10</v>
      </c>
      <c r="K1376" s="98">
        <v>2.2999999999999998</v>
      </c>
      <c r="L1376" s="98">
        <v>7.6</v>
      </c>
      <c r="M1376" s="98">
        <v>2.2214999999999998</v>
      </c>
      <c r="N1376" s="98">
        <v>7.5885999999999996</v>
      </c>
      <c r="O1376" s="99" t="s">
        <v>2150</v>
      </c>
    </row>
    <row r="1377" spans="1:15" x14ac:dyDescent="0.25">
      <c r="A1377" s="98" t="s">
        <v>54</v>
      </c>
      <c r="B1377" s="98" t="s">
        <v>62</v>
      </c>
      <c r="C1377" s="98">
        <v>22</v>
      </c>
      <c r="D1377" s="98">
        <v>60.000999999999998</v>
      </c>
      <c r="E1377" s="98">
        <v>1E-3</v>
      </c>
      <c r="F1377" s="98" t="s">
        <v>13</v>
      </c>
      <c r="G1377" s="98" t="s">
        <v>12</v>
      </c>
      <c r="H1377" s="98">
        <v>0.01</v>
      </c>
      <c r="I1377" s="98">
        <v>4.5010000000000001E-2</v>
      </c>
      <c r="J1377" s="98" t="s">
        <v>10</v>
      </c>
      <c r="K1377" s="98">
        <v>-5.2</v>
      </c>
      <c r="L1377" s="98">
        <v>3</v>
      </c>
      <c r="M1377" s="98">
        <v>-6.3514999999999997</v>
      </c>
      <c r="N1377" s="98">
        <v>3.0358000000000001</v>
      </c>
      <c r="O1377" s="99" t="s">
        <v>2149</v>
      </c>
    </row>
    <row r="1378" spans="1:15" x14ac:dyDescent="0.25">
      <c r="A1378" s="98" t="s">
        <v>54</v>
      </c>
      <c r="B1378" s="98" t="s">
        <v>62</v>
      </c>
      <c r="C1378" s="98">
        <v>22</v>
      </c>
      <c r="D1378" s="98">
        <v>60.000999999999998</v>
      </c>
      <c r="E1378" s="98">
        <v>1E-3</v>
      </c>
      <c r="F1378" s="98" t="s">
        <v>13</v>
      </c>
      <c r="G1378" s="98" t="s">
        <v>12</v>
      </c>
      <c r="H1378" s="98">
        <v>10</v>
      </c>
      <c r="I1378" s="98">
        <v>10.01</v>
      </c>
      <c r="J1378" s="98" t="s">
        <v>10</v>
      </c>
      <c r="K1378" s="98">
        <v>52</v>
      </c>
      <c r="L1378" s="98">
        <v>30</v>
      </c>
      <c r="M1378" s="98">
        <v>34.529000000000003</v>
      </c>
      <c r="N1378" s="98">
        <v>30.459</v>
      </c>
      <c r="O1378" s="99" t="s">
        <v>2151</v>
      </c>
    </row>
    <row r="1379" spans="1:15" x14ac:dyDescent="0.25">
      <c r="A1379" s="98" t="s">
        <v>54</v>
      </c>
      <c r="B1379" s="98" t="s">
        <v>62</v>
      </c>
      <c r="C1379" s="98">
        <v>22</v>
      </c>
      <c r="D1379" s="98">
        <v>60.000999999999998</v>
      </c>
      <c r="E1379" s="98">
        <v>1E-3</v>
      </c>
      <c r="F1379" s="98" t="s">
        <v>13</v>
      </c>
      <c r="G1379" s="98" t="s">
        <v>12</v>
      </c>
      <c r="H1379" s="98">
        <v>5</v>
      </c>
      <c r="I1379" s="98">
        <v>10</v>
      </c>
      <c r="J1379" s="98" t="s">
        <v>10</v>
      </c>
      <c r="K1379" s="98">
        <v>52</v>
      </c>
      <c r="L1379" s="98">
        <v>30</v>
      </c>
      <c r="M1379" s="98">
        <v>34.529000000000003</v>
      </c>
      <c r="N1379" s="98">
        <v>30.459</v>
      </c>
      <c r="O1379" s="99" t="s">
        <v>2711</v>
      </c>
    </row>
    <row r="1380" spans="1:15" x14ac:dyDescent="0.25">
      <c r="A1380" s="98" t="s">
        <v>54</v>
      </c>
      <c r="B1380" s="98" t="s">
        <v>62</v>
      </c>
      <c r="C1380" s="98">
        <v>22</v>
      </c>
      <c r="D1380" s="98">
        <v>60.000999999999998</v>
      </c>
      <c r="E1380" s="98">
        <v>1E-3</v>
      </c>
      <c r="F1380" s="98" t="s">
        <v>13</v>
      </c>
      <c r="G1380" s="98" t="s">
        <v>12</v>
      </c>
      <c r="H1380" s="98">
        <v>4.4999999999999998E-2</v>
      </c>
      <c r="I1380" s="98">
        <v>1.0000100000000001</v>
      </c>
      <c r="J1380" s="98" t="s">
        <v>10</v>
      </c>
      <c r="K1380" s="98">
        <v>15</v>
      </c>
      <c r="L1380" s="98">
        <v>2.2999999999999998</v>
      </c>
      <c r="M1380" s="98">
        <v>-5.0780000000000003</v>
      </c>
      <c r="N1380" s="98">
        <v>2.2269999999999999</v>
      </c>
      <c r="O1380" s="99" t="s">
        <v>2148</v>
      </c>
    </row>
    <row r="1381" spans="1:15" x14ac:dyDescent="0.25">
      <c r="A1381" s="98" t="s">
        <v>54</v>
      </c>
      <c r="B1381" s="98" t="s">
        <v>62</v>
      </c>
      <c r="C1381" s="98">
        <v>22</v>
      </c>
      <c r="D1381" s="98">
        <v>60.000999999999998</v>
      </c>
      <c r="E1381" s="98">
        <v>0.01</v>
      </c>
      <c r="F1381" s="98" t="s">
        <v>13</v>
      </c>
      <c r="G1381" s="98" t="s">
        <v>12</v>
      </c>
      <c r="H1381" s="98">
        <v>10</v>
      </c>
      <c r="I1381" s="98">
        <v>10.01</v>
      </c>
      <c r="J1381" s="98" t="s">
        <v>10</v>
      </c>
      <c r="K1381" s="98">
        <v>52</v>
      </c>
      <c r="L1381" s="98">
        <v>30.457999999999998</v>
      </c>
      <c r="M1381" s="98">
        <v>34.545000000000002</v>
      </c>
      <c r="N1381" s="98">
        <v>30.459</v>
      </c>
      <c r="O1381" s="99" t="s">
        <v>2155</v>
      </c>
    </row>
    <row r="1382" spans="1:15" x14ac:dyDescent="0.25">
      <c r="A1382" s="98" t="s">
        <v>54</v>
      </c>
      <c r="B1382" s="98" t="s">
        <v>62</v>
      </c>
      <c r="C1382" s="98">
        <v>22</v>
      </c>
      <c r="D1382" s="98">
        <v>60.000999999999998</v>
      </c>
      <c r="E1382" s="98">
        <v>0.01</v>
      </c>
      <c r="F1382" s="98" t="s">
        <v>13</v>
      </c>
      <c r="G1382" s="98" t="s">
        <v>12</v>
      </c>
      <c r="H1382" s="98">
        <v>1</v>
      </c>
      <c r="I1382" s="98">
        <v>5.01</v>
      </c>
      <c r="J1382" s="98" t="s">
        <v>10</v>
      </c>
      <c r="K1382" s="98">
        <v>2.3481999999999998</v>
      </c>
      <c r="L1382" s="98">
        <v>7.5869</v>
      </c>
      <c r="M1382" s="98">
        <v>2.3433000000000002</v>
      </c>
      <c r="N1382" s="98">
        <v>7.5869</v>
      </c>
      <c r="O1382" s="99" t="s">
        <v>2152</v>
      </c>
    </row>
    <row r="1383" spans="1:15" x14ac:dyDescent="0.25">
      <c r="A1383" s="98" t="s">
        <v>54</v>
      </c>
      <c r="B1383" s="98" t="s">
        <v>62</v>
      </c>
      <c r="C1383" s="98">
        <v>22</v>
      </c>
      <c r="D1383" s="98">
        <v>60.000999999999998</v>
      </c>
      <c r="E1383" s="98">
        <v>0.01</v>
      </c>
      <c r="F1383" s="98" t="s">
        <v>13</v>
      </c>
      <c r="G1383" s="98" t="s">
        <v>12</v>
      </c>
      <c r="H1383" s="98">
        <v>4.4999999999999998E-2</v>
      </c>
      <c r="I1383" s="98">
        <v>1.0000100000000001</v>
      </c>
      <c r="J1383" s="98" t="s">
        <v>10</v>
      </c>
      <c r="K1383" s="98">
        <v>15</v>
      </c>
      <c r="L1383" s="98">
        <v>2.2999999999999998</v>
      </c>
      <c r="M1383" s="98">
        <v>-4.6150000000000002</v>
      </c>
      <c r="N1383" s="98">
        <v>2.2202999999999999</v>
      </c>
      <c r="O1383" s="99" t="s">
        <v>2154</v>
      </c>
    </row>
    <row r="1384" spans="1:15" x14ac:dyDescent="0.25">
      <c r="A1384" s="98" t="s">
        <v>54</v>
      </c>
      <c r="B1384" s="98" t="s">
        <v>62</v>
      </c>
      <c r="C1384" s="98">
        <v>22</v>
      </c>
      <c r="D1384" s="98">
        <v>60.000999999999998</v>
      </c>
      <c r="E1384" s="98">
        <v>0.01</v>
      </c>
      <c r="F1384" s="98" t="s">
        <v>13</v>
      </c>
      <c r="G1384" s="98" t="s">
        <v>12</v>
      </c>
      <c r="H1384" s="98">
        <v>5</v>
      </c>
      <c r="I1384" s="98">
        <v>10</v>
      </c>
      <c r="J1384" s="98" t="s">
        <v>10</v>
      </c>
      <c r="K1384" s="98">
        <v>52</v>
      </c>
      <c r="L1384" s="98">
        <v>30.457999999999998</v>
      </c>
      <c r="M1384" s="98">
        <v>34.545000000000002</v>
      </c>
      <c r="N1384" s="98">
        <v>30.459</v>
      </c>
      <c r="O1384" s="99" t="s">
        <v>2712</v>
      </c>
    </row>
    <row r="1385" spans="1:15" x14ac:dyDescent="0.25">
      <c r="A1385" s="98" t="s">
        <v>54</v>
      </c>
      <c r="B1385" s="98" t="s">
        <v>62</v>
      </c>
      <c r="C1385" s="98">
        <v>22</v>
      </c>
      <c r="D1385" s="98">
        <v>60.000999999999998</v>
      </c>
      <c r="E1385" s="98">
        <v>0.01</v>
      </c>
      <c r="F1385" s="98" t="s">
        <v>13</v>
      </c>
      <c r="G1385" s="98" t="s">
        <v>12</v>
      </c>
      <c r="H1385" s="98">
        <v>0.01</v>
      </c>
      <c r="I1385" s="98">
        <v>4.5010000000000001E-2</v>
      </c>
      <c r="J1385" s="98" t="s">
        <v>10</v>
      </c>
      <c r="K1385" s="98">
        <v>-5.2</v>
      </c>
      <c r="L1385" s="98">
        <v>3.0308999999999999</v>
      </c>
      <c r="M1385" s="98">
        <v>-6.0166000000000004</v>
      </c>
      <c r="N1385" s="98">
        <v>3.0310000000000001</v>
      </c>
      <c r="O1385" s="99" t="s">
        <v>2153</v>
      </c>
    </row>
    <row r="1386" spans="1:15" x14ac:dyDescent="0.25">
      <c r="A1386" s="98" t="s">
        <v>54</v>
      </c>
      <c r="B1386" s="98" t="s">
        <v>62</v>
      </c>
      <c r="C1386" s="98">
        <v>22</v>
      </c>
      <c r="D1386" s="98">
        <v>60.000999999999998</v>
      </c>
      <c r="E1386" s="98">
        <v>0.1</v>
      </c>
      <c r="F1386" s="98" t="s">
        <v>13</v>
      </c>
      <c r="G1386" s="98" t="s">
        <v>12</v>
      </c>
      <c r="H1386" s="98">
        <v>0.01</v>
      </c>
      <c r="I1386" s="98">
        <v>4.5010000000000001E-2</v>
      </c>
      <c r="J1386" s="98" t="s">
        <v>10</v>
      </c>
      <c r="K1386" s="98">
        <v>24.504000000000001</v>
      </c>
      <c r="L1386" s="98">
        <v>2.6608999999999998</v>
      </c>
      <c r="M1386" s="98">
        <v>24.465</v>
      </c>
      <c r="N1386" s="98">
        <v>2.6608000000000001</v>
      </c>
      <c r="O1386" s="99" t="s">
        <v>2156</v>
      </c>
    </row>
    <row r="1387" spans="1:15" x14ac:dyDescent="0.25">
      <c r="A1387" s="98" t="s">
        <v>54</v>
      </c>
      <c r="B1387" s="98" t="s">
        <v>62</v>
      </c>
      <c r="C1387" s="98">
        <v>22</v>
      </c>
      <c r="D1387" s="98">
        <v>60.000999999999998</v>
      </c>
      <c r="E1387" s="98">
        <v>0.1</v>
      </c>
      <c r="F1387" s="98" t="s">
        <v>13</v>
      </c>
      <c r="G1387" s="98" t="s">
        <v>12</v>
      </c>
      <c r="H1387" s="98">
        <v>5</v>
      </c>
      <c r="I1387" s="98">
        <v>10</v>
      </c>
      <c r="J1387" s="98" t="s">
        <v>10</v>
      </c>
      <c r="K1387" s="98">
        <v>52</v>
      </c>
      <c r="L1387" s="98">
        <v>30.419</v>
      </c>
      <c r="M1387" s="98">
        <v>37.46</v>
      </c>
      <c r="N1387" s="98">
        <v>30.419</v>
      </c>
      <c r="O1387" s="99" t="s">
        <v>2158</v>
      </c>
    </row>
    <row r="1388" spans="1:15" x14ac:dyDescent="0.25">
      <c r="A1388" s="98" t="s">
        <v>54</v>
      </c>
      <c r="B1388" s="98" t="s">
        <v>62</v>
      </c>
      <c r="C1388" s="98">
        <v>22</v>
      </c>
      <c r="D1388" s="98">
        <v>60.000999999999998</v>
      </c>
      <c r="E1388" s="98">
        <v>0.1</v>
      </c>
      <c r="F1388" s="98" t="s">
        <v>13</v>
      </c>
      <c r="G1388" s="98" t="s">
        <v>12</v>
      </c>
      <c r="H1388" s="98">
        <v>1</v>
      </c>
      <c r="I1388" s="98">
        <v>5.01</v>
      </c>
      <c r="J1388" s="98" t="s">
        <v>10</v>
      </c>
      <c r="K1388" s="98">
        <v>14.11</v>
      </c>
      <c r="L1388" s="98">
        <v>7.4272999999999998</v>
      </c>
      <c r="M1388" s="98">
        <v>14.090999999999999</v>
      </c>
      <c r="N1388" s="98">
        <v>7.4272999999999998</v>
      </c>
      <c r="O1388" s="99" t="s">
        <v>2160</v>
      </c>
    </row>
    <row r="1389" spans="1:15" x14ac:dyDescent="0.25">
      <c r="A1389" s="98" t="s">
        <v>54</v>
      </c>
      <c r="B1389" s="98" t="s">
        <v>62</v>
      </c>
      <c r="C1389" s="98">
        <v>22</v>
      </c>
      <c r="D1389" s="98">
        <v>60.000999999999998</v>
      </c>
      <c r="E1389" s="98">
        <v>0.1</v>
      </c>
      <c r="F1389" s="98" t="s">
        <v>13</v>
      </c>
      <c r="G1389" s="98" t="s">
        <v>12</v>
      </c>
      <c r="H1389" s="98">
        <v>10</v>
      </c>
      <c r="I1389" s="98">
        <v>10.01</v>
      </c>
      <c r="J1389" s="98" t="s">
        <v>10</v>
      </c>
      <c r="K1389" s="98">
        <v>52</v>
      </c>
      <c r="L1389" s="98">
        <v>30.419</v>
      </c>
      <c r="M1389" s="98">
        <v>37.46</v>
      </c>
      <c r="N1389" s="98">
        <v>30.419</v>
      </c>
      <c r="O1389" s="99" t="s">
        <v>2159</v>
      </c>
    </row>
    <row r="1390" spans="1:15" x14ac:dyDescent="0.25">
      <c r="A1390" s="98" t="s">
        <v>54</v>
      </c>
      <c r="B1390" s="98" t="s">
        <v>62</v>
      </c>
      <c r="C1390" s="98">
        <v>22</v>
      </c>
      <c r="D1390" s="98">
        <v>60.000999999999998</v>
      </c>
      <c r="E1390" s="98">
        <v>0.1</v>
      </c>
      <c r="F1390" s="98" t="s">
        <v>13</v>
      </c>
      <c r="G1390" s="98" t="s">
        <v>12</v>
      </c>
      <c r="H1390" s="98">
        <v>4.4999999999999998E-2</v>
      </c>
      <c r="I1390" s="98">
        <v>1.0000100000000001</v>
      </c>
      <c r="J1390" s="98" t="s">
        <v>10</v>
      </c>
      <c r="K1390" s="98">
        <v>25.632000000000001</v>
      </c>
      <c r="L1390" s="98">
        <v>2.1227999999999998</v>
      </c>
      <c r="M1390" s="98">
        <v>32.901000000000003</v>
      </c>
      <c r="N1390" s="98">
        <v>1.7903</v>
      </c>
      <c r="O1390" s="99" t="s">
        <v>2157</v>
      </c>
    </row>
    <row r="1391" spans="1:15" x14ac:dyDescent="0.25">
      <c r="A1391" s="98" t="s">
        <v>54</v>
      </c>
      <c r="B1391" s="98" t="s">
        <v>62</v>
      </c>
      <c r="C1391" s="98">
        <v>22</v>
      </c>
      <c r="D1391" s="98">
        <v>60.000999999999998</v>
      </c>
      <c r="E1391" s="98">
        <v>1</v>
      </c>
      <c r="F1391" s="98" t="s">
        <v>13</v>
      </c>
      <c r="G1391" s="98" t="s">
        <v>12</v>
      </c>
      <c r="H1391" s="98">
        <v>1</v>
      </c>
      <c r="I1391" s="98">
        <v>5.01</v>
      </c>
      <c r="J1391" s="98" t="s">
        <v>10</v>
      </c>
      <c r="K1391" s="98">
        <v>526.04999999999995</v>
      </c>
      <c r="L1391" s="98">
        <v>3.5184000000000002</v>
      </c>
      <c r="M1391" s="98">
        <v>526.04999999999995</v>
      </c>
      <c r="N1391" s="98">
        <v>3.5177999999999998</v>
      </c>
      <c r="O1391" s="99" t="s">
        <v>2162</v>
      </c>
    </row>
    <row r="1392" spans="1:15" x14ac:dyDescent="0.25">
      <c r="A1392" s="98" t="s">
        <v>54</v>
      </c>
      <c r="B1392" s="98" t="s">
        <v>62</v>
      </c>
      <c r="C1392" s="98">
        <v>22</v>
      </c>
      <c r="D1392" s="98">
        <v>60.000999999999998</v>
      </c>
      <c r="E1392" s="98">
        <v>1</v>
      </c>
      <c r="F1392" s="98" t="s">
        <v>13</v>
      </c>
      <c r="G1392" s="98" t="s">
        <v>12</v>
      </c>
      <c r="H1392" s="98">
        <v>0.01</v>
      </c>
      <c r="I1392" s="98">
        <v>4.5010000000000001E-2</v>
      </c>
      <c r="J1392" s="98" t="s">
        <v>10</v>
      </c>
      <c r="K1392" s="98">
        <v>569.88</v>
      </c>
      <c r="L1392" s="98">
        <v>0.59872000000000003</v>
      </c>
      <c r="M1392" s="98">
        <v>569.88</v>
      </c>
      <c r="N1392" s="98">
        <v>0.59787000000000001</v>
      </c>
      <c r="O1392" s="99" t="s">
        <v>2714</v>
      </c>
    </row>
    <row r="1393" spans="1:15" x14ac:dyDescent="0.25">
      <c r="A1393" s="98" t="s">
        <v>54</v>
      </c>
      <c r="B1393" s="98" t="s">
        <v>62</v>
      </c>
      <c r="C1393" s="98">
        <v>22</v>
      </c>
      <c r="D1393" s="98">
        <v>60.000999999999998</v>
      </c>
      <c r="E1393" s="98">
        <v>1</v>
      </c>
      <c r="F1393" s="98" t="s">
        <v>13</v>
      </c>
      <c r="G1393" s="98" t="s">
        <v>12</v>
      </c>
      <c r="H1393" s="98">
        <v>5</v>
      </c>
      <c r="I1393" s="98">
        <v>10</v>
      </c>
      <c r="J1393" s="98" t="s">
        <v>10</v>
      </c>
      <c r="K1393" s="98">
        <v>304.91000000000003</v>
      </c>
      <c r="L1393" s="98">
        <v>27.254999999999999</v>
      </c>
      <c r="M1393" s="98">
        <v>304.83999999999997</v>
      </c>
      <c r="N1393" s="98">
        <v>27.254999999999999</v>
      </c>
      <c r="O1393" s="99" t="s">
        <v>2163</v>
      </c>
    </row>
    <row r="1394" spans="1:15" x14ac:dyDescent="0.25">
      <c r="A1394" s="98" t="s">
        <v>54</v>
      </c>
      <c r="B1394" s="98" t="s">
        <v>62</v>
      </c>
      <c r="C1394" s="98">
        <v>22</v>
      </c>
      <c r="D1394" s="98">
        <v>60.000999999999998</v>
      </c>
      <c r="E1394" s="98">
        <v>1</v>
      </c>
      <c r="F1394" s="98" t="s">
        <v>13</v>
      </c>
      <c r="G1394" s="98" t="s">
        <v>12</v>
      </c>
      <c r="H1394" s="98">
        <v>10</v>
      </c>
      <c r="I1394" s="98">
        <v>10.01</v>
      </c>
      <c r="J1394" s="98" t="s">
        <v>10</v>
      </c>
      <c r="K1394" s="98">
        <v>304.91000000000003</v>
      </c>
      <c r="L1394" s="98">
        <v>27.254999999999999</v>
      </c>
      <c r="M1394" s="98">
        <v>304.83999999999997</v>
      </c>
      <c r="N1394" s="98">
        <v>27.254999999999999</v>
      </c>
      <c r="O1394" s="99" t="s">
        <v>2161</v>
      </c>
    </row>
    <row r="1395" spans="1:15" x14ac:dyDescent="0.25">
      <c r="A1395" s="98" t="s">
        <v>54</v>
      </c>
      <c r="B1395" s="98" t="s">
        <v>62</v>
      </c>
      <c r="C1395" s="98">
        <v>22</v>
      </c>
      <c r="D1395" s="98">
        <v>60.000999999999998</v>
      </c>
      <c r="E1395" s="98">
        <v>1</v>
      </c>
      <c r="F1395" s="98" t="s">
        <v>13</v>
      </c>
      <c r="G1395" s="98" t="s">
        <v>12</v>
      </c>
      <c r="H1395" s="98">
        <v>4.4999999999999998E-2</v>
      </c>
      <c r="I1395" s="98">
        <v>1.0000100000000001</v>
      </c>
      <c r="J1395" s="98" t="s">
        <v>10</v>
      </c>
      <c r="K1395" s="98">
        <v>574.48</v>
      </c>
      <c r="L1395" s="98">
        <v>0.32468000000000002</v>
      </c>
      <c r="M1395" s="98">
        <v>574.48</v>
      </c>
      <c r="N1395" s="98">
        <v>0.32379999999999998</v>
      </c>
      <c r="O1395" s="99" t="s">
        <v>2713</v>
      </c>
    </row>
    <row r="1396" spans="1:15" x14ac:dyDescent="0.25">
      <c r="A1396" s="98" t="s">
        <v>54</v>
      </c>
      <c r="B1396" s="98" t="s">
        <v>62</v>
      </c>
      <c r="C1396" s="98">
        <v>22</v>
      </c>
      <c r="D1396" s="98">
        <v>60.000999999999998</v>
      </c>
      <c r="E1396" s="98">
        <v>10</v>
      </c>
      <c r="F1396" s="98" t="s">
        <v>13</v>
      </c>
      <c r="G1396" s="98" t="s">
        <v>12</v>
      </c>
      <c r="H1396" s="98">
        <v>5</v>
      </c>
      <c r="I1396" s="98">
        <v>10</v>
      </c>
      <c r="J1396" s="98" t="s">
        <v>10</v>
      </c>
      <c r="K1396" s="98">
        <v>5698.4</v>
      </c>
      <c r="L1396" s="98">
        <v>6.4999000000000002</v>
      </c>
      <c r="M1396" s="98">
        <v>5698.4</v>
      </c>
      <c r="N1396" s="98">
        <v>6.4988999999999999</v>
      </c>
      <c r="O1396" s="99" t="s">
        <v>2716</v>
      </c>
    </row>
    <row r="1397" spans="1:15" x14ac:dyDescent="0.25">
      <c r="A1397" s="98" t="s">
        <v>54</v>
      </c>
      <c r="B1397" s="98" t="s">
        <v>62</v>
      </c>
      <c r="C1397" s="98">
        <v>22</v>
      </c>
      <c r="D1397" s="98">
        <v>60.000999999999998</v>
      </c>
      <c r="E1397" s="98">
        <v>10</v>
      </c>
      <c r="F1397" s="98" t="s">
        <v>13</v>
      </c>
      <c r="G1397" s="98" t="s">
        <v>12</v>
      </c>
      <c r="H1397" s="98">
        <v>0.01</v>
      </c>
      <c r="I1397" s="98">
        <v>4.5010000000000001E-2</v>
      </c>
      <c r="J1397" s="98" t="s">
        <v>10</v>
      </c>
      <c r="K1397" s="98">
        <v>5799</v>
      </c>
      <c r="L1397" s="98">
        <v>6.1619E-2</v>
      </c>
      <c r="M1397" s="98">
        <v>5799</v>
      </c>
      <c r="N1397" s="98">
        <v>6.1254999999999997E-2</v>
      </c>
      <c r="O1397" s="99" t="s">
        <v>2717</v>
      </c>
    </row>
    <row r="1398" spans="1:15" x14ac:dyDescent="0.25">
      <c r="A1398" s="98" t="s">
        <v>54</v>
      </c>
      <c r="B1398" s="98" t="s">
        <v>62</v>
      </c>
      <c r="C1398" s="98">
        <v>22</v>
      </c>
      <c r="D1398" s="98">
        <v>60.000999999999998</v>
      </c>
      <c r="E1398" s="98">
        <v>10</v>
      </c>
      <c r="F1398" s="98" t="s">
        <v>13</v>
      </c>
      <c r="G1398" s="98" t="s">
        <v>12</v>
      </c>
      <c r="H1398" s="98">
        <v>10</v>
      </c>
      <c r="I1398" s="98">
        <v>10.01</v>
      </c>
      <c r="J1398" s="98" t="s">
        <v>10</v>
      </c>
      <c r="K1398" s="98">
        <v>5698.4</v>
      </c>
      <c r="L1398" s="98">
        <v>6.4999000000000002</v>
      </c>
      <c r="M1398" s="98">
        <v>5698.4</v>
      </c>
      <c r="N1398" s="98">
        <v>6.4988999999999999</v>
      </c>
      <c r="O1398" s="99" t="s">
        <v>2164</v>
      </c>
    </row>
    <row r="1399" spans="1:15" x14ac:dyDescent="0.25">
      <c r="A1399" s="98" t="s">
        <v>54</v>
      </c>
      <c r="B1399" s="98" t="s">
        <v>62</v>
      </c>
      <c r="C1399" s="98">
        <v>22</v>
      </c>
      <c r="D1399" s="98">
        <v>60.000999999999998</v>
      </c>
      <c r="E1399" s="98">
        <v>10</v>
      </c>
      <c r="F1399" s="98" t="s">
        <v>13</v>
      </c>
      <c r="G1399" s="98" t="s">
        <v>12</v>
      </c>
      <c r="H1399" s="98">
        <v>4.4999999999999998E-2</v>
      </c>
      <c r="I1399" s="98">
        <v>1.0000100000000001</v>
      </c>
      <c r="J1399" s="98" t="s">
        <v>10</v>
      </c>
      <c r="K1399" s="98">
        <v>5799.4</v>
      </c>
      <c r="L1399" s="98">
        <v>3.3173000000000001E-2</v>
      </c>
      <c r="M1399" s="98">
        <v>5799.4</v>
      </c>
      <c r="N1399" s="98">
        <v>3.2808999999999998E-2</v>
      </c>
      <c r="O1399" s="99" t="s">
        <v>2715</v>
      </c>
    </row>
    <row r="1400" spans="1:15" x14ac:dyDescent="0.25">
      <c r="A1400" s="98" t="s">
        <v>54</v>
      </c>
      <c r="B1400" s="98" t="s">
        <v>62</v>
      </c>
      <c r="C1400" s="98">
        <v>22</v>
      </c>
      <c r="D1400" s="98">
        <v>60.000999999999998</v>
      </c>
      <c r="E1400" s="98">
        <v>10</v>
      </c>
      <c r="F1400" s="98" t="s">
        <v>13</v>
      </c>
      <c r="G1400" s="98" t="s">
        <v>12</v>
      </c>
      <c r="H1400" s="98">
        <v>1</v>
      </c>
      <c r="I1400" s="98">
        <v>5.01</v>
      </c>
      <c r="J1400" s="98" t="s">
        <v>10</v>
      </c>
      <c r="K1400" s="98">
        <v>5793.5</v>
      </c>
      <c r="L1400" s="98">
        <v>0.40619</v>
      </c>
      <c r="M1400" s="98">
        <v>5793.5</v>
      </c>
      <c r="N1400" s="98">
        <v>0.40583000000000002</v>
      </c>
      <c r="O1400" s="99" t="s">
        <v>2165</v>
      </c>
    </row>
    <row r="1401" spans="1:15" x14ac:dyDescent="0.25">
      <c r="A1401" s="98" t="s">
        <v>54</v>
      </c>
      <c r="B1401" s="98" t="s">
        <v>62</v>
      </c>
      <c r="C1401" s="98">
        <v>60</v>
      </c>
      <c r="D1401" s="98">
        <v>220.01</v>
      </c>
      <c r="E1401" s="98">
        <v>0.01</v>
      </c>
      <c r="F1401" s="98" t="s">
        <v>13</v>
      </c>
      <c r="G1401" s="98" t="s">
        <v>12</v>
      </c>
      <c r="H1401" s="98">
        <v>0.1</v>
      </c>
      <c r="I1401" s="98">
        <v>1.0000100000000001</v>
      </c>
      <c r="J1401" s="98" t="s">
        <v>10</v>
      </c>
      <c r="K1401" s="98">
        <v>30</v>
      </c>
      <c r="L1401" s="98">
        <v>2.2999999999999998</v>
      </c>
      <c r="M1401" s="98">
        <v>29.364000000000001</v>
      </c>
      <c r="N1401" s="98">
        <v>2.2879</v>
      </c>
      <c r="O1401" s="99" t="s">
        <v>2719</v>
      </c>
    </row>
    <row r="1402" spans="1:15" x14ac:dyDescent="0.25">
      <c r="A1402" s="98" t="s">
        <v>54</v>
      </c>
      <c r="B1402" s="98" t="s">
        <v>62</v>
      </c>
      <c r="C1402" s="98">
        <v>60</v>
      </c>
      <c r="D1402" s="98">
        <v>220.01</v>
      </c>
      <c r="E1402" s="98">
        <v>0.01</v>
      </c>
      <c r="F1402" s="98" t="s">
        <v>13</v>
      </c>
      <c r="G1402" s="98" t="s">
        <v>12</v>
      </c>
      <c r="H1402" s="98">
        <v>5</v>
      </c>
      <c r="I1402" s="98">
        <v>5.01</v>
      </c>
      <c r="J1402" s="98" t="s">
        <v>10</v>
      </c>
      <c r="K1402" s="98">
        <v>47</v>
      </c>
      <c r="L1402" s="98">
        <v>35</v>
      </c>
      <c r="M1402" s="98">
        <v>46.103000000000002</v>
      </c>
      <c r="N1402" s="98">
        <v>34.698999999999998</v>
      </c>
      <c r="O1402" s="99" t="s">
        <v>2167</v>
      </c>
    </row>
    <row r="1403" spans="1:15" x14ac:dyDescent="0.25">
      <c r="A1403" s="98" t="s">
        <v>54</v>
      </c>
      <c r="B1403" s="98" t="s">
        <v>62</v>
      </c>
      <c r="C1403" s="98">
        <v>60</v>
      </c>
      <c r="D1403" s="98">
        <v>220.01</v>
      </c>
      <c r="E1403" s="98">
        <v>0.01</v>
      </c>
      <c r="F1403" s="98" t="s">
        <v>13</v>
      </c>
      <c r="G1403" s="98" t="s">
        <v>12</v>
      </c>
      <c r="H1403" s="98">
        <v>1</v>
      </c>
      <c r="I1403" s="98">
        <v>5</v>
      </c>
      <c r="J1403" s="98" t="s">
        <v>10</v>
      </c>
      <c r="K1403" s="98">
        <v>47</v>
      </c>
      <c r="L1403" s="98">
        <v>35</v>
      </c>
      <c r="M1403" s="98">
        <v>46.103000000000002</v>
      </c>
      <c r="N1403" s="98">
        <v>34.698999999999998</v>
      </c>
      <c r="O1403" s="99" t="s">
        <v>2166</v>
      </c>
    </row>
    <row r="1404" spans="1:15" x14ac:dyDescent="0.25">
      <c r="A1404" s="98" t="s">
        <v>54</v>
      </c>
      <c r="B1404" s="98" t="s">
        <v>62</v>
      </c>
      <c r="C1404" s="98">
        <v>60</v>
      </c>
      <c r="D1404" s="98">
        <v>220.01</v>
      </c>
      <c r="E1404" s="98">
        <v>0.01</v>
      </c>
      <c r="F1404" s="98" t="s">
        <v>13</v>
      </c>
      <c r="G1404" s="98" t="s">
        <v>12</v>
      </c>
      <c r="H1404" s="98">
        <v>4.4999999999999998E-2</v>
      </c>
      <c r="I1404" s="98">
        <v>0.10001</v>
      </c>
      <c r="J1404" s="98" t="s">
        <v>10</v>
      </c>
      <c r="K1404" s="98">
        <v>24</v>
      </c>
      <c r="L1404" s="98">
        <v>2.1</v>
      </c>
      <c r="M1404" s="98">
        <v>23.533999999999999</v>
      </c>
      <c r="N1404" s="98">
        <v>2.0874999999999999</v>
      </c>
      <c r="O1404" s="99" t="s">
        <v>2718</v>
      </c>
    </row>
    <row r="1405" spans="1:15" x14ac:dyDescent="0.25">
      <c r="A1405" s="98" t="s">
        <v>54</v>
      </c>
      <c r="B1405" s="98" t="s">
        <v>62</v>
      </c>
      <c r="C1405" s="98">
        <v>60</v>
      </c>
      <c r="D1405" s="98">
        <v>220.01</v>
      </c>
      <c r="E1405" s="98">
        <v>0.1</v>
      </c>
      <c r="F1405" s="98" t="s">
        <v>13</v>
      </c>
      <c r="G1405" s="98" t="s">
        <v>12</v>
      </c>
      <c r="H1405" s="98">
        <v>1</v>
      </c>
      <c r="I1405" s="98">
        <v>5</v>
      </c>
      <c r="J1405" s="98" t="s">
        <v>10</v>
      </c>
      <c r="K1405" s="98">
        <v>47</v>
      </c>
      <c r="L1405" s="98">
        <v>35</v>
      </c>
      <c r="M1405" s="98">
        <v>47.146000000000001</v>
      </c>
      <c r="N1405" s="98">
        <v>34.695</v>
      </c>
      <c r="O1405" s="99" t="s">
        <v>2720</v>
      </c>
    </row>
    <row r="1406" spans="1:15" x14ac:dyDescent="0.25">
      <c r="A1406" s="98" t="s">
        <v>54</v>
      </c>
      <c r="B1406" s="98" t="s">
        <v>62</v>
      </c>
      <c r="C1406" s="98">
        <v>60</v>
      </c>
      <c r="D1406" s="98">
        <v>220.01</v>
      </c>
      <c r="E1406" s="98">
        <v>0.1</v>
      </c>
      <c r="F1406" s="98" t="s">
        <v>13</v>
      </c>
      <c r="G1406" s="98" t="s">
        <v>12</v>
      </c>
      <c r="H1406" s="98">
        <v>4.4999999999999998E-2</v>
      </c>
      <c r="I1406" s="98">
        <v>0.10001</v>
      </c>
      <c r="J1406" s="98" t="s">
        <v>10</v>
      </c>
      <c r="K1406" s="98">
        <v>37.146000000000001</v>
      </c>
      <c r="L1406" s="98">
        <v>2.0415000000000001</v>
      </c>
      <c r="M1406" s="98">
        <v>37.093000000000004</v>
      </c>
      <c r="N1406" s="98">
        <v>2.0415000000000001</v>
      </c>
      <c r="O1406" s="99" t="s">
        <v>2721</v>
      </c>
    </row>
    <row r="1407" spans="1:15" x14ac:dyDescent="0.25">
      <c r="A1407" s="98" t="s">
        <v>54</v>
      </c>
      <c r="B1407" s="98" t="s">
        <v>62</v>
      </c>
      <c r="C1407" s="98">
        <v>60</v>
      </c>
      <c r="D1407" s="98">
        <v>220.01</v>
      </c>
      <c r="E1407" s="98">
        <v>0.1</v>
      </c>
      <c r="F1407" s="98" t="s">
        <v>13</v>
      </c>
      <c r="G1407" s="98" t="s">
        <v>12</v>
      </c>
      <c r="H1407" s="98">
        <v>0.1</v>
      </c>
      <c r="I1407" s="98">
        <v>1.0000100000000001</v>
      </c>
      <c r="J1407" s="98" t="s">
        <v>10</v>
      </c>
      <c r="K1407" s="98">
        <v>41.543999999999997</v>
      </c>
      <c r="L1407" s="98">
        <v>2.2475000000000001</v>
      </c>
      <c r="M1407" s="98">
        <v>41.546999999999997</v>
      </c>
      <c r="N1407" s="98">
        <v>2.2467000000000001</v>
      </c>
      <c r="O1407" s="99" t="s">
        <v>2168</v>
      </c>
    </row>
    <row r="1408" spans="1:15" x14ac:dyDescent="0.25">
      <c r="A1408" s="98" t="s">
        <v>54</v>
      </c>
      <c r="B1408" s="98" t="s">
        <v>62</v>
      </c>
      <c r="C1408" s="98">
        <v>60</v>
      </c>
      <c r="D1408" s="98">
        <v>220.01</v>
      </c>
      <c r="E1408" s="98">
        <v>0.1</v>
      </c>
      <c r="F1408" s="98" t="s">
        <v>13</v>
      </c>
      <c r="G1408" s="98" t="s">
        <v>12</v>
      </c>
      <c r="H1408" s="98">
        <v>5</v>
      </c>
      <c r="I1408" s="98">
        <v>5.01</v>
      </c>
      <c r="J1408" s="98" t="s">
        <v>10</v>
      </c>
      <c r="K1408" s="98">
        <v>47</v>
      </c>
      <c r="L1408" s="98">
        <v>35</v>
      </c>
      <c r="M1408" s="98">
        <v>47.146000000000001</v>
      </c>
      <c r="N1408" s="98">
        <v>34.695</v>
      </c>
      <c r="O1408" s="99" t="s">
        <v>2722</v>
      </c>
    </row>
    <row r="1409" spans="1:15" x14ac:dyDescent="0.25">
      <c r="A1409" s="98" t="s">
        <v>54</v>
      </c>
      <c r="B1409" s="98" t="s">
        <v>62</v>
      </c>
      <c r="C1409" s="98">
        <v>60</v>
      </c>
      <c r="D1409" s="98">
        <v>220.01</v>
      </c>
      <c r="E1409" s="98">
        <v>1</v>
      </c>
      <c r="F1409" s="98" t="s">
        <v>13</v>
      </c>
      <c r="G1409" s="98" t="s">
        <v>12</v>
      </c>
      <c r="H1409" s="98">
        <v>5</v>
      </c>
      <c r="I1409" s="98">
        <v>5.01</v>
      </c>
      <c r="J1409" s="98" t="s">
        <v>10</v>
      </c>
      <c r="K1409" s="98">
        <v>127.73</v>
      </c>
      <c r="L1409" s="98">
        <v>34.633000000000003</v>
      </c>
      <c r="M1409" s="98">
        <v>144.69999999999999</v>
      </c>
      <c r="N1409" s="98">
        <v>34.35</v>
      </c>
      <c r="O1409" s="99" t="s">
        <v>2169</v>
      </c>
    </row>
    <row r="1410" spans="1:15" x14ac:dyDescent="0.25">
      <c r="A1410" s="98" t="s">
        <v>54</v>
      </c>
      <c r="B1410" s="98" t="s">
        <v>62</v>
      </c>
      <c r="C1410" s="98">
        <v>60</v>
      </c>
      <c r="D1410" s="98">
        <v>220.01</v>
      </c>
      <c r="E1410" s="98">
        <v>1</v>
      </c>
      <c r="F1410" s="98" t="s">
        <v>13</v>
      </c>
      <c r="G1410" s="98" t="s">
        <v>12</v>
      </c>
      <c r="H1410" s="98">
        <v>1</v>
      </c>
      <c r="I1410" s="98">
        <v>5</v>
      </c>
      <c r="J1410" s="98" t="s">
        <v>10</v>
      </c>
      <c r="K1410" s="98">
        <v>127.73</v>
      </c>
      <c r="L1410" s="98">
        <v>34.633000000000003</v>
      </c>
      <c r="M1410" s="98">
        <v>144.69999999999999</v>
      </c>
      <c r="N1410" s="98">
        <v>34.35</v>
      </c>
      <c r="O1410" s="99" t="s">
        <v>2723</v>
      </c>
    </row>
    <row r="1411" spans="1:15" x14ac:dyDescent="0.25">
      <c r="A1411" s="98" t="s">
        <v>54</v>
      </c>
      <c r="B1411" s="98" t="s">
        <v>62</v>
      </c>
      <c r="C1411" s="98">
        <v>60</v>
      </c>
      <c r="D1411" s="98">
        <v>220.01</v>
      </c>
      <c r="E1411" s="98">
        <v>1</v>
      </c>
      <c r="F1411" s="98" t="s">
        <v>13</v>
      </c>
      <c r="G1411" s="98" t="s">
        <v>12</v>
      </c>
      <c r="H1411" s="98">
        <v>4.4999999999999998E-2</v>
      </c>
      <c r="I1411" s="98">
        <v>0.10001</v>
      </c>
      <c r="J1411" s="98" t="s">
        <v>10</v>
      </c>
      <c r="K1411" s="98">
        <v>540.32000000000005</v>
      </c>
      <c r="L1411" s="98">
        <v>0.97470999999999997</v>
      </c>
      <c r="M1411" s="98">
        <v>540.29999999999995</v>
      </c>
      <c r="N1411" s="98">
        <v>0.97416999999999998</v>
      </c>
      <c r="O1411" s="99" t="s">
        <v>2170</v>
      </c>
    </row>
    <row r="1412" spans="1:15" x14ac:dyDescent="0.25">
      <c r="A1412" s="98" t="s">
        <v>54</v>
      </c>
      <c r="B1412" s="98" t="s">
        <v>62</v>
      </c>
      <c r="C1412" s="98">
        <v>60</v>
      </c>
      <c r="D1412" s="98">
        <v>220.01</v>
      </c>
      <c r="E1412" s="98">
        <v>1</v>
      </c>
      <c r="F1412" s="98" t="s">
        <v>13</v>
      </c>
      <c r="G1412" s="98" t="s">
        <v>12</v>
      </c>
      <c r="H1412" s="98">
        <v>0.1</v>
      </c>
      <c r="I1412" s="98">
        <v>1.0000100000000001</v>
      </c>
      <c r="J1412" s="98" t="s">
        <v>10</v>
      </c>
      <c r="K1412" s="98">
        <v>534.45000000000005</v>
      </c>
      <c r="L1412" s="98">
        <v>1.1508</v>
      </c>
      <c r="M1412" s="98">
        <v>534.41999999999996</v>
      </c>
      <c r="N1412" s="98">
        <v>1.1503000000000001</v>
      </c>
      <c r="O1412" s="99" t="s">
        <v>2171</v>
      </c>
    </row>
    <row r="1413" spans="1:15" x14ac:dyDescent="0.25">
      <c r="A1413" s="98" t="s">
        <v>54</v>
      </c>
      <c r="B1413" s="98" t="s">
        <v>62</v>
      </c>
      <c r="C1413" s="98">
        <v>60</v>
      </c>
      <c r="D1413" s="98">
        <v>220.01</v>
      </c>
      <c r="E1413" s="98">
        <v>10</v>
      </c>
      <c r="F1413" s="98" t="s">
        <v>13</v>
      </c>
      <c r="G1413" s="98" t="s">
        <v>12</v>
      </c>
      <c r="H1413" s="98">
        <v>1</v>
      </c>
      <c r="I1413" s="98">
        <v>5</v>
      </c>
      <c r="J1413" s="98" t="s">
        <v>10</v>
      </c>
      <c r="K1413" s="98">
        <v>4885.8999999999996</v>
      </c>
      <c r="L1413" s="98">
        <v>21.536999999999999</v>
      </c>
      <c r="M1413" s="98">
        <v>4885.8999999999996</v>
      </c>
      <c r="N1413" s="98">
        <v>21.536999999999999</v>
      </c>
      <c r="O1413" s="99" t="s">
        <v>2174</v>
      </c>
    </row>
    <row r="1414" spans="1:15" x14ac:dyDescent="0.25">
      <c r="A1414" s="98" t="s">
        <v>54</v>
      </c>
      <c r="B1414" s="98" t="s">
        <v>62</v>
      </c>
      <c r="C1414" s="98">
        <v>60</v>
      </c>
      <c r="D1414" s="98">
        <v>220.01</v>
      </c>
      <c r="E1414" s="98">
        <v>10</v>
      </c>
      <c r="F1414" s="98" t="s">
        <v>13</v>
      </c>
      <c r="G1414" s="98" t="s">
        <v>12</v>
      </c>
      <c r="H1414" s="98">
        <v>4.4999999999999998E-2</v>
      </c>
      <c r="I1414" s="98">
        <v>0.10001</v>
      </c>
      <c r="J1414" s="98" t="s">
        <v>10</v>
      </c>
      <c r="K1414" s="98">
        <v>5795.1</v>
      </c>
      <c r="L1414" s="98">
        <v>0.11376</v>
      </c>
      <c r="M1414" s="98">
        <v>5795.1</v>
      </c>
      <c r="N1414" s="98">
        <v>0.11344</v>
      </c>
      <c r="O1414" s="99" t="s">
        <v>2175</v>
      </c>
    </row>
    <row r="1415" spans="1:15" x14ac:dyDescent="0.25">
      <c r="A1415" s="98" t="s">
        <v>54</v>
      </c>
      <c r="B1415" s="98" t="s">
        <v>62</v>
      </c>
      <c r="C1415" s="98">
        <v>60</v>
      </c>
      <c r="D1415" s="98">
        <v>220.01</v>
      </c>
      <c r="E1415" s="98">
        <v>10</v>
      </c>
      <c r="F1415" s="98" t="s">
        <v>13</v>
      </c>
      <c r="G1415" s="98" t="s">
        <v>12</v>
      </c>
      <c r="H1415" s="98">
        <v>5</v>
      </c>
      <c r="I1415" s="98">
        <v>5.01</v>
      </c>
      <c r="J1415" s="98" t="s">
        <v>10</v>
      </c>
      <c r="K1415" s="98">
        <v>4885.8999999999996</v>
      </c>
      <c r="L1415" s="98">
        <v>21.536999999999999</v>
      </c>
      <c r="M1415" s="98">
        <v>4885.8999999999996</v>
      </c>
      <c r="N1415" s="98">
        <v>21.536999999999999</v>
      </c>
      <c r="O1415" s="99" t="s">
        <v>2172</v>
      </c>
    </row>
    <row r="1416" spans="1:15" x14ac:dyDescent="0.25">
      <c r="A1416" s="98" t="s">
        <v>54</v>
      </c>
      <c r="B1416" s="98" t="s">
        <v>62</v>
      </c>
      <c r="C1416" s="98">
        <v>60</v>
      </c>
      <c r="D1416" s="98">
        <v>220.01</v>
      </c>
      <c r="E1416" s="98">
        <v>10</v>
      </c>
      <c r="F1416" s="98" t="s">
        <v>13</v>
      </c>
      <c r="G1416" s="98" t="s">
        <v>12</v>
      </c>
      <c r="H1416" s="98">
        <v>0.1</v>
      </c>
      <c r="I1416" s="98">
        <v>1.0000100000000001</v>
      </c>
      <c r="J1416" s="98" t="s">
        <v>10</v>
      </c>
      <c r="K1416" s="98">
        <v>5794.1</v>
      </c>
      <c r="L1416" s="98">
        <v>0.13793</v>
      </c>
      <c r="M1416" s="98">
        <v>5794.1</v>
      </c>
      <c r="N1416" s="98">
        <v>0.13761000000000001</v>
      </c>
      <c r="O1416" s="99" t="s">
        <v>2173</v>
      </c>
    </row>
    <row r="1417" spans="1:15" x14ac:dyDescent="0.25">
      <c r="A1417" s="98" t="s">
        <v>54</v>
      </c>
      <c r="B1417" s="98" t="s">
        <v>62</v>
      </c>
      <c r="C1417" s="98">
        <v>60</v>
      </c>
      <c r="D1417" s="98">
        <v>220.01</v>
      </c>
      <c r="E1417" s="98">
        <v>100</v>
      </c>
      <c r="F1417" s="98" t="s">
        <v>13</v>
      </c>
      <c r="G1417" s="98" t="s">
        <v>12</v>
      </c>
      <c r="H1417" s="98">
        <v>0.1</v>
      </c>
      <c r="I1417" s="98">
        <v>1.0000100000000001</v>
      </c>
      <c r="J1417" s="98" t="s">
        <v>10</v>
      </c>
      <c r="K1417" s="98">
        <v>58000</v>
      </c>
      <c r="L1417" s="98">
        <v>1.392E-2</v>
      </c>
      <c r="M1417" s="98">
        <v>58000</v>
      </c>
      <c r="N1417" s="98">
        <v>1.3793E-2</v>
      </c>
      <c r="O1417" s="99" t="s">
        <v>2178</v>
      </c>
    </row>
    <row r="1418" spans="1:15" x14ac:dyDescent="0.25">
      <c r="A1418" s="98" t="s">
        <v>54</v>
      </c>
      <c r="B1418" s="98" t="s">
        <v>62</v>
      </c>
      <c r="C1418" s="98">
        <v>60</v>
      </c>
      <c r="D1418" s="98">
        <v>220.01</v>
      </c>
      <c r="E1418" s="98">
        <v>100</v>
      </c>
      <c r="F1418" s="98" t="s">
        <v>13</v>
      </c>
      <c r="G1418" s="98" t="s">
        <v>12</v>
      </c>
      <c r="H1418" s="98">
        <v>1</v>
      </c>
      <c r="I1418" s="98">
        <v>5</v>
      </c>
      <c r="J1418" s="98" t="s">
        <v>10</v>
      </c>
      <c r="K1418" s="98">
        <v>57864</v>
      </c>
      <c r="L1418" s="98">
        <v>2.9205000000000001</v>
      </c>
      <c r="M1418" s="98">
        <v>57864</v>
      </c>
      <c r="N1418" s="98">
        <v>2.9201000000000001</v>
      </c>
      <c r="O1418" s="99" t="s">
        <v>2176</v>
      </c>
    </row>
    <row r="1419" spans="1:15" x14ac:dyDescent="0.25">
      <c r="A1419" s="98" t="s">
        <v>54</v>
      </c>
      <c r="B1419" s="98" t="s">
        <v>62</v>
      </c>
      <c r="C1419" s="98">
        <v>60</v>
      </c>
      <c r="D1419" s="98">
        <v>220.01</v>
      </c>
      <c r="E1419" s="98">
        <v>100</v>
      </c>
      <c r="F1419" s="98" t="s">
        <v>13</v>
      </c>
      <c r="G1419" s="98" t="s">
        <v>12</v>
      </c>
      <c r="H1419" s="98">
        <v>4.4999999999999998E-2</v>
      </c>
      <c r="I1419" s="98">
        <v>0.10001</v>
      </c>
      <c r="J1419" s="98" t="s">
        <v>10</v>
      </c>
      <c r="K1419" s="98">
        <v>58000</v>
      </c>
      <c r="L1419" s="98">
        <v>1.1493E-2</v>
      </c>
      <c r="M1419" s="98">
        <v>58000</v>
      </c>
      <c r="N1419" s="98">
        <v>1.1365E-2</v>
      </c>
      <c r="O1419" s="99" t="s">
        <v>2179</v>
      </c>
    </row>
    <row r="1420" spans="1:15" x14ac:dyDescent="0.25">
      <c r="A1420" s="98" t="s">
        <v>54</v>
      </c>
      <c r="B1420" s="98" t="s">
        <v>62</v>
      </c>
      <c r="C1420" s="98">
        <v>60</v>
      </c>
      <c r="D1420" s="98">
        <v>220.01</v>
      </c>
      <c r="E1420" s="98">
        <v>100</v>
      </c>
      <c r="F1420" s="98" t="s">
        <v>13</v>
      </c>
      <c r="G1420" s="98" t="s">
        <v>12</v>
      </c>
      <c r="H1420" s="98">
        <v>5</v>
      </c>
      <c r="I1420" s="98">
        <v>5.01</v>
      </c>
      <c r="J1420" s="98" t="s">
        <v>10</v>
      </c>
      <c r="K1420" s="98">
        <v>57864</v>
      </c>
      <c r="L1420" s="98">
        <v>2.9205000000000001</v>
      </c>
      <c r="M1420" s="98">
        <v>57864</v>
      </c>
      <c r="N1420" s="98">
        <v>2.9201000000000001</v>
      </c>
      <c r="O1420" s="99" t="s">
        <v>2177</v>
      </c>
    </row>
    <row r="1421" spans="1:15" x14ac:dyDescent="0.25">
      <c r="A1421" s="98" t="s">
        <v>54</v>
      </c>
      <c r="B1421" s="98" t="s">
        <v>62</v>
      </c>
      <c r="C1421" s="98">
        <v>220</v>
      </c>
      <c r="D1421" s="98">
        <v>410.01</v>
      </c>
      <c r="E1421" s="98">
        <v>0.01</v>
      </c>
      <c r="F1421" s="98" t="s">
        <v>13</v>
      </c>
      <c r="G1421" s="98" t="s">
        <v>12</v>
      </c>
      <c r="H1421" s="98">
        <v>4.4999999999999998E-2</v>
      </c>
      <c r="I1421" s="98">
        <v>0.10001</v>
      </c>
      <c r="J1421" s="98" t="s">
        <v>10</v>
      </c>
      <c r="K1421" s="98">
        <v>84</v>
      </c>
      <c r="L1421" s="98">
        <v>2.4</v>
      </c>
      <c r="M1421" s="98">
        <v>76.977999999999994</v>
      </c>
      <c r="N1421" s="98">
        <v>2.4161000000000001</v>
      </c>
      <c r="O1421" s="99" t="s">
        <v>2181</v>
      </c>
    </row>
    <row r="1422" spans="1:15" x14ac:dyDescent="0.25">
      <c r="A1422" s="98" t="s">
        <v>54</v>
      </c>
      <c r="B1422" s="98" t="s">
        <v>62</v>
      </c>
      <c r="C1422" s="98">
        <v>220</v>
      </c>
      <c r="D1422" s="98">
        <v>410.01</v>
      </c>
      <c r="E1422" s="98">
        <v>0.01</v>
      </c>
      <c r="F1422" s="98" t="s">
        <v>13</v>
      </c>
      <c r="G1422" s="98" t="s">
        <v>12</v>
      </c>
      <c r="H1422" s="98">
        <v>5</v>
      </c>
      <c r="I1422" s="98">
        <v>5.01</v>
      </c>
      <c r="J1422" s="98" t="s">
        <v>10</v>
      </c>
      <c r="K1422" s="98">
        <v>120</v>
      </c>
      <c r="L1422" s="98">
        <v>35</v>
      </c>
      <c r="M1422" s="98">
        <v>115.22</v>
      </c>
      <c r="N1422" s="98">
        <v>34.698999999999998</v>
      </c>
      <c r="O1422" s="99" t="s">
        <v>2183</v>
      </c>
    </row>
    <row r="1423" spans="1:15" x14ac:dyDescent="0.25">
      <c r="A1423" s="98" t="s">
        <v>54</v>
      </c>
      <c r="B1423" s="98" t="s">
        <v>62</v>
      </c>
      <c r="C1423" s="98">
        <v>220</v>
      </c>
      <c r="D1423" s="98">
        <v>410.01</v>
      </c>
      <c r="E1423" s="98">
        <v>0.01</v>
      </c>
      <c r="F1423" s="98" t="s">
        <v>13</v>
      </c>
      <c r="G1423" s="98" t="s">
        <v>12</v>
      </c>
      <c r="H1423" s="98">
        <v>0.1</v>
      </c>
      <c r="I1423" s="98">
        <v>1.0000100000000001</v>
      </c>
      <c r="J1423" s="98" t="s">
        <v>10</v>
      </c>
      <c r="K1423" s="98">
        <v>98</v>
      </c>
      <c r="L1423" s="98">
        <v>2.6</v>
      </c>
      <c r="M1423" s="98">
        <v>84.28</v>
      </c>
      <c r="N1423" s="98">
        <v>2.6326000000000001</v>
      </c>
      <c r="O1423" s="99" t="s">
        <v>2182</v>
      </c>
    </row>
    <row r="1424" spans="1:15" x14ac:dyDescent="0.25">
      <c r="A1424" s="98" t="s">
        <v>54</v>
      </c>
      <c r="B1424" s="98" t="s">
        <v>62</v>
      </c>
      <c r="C1424" s="98">
        <v>220</v>
      </c>
      <c r="D1424" s="98">
        <v>410.01</v>
      </c>
      <c r="E1424" s="98">
        <v>0.01</v>
      </c>
      <c r="F1424" s="98" t="s">
        <v>13</v>
      </c>
      <c r="G1424" s="98" t="s">
        <v>12</v>
      </c>
      <c r="H1424" s="98">
        <v>1</v>
      </c>
      <c r="I1424" s="98">
        <v>5</v>
      </c>
      <c r="J1424" s="98" t="s">
        <v>10</v>
      </c>
      <c r="K1424" s="98">
        <v>120</v>
      </c>
      <c r="L1424" s="98">
        <v>35</v>
      </c>
      <c r="M1424" s="98">
        <v>115.22</v>
      </c>
      <c r="N1424" s="98">
        <v>34.698999999999998</v>
      </c>
      <c r="O1424" s="99" t="s">
        <v>2180</v>
      </c>
    </row>
    <row r="1425" spans="1:15" x14ac:dyDescent="0.25">
      <c r="A1425" s="98" t="s">
        <v>54</v>
      </c>
      <c r="B1425" s="98" t="s">
        <v>62</v>
      </c>
      <c r="C1425" s="98">
        <v>220</v>
      </c>
      <c r="D1425" s="98">
        <v>410.01</v>
      </c>
      <c r="E1425" s="98">
        <v>0.1</v>
      </c>
      <c r="F1425" s="98" t="s">
        <v>13</v>
      </c>
      <c r="G1425" s="98" t="s">
        <v>12</v>
      </c>
      <c r="H1425" s="98">
        <v>1</v>
      </c>
      <c r="I1425" s="98">
        <v>5</v>
      </c>
      <c r="J1425" s="98" t="s">
        <v>10</v>
      </c>
      <c r="K1425" s="98">
        <v>120</v>
      </c>
      <c r="L1425" s="98">
        <v>35</v>
      </c>
      <c r="M1425" s="98">
        <v>115.69</v>
      </c>
      <c r="N1425" s="98">
        <v>34.698</v>
      </c>
      <c r="O1425" s="99" t="s">
        <v>2184</v>
      </c>
    </row>
    <row r="1426" spans="1:15" x14ac:dyDescent="0.25">
      <c r="A1426" s="98" t="s">
        <v>54</v>
      </c>
      <c r="B1426" s="98" t="s">
        <v>62</v>
      </c>
      <c r="C1426" s="98">
        <v>220</v>
      </c>
      <c r="D1426" s="98">
        <v>410.01</v>
      </c>
      <c r="E1426" s="98">
        <v>0.1</v>
      </c>
      <c r="F1426" s="98" t="s">
        <v>13</v>
      </c>
      <c r="G1426" s="98" t="s">
        <v>12</v>
      </c>
      <c r="H1426" s="98">
        <v>5</v>
      </c>
      <c r="I1426" s="98">
        <v>5.01</v>
      </c>
      <c r="J1426" s="98" t="s">
        <v>10</v>
      </c>
      <c r="K1426" s="98">
        <v>120</v>
      </c>
      <c r="L1426" s="98">
        <v>35</v>
      </c>
      <c r="M1426" s="98">
        <v>115.69</v>
      </c>
      <c r="N1426" s="98">
        <v>34.698</v>
      </c>
      <c r="O1426" s="99" t="s">
        <v>2187</v>
      </c>
    </row>
    <row r="1427" spans="1:15" x14ac:dyDescent="0.25">
      <c r="A1427" s="98" t="s">
        <v>54</v>
      </c>
      <c r="B1427" s="98" t="s">
        <v>62</v>
      </c>
      <c r="C1427" s="98">
        <v>220</v>
      </c>
      <c r="D1427" s="98">
        <v>410.01</v>
      </c>
      <c r="E1427" s="98">
        <v>0.1</v>
      </c>
      <c r="F1427" s="98" t="s">
        <v>13</v>
      </c>
      <c r="G1427" s="98" t="s">
        <v>12</v>
      </c>
      <c r="H1427" s="98">
        <v>4.4999999999999998E-2</v>
      </c>
      <c r="I1427" s="98">
        <v>0.10001</v>
      </c>
      <c r="J1427" s="98" t="s">
        <v>10</v>
      </c>
      <c r="K1427" s="98">
        <v>84</v>
      </c>
      <c r="L1427" s="98">
        <v>2.4068999999999998</v>
      </c>
      <c r="M1427" s="98">
        <v>81.076999999999998</v>
      </c>
      <c r="N1427" s="98">
        <v>2.4098999999999999</v>
      </c>
      <c r="O1427" s="99" t="s">
        <v>2186</v>
      </c>
    </row>
    <row r="1428" spans="1:15" x14ac:dyDescent="0.25">
      <c r="A1428" s="98" t="s">
        <v>54</v>
      </c>
      <c r="B1428" s="98" t="s">
        <v>62</v>
      </c>
      <c r="C1428" s="98">
        <v>220</v>
      </c>
      <c r="D1428" s="98">
        <v>410.01</v>
      </c>
      <c r="E1428" s="98">
        <v>0.1</v>
      </c>
      <c r="F1428" s="98" t="s">
        <v>13</v>
      </c>
      <c r="G1428" s="98" t="s">
        <v>12</v>
      </c>
      <c r="H1428" s="98">
        <v>0.1</v>
      </c>
      <c r="I1428" s="98">
        <v>1.0000100000000001</v>
      </c>
      <c r="J1428" s="98" t="s">
        <v>10</v>
      </c>
      <c r="K1428" s="98">
        <v>98</v>
      </c>
      <c r="L1428" s="98">
        <v>2.6065</v>
      </c>
      <c r="M1428" s="98">
        <v>88.046000000000006</v>
      </c>
      <c r="N1428" s="98">
        <v>2.6269</v>
      </c>
      <c r="O1428" s="99" t="s">
        <v>2185</v>
      </c>
    </row>
    <row r="1429" spans="1:15" x14ac:dyDescent="0.25">
      <c r="A1429" s="98" t="s">
        <v>54</v>
      </c>
      <c r="B1429" s="98" t="s">
        <v>62</v>
      </c>
      <c r="C1429" s="98">
        <v>220</v>
      </c>
      <c r="D1429" s="98">
        <v>410.01</v>
      </c>
      <c r="E1429" s="98">
        <v>1</v>
      </c>
      <c r="F1429" s="98" t="s">
        <v>13</v>
      </c>
      <c r="G1429" s="98" t="s">
        <v>12</v>
      </c>
      <c r="H1429" s="98">
        <v>5</v>
      </c>
      <c r="I1429" s="98">
        <v>5.01</v>
      </c>
      <c r="J1429" s="98" t="s">
        <v>10</v>
      </c>
      <c r="K1429" s="98">
        <v>120</v>
      </c>
      <c r="L1429" s="98">
        <v>35</v>
      </c>
      <c r="M1429" s="98">
        <v>148.62</v>
      </c>
      <c r="N1429" s="98">
        <v>34.646000000000001</v>
      </c>
      <c r="O1429" s="99" t="s">
        <v>2188</v>
      </c>
    </row>
    <row r="1430" spans="1:15" x14ac:dyDescent="0.25">
      <c r="A1430" s="98" t="s">
        <v>54</v>
      </c>
      <c r="B1430" s="98" t="s">
        <v>62</v>
      </c>
      <c r="C1430" s="98">
        <v>220</v>
      </c>
      <c r="D1430" s="98">
        <v>410.01</v>
      </c>
      <c r="E1430" s="98">
        <v>1</v>
      </c>
      <c r="F1430" s="98" t="s">
        <v>13</v>
      </c>
      <c r="G1430" s="98" t="s">
        <v>12</v>
      </c>
      <c r="H1430" s="98">
        <v>0.1</v>
      </c>
      <c r="I1430" s="98">
        <v>1.0000100000000001</v>
      </c>
      <c r="J1430" s="98" t="s">
        <v>10</v>
      </c>
      <c r="K1430" s="98">
        <v>396.27</v>
      </c>
      <c r="L1430" s="98">
        <v>2.2061000000000002</v>
      </c>
      <c r="M1430" s="98">
        <v>396.12</v>
      </c>
      <c r="N1430" s="98">
        <v>2.2050000000000001</v>
      </c>
      <c r="O1430" s="99" t="s">
        <v>2190</v>
      </c>
    </row>
    <row r="1431" spans="1:15" x14ac:dyDescent="0.25">
      <c r="A1431" s="98" t="s">
        <v>54</v>
      </c>
      <c r="B1431" s="98" t="s">
        <v>62</v>
      </c>
      <c r="C1431" s="98">
        <v>220</v>
      </c>
      <c r="D1431" s="98">
        <v>410.01</v>
      </c>
      <c r="E1431" s="98">
        <v>1</v>
      </c>
      <c r="F1431" s="98" t="s">
        <v>13</v>
      </c>
      <c r="G1431" s="98" t="s">
        <v>12</v>
      </c>
      <c r="H1431" s="98">
        <v>1</v>
      </c>
      <c r="I1431" s="98">
        <v>5</v>
      </c>
      <c r="J1431" s="98" t="s">
        <v>10</v>
      </c>
      <c r="K1431" s="98">
        <v>120</v>
      </c>
      <c r="L1431" s="98">
        <v>35</v>
      </c>
      <c r="M1431" s="98">
        <v>148.62</v>
      </c>
      <c r="N1431" s="98">
        <v>34.646000000000001</v>
      </c>
      <c r="O1431" s="99" t="s">
        <v>2191</v>
      </c>
    </row>
    <row r="1432" spans="1:15" x14ac:dyDescent="0.25">
      <c r="A1432" s="98" t="s">
        <v>54</v>
      </c>
      <c r="B1432" s="98" t="s">
        <v>62</v>
      </c>
      <c r="C1432" s="98">
        <v>220</v>
      </c>
      <c r="D1432" s="98">
        <v>410.01</v>
      </c>
      <c r="E1432" s="98">
        <v>1</v>
      </c>
      <c r="F1432" s="98" t="s">
        <v>13</v>
      </c>
      <c r="G1432" s="98" t="s">
        <v>12</v>
      </c>
      <c r="H1432" s="98">
        <v>4.4999999999999998E-2</v>
      </c>
      <c r="I1432" s="98">
        <v>0.10001</v>
      </c>
      <c r="J1432" s="98" t="s">
        <v>10</v>
      </c>
      <c r="K1432" s="98">
        <v>407.38</v>
      </c>
      <c r="L1432" s="98">
        <v>1.9712000000000001</v>
      </c>
      <c r="M1432" s="98">
        <v>407.21</v>
      </c>
      <c r="N1432" s="98">
        <v>1.9701</v>
      </c>
      <c r="O1432" s="99" t="s">
        <v>2189</v>
      </c>
    </row>
    <row r="1433" spans="1:15" x14ac:dyDescent="0.25">
      <c r="A1433" s="98" t="s">
        <v>54</v>
      </c>
      <c r="B1433" s="98" t="s">
        <v>62</v>
      </c>
      <c r="C1433" s="98">
        <v>220</v>
      </c>
      <c r="D1433" s="98">
        <v>410.01</v>
      </c>
      <c r="E1433" s="98">
        <v>10</v>
      </c>
      <c r="F1433" s="98" t="s">
        <v>13</v>
      </c>
      <c r="G1433" s="98" t="s">
        <v>12</v>
      </c>
      <c r="H1433" s="98">
        <v>1</v>
      </c>
      <c r="I1433" s="98">
        <v>5</v>
      </c>
      <c r="J1433" s="98" t="s">
        <v>10</v>
      </c>
      <c r="K1433" s="98">
        <v>2974.4</v>
      </c>
      <c r="L1433" s="98">
        <v>30.478999999999999</v>
      </c>
      <c r="M1433" s="98">
        <v>2973.8</v>
      </c>
      <c r="N1433" s="98">
        <v>30.478999999999999</v>
      </c>
      <c r="O1433" s="99" t="s">
        <v>2193</v>
      </c>
    </row>
    <row r="1434" spans="1:15" x14ac:dyDescent="0.25">
      <c r="A1434" s="98" t="s">
        <v>54</v>
      </c>
      <c r="B1434" s="98" t="s">
        <v>62</v>
      </c>
      <c r="C1434" s="98">
        <v>220</v>
      </c>
      <c r="D1434" s="98">
        <v>410.01</v>
      </c>
      <c r="E1434" s="98">
        <v>10</v>
      </c>
      <c r="F1434" s="98" t="s">
        <v>13</v>
      </c>
      <c r="G1434" s="98" t="s">
        <v>12</v>
      </c>
      <c r="H1434" s="98">
        <v>4.4999999999999998E-2</v>
      </c>
      <c r="I1434" s="98">
        <v>0.10001</v>
      </c>
      <c r="J1434" s="98" t="s">
        <v>10</v>
      </c>
      <c r="K1434" s="98">
        <v>5755.8</v>
      </c>
      <c r="L1434" s="98">
        <v>0.34672999999999998</v>
      </c>
      <c r="M1434" s="98">
        <v>5755.9</v>
      </c>
      <c r="N1434" s="98">
        <v>0.34526000000000001</v>
      </c>
      <c r="O1434" s="99" t="s">
        <v>2724</v>
      </c>
    </row>
    <row r="1435" spans="1:15" x14ac:dyDescent="0.25">
      <c r="A1435" s="98" t="s">
        <v>54</v>
      </c>
      <c r="B1435" s="98" t="s">
        <v>62</v>
      </c>
      <c r="C1435" s="98">
        <v>220</v>
      </c>
      <c r="D1435" s="98">
        <v>410.01</v>
      </c>
      <c r="E1435" s="98">
        <v>10</v>
      </c>
      <c r="F1435" s="98" t="s">
        <v>13</v>
      </c>
      <c r="G1435" s="98" t="s">
        <v>12</v>
      </c>
      <c r="H1435" s="98">
        <v>0.1</v>
      </c>
      <c r="I1435" s="98">
        <v>1.0000100000000001</v>
      </c>
      <c r="J1435" s="98" t="s">
        <v>10</v>
      </c>
      <c r="K1435" s="98">
        <v>5747.7</v>
      </c>
      <c r="L1435" s="98">
        <v>0.41071000000000002</v>
      </c>
      <c r="M1435" s="98">
        <v>5747.8</v>
      </c>
      <c r="N1435" s="98">
        <v>0.40925</v>
      </c>
      <c r="O1435" s="99" t="s">
        <v>2192</v>
      </c>
    </row>
    <row r="1436" spans="1:15" x14ac:dyDescent="0.25">
      <c r="A1436" s="98" t="s">
        <v>54</v>
      </c>
      <c r="B1436" s="98" t="s">
        <v>62</v>
      </c>
      <c r="C1436" s="98">
        <v>220</v>
      </c>
      <c r="D1436" s="98">
        <v>410.01</v>
      </c>
      <c r="E1436" s="98">
        <v>10</v>
      </c>
      <c r="F1436" s="98" t="s">
        <v>13</v>
      </c>
      <c r="G1436" s="98" t="s">
        <v>12</v>
      </c>
      <c r="H1436" s="98">
        <v>5</v>
      </c>
      <c r="I1436" s="98">
        <v>5.01</v>
      </c>
      <c r="J1436" s="98" t="s">
        <v>10</v>
      </c>
      <c r="K1436" s="98">
        <v>2974.4</v>
      </c>
      <c r="L1436" s="98">
        <v>30.478999999999999</v>
      </c>
      <c r="M1436" s="98">
        <v>2973.8</v>
      </c>
      <c r="N1436" s="98">
        <v>30.478999999999999</v>
      </c>
      <c r="O1436" s="99" t="s">
        <v>2194</v>
      </c>
    </row>
    <row r="1437" spans="1:15" x14ac:dyDescent="0.25">
      <c r="A1437" s="98" t="s">
        <v>54</v>
      </c>
      <c r="B1437" s="98" t="s">
        <v>62</v>
      </c>
      <c r="C1437" s="98">
        <v>220</v>
      </c>
      <c r="D1437" s="98">
        <v>410.01</v>
      </c>
      <c r="E1437" s="98">
        <v>100</v>
      </c>
      <c r="F1437" s="98" t="s">
        <v>13</v>
      </c>
      <c r="G1437" s="98" t="s">
        <v>12</v>
      </c>
      <c r="H1437" s="98">
        <v>0.1</v>
      </c>
      <c r="I1437" s="98">
        <v>1.0000100000000001</v>
      </c>
      <c r="J1437" s="98" t="s">
        <v>10</v>
      </c>
      <c r="K1437" s="98">
        <v>57995</v>
      </c>
      <c r="L1437" s="98">
        <v>4.2063000000000003E-2</v>
      </c>
      <c r="M1437" s="98">
        <v>57995</v>
      </c>
      <c r="N1437" s="98">
        <v>4.1459999999999997E-2</v>
      </c>
      <c r="O1437" s="99" t="s">
        <v>2195</v>
      </c>
    </row>
    <row r="1438" spans="1:15" x14ac:dyDescent="0.25">
      <c r="A1438" s="98" t="s">
        <v>54</v>
      </c>
      <c r="B1438" s="98" t="s">
        <v>62</v>
      </c>
      <c r="C1438" s="98">
        <v>220</v>
      </c>
      <c r="D1438" s="98">
        <v>410.01</v>
      </c>
      <c r="E1438" s="98">
        <v>100</v>
      </c>
      <c r="F1438" s="98" t="s">
        <v>13</v>
      </c>
      <c r="G1438" s="98" t="s">
        <v>12</v>
      </c>
      <c r="H1438" s="98">
        <v>4.4999999999999998E-2</v>
      </c>
      <c r="I1438" s="98">
        <v>0.10001</v>
      </c>
      <c r="J1438" s="98" t="s">
        <v>10</v>
      </c>
      <c r="K1438" s="98">
        <v>57996</v>
      </c>
      <c r="L1438" s="98">
        <v>3.551E-2</v>
      </c>
      <c r="M1438" s="98">
        <v>57996</v>
      </c>
      <c r="N1438" s="98">
        <v>3.4907000000000001E-2</v>
      </c>
      <c r="O1438" s="99" t="s">
        <v>2196</v>
      </c>
    </row>
    <row r="1439" spans="1:15" x14ac:dyDescent="0.25">
      <c r="A1439" s="98" t="s">
        <v>54</v>
      </c>
      <c r="B1439" s="98" t="s">
        <v>62</v>
      </c>
      <c r="C1439" s="98">
        <v>220</v>
      </c>
      <c r="D1439" s="98">
        <v>410.01</v>
      </c>
      <c r="E1439" s="98">
        <v>100</v>
      </c>
      <c r="F1439" s="98" t="s">
        <v>13</v>
      </c>
      <c r="G1439" s="98" t="s">
        <v>12</v>
      </c>
      <c r="H1439" s="98">
        <v>5</v>
      </c>
      <c r="I1439" s="98">
        <v>5.01</v>
      </c>
      <c r="J1439" s="98" t="s">
        <v>10</v>
      </c>
      <c r="K1439" s="98">
        <v>57090</v>
      </c>
      <c r="L1439" s="98">
        <v>6.4831000000000003</v>
      </c>
      <c r="M1439" s="98">
        <v>57090</v>
      </c>
      <c r="N1439" s="98">
        <v>6.4816000000000003</v>
      </c>
      <c r="O1439" s="99" t="s">
        <v>2725</v>
      </c>
    </row>
    <row r="1440" spans="1:15" x14ac:dyDescent="0.25">
      <c r="A1440" s="98" t="s">
        <v>54</v>
      </c>
      <c r="B1440" s="98" t="s">
        <v>62</v>
      </c>
      <c r="C1440" s="98">
        <v>220</v>
      </c>
      <c r="D1440" s="98">
        <v>410.01</v>
      </c>
      <c r="E1440" s="98">
        <v>100</v>
      </c>
      <c r="F1440" s="98" t="s">
        <v>13</v>
      </c>
      <c r="G1440" s="98" t="s">
        <v>12</v>
      </c>
      <c r="H1440" s="98">
        <v>1</v>
      </c>
      <c r="I1440" s="98">
        <v>5</v>
      </c>
      <c r="J1440" s="98" t="s">
        <v>10</v>
      </c>
      <c r="K1440" s="98">
        <v>57090</v>
      </c>
      <c r="L1440" s="98">
        <v>6.4831000000000003</v>
      </c>
      <c r="M1440" s="98">
        <v>57090</v>
      </c>
      <c r="N1440" s="98">
        <v>6.4816000000000003</v>
      </c>
      <c r="O1440" s="99" t="s">
        <v>2726</v>
      </c>
    </row>
    <row r="1441" spans="1:15" x14ac:dyDescent="0.25">
      <c r="A1441" s="98" t="s">
        <v>54</v>
      </c>
      <c r="B1441" s="98" t="s">
        <v>63</v>
      </c>
      <c r="C1441" s="98">
        <v>55</v>
      </c>
      <c r="D1441" s="98">
        <v>150.01</v>
      </c>
      <c r="E1441" s="98">
        <v>1E-3</v>
      </c>
      <c r="F1441" s="98" t="s">
        <v>13</v>
      </c>
      <c r="G1441" s="98" t="s">
        <v>12</v>
      </c>
      <c r="H1441" s="98">
        <v>4.4999999999999998E-2</v>
      </c>
      <c r="I1441" s="98">
        <v>0.1</v>
      </c>
      <c r="J1441" s="98" t="s">
        <v>10</v>
      </c>
      <c r="K1441" s="98">
        <v>49</v>
      </c>
      <c r="L1441" s="98">
        <v>2.6</v>
      </c>
      <c r="M1441" s="98">
        <v>2.0611000000000002</v>
      </c>
      <c r="N1441" s="98">
        <v>2.1158000000000001</v>
      </c>
      <c r="O1441" s="99" t="s">
        <v>2095</v>
      </c>
    </row>
    <row r="1442" spans="1:15" x14ac:dyDescent="0.25">
      <c r="A1442" s="98" t="s">
        <v>54</v>
      </c>
      <c r="B1442" s="98" t="s">
        <v>63</v>
      </c>
      <c r="C1442" s="98">
        <v>55</v>
      </c>
      <c r="D1442" s="98">
        <v>150.01</v>
      </c>
      <c r="E1442" s="98">
        <v>1E-3</v>
      </c>
      <c r="F1442" s="98" t="s">
        <v>13</v>
      </c>
      <c r="G1442" s="98" t="s">
        <v>12</v>
      </c>
      <c r="H1442" s="98">
        <v>1</v>
      </c>
      <c r="I1442" s="98">
        <v>5.01</v>
      </c>
      <c r="J1442" s="98" t="s">
        <v>10</v>
      </c>
      <c r="K1442" s="98">
        <v>58</v>
      </c>
      <c r="L1442" s="98">
        <v>7.2</v>
      </c>
      <c r="M1442" s="98">
        <v>55.853000000000002</v>
      </c>
      <c r="N1442" s="98">
        <v>7.2092999999999998</v>
      </c>
      <c r="O1442" s="99" t="s">
        <v>2094</v>
      </c>
    </row>
    <row r="1443" spans="1:15" x14ac:dyDescent="0.25">
      <c r="A1443" s="98" t="s">
        <v>54</v>
      </c>
      <c r="B1443" s="98" t="s">
        <v>63</v>
      </c>
      <c r="C1443" s="98">
        <v>55</v>
      </c>
      <c r="D1443" s="98">
        <v>150.01</v>
      </c>
      <c r="E1443" s="98">
        <v>1E-3</v>
      </c>
      <c r="F1443" s="98" t="s">
        <v>13</v>
      </c>
      <c r="G1443" s="98" t="s">
        <v>12</v>
      </c>
      <c r="H1443" s="98">
        <v>0.01</v>
      </c>
      <c r="I1443" s="98">
        <v>4.4999999999999998E-2</v>
      </c>
      <c r="J1443" s="98" t="s">
        <v>10</v>
      </c>
      <c r="K1443" s="98">
        <v>22</v>
      </c>
      <c r="L1443" s="98">
        <v>2.8</v>
      </c>
      <c r="M1443" s="98">
        <v>4.2301000000000002</v>
      </c>
      <c r="N1443" s="98">
        <v>2.8841000000000001</v>
      </c>
      <c r="O1443" s="99" t="s">
        <v>2093</v>
      </c>
    </row>
    <row r="1444" spans="1:15" x14ac:dyDescent="0.25">
      <c r="A1444" s="98" t="s">
        <v>54</v>
      </c>
      <c r="B1444" s="98" t="s">
        <v>63</v>
      </c>
      <c r="C1444" s="98">
        <v>55</v>
      </c>
      <c r="D1444" s="98">
        <v>150.01</v>
      </c>
      <c r="E1444" s="98">
        <v>1E-3</v>
      </c>
      <c r="F1444" s="98" t="s">
        <v>13</v>
      </c>
      <c r="G1444" s="98" t="s">
        <v>12</v>
      </c>
      <c r="H1444" s="98">
        <v>5</v>
      </c>
      <c r="I1444" s="98">
        <v>10</v>
      </c>
      <c r="J1444" s="98" t="s">
        <v>10</v>
      </c>
      <c r="K1444" s="98">
        <v>290</v>
      </c>
      <c r="L1444" s="98">
        <v>29</v>
      </c>
      <c r="M1444" s="98">
        <v>288.13</v>
      </c>
      <c r="N1444" s="98">
        <v>28.936</v>
      </c>
      <c r="O1444" s="99" t="s">
        <v>2096</v>
      </c>
    </row>
    <row r="1445" spans="1:15" x14ac:dyDescent="0.25">
      <c r="A1445" s="98" t="s">
        <v>54</v>
      </c>
      <c r="B1445" s="98" t="s">
        <v>63</v>
      </c>
      <c r="C1445" s="98">
        <v>55</v>
      </c>
      <c r="D1445" s="98">
        <v>150.01</v>
      </c>
      <c r="E1445" s="98">
        <v>1E-3</v>
      </c>
      <c r="F1445" s="98" t="s">
        <v>13</v>
      </c>
      <c r="G1445" s="98" t="s">
        <v>12</v>
      </c>
      <c r="H1445" s="98">
        <v>0.1</v>
      </c>
      <c r="I1445" s="98">
        <v>1</v>
      </c>
      <c r="J1445" s="98" t="s">
        <v>10</v>
      </c>
      <c r="K1445" s="98">
        <v>49</v>
      </c>
      <c r="L1445" s="98">
        <v>2.6</v>
      </c>
      <c r="M1445" s="98">
        <v>2.0611000000000002</v>
      </c>
      <c r="N1445" s="98">
        <v>2.1158000000000001</v>
      </c>
      <c r="O1445" s="99" t="s">
        <v>2098</v>
      </c>
    </row>
    <row r="1446" spans="1:15" x14ac:dyDescent="0.25">
      <c r="A1446" s="98" t="s">
        <v>54</v>
      </c>
      <c r="B1446" s="98" t="s">
        <v>63</v>
      </c>
      <c r="C1446" s="98">
        <v>55</v>
      </c>
      <c r="D1446" s="98">
        <v>150.01</v>
      </c>
      <c r="E1446" s="98">
        <v>1E-3</v>
      </c>
      <c r="F1446" s="98" t="s">
        <v>13</v>
      </c>
      <c r="G1446" s="98" t="s">
        <v>12</v>
      </c>
      <c r="H1446" s="98">
        <v>10</v>
      </c>
      <c r="I1446" s="98">
        <v>10.01</v>
      </c>
      <c r="J1446" s="98" t="s">
        <v>10</v>
      </c>
      <c r="K1446" s="98">
        <v>290</v>
      </c>
      <c r="L1446" s="98">
        <v>29</v>
      </c>
      <c r="M1446" s="98">
        <v>288.13</v>
      </c>
      <c r="N1446" s="98">
        <v>28.936</v>
      </c>
      <c r="O1446" s="99" t="s">
        <v>2097</v>
      </c>
    </row>
    <row r="1447" spans="1:15" x14ac:dyDescent="0.25">
      <c r="A1447" s="98" t="s">
        <v>54</v>
      </c>
      <c r="B1447" s="98" t="s">
        <v>63</v>
      </c>
      <c r="C1447" s="98">
        <v>55</v>
      </c>
      <c r="D1447" s="98">
        <v>150.01</v>
      </c>
      <c r="E1447" s="98">
        <v>0.01</v>
      </c>
      <c r="F1447" s="98" t="s">
        <v>13</v>
      </c>
      <c r="G1447" s="98" t="s">
        <v>12</v>
      </c>
      <c r="H1447" s="98">
        <v>5</v>
      </c>
      <c r="I1447" s="98">
        <v>10</v>
      </c>
      <c r="J1447" s="98" t="s">
        <v>10</v>
      </c>
      <c r="K1447" s="98">
        <v>290</v>
      </c>
      <c r="L1447" s="98">
        <v>28.936</v>
      </c>
      <c r="M1447" s="98">
        <v>288.14</v>
      </c>
      <c r="N1447" s="98">
        <v>28.936</v>
      </c>
      <c r="O1447" s="99" t="s">
        <v>2103</v>
      </c>
    </row>
    <row r="1448" spans="1:15" x14ac:dyDescent="0.25">
      <c r="A1448" s="98" t="s">
        <v>54</v>
      </c>
      <c r="B1448" s="98" t="s">
        <v>63</v>
      </c>
      <c r="C1448" s="98">
        <v>55</v>
      </c>
      <c r="D1448" s="98">
        <v>150.01</v>
      </c>
      <c r="E1448" s="98">
        <v>0.01</v>
      </c>
      <c r="F1448" s="98" t="s">
        <v>13</v>
      </c>
      <c r="G1448" s="98" t="s">
        <v>12</v>
      </c>
      <c r="H1448" s="98">
        <v>0.1</v>
      </c>
      <c r="I1448" s="98">
        <v>1</v>
      </c>
      <c r="J1448" s="98" t="s">
        <v>10</v>
      </c>
      <c r="K1448" s="98">
        <v>49</v>
      </c>
      <c r="L1448" s="98">
        <v>2.6</v>
      </c>
      <c r="M1448" s="98">
        <v>2.2593000000000001</v>
      </c>
      <c r="N1448" s="98">
        <v>2.1147999999999998</v>
      </c>
      <c r="O1448" s="99" t="s">
        <v>2100</v>
      </c>
    </row>
    <row r="1449" spans="1:15" x14ac:dyDescent="0.25">
      <c r="A1449" s="98" t="s">
        <v>54</v>
      </c>
      <c r="B1449" s="98" t="s">
        <v>63</v>
      </c>
      <c r="C1449" s="98">
        <v>55</v>
      </c>
      <c r="D1449" s="98">
        <v>150.01</v>
      </c>
      <c r="E1449" s="98">
        <v>0.01</v>
      </c>
      <c r="F1449" s="98" t="s">
        <v>13</v>
      </c>
      <c r="G1449" s="98" t="s">
        <v>12</v>
      </c>
      <c r="H1449" s="98">
        <v>10</v>
      </c>
      <c r="I1449" s="98">
        <v>10.01</v>
      </c>
      <c r="J1449" s="98" t="s">
        <v>10</v>
      </c>
      <c r="K1449" s="98">
        <v>290</v>
      </c>
      <c r="L1449" s="98">
        <v>28.936</v>
      </c>
      <c r="M1449" s="98">
        <v>288.14</v>
      </c>
      <c r="N1449" s="98">
        <v>28.936</v>
      </c>
      <c r="O1449" s="99" t="s">
        <v>2101</v>
      </c>
    </row>
    <row r="1450" spans="1:15" x14ac:dyDescent="0.25">
      <c r="A1450" s="98" t="s">
        <v>54</v>
      </c>
      <c r="B1450" s="98" t="s">
        <v>63</v>
      </c>
      <c r="C1450" s="98">
        <v>55</v>
      </c>
      <c r="D1450" s="98">
        <v>150.01</v>
      </c>
      <c r="E1450" s="98">
        <v>0.01</v>
      </c>
      <c r="F1450" s="98" t="s">
        <v>13</v>
      </c>
      <c r="G1450" s="98" t="s">
        <v>12</v>
      </c>
      <c r="H1450" s="98">
        <v>0.01</v>
      </c>
      <c r="I1450" s="98">
        <v>4.4999999999999998E-2</v>
      </c>
      <c r="J1450" s="98" t="s">
        <v>10</v>
      </c>
      <c r="K1450" s="98">
        <v>22</v>
      </c>
      <c r="L1450" s="98">
        <v>2.7673000000000001</v>
      </c>
      <c r="M1450" s="98">
        <v>4.3733000000000004</v>
      </c>
      <c r="N1450" s="98">
        <v>2.8834</v>
      </c>
      <c r="O1450" s="99" t="s">
        <v>2099</v>
      </c>
    </row>
    <row r="1451" spans="1:15" x14ac:dyDescent="0.25">
      <c r="A1451" s="98" t="s">
        <v>54</v>
      </c>
      <c r="B1451" s="98" t="s">
        <v>63</v>
      </c>
      <c r="C1451" s="98">
        <v>55</v>
      </c>
      <c r="D1451" s="98">
        <v>150.01</v>
      </c>
      <c r="E1451" s="98">
        <v>0.01</v>
      </c>
      <c r="F1451" s="98" t="s">
        <v>13</v>
      </c>
      <c r="G1451" s="98" t="s">
        <v>12</v>
      </c>
      <c r="H1451" s="98">
        <v>1</v>
      </c>
      <c r="I1451" s="98">
        <v>5.01</v>
      </c>
      <c r="J1451" s="98" t="s">
        <v>10</v>
      </c>
      <c r="K1451" s="98">
        <v>58</v>
      </c>
      <c r="L1451" s="98">
        <v>7.2089999999999996</v>
      </c>
      <c r="M1451" s="98">
        <v>55.901000000000003</v>
      </c>
      <c r="N1451" s="98">
        <v>7.2091000000000003</v>
      </c>
      <c r="O1451" s="99" t="s">
        <v>2102</v>
      </c>
    </row>
    <row r="1452" spans="1:15" x14ac:dyDescent="0.25">
      <c r="A1452" s="98" t="s">
        <v>54</v>
      </c>
      <c r="B1452" s="98" t="s">
        <v>63</v>
      </c>
      <c r="C1452" s="98">
        <v>55</v>
      </c>
      <c r="D1452" s="98">
        <v>150.01</v>
      </c>
      <c r="E1452" s="98">
        <v>0.01</v>
      </c>
      <c r="F1452" s="98" t="s">
        <v>13</v>
      </c>
      <c r="G1452" s="98" t="s">
        <v>12</v>
      </c>
      <c r="H1452" s="98">
        <v>4.4999999999999998E-2</v>
      </c>
      <c r="I1452" s="98">
        <v>0.1</v>
      </c>
      <c r="J1452" s="98" t="s">
        <v>10</v>
      </c>
      <c r="K1452" s="98">
        <v>49</v>
      </c>
      <c r="L1452" s="98">
        <v>2.6</v>
      </c>
      <c r="M1452" s="98">
        <v>2.2593000000000001</v>
      </c>
      <c r="N1452" s="98">
        <v>2.1147999999999998</v>
      </c>
      <c r="O1452" s="99" t="s">
        <v>2104</v>
      </c>
    </row>
    <row r="1453" spans="1:15" x14ac:dyDescent="0.25">
      <c r="A1453" s="98" t="s">
        <v>54</v>
      </c>
      <c r="B1453" s="98" t="s">
        <v>63</v>
      </c>
      <c r="C1453" s="98">
        <v>55</v>
      </c>
      <c r="D1453" s="98">
        <v>150.01</v>
      </c>
      <c r="E1453" s="98">
        <v>0.1</v>
      </c>
      <c r="F1453" s="98" t="s">
        <v>13</v>
      </c>
      <c r="G1453" s="98" t="s">
        <v>12</v>
      </c>
      <c r="H1453" s="98">
        <v>1</v>
      </c>
      <c r="I1453" s="98">
        <v>5.01</v>
      </c>
      <c r="J1453" s="98" t="s">
        <v>10</v>
      </c>
      <c r="K1453" s="98">
        <v>60.896000000000001</v>
      </c>
      <c r="L1453" s="98">
        <v>7.1858000000000004</v>
      </c>
      <c r="M1453" s="98">
        <v>60.843000000000004</v>
      </c>
      <c r="N1453" s="98">
        <v>7.1859000000000002</v>
      </c>
      <c r="O1453" s="99" t="s">
        <v>2697</v>
      </c>
    </row>
    <row r="1454" spans="1:15" x14ac:dyDescent="0.25">
      <c r="A1454" s="98" t="s">
        <v>54</v>
      </c>
      <c r="B1454" s="98" t="s">
        <v>63</v>
      </c>
      <c r="C1454" s="98">
        <v>55</v>
      </c>
      <c r="D1454" s="98">
        <v>150.01</v>
      </c>
      <c r="E1454" s="98">
        <v>0.1</v>
      </c>
      <c r="F1454" s="98" t="s">
        <v>13</v>
      </c>
      <c r="G1454" s="98" t="s">
        <v>12</v>
      </c>
      <c r="H1454" s="98">
        <v>0.01</v>
      </c>
      <c r="I1454" s="98">
        <v>4.4999999999999998E-2</v>
      </c>
      <c r="J1454" s="98" t="s">
        <v>10</v>
      </c>
      <c r="K1454" s="98">
        <v>22</v>
      </c>
      <c r="L1454" s="98">
        <v>2.8075999999999999</v>
      </c>
      <c r="M1454" s="98">
        <v>17.829000000000001</v>
      </c>
      <c r="N1454" s="98">
        <v>2.819</v>
      </c>
      <c r="O1454" s="99" t="s">
        <v>2698</v>
      </c>
    </row>
    <row r="1455" spans="1:15" x14ac:dyDescent="0.25">
      <c r="A1455" s="98" t="s">
        <v>54</v>
      </c>
      <c r="B1455" s="98" t="s">
        <v>63</v>
      </c>
      <c r="C1455" s="98">
        <v>55</v>
      </c>
      <c r="D1455" s="98">
        <v>150.01</v>
      </c>
      <c r="E1455" s="98">
        <v>0.1</v>
      </c>
      <c r="F1455" s="98" t="s">
        <v>13</v>
      </c>
      <c r="G1455" s="98" t="s">
        <v>12</v>
      </c>
      <c r="H1455" s="98">
        <v>0.1</v>
      </c>
      <c r="I1455" s="98">
        <v>1</v>
      </c>
      <c r="J1455" s="98" t="s">
        <v>10</v>
      </c>
      <c r="K1455" s="98">
        <v>49</v>
      </c>
      <c r="L1455" s="98">
        <v>2.6</v>
      </c>
      <c r="M1455" s="98">
        <v>20.257000000000001</v>
      </c>
      <c r="N1455" s="98">
        <v>2.0293000000000001</v>
      </c>
      <c r="O1455" s="99" t="s">
        <v>2105</v>
      </c>
    </row>
    <row r="1456" spans="1:15" x14ac:dyDescent="0.25">
      <c r="A1456" s="98" t="s">
        <v>54</v>
      </c>
      <c r="B1456" s="98" t="s">
        <v>63</v>
      </c>
      <c r="C1456" s="98">
        <v>55</v>
      </c>
      <c r="D1456" s="98">
        <v>150.01</v>
      </c>
      <c r="E1456" s="98">
        <v>0.1</v>
      </c>
      <c r="F1456" s="98" t="s">
        <v>13</v>
      </c>
      <c r="G1456" s="98" t="s">
        <v>12</v>
      </c>
      <c r="H1456" s="98">
        <v>4.4999999999999998E-2</v>
      </c>
      <c r="I1456" s="98">
        <v>0.1</v>
      </c>
      <c r="J1456" s="98" t="s">
        <v>10</v>
      </c>
      <c r="K1456" s="98">
        <v>49</v>
      </c>
      <c r="L1456" s="98">
        <v>2.6</v>
      </c>
      <c r="M1456" s="98">
        <v>20.257000000000001</v>
      </c>
      <c r="N1456" s="98">
        <v>2.0293000000000001</v>
      </c>
      <c r="O1456" s="99" t="s">
        <v>2108</v>
      </c>
    </row>
    <row r="1457" spans="1:15" x14ac:dyDescent="0.25">
      <c r="A1457" s="98" t="s">
        <v>54</v>
      </c>
      <c r="B1457" s="98" t="s">
        <v>63</v>
      </c>
      <c r="C1457" s="98">
        <v>55</v>
      </c>
      <c r="D1457" s="98">
        <v>150.01</v>
      </c>
      <c r="E1457" s="98">
        <v>0.1</v>
      </c>
      <c r="F1457" s="98" t="s">
        <v>13</v>
      </c>
      <c r="G1457" s="98" t="s">
        <v>12</v>
      </c>
      <c r="H1457" s="98">
        <v>5</v>
      </c>
      <c r="I1457" s="98">
        <v>10</v>
      </c>
      <c r="J1457" s="98" t="s">
        <v>10</v>
      </c>
      <c r="K1457" s="98">
        <v>290</v>
      </c>
      <c r="L1457" s="98">
        <v>28.931000000000001</v>
      </c>
      <c r="M1457" s="98">
        <v>289.39999999999998</v>
      </c>
      <c r="N1457" s="98">
        <v>28.93</v>
      </c>
      <c r="O1457" s="99" t="s">
        <v>2107</v>
      </c>
    </row>
    <row r="1458" spans="1:15" x14ac:dyDescent="0.25">
      <c r="A1458" s="98" t="s">
        <v>54</v>
      </c>
      <c r="B1458" s="98" t="s">
        <v>63</v>
      </c>
      <c r="C1458" s="98">
        <v>55</v>
      </c>
      <c r="D1458" s="98">
        <v>150.01</v>
      </c>
      <c r="E1458" s="98">
        <v>0.1</v>
      </c>
      <c r="F1458" s="98" t="s">
        <v>13</v>
      </c>
      <c r="G1458" s="98" t="s">
        <v>12</v>
      </c>
      <c r="H1458" s="98">
        <v>10</v>
      </c>
      <c r="I1458" s="98">
        <v>10.01</v>
      </c>
      <c r="J1458" s="98" t="s">
        <v>10</v>
      </c>
      <c r="K1458" s="98">
        <v>290</v>
      </c>
      <c r="L1458" s="98">
        <v>28.931000000000001</v>
      </c>
      <c r="M1458" s="98">
        <v>289.39999999999998</v>
      </c>
      <c r="N1458" s="98">
        <v>28.93</v>
      </c>
      <c r="O1458" s="99" t="s">
        <v>2106</v>
      </c>
    </row>
    <row r="1459" spans="1:15" x14ac:dyDescent="0.25">
      <c r="A1459" s="98" t="s">
        <v>54</v>
      </c>
      <c r="B1459" s="98" t="s">
        <v>63</v>
      </c>
      <c r="C1459" s="98">
        <v>55</v>
      </c>
      <c r="D1459" s="98">
        <v>150.01</v>
      </c>
      <c r="E1459" s="98">
        <v>1</v>
      </c>
      <c r="F1459" s="98" t="s">
        <v>13</v>
      </c>
      <c r="G1459" s="98" t="s">
        <v>12</v>
      </c>
      <c r="H1459" s="98">
        <v>4.4999999999999998E-2</v>
      </c>
      <c r="I1459" s="98">
        <v>0.1</v>
      </c>
      <c r="J1459" s="98" t="s">
        <v>10</v>
      </c>
      <c r="K1459" s="98">
        <v>551.36</v>
      </c>
      <c r="L1459" s="98">
        <v>0.73945000000000005</v>
      </c>
      <c r="M1459" s="98">
        <v>551.34</v>
      </c>
      <c r="N1459" s="98">
        <v>0.73870000000000002</v>
      </c>
      <c r="O1459" s="99" t="s">
        <v>2109</v>
      </c>
    </row>
    <row r="1460" spans="1:15" x14ac:dyDescent="0.25">
      <c r="A1460" s="98" t="s">
        <v>54</v>
      </c>
      <c r="B1460" s="98" t="s">
        <v>63</v>
      </c>
      <c r="C1460" s="98">
        <v>55</v>
      </c>
      <c r="D1460" s="98">
        <v>150.01</v>
      </c>
      <c r="E1460" s="98">
        <v>1</v>
      </c>
      <c r="F1460" s="98" t="s">
        <v>13</v>
      </c>
      <c r="G1460" s="98" t="s">
        <v>12</v>
      </c>
      <c r="H1460" s="98">
        <v>0.1</v>
      </c>
      <c r="I1460" s="98">
        <v>1</v>
      </c>
      <c r="J1460" s="98" t="s">
        <v>10</v>
      </c>
      <c r="K1460" s="98">
        <v>551.36</v>
      </c>
      <c r="L1460" s="98">
        <v>0.73945000000000005</v>
      </c>
      <c r="M1460" s="98">
        <v>551.34</v>
      </c>
      <c r="N1460" s="98">
        <v>0.73870000000000002</v>
      </c>
      <c r="O1460" s="99" t="s">
        <v>2699</v>
      </c>
    </row>
    <row r="1461" spans="1:15" x14ac:dyDescent="0.25">
      <c r="A1461" s="98" t="s">
        <v>54</v>
      </c>
      <c r="B1461" s="98" t="s">
        <v>63</v>
      </c>
      <c r="C1461" s="98">
        <v>55</v>
      </c>
      <c r="D1461" s="98">
        <v>150.01</v>
      </c>
      <c r="E1461" s="98">
        <v>1</v>
      </c>
      <c r="F1461" s="98" t="s">
        <v>13</v>
      </c>
      <c r="G1461" s="98" t="s">
        <v>12</v>
      </c>
      <c r="H1461" s="98">
        <v>1</v>
      </c>
      <c r="I1461" s="98">
        <v>5.01</v>
      </c>
      <c r="J1461" s="98" t="s">
        <v>10</v>
      </c>
      <c r="K1461" s="98">
        <v>422.41</v>
      </c>
      <c r="L1461" s="98">
        <v>5.6955999999999998</v>
      </c>
      <c r="M1461" s="98">
        <v>422.3</v>
      </c>
      <c r="N1461" s="98">
        <v>5.6954000000000002</v>
      </c>
      <c r="O1461" s="99" t="s">
        <v>2110</v>
      </c>
    </row>
    <row r="1462" spans="1:15" x14ac:dyDescent="0.25">
      <c r="A1462" s="98" t="s">
        <v>54</v>
      </c>
      <c r="B1462" s="98" t="s">
        <v>63</v>
      </c>
      <c r="C1462" s="98">
        <v>55</v>
      </c>
      <c r="D1462" s="98">
        <v>150.01</v>
      </c>
      <c r="E1462" s="98">
        <v>1</v>
      </c>
      <c r="F1462" s="98" t="s">
        <v>13</v>
      </c>
      <c r="G1462" s="98" t="s">
        <v>12</v>
      </c>
      <c r="H1462" s="98">
        <v>5</v>
      </c>
      <c r="I1462" s="98">
        <v>10</v>
      </c>
      <c r="J1462" s="98" t="s">
        <v>10</v>
      </c>
      <c r="K1462" s="98">
        <v>405.34</v>
      </c>
      <c r="L1462" s="98">
        <v>28.398</v>
      </c>
      <c r="M1462" s="98">
        <v>405.23</v>
      </c>
      <c r="N1462" s="98">
        <v>28.396999999999998</v>
      </c>
      <c r="O1462" s="99" t="s">
        <v>2700</v>
      </c>
    </row>
    <row r="1463" spans="1:15" x14ac:dyDescent="0.25">
      <c r="A1463" s="98" t="s">
        <v>54</v>
      </c>
      <c r="B1463" s="98" t="s">
        <v>63</v>
      </c>
      <c r="C1463" s="98">
        <v>55</v>
      </c>
      <c r="D1463" s="98">
        <v>150.01</v>
      </c>
      <c r="E1463" s="98">
        <v>1</v>
      </c>
      <c r="F1463" s="98" t="s">
        <v>13</v>
      </c>
      <c r="G1463" s="98" t="s">
        <v>12</v>
      </c>
      <c r="H1463" s="98">
        <v>10</v>
      </c>
      <c r="I1463" s="98">
        <v>10.01</v>
      </c>
      <c r="J1463" s="98" t="s">
        <v>10</v>
      </c>
      <c r="K1463" s="98">
        <v>405.34</v>
      </c>
      <c r="L1463" s="98">
        <v>28.398</v>
      </c>
      <c r="M1463" s="98">
        <v>405.23</v>
      </c>
      <c r="N1463" s="98">
        <v>28.396999999999998</v>
      </c>
      <c r="O1463" s="99" t="s">
        <v>2112</v>
      </c>
    </row>
    <row r="1464" spans="1:15" x14ac:dyDescent="0.25">
      <c r="A1464" s="98" t="s">
        <v>54</v>
      </c>
      <c r="B1464" s="98" t="s">
        <v>63</v>
      </c>
      <c r="C1464" s="98">
        <v>55</v>
      </c>
      <c r="D1464" s="98">
        <v>150.01</v>
      </c>
      <c r="E1464" s="98">
        <v>1</v>
      </c>
      <c r="F1464" s="98" t="s">
        <v>13</v>
      </c>
      <c r="G1464" s="98" t="s">
        <v>12</v>
      </c>
      <c r="H1464" s="98">
        <v>0.01</v>
      </c>
      <c r="I1464" s="98">
        <v>4.4999999999999998E-2</v>
      </c>
      <c r="J1464" s="98" t="s">
        <v>10</v>
      </c>
      <c r="K1464" s="98">
        <v>530.85</v>
      </c>
      <c r="L1464" s="98">
        <v>1.3025</v>
      </c>
      <c r="M1464" s="98">
        <v>530.83000000000004</v>
      </c>
      <c r="N1464" s="98">
        <v>1.3019000000000001</v>
      </c>
      <c r="O1464" s="99" t="s">
        <v>2111</v>
      </c>
    </row>
    <row r="1465" spans="1:15" x14ac:dyDescent="0.25">
      <c r="A1465" s="98" t="s">
        <v>54</v>
      </c>
      <c r="B1465" s="98" t="s">
        <v>63</v>
      </c>
      <c r="C1465" s="98">
        <v>55</v>
      </c>
      <c r="D1465" s="98">
        <v>150.01</v>
      </c>
      <c r="E1465" s="98">
        <v>10</v>
      </c>
      <c r="F1465" s="98" t="s">
        <v>13</v>
      </c>
      <c r="G1465" s="98" t="s">
        <v>12</v>
      </c>
      <c r="H1465" s="98">
        <v>1</v>
      </c>
      <c r="I1465" s="98">
        <v>5.01</v>
      </c>
      <c r="J1465" s="98" t="s">
        <v>10</v>
      </c>
      <c r="K1465" s="98">
        <v>5763.9</v>
      </c>
      <c r="L1465" s="98">
        <v>0.97779000000000005</v>
      </c>
      <c r="M1465" s="98">
        <v>5763.9</v>
      </c>
      <c r="N1465" s="98">
        <v>0.97714999999999996</v>
      </c>
      <c r="O1465" s="99" t="s">
        <v>2701</v>
      </c>
    </row>
    <row r="1466" spans="1:15" x14ac:dyDescent="0.25">
      <c r="A1466" s="98" t="s">
        <v>54</v>
      </c>
      <c r="B1466" s="98" t="s">
        <v>63</v>
      </c>
      <c r="C1466" s="98">
        <v>55</v>
      </c>
      <c r="D1466" s="98">
        <v>150.01</v>
      </c>
      <c r="E1466" s="98">
        <v>10</v>
      </c>
      <c r="F1466" s="98" t="s">
        <v>13</v>
      </c>
      <c r="G1466" s="98" t="s">
        <v>12</v>
      </c>
      <c r="H1466" s="98">
        <v>4.4999999999999998E-2</v>
      </c>
      <c r="I1466" s="98">
        <v>0.1</v>
      </c>
      <c r="J1466" s="98" t="s">
        <v>10</v>
      </c>
      <c r="K1466" s="98">
        <v>5796.8</v>
      </c>
      <c r="L1466" s="98">
        <v>8.0168000000000003E-2</v>
      </c>
      <c r="M1466" s="98">
        <v>5796.8</v>
      </c>
      <c r="N1466" s="98">
        <v>7.9794000000000004E-2</v>
      </c>
      <c r="O1466" s="99" t="s">
        <v>2113</v>
      </c>
    </row>
    <row r="1467" spans="1:15" x14ac:dyDescent="0.25">
      <c r="A1467" s="98" t="s">
        <v>54</v>
      </c>
      <c r="B1467" s="98" t="s">
        <v>63</v>
      </c>
      <c r="C1467" s="98">
        <v>55</v>
      </c>
      <c r="D1467" s="98">
        <v>150.01</v>
      </c>
      <c r="E1467" s="98">
        <v>10</v>
      </c>
      <c r="F1467" s="98" t="s">
        <v>13</v>
      </c>
      <c r="G1467" s="98" t="s">
        <v>12</v>
      </c>
      <c r="H1467" s="98">
        <v>0.01</v>
      </c>
      <c r="I1467" s="98">
        <v>4.4999999999999998E-2</v>
      </c>
      <c r="J1467" s="98" t="s">
        <v>10</v>
      </c>
      <c r="K1467" s="98">
        <v>5794.1</v>
      </c>
      <c r="L1467" s="98">
        <v>0.14924000000000001</v>
      </c>
      <c r="M1467" s="98">
        <v>5794.1</v>
      </c>
      <c r="N1467" s="98">
        <v>0.14885999999999999</v>
      </c>
      <c r="O1467" s="99" t="s">
        <v>2115</v>
      </c>
    </row>
    <row r="1468" spans="1:15" x14ac:dyDescent="0.25">
      <c r="A1468" s="98" t="s">
        <v>54</v>
      </c>
      <c r="B1468" s="98" t="s">
        <v>63</v>
      </c>
      <c r="C1468" s="98">
        <v>55</v>
      </c>
      <c r="D1468" s="98">
        <v>150.01</v>
      </c>
      <c r="E1468" s="98">
        <v>10</v>
      </c>
      <c r="F1468" s="98" t="s">
        <v>13</v>
      </c>
      <c r="G1468" s="98" t="s">
        <v>12</v>
      </c>
      <c r="H1468" s="98">
        <v>5</v>
      </c>
      <c r="I1468" s="98">
        <v>10</v>
      </c>
      <c r="J1468" s="98" t="s">
        <v>10</v>
      </c>
      <c r="K1468" s="98">
        <v>5330.6</v>
      </c>
      <c r="L1468" s="98">
        <v>13.938000000000001</v>
      </c>
      <c r="M1468" s="98">
        <v>5330.7</v>
      </c>
      <c r="N1468" s="98">
        <v>13.932</v>
      </c>
      <c r="O1468" s="99" t="s">
        <v>2702</v>
      </c>
    </row>
    <row r="1469" spans="1:15" x14ac:dyDescent="0.25">
      <c r="A1469" s="98" t="s">
        <v>54</v>
      </c>
      <c r="B1469" s="98" t="s">
        <v>63</v>
      </c>
      <c r="C1469" s="98">
        <v>55</v>
      </c>
      <c r="D1469" s="98">
        <v>150.01</v>
      </c>
      <c r="E1469" s="98">
        <v>10</v>
      </c>
      <c r="F1469" s="98" t="s">
        <v>13</v>
      </c>
      <c r="G1469" s="98" t="s">
        <v>12</v>
      </c>
      <c r="H1469" s="98">
        <v>10</v>
      </c>
      <c r="I1469" s="98">
        <v>10.01</v>
      </c>
      <c r="J1469" s="98" t="s">
        <v>10</v>
      </c>
      <c r="K1469" s="98">
        <v>5330.6</v>
      </c>
      <c r="L1469" s="98">
        <v>13.938000000000001</v>
      </c>
      <c r="M1469" s="98">
        <v>5330.7</v>
      </c>
      <c r="N1469" s="98">
        <v>13.932</v>
      </c>
      <c r="O1469" s="99" t="s">
        <v>2116</v>
      </c>
    </row>
    <row r="1470" spans="1:15" x14ac:dyDescent="0.25">
      <c r="A1470" s="98" t="s">
        <v>54</v>
      </c>
      <c r="B1470" s="98" t="s">
        <v>63</v>
      </c>
      <c r="C1470" s="98">
        <v>55</v>
      </c>
      <c r="D1470" s="98">
        <v>150.01</v>
      </c>
      <c r="E1470" s="98">
        <v>10</v>
      </c>
      <c r="F1470" s="98" t="s">
        <v>13</v>
      </c>
      <c r="G1470" s="98" t="s">
        <v>12</v>
      </c>
      <c r="H1470" s="98">
        <v>0.1</v>
      </c>
      <c r="I1470" s="98">
        <v>1</v>
      </c>
      <c r="J1470" s="98" t="s">
        <v>10</v>
      </c>
      <c r="K1470" s="98">
        <v>5796.8</v>
      </c>
      <c r="L1470" s="98">
        <v>8.0168000000000003E-2</v>
      </c>
      <c r="M1470" s="98">
        <v>5796.8</v>
      </c>
      <c r="N1470" s="98">
        <v>7.9794000000000004E-2</v>
      </c>
      <c r="O1470" s="99" t="s">
        <v>2114</v>
      </c>
    </row>
    <row r="1471" spans="1:15" x14ac:dyDescent="0.25">
      <c r="A1471" s="98" t="s">
        <v>54</v>
      </c>
      <c r="B1471" s="98" t="s">
        <v>63</v>
      </c>
      <c r="C1471" s="98">
        <v>55</v>
      </c>
      <c r="D1471" s="98">
        <v>150.01</v>
      </c>
      <c r="E1471" s="98">
        <v>100</v>
      </c>
      <c r="F1471" s="98" t="s">
        <v>13</v>
      </c>
      <c r="G1471" s="98" t="s">
        <v>12</v>
      </c>
      <c r="H1471" s="98">
        <v>10</v>
      </c>
      <c r="I1471" s="98">
        <v>10.01</v>
      </c>
      <c r="J1471" s="98" t="s">
        <v>10</v>
      </c>
      <c r="K1471" s="98">
        <v>57941</v>
      </c>
      <c r="L1471" s="98">
        <v>1.6236999999999999</v>
      </c>
      <c r="M1471" s="98">
        <v>57264</v>
      </c>
      <c r="N1471" s="98">
        <v>1.6205000000000001</v>
      </c>
      <c r="O1471" s="99" t="s">
        <v>2120</v>
      </c>
    </row>
    <row r="1472" spans="1:15" x14ac:dyDescent="0.25">
      <c r="A1472" s="98" t="s">
        <v>54</v>
      </c>
      <c r="B1472" s="98" t="s">
        <v>63</v>
      </c>
      <c r="C1472" s="98">
        <v>55</v>
      </c>
      <c r="D1472" s="98">
        <v>150.01</v>
      </c>
      <c r="E1472" s="98">
        <v>100</v>
      </c>
      <c r="F1472" s="98" t="s">
        <v>13</v>
      </c>
      <c r="G1472" s="98" t="s">
        <v>12</v>
      </c>
      <c r="H1472" s="98">
        <v>5</v>
      </c>
      <c r="I1472" s="98">
        <v>10</v>
      </c>
      <c r="J1472" s="98" t="s">
        <v>10</v>
      </c>
      <c r="K1472" s="98">
        <v>57941</v>
      </c>
      <c r="L1472" s="98">
        <v>1.6236999999999999</v>
      </c>
      <c r="M1472" s="98">
        <v>57264</v>
      </c>
      <c r="N1472" s="98">
        <v>1.6205000000000001</v>
      </c>
      <c r="O1472" s="99" t="s">
        <v>2118</v>
      </c>
    </row>
    <row r="1473" spans="1:15" x14ac:dyDescent="0.25">
      <c r="A1473" s="98" t="s">
        <v>54</v>
      </c>
      <c r="B1473" s="98" t="s">
        <v>63</v>
      </c>
      <c r="C1473" s="98">
        <v>55</v>
      </c>
      <c r="D1473" s="98">
        <v>150.01</v>
      </c>
      <c r="E1473" s="98">
        <v>100</v>
      </c>
      <c r="F1473" s="98" t="s">
        <v>13</v>
      </c>
      <c r="G1473" s="98" t="s">
        <v>12</v>
      </c>
      <c r="H1473" s="98">
        <v>4.4999999999999998E-2</v>
      </c>
      <c r="I1473" s="98">
        <v>0.1</v>
      </c>
      <c r="J1473" s="98" t="s">
        <v>10</v>
      </c>
      <c r="K1473" s="98">
        <v>58000</v>
      </c>
      <c r="L1473" s="98">
        <v>8.1364000000000002E-3</v>
      </c>
      <c r="M1473" s="98">
        <v>57996</v>
      </c>
      <c r="N1473" s="98">
        <v>7.9862000000000006E-3</v>
      </c>
      <c r="O1473" s="99" t="s">
        <v>2119</v>
      </c>
    </row>
    <row r="1474" spans="1:15" x14ac:dyDescent="0.25">
      <c r="A1474" s="98" t="s">
        <v>54</v>
      </c>
      <c r="B1474" s="98" t="s">
        <v>63</v>
      </c>
      <c r="C1474" s="98">
        <v>55</v>
      </c>
      <c r="D1474" s="98">
        <v>150.01</v>
      </c>
      <c r="E1474" s="98">
        <v>100</v>
      </c>
      <c r="F1474" s="98" t="s">
        <v>13</v>
      </c>
      <c r="G1474" s="98" t="s">
        <v>12</v>
      </c>
      <c r="H1474" s="98">
        <v>1</v>
      </c>
      <c r="I1474" s="98">
        <v>5.01</v>
      </c>
      <c r="J1474" s="98" t="s">
        <v>10</v>
      </c>
      <c r="K1474" s="98">
        <v>57996</v>
      </c>
      <c r="L1474" s="98">
        <v>9.9046999999999996E-2</v>
      </c>
      <c r="M1474" s="98">
        <v>57948</v>
      </c>
      <c r="N1474" s="98">
        <v>9.8782999999999996E-2</v>
      </c>
      <c r="O1474" s="99" t="s">
        <v>2121</v>
      </c>
    </row>
    <row r="1475" spans="1:15" x14ac:dyDescent="0.25">
      <c r="A1475" s="98" t="s">
        <v>54</v>
      </c>
      <c r="B1475" s="98" t="s">
        <v>63</v>
      </c>
      <c r="C1475" s="98">
        <v>55</v>
      </c>
      <c r="D1475" s="98">
        <v>150.01</v>
      </c>
      <c r="E1475" s="98">
        <v>100</v>
      </c>
      <c r="F1475" s="98" t="s">
        <v>13</v>
      </c>
      <c r="G1475" s="98" t="s">
        <v>12</v>
      </c>
      <c r="H1475" s="98">
        <v>0.1</v>
      </c>
      <c r="I1475" s="98">
        <v>1</v>
      </c>
      <c r="J1475" s="98" t="s">
        <v>10</v>
      </c>
      <c r="K1475" s="98">
        <v>58000</v>
      </c>
      <c r="L1475" s="98">
        <v>8.1364000000000002E-3</v>
      </c>
      <c r="M1475" s="98">
        <v>57996</v>
      </c>
      <c r="N1475" s="98">
        <v>7.9862000000000006E-3</v>
      </c>
      <c r="O1475" s="99" t="s">
        <v>2703</v>
      </c>
    </row>
    <row r="1476" spans="1:15" x14ac:dyDescent="0.25">
      <c r="A1476" s="98" t="s">
        <v>54</v>
      </c>
      <c r="B1476" s="98" t="s">
        <v>63</v>
      </c>
      <c r="C1476" s="98">
        <v>55</v>
      </c>
      <c r="D1476" s="98">
        <v>150.01</v>
      </c>
      <c r="E1476" s="98">
        <v>100</v>
      </c>
      <c r="F1476" s="98" t="s">
        <v>13</v>
      </c>
      <c r="G1476" s="98" t="s">
        <v>12</v>
      </c>
      <c r="H1476" s="98">
        <v>0.01</v>
      </c>
      <c r="I1476" s="98">
        <v>4.4999999999999998E-2</v>
      </c>
      <c r="J1476" s="98" t="s">
        <v>10</v>
      </c>
      <c r="K1476" s="98">
        <v>58000</v>
      </c>
      <c r="L1476" s="98">
        <v>1.506E-2</v>
      </c>
      <c r="M1476" s="98">
        <v>57992</v>
      </c>
      <c r="N1476" s="98">
        <v>1.491E-2</v>
      </c>
      <c r="O1476" s="99" t="s">
        <v>2117</v>
      </c>
    </row>
    <row r="1477" spans="1:15" x14ac:dyDescent="0.25">
      <c r="A1477" s="98" t="s">
        <v>54</v>
      </c>
      <c r="B1477" s="98" t="s">
        <v>63</v>
      </c>
      <c r="C1477" s="98">
        <v>150</v>
      </c>
      <c r="D1477" s="98">
        <v>550.01</v>
      </c>
      <c r="E1477" s="98">
        <v>0.01</v>
      </c>
      <c r="F1477" s="98" t="s">
        <v>13</v>
      </c>
      <c r="G1477" s="98" t="s">
        <v>12</v>
      </c>
      <c r="H1477" s="98">
        <v>5</v>
      </c>
      <c r="I1477" s="98">
        <v>5.01</v>
      </c>
      <c r="J1477" s="98" t="s">
        <v>10</v>
      </c>
      <c r="K1477" s="98">
        <v>120</v>
      </c>
      <c r="L1477" s="98">
        <v>35</v>
      </c>
      <c r="M1477" s="98">
        <v>115.24</v>
      </c>
      <c r="N1477" s="98">
        <v>34.698999999999998</v>
      </c>
      <c r="O1477" s="99" t="s">
        <v>2124</v>
      </c>
    </row>
    <row r="1478" spans="1:15" x14ac:dyDescent="0.25">
      <c r="A1478" s="98" t="s">
        <v>54</v>
      </c>
      <c r="B1478" s="98" t="s">
        <v>63</v>
      </c>
      <c r="C1478" s="98">
        <v>150</v>
      </c>
      <c r="D1478" s="98">
        <v>550.01</v>
      </c>
      <c r="E1478" s="98">
        <v>0.01</v>
      </c>
      <c r="F1478" s="98" t="s">
        <v>13</v>
      </c>
      <c r="G1478" s="98" t="s">
        <v>12</v>
      </c>
      <c r="H1478" s="98">
        <v>4.4999999999999998E-2</v>
      </c>
      <c r="I1478" s="98">
        <v>0.10001</v>
      </c>
      <c r="J1478" s="98" t="s">
        <v>10</v>
      </c>
      <c r="K1478" s="98">
        <v>59</v>
      </c>
      <c r="L1478" s="98">
        <v>2.1</v>
      </c>
      <c r="M1478" s="98">
        <v>58.542000000000002</v>
      </c>
      <c r="N1478" s="98">
        <v>2.0878999999999999</v>
      </c>
      <c r="O1478" s="99" t="s">
        <v>2122</v>
      </c>
    </row>
    <row r="1479" spans="1:15" x14ac:dyDescent="0.25">
      <c r="A1479" s="98" t="s">
        <v>54</v>
      </c>
      <c r="B1479" s="98" t="s">
        <v>63</v>
      </c>
      <c r="C1479" s="98">
        <v>150</v>
      </c>
      <c r="D1479" s="98">
        <v>550.01</v>
      </c>
      <c r="E1479" s="98">
        <v>0.01</v>
      </c>
      <c r="F1479" s="98" t="s">
        <v>13</v>
      </c>
      <c r="G1479" s="98" t="s">
        <v>12</v>
      </c>
      <c r="H1479" s="98">
        <v>0.1</v>
      </c>
      <c r="I1479" s="98">
        <v>1.0000100000000001</v>
      </c>
      <c r="J1479" s="98" t="s">
        <v>10</v>
      </c>
      <c r="K1479" s="98">
        <v>74</v>
      </c>
      <c r="L1479" s="98">
        <v>2.2999999999999998</v>
      </c>
      <c r="M1479" s="98">
        <v>73.171000000000006</v>
      </c>
      <c r="N1479" s="98">
        <v>2.2881999999999998</v>
      </c>
      <c r="O1479" s="99" t="s">
        <v>2125</v>
      </c>
    </row>
    <row r="1480" spans="1:15" x14ac:dyDescent="0.25">
      <c r="A1480" s="98" t="s">
        <v>54</v>
      </c>
      <c r="B1480" s="98" t="s">
        <v>63</v>
      </c>
      <c r="C1480" s="98">
        <v>150</v>
      </c>
      <c r="D1480" s="98">
        <v>550.01</v>
      </c>
      <c r="E1480" s="98">
        <v>0.01</v>
      </c>
      <c r="F1480" s="98" t="s">
        <v>13</v>
      </c>
      <c r="G1480" s="98" t="s">
        <v>12</v>
      </c>
      <c r="H1480" s="98">
        <v>1</v>
      </c>
      <c r="I1480" s="98">
        <v>5</v>
      </c>
      <c r="J1480" s="98" t="s">
        <v>10</v>
      </c>
      <c r="K1480" s="98">
        <v>120</v>
      </c>
      <c r="L1480" s="98">
        <v>35</v>
      </c>
      <c r="M1480" s="98">
        <v>115.24</v>
      </c>
      <c r="N1480" s="98">
        <v>34.698999999999998</v>
      </c>
      <c r="O1480" s="99" t="s">
        <v>2123</v>
      </c>
    </row>
    <row r="1481" spans="1:15" x14ac:dyDescent="0.25">
      <c r="A1481" s="98" t="s">
        <v>54</v>
      </c>
      <c r="B1481" s="98" t="s">
        <v>63</v>
      </c>
      <c r="C1481" s="98">
        <v>150</v>
      </c>
      <c r="D1481" s="98">
        <v>550.01</v>
      </c>
      <c r="E1481" s="98">
        <v>0.1</v>
      </c>
      <c r="F1481" s="98" t="s">
        <v>13</v>
      </c>
      <c r="G1481" s="98" t="s">
        <v>12</v>
      </c>
      <c r="H1481" s="98">
        <v>1</v>
      </c>
      <c r="I1481" s="98">
        <v>5</v>
      </c>
      <c r="J1481" s="98" t="s">
        <v>10</v>
      </c>
      <c r="K1481" s="98">
        <v>120</v>
      </c>
      <c r="L1481" s="98">
        <v>35</v>
      </c>
      <c r="M1481" s="98">
        <v>115.76</v>
      </c>
      <c r="N1481" s="98">
        <v>34.698</v>
      </c>
      <c r="O1481" s="99" t="s">
        <v>2127</v>
      </c>
    </row>
    <row r="1482" spans="1:15" x14ac:dyDescent="0.25">
      <c r="A1482" s="98" t="s">
        <v>54</v>
      </c>
      <c r="B1482" s="98" t="s">
        <v>63</v>
      </c>
      <c r="C1482" s="98">
        <v>150</v>
      </c>
      <c r="D1482" s="98">
        <v>550.01</v>
      </c>
      <c r="E1482" s="98">
        <v>0.1</v>
      </c>
      <c r="F1482" s="98" t="s">
        <v>13</v>
      </c>
      <c r="G1482" s="98" t="s">
        <v>12</v>
      </c>
      <c r="H1482" s="98">
        <v>5</v>
      </c>
      <c r="I1482" s="98">
        <v>5.01</v>
      </c>
      <c r="J1482" s="98" t="s">
        <v>10</v>
      </c>
      <c r="K1482" s="98">
        <v>120</v>
      </c>
      <c r="L1482" s="98">
        <v>35</v>
      </c>
      <c r="M1482" s="98">
        <v>115.76</v>
      </c>
      <c r="N1482" s="98">
        <v>34.698</v>
      </c>
      <c r="O1482" s="99" t="s">
        <v>2126</v>
      </c>
    </row>
    <row r="1483" spans="1:15" x14ac:dyDescent="0.25">
      <c r="A1483" s="98" t="s">
        <v>54</v>
      </c>
      <c r="B1483" s="98" t="s">
        <v>63</v>
      </c>
      <c r="C1483" s="98">
        <v>150</v>
      </c>
      <c r="D1483" s="98">
        <v>550.01</v>
      </c>
      <c r="E1483" s="98">
        <v>0.1</v>
      </c>
      <c r="F1483" s="98" t="s">
        <v>13</v>
      </c>
      <c r="G1483" s="98" t="s">
        <v>12</v>
      </c>
      <c r="H1483" s="98">
        <v>4.4999999999999998E-2</v>
      </c>
      <c r="I1483" s="98">
        <v>0.10001</v>
      </c>
      <c r="J1483" s="98" t="s">
        <v>10</v>
      </c>
      <c r="K1483" s="98">
        <v>62.204999999999998</v>
      </c>
      <c r="L1483" s="98">
        <v>2.0941999999999998</v>
      </c>
      <c r="M1483" s="98">
        <v>64.156000000000006</v>
      </c>
      <c r="N1483" s="98">
        <v>2.0802</v>
      </c>
      <c r="O1483" s="99" t="s">
        <v>2704</v>
      </c>
    </row>
    <row r="1484" spans="1:15" x14ac:dyDescent="0.25">
      <c r="A1484" s="98" t="s">
        <v>54</v>
      </c>
      <c r="B1484" s="98" t="s">
        <v>63</v>
      </c>
      <c r="C1484" s="98">
        <v>150</v>
      </c>
      <c r="D1484" s="98">
        <v>550.01</v>
      </c>
      <c r="E1484" s="98">
        <v>0.1</v>
      </c>
      <c r="F1484" s="98" t="s">
        <v>13</v>
      </c>
      <c r="G1484" s="98" t="s">
        <v>12</v>
      </c>
      <c r="H1484" s="98">
        <v>0.1</v>
      </c>
      <c r="I1484" s="98">
        <v>1.0000100000000001</v>
      </c>
      <c r="J1484" s="98" t="s">
        <v>10</v>
      </c>
      <c r="K1484" s="98">
        <v>76.075999999999993</v>
      </c>
      <c r="L1484" s="98">
        <v>2.2961999999999998</v>
      </c>
      <c r="M1484" s="98">
        <v>78.162000000000006</v>
      </c>
      <c r="N1484" s="98">
        <v>2.2814000000000001</v>
      </c>
      <c r="O1484" s="99" t="s">
        <v>2128</v>
      </c>
    </row>
    <row r="1485" spans="1:15" x14ac:dyDescent="0.25">
      <c r="A1485" s="98" t="s">
        <v>54</v>
      </c>
      <c r="B1485" s="98" t="s">
        <v>63</v>
      </c>
      <c r="C1485" s="98">
        <v>150</v>
      </c>
      <c r="D1485" s="98">
        <v>550.01</v>
      </c>
      <c r="E1485" s="98">
        <v>1</v>
      </c>
      <c r="F1485" s="98" t="s">
        <v>13</v>
      </c>
      <c r="G1485" s="98" t="s">
        <v>12</v>
      </c>
      <c r="H1485" s="98">
        <v>5</v>
      </c>
      <c r="I1485" s="98">
        <v>5.01</v>
      </c>
      <c r="J1485" s="98" t="s">
        <v>10</v>
      </c>
      <c r="K1485" s="98">
        <v>120</v>
      </c>
      <c r="L1485" s="98">
        <v>35</v>
      </c>
      <c r="M1485" s="98">
        <v>155.32</v>
      </c>
      <c r="N1485" s="98">
        <v>34.642000000000003</v>
      </c>
      <c r="O1485" s="99" t="s">
        <v>2705</v>
      </c>
    </row>
    <row r="1486" spans="1:15" x14ac:dyDescent="0.25">
      <c r="A1486" s="98" t="s">
        <v>54</v>
      </c>
      <c r="B1486" s="98" t="s">
        <v>63</v>
      </c>
      <c r="C1486" s="98">
        <v>150</v>
      </c>
      <c r="D1486" s="98">
        <v>550.01</v>
      </c>
      <c r="E1486" s="98">
        <v>1</v>
      </c>
      <c r="F1486" s="98" t="s">
        <v>13</v>
      </c>
      <c r="G1486" s="98" t="s">
        <v>12</v>
      </c>
      <c r="H1486" s="98">
        <v>4.4999999999999998E-2</v>
      </c>
      <c r="I1486" s="98">
        <v>0.10001</v>
      </c>
      <c r="J1486" s="98" t="s">
        <v>10</v>
      </c>
      <c r="K1486" s="98">
        <v>445.36</v>
      </c>
      <c r="L1486" s="98">
        <v>1.6256999999999999</v>
      </c>
      <c r="M1486" s="98">
        <v>445.1</v>
      </c>
      <c r="N1486" s="98">
        <v>1.6253</v>
      </c>
      <c r="O1486" s="99" t="s">
        <v>2130</v>
      </c>
    </row>
    <row r="1487" spans="1:15" x14ac:dyDescent="0.25">
      <c r="A1487" s="98" t="s">
        <v>54</v>
      </c>
      <c r="B1487" s="98" t="s">
        <v>63</v>
      </c>
      <c r="C1487" s="98">
        <v>150</v>
      </c>
      <c r="D1487" s="98">
        <v>550.01</v>
      </c>
      <c r="E1487" s="98">
        <v>1</v>
      </c>
      <c r="F1487" s="98" t="s">
        <v>13</v>
      </c>
      <c r="G1487" s="98" t="s">
        <v>12</v>
      </c>
      <c r="H1487" s="98">
        <v>0.1</v>
      </c>
      <c r="I1487" s="98">
        <v>1.0000100000000001</v>
      </c>
      <c r="J1487" s="98" t="s">
        <v>10</v>
      </c>
      <c r="K1487" s="98">
        <v>437.31</v>
      </c>
      <c r="L1487" s="98">
        <v>1.8466</v>
      </c>
      <c r="M1487" s="98">
        <v>437.03</v>
      </c>
      <c r="N1487" s="98">
        <v>1.8463000000000001</v>
      </c>
      <c r="O1487" s="99" t="s">
        <v>2706</v>
      </c>
    </row>
    <row r="1488" spans="1:15" x14ac:dyDescent="0.25">
      <c r="A1488" s="98" t="s">
        <v>54</v>
      </c>
      <c r="B1488" s="98" t="s">
        <v>63</v>
      </c>
      <c r="C1488" s="98">
        <v>150</v>
      </c>
      <c r="D1488" s="98">
        <v>550.01</v>
      </c>
      <c r="E1488" s="98">
        <v>1</v>
      </c>
      <c r="F1488" s="98" t="s">
        <v>13</v>
      </c>
      <c r="G1488" s="98" t="s">
        <v>12</v>
      </c>
      <c r="H1488" s="98">
        <v>1</v>
      </c>
      <c r="I1488" s="98">
        <v>5</v>
      </c>
      <c r="J1488" s="98" t="s">
        <v>10</v>
      </c>
      <c r="K1488" s="98">
        <v>120</v>
      </c>
      <c r="L1488" s="98">
        <v>35</v>
      </c>
      <c r="M1488" s="98">
        <v>155.32</v>
      </c>
      <c r="N1488" s="98">
        <v>34.642000000000003</v>
      </c>
      <c r="O1488" s="99" t="s">
        <v>2129</v>
      </c>
    </row>
    <row r="1489" spans="1:15" x14ac:dyDescent="0.25">
      <c r="A1489" s="98" t="s">
        <v>54</v>
      </c>
      <c r="B1489" s="98" t="s">
        <v>63</v>
      </c>
      <c r="C1489" s="98">
        <v>150</v>
      </c>
      <c r="D1489" s="98">
        <v>550.01</v>
      </c>
      <c r="E1489" s="98">
        <v>10</v>
      </c>
      <c r="F1489" s="98" t="s">
        <v>13</v>
      </c>
      <c r="G1489" s="98" t="s">
        <v>12</v>
      </c>
      <c r="H1489" s="98">
        <v>4.4999999999999998E-2</v>
      </c>
      <c r="I1489" s="98">
        <v>0.10001</v>
      </c>
      <c r="J1489" s="98" t="s">
        <v>10</v>
      </c>
      <c r="K1489" s="98">
        <v>5769.8</v>
      </c>
      <c r="L1489" s="98">
        <v>0.28151999999999999</v>
      </c>
      <c r="M1489" s="98">
        <v>5769.8</v>
      </c>
      <c r="N1489" s="98">
        <v>0.28083999999999998</v>
      </c>
      <c r="O1489" s="99" t="s">
        <v>2707</v>
      </c>
    </row>
    <row r="1490" spans="1:15" x14ac:dyDescent="0.25">
      <c r="A1490" s="98" t="s">
        <v>54</v>
      </c>
      <c r="B1490" s="98" t="s">
        <v>63</v>
      </c>
      <c r="C1490" s="98">
        <v>150</v>
      </c>
      <c r="D1490" s="98">
        <v>550.01</v>
      </c>
      <c r="E1490" s="98">
        <v>10</v>
      </c>
      <c r="F1490" s="98" t="s">
        <v>13</v>
      </c>
      <c r="G1490" s="98" t="s">
        <v>12</v>
      </c>
      <c r="H1490" s="98">
        <v>5</v>
      </c>
      <c r="I1490" s="98">
        <v>5.01</v>
      </c>
      <c r="J1490" s="98" t="s">
        <v>10</v>
      </c>
      <c r="K1490" s="98">
        <v>3301.1</v>
      </c>
      <c r="L1490" s="98">
        <v>30.465</v>
      </c>
      <c r="M1490" s="98">
        <v>3300.8</v>
      </c>
      <c r="N1490" s="98">
        <v>30.465</v>
      </c>
      <c r="O1490" s="99" t="s">
        <v>2132</v>
      </c>
    </row>
    <row r="1491" spans="1:15" x14ac:dyDescent="0.25">
      <c r="A1491" s="98" t="s">
        <v>54</v>
      </c>
      <c r="B1491" s="98" t="s">
        <v>63</v>
      </c>
      <c r="C1491" s="98">
        <v>150</v>
      </c>
      <c r="D1491" s="98">
        <v>550.01</v>
      </c>
      <c r="E1491" s="98">
        <v>10</v>
      </c>
      <c r="F1491" s="98" t="s">
        <v>13</v>
      </c>
      <c r="G1491" s="98" t="s">
        <v>12</v>
      </c>
      <c r="H1491" s="98">
        <v>1</v>
      </c>
      <c r="I1491" s="98">
        <v>5</v>
      </c>
      <c r="J1491" s="98" t="s">
        <v>10</v>
      </c>
      <c r="K1491" s="98">
        <v>3301.1</v>
      </c>
      <c r="L1491" s="98">
        <v>30.465</v>
      </c>
      <c r="M1491" s="98">
        <v>3300.8</v>
      </c>
      <c r="N1491" s="98">
        <v>30.465</v>
      </c>
      <c r="O1491" s="99" t="s">
        <v>2133</v>
      </c>
    </row>
    <row r="1492" spans="1:15" x14ac:dyDescent="0.25">
      <c r="A1492" s="98" t="s">
        <v>54</v>
      </c>
      <c r="B1492" s="98" t="s">
        <v>63</v>
      </c>
      <c r="C1492" s="98">
        <v>150</v>
      </c>
      <c r="D1492" s="98">
        <v>550.01</v>
      </c>
      <c r="E1492" s="98">
        <v>10</v>
      </c>
      <c r="F1492" s="98" t="s">
        <v>13</v>
      </c>
      <c r="G1492" s="98" t="s">
        <v>12</v>
      </c>
      <c r="H1492" s="98">
        <v>0.1</v>
      </c>
      <c r="I1492" s="98">
        <v>1.0000100000000001</v>
      </c>
      <c r="J1492" s="98" t="s">
        <v>10</v>
      </c>
      <c r="K1492" s="98">
        <v>5764</v>
      </c>
      <c r="L1492" s="98">
        <v>0.34064</v>
      </c>
      <c r="M1492" s="98">
        <v>5763.9</v>
      </c>
      <c r="N1492" s="98">
        <v>0.33996999999999999</v>
      </c>
      <c r="O1492" s="99" t="s">
        <v>2131</v>
      </c>
    </row>
    <row r="1493" spans="1:15" x14ac:dyDescent="0.25">
      <c r="A1493" s="98" t="s">
        <v>54</v>
      </c>
      <c r="B1493" s="98" t="s">
        <v>63</v>
      </c>
      <c r="C1493" s="98">
        <v>150</v>
      </c>
      <c r="D1493" s="98">
        <v>550.01</v>
      </c>
      <c r="E1493" s="98">
        <v>100</v>
      </c>
      <c r="F1493" s="98" t="s">
        <v>13</v>
      </c>
      <c r="G1493" s="98" t="s">
        <v>12</v>
      </c>
      <c r="H1493" s="98">
        <v>5</v>
      </c>
      <c r="I1493" s="98">
        <v>5.01</v>
      </c>
      <c r="J1493" s="98" t="s">
        <v>10</v>
      </c>
      <c r="K1493" s="98">
        <v>57174</v>
      </c>
      <c r="L1493" s="98">
        <v>7.1298000000000004</v>
      </c>
      <c r="M1493" s="98">
        <v>57174</v>
      </c>
      <c r="N1493" s="98">
        <v>7.1292999999999997</v>
      </c>
      <c r="O1493" s="99" t="s">
        <v>2136</v>
      </c>
    </row>
    <row r="1494" spans="1:15" x14ac:dyDescent="0.25">
      <c r="A1494" s="98" t="s">
        <v>54</v>
      </c>
      <c r="B1494" s="98" t="s">
        <v>63</v>
      </c>
      <c r="C1494" s="98">
        <v>150</v>
      </c>
      <c r="D1494" s="98">
        <v>550.01</v>
      </c>
      <c r="E1494" s="98">
        <v>100</v>
      </c>
      <c r="F1494" s="98" t="s">
        <v>13</v>
      </c>
      <c r="G1494" s="98" t="s">
        <v>12</v>
      </c>
      <c r="H1494" s="98">
        <v>1</v>
      </c>
      <c r="I1494" s="98">
        <v>5</v>
      </c>
      <c r="J1494" s="98" t="s">
        <v>10</v>
      </c>
      <c r="K1494" s="98">
        <v>57174</v>
      </c>
      <c r="L1494" s="98">
        <v>7.1298000000000004</v>
      </c>
      <c r="M1494" s="98">
        <v>57174</v>
      </c>
      <c r="N1494" s="98">
        <v>7.1292999999999997</v>
      </c>
      <c r="O1494" s="99" t="s">
        <v>2134</v>
      </c>
    </row>
    <row r="1495" spans="1:15" x14ac:dyDescent="0.25">
      <c r="A1495" s="98" t="s">
        <v>54</v>
      </c>
      <c r="B1495" s="98" t="s">
        <v>63</v>
      </c>
      <c r="C1495" s="98">
        <v>150</v>
      </c>
      <c r="D1495" s="98">
        <v>550.01</v>
      </c>
      <c r="E1495" s="98">
        <v>100</v>
      </c>
      <c r="F1495" s="98" t="s">
        <v>13</v>
      </c>
      <c r="G1495" s="98" t="s">
        <v>12</v>
      </c>
      <c r="H1495" s="98">
        <v>4.4999999999999998E-2</v>
      </c>
      <c r="I1495" s="98">
        <v>0.10001</v>
      </c>
      <c r="J1495" s="98" t="s">
        <v>10</v>
      </c>
      <c r="K1495" s="98">
        <v>57997</v>
      </c>
      <c r="L1495" s="98">
        <v>2.869E-2</v>
      </c>
      <c r="M1495" s="98">
        <v>57997</v>
      </c>
      <c r="N1495" s="98">
        <v>2.8410999999999999E-2</v>
      </c>
      <c r="O1495" s="99" t="s">
        <v>2708</v>
      </c>
    </row>
    <row r="1496" spans="1:15" x14ac:dyDescent="0.25">
      <c r="A1496" s="98" t="s">
        <v>54</v>
      </c>
      <c r="B1496" s="98" t="s">
        <v>63</v>
      </c>
      <c r="C1496" s="98">
        <v>150</v>
      </c>
      <c r="D1496" s="98">
        <v>550.01</v>
      </c>
      <c r="E1496" s="98">
        <v>100</v>
      </c>
      <c r="F1496" s="98" t="s">
        <v>13</v>
      </c>
      <c r="G1496" s="98" t="s">
        <v>12</v>
      </c>
      <c r="H1496" s="98">
        <v>0.1</v>
      </c>
      <c r="I1496" s="98">
        <v>1.0000100000000001</v>
      </c>
      <c r="J1496" s="98" t="s">
        <v>10</v>
      </c>
      <c r="K1496" s="98">
        <v>57996</v>
      </c>
      <c r="L1496" s="98">
        <v>3.4757999999999997E-2</v>
      </c>
      <c r="M1496" s="98">
        <v>57996</v>
      </c>
      <c r="N1496" s="98">
        <v>3.4478000000000002E-2</v>
      </c>
      <c r="O1496" s="99" t="s">
        <v>2135</v>
      </c>
    </row>
    <row r="1497" spans="1:15" x14ac:dyDescent="0.25">
      <c r="A1497" s="98" t="s">
        <v>54</v>
      </c>
      <c r="B1497" s="98" t="s">
        <v>63</v>
      </c>
      <c r="C1497" s="98">
        <v>550</v>
      </c>
      <c r="D1497" s="98">
        <v>1025.01</v>
      </c>
      <c r="E1497" s="98">
        <v>0.01</v>
      </c>
      <c r="F1497" s="98" t="s">
        <v>13</v>
      </c>
      <c r="G1497" s="98" t="s">
        <v>12</v>
      </c>
      <c r="H1497" s="98">
        <v>4.4999999999999998E-2</v>
      </c>
      <c r="I1497" s="98">
        <v>0.10001</v>
      </c>
      <c r="J1497" s="98" t="s">
        <v>10</v>
      </c>
      <c r="K1497" s="98">
        <v>210</v>
      </c>
      <c r="L1497" s="98">
        <v>2.4</v>
      </c>
      <c r="M1497" s="98">
        <v>192.41</v>
      </c>
      <c r="N1497" s="98">
        <v>2.4161000000000001</v>
      </c>
      <c r="O1497" s="99" t="s">
        <v>2710</v>
      </c>
    </row>
    <row r="1498" spans="1:15" x14ac:dyDescent="0.25">
      <c r="A1498" s="98" t="s">
        <v>54</v>
      </c>
      <c r="B1498" s="98" t="s">
        <v>63</v>
      </c>
      <c r="C1498" s="98">
        <v>550</v>
      </c>
      <c r="D1498" s="98">
        <v>1030</v>
      </c>
      <c r="E1498" s="98">
        <v>0.01</v>
      </c>
      <c r="F1498" s="98" t="s">
        <v>13</v>
      </c>
      <c r="G1498" s="98" t="s">
        <v>12</v>
      </c>
      <c r="H1498" s="98">
        <v>1</v>
      </c>
      <c r="I1498" s="98">
        <v>1.0000100000000001</v>
      </c>
      <c r="J1498" s="98" t="s">
        <v>10</v>
      </c>
      <c r="K1498" s="98">
        <v>250</v>
      </c>
      <c r="L1498" s="98">
        <v>2.6</v>
      </c>
      <c r="M1498" s="98">
        <v>210.67</v>
      </c>
      <c r="N1498" s="98">
        <v>2.6326000000000001</v>
      </c>
      <c r="O1498" s="99" t="s">
        <v>2709</v>
      </c>
    </row>
    <row r="1499" spans="1:15" x14ac:dyDescent="0.25">
      <c r="A1499" s="98" t="s">
        <v>54</v>
      </c>
      <c r="B1499" s="98" t="s">
        <v>63</v>
      </c>
      <c r="C1499" s="98">
        <v>550</v>
      </c>
      <c r="D1499" s="98">
        <v>1025.01</v>
      </c>
      <c r="E1499" s="98">
        <v>0.01</v>
      </c>
      <c r="F1499" s="98" t="s">
        <v>13</v>
      </c>
      <c r="G1499" s="98" t="s">
        <v>12</v>
      </c>
      <c r="H1499" s="98">
        <v>0.1</v>
      </c>
      <c r="I1499" s="98">
        <v>1</v>
      </c>
      <c r="J1499" s="98" t="s">
        <v>10</v>
      </c>
      <c r="K1499" s="98">
        <v>250</v>
      </c>
      <c r="L1499" s="98">
        <v>2.6</v>
      </c>
      <c r="M1499" s="98">
        <v>210.67</v>
      </c>
      <c r="N1499" s="98">
        <v>2.6326000000000001</v>
      </c>
      <c r="O1499" s="99" t="s">
        <v>2137</v>
      </c>
    </row>
    <row r="1500" spans="1:15" x14ac:dyDescent="0.25">
      <c r="A1500" s="98" t="s">
        <v>54</v>
      </c>
      <c r="B1500" s="98" t="s">
        <v>63</v>
      </c>
      <c r="C1500" s="98">
        <v>550</v>
      </c>
      <c r="D1500" s="98">
        <v>1030</v>
      </c>
      <c r="E1500" s="98">
        <v>0.1</v>
      </c>
      <c r="F1500" s="98" t="s">
        <v>13</v>
      </c>
      <c r="G1500" s="98" t="s">
        <v>12</v>
      </c>
      <c r="H1500" s="98">
        <v>1</v>
      </c>
      <c r="I1500" s="98">
        <v>1.0000100000000001</v>
      </c>
      <c r="J1500" s="98" t="s">
        <v>10</v>
      </c>
      <c r="K1500" s="98">
        <v>250</v>
      </c>
      <c r="L1500" s="98">
        <v>2.6</v>
      </c>
      <c r="M1500" s="98">
        <v>212.17</v>
      </c>
      <c r="N1500" s="98">
        <v>2.6316999999999999</v>
      </c>
      <c r="O1500" s="99" t="s">
        <v>2140</v>
      </c>
    </row>
    <row r="1501" spans="1:15" x14ac:dyDescent="0.25">
      <c r="A1501" s="98" t="s">
        <v>54</v>
      </c>
      <c r="B1501" s="98" t="s">
        <v>63</v>
      </c>
      <c r="C1501" s="98">
        <v>550</v>
      </c>
      <c r="D1501" s="98">
        <v>1025.01</v>
      </c>
      <c r="E1501" s="98">
        <v>0.1</v>
      </c>
      <c r="F1501" s="98" t="s">
        <v>13</v>
      </c>
      <c r="G1501" s="98" t="s">
        <v>12</v>
      </c>
      <c r="H1501" s="98">
        <v>4.4999999999999998E-2</v>
      </c>
      <c r="I1501" s="98">
        <v>0.10001</v>
      </c>
      <c r="J1501" s="98" t="s">
        <v>10</v>
      </c>
      <c r="K1501" s="98">
        <v>210</v>
      </c>
      <c r="L1501" s="98">
        <v>2.4</v>
      </c>
      <c r="M1501" s="98">
        <v>193.98</v>
      </c>
      <c r="N1501" s="98">
        <v>2.4152</v>
      </c>
      <c r="O1501" s="99" t="s">
        <v>2138</v>
      </c>
    </row>
    <row r="1502" spans="1:15" x14ac:dyDescent="0.25">
      <c r="A1502" s="98" t="s">
        <v>54</v>
      </c>
      <c r="B1502" s="98" t="s">
        <v>63</v>
      </c>
      <c r="C1502" s="98">
        <v>550</v>
      </c>
      <c r="D1502" s="98">
        <v>1025.01</v>
      </c>
      <c r="E1502" s="98">
        <v>0.1</v>
      </c>
      <c r="F1502" s="98" t="s">
        <v>13</v>
      </c>
      <c r="G1502" s="98" t="s">
        <v>12</v>
      </c>
      <c r="H1502" s="98">
        <v>0.1</v>
      </c>
      <c r="I1502" s="98">
        <v>1</v>
      </c>
      <c r="J1502" s="98" t="s">
        <v>10</v>
      </c>
      <c r="K1502" s="98">
        <v>250</v>
      </c>
      <c r="L1502" s="98">
        <v>2.6</v>
      </c>
      <c r="M1502" s="98">
        <v>212.17</v>
      </c>
      <c r="N1502" s="98">
        <v>2.6316999999999999</v>
      </c>
      <c r="O1502" s="99" t="s">
        <v>2139</v>
      </c>
    </row>
    <row r="1503" spans="1:15" x14ac:dyDescent="0.25">
      <c r="A1503" s="98" t="s">
        <v>54</v>
      </c>
      <c r="B1503" s="98" t="s">
        <v>63</v>
      </c>
      <c r="C1503" s="98">
        <v>550</v>
      </c>
      <c r="D1503" s="98">
        <v>1030</v>
      </c>
      <c r="E1503" s="98">
        <v>1</v>
      </c>
      <c r="F1503" s="98" t="s">
        <v>13</v>
      </c>
      <c r="G1503" s="98" t="s">
        <v>12</v>
      </c>
      <c r="H1503" s="98">
        <v>1</v>
      </c>
      <c r="I1503" s="98">
        <v>1.0000100000000001</v>
      </c>
      <c r="J1503" s="98" t="s">
        <v>10</v>
      </c>
      <c r="K1503" s="98">
        <v>357.02</v>
      </c>
      <c r="L1503" s="98">
        <v>2.5468999999999999</v>
      </c>
      <c r="M1503" s="98">
        <v>356.89</v>
      </c>
      <c r="N1503" s="98">
        <v>2.5457999999999998</v>
      </c>
      <c r="O1503" s="99" t="s">
        <v>2142</v>
      </c>
    </row>
    <row r="1504" spans="1:15" x14ac:dyDescent="0.25">
      <c r="A1504" s="98" t="s">
        <v>54</v>
      </c>
      <c r="B1504" s="98" t="s">
        <v>63</v>
      </c>
      <c r="C1504" s="98">
        <v>550</v>
      </c>
      <c r="D1504" s="98">
        <v>1025.01</v>
      </c>
      <c r="E1504" s="98">
        <v>1</v>
      </c>
      <c r="F1504" s="98" t="s">
        <v>13</v>
      </c>
      <c r="G1504" s="98" t="s">
        <v>12</v>
      </c>
      <c r="H1504" s="98">
        <v>0.1</v>
      </c>
      <c r="I1504" s="98">
        <v>1</v>
      </c>
      <c r="J1504" s="98" t="s">
        <v>10</v>
      </c>
      <c r="K1504" s="98">
        <v>357.02</v>
      </c>
      <c r="L1504" s="98">
        <v>2.5468999999999999</v>
      </c>
      <c r="M1504" s="98">
        <v>356.89</v>
      </c>
      <c r="N1504" s="98">
        <v>2.5457999999999998</v>
      </c>
      <c r="O1504" s="99" t="s">
        <v>2141</v>
      </c>
    </row>
    <row r="1505" spans="1:15" x14ac:dyDescent="0.25">
      <c r="A1505" s="98" t="s">
        <v>54</v>
      </c>
      <c r="B1505" s="98" t="s">
        <v>63</v>
      </c>
      <c r="C1505" s="98">
        <v>550</v>
      </c>
      <c r="D1505" s="98">
        <v>1025.01</v>
      </c>
      <c r="E1505" s="98">
        <v>1</v>
      </c>
      <c r="F1505" s="98" t="s">
        <v>13</v>
      </c>
      <c r="G1505" s="98" t="s">
        <v>12</v>
      </c>
      <c r="H1505" s="98">
        <v>4.4999999999999998E-2</v>
      </c>
      <c r="I1505" s="98">
        <v>0.10001</v>
      </c>
      <c r="J1505" s="98" t="s">
        <v>10</v>
      </c>
      <c r="K1505" s="98">
        <v>350.89</v>
      </c>
      <c r="L1505" s="98">
        <v>2.3235999999999999</v>
      </c>
      <c r="M1505" s="98">
        <v>350.74</v>
      </c>
      <c r="N1505" s="98">
        <v>2.3224</v>
      </c>
      <c r="O1505" s="99" t="s">
        <v>2143</v>
      </c>
    </row>
    <row r="1506" spans="1:15" x14ac:dyDescent="0.25">
      <c r="A1506" s="98" t="s">
        <v>54</v>
      </c>
      <c r="B1506" s="98" t="s">
        <v>63</v>
      </c>
      <c r="C1506" s="98">
        <v>550</v>
      </c>
      <c r="D1506" s="98">
        <v>1025.01</v>
      </c>
      <c r="E1506" s="98">
        <v>10</v>
      </c>
      <c r="F1506" s="98" t="s">
        <v>13</v>
      </c>
      <c r="G1506" s="98" t="s">
        <v>12</v>
      </c>
      <c r="H1506" s="98">
        <v>4.4999999999999998E-2</v>
      </c>
      <c r="I1506" s="98">
        <v>0.10001</v>
      </c>
      <c r="J1506" s="98" t="s">
        <v>10</v>
      </c>
      <c r="K1506" s="98">
        <v>5545.6</v>
      </c>
      <c r="L1506" s="98">
        <v>0.82077999999999995</v>
      </c>
      <c r="M1506" s="98">
        <v>5546.4</v>
      </c>
      <c r="N1506" s="98">
        <v>0.81772</v>
      </c>
      <c r="O1506" s="99" t="s">
        <v>2146</v>
      </c>
    </row>
    <row r="1507" spans="1:15" x14ac:dyDescent="0.25">
      <c r="A1507" s="98" t="s">
        <v>54</v>
      </c>
      <c r="B1507" s="98" t="s">
        <v>63</v>
      </c>
      <c r="C1507" s="98">
        <v>550</v>
      </c>
      <c r="D1507" s="98">
        <v>1030</v>
      </c>
      <c r="E1507" s="98">
        <v>10</v>
      </c>
      <c r="F1507" s="98" t="s">
        <v>13</v>
      </c>
      <c r="G1507" s="98" t="s">
        <v>12</v>
      </c>
      <c r="H1507" s="98">
        <v>1</v>
      </c>
      <c r="I1507" s="98">
        <v>1.0000100000000001</v>
      </c>
      <c r="J1507" s="98" t="s">
        <v>10</v>
      </c>
      <c r="K1507" s="98">
        <v>5503.5</v>
      </c>
      <c r="L1507" s="98">
        <v>0.96336999999999995</v>
      </c>
      <c r="M1507" s="98">
        <v>5504.3</v>
      </c>
      <c r="N1507" s="98">
        <v>0.96038000000000001</v>
      </c>
      <c r="O1507" s="99" t="s">
        <v>2144</v>
      </c>
    </row>
    <row r="1508" spans="1:15" x14ac:dyDescent="0.25">
      <c r="A1508" s="98" t="s">
        <v>54</v>
      </c>
      <c r="B1508" s="98" t="s">
        <v>63</v>
      </c>
      <c r="C1508" s="98">
        <v>550</v>
      </c>
      <c r="D1508" s="98">
        <v>1030</v>
      </c>
      <c r="E1508" s="98">
        <v>10</v>
      </c>
      <c r="F1508" s="98" t="s">
        <v>13</v>
      </c>
      <c r="G1508" s="98" t="s">
        <v>12</v>
      </c>
      <c r="H1508" s="98">
        <v>0.1</v>
      </c>
      <c r="I1508" s="98">
        <v>1</v>
      </c>
      <c r="J1508" s="98" t="s">
        <v>10</v>
      </c>
      <c r="K1508" s="98">
        <v>5503.5</v>
      </c>
      <c r="L1508" s="98">
        <v>0.96336999999999995</v>
      </c>
      <c r="M1508" s="98">
        <v>5504.3</v>
      </c>
      <c r="N1508" s="98">
        <v>0.96038000000000001</v>
      </c>
      <c r="O1508" s="99" t="s">
        <v>2145</v>
      </c>
    </row>
    <row r="1509" spans="1:15" x14ac:dyDescent="0.25">
      <c r="A1509" s="98" t="s">
        <v>54</v>
      </c>
      <c r="B1509" s="98" t="s">
        <v>63</v>
      </c>
      <c r="C1509" s="98">
        <v>550</v>
      </c>
      <c r="D1509" s="98">
        <v>1025.01</v>
      </c>
      <c r="E1509" s="98">
        <v>100</v>
      </c>
      <c r="F1509" s="98" t="s">
        <v>13</v>
      </c>
      <c r="G1509" s="98" t="s">
        <v>12</v>
      </c>
      <c r="H1509" s="98">
        <v>4.4999999999999998E-2</v>
      </c>
      <c r="I1509" s="98">
        <v>0.10001</v>
      </c>
      <c r="J1509" s="98" t="s">
        <v>10</v>
      </c>
      <c r="K1509" s="98">
        <v>57972</v>
      </c>
      <c r="L1509" s="98">
        <v>8.8607000000000005E-2</v>
      </c>
      <c r="M1509" s="98">
        <v>57972</v>
      </c>
      <c r="N1509" s="98">
        <v>8.7215000000000001E-2</v>
      </c>
      <c r="O1509" s="99" t="s">
        <v>2147</v>
      </c>
    </row>
    <row r="1510" spans="1:15" x14ac:dyDescent="0.25">
      <c r="A1510" s="98" t="s">
        <v>54</v>
      </c>
      <c r="B1510" s="98" t="s">
        <v>8</v>
      </c>
      <c r="C1510" s="98">
        <v>0</v>
      </c>
      <c r="D1510" s="98">
        <v>3.3009999999999998E-2</v>
      </c>
      <c r="E1510" s="98">
        <v>9.9999999999999995E-7</v>
      </c>
      <c r="F1510" s="98" t="s">
        <v>6</v>
      </c>
      <c r="G1510" s="98" t="s">
        <v>5</v>
      </c>
      <c r="H1510" s="98">
        <v>100</v>
      </c>
      <c r="I1510" s="98">
        <v>500</v>
      </c>
      <c r="J1510" s="98" t="s">
        <v>10</v>
      </c>
      <c r="K1510" s="98">
        <v>89</v>
      </c>
      <c r="L1510" s="98">
        <v>11000</v>
      </c>
      <c r="M1510" s="98">
        <v>72.86</v>
      </c>
      <c r="N1510" s="98">
        <v>11473</v>
      </c>
      <c r="O1510" s="99" t="s">
        <v>1929</v>
      </c>
    </row>
    <row r="1511" spans="1:15" x14ac:dyDescent="0.25">
      <c r="A1511" s="98" t="s">
        <v>54</v>
      </c>
      <c r="B1511" s="98" t="s">
        <v>8</v>
      </c>
      <c r="C1511" s="98">
        <v>0</v>
      </c>
      <c r="D1511" s="98">
        <v>3.3009999999999998E-2</v>
      </c>
      <c r="E1511" s="98">
        <v>9.9999999999999995E-7</v>
      </c>
      <c r="F1511" s="98" t="s">
        <v>6</v>
      </c>
      <c r="G1511" s="98" t="s">
        <v>5</v>
      </c>
      <c r="H1511" s="98">
        <v>4.4999999999999998E-2</v>
      </c>
      <c r="I1511" s="98">
        <v>10.00001</v>
      </c>
      <c r="J1511" s="98" t="s">
        <v>10</v>
      </c>
      <c r="K1511" s="98">
        <v>24</v>
      </c>
      <c r="L1511" s="98">
        <v>1200</v>
      </c>
      <c r="M1511" s="98">
        <v>23.184999999999999</v>
      </c>
      <c r="N1511" s="98">
        <v>1155.4000000000001</v>
      </c>
      <c r="O1511" s="99" t="s">
        <v>1931</v>
      </c>
    </row>
    <row r="1512" spans="1:15" x14ac:dyDescent="0.25">
      <c r="A1512" s="98" t="s">
        <v>54</v>
      </c>
      <c r="B1512" s="98" t="s">
        <v>8</v>
      </c>
      <c r="C1512" s="98">
        <v>0</v>
      </c>
      <c r="D1512" s="98">
        <v>3.3009999999999998E-2</v>
      </c>
      <c r="E1512" s="98">
        <v>9.9999999999999995E-7</v>
      </c>
      <c r="F1512" s="98" t="s">
        <v>6</v>
      </c>
      <c r="G1512" s="98" t="s">
        <v>5</v>
      </c>
      <c r="H1512" s="98">
        <v>50</v>
      </c>
      <c r="I1512" s="98">
        <v>100</v>
      </c>
      <c r="J1512" s="98" t="s">
        <v>10</v>
      </c>
      <c r="K1512" s="98">
        <v>40</v>
      </c>
      <c r="L1512" s="98">
        <v>4000</v>
      </c>
      <c r="M1512" s="98">
        <v>38.936999999999998</v>
      </c>
      <c r="N1512" s="98">
        <v>4027</v>
      </c>
      <c r="O1512" s="99" t="s">
        <v>2654</v>
      </c>
    </row>
    <row r="1513" spans="1:15" x14ac:dyDescent="0.25">
      <c r="A1513" s="98" t="s">
        <v>54</v>
      </c>
      <c r="B1513" s="98" t="s">
        <v>8</v>
      </c>
      <c r="C1513" s="98">
        <v>0</v>
      </c>
      <c r="D1513" s="98">
        <v>3.3009999999999998E-2</v>
      </c>
      <c r="E1513" s="98">
        <v>9.9999999999999995E-7</v>
      </c>
      <c r="F1513" s="98" t="s">
        <v>6</v>
      </c>
      <c r="G1513" s="98" t="s">
        <v>5</v>
      </c>
      <c r="H1513" s="98">
        <v>0.01</v>
      </c>
      <c r="I1513" s="98">
        <v>4.5010000000000001E-2</v>
      </c>
      <c r="J1513" s="98" t="s">
        <v>10</v>
      </c>
      <c r="K1513" s="98">
        <v>25</v>
      </c>
      <c r="L1513" s="98">
        <v>1700</v>
      </c>
      <c r="M1513" s="98">
        <v>23.181000000000001</v>
      </c>
      <c r="N1513" s="98">
        <v>1732</v>
      </c>
      <c r="O1513" s="99" t="s">
        <v>1928</v>
      </c>
    </row>
    <row r="1514" spans="1:15" x14ac:dyDescent="0.25">
      <c r="A1514" s="98" t="s">
        <v>54</v>
      </c>
      <c r="B1514" s="98" t="s">
        <v>8</v>
      </c>
      <c r="C1514" s="98">
        <v>0</v>
      </c>
      <c r="D1514" s="98">
        <v>3.3009999999999998E-2</v>
      </c>
      <c r="E1514" s="98">
        <v>9.9999999999999995E-7</v>
      </c>
      <c r="F1514" s="98" t="s">
        <v>6</v>
      </c>
      <c r="G1514" s="98" t="s">
        <v>5</v>
      </c>
      <c r="H1514" s="98">
        <v>500</v>
      </c>
      <c r="I1514" s="98">
        <v>501</v>
      </c>
      <c r="J1514" s="98" t="s">
        <v>10</v>
      </c>
      <c r="K1514" s="98">
        <v>89</v>
      </c>
      <c r="L1514" s="98">
        <v>11000</v>
      </c>
      <c r="M1514" s="98">
        <v>72.86</v>
      </c>
      <c r="N1514" s="98">
        <v>11473</v>
      </c>
      <c r="O1514" s="99" t="s">
        <v>2652</v>
      </c>
    </row>
    <row r="1515" spans="1:15" x14ac:dyDescent="0.25">
      <c r="A1515" s="98" t="s">
        <v>54</v>
      </c>
      <c r="B1515" s="98" t="s">
        <v>8</v>
      </c>
      <c r="C1515" s="98">
        <v>0</v>
      </c>
      <c r="D1515" s="98">
        <v>3.3009999999999998E-2</v>
      </c>
      <c r="E1515" s="98">
        <v>9.9999999999999995E-7</v>
      </c>
      <c r="F1515" s="98" t="s">
        <v>6</v>
      </c>
      <c r="G1515" s="98" t="s">
        <v>5</v>
      </c>
      <c r="H1515" s="98">
        <v>20</v>
      </c>
      <c r="I1515" s="98">
        <v>50.01</v>
      </c>
      <c r="J1515" s="98" t="s">
        <v>10</v>
      </c>
      <c r="K1515" s="98">
        <v>24</v>
      </c>
      <c r="L1515" s="98">
        <v>2300</v>
      </c>
      <c r="M1515" s="98">
        <v>23.565000000000001</v>
      </c>
      <c r="N1515" s="98">
        <v>2300.9</v>
      </c>
      <c r="O1515" s="99" t="s">
        <v>1930</v>
      </c>
    </row>
    <row r="1516" spans="1:15" x14ac:dyDescent="0.25">
      <c r="A1516" s="98" t="s">
        <v>54</v>
      </c>
      <c r="B1516" s="98" t="s">
        <v>8</v>
      </c>
      <c r="C1516" s="98">
        <v>0</v>
      </c>
      <c r="D1516" s="98">
        <v>3.3009999999999998E-2</v>
      </c>
      <c r="E1516" s="98">
        <v>9.9999999999999995E-7</v>
      </c>
      <c r="F1516" s="98" t="s">
        <v>6</v>
      </c>
      <c r="G1516" s="98" t="s">
        <v>5</v>
      </c>
      <c r="H1516" s="98">
        <v>10</v>
      </c>
      <c r="I1516" s="98">
        <v>20.010000000000002</v>
      </c>
      <c r="J1516" s="98" t="s">
        <v>10</v>
      </c>
      <c r="K1516" s="98">
        <v>25</v>
      </c>
      <c r="L1516" s="98">
        <v>1700</v>
      </c>
      <c r="M1516" s="98">
        <v>23.181000000000001</v>
      </c>
      <c r="N1516" s="98">
        <v>1732</v>
      </c>
      <c r="O1516" s="99" t="s">
        <v>2653</v>
      </c>
    </row>
    <row r="1517" spans="1:15" x14ac:dyDescent="0.25">
      <c r="A1517" s="98" t="s">
        <v>54</v>
      </c>
      <c r="B1517" s="98" t="s">
        <v>8</v>
      </c>
      <c r="C1517" s="98">
        <v>0</v>
      </c>
      <c r="D1517" s="98">
        <v>3.3009999999999998E-2</v>
      </c>
      <c r="E1517" s="98">
        <v>1.0000000000000001E-5</v>
      </c>
      <c r="F1517" s="98" t="s">
        <v>6</v>
      </c>
      <c r="G1517" s="98" t="s">
        <v>5</v>
      </c>
      <c r="H1517" s="98">
        <v>50</v>
      </c>
      <c r="I1517" s="98">
        <v>100.01</v>
      </c>
      <c r="J1517" s="98" t="s">
        <v>10</v>
      </c>
      <c r="K1517" s="98">
        <v>40</v>
      </c>
      <c r="L1517" s="98">
        <v>4017.5</v>
      </c>
      <c r="M1517" s="98">
        <v>39.332000000000001</v>
      </c>
      <c r="N1517" s="98">
        <v>4018</v>
      </c>
      <c r="O1517" s="99" t="s">
        <v>1932</v>
      </c>
    </row>
    <row r="1518" spans="1:15" x14ac:dyDescent="0.25">
      <c r="A1518" s="98" t="s">
        <v>54</v>
      </c>
      <c r="B1518" s="98" t="s">
        <v>8</v>
      </c>
      <c r="C1518" s="98">
        <v>0</v>
      </c>
      <c r="D1518" s="98">
        <v>3.3009999999999998E-2</v>
      </c>
      <c r="E1518" s="98">
        <v>1.0000000000000001E-5</v>
      </c>
      <c r="F1518" s="98" t="s">
        <v>6</v>
      </c>
      <c r="G1518" s="98" t="s">
        <v>5</v>
      </c>
      <c r="H1518" s="98">
        <v>10</v>
      </c>
      <c r="I1518" s="98">
        <v>20.010000000000002</v>
      </c>
      <c r="J1518" s="98" t="s">
        <v>10</v>
      </c>
      <c r="K1518" s="98">
        <v>25</v>
      </c>
      <c r="L1518" s="98">
        <v>1718.2</v>
      </c>
      <c r="M1518" s="98">
        <v>23.853999999999999</v>
      </c>
      <c r="N1518" s="98">
        <v>1717.9</v>
      </c>
      <c r="O1518" s="99" t="s">
        <v>1933</v>
      </c>
    </row>
    <row r="1519" spans="1:15" x14ac:dyDescent="0.25">
      <c r="A1519" s="98" t="s">
        <v>54</v>
      </c>
      <c r="B1519" s="98" t="s">
        <v>8</v>
      </c>
      <c r="C1519" s="98">
        <v>0</v>
      </c>
      <c r="D1519" s="98">
        <v>3.3009999999999998E-2</v>
      </c>
      <c r="E1519" s="98">
        <v>1.0000000000000001E-5</v>
      </c>
      <c r="F1519" s="98" t="s">
        <v>6</v>
      </c>
      <c r="G1519" s="98" t="s">
        <v>5</v>
      </c>
      <c r="H1519" s="98">
        <v>500</v>
      </c>
      <c r="I1519" s="98">
        <v>501</v>
      </c>
      <c r="J1519" s="98" t="s">
        <v>10</v>
      </c>
      <c r="K1519" s="98">
        <v>89</v>
      </c>
      <c r="L1519" s="98">
        <v>11468</v>
      </c>
      <c r="M1519" s="98">
        <v>73.063000000000002</v>
      </c>
      <c r="N1519" s="98">
        <v>11468</v>
      </c>
      <c r="O1519" s="99" t="s">
        <v>1934</v>
      </c>
    </row>
    <row r="1520" spans="1:15" x14ac:dyDescent="0.25">
      <c r="A1520" s="98" t="s">
        <v>54</v>
      </c>
      <c r="B1520" s="98" t="s">
        <v>8</v>
      </c>
      <c r="C1520" s="98">
        <v>0</v>
      </c>
      <c r="D1520" s="98">
        <v>3.3009999999999998E-2</v>
      </c>
      <c r="E1520" s="98">
        <v>1.0000000000000001E-5</v>
      </c>
      <c r="F1520" s="98" t="s">
        <v>6</v>
      </c>
      <c r="G1520" s="98" t="s">
        <v>5</v>
      </c>
      <c r="H1520" s="98">
        <v>0.01</v>
      </c>
      <c r="I1520" s="98">
        <v>4.5010000000000001E-2</v>
      </c>
      <c r="J1520" s="98" t="s">
        <v>10</v>
      </c>
      <c r="K1520" s="98">
        <v>25</v>
      </c>
      <c r="L1520" s="98">
        <v>1718.2</v>
      </c>
      <c r="M1520" s="98">
        <v>23.853999999999999</v>
      </c>
      <c r="N1520" s="98">
        <v>1717.9</v>
      </c>
      <c r="O1520" s="99" t="s">
        <v>1936</v>
      </c>
    </row>
    <row r="1521" spans="1:15" x14ac:dyDescent="0.25">
      <c r="A1521" s="98" t="s">
        <v>54</v>
      </c>
      <c r="B1521" s="98" t="s">
        <v>8</v>
      </c>
      <c r="C1521" s="98">
        <v>0</v>
      </c>
      <c r="D1521" s="98">
        <v>3.3009999999999998E-2</v>
      </c>
      <c r="E1521" s="98">
        <v>1.0000000000000001E-5</v>
      </c>
      <c r="F1521" s="98" t="s">
        <v>6</v>
      </c>
      <c r="G1521" s="98" t="s">
        <v>5</v>
      </c>
      <c r="H1521" s="98">
        <v>100</v>
      </c>
      <c r="I1521" s="98">
        <v>500</v>
      </c>
      <c r="J1521" s="98" t="s">
        <v>10</v>
      </c>
      <c r="K1521" s="98">
        <v>89</v>
      </c>
      <c r="L1521" s="98">
        <v>11468</v>
      </c>
      <c r="M1521" s="98">
        <v>73.063000000000002</v>
      </c>
      <c r="N1521" s="98">
        <v>11468</v>
      </c>
      <c r="O1521" s="99" t="s">
        <v>1937</v>
      </c>
    </row>
    <row r="1522" spans="1:15" x14ac:dyDescent="0.25">
      <c r="A1522" s="98" t="s">
        <v>54</v>
      </c>
      <c r="B1522" s="98" t="s">
        <v>8</v>
      </c>
      <c r="C1522" s="98">
        <v>0</v>
      </c>
      <c r="D1522" s="98">
        <v>3.3009999999999998E-2</v>
      </c>
      <c r="E1522" s="98">
        <v>1.0000000000000001E-5</v>
      </c>
      <c r="F1522" s="98" t="s">
        <v>6</v>
      </c>
      <c r="G1522" s="98" t="s">
        <v>5</v>
      </c>
      <c r="H1522" s="98">
        <v>4.4999999999999998E-2</v>
      </c>
      <c r="I1522" s="98">
        <v>10.00001</v>
      </c>
      <c r="J1522" s="98" t="s">
        <v>10</v>
      </c>
      <c r="K1522" s="98">
        <v>24</v>
      </c>
      <c r="L1522" s="98">
        <v>1143.4000000000001</v>
      </c>
      <c r="M1522" s="98">
        <v>23.87</v>
      </c>
      <c r="N1522" s="98">
        <v>1142.8</v>
      </c>
      <c r="O1522" s="99" t="s">
        <v>2655</v>
      </c>
    </row>
    <row r="1523" spans="1:15" x14ac:dyDescent="0.25">
      <c r="A1523" s="98" t="s">
        <v>54</v>
      </c>
      <c r="B1523" s="98" t="s">
        <v>8</v>
      </c>
      <c r="C1523" s="98">
        <v>0</v>
      </c>
      <c r="D1523" s="98">
        <v>3.3009999999999998E-2</v>
      </c>
      <c r="E1523" s="98">
        <v>1.0000000000000001E-5</v>
      </c>
      <c r="F1523" s="98" t="s">
        <v>6</v>
      </c>
      <c r="G1523" s="98" t="s">
        <v>5</v>
      </c>
      <c r="H1523" s="98">
        <v>20</v>
      </c>
      <c r="I1523" s="98">
        <v>50.01</v>
      </c>
      <c r="J1523" s="98" t="s">
        <v>10</v>
      </c>
      <c r="K1523" s="98">
        <v>24.224</v>
      </c>
      <c r="L1523" s="98">
        <v>2286.5</v>
      </c>
      <c r="M1523" s="98">
        <v>24.216000000000001</v>
      </c>
      <c r="N1523" s="98">
        <v>2286.3000000000002</v>
      </c>
      <c r="O1523" s="99" t="s">
        <v>1935</v>
      </c>
    </row>
    <row r="1524" spans="1:15" x14ac:dyDescent="0.25">
      <c r="A1524" s="98" t="s">
        <v>54</v>
      </c>
      <c r="B1524" s="98" t="s">
        <v>8</v>
      </c>
      <c r="C1524" s="98">
        <v>0</v>
      </c>
      <c r="D1524" s="98">
        <v>3.3009999999999998E-2</v>
      </c>
      <c r="E1524" s="98">
        <v>1E-4</v>
      </c>
      <c r="F1524" s="98" t="s">
        <v>6</v>
      </c>
      <c r="G1524" s="98" t="s">
        <v>5</v>
      </c>
      <c r="H1524" s="98">
        <v>100</v>
      </c>
      <c r="I1524" s="98">
        <v>500</v>
      </c>
      <c r="J1524" s="98" t="s">
        <v>10</v>
      </c>
      <c r="K1524" s="98">
        <v>91.463999999999999</v>
      </c>
      <c r="L1524" s="98">
        <v>11024</v>
      </c>
      <c r="M1524" s="98">
        <v>91.322000000000003</v>
      </c>
      <c r="N1524" s="98">
        <v>11026</v>
      </c>
      <c r="O1524" s="99" t="s">
        <v>1941</v>
      </c>
    </row>
    <row r="1525" spans="1:15" x14ac:dyDescent="0.25">
      <c r="A1525" s="98" t="s">
        <v>54</v>
      </c>
      <c r="B1525" s="98" t="s">
        <v>8</v>
      </c>
      <c r="C1525" s="98">
        <v>0</v>
      </c>
      <c r="D1525" s="98">
        <v>3.3009999999999998E-2</v>
      </c>
      <c r="E1525" s="98">
        <v>1E-4</v>
      </c>
      <c r="F1525" s="98" t="s">
        <v>6</v>
      </c>
      <c r="G1525" s="98" t="s">
        <v>5</v>
      </c>
      <c r="H1525" s="98">
        <v>0.01</v>
      </c>
      <c r="I1525" s="98">
        <v>4.5010000000000001E-2</v>
      </c>
      <c r="J1525" s="98" t="s">
        <v>10</v>
      </c>
      <c r="K1525" s="98">
        <v>62.01</v>
      </c>
      <c r="L1525" s="98">
        <v>1125.5</v>
      </c>
      <c r="M1525" s="98">
        <v>61.999000000000002</v>
      </c>
      <c r="N1525" s="98">
        <v>1123.8</v>
      </c>
      <c r="O1525" s="99" t="s">
        <v>1940</v>
      </c>
    </row>
    <row r="1526" spans="1:15" x14ac:dyDescent="0.25">
      <c r="A1526" s="98" t="s">
        <v>54</v>
      </c>
      <c r="B1526" s="98" t="s">
        <v>8</v>
      </c>
      <c r="C1526" s="98">
        <v>0</v>
      </c>
      <c r="D1526" s="98">
        <v>3.3009999999999998E-2</v>
      </c>
      <c r="E1526" s="98">
        <v>1E-4</v>
      </c>
      <c r="F1526" s="98" t="s">
        <v>6</v>
      </c>
      <c r="G1526" s="98" t="s">
        <v>5</v>
      </c>
      <c r="H1526" s="98">
        <v>10</v>
      </c>
      <c r="I1526" s="98">
        <v>20.010000000000002</v>
      </c>
      <c r="J1526" s="98" t="s">
        <v>10</v>
      </c>
      <c r="K1526" s="98">
        <v>62.01</v>
      </c>
      <c r="L1526" s="98">
        <v>1125.5</v>
      </c>
      <c r="M1526" s="98">
        <v>61.999000000000002</v>
      </c>
      <c r="N1526" s="98">
        <v>1123.8</v>
      </c>
      <c r="O1526" s="99" t="s">
        <v>1942</v>
      </c>
    </row>
    <row r="1527" spans="1:15" x14ac:dyDescent="0.25">
      <c r="A1527" s="98" t="s">
        <v>54</v>
      </c>
      <c r="B1527" s="98" t="s">
        <v>8</v>
      </c>
      <c r="C1527" s="98">
        <v>0</v>
      </c>
      <c r="D1527" s="98">
        <v>3.3009999999999998E-2</v>
      </c>
      <c r="E1527" s="98">
        <v>1E-4</v>
      </c>
      <c r="F1527" s="98" t="s">
        <v>6</v>
      </c>
      <c r="G1527" s="98" t="s">
        <v>5</v>
      </c>
      <c r="H1527" s="98">
        <v>500</v>
      </c>
      <c r="I1527" s="98">
        <v>501</v>
      </c>
      <c r="J1527" s="98" t="s">
        <v>10</v>
      </c>
      <c r="K1527" s="98">
        <v>91.463999999999999</v>
      </c>
      <c r="L1527" s="98">
        <v>11024</v>
      </c>
      <c r="M1527" s="98">
        <v>91.322000000000003</v>
      </c>
      <c r="N1527" s="98">
        <v>11026</v>
      </c>
      <c r="O1527" s="99" t="s">
        <v>1944</v>
      </c>
    </row>
    <row r="1528" spans="1:15" x14ac:dyDescent="0.25">
      <c r="A1528" s="98" t="s">
        <v>54</v>
      </c>
      <c r="B1528" s="98" t="s">
        <v>8</v>
      </c>
      <c r="C1528" s="98">
        <v>0</v>
      </c>
      <c r="D1528" s="98">
        <v>3.3009999999999998E-2</v>
      </c>
      <c r="E1528" s="98">
        <v>1E-4</v>
      </c>
      <c r="F1528" s="98" t="s">
        <v>6</v>
      </c>
      <c r="G1528" s="98" t="s">
        <v>5</v>
      </c>
      <c r="H1528" s="98">
        <v>4.4999999999999998E-2</v>
      </c>
      <c r="I1528" s="98">
        <v>10.00001</v>
      </c>
      <c r="J1528" s="98" t="s">
        <v>10</v>
      </c>
      <c r="K1528" s="98">
        <v>62.237000000000002</v>
      </c>
      <c r="L1528" s="98">
        <v>673.84</v>
      </c>
      <c r="M1528" s="98">
        <v>62.225000000000001</v>
      </c>
      <c r="N1528" s="98">
        <v>671.86</v>
      </c>
      <c r="O1528" s="99" t="s">
        <v>1939</v>
      </c>
    </row>
    <row r="1529" spans="1:15" x14ac:dyDescent="0.25">
      <c r="A1529" s="98" t="s">
        <v>54</v>
      </c>
      <c r="B1529" s="98" t="s">
        <v>8</v>
      </c>
      <c r="C1529" s="98">
        <v>0</v>
      </c>
      <c r="D1529" s="98">
        <v>3.3009999999999998E-2</v>
      </c>
      <c r="E1529" s="98">
        <v>1E-4</v>
      </c>
      <c r="F1529" s="98" t="s">
        <v>6</v>
      </c>
      <c r="G1529" s="98" t="s">
        <v>5</v>
      </c>
      <c r="H1529" s="98">
        <v>20</v>
      </c>
      <c r="I1529" s="98">
        <v>50.01</v>
      </c>
      <c r="J1529" s="98" t="s">
        <v>10</v>
      </c>
      <c r="K1529" s="98">
        <v>61.904000000000003</v>
      </c>
      <c r="L1529" s="98">
        <v>1615.7</v>
      </c>
      <c r="M1529" s="98">
        <v>61.89</v>
      </c>
      <c r="N1529" s="98">
        <v>1614.4</v>
      </c>
      <c r="O1529" s="99" t="s">
        <v>1943</v>
      </c>
    </row>
    <row r="1530" spans="1:15" x14ac:dyDescent="0.25">
      <c r="A1530" s="98" t="s">
        <v>54</v>
      </c>
      <c r="B1530" s="98" t="s">
        <v>8</v>
      </c>
      <c r="C1530" s="98">
        <v>0</v>
      </c>
      <c r="D1530" s="98">
        <v>3.3009999999999998E-2</v>
      </c>
      <c r="E1530" s="98">
        <v>1E-4</v>
      </c>
      <c r="F1530" s="98" t="s">
        <v>6</v>
      </c>
      <c r="G1530" s="98" t="s">
        <v>5</v>
      </c>
      <c r="H1530" s="98">
        <v>50</v>
      </c>
      <c r="I1530" s="98">
        <v>100.01</v>
      </c>
      <c r="J1530" s="98" t="s">
        <v>10</v>
      </c>
      <c r="K1530" s="98">
        <v>68.858000000000004</v>
      </c>
      <c r="L1530" s="98">
        <v>3411.4</v>
      </c>
      <c r="M1530" s="98">
        <v>68.766000000000005</v>
      </c>
      <c r="N1530" s="98">
        <v>3411.7</v>
      </c>
      <c r="O1530" s="99" t="s">
        <v>1938</v>
      </c>
    </row>
    <row r="1531" spans="1:15" x14ac:dyDescent="0.25">
      <c r="A1531" s="98" t="s">
        <v>54</v>
      </c>
      <c r="B1531" s="98" t="s">
        <v>8</v>
      </c>
      <c r="C1531" s="98">
        <v>0</v>
      </c>
      <c r="D1531" s="98">
        <v>3.3009999999999998E-2</v>
      </c>
      <c r="E1531" s="98">
        <v>1E-3</v>
      </c>
      <c r="F1531" s="98" t="s">
        <v>6</v>
      </c>
      <c r="G1531" s="98" t="s">
        <v>5</v>
      </c>
      <c r="H1531" s="98">
        <v>50</v>
      </c>
      <c r="I1531" s="98">
        <v>100.01</v>
      </c>
      <c r="J1531" s="98" t="s">
        <v>10</v>
      </c>
      <c r="K1531" s="98">
        <v>580.9</v>
      </c>
      <c r="L1531" s="98">
        <v>730.69</v>
      </c>
      <c r="M1531" s="98">
        <v>580.86</v>
      </c>
      <c r="N1531" s="98">
        <v>729</v>
      </c>
      <c r="O1531" s="99" t="s">
        <v>1947</v>
      </c>
    </row>
    <row r="1532" spans="1:15" x14ac:dyDescent="0.25">
      <c r="A1532" s="98" t="s">
        <v>54</v>
      </c>
      <c r="B1532" s="98" t="s">
        <v>8</v>
      </c>
      <c r="C1532" s="98">
        <v>0</v>
      </c>
      <c r="D1532" s="98">
        <v>3.3009999999999998E-2</v>
      </c>
      <c r="E1532" s="98">
        <v>1E-3</v>
      </c>
      <c r="F1532" s="98" t="s">
        <v>6</v>
      </c>
      <c r="G1532" s="98" t="s">
        <v>5</v>
      </c>
      <c r="H1532" s="98">
        <v>4.4999999999999998E-2</v>
      </c>
      <c r="I1532" s="98">
        <v>10.00001</v>
      </c>
      <c r="J1532" s="98" t="s">
        <v>10</v>
      </c>
      <c r="K1532" s="98">
        <v>580.42999999999995</v>
      </c>
      <c r="L1532" s="98">
        <v>86.247</v>
      </c>
      <c r="M1532" s="98">
        <v>580.42999999999995</v>
      </c>
      <c r="N1532" s="98">
        <v>85.036000000000001</v>
      </c>
      <c r="O1532" s="99" t="s">
        <v>1945</v>
      </c>
    </row>
    <row r="1533" spans="1:15" x14ac:dyDescent="0.25">
      <c r="A1533" s="98" t="s">
        <v>54</v>
      </c>
      <c r="B1533" s="98" t="s">
        <v>8</v>
      </c>
      <c r="C1533" s="98">
        <v>0</v>
      </c>
      <c r="D1533" s="98">
        <v>3.3009999999999998E-2</v>
      </c>
      <c r="E1533" s="98">
        <v>1E-3</v>
      </c>
      <c r="F1533" s="98" t="s">
        <v>6</v>
      </c>
      <c r="G1533" s="98" t="s">
        <v>5</v>
      </c>
      <c r="H1533" s="98">
        <v>500</v>
      </c>
      <c r="I1533" s="98">
        <v>501</v>
      </c>
      <c r="J1533" s="98" t="s">
        <v>10</v>
      </c>
      <c r="K1533" s="98">
        <v>581.54</v>
      </c>
      <c r="L1533" s="98">
        <v>4655.8999999999996</v>
      </c>
      <c r="M1533" s="98">
        <v>581.45000000000005</v>
      </c>
      <c r="N1533" s="98">
        <v>4653.2</v>
      </c>
      <c r="O1533" s="99" t="s">
        <v>1949</v>
      </c>
    </row>
    <row r="1534" spans="1:15" x14ac:dyDescent="0.25">
      <c r="A1534" s="98" t="s">
        <v>54</v>
      </c>
      <c r="B1534" s="98" t="s">
        <v>8</v>
      </c>
      <c r="C1534" s="98">
        <v>0</v>
      </c>
      <c r="D1534" s="98">
        <v>3.3009999999999998E-2</v>
      </c>
      <c r="E1534" s="98">
        <v>1E-3</v>
      </c>
      <c r="F1534" s="98" t="s">
        <v>6</v>
      </c>
      <c r="G1534" s="98" t="s">
        <v>5</v>
      </c>
      <c r="H1534" s="98">
        <v>100</v>
      </c>
      <c r="I1534" s="98">
        <v>500</v>
      </c>
      <c r="J1534" s="98" t="s">
        <v>10</v>
      </c>
      <c r="K1534" s="98">
        <v>581.54</v>
      </c>
      <c r="L1534" s="98">
        <v>4655.8999999999996</v>
      </c>
      <c r="M1534" s="98">
        <v>581.45000000000005</v>
      </c>
      <c r="N1534" s="98">
        <v>4653.2</v>
      </c>
      <c r="O1534" s="99" t="s">
        <v>1948</v>
      </c>
    </row>
    <row r="1535" spans="1:15" x14ac:dyDescent="0.25">
      <c r="A1535" s="98" t="s">
        <v>54</v>
      </c>
      <c r="B1535" s="98" t="s">
        <v>8</v>
      </c>
      <c r="C1535" s="98">
        <v>0</v>
      </c>
      <c r="D1535" s="98">
        <v>3.3009999999999998E-2</v>
      </c>
      <c r="E1535" s="98">
        <v>1E-3</v>
      </c>
      <c r="F1535" s="98" t="s">
        <v>6</v>
      </c>
      <c r="G1535" s="98" t="s">
        <v>5</v>
      </c>
      <c r="H1535" s="98">
        <v>0.01</v>
      </c>
      <c r="I1535" s="98">
        <v>4.5010000000000001E-2</v>
      </c>
      <c r="J1535" s="98" t="s">
        <v>10</v>
      </c>
      <c r="K1535" s="98">
        <v>580.38</v>
      </c>
      <c r="L1535" s="98">
        <v>157.54</v>
      </c>
      <c r="M1535" s="98">
        <v>580.38</v>
      </c>
      <c r="N1535" s="98">
        <v>156.33000000000001</v>
      </c>
      <c r="O1535" s="99" t="s">
        <v>1951</v>
      </c>
    </row>
    <row r="1536" spans="1:15" x14ac:dyDescent="0.25">
      <c r="A1536" s="98" t="s">
        <v>54</v>
      </c>
      <c r="B1536" s="98" t="s">
        <v>8</v>
      </c>
      <c r="C1536" s="98">
        <v>0</v>
      </c>
      <c r="D1536" s="98">
        <v>3.3009999999999998E-2</v>
      </c>
      <c r="E1536" s="98">
        <v>1E-3</v>
      </c>
      <c r="F1536" s="98" t="s">
        <v>6</v>
      </c>
      <c r="G1536" s="98" t="s">
        <v>5</v>
      </c>
      <c r="H1536" s="98">
        <v>10</v>
      </c>
      <c r="I1536" s="98">
        <v>20.010000000000002</v>
      </c>
      <c r="J1536" s="98" t="s">
        <v>10</v>
      </c>
      <c r="K1536" s="98">
        <v>580.38</v>
      </c>
      <c r="L1536" s="98">
        <v>157.54</v>
      </c>
      <c r="M1536" s="98">
        <v>580.38</v>
      </c>
      <c r="N1536" s="98">
        <v>156.33000000000001</v>
      </c>
      <c r="O1536" s="99" t="s">
        <v>1950</v>
      </c>
    </row>
    <row r="1537" spans="1:15" x14ac:dyDescent="0.25">
      <c r="A1537" s="98" t="s">
        <v>54</v>
      </c>
      <c r="B1537" s="98" t="s">
        <v>8</v>
      </c>
      <c r="C1537" s="98">
        <v>0</v>
      </c>
      <c r="D1537" s="98">
        <v>3.3009999999999998E-2</v>
      </c>
      <c r="E1537" s="98">
        <v>1E-3</v>
      </c>
      <c r="F1537" s="98" t="s">
        <v>6</v>
      </c>
      <c r="G1537" s="98" t="s">
        <v>5</v>
      </c>
      <c r="H1537" s="98">
        <v>20</v>
      </c>
      <c r="I1537" s="98">
        <v>50.01</v>
      </c>
      <c r="J1537" s="98" t="s">
        <v>10</v>
      </c>
      <c r="K1537" s="98">
        <v>580.34</v>
      </c>
      <c r="L1537" s="98">
        <v>247.93</v>
      </c>
      <c r="M1537" s="98">
        <v>580.33000000000004</v>
      </c>
      <c r="N1537" s="98">
        <v>246.73</v>
      </c>
      <c r="O1537" s="99" t="s">
        <v>1946</v>
      </c>
    </row>
    <row r="1538" spans="1:15" x14ac:dyDescent="0.25">
      <c r="A1538" s="98" t="s">
        <v>54</v>
      </c>
      <c r="B1538" s="98" t="s">
        <v>8</v>
      </c>
      <c r="C1538" s="98">
        <v>0</v>
      </c>
      <c r="D1538" s="98">
        <v>3.3009999999999998E-2</v>
      </c>
      <c r="E1538" s="98">
        <v>0.01</v>
      </c>
      <c r="F1538" s="98" t="s">
        <v>6</v>
      </c>
      <c r="G1538" s="98" t="s">
        <v>5</v>
      </c>
      <c r="H1538" s="98">
        <v>500</v>
      </c>
      <c r="I1538" s="98">
        <v>501</v>
      </c>
      <c r="J1538" s="98" t="s">
        <v>10</v>
      </c>
      <c r="K1538" s="98">
        <v>5800.1</v>
      </c>
      <c r="L1538" s="98">
        <v>530.77</v>
      </c>
      <c r="M1538" s="98">
        <v>5800.1</v>
      </c>
      <c r="N1538" s="98">
        <v>529.12</v>
      </c>
      <c r="O1538" s="99" t="s">
        <v>1952</v>
      </c>
    </row>
    <row r="1539" spans="1:15" x14ac:dyDescent="0.25">
      <c r="A1539" s="98" t="s">
        <v>54</v>
      </c>
      <c r="B1539" s="98" t="s">
        <v>8</v>
      </c>
      <c r="C1539" s="98">
        <v>0</v>
      </c>
      <c r="D1539" s="98">
        <v>3.3009999999999998E-2</v>
      </c>
      <c r="E1539" s="98">
        <v>0.01</v>
      </c>
      <c r="F1539" s="98" t="s">
        <v>6</v>
      </c>
      <c r="G1539" s="98" t="s">
        <v>5</v>
      </c>
      <c r="H1539" s="98">
        <v>10</v>
      </c>
      <c r="I1539" s="98">
        <v>20.010000000000002</v>
      </c>
      <c r="J1539" s="98" t="s">
        <v>10</v>
      </c>
      <c r="K1539" s="98">
        <v>5800</v>
      </c>
      <c r="L1539" s="98">
        <v>16.202000000000002</v>
      </c>
      <c r="M1539" s="98">
        <v>5800</v>
      </c>
      <c r="N1539" s="98">
        <v>15.714</v>
      </c>
      <c r="O1539" s="99" t="s">
        <v>1953</v>
      </c>
    </row>
    <row r="1540" spans="1:15" x14ac:dyDescent="0.25">
      <c r="A1540" s="98" t="s">
        <v>54</v>
      </c>
      <c r="B1540" s="98" t="s">
        <v>8</v>
      </c>
      <c r="C1540" s="98">
        <v>0</v>
      </c>
      <c r="D1540" s="98">
        <v>3.3009999999999998E-2</v>
      </c>
      <c r="E1540" s="98">
        <v>0.01</v>
      </c>
      <c r="F1540" s="98" t="s">
        <v>6</v>
      </c>
      <c r="G1540" s="98" t="s">
        <v>5</v>
      </c>
      <c r="H1540" s="98">
        <v>0.01</v>
      </c>
      <c r="I1540" s="98">
        <v>4.5010000000000001E-2</v>
      </c>
      <c r="J1540" s="98" t="s">
        <v>10</v>
      </c>
      <c r="K1540" s="98">
        <v>5800</v>
      </c>
      <c r="L1540" s="98">
        <v>16.202000000000002</v>
      </c>
      <c r="M1540" s="98">
        <v>5800</v>
      </c>
      <c r="N1540" s="98">
        <v>15.714</v>
      </c>
      <c r="O1540" s="99" t="s">
        <v>1956</v>
      </c>
    </row>
    <row r="1541" spans="1:15" x14ac:dyDescent="0.25">
      <c r="A1541" s="98" t="s">
        <v>54</v>
      </c>
      <c r="B1541" s="98" t="s">
        <v>8</v>
      </c>
      <c r="C1541" s="98">
        <v>0</v>
      </c>
      <c r="D1541" s="98">
        <v>3.3009999999999998E-2</v>
      </c>
      <c r="E1541" s="98">
        <v>0.01</v>
      </c>
      <c r="F1541" s="98" t="s">
        <v>6</v>
      </c>
      <c r="G1541" s="98" t="s">
        <v>5</v>
      </c>
      <c r="H1541" s="98">
        <v>100</v>
      </c>
      <c r="I1541" s="98">
        <v>500</v>
      </c>
      <c r="J1541" s="98" t="s">
        <v>10</v>
      </c>
      <c r="K1541" s="98">
        <v>5800.1</v>
      </c>
      <c r="L1541" s="98">
        <v>530.77</v>
      </c>
      <c r="M1541" s="98">
        <v>5800.1</v>
      </c>
      <c r="N1541" s="98">
        <v>529.12</v>
      </c>
      <c r="O1541" s="99" t="s">
        <v>2657</v>
      </c>
    </row>
    <row r="1542" spans="1:15" x14ac:dyDescent="0.25">
      <c r="A1542" s="98" t="s">
        <v>54</v>
      </c>
      <c r="B1542" s="98" t="s">
        <v>8</v>
      </c>
      <c r="C1542" s="98">
        <v>0</v>
      </c>
      <c r="D1542" s="98">
        <v>3.3009999999999998E-2</v>
      </c>
      <c r="E1542" s="98">
        <v>0.01</v>
      </c>
      <c r="F1542" s="98" t="s">
        <v>6</v>
      </c>
      <c r="G1542" s="98" t="s">
        <v>5</v>
      </c>
      <c r="H1542" s="98">
        <v>50</v>
      </c>
      <c r="I1542" s="98">
        <v>100.01</v>
      </c>
      <c r="J1542" s="98" t="s">
        <v>10</v>
      </c>
      <c r="K1542" s="98">
        <v>5800.1</v>
      </c>
      <c r="L1542" s="98">
        <v>75.275000000000006</v>
      </c>
      <c r="M1542" s="98">
        <v>5800.1</v>
      </c>
      <c r="N1542" s="98">
        <v>74.549000000000007</v>
      </c>
      <c r="O1542" s="99" t="s">
        <v>1955</v>
      </c>
    </row>
    <row r="1543" spans="1:15" x14ac:dyDescent="0.25">
      <c r="A1543" s="98" t="s">
        <v>54</v>
      </c>
      <c r="B1543" s="98" t="s">
        <v>8</v>
      </c>
      <c r="C1543" s="98">
        <v>0</v>
      </c>
      <c r="D1543" s="98">
        <v>3.3009999999999998E-2</v>
      </c>
      <c r="E1543" s="98">
        <v>0.01</v>
      </c>
      <c r="F1543" s="98" t="s">
        <v>6</v>
      </c>
      <c r="G1543" s="98" t="s">
        <v>5</v>
      </c>
      <c r="H1543" s="98">
        <v>4.4999999999999998E-2</v>
      </c>
      <c r="I1543" s="98">
        <v>10.00001</v>
      </c>
      <c r="J1543" s="98" t="s">
        <v>10</v>
      </c>
      <c r="K1543" s="98">
        <v>5800.1</v>
      </c>
      <c r="L1543" s="98">
        <v>9.0181000000000004</v>
      </c>
      <c r="M1543" s="98">
        <v>5800.1</v>
      </c>
      <c r="N1543" s="98">
        <v>8.5306999999999995</v>
      </c>
      <c r="O1543" s="99" t="s">
        <v>2656</v>
      </c>
    </row>
    <row r="1544" spans="1:15" x14ac:dyDescent="0.25">
      <c r="A1544" s="98" t="s">
        <v>54</v>
      </c>
      <c r="B1544" s="98" t="s">
        <v>8</v>
      </c>
      <c r="C1544" s="98">
        <v>0</v>
      </c>
      <c r="D1544" s="98">
        <v>3.3009999999999998E-2</v>
      </c>
      <c r="E1544" s="98">
        <v>0.01</v>
      </c>
      <c r="F1544" s="98" t="s">
        <v>6</v>
      </c>
      <c r="G1544" s="98" t="s">
        <v>5</v>
      </c>
      <c r="H1544" s="98">
        <v>20</v>
      </c>
      <c r="I1544" s="98">
        <v>50.01</v>
      </c>
      <c r="J1544" s="98" t="s">
        <v>10</v>
      </c>
      <c r="K1544" s="98">
        <v>5800</v>
      </c>
      <c r="L1544" s="98">
        <v>25.350999999999999</v>
      </c>
      <c r="M1544" s="98">
        <v>5800</v>
      </c>
      <c r="N1544" s="98">
        <v>24.864000000000001</v>
      </c>
      <c r="O1544" s="99" t="s">
        <v>1954</v>
      </c>
    </row>
    <row r="1545" spans="1:15" x14ac:dyDescent="0.25">
      <c r="A1545" s="98" t="s">
        <v>54</v>
      </c>
      <c r="B1545" s="98" t="s">
        <v>8</v>
      </c>
      <c r="C1545" s="98">
        <v>0</v>
      </c>
      <c r="D1545" s="98">
        <v>3.3009999999999998E-2</v>
      </c>
      <c r="E1545" s="98">
        <v>0.1</v>
      </c>
      <c r="F1545" s="98" t="s">
        <v>6</v>
      </c>
      <c r="G1545" s="98" t="s">
        <v>5</v>
      </c>
      <c r="H1545" s="98">
        <v>500</v>
      </c>
      <c r="I1545" s="98">
        <v>501</v>
      </c>
      <c r="J1545" s="98" t="s">
        <v>10</v>
      </c>
      <c r="K1545" s="98">
        <v>58000</v>
      </c>
      <c r="L1545" s="98">
        <v>53.658999999999999</v>
      </c>
      <c r="M1545" s="98">
        <v>58000</v>
      </c>
      <c r="N1545" s="98">
        <v>52.994</v>
      </c>
      <c r="O1545" s="99" t="s">
        <v>1962</v>
      </c>
    </row>
    <row r="1546" spans="1:15" x14ac:dyDescent="0.25">
      <c r="A1546" s="98" t="s">
        <v>54</v>
      </c>
      <c r="B1546" s="98" t="s">
        <v>8</v>
      </c>
      <c r="C1546" s="98">
        <v>0</v>
      </c>
      <c r="D1546" s="98">
        <v>3.3009999999999998E-2</v>
      </c>
      <c r="E1546" s="98">
        <v>0.1</v>
      </c>
      <c r="F1546" s="98" t="s">
        <v>6</v>
      </c>
      <c r="G1546" s="98" t="s">
        <v>5</v>
      </c>
      <c r="H1546" s="98">
        <v>50</v>
      </c>
      <c r="I1546" s="98">
        <v>100.01</v>
      </c>
      <c r="J1546" s="98" t="s">
        <v>10</v>
      </c>
      <c r="K1546" s="98">
        <v>58000</v>
      </c>
      <c r="L1546" s="98">
        <v>7.7473999999999998</v>
      </c>
      <c r="M1546" s="98">
        <v>58000</v>
      </c>
      <c r="N1546" s="98">
        <v>7.4565999999999999</v>
      </c>
      <c r="O1546" s="99" t="s">
        <v>1960</v>
      </c>
    </row>
    <row r="1547" spans="1:15" x14ac:dyDescent="0.25">
      <c r="A1547" s="98" t="s">
        <v>54</v>
      </c>
      <c r="B1547" s="98" t="s">
        <v>8</v>
      </c>
      <c r="C1547" s="98">
        <v>0</v>
      </c>
      <c r="D1547" s="98">
        <v>3.3009999999999998E-2</v>
      </c>
      <c r="E1547" s="98">
        <v>0.1</v>
      </c>
      <c r="F1547" s="98" t="s">
        <v>6</v>
      </c>
      <c r="G1547" s="98" t="s">
        <v>5</v>
      </c>
      <c r="H1547" s="98">
        <v>20</v>
      </c>
      <c r="I1547" s="98">
        <v>50.01</v>
      </c>
      <c r="J1547" s="98" t="s">
        <v>10</v>
      </c>
      <c r="K1547" s="98">
        <v>58000</v>
      </c>
      <c r="L1547" s="98">
        <v>2.6816</v>
      </c>
      <c r="M1547" s="98">
        <v>58000</v>
      </c>
      <c r="N1547" s="98">
        <v>2.4866000000000001</v>
      </c>
      <c r="O1547" s="99" t="s">
        <v>1963</v>
      </c>
    </row>
    <row r="1548" spans="1:15" x14ac:dyDescent="0.25">
      <c r="A1548" s="98" t="s">
        <v>54</v>
      </c>
      <c r="B1548" s="98" t="s">
        <v>8</v>
      </c>
      <c r="C1548" s="98">
        <v>0</v>
      </c>
      <c r="D1548" s="98">
        <v>3.3009999999999998E-2</v>
      </c>
      <c r="E1548" s="98">
        <v>0.1</v>
      </c>
      <c r="F1548" s="98" t="s">
        <v>6</v>
      </c>
      <c r="G1548" s="98" t="s">
        <v>5</v>
      </c>
      <c r="H1548" s="98">
        <v>0.01</v>
      </c>
      <c r="I1548" s="98">
        <v>4.5010000000000001E-2</v>
      </c>
      <c r="J1548" s="98" t="s">
        <v>10</v>
      </c>
      <c r="K1548" s="98">
        <v>58000</v>
      </c>
      <c r="L1548" s="98">
        <v>1.7665</v>
      </c>
      <c r="M1548" s="98">
        <v>58000</v>
      </c>
      <c r="N1548" s="98">
        <v>1.5714999999999999</v>
      </c>
      <c r="O1548" s="99" t="s">
        <v>1957</v>
      </c>
    </row>
    <row r="1549" spans="1:15" x14ac:dyDescent="0.25">
      <c r="A1549" s="98" t="s">
        <v>54</v>
      </c>
      <c r="B1549" s="98" t="s">
        <v>8</v>
      </c>
      <c r="C1549" s="98">
        <v>0</v>
      </c>
      <c r="D1549" s="98">
        <v>3.3009999999999998E-2</v>
      </c>
      <c r="E1549" s="98">
        <v>0.1</v>
      </c>
      <c r="F1549" s="98" t="s">
        <v>6</v>
      </c>
      <c r="G1549" s="98" t="s">
        <v>5</v>
      </c>
      <c r="H1549" s="98">
        <v>100</v>
      </c>
      <c r="I1549" s="98">
        <v>500</v>
      </c>
      <c r="J1549" s="98" t="s">
        <v>10</v>
      </c>
      <c r="K1549" s="98">
        <v>58000</v>
      </c>
      <c r="L1549" s="98">
        <v>53.658999999999999</v>
      </c>
      <c r="M1549" s="98">
        <v>58000</v>
      </c>
      <c r="N1549" s="98">
        <v>52.994</v>
      </c>
      <c r="O1549" s="99" t="s">
        <v>1961</v>
      </c>
    </row>
    <row r="1550" spans="1:15" x14ac:dyDescent="0.25">
      <c r="A1550" s="98" t="s">
        <v>54</v>
      </c>
      <c r="B1550" s="98" t="s">
        <v>8</v>
      </c>
      <c r="C1550" s="98">
        <v>0</v>
      </c>
      <c r="D1550" s="98">
        <v>3.3009999999999998E-2</v>
      </c>
      <c r="E1550" s="98">
        <v>0.1</v>
      </c>
      <c r="F1550" s="98" t="s">
        <v>6</v>
      </c>
      <c r="G1550" s="98" t="s">
        <v>5</v>
      </c>
      <c r="H1550" s="98">
        <v>10</v>
      </c>
      <c r="I1550" s="98">
        <v>20.010000000000002</v>
      </c>
      <c r="J1550" s="98" t="s">
        <v>10</v>
      </c>
      <c r="K1550" s="98">
        <v>58000</v>
      </c>
      <c r="L1550" s="98">
        <v>1.7665</v>
      </c>
      <c r="M1550" s="98">
        <v>58000</v>
      </c>
      <c r="N1550" s="98">
        <v>1.5714999999999999</v>
      </c>
      <c r="O1550" s="99" t="s">
        <v>1959</v>
      </c>
    </row>
    <row r="1551" spans="1:15" x14ac:dyDescent="0.25">
      <c r="A1551" s="98" t="s">
        <v>54</v>
      </c>
      <c r="B1551" s="98" t="s">
        <v>8</v>
      </c>
      <c r="C1551" s="98">
        <v>0</v>
      </c>
      <c r="D1551" s="98">
        <v>3.3009999999999998E-2</v>
      </c>
      <c r="E1551" s="98">
        <v>0.1</v>
      </c>
      <c r="F1551" s="98" t="s">
        <v>6</v>
      </c>
      <c r="G1551" s="98" t="s">
        <v>5</v>
      </c>
      <c r="H1551" s="98">
        <v>4.4999999999999998E-2</v>
      </c>
      <c r="I1551" s="98">
        <v>10.00001</v>
      </c>
      <c r="J1551" s="98" t="s">
        <v>10</v>
      </c>
      <c r="K1551" s="98">
        <v>58000</v>
      </c>
      <c r="L1551" s="98">
        <v>1.0481</v>
      </c>
      <c r="M1551" s="98">
        <v>58000</v>
      </c>
      <c r="N1551" s="98">
        <v>0.85309999999999997</v>
      </c>
      <c r="O1551" s="99" t="s">
        <v>1958</v>
      </c>
    </row>
    <row r="1552" spans="1:15" x14ac:dyDescent="0.25">
      <c r="A1552" s="98" t="s">
        <v>54</v>
      </c>
      <c r="B1552" s="98" t="s">
        <v>8</v>
      </c>
      <c r="C1552" s="98">
        <v>0</v>
      </c>
      <c r="D1552" s="98">
        <v>3.3009999999999998E-2</v>
      </c>
      <c r="E1552" s="98">
        <v>1</v>
      </c>
      <c r="F1552" s="98" t="s">
        <v>6</v>
      </c>
      <c r="G1552" s="98" t="s">
        <v>5</v>
      </c>
      <c r="H1552" s="98">
        <v>10</v>
      </c>
      <c r="I1552" s="98">
        <v>20.010000000000002</v>
      </c>
      <c r="J1552" s="98" t="s">
        <v>10</v>
      </c>
      <c r="K1552" s="98">
        <v>580000</v>
      </c>
      <c r="L1552" s="98">
        <v>0.23513999999999999</v>
      </c>
      <c r="M1552" s="98">
        <v>580000</v>
      </c>
      <c r="N1552" s="98">
        <v>0.15715000000000001</v>
      </c>
      <c r="O1552" s="99" t="s">
        <v>1967</v>
      </c>
    </row>
    <row r="1553" spans="1:15" x14ac:dyDescent="0.25">
      <c r="A1553" s="98" t="s">
        <v>54</v>
      </c>
      <c r="B1553" s="98" t="s">
        <v>8</v>
      </c>
      <c r="C1553" s="98">
        <v>0</v>
      </c>
      <c r="D1553" s="98">
        <v>3.3009999999999998E-2</v>
      </c>
      <c r="E1553" s="98">
        <v>1</v>
      </c>
      <c r="F1553" s="98" t="s">
        <v>6</v>
      </c>
      <c r="G1553" s="98" t="s">
        <v>5</v>
      </c>
      <c r="H1553" s="98">
        <v>500</v>
      </c>
      <c r="I1553" s="98">
        <v>501</v>
      </c>
      <c r="J1553" s="98" t="s">
        <v>10</v>
      </c>
      <c r="K1553" s="98">
        <v>580000</v>
      </c>
      <c r="L1553" s="98">
        <v>5.5656999999999996</v>
      </c>
      <c r="M1553" s="98">
        <v>580000</v>
      </c>
      <c r="N1553" s="98">
        <v>5.2995000000000001</v>
      </c>
      <c r="O1553" s="99" t="s">
        <v>2658</v>
      </c>
    </row>
    <row r="1554" spans="1:15" x14ac:dyDescent="0.25">
      <c r="A1554" s="98" t="s">
        <v>54</v>
      </c>
      <c r="B1554" s="98" t="s">
        <v>8</v>
      </c>
      <c r="C1554" s="98">
        <v>0</v>
      </c>
      <c r="D1554" s="98">
        <v>3.3009999999999998E-2</v>
      </c>
      <c r="E1554" s="98">
        <v>1</v>
      </c>
      <c r="F1554" s="98" t="s">
        <v>6</v>
      </c>
      <c r="G1554" s="98" t="s">
        <v>5</v>
      </c>
      <c r="H1554" s="98">
        <v>20</v>
      </c>
      <c r="I1554" s="98">
        <v>50.01</v>
      </c>
      <c r="J1554" s="98" t="s">
        <v>10</v>
      </c>
      <c r="K1554" s="98">
        <v>580000</v>
      </c>
      <c r="L1554" s="98">
        <v>0.32665</v>
      </c>
      <c r="M1554" s="98">
        <v>580000</v>
      </c>
      <c r="N1554" s="98">
        <v>0.24865999999999999</v>
      </c>
      <c r="O1554" s="99" t="s">
        <v>1966</v>
      </c>
    </row>
    <row r="1555" spans="1:15" x14ac:dyDescent="0.25">
      <c r="A1555" s="98" t="s">
        <v>54</v>
      </c>
      <c r="B1555" s="98" t="s">
        <v>8</v>
      </c>
      <c r="C1555" s="98">
        <v>0</v>
      </c>
      <c r="D1555" s="98">
        <v>3.3009999999999998E-2</v>
      </c>
      <c r="E1555" s="98">
        <v>1</v>
      </c>
      <c r="F1555" s="98" t="s">
        <v>6</v>
      </c>
      <c r="G1555" s="98" t="s">
        <v>5</v>
      </c>
      <c r="H1555" s="98">
        <v>50</v>
      </c>
      <c r="I1555" s="98">
        <v>100.01</v>
      </c>
      <c r="J1555" s="98" t="s">
        <v>10</v>
      </c>
      <c r="K1555" s="98">
        <v>580000</v>
      </c>
      <c r="L1555" s="98">
        <v>0.86197000000000001</v>
      </c>
      <c r="M1555" s="98">
        <v>580000</v>
      </c>
      <c r="N1555" s="98">
        <v>0.74565999999999999</v>
      </c>
      <c r="O1555" s="99" t="s">
        <v>2659</v>
      </c>
    </row>
    <row r="1556" spans="1:15" x14ac:dyDescent="0.25">
      <c r="A1556" s="98" t="s">
        <v>54</v>
      </c>
      <c r="B1556" s="98" t="s">
        <v>8</v>
      </c>
      <c r="C1556" s="98">
        <v>0</v>
      </c>
      <c r="D1556" s="98">
        <v>3.3009999999999998E-2</v>
      </c>
      <c r="E1556" s="98">
        <v>1</v>
      </c>
      <c r="F1556" s="98" t="s">
        <v>6</v>
      </c>
      <c r="G1556" s="98" t="s">
        <v>5</v>
      </c>
      <c r="H1556" s="98">
        <v>0.01</v>
      </c>
      <c r="I1556" s="98">
        <v>4.5010000000000001E-2</v>
      </c>
      <c r="J1556" s="98" t="s">
        <v>10</v>
      </c>
      <c r="K1556" s="98">
        <v>580000</v>
      </c>
      <c r="L1556" s="98">
        <v>0.23513999999999999</v>
      </c>
      <c r="M1556" s="98">
        <v>580000</v>
      </c>
      <c r="N1556" s="98">
        <v>0.15715000000000001</v>
      </c>
      <c r="O1556" s="99" t="s">
        <v>1968</v>
      </c>
    </row>
    <row r="1557" spans="1:15" x14ac:dyDescent="0.25">
      <c r="A1557" s="98" t="s">
        <v>54</v>
      </c>
      <c r="B1557" s="98" t="s">
        <v>8</v>
      </c>
      <c r="C1557" s="98">
        <v>0</v>
      </c>
      <c r="D1557" s="98">
        <v>3.3009999999999998E-2</v>
      </c>
      <c r="E1557" s="98">
        <v>1</v>
      </c>
      <c r="F1557" s="98" t="s">
        <v>6</v>
      </c>
      <c r="G1557" s="98" t="s">
        <v>5</v>
      </c>
      <c r="H1557" s="98">
        <v>4.4999999999999998E-2</v>
      </c>
      <c r="I1557" s="98">
        <v>10.00001</v>
      </c>
      <c r="J1557" s="98" t="s">
        <v>10</v>
      </c>
      <c r="K1557" s="98">
        <v>580000</v>
      </c>
      <c r="L1557" s="98">
        <v>0.1633</v>
      </c>
      <c r="M1557" s="98">
        <v>580000</v>
      </c>
      <c r="N1557" s="98">
        <v>8.5309999999999997E-2</v>
      </c>
      <c r="O1557" s="99" t="s">
        <v>1964</v>
      </c>
    </row>
    <row r="1558" spans="1:15" x14ac:dyDescent="0.25">
      <c r="A1558" s="98" t="s">
        <v>54</v>
      </c>
      <c r="B1558" s="98" t="s">
        <v>8</v>
      </c>
      <c r="C1558" s="98">
        <v>0</v>
      </c>
      <c r="D1558" s="98">
        <v>3.3009999999999998E-2</v>
      </c>
      <c r="E1558" s="98">
        <v>1</v>
      </c>
      <c r="F1558" s="98" t="s">
        <v>6</v>
      </c>
      <c r="G1558" s="98" t="s">
        <v>5</v>
      </c>
      <c r="H1558" s="98">
        <v>100</v>
      </c>
      <c r="I1558" s="98">
        <v>500</v>
      </c>
      <c r="J1558" s="98" t="s">
        <v>10</v>
      </c>
      <c r="K1558" s="98">
        <v>580000</v>
      </c>
      <c r="L1558" s="98">
        <v>5.5656999999999996</v>
      </c>
      <c r="M1558" s="98">
        <v>580000</v>
      </c>
      <c r="N1558" s="98">
        <v>5.2995000000000001</v>
      </c>
      <c r="O1558" s="99" t="s">
        <v>1965</v>
      </c>
    </row>
    <row r="1559" spans="1:15" x14ac:dyDescent="0.25">
      <c r="A1559" s="98" t="s">
        <v>54</v>
      </c>
      <c r="B1559" s="98" t="s">
        <v>8</v>
      </c>
      <c r="C1559" s="98">
        <v>0</v>
      </c>
      <c r="D1559" s="98">
        <v>3.3009999999999998E-2</v>
      </c>
      <c r="E1559" s="98">
        <v>10</v>
      </c>
      <c r="F1559" s="98" t="s">
        <v>6</v>
      </c>
      <c r="G1559" s="98" t="s">
        <v>5</v>
      </c>
      <c r="H1559" s="98">
        <v>20</v>
      </c>
      <c r="I1559" s="98">
        <v>50.01</v>
      </c>
      <c r="J1559" s="98" t="s">
        <v>10</v>
      </c>
      <c r="K1559" s="98">
        <v>5800000</v>
      </c>
      <c r="L1559" s="98">
        <v>5.6063000000000002E-2</v>
      </c>
      <c r="M1559" s="98">
        <v>5800000</v>
      </c>
      <c r="N1559" s="98">
        <v>2.4865999999999999E-2</v>
      </c>
      <c r="O1559" s="99" t="s">
        <v>1972</v>
      </c>
    </row>
    <row r="1560" spans="1:15" x14ac:dyDescent="0.25">
      <c r="A1560" s="98" t="s">
        <v>54</v>
      </c>
      <c r="B1560" s="98" t="s">
        <v>8</v>
      </c>
      <c r="C1560" s="98">
        <v>0</v>
      </c>
      <c r="D1560" s="98">
        <v>3.3009999999999998E-2</v>
      </c>
      <c r="E1560" s="98">
        <v>10</v>
      </c>
      <c r="F1560" s="98" t="s">
        <v>6</v>
      </c>
      <c r="G1560" s="98" t="s">
        <v>5</v>
      </c>
      <c r="H1560" s="98">
        <v>100</v>
      </c>
      <c r="I1560" s="98">
        <v>500.01</v>
      </c>
      <c r="J1560" s="98" t="s">
        <v>10</v>
      </c>
      <c r="K1560" s="98">
        <v>5800000</v>
      </c>
      <c r="L1560" s="98">
        <v>0.63641999999999999</v>
      </c>
      <c r="M1560" s="98">
        <v>5800000</v>
      </c>
      <c r="N1560" s="98">
        <v>0.52995000000000003</v>
      </c>
      <c r="O1560" s="99" t="s">
        <v>1974</v>
      </c>
    </row>
    <row r="1561" spans="1:15" x14ac:dyDescent="0.25">
      <c r="A1561" s="98" t="s">
        <v>54</v>
      </c>
      <c r="B1561" s="98" t="s">
        <v>8</v>
      </c>
      <c r="C1561" s="98">
        <v>0</v>
      </c>
      <c r="D1561" s="98">
        <v>3.3009999999999998E-2</v>
      </c>
      <c r="E1561" s="98">
        <v>10</v>
      </c>
      <c r="F1561" s="98" t="s">
        <v>6</v>
      </c>
      <c r="G1561" s="98" t="s">
        <v>5</v>
      </c>
      <c r="H1561" s="98">
        <v>0.01</v>
      </c>
      <c r="I1561" s="98">
        <v>4.5010000000000001E-2</v>
      </c>
      <c r="J1561" s="98" t="s">
        <v>10</v>
      </c>
      <c r="K1561" s="98">
        <v>5800000</v>
      </c>
      <c r="L1561" s="98">
        <v>4.6912000000000002E-2</v>
      </c>
      <c r="M1561" s="98">
        <v>5800000</v>
      </c>
      <c r="N1561" s="98">
        <v>1.5715E-2</v>
      </c>
      <c r="O1561" s="99" t="s">
        <v>1973</v>
      </c>
    </row>
    <row r="1562" spans="1:15" x14ac:dyDescent="0.25">
      <c r="A1562" s="98" t="s">
        <v>54</v>
      </c>
      <c r="B1562" s="98" t="s">
        <v>8</v>
      </c>
      <c r="C1562" s="98">
        <v>0</v>
      </c>
      <c r="D1562" s="98">
        <v>3.3009999999999998E-2</v>
      </c>
      <c r="E1562" s="98">
        <v>10</v>
      </c>
      <c r="F1562" s="98" t="s">
        <v>6</v>
      </c>
      <c r="G1562" s="98" t="s">
        <v>5</v>
      </c>
      <c r="H1562" s="98">
        <v>50</v>
      </c>
      <c r="I1562" s="98">
        <v>100.01</v>
      </c>
      <c r="J1562" s="98" t="s">
        <v>10</v>
      </c>
      <c r="K1562" s="98">
        <v>5800000</v>
      </c>
      <c r="L1562" s="98">
        <v>0.12109</v>
      </c>
      <c r="M1562" s="98">
        <v>5800000</v>
      </c>
      <c r="N1562" s="98">
        <v>7.4565999999999993E-2</v>
      </c>
      <c r="O1562" s="99" t="s">
        <v>1971</v>
      </c>
    </row>
    <row r="1563" spans="1:15" x14ac:dyDescent="0.25">
      <c r="A1563" s="98" t="s">
        <v>54</v>
      </c>
      <c r="B1563" s="98" t="s">
        <v>8</v>
      </c>
      <c r="C1563" s="98">
        <v>0</v>
      </c>
      <c r="D1563" s="98">
        <v>3.3009999999999998E-2</v>
      </c>
      <c r="E1563" s="98">
        <v>10</v>
      </c>
      <c r="F1563" s="98" t="s">
        <v>6</v>
      </c>
      <c r="G1563" s="98" t="s">
        <v>5</v>
      </c>
      <c r="H1563" s="98">
        <v>4.4999999999999998E-2</v>
      </c>
      <c r="I1563" s="98">
        <v>10.00001</v>
      </c>
      <c r="J1563" s="98" t="s">
        <v>10</v>
      </c>
      <c r="K1563" s="98">
        <v>5800000</v>
      </c>
      <c r="L1563" s="98">
        <v>3.9727999999999999E-2</v>
      </c>
      <c r="M1563" s="98">
        <v>5800000</v>
      </c>
      <c r="N1563" s="98">
        <v>8.5310000000000004E-3</v>
      </c>
      <c r="O1563" s="99" t="s">
        <v>1970</v>
      </c>
    </row>
    <row r="1564" spans="1:15" x14ac:dyDescent="0.25">
      <c r="A1564" s="98" t="s">
        <v>54</v>
      </c>
      <c r="B1564" s="98" t="s">
        <v>8</v>
      </c>
      <c r="C1564" s="98">
        <v>0</v>
      </c>
      <c r="D1564" s="98">
        <v>3.3009999999999998E-2</v>
      </c>
      <c r="E1564" s="98">
        <v>10</v>
      </c>
      <c r="F1564" s="98" t="s">
        <v>6</v>
      </c>
      <c r="G1564" s="98" t="s">
        <v>5</v>
      </c>
      <c r="H1564" s="98">
        <v>10</v>
      </c>
      <c r="I1564" s="98">
        <v>20.010000000000002</v>
      </c>
      <c r="J1564" s="98" t="s">
        <v>10</v>
      </c>
      <c r="K1564" s="98">
        <v>5800000</v>
      </c>
      <c r="L1564" s="98">
        <v>4.6912000000000002E-2</v>
      </c>
      <c r="M1564" s="98">
        <v>5800000</v>
      </c>
      <c r="N1564" s="98">
        <v>1.5715E-2</v>
      </c>
      <c r="O1564" s="99" t="s">
        <v>1969</v>
      </c>
    </row>
    <row r="1565" spans="1:15" x14ac:dyDescent="0.25">
      <c r="A1565" s="98" t="s">
        <v>54</v>
      </c>
      <c r="B1565" s="98" t="s">
        <v>8</v>
      </c>
      <c r="C1565" s="98">
        <v>3.3000000000000002E-2</v>
      </c>
      <c r="D1565" s="98">
        <v>0.33001000000000003</v>
      </c>
      <c r="E1565" s="98">
        <v>9.9999999999999995E-7</v>
      </c>
      <c r="F1565" s="98" t="s">
        <v>6</v>
      </c>
      <c r="G1565" s="98" t="s">
        <v>5</v>
      </c>
      <c r="H1565" s="98">
        <v>50</v>
      </c>
      <c r="I1565" s="98">
        <v>100.01</v>
      </c>
      <c r="J1565" s="98" t="s">
        <v>10</v>
      </c>
      <c r="K1565" s="98">
        <v>200</v>
      </c>
      <c r="L1565" s="98">
        <v>2700</v>
      </c>
      <c r="M1565" s="98">
        <v>196.5</v>
      </c>
      <c r="N1565" s="98">
        <v>2656.4</v>
      </c>
      <c r="O1565" s="99" t="s">
        <v>1978</v>
      </c>
    </row>
    <row r="1566" spans="1:15" x14ac:dyDescent="0.25">
      <c r="A1566" s="98" t="s">
        <v>54</v>
      </c>
      <c r="B1566" s="98" t="s">
        <v>8</v>
      </c>
      <c r="C1566" s="98">
        <v>3.3000000000000002E-2</v>
      </c>
      <c r="D1566" s="98">
        <v>0.33001000000000003</v>
      </c>
      <c r="E1566" s="98">
        <v>9.9999999999999995E-7</v>
      </c>
      <c r="F1566" s="98" t="s">
        <v>6</v>
      </c>
      <c r="G1566" s="98" t="s">
        <v>5</v>
      </c>
      <c r="H1566" s="98">
        <v>500</v>
      </c>
      <c r="I1566" s="98">
        <v>501</v>
      </c>
      <c r="J1566" s="98" t="s">
        <v>10</v>
      </c>
      <c r="K1566" s="98">
        <v>390</v>
      </c>
      <c r="L1566" s="98">
        <v>5800</v>
      </c>
      <c r="M1566" s="98">
        <v>381.75</v>
      </c>
      <c r="N1566" s="98">
        <v>5779.4</v>
      </c>
      <c r="O1566" s="99" t="s">
        <v>1981</v>
      </c>
    </row>
    <row r="1567" spans="1:15" x14ac:dyDescent="0.25">
      <c r="A1567" s="98" t="s">
        <v>54</v>
      </c>
      <c r="B1567" s="98" t="s">
        <v>8</v>
      </c>
      <c r="C1567" s="98">
        <v>3.3000000000000002E-2</v>
      </c>
      <c r="D1567" s="98">
        <v>0.33001000000000003</v>
      </c>
      <c r="E1567" s="98">
        <v>9.9999999999999995E-7</v>
      </c>
      <c r="F1567" s="98" t="s">
        <v>6</v>
      </c>
      <c r="G1567" s="98" t="s">
        <v>5</v>
      </c>
      <c r="H1567" s="98">
        <v>100</v>
      </c>
      <c r="I1567" s="98">
        <v>500</v>
      </c>
      <c r="J1567" s="98" t="s">
        <v>10</v>
      </c>
      <c r="K1567" s="98">
        <v>390</v>
      </c>
      <c r="L1567" s="98">
        <v>5800</v>
      </c>
      <c r="M1567" s="98">
        <v>381.75</v>
      </c>
      <c r="N1567" s="98">
        <v>5779.4</v>
      </c>
      <c r="O1567" s="99" t="s">
        <v>1980</v>
      </c>
    </row>
    <row r="1568" spans="1:15" x14ac:dyDescent="0.25">
      <c r="A1568" s="98" t="s">
        <v>54</v>
      </c>
      <c r="B1568" s="98" t="s">
        <v>8</v>
      </c>
      <c r="C1568" s="98">
        <v>3.3000000000000002E-2</v>
      </c>
      <c r="D1568" s="98">
        <v>0.33001000000000003</v>
      </c>
      <c r="E1568" s="98">
        <v>9.9999999999999995E-7</v>
      </c>
      <c r="F1568" s="98" t="s">
        <v>6</v>
      </c>
      <c r="G1568" s="98" t="s">
        <v>5</v>
      </c>
      <c r="H1568" s="98">
        <v>4.4999999999999998E-2</v>
      </c>
      <c r="I1568" s="98">
        <v>10.00001</v>
      </c>
      <c r="J1568" s="98" t="s">
        <v>10</v>
      </c>
      <c r="K1568" s="98">
        <v>24</v>
      </c>
      <c r="L1568" s="98">
        <v>350</v>
      </c>
      <c r="M1568" s="98">
        <v>23.254000000000001</v>
      </c>
      <c r="N1568" s="98">
        <v>347.52</v>
      </c>
      <c r="O1568" s="99" t="s">
        <v>1976</v>
      </c>
    </row>
    <row r="1569" spans="1:15" x14ac:dyDescent="0.25">
      <c r="A1569" s="98" t="s">
        <v>54</v>
      </c>
      <c r="B1569" s="98" t="s">
        <v>8</v>
      </c>
      <c r="C1569" s="98">
        <v>3.3000000000000002E-2</v>
      </c>
      <c r="D1569" s="98">
        <v>0.33001000000000003</v>
      </c>
      <c r="E1569" s="98">
        <v>9.9999999999999995E-7</v>
      </c>
      <c r="F1569" s="98" t="s">
        <v>6</v>
      </c>
      <c r="G1569" s="98" t="s">
        <v>5</v>
      </c>
      <c r="H1569" s="98">
        <v>20</v>
      </c>
      <c r="I1569" s="98">
        <v>50.01</v>
      </c>
      <c r="J1569" s="98" t="s">
        <v>10</v>
      </c>
      <c r="K1569" s="98">
        <v>47</v>
      </c>
      <c r="L1569" s="98">
        <v>1200</v>
      </c>
      <c r="M1569" s="98">
        <v>46.389000000000003</v>
      </c>
      <c r="N1569" s="98">
        <v>1155.4000000000001</v>
      </c>
      <c r="O1569" s="99" t="s">
        <v>1979</v>
      </c>
    </row>
    <row r="1570" spans="1:15" x14ac:dyDescent="0.25">
      <c r="A1570" s="98" t="s">
        <v>54</v>
      </c>
      <c r="B1570" s="98" t="s">
        <v>8</v>
      </c>
      <c r="C1570" s="98">
        <v>3.3000000000000002E-2</v>
      </c>
      <c r="D1570" s="98">
        <v>0.33001000000000003</v>
      </c>
      <c r="E1570" s="98">
        <v>9.9999999999999995E-7</v>
      </c>
      <c r="F1570" s="98" t="s">
        <v>6</v>
      </c>
      <c r="G1570" s="98" t="s">
        <v>5</v>
      </c>
      <c r="H1570" s="98">
        <v>10</v>
      </c>
      <c r="I1570" s="98">
        <v>20.010000000000002</v>
      </c>
      <c r="J1570" s="98" t="s">
        <v>10</v>
      </c>
      <c r="K1570" s="98">
        <v>24</v>
      </c>
      <c r="L1570" s="98">
        <v>810</v>
      </c>
      <c r="M1570" s="98">
        <v>23.218</v>
      </c>
      <c r="N1570" s="98">
        <v>808.67</v>
      </c>
      <c r="O1570" s="99" t="s">
        <v>1977</v>
      </c>
    </row>
    <row r="1571" spans="1:15" x14ac:dyDescent="0.25">
      <c r="A1571" s="98" t="s">
        <v>54</v>
      </c>
      <c r="B1571" s="98" t="s">
        <v>8</v>
      </c>
      <c r="C1571" s="98">
        <v>3.3000000000000002E-2</v>
      </c>
      <c r="D1571" s="98">
        <v>0.33001000000000003</v>
      </c>
      <c r="E1571" s="98">
        <v>9.9999999999999995E-7</v>
      </c>
      <c r="F1571" s="98" t="s">
        <v>6</v>
      </c>
      <c r="G1571" s="98" t="s">
        <v>5</v>
      </c>
      <c r="H1571" s="98">
        <v>0.01</v>
      </c>
      <c r="I1571" s="98">
        <v>4.5010000000000001E-2</v>
      </c>
      <c r="J1571" s="98" t="s">
        <v>10</v>
      </c>
      <c r="K1571" s="98">
        <v>33</v>
      </c>
      <c r="L1571" s="98">
        <v>550</v>
      </c>
      <c r="M1571" s="98">
        <v>23.236000000000001</v>
      </c>
      <c r="N1571" s="98">
        <v>577.95000000000005</v>
      </c>
      <c r="O1571" s="99" t="s">
        <v>1975</v>
      </c>
    </row>
    <row r="1572" spans="1:15" x14ac:dyDescent="0.25">
      <c r="A1572" s="98" t="s">
        <v>54</v>
      </c>
      <c r="B1572" s="98" t="s">
        <v>8</v>
      </c>
      <c r="C1572" s="98">
        <v>3.3000000000000002E-2</v>
      </c>
      <c r="D1572" s="98">
        <v>0.33001000000000003</v>
      </c>
      <c r="E1572" s="98">
        <v>1.0000000000000001E-5</v>
      </c>
      <c r="F1572" s="98" t="s">
        <v>6</v>
      </c>
      <c r="G1572" s="98" t="s">
        <v>5</v>
      </c>
      <c r="H1572" s="98">
        <v>20</v>
      </c>
      <c r="I1572" s="98">
        <v>50.01</v>
      </c>
      <c r="J1572" s="98" t="s">
        <v>10</v>
      </c>
      <c r="K1572" s="98">
        <v>47</v>
      </c>
      <c r="L1572" s="98">
        <v>1154.8</v>
      </c>
      <c r="M1572" s="98">
        <v>46.618000000000002</v>
      </c>
      <c r="N1572" s="98">
        <v>1154.8</v>
      </c>
      <c r="O1572" s="99" t="s">
        <v>1986</v>
      </c>
    </row>
    <row r="1573" spans="1:15" x14ac:dyDescent="0.25">
      <c r="A1573" s="98" t="s">
        <v>54</v>
      </c>
      <c r="B1573" s="98" t="s">
        <v>8</v>
      </c>
      <c r="C1573" s="98">
        <v>3.3000000000000002E-2</v>
      </c>
      <c r="D1573" s="98">
        <v>0.33001000000000003</v>
      </c>
      <c r="E1573" s="98">
        <v>1.0000000000000001E-5</v>
      </c>
      <c r="F1573" s="98" t="s">
        <v>6</v>
      </c>
      <c r="G1573" s="98" t="s">
        <v>5</v>
      </c>
      <c r="H1573" s="98">
        <v>0.01</v>
      </c>
      <c r="I1573" s="98">
        <v>4.5010000000000001E-2</v>
      </c>
      <c r="J1573" s="98" t="s">
        <v>10</v>
      </c>
      <c r="K1573" s="98">
        <v>33</v>
      </c>
      <c r="L1573" s="98">
        <v>550.17999999999995</v>
      </c>
      <c r="M1573" s="98">
        <v>23.663</v>
      </c>
      <c r="N1573" s="98">
        <v>576.89</v>
      </c>
      <c r="O1573" s="99" t="s">
        <v>1984</v>
      </c>
    </row>
    <row r="1574" spans="1:15" x14ac:dyDescent="0.25">
      <c r="A1574" s="98" t="s">
        <v>54</v>
      </c>
      <c r="B1574" s="98" t="s">
        <v>8</v>
      </c>
      <c r="C1574" s="98">
        <v>3.3000000000000002E-2</v>
      </c>
      <c r="D1574" s="98">
        <v>0.33001000000000003</v>
      </c>
      <c r="E1574" s="98">
        <v>1.0000000000000001E-5</v>
      </c>
      <c r="F1574" s="98" t="s">
        <v>6</v>
      </c>
      <c r="G1574" s="98" t="s">
        <v>5</v>
      </c>
      <c r="H1574" s="98">
        <v>4.4999999999999998E-2</v>
      </c>
      <c r="I1574" s="98">
        <v>10.00001</v>
      </c>
      <c r="J1574" s="98" t="s">
        <v>10</v>
      </c>
      <c r="K1574" s="98">
        <v>24</v>
      </c>
      <c r="L1574" s="98">
        <v>346.2</v>
      </c>
      <c r="M1574" s="98">
        <v>23.771000000000001</v>
      </c>
      <c r="N1574" s="98">
        <v>346.32</v>
      </c>
      <c r="O1574" s="99" t="s">
        <v>2660</v>
      </c>
    </row>
    <row r="1575" spans="1:15" x14ac:dyDescent="0.25">
      <c r="A1575" s="98" t="s">
        <v>54</v>
      </c>
      <c r="B1575" s="98" t="s">
        <v>8</v>
      </c>
      <c r="C1575" s="98">
        <v>3.3000000000000002E-2</v>
      </c>
      <c r="D1575" s="98">
        <v>0.33001000000000003</v>
      </c>
      <c r="E1575" s="98">
        <v>1.0000000000000001E-5</v>
      </c>
      <c r="F1575" s="98" t="s">
        <v>6</v>
      </c>
      <c r="G1575" s="98" t="s">
        <v>5</v>
      </c>
      <c r="H1575" s="98">
        <v>10</v>
      </c>
      <c r="I1575" s="98">
        <v>20.010000000000002</v>
      </c>
      <c r="J1575" s="98" t="s">
        <v>10</v>
      </c>
      <c r="K1575" s="98">
        <v>24</v>
      </c>
      <c r="L1575" s="98">
        <v>807.65</v>
      </c>
      <c r="M1575" s="98">
        <v>23.582999999999998</v>
      </c>
      <c r="N1575" s="98">
        <v>807.74</v>
      </c>
      <c r="O1575" s="99" t="s">
        <v>1987</v>
      </c>
    </row>
    <row r="1576" spans="1:15" x14ac:dyDescent="0.25">
      <c r="A1576" s="98" t="s">
        <v>54</v>
      </c>
      <c r="B1576" s="98" t="s">
        <v>8</v>
      </c>
      <c r="C1576" s="98">
        <v>3.3000000000000002E-2</v>
      </c>
      <c r="D1576" s="98">
        <v>0.33001000000000003</v>
      </c>
      <c r="E1576" s="98">
        <v>1.0000000000000001E-5</v>
      </c>
      <c r="F1576" s="98" t="s">
        <v>6</v>
      </c>
      <c r="G1576" s="98" t="s">
        <v>5</v>
      </c>
      <c r="H1576" s="98">
        <v>500</v>
      </c>
      <c r="I1576" s="98">
        <v>501</v>
      </c>
      <c r="J1576" s="98" t="s">
        <v>10</v>
      </c>
      <c r="K1576" s="98">
        <v>390</v>
      </c>
      <c r="L1576" s="98">
        <v>5779.3</v>
      </c>
      <c r="M1576" s="98">
        <v>381.8</v>
      </c>
      <c r="N1576" s="98">
        <v>5779.3</v>
      </c>
      <c r="O1576" s="99" t="s">
        <v>1982</v>
      </c>
    </row>
    <row r="1577" spans="1:15" x14ac:dyDescent="0.25">
      <c r="A1577" s="98" t="s">
        <v>54</v>
      </c>
      <c r="B1577" s="98" t="s">
        <v>8</v>
      </c>
      <c r="C1577" s="98">
        <v>3.3000000000000002E-2</v>
      </c>
      <c r="D1577" s="98">
        <v>0.33001000000000003</v>
      </c>
      <c r="E1577" s="98">
        <v>1.0000000000000001E-5</v>
      </c>
      <c r="F1577" s="98" t="s">
        <v>6</v>
      </c>
      <c r="G1577" s="98" t="s">
        <v>5</v>
      </c>
      <c r="H1577" s="98">
        <v>50</v>
      </c>
      <c r="I1577" s="98">
        <v>100.01</v>
      </c>
      <c r="J1577" s="98" t="s">
        <v>10</v>
      </c>
      <c r="K1577" s="98">
        <v>200</v>
      </c>
      <c r="L1577" s="98">
        <v>2656.2</v>
      </c>
      <c r="M1577" s="98">
        <v>196.56</v>
      </c>
      <c r="N1577" s="98">
        <v>2656.3</v>
      </c>
      <c r="O1577" s="99" t="s">
        <v>1985</v>
      </c>
    </row>
    <row r="1578" spans="1:15" x14ac:dyDescent="0.25">
      <c r="A1578" s="98" t="s">
        <v>54</v>
      </c>
      <c r="B1578" s="98" t="s">
        <v>8</v>
      </c>
      <c r="C1578" s="98">
        <v>3.3000000000000002E-2</v>
      </c>
      <c r="D1578" s="98">
        <v>0.33001000000000003</v>
      </c>
      <c r="E1578" s="98">
        <v>1.0000000000000001E-5</v>
      </c>
      <c r="F1578" s="98" t="s">
        <v>6</v>
      </c>
      <c r="G1578" s="98" t="s">
        <v>5</v>
      </c>
      <c r="H1578" s="98">
        <v>100</v>
      </c>
      <c r="I1578" s="98">
        <v>500</v>
      </c>
      <c r="J1578" s="98" t="s">
        <v>10</v>
      </c>
      <c r="K1578" s="98">
        <v>390</v>
      </c>
      <c r="L1578" s="98">
        <v>5779.3</v>
      </c>
      <c r="M1578" s="98">
        <v>381.8</v>
      </c>
      <c r="N1578" s="98">
        <v>5779.3</v>
      </c>
      <c r="O1578" s="99" t="s">
        <v>1983</v>
      </c>
    </row>
    <row r="1579" spans="1:15" x14ac:dyDescent="0.25">
      <c r="A1579" s="98" t="s">
        <v>54</v>
      </c>
      <c r="B1579" s="98" t="s">
        <v>8</v>
      </c>
      <c r="C1579" s="98">
        <v>3.3000000000000002E-2</v>
      </c>
      <c r="D1579" s="98">
        <v>0.33001000000000003</v>
      </c>
      <c r="E1579" s="98">
        <v>1E-4</v>
      </c>
      <c r="F1579" s="98" t="s">
        <v>6</v>
      </c>
      <c r="G1579" s="98" t="s">
        <v>5</v>
      </c>
      <c r="H1579" s="98">
        <v>10</v>
      </c>
      <c r="I1579" s="98">
        <v>20.010000000000002</v>
      </c>
      <c r="J1579" s="98" t="s">
        <v>10</v>
      </c>
      <c r="K1579" s="98">
        <v>52.238</v>
      </c>
      <c r="L1579" s="98">
        <v>738.2</v>
      </c>
      <c r="M1579" s="98">
        <v>52.145000000000003</v>
      </c>
      <c r="N1579" s="98">
        <v>738.41</v>
      </c>
      <c r="O1579" s="99" t="s">
        <v>2662</v>
      </c>
    </row>
    <row r="1580" spans="1:15" x14ac:dyDescent="0.25">
      <c r="A1580" s="98" t="s">
        <v>54</v>
      </c>
      <c r="B1580" s="98" t="s">
        <v>8</v>
      </c>
      <c r="C1580" s="98">
        <v>3.3000000000000002E-2</v>
      </c>
      <c r="D1580" s="98">
        <v>0.33001000000000003</v>
      </c>
      <c r="E1580" s="98">
        <v>1E-4</v>
      </c>
      <c r="F1580" s="98" t="s">
        <v>6</v>
      </c>
      <c r="G1580" s="98" t="s">
        <v>5</v>
      </c>
      <c r="H1580" s="98">
        <v>100</v>
      </c>
      <c r="I1580" s="98">
        <v>500</v>
      </c>
      <c r="J1580" s="98" t="s">
        <v>10</v>
      </c>
      <c r="K1580" s="98">
        <v>390</v>
      </c>
      <c r="L1580" s="98">
        <v>5771.9</v>
      </c>
      <c r="M1580" s="98">
        <v>384.93</v>
      </c>
      <c r="N1580" s="98">
        <v>5772</v>
      </c>
      <c r="O1580" s="99" t="s">
        <v>1991</v>
      </c>
    </row>
    <row r="1581" spans="1:15" x14ac:dyDescent="0.25">
      <c r="A1581" s="98" t="s">
        <v>54</v>
      </c>
      <c r="B1581" s="98" t="s">
        <v>8</v>
      </c>
      <c r="C1581" s="98">
        <v>3.3000000000000002E-2</v>
      </c>
      <c r="D1581" s="98">
        <v>0.33001000000000003</v>
      </c>
      <c r="E1581" s="98">
        <v>1E-4</v>
      </c>
      <c r="F1581" s="98" t="s">
        <v>6</v>
      </c>
      <c r="G1581" s="98" t="s">
        <v>5</v>
      </c>
      <c r="H1581" s="98">
        <v>0.01</v>
      </c>
      <c r="I1581" s="98">
        <v>4.5010000000000001E-2</v>
      </c>
      <c r="J1581" s="98" t="s">
        <v>10</v>
      </c>
      <c r="K1581" s="98">
        <v>55.234000000000002</v>
      </c>
      <c r="L1581" s="98">
        <v>504.47</v>
      </c>
      <c r="M1581" s="98">
        <v>55.134999999999998</v>
      </c>
      <c r="N1581" s="98">
        <v>504.68</v>
      </c>
      <c r="O1581" s="99" t="s">
        <v>1988</v>
      </c>
    </row>
    <row r="1582" spans="1:15" x14ac:dyDescent="0.25">
      <c r="A1582" s="98" t="s">
        <v>54</v>
      </c>
      <c r="B1582" s="98" t="s">
        <v>8</v>
      </c>
      <c r="C1582" s="98">
        <v>3.3000000000000002E-2</v>
      </c>
      <c r="D1582" s="98">
        <v>0.33001000000000003</v>
      </c>
      <c r="E1582" s="98">
        <v>1E-4</v>
      </c>
      <c r="F1582" s="98" t="s">
        <v>6</v>
      </c>
      <c r="G1582" s="98" t="s">
        <v>5</v>
      </c>
      <c r="H1582" s="98">
        <v>4.4999999999999998E-2</v>
      </c>
      <c r="I1582" s="98">
        <v>10.00001</v>
      </c>
      <c r="J1582" s="98" t="s">
        <v>10</v>
      </c>
      <c r="K1582" s="98">
        <v>58.585999999999999</v>
      </c>
      <c r="L1582" s="98">
        <v>276.02999999999997</v>
      </c>
      <c r="M1582" s="98">
        <v>58.482999999999997</v>
      </c>
      <c r="N1582" s="98">
        <v>276.20999999999998</v>
      </c>
      <c r="O1582" s="99" t="s">
        <v>1990</v>
      </c>
    </row>
    <row r="1583" spans="1:15" x14ac:dyDescent="0.25">
      <c r="A1583" s="98" t="s">
        <v>54</v>
      </c>
      <c r="B1583" s="98" t="s">
        <v>8</v>
      </c>
      <c r="C1583" s="98">
        <v>3.3000000000000002E-2</v>
      </c>
      <c r="D1583" s="98">
        <v>0.33001000000000003</v>
      </c>
      <c r="E1583" s="98">
        <v>1E-4</v>
      </c>
      <c r="F1583" s="98" t="s">
        <v>6</v>
      </c>
      <c r="G1583" s="98" t="s">
        <v>5</v>
      </c>
      <c r="H1583" s="98">
        <v>500</v>
      </c>
      <c r="I1583" s="98">
        <v>501</v>
      </c>
      <c r="J1583" s="98" t="s">
        <v>10</v>
      </c>
      <c r="K1583" s="98">
        <v>390</v>
      </c>
      <c r="L1583" s="98">
        <v>5771.9</v>
      </c>
      <c r="M1583" s="98">
        <v>384.93</v>
      </c>
      <c r="N1583" s="98">
        <v>5772</v>
      </c>
      <c r="O1583" s="99" t="s">
        <v>1989</v>
      </c>
    </row>
    <row r="1584" spans="1:15" x14ac:dyDescent="0.25">
      <c r="A1584" s="98" t="s">
        <v>54</v>
      </c>
      <c r="B1584" s="98" t="s">
        <v>8</v>
      </c>
      <c r="C1584" s="98">
        <v>3.3000000000000002E-2</v>
      </c>
      <c r="D1584" s="98">
        <v>0.33001000000000003</v>
      </c>
      <c r="E1584" s="98">
        <v>1E-4</v>
      </c>
      <c r="F1584" s="98" t="s">
        <v>6</v>
      </c>
      <c r="G1584" s="98" t="s">
        <v>5</v>
      </c>
      <c r="H1584" s="98">
        <v>20</v>
      </c>
      <c r="I1584" s="98">
        <v>50.01</v>
      </c>
      <c r="J1584" s="98" t="s">
        <v>10</v>
      </c>
      <c r="K1584" s="98">
        <v>66.007000000000005</v>
      </c>
      <c r="L1584" s="98">
        <v>1107.9000000000001</v>
      </c>
      <c r="M1584" s="98">
        <v>65.938999999999993</v>
      </c>
      <c r="N1584" s="98">
        <v>1108</v>
      </c>
      <c r="O1584" s="99" t="s">
        <v>1992</v>
      </c>
    </row>
    <row r="1585" spans="1:15" x14ac:dyDescent="0.25">
      <c r="A1585" s="98" t="s">
        <v>54</v>
      </c>
      <c r="B1585" s="98" t="s">
        <v>8</v>
      </c>
      <c r="C1585" s="98">
        <v>3.3000000000000002E-2</v>
      </c>
      <c r="D1585" s="98">
        <v>0.33001000000000003</v>
      </c>
      <c r="E1585" s="98">
        <v>1E-4</v>
      </c>
      <c r="F1585" s="98" t="s">
        <v>6</v>
      </c>
      <c r="G1585" s="98" t="s">
        <v>5</v>
      </c>
      <c r="H1585" s="98">
        <v>50</v>
      </c>
      <c r="I1585" s="98">
        <v>100.01</v>
      </c>
      <c r="J1585" s="98" t="s">
        <v>10</v>
      </c>
      <c r="K1585" s="98">
        <v>202.89</v>
      </c>
      <c r="L1585" s="98">
        <v>2641.9</v>
      </c>
      <c r="M1585" s="98">
        <v>202.83</v>
      </c>
      <c r="N1585" s="98">
        <v>2642</v>
      </c>
      <c r="O1585" s="99" t="s">
        <v>2661</v>
      </c>
    </row>
    <row r="1586" spans="1:15" x14ac:dyDescent="0.25">
      <c r="A1586" s="98" t="s">
        <v>54</v>
      </c>
      <c r="B1586" s="98" t="s">
        <v>8</v>
      </c>
      <c r="C1586" s="98">
        <v>3.3000000000000002E-2</v>
      </c>
      <c r="D1586" s="98">
        <v>0.33001000000000003</v>
      </c>
      <c r="E1586" s="98">
        <v>1E-3</v>
      </c>
      <c r="F1586" s="98" t="s">
        <v>6</v>
      </c>
      <c r="G1586" s="98" t="s">
        <v>5</v>
      </c>
      <c r="H1586" s="98">
        <v>0.01</v>
      </c>
      <c r="I1586" s="98">
        <v>4.5010000000000001E-2</v>
      </c>
      <c r="J1586" s="98" t="s">
        <v>10</v>
      </c>
      <c r="K1586" s="98">
        <v>577.51</v>
      </c>
      <c r="L1586" s="98">
        <v>123.44</v>
      </c>
      <c r="M1586" s="98">
        <v>577.47</v>
      </c>
      <c r="N1586" s="98">
        <v>123.45</v>
      </c>
      <c r="O1586" s="99" t="s">
        <v>1993</v>
      </c>
    </row>
    <row r="1587" spans="1:15" x14ac:dyDescent="0.25">
      <c r="A1587" s="98" t="s">
        <v>54</v>
      </c>
      <c r="B1587" s="98" t="s">
        <v>8</v>
      </c>
      <c r="C1587" s="98">
        <v>3.3000000000000002E-2</v>
      </c>
      <c r="D1587" s="98">
        <v>0.33001000000000003</v>
      </c>
      <c r="E1587" s="98">
        <v>1E-3</v>
      </c>
      <c r="F1587" s="98" t="s">
        <v>6</v>
      </c>
      <c r="G1587" s="98" t="s">
        <v>5</v>
      </c>
      <c r="H1587" s="98">
        <v>4.4999999999999998E-2</v>
      </c>
      <c r="I1587" s="98">
        <v>10.00001</v>
      </c>
      <c r="J1587" s="98" t="s">
        <v>10</v>
      </c>
      <c r="K1587" s="98">
        <v>579.4</v>
      </c>
      <c r="L1587" s="98">
        <v>50.965000000000003</v>
      </c>
      <c r="M1587" s="98">
        <v>579.36</v>
      </c>
      <c r="N1587" s="98">
        <v>50.969000000000001</v>
      </c>
      <c r="O1587" s="99" t="s">
        <v>1995</v>
      </c>
    </row>
    <row r="1588" spans="1:15" x14ac:dyDescent="0.25">
      <c r="A1588" s="98" t="s">
        <v>54</v>
      </c>
      <c r="B1588" s="98" t="s">
        <v>8</v>
      </c>
      <c r="C1588" s="98">
        <v>3.3000000000000002E-2</v>
      </c>
      <c r="D1588" s="98">
        <v>0.33001000000000003</v>
      </c>
      <c r="E1588" s="98">
        <v>1E-3</v>
      </c>
      <c r="F1588" s="98" t="s">
        <v>6</v>
      </c>
      <c r="G1588" s="98" t="s">
        <v>5</v>
      </c>
      <c r="H1588" s="98">
        <v>100</v>
      </c>
      <c r="I1588" s="98">
        <v>500</v>
      </c>
      <c r="J1588" s="98" t="s">
        <v>10</v>
      </c>
      <c r="K1588" s="98">
        <v>643.30999999999995</v>
      </c>
      <c r="L1588" s="98">
        <v>5206.3999999999996</v>
      </c>
      <c r="M1588" s="98">
        <v>643.12</v>
      </c>
      <c r="N1588" s="98">
        <v>5206.6000000000004</v>
      </c>
      <c r="O1588" s="99" t="s">
        <v>1997</v>
      </c>
    </row>
    <row r="1589" spans="1:15" x14ac:dyDescent="0.25">
      <c r="A1589" s="98" t="s">
        <v>54</v>
      </c>
      <c r="B1589" s="98" t="s">
        <v>8</v>
      </c>
      <c r="C1589" s="98">
        <v>3.3000000000000002E-2</v>
      </c>
      <c r="D1589" s="98">
        <v>0.33001000000000003</v>
      </c>
      <c r="E1589" s="98">
        <v>1E-3</v>
      </c>
      <c r="F1589" s="98" t="s">
        <v>6</v>
      </c>
      <c r="G1589" s="98" t="s">
        <v>5</v>
      </c>
      <c r="H1589" s="98">
        <v>20</v>
      </c>
      <c r="I1589" s="98">
        <v>50.01</v>
      </c>
      <c r="J1589" s="98" t="s">
        <v>10</v>
      </c>
      <c r="K1589" s="98">
        <v>571.22</v>
      </c>
      <c r="L1589" s="98">
        <v>452.98</v>
      </c>
      <c r="M1589" s="98">
        <v>571.17999999999995</v>
      </c>
      <c r="N1589" s="98">
        <v>452.85</v>
      </c>
      <c r="O1589" s="99" t="s">
        <v>1998</v>
      </c>
    </row>
    <row r="1590" spans="1:15" x14ac:dyDescent="0.25">
      <c r="A1590" s="98" t="s">
        <v>54</v>
      </c>
      <c r="B1590" s="98" t="s">
        <v>8</v>
      </c>
      <c r="C1590" s="98">
        <v>3.3000000000000002E-2</v>
      </c>
      <c r="D1590" s="98">
        <v>0.33001000000000003</v>
      </c>
      <c r="E1590" s="98">
        <v>1E-3</v>
      </c>
      <c r="F1590" s="98" t="s">
        <v>6</v>
      </c>
      <c r="G1590" s="98" t="s">
        <v>5</v>
      </c>
      <c r="H1590" s="98">
        <v>50</v>
      </c>
      <c r="I1590" s="98">
        <v>100.01</v>
      </c>
      <c r="J1590" s="98" t="s">
        <v>10</v>
      </c>
      <c r="K1590" s="98">
        <v>582.19000000000005</v>
      </c>
      <c r="L1590" s="98">
        <v>1932.6</v>
      </c>
      <c r="M1590" s="98">
        <v>582.1</v>
      </c>
      <c r="N1590" s="98">
        <v>1932.5</v>
      </c>
      <c r="O1590" s="99" t="s">
        <v>1996</v>
      </c>
    </row>
    <row r="1591" spans="1:15" x14ac:dyDescent="0.25">
      <c r="A1591" s="98" t="s">
        <v>54</v>
      </c>
      <c r="B1591" s="98" t="s">
        <v>8</v>
      </c>
      <c r="C1591" s="98">
        <v>3.3000000000000002E-2</v>
      </c>
      <c r="D1591" s="98">
        <v>0.33001000000000003</v>
      </c>
      <c r="E1591" s="98">
        <v>1E-3</v>
      </c>
      <c r="F1591" s="98" t="s">
        <v>6</v>
      </c>
      <c r="G1591" s="98" t="s">
        <v>5</v>
      </c>
      <c r="H1591" s="98">
        <v>10</v>
      </c>
      <c r="I1591" s="98">
        <v>20.010000000000002</v>
      </c>
      <c r="J1591" s="98" t="s">
        <v>10</v>
      </c>
      <c r="K1591" s="98">
        <v>574.82000000000005</v>
      </c>
      <c r="L1591" s="98">
        <v>223.39</v>
      </c>
      <c r="M1591" s="98">
        <v>574.77</v>
      </c>
      <c r="N1591" s="98">
        <v>223.41</v>
      </c>
      <c r="O1591" s="99" t="s">
        <v>2663</v>
      </c>
    </row>
    <row r="1592" spans="1:15" x14ac:dyDescent="0.25">
      <c r="A1592" s="98" t="s">
        <v>54</v>
      </c>
      <c r="B1592" s="98" t="s">
        <v>8</v>
      </c>
      <c r="C1592" s="98">
        <v>3.3000000000000002E-2</v>
      </c>
      <c r="D1592" s="98">
        <v>0.33001000000000003</v>
      </c>
      <c r="E1592" s="98">
        <v>1E-3</v>
      </c>
      <c r="F1592" s="98" t="s">
        <v>6</v>
      </c>
      <c r="G1592" s="98" t="s">
        <v>5</v>
      </c>
      <c r="H1592" s="98">
        <v>500</v>
      </c>
      <c r="I1592" s="98">
        <v>501</v>
      </c>
      <c r="J1592" s="98" t="s">
        <v>10</v>
      </c>
      <c r="K1592" s="98">
        <v>643.30999999999995</v>
      </c>
      <c r="L1592" s="98">
        <v>5206.3999999999996</v>
      </c>
      <c r="M1592" s="98">
        <v>643.12</v>
      </c>
      <c r="N1592" s="98">
        <v>5206.6000000000004</v>
      </c>
      <c r="O1592" s="99" t="s">
        <v>1994</v>
      </c>
    </row>
    <row r="1593" spans="1:15" x14ac:dyDescent="0.25">
      <c r="A1593" s="98" t="s">
        <v>54</v>
      </c>
      <c r="B1593" s="98" t="s">
        <v>8</v>
      </c>
      <c r="C1593" s="98">
        <v>3.3000000000000002E-2</v>
      </c>
      <c r="D1593" s="98">
        <v>0.33001000000000003</v>
      </c>
      <c r="E1593" s="98">
        <v>0.01</v>
      </c>
      <c r="F1593" s="98" t="s">
        <v>6</v>
      </c>
      <c r="G1593" s="98" t="s">
        <v>5</v>
      </c>
      <c r="H1593" s="98">
        <v>50</v>
      </c>
      <c r="I1593" s="98">
        <v>100.01</v>
      </c>
      <c r="J1593" s="98" t="s">
        <v>10</v>
      </c>
      <c r="K1593" s="98">
        <v>5796.8</v>
      </c>
      <c r="L1593" s="98">
        <v>308.19</v>
      </c>
      <c r="M1593" s="98">
        <v>5796.8</v>
      </c>
      <c r="N1593" s="98">
        <v>308.02</v>
      </c>
      <c r="O1593" s="99" t="s">
        <v>2002</v>
      </c>
    </row>
    <row r="1594" spans="1:15" x14ac:dyDescent="0.25">
      <c r="A1594" s="98" t="s">
        <v>54</v>
      </c>
      <c r="B1594" s="98" t="s">
        <v>8</v>
      </c>
      <c r="C1594" s="98">
        <v>3.3000000000000002E-2</v>
      </c>
      <c r="D1594" s="98">
        <v>0.33001000000000003</v>
      </c>
      <c r="E1594" s="98">
        <v>0.01</v>
      </c>
      <c r="F1594" s="98" t="s">
        <v>6</v>
      </c>
      <c r="G1594" s="98" t="s">
        <v>5</v>
      </c>
      <c r="H1594" s="98">
        <v>100</v>
      </c>
      <c r="I1594" s="98">
        <v>500</v>
      </c>
      <c r="J1594" s="98" t="s">
        <v>10</v>
      </c>
      <c r="K1594" s="98">
        <v>5783</v>
      </c>
      <c r="L1594" s="98">
        <v>1371.2</v>
      </c>
      <c r="M1594" s="98">
        <v>5783</v>
      </c>
      <c r="N1594" s="98">
        <v>1370.9</v>
      </c>
      <c r="O1594" s="99" t="s">
        <v>2000</v>
      </c>
    </row>
    <row r="1595" spans="1:15" x14ac:dyDescent="0.25">
      <c r="A1595" s="98" t="s">
        <v>54</v>
      </c>
      <c r="B1595" s="98" t="s">
        <v>8</v>
      </c>
      <c r="C1595" s="98">
        <v>3.3000000000000002E-2</v>
      </c>
      <c r="D1595" s="98">
        <v>0.33001000000000003</v>
      </c>
      <c r="E1595" s="98">
        <v>0.01</v>
      </c>
      <c r="F1595" s="98" t="s">
        <v>6</v>
      </c>
      <c r="G1595" s="98" t="s">
        <v>5</v>
      </c>
      <c r="H1595" s="98">
        <v>20</v>
      </c>
      <c r="I1595" s="98">
        <v>50.01</v>
      </c>
      <c r="J1595" s="98" t="s">
        <v>10</v>
      </c>
      <c r="K1595" s="98">
        <v>5799</v>
      </c>
      <c r="L1595" s="98">
        <v>51.02</v>
      </c>
      <c r="M1595" s="98">
        <v>5798.9</v>
      </c>
      <c r="N1595" s="98">
        <v>50.942</v>
      </c>
      <c r="O1595" s="99" t="s">
        <v>2001</v>
      </c>
    </row>
    <row r="1596" spans="1:15" x14ac:dyDescent="0.25">
      <c r="A1596" s="98" t="s">
        <v>54</v>
      </c>
      <c r="B1596" s="98" t="s">
        <v>8</v>
      </c>
      <c r="C1596" s="98">
        <v>3.3000000000000002E-2</v>
      </c>
      <c r="D1596" s="98">
        <v>0.33001000000000003</v>
      </c>
      <c r="E1596" s="98">
        <v>0.01</v>
      </c>
      <c r="F1596" s="98" t="s">
        <v>6</v>
      </c>
      <c r="G1596" s="98" t="s">
        <v>5</v>
      </c>
      <c r="H1596" s="98">
        <v>500</v>
      </c>
      <c r="I1596" s="98">
        <v>501</v>
      </c>
      <c r="J1596" s="98" t="s">
        <v>10</v>
      </c>
      <c r="K1596" s="98">
        <v>5783</v>
      </c>
      <c r="L1596" s="98">
        <v>1371.2</v>
      </c>
      <c r="M1596" s="98">
        <v>5783</v>
      </c>
      <c r="N1596" s="98">
        <v>1370.9</v>
      </c>
      <c r="O1596" s="99" t="s">
        <v>2665</v>
      </c>
    </row>
    <row r="1597" spans="1:15" x14ac:dyDescent="0.25">
      <c r="A1597" s="98" t="s">
        <v>54</v>
      </c>
      <c r="B1597" s="98" t="s">
        <v>8</v>
      </c>
      <c r="C1597" s="98">
        <v>3.3000000000000002E-2</v>
      </c>
      <c r="D1597" s="98">
        <v>0.33001000000000003</v>
      </c>
      <c r="E1597" s="98">
        <v>0.01</v>
      </c>
      <c r="F1597" s="98" t="s">
        <v>6</v>
      </c>
      <c r="G1597" s="98" t="s">
        <v>5</v>
      </c>
      <c r="H1597" s="98">
        <v>0.01</v>
      </c>
      <c r="I1597" s="98">
        <v>4.5010000000000001E-2</v>
      </c>
      <c r="J1597" s="98" t="s">
        <v>10</v>
      </c>
      <c r="K1597" s="98">
        <v>5799.8</v>
      </c>
      <c r="L1597" s="98">
        <v>12.763</v>
      </c>
      <c r="M1597" s="98">
        <v>577.47</v>
      </c>
      <c r="N1597" s="98">
        <v>12.763</v>
      </c>
      <c r="O1597" s="99" t="s">
        <v>1999</v>
      </c>
    </row>
    <row r="1598" spans="1:15" x14ac:dyDescent="0.25">
      <c r="A1598" s="98" t="s">
        <v>54</v>
      </c>
      <c r="B1598" s="98" t="s">
        <v>8</v>
      </c>
      <c r="C1598" s="98">
        <v>3.3000000000000002E-2</v>
      </c>
      <c r="D1598" s="98">
        <v>0.33001000000000003</v>
      </c>
      <c r="E1598" s="98">
        <v>0.01</v>
      </c>
      <c r="F1598" s="98" t="s">
        <v>6</v>
      </c>
      <c r="G1598" s="98" t="s">
        <v>5</v>
      </c>
      <c r="H1598" s="98">
        <v>10</v>
      </c>
      <c r="I1598" s="98">
        <v>20.010000000000002</v>
      </c>
      <c r="J1598" s="98" t="s">
        <v>10</v>
      </c>
      <c r="K1598" s="98">
        <v>5799.5</v>
      </c>
      <c r="L1598" s="98">
        <v>23.686</v>
      </c>
      <c r="M1598" s="98">
        <v>5799.4</v>
      </c>
      <c r="N1598" s="98">
        <v>23.686</v>
      </c>
      <c r="O1598" s="99" t="s">
        <v>2664</v>
      </c>
    </row>
    <row r="1599" spans="1:15" x14ac:dyDescent="0.25">
      <c r="A1599" s="98" t="s">
        <v>54</v>
      </c>
      <c r="B1599" s="98" t="s">
        <v>8</v>
      </c>
      <c r="C1599" s="98">
        <v>3.3000000000000002E-2</v>
      </c>
      <c r="D1599" s="98">
        <v>0.33001000000000003</v>
      </c>
      <c r="E1599" s="98">
        <v>0.01</v>
      </c>
      <c r="F1599" s="98" t="s">
        <v>6</v>
      </c>
      <c r="G1599" s="98" t="s">
        <v>5</v>
      </c>
      <c r="H1599" s="98">
        <v>4.4999999999999998E-2</v>
      </c>
      <c r="I1599" s="98">
        <v>10.00001</v>
      </c>
      <c r="J1599" s="98" t="s">
        <v>10</v>
      </c>
      <c r="K1599" s="98">
        <v>5800</v>
      </c>
      <c r="L1599" s="98">
        <v>5.1718000000000002</v>
      </c>
      <c r="M1599" s="98">
        <v>5799.9</v>
      </c>
      <c r="N1599" s="98">
        <v>5.1718000000000002</v>
      </c>
      <c r="O1599" s="99" t="s">
        <v>2003</v>
      </c>
    </row>
    <row r="1600" spans="1:15" x14ac:dyDescent="0.25">
      <c r="A1600" s="98" t="s">
        <v>54</v>
      </c>
      <c r="B1600" s="98" t="s">
        <v>8</v>
      </c>
      <c r="C1600" s="98">
        <v>0.33</v>
      </c>
      <c r="D1600" s="98">
        <v>3.3001</v>
      </c>
      <c r="E1600" s="98">
        <v>1.0000000000000001E-5</v>
      </c>
      <c r="F1600" s="98" t="s">
        <v>6</v>
      </c>
      <c r="G1600" s="98" t="s">
        <v>4</v>
      </c>
      <c r="H1600" s="98">
        <v>0.01</v>
      </c>
      <c r="I1600" s="98">
        <v>4.5010000000000001E-2</v>
      </c>
      <c r="J1600" s="98" t="s">
        <v>10</v>
      </c>
      <c r="K1600" s="98">
        <v>0.11</v>
      </c>
      <c r="L1600" s="98">
        <v>0.56000000000000005</v>
      </c>
      <c r="M1600" s="98">
        <v>0.10391</v>
      </c>
      <c r="N1600" s="98">
        <v>0.56220999999999999</v>
      </c>
      <c r="O1600" s="99" t="s">
        <v>2006</v>
      </c>
    </row>
    <row r="1601" spans="1:15" x14ac:dyDescent="0.25">
      <c r="A1601" s="98" t="s">
        <v>54</v>
      </c>
      <c r="B1601" s="98" t="s">
        <v>8</v>
      </c>
      <c r="C1601" s="98">
        <v>0.33</v>
      </c>
      <c r="D1601" s="98">
        <v>3.3001</v>
      </c>
      <c r="E1601" s="98">
        <v>1.0000000000000001E-5</v>
      </c>
      <c r="F1601" s="98" t="s">
        <v>6</v>
      </c>
      <c r="G1601" s="98" t="s">
        <v>4</v>
      </c>
      <c r="H1601" s="98">
        <v>10</v>
      </c>
      <c r="I1601" s="98">
        <v>20.010000000000002</v>
      </c>
      <c r="J1601" s="98" t="s">
        <v>10</v>
      </c>
      <c r="K1601" s="98">
        <v>7.0000000000000007E-2</v>
      </c>
      <c r="L1601" s="98">
        <v>0.81</v>
      </c>
      <c r="M1601" s="98">
        <v>6.9434999999999997E-2</v>
      </c>
      <c r="N1601" s="98">
        <v>0.80878000000000005</v>
      </c>
      <c r="O1601" s="99" t="s">
        <v>2005</v>
      </c>
    </row>
    <row r="1602" spans="1:15" x14ac:dyDescent="0.25">
      <c r="A1602" s="98" t="s">
        <v>54</v>
      </c>
      <c r="B1602" s="98" t="s">
        <v>8</v>
      </c>
      <c r="C1602" s="98">
        <v>0.33</v>
      </c>
      <c r="D1602" s="98">
        <v>3.3001</v>
      </c>
      <c r="E1602" s="98">
        <v>1.0000000000000001E-5</v>
      </c>
      <c r="F1602" s="98" t="s">
        <v>6</v>
      </c>
      <c r="G1602" s="98" t="s">
        <v>4</v>
      </c>
      <c r="H1602" s="98">
        <v>500</v>
      </c>
      <c r="I1602" s="98">
        <v>501</v>
      </c>
      <c r="J1602" s="98" t="s">
        <v>10</v>
      </c>
      <c r="K1602" s="98">
        <v>1.1000000000000001</v>
      </c>
      <c r="L1602" s="98">
        <v>5.8</v>
      </c>
      <c r="M1602" s="98">
        <v>1.0377000000000001</v>
      </c>
      <c r="N1602" s="98">
        <v>5.7942</v>
      </c>
      <c r="O1602" s="99" t="s">
        <v>2007</v>
      </c>
    </row>
    <row r="1603" spans="1:15" x14ac:dyDescent="0.25">
      <c r="A1603" s="98" t="s">
        <v>54</v>
      </c>
      <c r="B1603" s="98" t="s">
        <v>8</v>
      </c>
      <c r="C1603" s="98">
        <v>0.33</v>
      </c>
      <c r="D1603" s="98">
        <v>3.3001</v>
      </c>
      <c r="E1603" s="98">
        <v>1.0000000000000001E-5</v>
      </c>
      <c r="F1603" s="98" t="s">
        <v>6</v>
      </c>
      <c r="G1603" s="98" t="s">
        <v>4</v>
      </c>
      <c r="H1603" s="98">
        <v>100</v>
      </c>
      <c r="I1603" s="98">
        <v>500</v>
      </c>
      <c r="J1603" s="98" t="s">
        <v>10</v>
      </c>
      <c r="K1603" s="98">
        <v>1.1000000000000001</v>
      </c>
      <c r="L1603" s="98">
        <v>5.8</v>
      </c>
      <c r="M1603" s="98">
        <v>1.0377000000000001</v>
      </c>
      <c r="N1603" s="98">
        <v>5.7942</v>
      </c>
      <c r="O1603" s="99" t="s">
        <v>2008</v>
      </c>
    </row>
    <row r="1604" spans="1:15" x14ac:dyDescent="0.25">
      <c r="A1604" s="98" t="s">
        <v>54</v>
      </c>
      <c r="B1604" s="98" t="s">
        <v>8</v>
      </c>
      <c r="C1604" s="98">
        <v>0.33</v>
      </c>
      <c r="D1604" s="98">
        <v>3.3001</v>
      </c>
      <c r="E1604" s="98">
        <v>1.0000000000000001E-5</v>
      </c>
      <c r="F1604" s="98" t="s">
        <v>6</v>
      </c>
      <c r="G1604" s="98" t="s">
        <v>4</v>
      </c>
      <c r="H1604" s="98">
        <v>50</v>
      </c>
      <c r="I1604" s="98">
        <v>100.01</v>
      </c>
      <c r="J1604" s="98" t="s">
        <v>10</v>
      </c>
      <c r="K1604" s="98">
        <v>0.24</v>
      </c>
      <c r="L1604" s="98">
        <v>2.7</v>
      </c>
      <c r="M1604" s="98">
        <v>0.23108000000000001</v>
      </c>
      <c r="N1604" s="98">
        <v>2.6570999999999998</v>
      </c>
      <c r="O1604" s="99" t="s">
        <v>2666</v>
      </c>
    </row>
    <row r="1605" spans="1:15" x14ac:dyDescent="0.25">
      <c r="A1605" s="98" t="s">
        <v>54</v>
      </c>
      <c r="B1605" s="98" t="s">
        <v>8</v>
      </c>
      <c r="C1605" s="98">
        <v>0.33</v>
      </c>
      <c r="D1605" s="98">
        <v>3.3001</v>
      </c>
      <c r="E1605" s="98">
        <v>1.0000000000000001E-5</v>
      </c>
      <c r="F1605" s="98" t="s">
        <v>6</v>
      </c>
      <c r="G1605" s="98" t="s">
        <v>4</v>
      </c>
      <c r="H1605" s="98">
        <v>20</v>
      </c>
      <c r="I1605" s="98">
        <v>50.01</v>
      </c>
      <c r="J1605" s="98" t="s">
        <v>10</v>
      </c>
      <c r="K1605" s="98">
        <v>7.0000000000000007E-2</v>
      </c>
      <c r="L1605" s="98">
        <v>1.2</v>
      </c>
      <c r="M1605" s="98">
        <v>6.9505999999999998E-2</v>
      </c>
      <c r="N1605" s="98">
        <v>1.1558999999999999</v>
      </c>
      <c r="O1605" s="99" t="s">
        <v>2667</v>
      </c>
    </row>
    <row r="1606" spans="1:15" x14ac:dyDescent="0.25">
      <c r="A1606" s="98" t="s">
        <v>54</v>
      </c>
      <c r="B1606" s="98" t="s">
        <v>8</v>
      </c>
      <c r="C1606" s="98">
        <v>0.33</v>
      </c>
      <c r="D1606" s="98">
        <v>3.3001</v>
      </c>
      <c r="E1606" s="98">
        <v>1.0000000000000001E-5</v>
      </c>
      <c r="F1606" s="98" t="s">
        <v>6</v>
      </c>
      <c r="G1606" s="98" t="s">
        <v>4</v>
      </c>
      <c r="H1606" s="98">
        <v>4.4999999999999998E-2</v>
      </c>
      <c r="I1606" s="98">
        <v>10.00001</v>
      </c>
      <c r="J1606" s="98" t="s">
        <v>10</v>
      </c>
      <c r="K1606" s="98">
        <v>7.0000000000000007E-2</v>
      </c>
      <c r="L1606" s="98">
        <v>0.35</v>
      </c>
      <c r="M1606" s="98">
        <v>6.9476999999999997E-2</v>
      </c>
      <c r="N1606" s="98">
        <v>0.34755999999999998</v>
      </c>
      <c r="O1606" s="99" t="s">
        <v>2004</v>
      </c>
    </row>
    <row r="1607" spans="1:15" x14ac:dyDescent="0.25">
      <c r="A1607" s="98" t="s">
        <v>54</v>
      </c>
      <c r="B1607" s="98" t="s">
        <v>8</v>
      </c>
      <c r="C1607" s="98">
        <v>0.33</v>
      </c>
      <c r="D1607" s="98">
        <v>3.3001</v>
      </c>
      <c r="E1607" s="98">
        <v>1E-4</v>
      </c>
      <c r="F1607" s="98" t="s">
        <v>6</v>
      </c>
      <c r="G1607" s="98" t="s">
        <v>4</v>
      </c>
      <c r="H1607" s="98">
        <v>500</v>
      </c>
      <c r="I1607" s="98">
        <v>501</v>
      </c>
      <c r="J1607" s="98" t="s">
        <v>10</v>
      </c>
      <c r="K1607" s="98">
        <v>1.1000000000000001</v>
      </c>
      <c r="L1607" s="98">
        <v>5.7939999999999996</v>
      </c>
      <c r="M1607" s="98">
        <v>1.038</v>
      </c>
      <c r="N1607" s="98">
        <v>5.7941000000000003</v>
      </c>
      <c r="O1607" s="99" t="s">
        <v>2668</v>
      </c>
    </row>
    <row r="1608" spans="1:15" x14ac:dyDescent="0.25">
      <c r="A1608" s="98" t="s">
        <v>54</v>
      </c>
      <c r="B1608" s="98" t="s">
        <v>8</v>
      </c>
      <c r="C1608" s="98">
        <v>0.33</v>
      </c>
      <c r="D1608" s="98">
        <v>3.3001</v>
      </c>
      <c r="E1608" s="98">
        <v>1E-4</v>
      </c>
      <c r="F1608" s="98" t="s">
        <v>6</v>
      </c>
      <c r="G1608" s="98" t="s">
        <v>4</v>
      </c>
      <c r="H1608" s="98">
        <v>50</v>
      </c>
      <c r="I1608" s="98">
        <v>100.01</v>
      </c>
      <c r="J1608" s="98" t="s">
        <v>10</v>
      </c>
      <c r="K1608" s="98">
        <v>0.24</v>
      </c>
      <c r="L1608" s="98">
        <v>2.6566000000000001</v>
      </c>
      <c r="M1608" s="98">
        <v>0.23255999999999999</v>
      </c>
      <c r="N1608" s="98">
        <v>2.6566999999999998</v>
      </c>
      <c r="O1608" s="99" t="s">
        <v>2012</v>
      </c>
    </row>
    <row r="1609" spans="1:15" x14ac:dyDescent="0.25">
      <c r="A1609" s="98" t="s">
        <v>54</v>
      </c>
      <c r="B1609" s="98" t="s">
        <v>8</v>
      </c>
      <c r="C1609" s="98">
        <v>0.33</v>
      </c>
      <c r="D1609" s="98">
        <v>3.3001</v>
      </c>
      <c r="E1609" s="98">
        <v>1E-4</v>
      </c>
      <c r="F1609" s="98" t="s">
        <v>6</v>
      </c>
      <c r="G1609" s="98" t="s">
        <v>4</v>
      </c>
      <c r="H1609" s="98">
        <v>4.4999999999999998E-2</v>
      </c>
      <c r="I1609" s="98">
        <v>10.00001</v>
      </c>
      <c r="J1609" s="98" t="s">
        <v>10</v>
      </c>
      <c r="K1609" s="98">
        <v>7.9443E-2</v>
      </c>
      <c r="L1609" s="98">
        <v>0.34499000000000002</v>
      </c>
      <c r="M1609" s="98">
        <v>7.9135999999999998E-2</v>
      </c>
      <c r="N1609" s="98">
        <v>0.34505000000000002</v>
      </c>
      <c r="O1609" s="99" t="s">
        <v>2670</v>
      </c>
    </row>
    <row r="1610" spans="1:15" x14ac:dyDescent="0.25">
      <c r="A1610" s="98" t="s">
        <v>54</v>
      </c>
      <c r="B1610" s="98" t="s">
        <v>8</v>
      </c>
      <c r="C1610" s="98">
        <v>0.33</v>
      </c>
      <c r="D1610" s="98">
        <v>3.3001</v>
      </c>
      <c r="E1610" s="98">
        <v>1E-4</v>
      </c>
      <c r="F1610" s="98" t="s">
        <v>6</v>
      </c>
      <c r="G1610" s="98" t="s">
        <v>4</v>
      </c>
      <c r="H1610" s="98">
        <v>20</v>
      </c>
      <c r="I1610" s="98">
        <v>50.01</v>
      </c>
      <c r="J1610" s="98" t="s">
        <v>10</v>
      </c>
      <c r="K1610" s="98">
        <v>7.3710999999999999E-2</v>
      </c>
      <c r="L1610" s="98">
        <v>1.1548</v>
      </c>
      <c r="M1610" s="98">
        <v>7.3371000000000006E-2</v>
      </c>
      <c r="N1610" s="98">
        <v>1.1549</v>
      </c>
      <c r="O1610" s="99" t="s">
        <v>2009</v>
      </c>
    </row>
    <row r="1611" spans="1:15" x14ac:dyDescent="0.25">
      <c r="A1611" s="98" t="s">
        <v>54</v>
      </c>
      <c r="B1611" s="98" t="s">
        <v>8</v>
      </c>
      <c r="C1611" s="98">
        <v>0.33</v>
      </c>
      <c r="D1611" s="98">
        <v>3.3001</v>
      </c>
      <c r="E1611" s="98">
        <v>1E-4</v>
      </c>
      <c r="F1611" s="98" t="s">
        <v>6</v>
      </c>
      <c r="G1611" s="98" t="s">
        <v>4</v>
      </c>
      <c r="H1611" s="98">
        <v>10</v>
      </c>
      <c r="I1611" s="98">
        <v>20.010000000000002</v>
      </c>
      <c r="J1611" s="98" t="s">
        <v>10</v>
      </c>
      <c r="K1611" s="98">
        <v>7.5008000000000005E-2</v>
      </c>
      <c r="L1611" s="98">
        <v>0.80728999999999995</v>
      </c>
      <c r="M1611" s="98">
        <v>7.4829000000000007E-2</v>
      </c>
      <c r="N1611" s="98">
        <v>0.80732999999999999</v>
      </c>
      <c r="O1611" s="99" t="s">
        <v>2010</v>
      </c>
    </row>
    <row r="1612" spans="1:15" x14ac:dyDescent="0.25">
      <c r="A1612" s="98" t="s">
        <v>54</v>
      </c>
      <c r="B1612" s="98" t="s">
        <v>8</v>
      </c>
      <c r="C1612" s="98">
        <v>0.33</v>
      </c>
      <c r="D1612" s="98">
        <v>3.3001</v>
      </c>
      <c r="E1612" s="98">
        <v>1E-4</v>
      </c>
      <c r="F1612" s="98" t="s">
        <v>6</v>
      </c>
      <c r="G1612" s="98" t="s">
        <v>4</v>
      </c>
      <c r="H1612" s="98">
        <v>100</v>
      </c>
      <c r="I1612" s="98">
        <v>500</v>
      </c>
      <c r="J1612" s="98" t="s">
        <v>10</v>
      </c>
      <c r="K1612" s="98">
        <v>1.1000000000000001</v>
      </c>
      <c r="L1612" s="98">
        <v>5.7939999999999996</v>
      </c>
      <c r="M1612" s="98">
        <v>1.038</v>
      </c>
      <c r="N1612" s="98">
        <v>5.7941000000000003</v>
      </c>
      <c r="O1612" s="99" t="s">
        <v>2669</v>
      </c>
    </row>
    <row r="1613" spans="1:15" x14ac:dyDescent="0.25">
      <c r="A1613" s="98" t="s">
        <v>54</v>
      </c>
      <c r="B1613" s="98" t="s">
        <v>8</v>
      </c>
      <c r="C1613" s="98">
        <v>0.33</v>
      </c>
      <c r="D1613" s="98">
        <v>3.3001</v>
      </c>
      <c r="E1613" s="98">
        <v>1E-4</v>
      </c>
      <c r="F1613" s="98" t="s">
        <v>6</v>
      </c>
      <c r="G1613" s="98" t="s">
        <v>4</v>
      </c>
      <c r="H1613" s="98">
        <v>0.01</v>
      </c>
      <c r="I1613" s="98">
        <v>4.5010000000000001E-2</v>
      </c>
      <c r="J1613" s="98" t="s">
        <v>10</v>
      </c>
      <c r="K1613" s="98">
        <v>0.11</v>
      </c>
      <c r="L1613" s="98">
        <v>0.56032999999999999</v>
      </c>
      <c r="M1613" s="98">
        <v>0.10921</v>
      </c>
      <c r="N1613" s="98">
        <v>0.56037000000000003</v>
      </c>
      <c r="O1613" s="99" t="s">
        <v>2011</v>
      </c>
    </row>
    <row r="1614" spans="1:15" x14ac:dyDescent="0.25">
      <c r="A1614" s="98" t="s">
        <v>54</v>
      </c>
      <c r="B1614" s="98" t="s">
        <v>8</v>
      </c>
      <c r="C1614" s="98">
        <v>0.33</v>
      </c>
      <c r="D1614" s="98">
        <v>3.3001</v>
      </c>
      <c r="E1614" s="98">
        <v>1E-3</v>
      </c>
      <c r="F1614" s="98" t="s">
        <v>6</v>
      </c>
      <c r="G1614" s="98" t="s">
        <v>4</v>
      </c>
      <c r="H1614" s="98">
        <v>50</v>
      </c>
      <c r="I1614" s="98">
        <v>100.01</v>
      </c>
      <c r="J1614" s="98" t="s">
        <v>10</v>
      </c>
      <c r="K1614" s="98">
        <v>0.38846000000000003</v>
      </c>
      <c r="L1614" s="98">
        <v>2.6152000000000002</v>
      </c>
      <c r="M1614" s="98">
        <v>0.38733000000000001</v>
      </c>
      <c r="N1614" s="98">
        <v>2.6154000000000002</v>
      </c>
      <c r="O1614" s="99" t="s">
        <v>2016</v>
      </c>
    </row>
    <row r="1615" spans="1:15" x14ac:dyDescent="0.25">
      <c r="A1615" s="98" t="s">
        <v>54</v>
      </c>
      <c r="B1615" s="98" t="s">
        <v>8</v>
      </c>
      <c r="C1615" s="98">
        <v>0.33</v>
      </c>
      <c r="D1615" s="98">
        <v>3.3001</v>
      </c>
      <c r="E1615" s="98">
        <v>1E-3</v>
      </c>
      <c r="F1615" s="98" t="s">
        <v>6</v>
      </c>
      <c r="G1615" s="98" t="s">
        <v>4</v>
      </c>
      <c r="H1615" s="98">
        <v>0.01</v>
      </c>
      <c r="I1615" s="98">
        <v>4.5010000000000001E-2</v>
      </c>
      <c r="J1615" s="98" t="s">
        <v>10</v>
      </c>
      <c r="K1615" s="98">
        <v>0.48274</v>
      </c>
      <c r="L1615" s="98">
        <v>0.46448</v>
      </c>
      <c r="M1615" s="98">
        <v>0.4824</v>
      </c>
      <c r="N1615" s="98">
        <v>0.46450000000000002</v>
      </c>
      <c r="O1615" s="99" t="s">
        <v>2015</v>
      </c>
    </row>
    <row r="1616" spans="1:15" x14ac:dyDescent="0.25">
      <c r="A1616" s="98" t="s">
        <v>54</v>
      </c>
      <c r="B1616" s="98" t="s">
        <v>8</v>
      </c>
      <c r="C1616" s="98">
        <v>0.33</v>
      </c>
      <c r="D1616" s="98">
        <v>3.3001</v>
      </c>
      <c r="E1616" s="98">
        <v>1E-3</v>
      </c>
      <c r="F1616" s="98" t="s">
        <v>6</v>
      </c>
      <c r="G1616" s="98" t="s">
        <v>4</v>
      </c>
      <c r="H1616" s="98">
        <v>10</v>
      </c>
      <c r="I1616" s="98">
        <v>20.010000000000002</v>
      </c>
      <c r="J1616" s="98" t="s">
        <v>10</v>
      </c>
      <c r="K1616" s="98">
        <v>0.43426999999999999</v>
      </c>
      <c r="L1616" s="98">
        <v>0.71669000000000005</v>
      </c>
      <c r="M1616" s="98">
        <v>0.43391000000000002</v>
      </c>
      <c r="N1616" s="98">
        <v>0.71674000000000004</v>
      </c>
      <c r="O1616" s="99" t="s">
        <v>2018</v>
      </c>
    </row>
    <row r="1617" spans="1:15" x14ac:dyDescent="0.25">
      <c r="A1617" s="98" t="s">
        <v>54</v>
      </c>
      <c r="B1617" s="98" t="s">
        <v>8</v>
      </c>
      <c r="C1617" s="98">
        <v>0.33</v>
      </c>
      <c r="D1617" s="98">
        <v>3.3001</v>
      </c>
      <c r="E1617" s="98">
        <v>1E-3</v>
      </c>
      <c r="F1617" s="98" t="s">
        <v>6</v>
      </c>
      <c r="G1617" s="98" t="s">
        <v>4</v>
      </c>
      <c r="H1617" s="98">
        <v>20</v>
      </c>
      <c r="I1617" s="98">
        <v>50.01</v>
      </c>
      <c r="J1617" s="98" t="s">
        <v>10</v>
      </c>
      <c r="K1617" s="98">
        <v>0.38064999999999999</v>
      </c>
      <c r="L1617" s="98">
        <v>1.0748</v>
      </c>
      <c r="M1617" s="98">
        <v>0.37986999999999999</v>
      </c>
      <c r="N1617" s="98">
        <v>1.0749</v>
      </c>
      <c r="O1617" s="99" t="s">
        <v>2013</v>
      </c>
    </row>
    <row r="1618" spans="1:15" x14ac:dyDescent="0.25">
      <c r="A1618" s="98" t="s">
        <v>54</v>
      </c>
      <c r="B1618" s="98" t="s">
        <v>8</v>
      </c>
      <c r="C1618" s="98">
        <v>0.33</v>
      </c>
      <c r="D1618" s="98">
        <v>3.3001</v>
      </c>
      <c r="E1618" s="98">
        <v>1E-3</v>
      </c>
      <c r="F1618" s="98" t="s">
        <v>6</v>
      </c>
      <c r="G1618" s="98" t="s">
        <v>4</v>
      </c>
      <c r="H1618" s="98">
        <v>500</v>
      </c>
      <c r="I1618" s="98">
        <v>501</v>
      </c>
      <c r="J1618" s="98" t="s">
        <v>10</v>
      </c>
      <c r="K1618" s="98">
        <v>1.1000000000000001</v>
      </c>
      <c r="L1618" s="98">
        <v>5.7778</v>
      </c>
      <c r="M1618" s="98">
        <v>1.0964</v>
      </c>
      <c r="N1618" s="98">
        <v>5.7779999999999996</v>
      </c>
      <c r="O1618" s="99" t="s">
        <v>2671</v>
      </c>
    </row>
    <row r="1619" spans="1:15" x14ac:dyDescent="0.25">
      <c r="A1619" s="98" t="s">
        <v>54</v>
      </c>
      <c r="B1619" s="98" t="s">
        <v>8</v>
      </c>
      <c r="C1619" s="98">
        <v>0.33</v>
      </c>
      <c r="D1619" s="98">
        <v>3.3001</v>
      </c>
      <c r="E1619" s="98">
        <v>1E-3</v>
      </c>
      <c r="F1619" s="98" t="s">
        <v>6</v>
      </c>
      <c r="G1619" s="98" t="s">
        <v>4</v>
      </c>
      <c r="H1619" s="98">
        <v>4.4999999999999998E-2</v>
      </c>
      <c r="I1619" s="98">
        <v>10.00001</v>
      </c>
      <c r="J1619" s="98" t="s">
        <v>10</v>
      </c>
      <c r="K1619" s="98">
        <v>0.52675000000000005</v>
      </c>
      <c r="L1619" s="98">
        <v>0.24887000000000001</v>
      </c>
      <c r="M1619" s="98">
        <v>0.52639999999999998</v>
      </c>
      <c r="N1619" s="98">
        <v>0.24884999999999999</v>
      </c>
      <c r="O1619" s="99" t="s">
        <v>2014</v>
      </c>
    </row>
    <row r="1620" spans="1:15" x14ac:dyDescent="0.25">
      <c r="A1620" s="98" t="s">
        <v>54</v>
      </c>
      <c r="B1620" s="98" t="s">
        <v>8</v>
      </c>
      <c r="C1620" s="98">
        <v>0.33</v>
      </c>
      <c r="D1620" s="98">
        <v>3.3001</v>
      </c>
      <c r="E1620" s="98">
        <v>1E-3</v>
      </c>
      <c r="F1620" s="98" t="s">
        <v>6</v>
      </c>
      <c r="G1620" s="98" t="s">
        <v>4</v>
      </c>
      <c r="H1620" s="98">
        <v>100</v>
      </c>
      <c r="I1620" s="98">
        <v>500</v>
      </c>
      <c r="J1620" s="98" t="s">
        <v>10</v>
      </c>
      <c r="K1620" s="98">
        <v>1.1000000000000001</v>
      </c>
      <c r="L1620" s="98">
        <v>5.7778</v>
      </c>
      <c r="M1620" s="98">
        <v>1.0964</v>
      </c>
      <c r="N1620" s="98">
        <v>5.7779999999999996</v>
      </c>
      <c r="O1620" s="99" t="s">
        <v>2017</v>
      </c>
    </row>
    <row r="1621" spans="1:15" x14ac:dyDescent="0.25">
      <c r="A1621" s="98" t="s">
        <v>54</v>
      </c>
      <c r="B1621" s="98" t="s">
        <v>8</v>
      </c>
      <c r="C1621" s="98">
        <v>0.33</v>
      </c>
      <c r="D1621" s="98">
        <v>3.3001</v>
      </c>
      <c r="E1621" s="98">
        <v>0.01</v>
      </c>
      <c r="F1621" s="98" t="s">
        <v>6</v>
      </c>
      <c r="G1621" s="98" t="s">
        <v>4</v>
      </c>
      <c r="H1621" s="98">
        <v>0.01</v>
      </c>
      <c r="I1621" s="98">
        <v>4.5010000000000001E-2</v>
      </c>
      <c r="J1621" s="98" t="s">
        <v>10</v>
      </c>
      <c r="K1621" s="98">
        <v>5.7718999999999996</v>
      </c>
      <c r="L1621" s="98">
        <v>0.10338</v>
      </c>
      <c r="M1621" s="98">
        <v>5.7717000000000001</v>
      </c>
      <c r="N1621" s="98">
        <v>0.10332</v>
      </c>
      <c r="O1621" s="99" t="s">
        <v>2021</v>
      </c>
    </row>
    <row r="1622" spans="1:15" x14ac:dyDescent="0.25">
      <c r="A1622" s="98" t="s">
        <v>54</v>
      </c>
      <c r="B1622" s="98" t="s">
        <v>8</v>
      </c>
      <c r="C1622" s="98">
        <v>0.33</v>
      </c>
      <c r="D1622" s="98">
        <v>3.3001</v>
      </c>
      <c r="E1622" s="98">
        <v>0.01</v>
      </c>
      <c r="F1622" s="98" t="s">
        <v>6</v>
      </c>
      <c r="G1622" s="98" t="s">
        <v>4</v>
      </c>
      <c r="H1622" s="98">
        <v>4.4999999999999998E-2</v>
      </c>
      <c r="I1622" s="98">
        <v>10.00001</v>
      </c>
      <c r="J1622" s="98" t="s">
        <v>10</v>
      </c>
      <c r="K1622" s="98">
        <v>5.7893999999999997</v>
      </c>
      <c r="L1622" s="98">
        <v>4.1576000000000002E-2</v>
      </c>
      <c r="M1622" s="98">
        <v>5.7892000000000001</v>
      </c>
      <c r="N1622" s="98">
        <v>4.1502999999999998E-2</v>
      </c>
      <c r="O1622" s="99" t="s">
        <v>2022</v>
      </c>
    </row>
    <row r="1623" spans="1:15" x14ac:dyDescent="0.25">
      <c r="A1623" s="98" t="s">
        <v>54</v>
      </c>
      <c r="B1623" s="98" t="s">
        <v>8</v>
      </c>
      <c r="C1623" s="98">
        <v>0.33</v>
      </c>
      <c r="D1623" s="98">
        <v>3.3001</v>
      </c>
      <c r="E1623" s="98">
        <v>0.01</v>
      </c>
      <c r="F1623" s="98" t="s">
        <v>6</v>
      </c>
      <c r="G1623" s="98" t="s">
        <v>4</v>
      </c>
      <c r="H1623" s="98">
        <v>20</v>
      </c>
      <c r="I1623" s="98">
        <v>50.01</v>
      </c>
      <c r="J1623" s="98" t="s">
        <v>10</v>
      </c>
      <c r="K1623" s="98">
        <v>5.6886000000000001</v>
      </c>
      <c r="L1623" s="98">
        <v>0.39166000000000001</v>
      </c>
      <c r="M1623" s="98">
        <v>5.6882999999999999</v>
      </c>
      <c r="N1623" s="98">
        <v>0.39154</v>
      </c>
      <c r="O1623" s="99" t="s">
        <v>2019</v>
      </c>
    </row>
    <row r="1624" spans="1:15" x14ac:dyDescent="0.25">
      <c r="A1624" s="98" t="s">
        <v>54</v>
      </c>
      <c r="B1624" s="98" t="s">
        <v>8</v>
      </c>
      <c r="C1624" s="98">
        <v>0.33</v>
      </c>
      <c r="D1624" s="98">
        <v>3.3001</v>
      </c>
      <c r="E1624" s="98">
        <v>0.01</v>
      </c>
      <c r="F1624" s="98" t="s">
        <v>6</v>
      </c>
      <c r="G1624" s="98" t="s">
        <v>4</v>
      </c>
      <c r="H1624" s="98">
        <v>100</v>
      </c>
      <c r="I1624" s="98">
        <v>500</v>
      </c>
      <c r="J1624" s="98" t="s">
        <v>10</v>
      </c>
      <c r="K1624" s="98">
        <v>4.9001000000000001</v>
      </c>
      <c r="L1624" s="98">
        <v>4.8711000000000002</v>
      </c>
      <c r="M1624" s="98">
        <v>4.8981000000000003</v>
      </c>
      <c r="N1624" s="98">
        <v>4.8712999999999997</v>
      </c>
      <c r="O1624" s="99" t="s">
        <v>2020</v>
      </c>
    </row>
    <row r="1625" spans="1:15" x14ac:dyDescent="0.25">
      <c r="A1625" s="98" t="s">
        <v>54</v>
      </c>
      <c r="B1625" s="98" t="s">
        <v>8</v>
      </c>
      <c r="C1625" s="98">
        <v>0.33</v>
      </c>
      <c r="D1625" s="98">
        <v>3.3001</v>
      </c>
      <c r="E1625" s="98">
        <v>0.01</v>
      </c>
      <c r="F1625" s="98" t="s">
        <v>6</v>
      </c>
      <c r="G1625" s="98" t="s">
        <v>4</v>
      </c>
      <c r="H1625" s="98">
        <v>500</v>
      </c>
      <c r="I1625" s="98">
        <v>501</v>
      </c>
      <c r="J1625" s="98" t="s">
        <v>10</v>
      </c>
      <c r="K1625" s="98">
        <v>4.9001000000000001</v>
      </c>
      <c r="L1625" s="98">
        <v>4.8711000000000002</v>
      </c>
      <c r="M1625" s="98">
        <v>4.8981000000000003</v>
      </c>
      <c r="N1625" s="98">
        <v>4.8712999999999997</v>
      </c>
      <c r="O1625" s="99" t="s">
        <v>2673</v>
      </c>
    </row>
    <row r="1626" spans="1:15" x14ac:dyDescent="0.25">
      <c r="A1626" s="98" t="s">
        <v>54</v>
      </c>
      <c r="B1626" s="98" t="s">
        <v>8</v>
      </c>
      <c r="C1626" s="98">
        <v>0.33</v>
      </c>
      <c r="D1626" s="98">
        <v>3.3001</v>
      </c>
      <c r="E1626" s="98">
        <v>0.01</v>
      </c>
      <c r="F1626" s="98" t="s">
        <v>6</v>
      </c>
      <c r="G1626" s="98" t="s">
        <v>4</v>
      </c>
      <c r="H1626" s="98">
        <v>10</v>
      </c>
      <c r="I1626" s="98">
        <v>20.010000000000002</v>
      </c>
      <c r="J1626" s="98" t="s">
        <v>10</v>
      </c>
      <c r="K1626" s="98">
        <v>5.7427999999999999</v>
      </c>
      <c r="L1626" s="98">
        <v>0.20349999999999999</v>
      </c>
      <c r="M1626" s="98">
        <v>5.7426000000000004</v>
      </c>
      <c r="N1626" s="98">
        <v>0.20344000000000001</v>
      </c>
      <c r="O1626" s="99" t="s">
        <v>2023</v>
      </c>
    </row>
    <row r="1627" spans="1:15" x14ac:dyDescent="0.25">
      <c r="A1627" s="98" t="s">
        <v>54</v>
      </c>
      <c r="B1627" s="98" t="s">
        <v>8</v>
      </c>
      <c r="C1627" s="98">
        <v>0.33</v>
      </c>
      <c r="D1627" s="98">
        <v>3.3001</v>
      </c>
      <c r="E1627" s="98">
        <v>0.01</v>
      </c>
      <c r="F1627" s="98" t="s">
        <v>6</v>
      </c>
      <c r="G1627" s="98" t="s">
        <v>4</v>
      </c>
      <c r="H1627" s="98">
        <v>50</v>
      </c>
      <c r="I1627" s="98">
        <v>100.01</v>
      </c>
      <c r="J1627" s="98" t="s">
        <v>10</v>
      </c>
      <c r="K1627" s="98">
        <v>5.3723000000000001</v>
      </c>
      <c r="L1627" s="98">
        <v>1.6168</v>
      </c>
      <c r="M1627" s="98">
        <v>5.3715000000000002</v>
      </c>
      <c r="N1627" s="98">
        <v>1.6167</v>
      </c>
      <c r="O1627" s="99" t="s">
        <v>2672</v>
      </c>
    </row>
    <row r="1628" spans="1:15" x14ac:dyDescent="0.25">
      <c r="A1628" s="98" t="s">
        <v>54</v>
      </c>
      <c r="B1628" s="98" t="s">
        <v>8</v>
      </c>
      <c r="C1628" s="98">
        <v>0.33</v>
      </c>
      <c r="D1628" s="98">
        <v>3.3001</v>
      </c>
      <c r="E1628" s="98">
        <v>0.1</v>
      </c>
      <c r="F1628" s="98" t="s">
        <v>6</v>
      </c>
      <c r="G1628" s="98" t="s">
        <v>4</v>
      </c>
      <c r="H1628" s="98">
        <v>0.01</v>
      </c>
      <c r="I1628" s="98">
        <v>4.5010000000000001E-2</v>
      </c>
      <c r="J1628" s="98" t="s">
        <v>10</v>
      </c>
      <c r="K1628" s="98">
        <v>57.997</v>
      </c>
      <c r="L1628" s="98">
        <v>1.0643E-2</v>
      </c>
      <c r="M1628" s="98">
        <v>57.997</v>
      </c>
      <c r="N1628" s="98">
        <v>1.0612E-2</v>
      </c>
      <c r="O1628" s="99" t="s">
        <v>2025</v>
      </c>
    </row>
    <row r="1629" spans="1:15" x14ac:dyDescent="0.25">
      <c r="A1629" s="98" t="s">
        <v>54</v>
      </c>
      <c r="B1629" s="98" t="s">
        <v>8</v>
      </c>
      <c r="C1629" s="98">
        <v>0.33</v>
      </c>
      <c r="D1629" s="98">
        <v>3.3001</v>
      </c>
      <c r="E1629" s="98">
        <v>0.1</v>
      </c>
      <c r="F1629" s="98" t="s">
        <v>6</v>
      </c>
      <c r="G1629" s="98" t="s">
        <v>4</v>
      </c>
      <c r="H1629" s="98">
        <v>100</v>
      </c>
      <c r="I1629" s="98">
        <v>500</v>
      </c>
      <c r="J1629" s="98" t="s">
        <v>10</v>
      </c>
      <c r="K1629" s="98">
        <v>57.706000000000003</v>
      </c>
      <c r="L1629" s="98">
        <v>1.1207</v>
      </c>
      <c r="M1629" s="98">
        <v>57.704999999999998</v>
      </c>
      <c r="N1629" s="98">
        <v>1.1204000000000001</v>
      </c>
      <c r="O1629" s="99" t="s">
        <v>2027</v>
      </c>
    </row>
    <row r="1630" spans="1:15" x14ac:dyDescent="0.25">
      <c r="A1630" s="98" t="s">
        <v>54</v>
      </c>
      <c r="B1630" s="98" t="s">
        <v>8</v>
      </c>
      <c r="C1630" s="98">
        <v>0.33</v>
      </c>
      <c r="D1630" s="98">
        <v>3.3001</v>
      </c>
      <c r="E1630" s="98">
        <v>0.1</v>
      </c>
      <c r="F1630" s="98" t="s">
        <v>6</v>
      </c>
      <c r="G1630" s="98" t="s">
        <v>4</v>
      </c>
      <c r="H1630" s="98">
        <v>20</v>
      </c>
      <c r="I1630" s="98">
        <v>50.01</v>
      </c>
      <c r="J1630" s="98" t="s">
        <v>10</v>
      </c>
      <c r="K1630" s="98">
        <v>57.988</v>
      </c>
      <c r="L1630" s="98">
        <v>4.3219E-2</v>
      </c>
      <c r="M1630" s="98">
        <v>57.988</v>
      </c>
      <c r="N1630" s="98">
        <v>4.3147999999999999E-2</v>
      </c>
      <c r="O1630" s="99" t="s">
        <v>2675</v>
      </c>
    </row>
    <row r="1631" spans="1:15" x14ac:dyDescent="0.25">
      <c r="A1631" s="98" t="s">
        <v>54</v>
      </c>
      <c r="B1631" s="98" t="s">
        <v>8</v>
      </c>
      <c r="C1631" s="98">
        <v>0.33</v>
      </c>
      <c r="D1631" s="98">
        <v>3.3001</v>
      </c>
      <c r="E1631" s="98">
        <v>0.1</v>
      </c>
      <c r="F1631" s="98" t="s">
        <v>6</v>
      </c>
      <c r="G1631" s="98" t="s">
        <v>4</v>
      </c>
      <c r="H1631" s="98">
        <v>10</v>
      </c>
      <c r="I1631" s="98">
        <v>20.010000000000002</v>
      </c>
      <c r="J1631" s="98" t="s">
        <v>10</v>
      </c>
      <c r="K1631" s="98">
        <v>57.994</v>
      </c>
      <c r="L1631" s="98">
        <v>2.1455999999999999E-2</v>
      </c>
      <c r="M1631" s="98">
        <v>57.994</v>
      </c>
      <c r="N1631" s="98">
        <v>2.1426000000000001E-2</v>
      </c>
      <c r="O1631" s="99" t="s">
        <v>2028</v>
      </c>
    </row>
    <row r="1632" spans="1:15" x14ac:dyDescent="0.25">
      <c r="A1632" s="98" t="s">
        <v>54</v>
      </c>
      <c r="B1632" s="98" t="s">
        <v>8</v>
      </c>
      <c r="C1632" s="98">
        <v>0.33</v>
      </c>
      <c r="D1632" s="98">
        <v>3.3001</v>
      </c>
      <c r="E1632" s="98">
        <v>0.1</v>
      </c>
      <c r="F1632" s="98" t="s">
        <v>6</v>
      </c>
      <c r="G1632" s="98" t="s">
        <v>4</v>
      </c>
      <c r="H1632" s="98">
        <v>500</v>
      </c>
      <c r="I1632" s="98">
        <v>501</v>
      </c>
      <c r="J1632" s="98" t="s">
        <v>10</v>
      </c>
      <c r="K1632" s="98">
        <v>57.706000000000003</v>
      </c>
      <c r="L1632" s="98">
        <v>1.1207</v>
      </c>
      <c r="M1632" s="98">
        <v>57.704999999999998</v>
      </c>
      <c r="N1632" s="98">
        <v>1.1204000000000001</v>
      </c>
      <c r="O1632" s="99" t="s">
        <v>2024</v>
      </c>
    </row>
    <row r="1633" spans="1:15" x14ac:dyDescent="0.25">
      <c r="A1633" s="98" t="s">
        <v>54</v>
      </c>
      <c r="B1633" s="98" t="s">
        <v>8</v>
      </c>
      <c r="C1633" s="98">
        <v>0.33</v>
      </c>
      <c r="D1633" s="98">
        <v>3.3001</v>
      </c>
      <c r="E1633" s="98">
        <v>0.1</v>
      </c>
      <c r="F1633" s="98" t="s">
        <v>6</v>
      </c>
      <c r="G1633" s="98" t="s">
        <v>4</v>
      </c>
      <c r="H1633" s="98">
        <v>4.4999999999999998E-2</v>
      </c>
      <c r="I1633" s="98">
        <v>10.00001</v>
      </c>
      <c r="J1633" s="98" t="s">
        <v>10</v>
      </c>
      <c r="K1633" s="98">
        <v>57.999000000000002</v>
      </c>
      <c r="L1633" s="98">
        <v>4.2262999999999997E-3</v>
      </c>
      <c r="M1633" s="98">
        <v>57.999000000000002</v>
      </c>
      <c r="N1633" s="98">
        <v>4.1960000000000001E-3</v>
      </c>
      <c r="O1633" s="99" t="s">
        <v>2674</v>
      </c>
    </row>
    <row r="1634" spans="1:15" x14ac:dyDescent="0.25">
      <c r="A1634" s="98" t="s">
        <v>54</v>
      </c>
      <c r="B1634" s="98" t="s">
        <v>8</v>
      </c>
      <c r="C1634" s="98">
        <v>0.33</v>
      </c>
      <c r="D1634" s="98">
        <v>3.3001</v>
      </c>
      <c r="E1634" s="98">
        <v>0.1</v>
      </c>
      <c r="F1634" s="98" t="s">
        <v>6</v>
      </c>
      <c r="G1634" s="98" t="s">
        <v>4</v>
      </c>
      <c r="H1634" s="98">
        <v>50</v>
      </c>
      <c r="I1634" s="98">
        <v>100.01</v>
      </c>
      <c r="J1634" s="98" t="s">
        <v>10</v>
      </c>
      <c r="K1634" s="98">
        <v>57.935000000000002</v>
      </c>
      <c r="L1634" s="98">
        <v>0.23028999999999999</v>
      </c>
      <c r="M1634" s="98">
        <v>57.935000000000002</v>
      </c>
      <c r="N1634" s="98">
        <v>0.23011999999999999</v>
      </c>
      <c r="O1634" s="99" t="s">
        <v>2026</v>
      </c>
    </row>
    <row r="1635" spans="1:15" x14ac:dyDescent="0.25">
      <c r="A1635" s="98" t="s">
        <v>54</v>
      </c>
      <c r="B1635" s="98" t="s">
        <v>8</v>
      </c>
      <c r="C1635" s="98">
        <v>3.3</v>
      </c>
      <c r="D1635" s="98">
        <v>33.000999999999998</v>
      </c>
      <c r="E1635" s="98">
        <v>1E-4</v>
      </c>
      <c r="F1635" s="98" t="s">
        <v>6</v>
      </c>
      <c r="G1635" s="98" t="s">
        <v>4</v>
      </c>
      <c r="H1635" s="98">
        <v>4.4999999999999998E-2</v>
      </c>
      <c r="I1635" s="98">
        <v>10.00001</v>
      </c>
      <c r="J1635" s="98" t="s">
        <v>10</v>
      </c>
      <c r="K1635" s="98">
        <v>0.7</v>
      </c>
      <c r="L1635" s="98">
        <v>0.35</v>
      </c>
      <c r="M1635" s="98">
        <v>0.69218000000000002</v>
      </c>
      <c r="N1635" s="98">
        <v>0.34794999999999998</v>
      </c>
      <c r="O1635" s="99" t="s">
        <v>2032</v>
      </c>
    </row>
    <row r="1636" spans="1:15" x14ac:dyDescent="0.25">
      <c r="A1636" s="98" t="s">
        <v>54</v>
      </c>
      <c r="B1636" s="98" t="s">
        <v>8</v>
      </c>
      <c r="C1636" s="98">
        <v>3.3</v>
      </c>
      <c r="D1636" s="98">
        <v>33.000999999999998</v>
      </c>
      <c r="E1636" s="98">
        <v>1E-4</v>
      </c>
      <c r="F1636" s="98" t="s">
        <v>6</v>
      </c>
      <c r="G1636" s="98" t="s">
        <v>4</v>
      </c>
      <c r="H1636" s="98">
        <v>100</v>
      </c>
      <c r="I1636" s="98">
        <v>500</v>
      </c>
      <c r="J1636" s="98" t="s">
        <v>10</v>
      </c>
      <c r="K1636" s="98">
        <v>13</v>
      </c>
      <c r="L1636" s="98">
        <v>4.5999999999999996</v>
      </c>
      <c r="M1636" s="98">
        <v>2.3363999999999998</v>
      </c>
      <c r="N1636" s="98">
        <v>2.6995</v>
      </c>
      <c r="O1636" s="99" t="s">
        <v>2031</v>
      </c>
    </row>
    <row r="1637" spans="1:15" x14ac:dyDescent="0.25">
      <c r="A1637" s="98" t="s">
        <v>54</v>
      </c>
      <c r="B1637" s="98" t="s">
        <v>8</v>
      </c>
      <c r="C1637" s="98">
        <v>3.3</v>
      </c>
      <c r="D1637" s="98">
        <v>33.000999999999998</v>
      </c>
      <c r="E1637" s="98">
        <v>1E-4</v>
      </c>
      <c r="F1637" s="98" t="s">
        <v>6</v>
      </c>
      <c r="G1637" s="98" t="s">
        <v>4</v>
      </c>
      <c r="H1637" s="98">
        <v>500</v>
      </c>
      <c r="I1637" s="98">
        <v>501</v>
      </c>
      <c r="J1637" s="98" t="s">
        <v>10</v>
      </c>
      <c r="K1637" s="98">
        <v>13</v>
      </c>
      <c r="L1637" s="98">
        <v>4.5999999999999996</v>
      </c>
      <c r="M1637" s="98">
        <v>2.3363999999999998</v>
      </c>
      <c r="N1637" s="98">
        <v>2.6995</v>
      </c>
      <c r="O1637" s="99" t="s">
        <v>2677</v>
      </c>
    </row>
    <row r="1638" spans="1:15" x14ac:dyDescent="0.25">
      <c r="A1638" s="98" t="s">
        <v>54</v>
      </c>
      <c r="B1638" s="98" t="s">
        <v>8</v>
      </c>
      <c r="C1638" s="98">
        <v>3.3</v>
      </c>
      <c r="D1638" s="98">
        <v>33.000999999999998</v>
      </c>
      <c r="E1638" s="98">
        <v>1E-4</v>
      </c>
      <c r="F1638" s="98" t="s">
        <v>6</v>
      </c>
      <c r="G1638" s="98" t="s">
        <v>4</v>
      </c>
      <c r="H1638" s="98">
        <v>20</v>
      </c>
      <c r="I1638" s="98">
        <v>50.01</v>
      </c>
      <c r="J1638" s="98" t="s">
        <v>10</v>
      </c>
      <c r="K1638" s="98">
        <v>0.7</v>
      </c>
      <c r="L1638" s="98">
        <v>1.2</v>
      </c>
      <c r="M1638" s="98">
        <v>0.69121999999999995</v>
      </c>
      <c r="N1638" s="98">
        <v>1.1565000000000001</v>
      </c>
      <c r="O1638" s="99" t="s">
        <v>2030</v>
      </c>
    </row>
    <row r="1639" spans="1:15" x14ac:dyDescent="0.25">
      <c r="A1639" s="98" t="s">
        <v>54</v>
      </c>
      <c r="B1639" s="98" t="s">
        <v>8</v>
      </c>
      <c r="C1639" s="98">
        <v>3.3</v>
      </c>
      <c r="D1639" s="98">
        <v>33.000999999999998</v>
      </c>
      <c r="E1639" s="98">
        <v>1E-4</v>
      </c>
      <c r="F1639" s="98" t="s">
        <v>6</v>
      </c>
      <c r="G1639" s="98" t="s">
        <v>4</v>
      </c>
      <c r="H1639" s="98">
        <v>0.01</v>
      </c>
      <c r="I1639" s="98">
        <v>4.5010000000000001E-2</v>
      </c>
      <c r="J1639" s="98" t="s">
        <v>10</v>
      </c>
      <c r="K1639" s="98">
        <v>0.93</v>
      </c>
      <c r="L1639" s="98">
        <v>0.57999999999999996</v>
      </c>
      <c r="M1639" s="98">
        <v>0.92291999999999996</v>
      </c>
      <c r="N1639" s="98">
        <v>0.57830000000000004</v>
      </c>
      <c r="O1639" s="99" t="s">
        <v>2678</v>
      </c>
    </row>
    <row r="1640" spans="1:15" x14ac:dyDescent="0.25">
      <c r="A1640" s="98" t="s">
        <v>54</v>
      </c>
      <c r="B1640" s="98" t="s">
        <v>8</v>
      </c>
      <c r="C1640" s="98">
        <v>3.3</v>
      </c>
      <c r="D1640" s="98">
        <v>33.000999999999998</v>
      </c>
      <c r="E1640" s="98">
        <v>1E-4</v>
      </c>
      <c r="F1640" s="98" t="s">
        <v>6</v>
      </c>
      <c r="G1640" s="98" t="s">
        <v>4</v>
      </c>
      <c r="H1640" s="98">
        <v>50</v>
      </c>
      <c r="I1640" s="98">
        <v>100.01</v>
      </c>
      <c r="J1640" s="98" t="s">
        <v>10</v>
      </c>
      <c r="K1640" s="98">
        <v>2.2999999999999998</v>
      </c>
      <c r="L1640" s="98">
        <v>2.7</v>
      </c>
      <c r="M1640" s="98">
        <v>2.3079000000000001</v>
      </c>
      <c r="N1640" s="98">
        <v>2.6577000000000002</v>
      </c>
      <c r="O1640" s="99" t="s">
        <v>2029</v>
      </c>
    </row>
    <row r="1641" spans="1:15" x14ac:dyDescent="0.25">
      <c r="A1641" s="98" t="s">
        <v>54</v>
      </c>
      <c r="B1641" s="98" t="s">
        <v>8</v>
      </c>
      <c r="C1641" s="98">
        <v>3.3</v>
      </c>
      <c r="D1641" s="98">
        <v>33.000999999999998</v>
      </c>
      <c r="E1641" s="98">
        <v>1E-4</v>
      </c>
      <c r="F1641" s="98" t="s">
        <v>6</v>
      </c>
      <c r="G1641" s="98" t="s">
        <v>4</v>
      </c>
      <c r="H1641" s="98">
        <v>10</v>
      </c>
      <c r="I1641" s="98">
        <v>20.010000000000002</v>
      </c>
      <c r="J1641" s="98" t="s">
        <v>10</v>
      </c>
      <c r="K1641" s="98">
        <v>0.7</v>
      </c>
      <c r="L1641" s="98">
        <v>0.81</v>
      </c>
      <c r="M1641" s="98">
        <v>0.69303999999999999</v>
      </c>
      <c r="N1641" s="98">
        <v>0.80896000000000001</v>
      </c>
      <c r="O1641" s="99" t="s">
        <v>2676</v>
      </c>
    </row>
    <row r="1642" spans="1:15" x14ac:dyDescent="0.25">
      <c r="A1642" s="98" t="s">
        <v>54</v>
      </c>
      <c r="B1642" s="98" t="s">
        <v>8</v>
      </c>
      <c r="C1642" s="98">
        <v>3.3</v>
      </c>
      <c r="D1642" s="98">
        <v>33.000999999999998</v>
      </c>
      <c r="E1642" s="98">
        <v>1E-3</v>
      </c>
      <c r="F1642" s="98" t="s">
        <v>6</v>
      </c>
      <c r="G1642" s="98" t="s">
        <v>4</v>
      </c>
      <c r="H1642" s="98">
        <v>50</v>
      </c>
      <c r="I1642" s="98">
        <v>100.01</v>
      </c>
      <c r="J1642" s="98" t="s">
        <v>10</v>
      </c>
      <c r="K1642" s="98">
        <v>2.3264999999999998</v>
      </c>
      <c r="L1642" s="98">
        <v>2.6572</v>
      </c>
      <c r="M1642" s="98">
        <v>2.3233999999999999</v>
      </c>
      <c r="N1642" s="98">
        <v>2.6573000000000002</v>
      </c>
      <c r="O1642" s="99" t="s">
        <v>2037</v>
      </c>
    </row>
    <row r="1643" spans="1:15" x14ac:dyDescent="0.25">
      <c r="A1643" s="98" t="s">
        <v>54</v>
      </c>
      <c r="B1643" s="98" t="s">
        <v>8</v>
      </c>
      <c r="C1643" s="98">
        <v>3.3</v>
      </c>
      <c r="D1643" s="98">
        <v>33.000999999999998</v>
      </c>
      <c r="E1643" s="98">
        <v>1E-3</v>
      </c>
      <c r="F1643" s="98" t="s">
        <v>6</v>
      </c>
      <c r="G1643" s="98" t="s">
        <v>4</v>
      </c>
      <c r="H1643" s="98">
        <v>500</v>
      </c>
      <c r="I1643" s="98">
        <v>501</v>
      </c>
      <c r="J1643" s="98" t="s">
        <v>10</v>
      </c>
      <c r="K1643" s="98">
        <v>13</v>
      </c>
      <c r="L1643" s="98">
        <v>4.5999999999999996</v>
      </c>
      <c r="M1643" s="98">
        <v>2.3500999999999999</v>
      </c>
      <c r="N1643" s="98">
        <v>2.6989999999999998</v>
      </c>
      <c r="O1643" s="99" t="s">
        <v>2034</v>
      </c>
    </row>
    <row r="1644" spans="1:15" x14ac:dyDescent="0.25">
      <c r="A1644" s="98" t="s">
        <v>54</v>
      </c>
      <c r="B1644" s="98" t="s">
        <v>8</v>
      </c>
      <c r="C1644" s="98">
        <v>3.3</v>
      </c>
      <c r="D1644" s="98">
        <v>33.000999999999998</v>
      </c>
      <c r="E1644" s="98">
        <v>1E-3</v>
      </c>
      <c r="F1644" s="98" t="s">
        <v>6</v>
      </c>
      <c r="G1644" s="98" t="s">
        <v>4</v>
      </c>
      <c r="H1644" s="98">
        <v>0.01</v>
      </c>
      <c r="I1644" s="98">
        <v>4.5010000000000001E-2</v>
      </c>
      <c r="J1644" s="98" t="s">
        <v>10</v>
      </c>
      <c r="K1644" s="98">
        <v>0.98726000000000003</v>
      </c>
      <c r="L1644" s="98">
        <v>0.57660999999999996</v>
      </c>
      <c r="M1644" s="98">
        <v>0.98668</v>
      </c>
      <c r="N1644" s="98">
        <v>0.57662000000000002</v>
      </c>
      <c r="O1644" s="99" t="s">
        <v>2038</v>
      </c>
    </row>
    <row r="1645" spans="1:15" x14ac:dyDescent="0.25">
      <c r="A1645" s="98" t="s">
        <v>54</v>
      </c>
      <c r="B1645" s="98" t="s">
        <v>8</v>
      </c>
      <c r="C1645" s="98">
        <v>3.3</v>
      </c>
      <c r="D1645" s="98">
        <v>33.000999999999998</v>
      </c>
      <c r="E1645" s="98">
        <v>1E-3</v>
      </c>
      <c r="F1645" s="98" t="s">
        <v>6</v>
      </c>
      <c r="G1645" s="98" t="s">
        <v>4</v>
      </c>
      <c r="H1645" s="98">
        <v>20</v>
      </c>
      <c r="I1645" s="98">
        <v>50.01</v>
      </c>
      <c r="J1645" s="98" t="s">
        <v>10</v>
      </c>
      <c r="K1645" s="98">
        <v>0.73465999999999998</v>
      </c>
      <c r="L1645" s="98">
        <v>1.1553</v>
      </c>
      <c r="M1645" s="98">
        <v>0.73165000000000002</v>
      </c>
      <c r="N1645" s="98">
        <v>1.1554</v>
      </c>
      <c r="O1645" s="99" t="s">
        <v>2035</v>
      </c>
    </row>
    <row r="1646" spans="1:15" x14ac:dyDescent="0.25">
      <c r="A1646" s="98" t="s">
        <v>54</v>
      </c>
      <c r="B1646" s="98" t="s">
        <v>8</v>
      </c>
      <c r="C1646" s="98">
        <v>3.3</v>
      </c>
      <c r="D1646" s="98">
        <v>33.000999999999998</v>
      </c>
      <c r="E1646" s="98">
        <v>1E-3</v>
      </c>
      <c r="F1646" s="98" t="s">
        <v>6</v>
      </c>
      <c r="G1646" s="98" t="s">
        <v>4</v>
      </c>
      <c r="H1646" s="98">
        <v>4.4999999999999998E-2</v>
      </c>
      <c r="I1646" s="98">
        <v>10.00001</v>
      </c>
      <c r="J1646" s="98" t="s">
        <v>10</v>
      </c>
      <c r="K1646" s="98">
        <v>0.78956999999999999</v>
      </c>
      <c r="L1646" s="98">
        <v>0.34543000000000001</v>
      </c>
      <c r="M1646" s="98">
        <v>0.78891</v>
      </c>
      <c r="N1646" s="98">
        <v>0.34543000000000001</v>
      </c>
      <c r="O1646" s="99" t="s">
        <v>2036</v>
      </c>
    </row>
    <row r="1647" spans="1:15" x14ac:dyDescent="0.25">
      <c r="A1647" s="98" t="s">
        <v>54</v>
      </c>
      <c r="B1647" s="98" t="s">
        <v>8</v>
      </c>
      <c r="C1647" s="98">
        <v>3.3</v>
      </c>
      <c r="D1647" s="98">
        <v>33.000999999999998</v>
      </c>
      <c r="E1647" s="98">
        <v>1E-3</v>
      </c>
      <c r="F1647" s="98" t="s">
        <v>6</v>
      </c>
      <c r="G1647" s="98" t="s">
        <v>4</v>
      </c>
      <c r="H1647" s="98">
        <v>100</v>
      </c>
      <c r="I1647" s="98">
        <v>500</v>
      </c>
      <c r="J1647" s="98" t="s">
        <v>10</v>
      </c>
      <c r="K1647" s="98">
        <v>13</v>
      </c>
      <c r="L1647" s="98">
        <v>4.5999999999999996</v>
      </c>
      <c r="M1647" s="98">
        <v>2.3500999999999999</v>
      </c>
      <c r="N1647" s="98">
        <v>2.6989999999999998</v>
      </c>
      <c r="O1647" s="99" t="s">
        <v>2033</v>
      </c>
    </row>
    <row r="1648" spans="1:15" x14ac:dyDescent="0.25">
      <c r="A1648" s="98" t="s">
        <v>54</v>
      </c>
      <c r="B1648" s="98" t="s">
        <v>8</v>
      </c>
      <c r="C1648" s="98">
        <v>3.3</v>
      </c>
      <c r="D1648" s="98">
        <v>33.000999999999998</v>
      </c>
      <c r="E1648" s="98">
        <v>1E-3</v>
      </c>
      <c r="F1648" s="98" t="s">
        <v>6</v>
      </c>
      <c r="G1648" s="98" t="s">
        <v>4</v>
      </c>
      <c r="H1648" s="98">
        <v>10</v>
      </c>
      <c r="I1648" s="98">
        <v>20.010000000000002</v>
      </c>
      <c r="J1648" s="98" t="s">
        <v>10</v>
      </c>
      <c r="K1648" s="98">
        <v>0.74743999999999999</v>
      </c>
      <c r="L1648" s="98">
        <v>0.8075</v>
      </c>
      <c r="M1648" s="98">
        <v>0.74699000000000004</v>
      </c>
      <c r="N1648" s="98">
        <v>0.80750999999999995</v>
      </c>
      <c r="O1648" s="99" t="s">
        <v>2679</v>
      </c>
    </row>
    <row r="1649" spans="1:15" x14ac:dyDescent="0.25">
      <c r="A1649" s="98" t="s">
        <v>54</v>
      </c>
      <c r="B1649" s="98" t="s">
        <v>8</v>
      </c>
      <c r="C1649" s="98">
        <v>3.3</v>
      </c>
      <c r="D1649" s="98">
        <v>33.000999999999998</v>
      </c>
      <c r="E1649" s="98">
        <v>0.01</v>
      </c>
      <c r="F1649" s="98" t="s">
        <v>6</v>
      </c>
      <c r="G1649" s="98" t="s">
        <v>4</v>
      </c>
      <c r="H1649" s="98">
        <v>50</v>
      </c>
      <c r="I1649" s="98">
        <v>100.01</v>
      </c>
      <c r="J1649" s="98" t="s">
        <v>10</v>
      </c>
      <c r="K1649" s="98">
        <v>3.8797000000000001</v>
      </c>
      <c r="L1649" s="98">
        <v>2.6158000000000001</v>
      </c>
      <c r="M1649" s="98">
        <v>3.8711000000000002</v>
      </c>
      <c r="N1649" s="98">
        <v>2.6160000000000001</v>
      </c>
      <c r="O1649" s="99" t="s">
        <v>2041</v>
      </c>
    </row>
    <row r="1650" spans="1:15" x14ac:dyDescent="0.25">
      <c r="A1650" s="98" t="s">
        <v>54</v>
      </c>
      <c r="B1650" s="98" t="s">
        <v>8</v>
      </c>
      <c r="C1650" s="98">
        <v>3.3</v>
      </c>
      <c r="D1650" s="98">
        <v>33.000999999999998</v>
      </c>
      <c r="E1650" s="98">
        <v>0.01</v>
      </c>
      <c r="F1650" s="98" t="s">
        <v>6</v>
      </c>
      <c r="G1650" s="98" t="s">
        <v>4</v>
      </c>
      <c r="H1650" s="98">
        <v>500</v>
      </c>
      <c r="I1650" s="98">
        <v>501</v>
      </c>
      <c r="J1650" s="98" t="s">
        <v>10</v>
      </c>
      <c r="K1650" s="98">
        <v>13</v>
      </c>
      <c r="L1650" s="98">
        <v>4.5999999999999996</v>
      </c>
      <c r="M1650" s="98">
        <v>3.831</v>
      </c>
      <c r="N1650" s="98">
        <v>2.6581000000000001</v>
      </c>
      <c r="O1650" s="99" t="s">
        <v>2039</v>
      </c>
    </row>
    <row r="1651" spans="1:15" x14ac:dyDescent="0.25">
      <c r="A1651" s="98" t="s">
        <v>54</v>
      </c>
      <c r="B1651" s="98" t="s">
        <v>8</v>
      </c>
      <c r="C1651" s="98">
        <v>3.3</v>
      </c>
      <c r="D1651" s="98">
        <v>33.000999999999998</v>
      </c>
      <c r="E1651" s="98">
        <v>0.01</v>
      </c>
      <c r="F1651" s="98" t="s">
        <v>6</v>
      </c>
      <c r="G1651" s="98" t="s">
        <v>4</v>
      </c>
      <c r="H1651" s="98">
        <v>4.4999999999999998E-2</v>
      </c>
      <c r="I1651" s="98">
        <v>10.00001</v>
      </c>
      <c r="J1651" s="98" t="s">
        <v>10</v>
      </c>
      <c r="K1651" s="98">
        <v>5.2633000000000001</v>
      </c>
      <c r="L1651" s="98">
        <v>0.24920999999999999</v>
      </c>
      <c r="M1651" s="98">
        <v>5.2624000000000004</v>
      </c>
      <c r="N1651" s="98">
        <v>0.24918000000000001</v>
      </c>
      <c r="O1651" s="99" t="s">
        <v>2040</v>
      </c>
    </row>
    <row r="1652" spans="1:15" x14ac:dyDescent="0.25">
      <c r="A1652" s="98" t="s">
        <v>54</v>
      </c>
      <c r="B1652" s="98" t="s">
        <v>8</v>
      </c>
      <c r="C1652" s="98">
        <v>3.3</v>
      </c>
      <c r="D1652" s="98">
        <v>33.000999999999998</v>
      </c>
      <c r="E1652" s="98">
        <v>0.01</v>
      </c>
      <c r="F1652" s="98" t="s">
        <v>6</v>
      </c>
      <c r="G1652" s="98" t="s">
        <v>4</v>
      </c>
      <c r="H1652" s="98">
        <v>0.01</v>
      </c>
      <c r="I1652" s="98">
        <v>4.5010000000000001E-2</v>
      </c>
      <c r="J1652" s="98" t="s">
        <v>10</v>
      </c>
      <c r="K1652" s="98">
        <v>4.8574000000000002</v>
      </c>
      <c r="L1652" s="98">
        <v>0.48407</v>
      </c>
      <c r="M1652" s="98">
        <v>4.8564999999999996</v>
      </c>
      <c r="N1652" s="98">
        <v>0.48405999999999999</v>
      </c>
      <c r="O1652" s="99" t="s">
        <v>2043</v>
      </c>
    </row>
    <row r="1653" spans="1:15" x14ac:dyDescent="0.25">
      <c r="A1653" s="98" t="s">
        <v>54</v>
      </c>
      <c r="B1653" s="98" t="s">
        <v>8</v>
      </c>
      <c r="C1653" s="98">
        <v>3.3</v>
      </c>
      <c r="D1653" s="98">
        <v>33.000999999999998</v>
      </c>
      <c r="E1653" s="98">
        <v>0.01</v>
      </c>
      <c r="F1653" s="98" t="s">
        <v>6</v>
      </c>
      <c r="G1653" s="98" t="s">
        <v>4</v>
      </c>
      <c r="H1653" s="98">
        <v>100</v>
      </c>
      <c r="I1653" s="98">
        <v>500</v>
      </c>
      <c r="J1653" s="98" t="s">
        <v>10</v>
      </c>
      <c r="K1653" s="98">
        <v>13</v>
      </c>
      <c r="L1653" s="98">
        <v>4.5999999999999996</v>
      </c>
      <c r="M1653" s="98">
        <v>3.831</v>
      </c>
      <c r="N1653" s="98">
        <v>2.6581000000000001</v>
      </c>
      <c r="O1653" s="99" t="s">
        <v>2042</v>
      </c>
    </row>
    <row r="1654" spans="1:15" x14ac:dyDescent="0.25">
      <c r="A1654" s="98" t="s">
        <v>54</v>
      </c>
      <c r="B1654" s="98" t="s">
        <v>8</v>
      </c>
      <c r="C1654" s="98">
        <v>3.3</v>
      </c>
      <c r="D1654" s="98">
        <v>33.000999999999998</v>
      </c>
      <c r="E1654" s="98">
        <v>0.01</v>
      </c>
      <c r="F1654" s="98" t="s">
        <v>6</v>
      </c>
      <c r="G1654" s="98" t="s">
        <v>4</v>
      </c>
      <c r="H1654" s="98">
        <v>20</v>
      </c>
      <c r="I1654" s="98">
        <v>50.01</v>
      </c>
      <c r="J1654" s="98" t="s">
        <v>10</v>
      </c>
      <c r="K1654" s="98">
        <v>3.8001999999999998</v>
      </c>
      <c r="L1654" s="98">
        <v>1.0753999999999999</v>
      </c>
      <c r="M1654" s="98">
        <v>3.7970999999999999</v>
      </c>
      <c r="N1654" s="98">
        <v>1.0753999999999999</v>
      </c>
      <c r="O1654" s="99" t="s">
        <v>2681</v>
      </c>
    </row>
    <row r="1655" spans="1:15" x14ac:dyDescent="0.25">
      <c r="A1655" s="98" t="s">
        <v>54</v>
      </c>
      <c r="B1655" s="98" t="s">
        <v>8</v>
      </c>
      <c r="C1655" s="98">
        <v>3.3</v>
      </c>
      <c r="D1655" s="98">
        <v>33.000999999999998</v>
      </c>
      <c r="E1655" s="98">
        <v>0.01</v>
      </c>
      <c r="F1655" s="98" t="s">
        <v>6</v>
      </c>
      <c r="G1655" s="98" t="s">
        <v>4</v>
      </c>
      <c r="H1655" s="98">
        <v>10</v>
      </c>
      <c r="I1655" s="98">
        <v>20.010000000000002</v>
      </c>
      <c r="J1655" s="98" t="s">
        <v>10</v>
      </c>
      <c r="K1655" s="98">
        <v>4.3391999999999999</v>
      </c>
      <c r="L1655" s="98">
        <v>0.71689999999999998</v>
      </c>
      <c r="M1655" s="98">
        <v>4.3383000000000003</v>
      </c>
      <c r="N1655" s="98">
        <v>0.71689999999999998</v>
      </c>
      <c r="O1655" s="99" t="s">
        <v>2680</v>
      </c>
    </row>
    <row r="1656" spans="1:15" x14ac:dyDescent="0.25">
      <c r="A1656" s="98" t="s">
        <v>54</v>
      </c>
      <c r="B1656" s="98" t="s">
        <v>8</v>
      </c>
      <c r="C1656" s="98">
        <v>3.3</v>
      </c>
      <c r="D1656" s="98">
        <v>33.000999999999998</v>
      </c>
      <c r="E1656" s="98">
        <v>0.1</v>
      </c>
      <c r="F1656" s="98" t="s">
        <v>6</v>
      </c>
      <c r="G1656" s="98" t="s">
        <v>4</v>
      </c>
      <c r="H1656" s="98">
        <v>500</v>
      </c>
      <c r="I1656" s="98">
        <v>501</v>
      </c>
      <c r="J1656" s="98" t="s">
        <v>10</v>
      </c>
      <c r="K1656" s="98">
        <v>47.329000000000001</v>
      </c>
      <c r="L1656" s="98">
        <v>3.5596999999999999</v>
      </c>
      <c r="M1656" s="98">
        <v>53.607999999999997</v>
      </c>
      <c r="N1656" s="98">
        <v>1.6549</v>
      </c>
      <c r="O1656" s="99" t="s">
        <v>2682</v>
      </c>
    </row>
    <row r="1657" spans="1:15" x14ac:dyDescent="0.25">
      <c r="A1657" s="98" t="s">
        <v>54</v>
      </c>
      <c r="B1657" s="98" t="s">
        <v>8</v>
      </c>
      <c r="C1657" s="98">
        <v>3.3</v>
      </c>
      <c r="D1657" s="98">
        <v>33.000999999999998</v>
      </c>
      <c r="E1657" s="98">
        <v>0.1</v>
      </c>
      <c r="F1657" s="98" t="s">
        <v>6</v>
      </c>
      <c r="G1657" s="98" t="s">
        <v>4</v>
      </c>
      <c r="H1657" s="98">
        <v>50</v>
      </c>
      <c r="I1657" s="98">
        <v>100.01</v>
      </c>
      <c r="J1657" s="98" t="s">
        <v>10</v>
      </c>
      <c r="K1657" s="98">
        <v>53.719000000000001</v>
      </c>
      <c r="L1657" s="98">
        <v>1.6172</v>
      </c>
      <c r="M1657" s="98">
        <v>53.713000000000001</v>
      </c>
      <c r="N1657" s="98">
        <v>1.6172</v>
      </c>
      <c r="O1657" s="99" t="s">
        <v>2044</v>
      </c>
    </row>
    <row r="1658" spans="1:15" x14ac:dyDescent="0.25">
      <c r="A1658" s="98" t="s">
        <v>54</v>
      </c>
      <c r="B1658" s="98" t="s">
        <v>8</v>
      </c>
      <c r="C1658" s="98">
        <v>3.3</v>
      </c>
      <c r="D1658" s="98">
        <v>33.000999999999998</v>
      </c>
      <c r="E1658" s="98">
        <v>0.1</v>
      </c>
      <c r="F1658" s="98" t="s">
        <v>6</v>
      </c>
      <c r="G1658" s="98" t="s">
        <v>4</v>
      </c>
      <c r="H1658" s="98">
        <v>20</v>
      </c>
      <c r="I1658" s="98">
        <v>50.01</v>
      </c>
      <c r="J1658" s="98" t="s">
        <v>10</v>
      </c>
      <c r="K1658" s="98">
        <v>56.883000000000003</v>
      </c>
      <c r="L1658" s="98">
        <v>0.39190000000000003</v>
      </c>
      <c r="M1658" s="98">
        <v>56.881999999999998</v>
      </c>
      <c r="N1658" s="98">
        <v>0.39182</v>
      </c>
      <c r="O1658" s="99" t="s">
        <v>2046</v>
      </c>
    </row>
    <row r="1659" spans="1:15" x14ac:dyDescent="0.25">
      <c r="A1659" s="98" t="s">
        <v>54</v>
      </c>
      <c r="B1659" s="98" t="s">
        <v>8</v>
      </c>
      <c r="C1659" s="98">
        <v>3.3</v>
      </c>
      <c r="D1659" s="98">
        <v>33.000999999999998</v>
      </c>
      <c r="E1659" s="98">
        <v>0.1</v>
      </c>
      <c r="F1659" s="98" t="s">
        <v>6</v>
      </c>
      <c r="G1659" s="98" t="s">
        <v>4</v>
      </c>
      <c r="H1659" s="98">
        <v>100</v>
      </c>
      <c r="I1659" s="98">
        <v>500</v>
      </c>
      <c r="J1659" s="98" t="s">
        <v>10</v>
      </c>
      <c r="K1659" s="98">
        <v>47.329000000000001</v>
      </c>
      <c r="L1659" s="98">
        <v>3.5596999999999999</v>
      </c>
      <c r="M1659" s="98">
        <v>53.607999999999997</v>
      </c>
      <c r="N1659" s="98">
        <v>1.6549</v>
      </c>
      <c r="O1659" s="99" t="s">
        <v>2047</v>
      </c>
    </row>
    <row r="1660" spans="1:15" x14ac:dyDescent="0.25">
      <c r="A1660" s="98" t="s">
        <v>54</v>
      </c>
      <c r="B1660" s="98" t="s">
        <v>8</v>
      </c>
      <c r="C1660" s="98">
        <v>3.3</v>
      </c>
      <c r="D1660" s="98">
        <v>33.000999999999998</v>
      </c>
      <c r="E1660" s="98">
        <v>0.1</v>
      </c>
      <c r="F1660" s="98" t="s">
        <v>6</v>
      </c>
      <c r="G1660" s="98" t="s">
        <v>4</v>
      </c>
      <c r="H1660" s="98">
        <v>0.01</v>
      </c>
      <c r="I1660" s="98">
        <v>4.5010000000000001E-2</v>
      </c>
      <c r="J1660" s="98" t="s">
        <v>10</v>
      </c>
      <c r="K1660" s="98">
        <v>57.704000000000001</v>
      </c>
      <c r="L1660" s="98">
        <v>0.11064</v>
      </c>
      <c r="M1660" s="98">
        <v>57.704000000000001</v>
      </c>
      <c r="N1660" s="98">
        <v>0.11058999999999999</v>
      </c>
      <c r="O1660" s="99" t="s">
        <v>2045</v>
      </c>
    </row>
    <row r="1661" spans="1:15" x14ac:dyDescent="0.25">
      <c r="A1661" s="98" t="s">
        <v>54</v>
      </c>
      <c r="B1661" s="98" t="s">
        <v>8</v>
      </c>
      <c r="C1661" s="98">
        <v>3.3</v>
      </c>
      <c r="D1661" s="98">
        <v>33.000999999999998</v>
      </c>
      <c r="E1661" s="98">
        <v>0.1</v>
      </c>
      <c r="F1661" s="98" t="s">
        <v>6</v>
      </c>
      <c r="G1661" s="98" t="s">
        <v>4</v>
      </c>
      <c r="H1661" s="98">
        <v>10</v>
      </c>
      <c r="I1661" s="98">
        <v>20.010000000000002</v>
      </c>
      <c r="J1661" s="98" t="s">
        <v>10</v>
      </c>
      <c r="K1661" s="98">
        <v>57.426000000000002</v>
      </c>
      <c r="L1661" s="98">
        <v>0.20355000000000001</v>
      </c>
      <c r="M1661" s="98">
        <v>57.426000000000002</v>
      </c>
      <c r="N1661" s="98">
        <v>0.20351</v>
      </c>
      <c r="O1661" s="99" t="s">
        <v>2683</v>
      </c>
    </row>
    <row r="1662" spans="1:15" x14ac:dyDescent="0.25">
      <c r="A1662" s="98" t="s">
        <v>54</v>
      </c>
      <c r="B1662" s="98" t="s">
        <v>8</v>
      </c>
      <c r="C1662" s="98">
        <v>3.3</v>
      </c>
      <c r="D1662" s="98">
        <v>33.000999999999998</v>
      </c>
      <c r="E1662" s="98">
        <v>0.1</v>
      </c>
      <c r="F1662" s="98" t="s">
        <v>6</v>
      </c>
      <c r="G1662" s="98" t="s">
        <v>4</v>
      </c>
      <c r="H1662" s="98">
        <v>4.4999999999999998E-2</v>
      </c>
      <c r="I1662" s="98">
        <v>10.00001</v>
      </c>
      <c r="J1662" s="98" t="s">
        <v>10</v>
      </c>
      <c r="K1662" s="98">
        <v>57.892000000000003</v>
      </c>
      <c r="L1662" s="98">
        <v>4.1619999999999997E-2</v>
      </c>
      <c r="M1662" s="98">
        <v>57.892000000000003</v>
      </c>
      <c r="N1662" s="98">
        <v>4.1575000000000001E-2</v>
      </c>
      <c r="O1662" s="99" t="s">
        <v>2048</v>
      </c>
    </row>
    <row r="1663" spans="1:15" x14ac:dyDescent="0.25">
      <c r="A1663" s="98" t="s">
        <v>54</v>
      </c>
      <c r="B1663" s="98" t="s">
        <v>8</v>
      </c>
      <c r="C1663" s="98">
        <v>3.3</v>
      </c>
      <c r="D1663" s="98">
        <v>33.000999999999998</v>
      </c>
      <c r="E1663" s="98">
        <v>1</v>
      </c>
      <c r="F1663" s="98" t="s">
        <v>6</v>
      </c>
      <c r="G1663" s="98" t="s">
        <v>4</v>
      </c>
      <c r="H1663" s="98">
        <v>500</v>
      </c>
      <c r="I1663" s="98">
        <v>501</v>
      </c>
      <c r="J1663" s="98" t="s">
        <v>10</v>
      </c>
      <c r="K1663" s="98">
        <v>579.33000000000004</v>
      </c>
      <c r="L1663" s="98">
        <v>0.23723</v>
      </c>
      <c r="M1663" s="98">
        <v>579.33000000000004</v>
      </c>
      <c r="N1663" s="98">
        <v>0.23716999999999999</v>
      </c>
      <c r="O1663" s="99" t="s">
        <v>2051</v>
      </c>
    </row>
    <row r="1664" spans="1:15" x14ac:dyDescent="0.25">
      <c r="A1664" s="98" t="s">
        <v>54</v>
      </c>
      <c r="B1664" s="98" t="s">
        <v>8</v>
      </c>
      <c r="C1664" s="98">
        <v>3.3</v>
      </c>
      <c r="D1664" s="98">
        <v>33.000999999999998</v>
      </c>
      <c r="E1664" s="98">
        <v>1</v>
      </c>
      <c r="F1664" s="98" t="s">
        <v>6</v>
      </c>
      <c r="G1664" s="98" t="s">
        <v>4</v>
      </c>
      <c r="H1664" s="98">
        <v>20</v>
      </c>
      <c r="I1664" s="98">
        <v>50.01</v>
      </c>
      <c r="J1664" s="98" t="s">
        <v>10</v>
      </c>
      <c r="K1664" s="98">
        <v>579.88</v>
      </c>
      <c r="L1664" s="98">
        <v>4.3222999999999998E-2</v>
      </c>
      <c r="M1664" s="98">
        <v>579.88</v>
      </c>
      <c r="N1664" s="98">
        <v>4.3181999999999998E-2</v>
      </c>
      <c r="O1664" s="99" t="s">
        <v>2053</v>
      </c>
    </row>
    <row r="1665" spans="1:15" x14ac:dyDescent="0.25">
      <c r="A1665" s="98" t="s">
        <v>54</v>
      </c>
      <c r="B1665" s="98" t="s">
        <v>8</v>
      </c>
      <c r="C1665" s="98">
        <v>3.3</v>
      </c>
      <c r="D1665" s="98">
        <v>33.000999999999998</v>
      </c>
      <c r="E1665" s="98">
        <v>1</v>
      </c>
      <c r="F1665" s="98" t="s">
        <v>6</v>
      </c>
      <c r="G1665" s="98" t="s">
        <v>4</v>
      </c>
      <c r="H1665" s="98">
        <v>10</v>
      </c>
      <c r="I1665" s="98">
        <v>20.010000000000002</v>
      </c>
      <c r="J1665" s="98" t="s">
        <v>10</v>
      </c>
      <c r="K1665" s="98">
        <v>579.94000000000005</v>
      </c>
      <c r="L1665" s="98">
        <v>2.1451999999999999E-2</v>
      </c>
      <c r="M1665" s="98">
        <v>579.94000000000005</v>
      </c>
      <c r="N1665" s="98">
        <v>2.1433000000000001E-2</v>
      </c>
      <c r="O1665" s="99" t="s">
        <v>2052</v>
      </c>
    </row>
    <row r="1666" spans="1:15" x14ac:dyDescent="0.25">
      <c r="A1666" s="98" t="s">
        <v>54</v>
      </c>
      <c r="B1666" s="98" t="s">
        <v>8</v>
      </c>
      <c r="C1666" s="98">
        <v>3.3</v>
      </c>
      <c r="D1666" s="98">
        <v>33.000999999999998</v>
      </c>
      <c r="E1666" s="98">
        <v>1</v>
      </c>
      <c r="F1666" s="98" t="s">
        <v>6</v>
      </c>
      <c r="G1666" s="98" t="s">
        <v>4</v>
      </c>
      <c r="H1666" s="98">
        <v>100</v>
      </c>
      <c r="I1666" s="98">
        <v>500</v>
      </c>
      <c r="J1666" s="98" t="s">
        <v>10</v>
      </c>
      <c r="K1666" s="98">
        <v>579.33000000000004</v>
      </c>
      <c r="L1666" s="98">
        <v>0.23723</v>
      </c>
      <c r="M1666" s="98">
        <v>579.33000000000004</v>
      </c>
      <c r="N1666" s="98">
        <v>0.23716999999999999</v>
      </c>
      <c r="O1666" s="99" t="s">
        <v>2050</v>
      </c>
    </row>
    <row r="1667" spans="1:15" x14ac:dyDescent="0.25">
      <c r="A1667" s="98" t="s">
        <v>54</v>
      </c>
      <c r="B1667" s="98" t="s">
        <v>8</v>
      </c>
      <c r="C1667" s="98">
        <v>3.3</v>
      </c>
      <c r="D1667" s="98">
        <v>33.000999999999998</v>
      </c>
      <c r="E1667" s="98">
        <v>1</v>
      </c>
      <c r="F1667" s="98" t="s">
        <v>6</v>
      </c>
      <c r="G1667" s="98" t="s">
        <v>4</v>
      </c>
      <c r="H1667" s="98">
        <v>50</v>
      </c>
      <c r="I1667" s="98">
        <v>100.01</v>
      </c>
      <c r="J1667" s="98" t="s">
        <v>10</v>
      </c>
      <c r="K1667" s="98">
        <v>579.35</v>
      </c>
      <c r="L1667" s="98">
        <v>0.23028000000000001</v>
      </c>
      <c r="M1667" s="98">
        <v>579.35</v>
      </c>
      <c r="N1667" s="98">
        <v>0.23021</v>
      </c>
      <c r="O1667" s="99" t="s">
        <v>2685</v>
      </c>
    </row>
    <row r="1668" spans="1:15" x14ac:dyDescent="0.25">
      <c r="A1668" s="98" t="s">
        <v>54</v>
      </c>
      <c r="B1668" s="98" t="s">
        <v>8</v>
      </c>
      <c r="C1668" s="98">
        <v>3.3</v>
      </c>
      <c r="D1668" s="98">
        <v>33.000999999999998</v>
      </c>
      <c r="E1668" s="98">
        <v>1</v>
      </c>
      <c r="F1668" s="98" t="s">
        <v>6</v>
      </c>
      <c r="G1668" s="98" t="s">
        <v>4</v>
      </c>
      <c r="H1668" s="98">
        <v>0.01</v>
      </c>
      <c r="I1668" s="98">
        <v>4.5010000000000001E-2</v>
      </c>
      <c r="J1668" s="98" t="s">
        <v>10</v>
      </c>
      <c r="K1668" s="98">
        <v>579.97</v>
      </c>
      <c r="L1668" s="98">
        <v>1.1401E-2</v>
      </c>
      <c r="M1668" s="98">
        <v>579.97</v>
      </c>
      <c r="N1668" s="98">
        <v>1.1382E-2</v>
      </c>
      <c r="O1668" s="99" t="s">
        <v>2684</v>
      </c>
    </row>
    <row r="1669" spans="1:15" x14ac:dyDescent="0.25">
      <c r="A1669" s="98" t="s">
        <v>54</v>
      </c>
      <c r="B1669" s="98" t="s">
        <v>8</v>
      </c>
      <c r="C1669" s="98">
        <v>3.3</v>
      </c>
      <c r="D1669" s="98">
        <v>33.000999999999998</v>
      </c>
      <c r="E1669" s="98">
        <v>1</v>
      </c>
      <c r="F1669" s="98" t="s">
        <v>6</v>
      </c>
      <c r="G1669" s="98" t="s">
        <v>4</v>
      </c>
      <c r="H1669" s="98">
        <v>4.4999999999999998E-2</v>
      </c>
      <c r="I1669" s="98">
        <v>10.00001</v>
      </c>
      <c r="J1669" s="98" t="s">
        <v>10</v>
      </c>
      <c r="K1669" s="98">
        <v>579.99</v>
      </c>
      <c r="L1669" s="98">
        <v>4.2218999999999998E-3</v>
      </c>
      <c r="M1669" s="98">
        <v>579.99</v>
      </c>
      <c r="N1669" s="98">
        <v>4.2034000000000004E-3</v>
      </c>
      <c r="O1669" s="99" t="s">
        <v>2049</v>
      </c>
    </row>
    <row r="1670" spans="1:15" x14ac:dyDescent="0.25">
      <c r="A1670" s="98" t="s">
        <v>54</v>
      </c>
      <c r="B1670" s="98" t="s">
        <v>8</v>
      </c>
      <c r="C1670" s="98">
        <v>33</v>
      </c>
      <c r="D1670" s="98">
        <v>330.01</v>
      </c>
      <c r="E1670" s="98">
        <v>1E-3</v>
      </c>
      <c r="F1670" s="98" t="s">
        <v>6</v>
      </c>
      <c r="G1670" s="98" t="s">
        <v>4</v>
      </c>
      <c r="H1670" s="98">
        <v>4.4999999999999998E-2</v>
      </c>
      <c r="I1670" s="98">
        <v>10.00001</v>
      </c>
      <c r="J1670" s="98" t="s">
        <v>10</v>
      </c>
      <c r="K1670" s="98">
        <v>12</v>
      </c>
      <c r="L1670" s="98">
        <v>0.92</v>
      </c>
      <c r="M1670" s="98">
        <v>10.393000000000001</v>
      </c>
      <c r="N1670" s="98">
        <v>0.92459000000000002</v>
      </c>
      <c r="O1670" s="99" t="s">
        <v>2054</v>
      </c>
    </row>
    <row r="1671" spans="1:15" x14ac:dyDescent="0.25">
      <c r="A1671" s="98" t="s">
        <v>54</v>
      </c>
      <c r="B1671" s="98" t="s">
        <v>8</v>
      </c>
      <c r="C1671" s="98">
        <v>33</v>
      </c>
      <c r="D1671" s="98">
        <v>330.01</v>
      </c>
      <c r="E1671" s="98">
        <v>1E-3</v>
      </c>
      <c r="F1671" s="98" t="s">
        <v>6</v>
      </c>
      <c r="G1671" s="98" t="s">
        <v>4</v>
      </c>
      <c r="H1671" s="98">
        <v>10</v>
      </c>
      <c r="I1671" s="98">
        <v>20.010000000000002</v>
      </c>
      <c r="J1671" s="98" t="s">
        <v>10</v>
      </c>
      <c r="K1671" s="98">
        <v>24</v>
      </c>
      <c r="L1671" s="98">
        <v>1</v>
      </c>
      <c r="M1671" s="98">
        <v>10.388</v>
      </c>
      <c r="N1671" s="98">
        <v>1.04</v>
      </c>
      <c r="O1671" s="99" t="s">
        <v>2056</v>
      </c>
    </row>
    <row r="1672" spans="1:15" x14ac:dyDescent="0.25">
      <c r="A1672" s="98" t="s">
        <v>54</v>
      </c>
      <c r="B1672" s="98" t="s">
        <v>8</v>
      </c>
      <c r="C1672" s="98">
        <v>33</v>
      </c>
      <c r="D1672" s="98">
        <v>330.01</v>
      </c>
      <c r="E1672" s="98">
        <v>1E-3</v>
      </c>
      <c r="F1672" s="98" t="s">
        <v>6</v>
      </c>
      <c r="G1672" s="98" t="s">
        <v>4</v>
      </c>
      <c r="H1672" s="98">
        <v>0.01</v>
      </c>
      <c r="I1672" s="98">
        <v>4.5010000000000001E-2</v>
      </c>
      <c r="J1672" s="98" t="s">
        <v>10</v>
      </c>
      <c r="K1672" s="98">
        <v>3.5</v>
      </c>
      <c r="L1672" s="98">
        <v>0.57999999999999996</v>
      </c>
      <c r="M1672" s="98">
        <v>3.4704999999999999</v>
      </c>
      <c r="N1672" s="98">
        <v>0.57867999999999997</v>
      </c>
      <c r="O1672" s="99" t="s">
        <v>2057</v>
      </c>
    </row>
    <row r="1673" spans="1:15" x14ac:dyDescent="0.25">
      <c r="A1673" s="98" t="s">
        <v>54</v>
      </c>
      <c r="B1673" s="98" t="s">
        <v>8</v>
      </c>
      <c r="C1673" s="98">
        <v>33</v>
      </c>
      <c r="D1673" s="98">
        <v>330.01</v>
      </c>
      <c r="E1673" s="98">
        <v>1E-3</v>
      </c>
      <c r="F1673" s="98" t="s">
        <v>6</v>
      </c>
      <c r="G1673" s="98" t="s">
        <v>4</v>
      </c>
      <c r="H1673" s="98">
        <v>100</v>
      </c>
      <c r="I1673" s="98">
        <v>100.1</v>
      </c>
      <c r="J1673" s="98" t="s">
        <v>10</v>
      </c>
      <c r="K1673" s="98">
        <v>92</v>
      </c>
      <c r="L1673" s="98">
        <v>2.8</v>
      </c>
      <c r="M1673" s="98">
        <v>91.936999999999998</v>
      </c>
      <c r="N1673" s="98">
        <v>2.7856000000000001</v>
      </c>
      <c r="O1673" s="99" t="s">
        <v>2055</v>
      </c>
    </row>
    <row r="1674" spans="1:15" x14ac:dyDescent="0.25">
      <c r="A1674" s="98" t="s">
        <v>54</v>
      </c>
      <c r="B1674" s="98" t="s">
        <v>8</v>
      </c>
      <c r="C1674" s="98">
        <v>33</v>
      </c>
      <c r="D1674" s="98">
        <v>330.01</v>
      </c>
      <c r="E1674" s="98">
        <v>1E-3</v>
      </c>
      <c r="F1674" s="98" t="s">
        <v>6</v>
      </c>
      <c r="G1674" s="98" t="s">
        <v>4</v>
      </c>
      <c r="H1674" s="98">
        <v>20</v>
      </c>
      <c r="I1674" s="98">
        <v>50.01</v>
      </c>
      <c r="J1674" s="98" t="s">
        <v>10</v>
      </c>
      <c r="K1674" s="98">
        <v>22</v>
      </c>
      <c r="L1674" s="98">
        <v>1.4</v>
      </c>
      <c r="M1674" s="98">
        <v>10.266</v>
      </c>
      <c r="N1674" s="98">
        <v>1.3912</v>
      </c>
      <c r="O1674" s="99" t="s">
        <v>2059</v>
      </c>
    </row>
    <row r="1675" spans="1:15" x14ac:dyDescent="0.25">
      <c r="A1675" s="98" t="s">
        <v>54</v>
      </c>
      <c r="B1675" s="98" t="s">
        <v>8</v>
      </c>
      <c r="C1675" s="98">
        <v>33</v>
      </c>
      <c r="D1675" s="98">
        <v>330.01</v>
      </c>
      <c r="E1675" s="98">
        <v>1E-3</v>
      </c>
      <c r="F1675" s="98" t="s">
        <v>6</v>
      </c>
      <c r="G1675" s="98" t="s">
        <v>4</v>
      </c>
      <c r="H1675" s="98">
        <v>50</v>
      </c>
      <c r="I1675" s="98">
        <v>100</v>
      </c>
      <c r="J1675" s="98" t="s">
        <v>10</v>
      </c>
      <c r="K1675" s="98">
        <v>92</v>
      </c>
      <c r="L1675" s="98">
        <v>2.8</v>
      </c>
      <c r="M1675" s="98">
        <v>91.936999999999998</v>
      </c>
      <c r="N1675" s="98">
        <v>2.7856000000000001</v>
      </c>
      <c r="O1675" s="99" t="s">
        <v>2058</v>
      </c>
    </row>
    <row r="1676" spans="1:15" x14ac:dyDescent="0.25">
      <c r="A1676" s="98" t="s">
        <v>54</v>
      </c>
      <c r="B1676" s="98" t="s">
        <v>8</v>
      </c>
      <c r="C1676" s="98">
        <v>33</v>
      </c>
      <c r="D1676" s="98">
        <v>330.01</v>
      </c>
      <c r="E1676" s="98">
        <v>0.01</v>
      </c>
      <c r="F1676" s="98" t="s">
        <v>6</v>
      </c>
      <c r="G1676" s="98" t="s">
        <v>4</v>
      </c>
      <c r="H1676" s="98">
        <v>4.4999999999999998E-2</v>
      </c>
      <c r="I1676" s="98">
        <v>10.00001</v>
      </c>
      <c r="J1676" s="98" t="s">
        <v>10</v>
      </c>
      <c r="K1676" s="98">
        <v>12</v>
      </c>
      <c r="L1676" s="98">
        <v>0.92330999999999996</v>
      </c>
      <c r="M1676" s="98">
        <v>10.834</v>
      </c>
      <c r="N1676" s="98">
        <v>0.9234</v>
      </c>
      <c r="O1676" s="99" t="s">
        <v>2061</v>
      </c>
    </row>
    <row r="1677" spans="1:15" x14ac:dyDescent="0.25">
      <c r="A1677" s="98" t="s">
        <v>54</v>
      </c>
      <c r="B1677" s="98" t="s">
        <v>8</v>
      </c>
      <c r="C1677" s="98">
        <v>33</v>
      </c>
      <c r="D1677" s="98">
        <v>330.01</v>
      </c>
      <c r="E1677" s="98">
        <v>0.01</v>
      </c>
      <c r="F1677" s="98" t="s">
        <v>6</v>
      </c>
      <c r="G1677" s="98" t="s">
        <v>4</v>
      </c>
      <c r="H1677" s="98">
        <v>10</v>
      </c>
      <c r="I1677" s="98">
        <v>20.010000000000002</v>
      </c>
      <c r="J1677" s="98" t="s">
        <v>10</v>
      </c>
      <c r="K1677" s="98">
        <v>24</v>
      </c>
      <c r="L1677" s="98">
        <v>1.0331999999999999</v>
      </c>
      <c r="M1677" s="98">
        <v>10.795999999999999</v>
      </c>
      <c r="N1677" s="98">
        <v>1.0388999999999999</v>
      </c>
      <c r="O1677" s="99" t="s">
        <v>2063</v>
      </c>
    </row>
    <row r="1678" spans="1:15" x14ac:dyDescent="0.25">
      <c r="A1678" s="98" t="s">
        <v>54</v>
      </c>
      <c r="B1678" s="98" t="s">
        <v>8</v>
      </c>
      <c r="C1678" s="98">
        <v>33</v>
      </c>
      <c r="D1678" s="98">
        <v>330.01</v>
      </c>
      <c r="E1678" s="98">
        <v>0.01</v>
      </c>
      <c r="F1678" s="98" t="s">
        <v>6</v>
      </c>
      <c r="G1678" s="98" t="s">
        <v>4</v>
      </c>
      <c r="H1678" s="98">
        <v>0.01</v>
      </c>
      <c r="I1678" s="98">
        <v>4.5010000000000001E-2</v>
      </c>
      <c r="J1678" s="98" t="s">
        <v>10</v>
      </c>
      <c r="K1678" s="98">
        <v>4.2872000000000003</v>
      </c>
      <c r="L1678" s="98">
        <v>0.57647000000000004</v>
      </c>
      <c r="M1678" s="98">
        <v>4.2606000000000002</v>
      </c>
      <c r="N1678" s="98">
        <v>0.57652000000000003</v>
      </c>
      <c r="O1678" s="99" t="s">
        <v>2062</v>
      </c>
    </row>
    <row r="1679" spans="1:15" x14ac:dyDescent="0.25">
      <c r="A1679" s="98" t="s">
        <v>54</v>
      </c>
      <c r="B1679" s="98" t="s">
        <v>8</v>
      </c>
      <c r="C1679" s="98">
        <v>33</v>
      </c>
      <c r="D1679" s="98">
        <v>330.01</v>
      </c>
      <c r="E1679" s="98">
        <v>0.01</v>
      </c>
      <c r="F1679" s="98" t="s">
        <v>6</v>
      </c>
      <c r="G1679" s="98" t="s">
        <v>4</v>
      </c>
      <c r="H1679" s="98">
        <v>50</v>
      </c>
      <c r="I1679" s="98">
        <v>100</v>
      </c>
      <c r="J1679" s="98" t="s">
        <v>10</v>
      </c>
      <c r="K1679" s="98">
        <v>92.063000000000002</v>
      </c>
      <c r="L1679" s="98">
        <v>2.7852999999999999</v>
      </c>
      <c r="M1679" s="98">
        <v>92.033000000000001</v>
      </c>
      <c r="N1679" s="98">
        <v>2.7854000000000001</v>
      </c>
      <c r="O1679" s="99" t="s">
        <v>2064</v>
      </c>
    </row>
    <row r="1680" spans="1:15" x14ac:dyDescent="0.25">
      <c r="A1680" s="98" t="s">
        <v>54</v>
      </c>
      <c r="B1680" s="98" t="s">
        <v>8</v>
      </c>
      <c r="C1680" s="98">
        <v>33</v>
      </c>
      <c r="D1680" s="98">
        <v>330.01</v>
      </c>
      <c r="E1680" s="98">
        <v>0.01</v>
      </c>
      <c r="F1680" s="98" t="s">
        <v>6</v>
      </c>
      <c r="G1680" s="98" t="s">
        <v>4</v>
      </c>
      <c r="H1680" s="98">
        <v>20</v>
      </c>
      <c r="I1680" s="98">
        <v>50.01</v>
      </c>
      <c r="J1680" s="98" t="s">
        <v>10</v>
      </c>
      <c r="K1680" s="98">
        <v>22</v>
      </c>
      <c r="L1680" s="98">
        <v>1.4</v>
      </c>
      <c r="M1680" s="98">
        <v>10.577</v>
      </c>
      <c r="N1680" s="98">
        <v>1.3904000000000001</v>
      </c>
      <c r="O1680" s="99" t="s">
        <v>2686</v>
      </c>
    </row>
    <row r="1681" spans="1:15" x14ac:dyDescent="0.25">
      <c r="A1681" s="98" t="s">
        <v>54</v>
      </c>
      <c r="B1681" s="98" t="s">
        <v>8</v>
      </c>
      <c r="C1681" s="98">
        <v>33</v>
      </c>
      <c r="D1681" s="98">
        <v>330.01</v>
      </c>
      <c r="E1681" s="98">
        <v>0.01</v>
      </c>
      <c r="F1681" s="98" t="s">
        <v>6</v>
      </c>
      <c r="G1681" s="98" t="s">
        <v>4</v>
      </c>
      <c r="H1681" s="98">
        <v>100</v>
      </c>
      <c r="I1681" s="98">
        <v>100.1</v>
      </c>
      <c r="J1681" s="98" t="s">
        <v>10</v>
      </c>
      <c r="K1681" s="98">
        <v>92.063000000000002</v>
      </c>
      <c r="L1681" s="98">
        <v>2.7852999999999999</v>
      </c>
      <c r="M1681" s="98">
        <v>92.033000000000001</v>
      </c>
      <c r="N1681" s="98">
        <v>2.7854000000000001</v>
      </c>
      <c r="O1681" s="99" t="s">
        <v>2060</v>
      </c>
    </row>
    <row r="1682" spans="1:15" x14ac:dyDescent="0.25">
      <c r="A1682" s="98" t="s">
        <v>54</v>
      </c>
      <c r="B1682" s="98" t="s">
        <v>8</v>
      </c>
      <c r="C1682" s="98">
        <v>33</v>
      </c>
      <c r="D1682" s="98">
        <v>330.01</v>
      </c>
      <c r="E1682" s="98">
        <v>0.1</v>
      </c>
      <c r="F1682" s="98" t="s">
        <v>6</v>
      </c>
      <c r="G1682" s="98" t="s">
        <v>4</v>
      </c>
      <c r="H1682" s="98">
        <v>100</v>
      </c>
      <c r="I1682" s="98">
        <v>100.1</v>
      </c>
      <c r="J1682" s="98" t="s">
        <v>10</v>
      </c>
      <c r="K1682" s="98">
        <v>101.77</v>
      </c>
      <c r="L1682" s="98">
        <v>2.7610000000000001</v>
      </c>
      <c r="M1682" s="98">
        <v>101.69</v>
      </c>
      <c r="N1682" s="98">
        <v>2.7610999999999999</v>
      </c>
      <c r="O1682" s="99" t="s">
        <v>2689</v>
      </c>
    </row>
    <row r="1683" spans="1:15" x14ac:dyDescent="0.25">
      <c r="A1683" s="98" t="s">
        <v>54</v>
      </c>
      <c r="B1683" s="98" t="s">
        <v>8</v>
      </c>
      <c r="C1683" s="98">
        <v>33</v>
      </c>
      <c r="D1683" s="98">
        <v>330.01</v>
      </c>
      <c r="E1683" s="98">
        <v>0.1</v>
      </c>
      <c r="F1683" s="98" t="s">
        <v>6</v>
      </c>
      <c r="G1683" s="98" t="s">
        <v>4</v>
      </c>
      <c r="H1683" s="98">
        <v>0.01</v>
      </c>
      <c r="I1683" s="98">
        <v>4.5010000000000001E-2</v>
      </c>
      <c r="J1683" s="98" t="s">
        <v>10</v>
      </c>
      <c r="K1683" s="98">
        <v>46.640999999999998</v>
      </c>
      <c r="L1683" s="98">
        <v>0.47359000000000001</v>
      </c>
      <c r="M1683" s="98">
        <v>46.601999999999997</v>
      </c>
      <c r="N1683" s="98">
        <v>0.47360999999999998</v>
      </c>
      <c r="O1683" s="99" t="s">
        <v>2066</v>
      </c>
    </row>
    <row r="1684" spans="1:15" x14ac:dyDescent="0.25">
      <c r="A1684" s="98" t="s">
        <v>54</v>
      </c>
      <c r="B1684" s="98" t="s">
        <v>8</v>
      </c>
      <c r="C1684" s="98">
        <v>33</v>
      </c>
      <c r="D1684" s="98">
        <v>330.01</v>
      </c>
      <c r="E1684" s="98">
        <v>0.1</v>
      </c>
      <c r="F1684" s="98" t="s">
        <v>6</v>
      </c>
      <c r="G1684" s="98" t="s">
        <v>4</v>
      </c>
      <c r="H1684" s="98">
        <v>4.4999999999999998E-2</v>
      </c>
      <c r="I1684" s="98">
        <v>10.00001</v>
      </c>
      <c r="J1684" s="98" t="s">
        <v>10</v>
      </c>
      <c r="K1684" s="98">
        <v>43.308999999999997</v>
      </c>
      <c r="L1684" s="98">
        <v>0.84099999999999997</v>
      </c>
      <c r="M1684" s="98">
        <v>43.21</v>
      </c>
      <c r="N1684" s="98">
        <v>0.84114999999999995</v>
      </c>
      <c r="O1684" s="99" t="s">
        <v>2690</v>
      </c>
    </row>
    <row r="1685" spans="1:15" x14ac:dyDescent="0.25">
      <c r="A1685" s="98" t="s">
        <v>54</v>
      </c>
      <c r="B1685" s="98" t="s">
        <v>8</v>
      </c>
      <c r="C1685" s="98">
        <v>33</v>
      </c>
      <c r="D1685" s="98">
        <v>330.01</v>
      </c>
      <c r="E1685" s="98">
        <v>0.1</v>
      </c>
      <c r="F1685" s="98" t="s">
        <v>6</v>
      </c>
      <c r="G1685" s="98" t="s">
        <v>4</v>
      </c>
      <c r="H1685" s="98">
        <v>10</v>
      </c>
      <c r="I1685" s="98">
        <v>20.010000000000002</v>
      </c>
      <c r="J1685" s="98" t="s">
        <v>10</v>
      </c>
      <c r="K1685" s="98">
        <v>41.651000000000003</v>
      </c>
      <c r="L1685" s="98">
        <v>0.95969000000000004</v>
      </c>
      <c r="M1685" s="98">
        <v>41.554000000000002</v>
      </c>
      <c r="N1685" s="98">
        <v>0.95984999999999998</v>
      </c>
      <c r="O1685" s="99" t="s">
        <v>2065</v>
      </c>
    </row>
    <row r="1686" spans="1:15" x14ac:dyDescent="0.25">
      <c r="A1686" s="98" t="s">
        <v>54</v>
      </c>
      <c r="B1686" s="98" t="s">
        <v>8</v>
      </c>
      <c r="C1686" s="98">
        <v>33</v>
      </c>
      <c r="D1686" s="98">
        <v>330.01</v>
      </c>
      <c r="E1686" s="98">
        <v>0.1</v>
      </c>
      <c r="F1686" s="98" t="s">
        <v>6</v>
      </c>
      <c r="G1686" s="98" t="s">
        <v>4</v>
      </c>
      <c r="H1686" s="98">
        <v>20</v>
      </c>
      <c r="I1686" s="98">
        <v>50.01</v>
      </c>
      <c r="J1686" s="98" t="s">
        <v>10</v>
      </c>
      <c r="K1686" s="98">
        <v>36.020000000000003</v>
      </c>
      <c r="L1686" s="98">
        <v>1.3574999999999999</v>
      </c>
      <c r="M1686" s="98">
        <v>37.167000000000002</v>
      </c>
      <c r="N1686" s="98">
        <v>1.3205</v>
      </c>
      <c r="O1686" s="99" t="s">
        <v>2687</v>
      </c>
    </row>
    <row r="1687" spans="1:15" x14ac:dyDescent="0.25">
      <c r="A1687" s="98" t="s">
        <v>54</v>
      </c>
      <c r="B1687" s="98" t="s">
        <v>8</v>
      </c>
      <c r="C1687" s="98">
        <v>33</v>
      </c>
      <c r="D1687" s="98">
        <v>330.01</v>
      </c>
      <c r="E1687" s="98">
        <v>0.1</v>
      </c>
      <c r="F1687" s="98" t="s">
        <v>6</v>
      </c>
      <c r="G1687" s="98" t="s">
        <v>4</v>
      </c>
      <c r="H1687" s="98">
        <v>50</v>
      </c>
      <c r="I1687" s="98">
        <v>100</v>
      </c>
      <c r="J1687" s="98" t="s">
        <v>10</v>
      </c>
      <c r="K1687" s="98">
        <v>101.77</v>
      </c>
      <c r="L1687" s="98">
        <v>2.7610000000000001</v>
      </c>
      <c r="M1687" s="98">
        <v>101.69</v>
      </c>
      <c r="N1687" s="98">
        <v>2.7610999999999999</v>
      </c>
      <c r="O1687" s="99" t="s">
        <v>2688</v>
      </c>
    </row>
    <row r="1688" spans="1:15" x14ac:dyDescent="0.25">
      <c r="A1688" s="98" t="s">
        <v>54</v>
      </c>
      <c r="B1688" s="98" t="s">
        <v>8</v>
      </c>
      <c r="C1688" s="98">
        <v>33</v>
      </c>
      <c r="D1688" s="98">
        <v>330.01</v>
      </c>
      <c r="E1688" s="98">
        <v>1</v>
      </c>
      <c r="F1688" s="98" t="s">
        <v>6</v>
      </c>
      <c r="G1688" s="98" t="s">
        <v>4</v>
      </c>
      <c r="H1688" s="98">
        <v>10</v>
      </c>
      <c r="I1688" s="98">
        <v>20.010000000000002</v>
      </c>
      <c r="J1688" s="98" t="s">
        <v>10</v>
      </c>
      <c r="K1688" s="98">
        <v>570.91999999999996</v>
      </c>
      <c r="L1688" s="98">
        <v>0.32863999999999999</v>
      </c>
      <c r="M1688" s="98">
        <v>570.88</v>
      </c>
      <c r="N1688" s="98">
        <v>0.32847999999999999</v>
      </c>
      <c r="O1688" s="99" t="s">
        <v>2069</v>
      </c>
    </row>
    <row r="1689" spans="1:15" x14ac:dyDescent="0.25">
      <c r="A1689" s="98" t="s">
        <v>54</v>
      </c>
      <c r="B1689" s="98" t="s">
        <v>8</v>
      </c>
      <c r="C1689" s="98">
        <v>33</v>
      </c>
      <c r="D1689" s="98">
        <v>330.01</v>
      </c>
      <c r="E1689" s="98">
        <v>1</v>
      </c>
      <c r="F1689" s="98" t="s">
        <v>6</v>
      </c>
      <c r="G1689" s="98" t="s">
        <v>4</v>
      </c>
      <c r="H1689" s="98">
        <v>20</v>
      </c>
      <c r="I1689" s="98">
        <v>50.01</v>
      </c>
      <c r="J1689" s="98" t="s">
        <v>10</v>
      </c>
      <c r="K1689" s="98">
        <v>564.6</v>
      </c>
      <c r="L1689" s="98">
        <v>0.55034000000000005</v>
      </c>
      <c r="M1689" s="98">
        <v>564.55999999999995</v>
      </c>
      <c r="N1689" s="98">
        <v>0.55020999999999998</v>
      </c>
      <c r="O1689" s="99" t="s">
        <v>2071</v>
      </c>
    </row>
    <row r="1690" spans="1:15" x14ac:dyDescent="0.25">
      <c r="A1690" s="98" t="s">
        <v>54</v>
      </c>
      <c r="B1690" s="98" t="s">
        <v>8</v>
      </c>
      <c r="C1690" s="98">
        <v>33</v>
      </c>
      <c r="D1690" s="98">
        <v>330.01</v>
      </c>
      <c r="E1690" s="98">
        <v>1</v>
      </c>
      <c r="F1690" s="98" t="s">
        <v>6</v>
      </c>
      <c r="G1690" s="98" t="s">
        <v>4</v>
      </c>
      <c r="H1690" s="98">
        <v>50</v>
      </c>
      <c r="I1690" s="98">
        <v>100</v>
      </c>
      <c r="J1690" s="98" t="s">
        <v>10</v>
      </c>
      <c r="K1690" s="98">
        <v>546.63</v>
      </c>
      <c r="L1690" s="98">
        <v>1.8765000000000001</v>
      </c>
      <c r="M1690" s="98">
        <v>546.54</v>
      </c>
      <c r="N1690" s="98">
        <v>1.8763000000000001</v>
      </c>
      <c r="O1690" s="99" t="s">
        <v>2068</v>
      </c>
    </row>
    <row r="1691" spans="1:15" x14ac:dyDescent="0.25">
      <c r="A1691" s="98" t="s">
        <v>54</v>
      </c>
      <c r="B1691" s="98" t="s">
        <v>8</v>
      </c>
      <c r="C1691" s="98">
        <v>33</v>
      </c>
      <c r="D1691" s="98">
        <v>330.01</v>
      </c>
      <c r="E1691" s="98">
        <v>1</v>
      </c>
      <c r="F1691" s="98" t="s">
        <v>6</v>
      </c>
      <c r="G1691" s="98" t="s">
        <v>4</v>
      </c>
      <c r="H1691" s="98">
        <v>100</v>
      </c>
      <c r="I1691" s="98">
        <v>100.1</v>
      </c>
      <c r="J1691" s="98" t="s">
        <v>10</v>
      </c>
      <c r="K1691" s="98">
        <v>546.63</v>
      </c>
      <c r="L1691" s="98">
        <v>1.8765000000000001</v>
      </c>
      <c r="M1691" s="98">
        <v>546.54</v>
      </c>
      <c r="N1691" s="98">
        <v>1.8763000000000001</v>
      </c>
      <c r="O1691" s="99" t="s">
        <v>2072</v>
      </c>
    </row>
    <row r="1692" spans="1:15" x14ac:dyDescent="0.25">
      <c r="A1692" s="98" t="s">
        <v>54</v>
      </c>
      <c r="B1692" s="98" t="s">
        <v>8</v>
      </c>
      <c r="C1692" s="98">
        <v>33</v>
      </c>
      <c r="D1692" s="98">
        <v>330.01</v>
      </c>
      <c r="E1692" s="98">
        <v>1</v>
      </c>
      <c r="F1692" s="98" t="s">
        <v>6</v>
      </c>
      <c r="G1692" s="98" t="s">
        <v>4</v>
      </c>
      <c r="H1692" s="98">
        <v>4.4999999999999998E-2</v>
      </c>
      <c r="I1692" s="98">
        <v>10.00001</v>
      </c>
      <c r="J1692" s="98" t="s">
        <v>10</v>
      </c>
      <c r="K1692" s="98">
        <v>572.72</v>
      </c>
      <c r="L1692" s="98">
        <v>0.26556000000000002</v>
      </c>
      <c r="M1692" s="98">
        <v>572.67999999999995</v>
      </c>
      <c r="N1692" s="98">
        <v>0.26538</v>
      </c>
      <c r="O1692" s="99" t="s">
        <v>2067</v>
      </c>
    </row>
    <row r="1693" spans="1:15" x14ac:dyDescent="0.25">
      <c r="A1693" s="98" t="s">
        <v>54</v>
      </c>
      <c r="B1693" s="98" t="s">
        <v>8</v>
      </c>
      <c r="C1693" s="98">
        <v>33</v>
      </c>
      <c r="D1693" s="98">
        <v>330.01</v>
      </c>
      <c r="E1693" s="98">
        <v>1</v>
      </c>
      <c r="F1693" s="98" t="s">
        <v>6</v>
      </c>
      <c r="G1693" s="98" t="s">
        <v>4</v>
      </c>
      <c r="H1693" s="98">
        <v>0.01</v>
      </c>
      <c r="I1693" s="98">
        <v>4.5010000000000001E-2</v>
      </c>
      <c r="J1693" s="98" t="s">
        <v>10</v>
      </c>
      <c r="K1693" s="98">
        <v>576.98</v>
      </c>
      <c r="L1693" s="98">
        <v>0.10542</v>
      </c>
      <c r="M1693" s="98">
        <v>576.96</v>
      </c>
      <c r="N1693" s="98">
        <v>0.10532999999999999</v>
      </c>
      <c r="O1693" s="99" t="s">
        <v>2070</v>
      </c>
    </row>
    <row r="1694" spans="1:15" x14ac:dyDescent="0.25">
      <c r="A1694" s="98" t="s">
        <v>54</v>
      </c>
      <c r="B1694" s="98" t="s">
        <v>8</v>
      </c>
      <c r="C1694" s="98">
        <v>33</v>
      </c>
      <c r="D1694" s="98">
        <v>330.01</v>
      </c>
      <c r="E1694" s="98">
        <v>10</v>
      </c>
      <c r="F1694" s="98" t="s">
        <v>6</v>
      </c>
      <c r="G1694" s="98" t="s">
        <v>4</v>
      </c>
      <c r="H1694" s="98">
        <v>4.4999999999999998E-2</v>
      </c>
      <c r="I1694" s="98">
        <v>10.00001</v>
      </c>
      <c r="J1694" s="98" t="s">
        <v>10</v>
      </c>
      <c r="K1694" s="98">
        <v>5799.2</v>
      </c>
      <c r="L1694" s="98">
        <v>2.8473999999999999E-2</v>
      </c>
      <c r="M1694" s="98">
        <v>5799.2</v>
      </c>
      <c r="N1694" s="98">
        <v>2.8386000000000002E-2</v>
      </c>
      <c r="O1694" s="99" t="s">
        <v>2691</v>
      </c>
    </row>
    <row r="1695" spans="1:15" x14ac:dyDescent="0.25">
      <c r="A1695" s="98" t="s">
        <v>54</v>
      </c>
      <c r="B1695" s="98" t="s">
        <v>8</v>
      </c>
      <c r="C1695" s="98">
        <v>33</v>
      </c>
      <c r="D1695" s="98">
        <v>330.01</v>
      </c>
      <c r="E1695" s="98">
        <v>10</v>
      </c>
      <c r="F1695" s="98" t="s">
        <v>6</v>
      </c>
      <c r="G1695" s="98" t="s">
        <v>4</v>
      </c>
      <c r="H1695" s="98">
        <v>20</v>
      </c>
      <c r="I1695" s="98">
        <v>50.01</v>
      </c>
      <c r="J1695" s="98" t="s">
        <v>10</v>
      </c>
      <c r="K1695" s="98">
        <v>5798.2</v>
      </c>
      <c r="L1695" s="98">
        <v>6.3011999999999999E-2</v>
      </c>
      <c r="M1695" s="98">
        <v>5798.2</v>
      </c>
      <c r="N1695" s="98">
        <v>6.2924999999999995E-2</v>
      </c>
      <c r="O1695" s="99" t="s">
        <v>2074</v>
      </c>
    </row>
    <row r="1696" spans="1:15" x14ac:dyDescent="0.25">
      <c r="A1696" s="98" t="s">
        <v>54</v>
      </c>
      <c r="B1696" s="98" t="s">
        <v>8</v>
      </c>
      <c r="C1696" s="98">
        <v>33</v>
      </c>
      <c r="D1696" s="98">
        <v>330.01</v>
      </c>
      <c r="E1696" s="98">
        <v>10</v>
      </c>
      <c r="F1696" s="98" t="s">
        <v>6</v>
      </c>
      <c r="G1696" s="98" t="s">
        <v>4</v>
      </c>
      <c r="H1696" s="98">
        <v>0.01</v>
      </c>
      <c r="I1696" s="98">
        <v>4.5010000000000001E-2</v>
      </c>
      <c r="J1696" s="98" t="s">
        <v>10</v>
      </c>
      <c r="K1696" s="98">
        <v>5799.7</v>
      </c>
      <c r="L1696" s="98">
        <v>1.0862E-2</v>
      </c>
      <c r="M1696" s="98">
        <v>5799.7</v>
      </c>
      <c r="N1696" s="98">
        <v>1.0822E-2</v>
      </c>
      <c r="O1696" s="99" t="s">
        <v>2075</v>
      </c>
    </row>
    <row r="1697" spans="1:15" x14ac:dyDescent="0.25">
      <c r="A1697" s="98" t="s">
        <v>54</v>
      </c>
      <c r="B1697" s="98" t="s">
        <v>8</v>
      </c>
      <c r="C1697" s="98">
        <v>33</v>
      </c>
      <c r="D1697" s="98">
        <v>330.01</v>
      </c>
      <c r="E1697" s="98">
        <v>10</v>
      </c>
      <c r="F1697" s="98" t="s">
        <v>6</v>
      </c>
      <c r="G1697" s="98" t="s">
        <v>4</v>
      </c>
      <c r="H1697" s="98">
        <v>10</v>
      </c>
      <c r="I1697" s="98">
        <v>20.010000000000002</v>
      </c>
      <c r="J1697" s="98" t="s">
        <v>10</v>
      </c>
      <c r="K1697" s="98">
        <v>5799</v>
      </c>
      <c r="L1697" s="98">
        <v>3.5762000000000002E-2</v>
      </c>
      <c r="M1697" s="98">
        <v>5799</v>
      </c>
      <c r="N1697" s="98">
        <v>3.5673999999999997E-2</v>
      </c>
      <c r="O1697" s="99" t="s">
        <v>2077</v>
      </c>
    </row>
    <row r="1698" spans="1:15" x14ac:dyDescent="0.25">
      <c r="A1698" s="98" t="s">
        <v>54</v>
      </c>
      <c r="B1698" s="98" t="s">
        <v>8</v>
      </c>
      <c r="C1698" s="98">
        <v>33</v>
      </c>
      <c r="D1698" s="98">
        <v>330.01</v>
      </c>
      <c r="E1698" s="98">
        <v>10</v>
      </c>
      <c r="F1698" s="98" t="s">
        <v>6</v>
      </c>
      <c r="G1698" s="98" t="s">
        <v>4</v>
      </c>
      <c r="H1698" s="98">
        <v>50</v>
      </c>
      <c r="I1698" s="98">
        <v>100</v>
      </c>
      <c r="J1698" s="98" t="s">
        <v>10</v>
      </c>
      <c r="K1698" s="98">
        <v>5793.6</v>
      </c>
      <c r="L1698" s="98">
        <v>0.28499000000000002</v>
      </c>
      <c r="M1698" s="98">
        <v>5793.5</v>
      </c>
      <c r="N1698" s="98">
        <v>0.28476000000000001</v>
      </c>
      <c r="O1698" s="99" t="s">
        <v>2076</v>
      </c>
    </row>
    <row r="1699" spans="1:15" x14ac:dyDescent="0.25">
      <c r="A1699" s="98" t="s">
        <v>54</v>
      </c>
      <c r="B1699" s="98" t="s">
        <v>8</v>
      </c>
      <c r="C1699" s="98">
        <v>33</v>
      </c>
      <c r="D1699" s="98">
        <v>330.01</v>
      </c>
      <c r="E1699" s="98">
        <v>10</v>
      </c>
      <c r="F1699" s="98" t="s">
        <v>6</v>
      </c>
      <c r="G1699" s="98" t="s">
        <v>4</v>
      </c>
      <c r="H1699" s="98">
        <v>100</v>
      </c>
      <c r="I1699" s="98">
        <v>100.1</v>
      </c>
      <c r="J1699" s="98" t="s">
        <v>10</v>
      </c>
      <c r="K1699" s="98">
        <v>5793.6</v>
      </c>
      <c r="L1699" s="98">
        <v>0.28499000000000002</v>
      </c>
      <c r="M1699" s="98">
        <v>5793.5</v>
      </c>
      <c r="N1699" s="98">
        <v>0.28476000000000001</v>
      </c>
      <c r="O1699" s="99" t="s">
        <v>2073</v>
      </c>
    </row>
    <row r="1700" spans="1:15" x14ac:dyDescent="0.25">
      <c r="A1700" s="98" t="s">
        <v>54</v>
      </c>
      <c r="B1700" s="98" t="s">
        <v>8</v>
      </c>
      <c r="C1700" s="98">
        <v>330</v>
      </c>
      <c r="D1700" s="98">
        <v>1020.01</v>
      </c>
      <c r="E1700" s="98">
        <v>1E-3</v>
      </c>
      <c r="F1700" s="98" t="s">
        <v>6</v>
      </c>
      <c r="G1700" s="98" t="s">
        <v>4</v>
      </c>
      <c r="H1700" s="98">
        <v>4.4999999999999998E-2</v>
      </c>
      <c r="I1700" s="98">
        <v>1.0000100000000001</v>
      </c>
      <c r="J1700" s="98" t="s">
        <v>10</v>
      </c>
      <c r="K1700" s="98">
        <v>24</v>
      </c>
      <c r="L1700" s="98">
        <v>0.57999999999999996</v>
      </c>
      <c r="M1700" s="98">
        <v>23.335000000000001</v>
      </c>
      <c r="N1700" s="98">
        <v>0.57833999999999997</v>
      </c>
      <c r="O1700" s="99" t="s">
        <v>2692</v>
      </c>
    </row>
    <row r="1701" spans="1:15" x14ac:dyDescent="0.25">
      <c r="A1701" s="98" t="s">
        <v>54</v>
      </c>
      <c r="B1701" s="98" t="s">
        <v>8</v>
      </c>
      <c r="C1701" s="98">
        <v>330</v>
      </c>
      <c r="D1701" s="98">
        <v>1020.01</v>
      </c>
      <c r="E1701" s="98">
        <v>1E-3</v>
      </c>
      <c r="F1701" s="98" t="s">
        <v>6</v>
      </c>
      <c r="G1701" s="98" t="s">
        <v>4</v>
      </c>
      <c r="H1701" s="98">
        <v>10</v>
      </c>
      <c r="I1701" s="98">
        <v>10.01</v>
      </c>
      <c r="J1701" s="98" t="s">
        <v>10</v>
      </c>
      <c r="K1701" s="98">
        <v>64</v>
      </c>
      <c r="L1701" s="98">
        <v>1</v>
      </c>
      <c r="M1701" s="98">
        <v>23.23</v>
      </c>
      <c r="N1701" s="98">
        <v>1.0398000000000001</v>
      </c>
      <c r="O1701" s="99" t="s">
        <v>2080</v>
      </c>
    </row>
    <row r="1702" spans="1:15" x14ac:dyDescent="0.25">
      <c r="A1702" s="98" t="s">
        <v>54</v>
      </c>
      <c r="B1702" s="98" t="s">
        <v>8</v>
      </c>
      <c r="C1702" s="98">
        <v>330</v>
      </c>
      <c r="D1702" s="98">
        <v>1020.01</v>
      </c>
      <c r="E1702" s="98">
        <v>1E-3</v>
      </c>
      <c r="F1702" s="98" t="s">
        <v>6</v>
      </c>
      <c r="G1702" s="98" t="s">
        <v>4</v>
      </c>
      <c r="H1702" s="98">
        <v>1</v>
      </c>
      <c r="I1702" s="98">
        <v>5.01</v>
      </c>
      <c r="J1702" s="98" t="s">
        <v>10</v>
      </c>
      <c r="K1702" s="98">
        <v>28</v>
      </c>
      <c r="L1702" s="98">
        <v>0.92</v>
      </c>
      <c r="M1702" s="98">
        <v>23.262</v>
      </c>
      <c r="N1702" s="98">
        <v>0.92437000000000002</v>
      </c>
      <c r="O1702" s="99" t="s">
        <v>2079</v>
      </c>
    </row>
    <row r="1703" spans="1:15" x14ac:dyDescent="0.25">
      <c r="A1703" s="98" t="s">
        <v>54</v>
      </c>
      <c r="B1703" s="98" t="s">
        <v>8</v>
      </c>
      <c r="C1703" s="98">
        <v>330</v>
      </c>
      <c r="D1703" s="98">
        <v>1020.01</v>
      </c>
      <c r="E1703" s="98">
        <v>1E-3</v>
      </c>
      <c r="F1703" s="98" t="s">
        <v>6</v>
      </c>
      <c r="G1703" s="98" t="s">
        <v>4</v>
      </c>
      <c r="H1703" s="98">
        <v>5</v>
      </c>
      <c r="I1703" s="98">
        <v>10.01</v>
      </c>
      <c r="J1703" s="98" t="s">
        <v>10</v>
      </c>
      <c r="K1703" s="98">
        <v>64</v>
      </c>
      <c r="L1703" s="98">
        <v>1</v>
      </c>
      <c r="M1703" s="98">
        <v>23.23</v>
      </c>
      <c r="N1703" s="98">
        <v>1.0398000000000001</v>
      </c>
      <c r="O1703" s="99" t="s">
        <v>2078</v>
      </c>
    </row>
    <row r="1704" spans="1:15" x14ac:dyDescent="0.25">
      <c r="A1704" s="98" t="s">
        <v>54</v>
      </c>
      <c r="B1704" s="98" t="s">
        <v>8</v>
      </c>
      <c r="C1704" s="98">
        <v>330</v>
      </c>
      <c r="D1704" s="98">
        <v>1020.01</v>
      </c>
      <c r="E1704" s="98">
        <v>0.01</v>
      </c>
      <c r="F1704" s="98" t="s">
        <v>6</v>
      </c>
      <c r="G1704" s="98" t="s">
        <v>4</v>
      </c>
      <c r="H1704" s="98">
        <v>1</v>
      </c>
      <c r="I1704" s="98">
        <v>5.01</v>
      </c>
      <c r="J1704" s="98" t="s">
        <v>10</v>
      </c>
      <c r="K1704" s="98">
        <v>29.895</v>
      </c>
      <c r="L1704" s="98">
        <v>0.91966999999999999</v>
      </c>
      <c r="M1704" s="98">
        <v>29.873000000000001</v>
      </c>
      <c r="N1704" s="98">
        <v>0.91957</v>
      </c>
      <c r="O1704" s="99" t="s">
        <v>2693</v>
      </c>
    </row>
    <row r="1705" spans="1:15" x14ac:dyDescent="0.25">
      <c r="A1705" s="98" t="s">
        <v>54</v>
      </c>
      <c r="B1705" s="98" t="s">
        <v>8</v>
      </c>
      <c r="C1705" s="98">
        <v>330</v>
      </c>
      <c r="D1705" s="98">
        <v>1020.01</v>
      </c>
      <c r="E1705" s="98">
        <v>0.01</v>
      </c>
      <c r="F1705" s="98" t="s">
        <v>6</v>
      </c>
      <c r="G1705" s="98" t="s">
        <v>4</v>
      </c>
      <c r="H1705" s="98">
        <v>4.4999999999999998E-2</v>
      </c>
      <c r="I1705" s="98">
        <v>1.0000100000000001</v>
      </c>
      <c r="J1705" s="98" t="s">
        <v>10</v>
      </c>
      <c r="K1705" s="98">
        <v>33.353999999999999</v>
      </c>
      <c r="L1705" s="98">
        <v>0.57133999999999996</v>
      </c>
      <c r="M1705" s="98">
        <v>33.320999999999998</v>
      </c>
      <c r="N1705" s="98">
        <v>0.57118999999999998</v>
      </c>
      <c r="O1705" s="99" t="s">
        <v>2082</v>
      </c>
    </row>
    <row r="1706" spans="1:15" x14ac:dyDescent="0.25">
      <c r="A1706" s="98" t="s">
        <v>54</v>
      </c>
      <c r="B1706" s="98" t="s">
        <v>8</v>
      </c>
      <c r="C1706" s="98">
        <v>330</v>
      </c>
      <c r="D1706" s="98">
        <v>1020.01</v>
      </c>
      <c r="E1706" s="98">
        <v>0.01</v>
      </c>
      <c r="F1706" s="98" t="s">
        <v>6</v>
      </c>
      <c r="G1706" s="98" t="s">
        <v>4</v>
      </c>
      <c r="H1706" s="98">
        <v>5</v>
      </c>
      <c r="I1706" s="98">
        <v>10.01</v>
      </c>
      <c r="J1706" s="98" t="s">
        <v>10</v>
      </c>
      <c r="K1706" s="98">
        <v>64</v>
      </c>
      <c r="L1706" s="98">
        <v>1.0355000000000001</v>
      </c>
      <c r="M1706" s="98">
        <v>29.164999999999999</v>
      </c>
      <c r="N1706" s="98">
        <v>1.0355000000000001</v>
      </c>
      <c r="O1706" s="99" t="s">
        <v>2083</v>
      </c>
    </row>
    <row r="1707" spans="1:15" x14ac:dyDescent="0.25">
      <c r="A1707" s="98" t="s">
        <v>54</v>
      </c>
      <c r="B1707" s="98" t="s">
        <v>8</v>
      </c>
      <c r="C1707" s="98">
        <v>330</v>
      </c>
      <c r="D1707" s="98">
        <v>1020.01</v>
      </c>
      <c r="E1707" s="98">
        <v>0.01</v>
      </c>
      <c r="F1707" s="98" t="s">
        <v>6</v>
      </c>
      <c r="G1707" s="98" t="s">
        <v>4</v>
      </c>
      <c r="H1707" s="98">
        <v>10</v>
      </c>
      <c r="I1707" s="98">
        <v>10.01</v>
      </c>
      <c r="J1707" s="98" t="s">
        <v>10</v>
      </c>
      <c r="K1707" s="98">
        <v>64</v>
      </c>
      <c r="L1707" s="98">
        <v>1.0355000000000001</v>
      </c>
      <c r="M1707" s="98">
        <v>29.164999999999999</v>
      </c>
      <c r="N1707" s="98">
        <v>1.0355000000000001</v>
      </c>
      <c r="O1707" s="99" t="s">
        <v>2081</v>
      </c>
    </row>
    <row r="1708" spans="1:15" x14ac:dyDescent="0.25">
      <c r="A1708" s="98" t="s">
        <v>54</v>
      </c>
      <c r="B1708" s="98" t="s">
        <v>8</v>
      </c>
      <c r="C1708" s="98">
        <v>330</v>
      </c>
      <c r="D1708" s="98">
        <v>1020.01</v>
      </c>
      <c r="E1708" s="98">
        <v>0.1</v>
      </c>
      <c r="F1708" s="98" t="s">
        <v>6</v>
      </c>
      <c r="G1708" s="98" t="s">
        <v>4</v>
      </c>
      <c r="H1708" s="98">
        <v>5</v>
      </c>
      <c r="I1708" s="98">
        <v>10.01</v>
      </c>
      <c r="J1708" s="98" t="s">
        <v>10</v>
      </c>
      <c r="K1708" s="98">
        <v>426.17</v>
      </c>
      <c r="L1708" s="98">
        <v>0.78768000000000005</v>
      </c>
      <c r="M1708" s="98">
        <v>426.19</v>
      </c>
      <c r="N1708" s="98">
        <v>0.7873</v>
      </c>
      <c r="O1708" s="99" t="s">
        <v>2694</v>
      </c>
    </row>
    <row r="1709" spans="1:15" x14ac:dyDescent="0.25">
      <c r="A1709" s="98" t="s">
        <v>54</v>
      </c>
      <c r="B1709" s="98" t="s">
        <v>8</v>
      </c>
      <c r="C1709" s="98">
        <v>330</v>
      </c>
      <c r="D1709" s="98">
        <v>1020.01</v>
      </c>
      <c r="E1709" s="98">
        <v>0.1</v>
      </c>
      <c r="F1709" s="98" t="s">
        <v>6</v>
      </c>
      <c r="G1709" s="98" t="s">
        <v>4</v>
      </c>
      <c r="H1709" s="98">
        <v>4.4999999999999998E-2</v>
      </c>
      <c r="I1709" s="98">
        <v>1.0000100000000001</v>
      </c>
      <c r="J1709" s="98" t="s">
        <v>10</v>
      </c>
      <c r="K1709" s="98">
        <v>510.18</v>
      </c>
      <c r="L1709" s="98">
        <v>0.32784999999999997</v>
      </c>
      <c r="M1709" s="98">
        <v>510.26</v>
      </c>
      <c r="N1709" s="98">
        <v>0.32723999999999998</v>
      </c>
      <c r="O1709" s="99" t="s">
        <v>2695</v>
      </c>
    </row>
    <row r="1710" spans="1:15" x14ac:dyDescent="0.25">
      <c r="A1710" s="98" t="s">
        <v>54</v>
      </c>
      <c r="B1710" s="98" t="s">
        <v>8</v>
      </c>
      <c r="C1710" s="98">
        <v>330</v>
      </c>
      <c r="D1710" s="98">
        <v>1020.01</v>
      </c>
      <c r="E1710" s="98">
        <v>0.1</v>
      </c>
      <c r="F1710" s="98" t="s">
        <v>6</v>
      </c>
      <c r="G1710" s="98" t="s">
        <v>4</v>
      </c>
      <c r="H1710" s="98">
        <v>1</v>
      </c>
      <c r="I1710" s="98">
        <v>5.01</v>
      </c>
      <c r="J1710" s="98" t="s">
        <v>10</v>
      </c>
      <c r="K1710" s="98">
        <v>446.23</v>
      </c>
      <c r="L1710" s="98">
        <v>0.66766000000000003</v>
      </c>
      <c r="M1710" s="98">
        <v>446.26</v>
      </c>
      <c r="N1710" s="98">
        <v>0.66722999999999999</v>
      </c>
      <c r="O1710" s="99" t="s">
        <v>2085</v>
      </c>
    </row>
    <row r="1711" spans="1:15" x14ac:dyDescent="0.25">
      <c r="A1711" s="98" t="s">
        <v>54</v>
      </c>
      <c r="B1711" s="98" t="s">
        <v>8</v>
      </c>
      <c r="C1711" s="98">
        <v>330</v>
      </c>
      <c r="D1711" s="98">
        <v>1020.01</v>
      </c>
      <c r="E1711" s="98">
        <v>0.1</v>
      </c>
      <c r="F1711" s="98" t="s">
        <v>6</v>
      </c>
      <c r="G1711" s="98" t="s">
        <v>4</v>
      </c>
      <c r="H1711" s="98">
        <v>10</v>
      </c>
      <c r="I1711" s="98">
        <v>10.01</v>
      </c>
      <c r="J1711" s="98" t="s">
        <v>10</v>
      </c>
      <c r="K1711" s="98">
        <v>426.17</v>
      </c>
      <c r="L1711" s="98">
        <v>0.78768000000000005</v>
      </c>
      <c r="M1711" s="98">
        <v>426.19</v>
      </c>
      <c r="N1711" s="98">
        <v>0.7873</v>
      </c>
      <c r="O1711" s="99" t="s">
        <v>2084</v>
      </c>
    </row>
    <row r="1712" spans="1:15" x14ac:dyDescent="0.25">
      <c r="A1712" s="98" t="s">
        <v>54</v>
      </c>
      <c r="B1712" s="98" t="s">
        <v>8</v>
      </c>
      <c r="C1712" s="98">
        <v>330</v>
      </c>
      <c r="D1712" s="98">
        <v>1020.01</v>
      </c>
      <c r="E1712" s="98">
        <v>1</v>
      </c>
      <c r="F1712" s="98" t="s">
        <v>6</v>
      </c>
      <c r="G1712" s="98" t="s">
        <v>4</v>
      </c>
      <c r="H1712" s="98">
        <v>4.4999999999999998E-2</v>
      </c>
      <c r="I1712" s="98">
        <v>1.0000100000000001</v>
      </c>
      <c r="J1712" s="98" t="s">
        <v>10</v>
      </c>
      <c r="K1712" s="98">
        <v>5790.3</v>
      </c>
      <c r="L1712" s="98">
        <v>4.1506000000000001E-2</v>
      </c>
      <c r="M1712" s="98">
        <v>5790.4</v>
      </c>
      <c r="N1712" s="98">
        <v>4.1123E-2</v>
      </c>
      <c r="O1712" s="99" t="s">
        <v>2089</v>
      </c>
    </row>
    <row r="1713" spans="1:15" x14ac:dyDescent="0.25">
      <c r="A1713" s="98" t="s">
        <v>54</v>
      </c>
      <c r="B1713" s="98" t="s">
        <v>8</v>
      </c>
      <c r="C1713" s="98">
        <v>330</v>
      </c>
      <c r="D1713" s="98">
        <v>1020.01</v>
      </c>
      <c r="E1713" s="98">
        <v>1</v>
      </c>
      <c r="F1713" s="98" t="s">
        <v>6</v>
      </c>
      <c r="G1713" s="98" t="s">
        <v>4</v>
      </c>
      <c r="H1713" s="98">
        <v>10</v>
      </c>
      <c r="I1713" s="98">
        <v>10.01</v>
      </c>
      <c r="J1713" s="98" t="s">
        <v>10</v>
      </c>
      <c r="K1713" s="98">
        <v>5769</v>
      </c>
      <c r="L1713" s="98">
        <v>0.12912000000000001</v>
      </c>
      <c r="M1713" s="98">
        <v>5769.1</v>
      </c>
      <c r="N1713" s="98">
        <v>0.12875</v>
      </c>
      <c r="O1713" s="99" t="s">
        <v>2086</v>
      </c>
    </row>
    <row r="1714" spans="1:15" x14ac:dyDescent="0.25">
      <c r="A1714" s="98" t="s">
        <v>54</v>
      </c>
      <c r="B1714" s="98" t="s">
        <v>8</v>
      </c>
      <c r="C1714" s="98">
        <v>330</v>
      </c>
      <c r="D1714" s="98">
        <v>1020.01</v>
      </c>
      <c r="E1714" s="98">
        <v>1</v>
      </c>
      <c r="F1714" s="98" t="s">
        <v>6</v>
      </c>
      <c r="G1714" s="98" t="s">
        <v>4</v>
      </c>
      <c r="H1714" s="98">
        <v>1</v>
      </c>
      <c r="I1714" s="98">
        <v>5.01</v>
      </c>
      <c r="J1714" s="98" t="s">
        <v>10</v>
      </c>
      <c r="K1714" s="98">
        <v>5775.4</v>
      </c>
      <c r="L1714" s="98">
        <v>0.10274</v>
      </c>
      <c r="M1714" s="98">
        <v>5775.5</v>
      </c>
      <c r="N1714" s="98">
        <v>0.10236000000000001</v>
      </c>
      <c r="O1714" s="99" t="s">
        <v>2088</v>
      </c>
    </row>
    <row r="1715" spans="1:15" x14ac:dyDescent="0.25">
      <c r="A1715" s="98" t="s">
        <v>54</v>
      </c>
      <c r="B1715" s="98" t="s">
        <v>8</v>
      </c>
      <c r="C1715" s="98">
        <v>330</v>
      </c>
      <c r="D1715" s="98">
        <v>1020.01</v>
      </c>
      <c r="E1715" s="98">
        <v>1</v>
      </c>
      <c r="F1715" s="98" t="s">
        <v>6</v>
      </c>
      <c r="G1715" s="98" t="s">
        <v>4</v>
      </c>
      <c r="H1715" s="98">
        <v>5</v>
      </c>
      <c r="I1715" s="98">
        <v>10.01</v>
      </c>
      <c r="J1715" s="98" t="s">
        <v>10</v>
      </c>
      <c r="K1715" s="98">
        <v>5769</v>
      </c>
      <c r="L1715" s="98">
        <v>0.12912000000000001</v>
      </c>
      <c r="M1715" s="98">
        <v>5769.1</v>
      </c>
      <c r="N1715" s="98">
        <v>0.12875</v>
      </c>
      <c r="O1715" s="99" t="s">
        <v>2087</v>
      </c>
    </row>
    <row r="1716" spans="1:15" x14ac:dyDescent="0.25">
      <c r="A1716" s="98" t="s">
        <v>54</v>
      </c>
      <c r="B1716" s="98" t="s">
        <v>8</v>
      </c>
      <c r="C1716" s="98">
        <v>330</v>
      </c>
      <c r="D1716" s="98">
        <v>1020.01</v>
      </c>
      <c r="E1716" s="98">
        <v>10</v>
      </c>
      <c r="F1716" s="98" t="s">
        <v>6</v>
      </c>
      <c r="G1716" s="98" t="s">
        <v>4</v>
      </c>
      <c r="H1716" s="98">
        <v>4.4999999999999998E-2</v>
      </c>
      <c r="I1716" s="98">
        <v>1.0000100000000001</v>
      </c>
      <c r="J1716" s="98" t="s">
        <v>10</v>
      </c>
      <c r="K1716" s="98">
        <v>57999</v>
      </c>
      <c r="L1716" s="98">
        <v>4.2792999999999998E-3</v>
      </c>
      <c r="M1716" s="98">
        <v>57999</v>
      </c>
      <c r="N1716" s="98">
        <v>4.1250000000000002E-3</v>
      </c>
      <c r="O1716" s="99" t="s">
        <v>2696</v>
      </c>
    </row>
    <row r="1717" spans="1:15" x14ac:dyDescent="0.25">
      <c r="A1717" s="98" t="s">
        <v>54</v>
      </c>
      <c r="B1717" s="98" t="s">
        <v>8</v>
      </c>
      <c r="C1717" s="98">
        <v>330</v>
      </c>
      <c r="D1717" s="98">
        <v>1020.01</v>
      </c>
      <c r="E1717" s="98">
        <v>10</v>
      </c>
      <c r="F1717" s="98" t="s">
        <v>6</v>
      </c>
      <c r="G1717" s="98" t="s">
        <v>4</v>
      </c>
      <c r="H1717" s="98">
        <v>1</v>
      </c>
      <c r="I1717" s="98">
        <v>5.01</v>
      </c>
      <c r="J1717" s="98" t="s">
        <v>10</v>
      </c>
      <c r="K1717" s="98">
        <v>57998</v>
      </c>
      <c r="L1717" s="98">
        <v>1.0468E-2</v>
      </c>
      <c r="M1717" s="98">
        <v>57998</v>
      </c>
      <c r="N1717" s="98">
        <v>1.0314E-2</v>
      </c>
      <c r="O1717" s="99" t="s">
        <v>2092</v>
      </c>
    </row>
    <row r="1718" spans="1:15" x14ac:dyDescent="0.25">
      <c r="A1718" s="98" t="s">
        <v>54</v>
      </c>
      <c r="B1718" s="98" t="s">
        <v>8</v>
      </c>
      <c r="C1718" s="98">
        <v>330</v>
      </c>
      <c r="D1718" s="98">
        <v>1020.01</v>
      </c>
      <c r="E1718" s="98">
        <v>10</v>
      </c>
      <c r="F1718" s="98" t="s">
        <v>6</v>
      </c>
      <c r="G1718" s="98" t="s">
        <v>4</v>
      </c>
      <c r="H1718" s="98">
        <v>10</v>
      </c>
      <c r="I1718" s="98">
        <v>10.01</v>
      </c>
      <c r="J1718" s="98" t="s">
        <v>10</v>
      </c>
      <c r="K1718" s="98">
        <v>57997</v>
      </c>
      <c r="L1718" s="98">
        <v>1.3152E-2</v>
      </c>
      <c r="M1718" s="98">
        <v>57997</v>
      </c>
      <c r="N1718" s="98">
        <v>1.2997999999999999E-2</v>
      </c>
      <c r="O1718" s="99" t="s">
        <v>2091</v>
      </c>
    </row>
    <row r="1719" spans="1:15" x14ac:dyDescent="0.25">
      <c r="A1719" s="98" t="s">
        <v>54</v>
      </c>
      <c r="B1719" s="98" t="s">
        <v>8</v>
      </c>
      <c r="C1719" s="98">
        <v>330</v>
      </c>
      <c r="D1719" s="98">
        <v>1020.01</v>
      </c>
      <c r="E1719" s="98">
        <v>10</v>
      </c>
      <c r="F1719" s="98" t="s">
        <v>6</v>
      </c>
      <c r="G1719" s="98" t="s">
        <v>4</v>
      </c>
      <c r="H1719" s="98">
        <v>5</v>
      </c>
      <c r="I1719" s="98">
        <v>10.01</v>
      </c>
      <c r="J1719" s="98" t="s">
        <v>10</v>
      </c>
      <c r="K1719" s="98">
        <v>57997</v>
      </c>
      <c r="L1719" s="98">
        <v>1.3152E-2</v>
      </c>
      <c r="M1719" s="98">
        <v>57997</v>
      </c>
      <c r="N1719" s="98">
        <v>1.2997999999999999E-2</v>
      </c>
      <c r="O1719" s="99" t="s">
        <v>2090</v>
      </c>
    </row>
    <row r="1720" spans="1:15" x14ac:dyDescent="0.25">
      <c r="A1720" s="98" t="s">
        <v>54</v>
      </c>
      <c r="B1720" s="98" t="s">
        <v>99</v>
      </c>
      <c r="C1720" s="98">
        <v>0</v>
      </c>
      <c r="D1720" s="98">
        <v>1.0900099999999999E-5</v>
      </c>
      <c r="E1720" s="98">
        <v>1E-10</v>
      </c>
      <c r="F1720" s="98" t="s">
        <v>100</v>
      </c>
      <c r="G1720" s="98" t="s">
        <v>100</v>
      </c>
      <c r="H1720" s="98">
        <v>0</v>
      </c>
      <c r="I1720" s="98">
        <v>0</v>
      </c>
      <c r="K1720" s="98">
        <v>0</v>
      </c>
      <c r="L1720" s="98">
        <v>2.5000000000000001E-2</v>
      </c>
      <c r="M1720" s="98">
        <v>0</v>
      </c>
      <c r="N1720" s="98">
        <v>0</v>
      </c>
      <c r="O1720" s="99" t="s">
        <v>1209</v>
      </c>
    </row>
    <row r="1721" spans="1:15" x14ac:dyDescent="0.25">
      <c r="A1721" s="98" t="s">
        <v>54</v>
      </c>
      <c r="B1721" s="98" t="s">
        <v>99</v>
      </c>
      <c r="C1721" s="98">
        <v>0</v>
      </c>
      <c r="D1721" s="98">
        <v>1.0900099999999999E-5</v>
      </c>
      <c r="E1721" s="98">
        <v>1.0000000000000001E-9</v>
      </c>
      <c r="F1721" s="98" t="s">
        <v>100</v>
      </c>
      <c r="G1721" s="98" t="s">
        <v>100</v>
      </c>
      <c r="H1721" s="98">
        <v>0</v>
      </c>
      <c r="I1721" s="98">
        <v>0</v>
      </c>
      <c r="K1721" s="98">
        <v>0</v>
      </c>
      <c r="L1721" s="98">
        <v>2.5177999999999999E-2</v>
      </c>
      <c r="M1721" s="98">
        <v>0</v>
      </c>
      <c r="N1721" s="98">
        <v>0</v>
      </c>
      <c r="O1721" s="99" t="s">
        <v>1210</v>
      </c>
    </row>
    <row r="1722" spans="1:15" x14ac:dyDescent="0.25">
      <c r="A1722" s="98" t="s">
        <v>54</v>
      </c>
      <c r="B1722" s="98" t="s">
        <v>99</v>
      </c>
      <c r="C1722" s="98">
        <v>0</v>
      </c>
      <c r="D1722" s="98">
        <v>1.0900099999999999E-5</v>
      </c>
      <c r="E1722" s="98">
        <v>1E-8</v>
      </c>
      <c r="F1722" s="98" t="s">
        <v>100</v>
      </c>
      <c r="G1722" s="98" t="s">
        <v>100</v>
      </c>
      <c r="H1722" s="98">
        <v>0</v>
      </c>
      <c r="I1722" s="98">
        <v>0</v>
      </c>
      <c r="K1722" s="98">
        <v>0</v>
      </c>
      <c r="L1722" s="98">
        <v>6.2989000000000003E-2</v>
      </c>
      <c r="M1722" s="98">
        <v>0</v>
      </c>
      <c r="N1722" s="98">
        <v>0</v>
      </c>
      <c r="O1722" s="99" t="s">
        <v>1211</v>
      </c>
    </row>
    <row r="1723" spans="1:15" x14ac:dyDescent="0.25">
      <c r="A1723" s="98" t="s">
        <v>54</v>
      </c>
      <c r="B1723" s="98" t="s">
        <v>99</v>
      </c>
      <c r="C1723" s="98">
        <v>0</v>
      </c>
      <c r="D1723" s="98">
        <v>1.0900099999999999E-5</v>
      </c>
      <c r="E1723" s="98">
        <v>9.9999999999999995E-8</v>
      </c>
      <c r="F1723" s="98" t="s">
        <v>100</v>
      </c>
      <c r="G1723" s="98" t="s">
        <v>100</v>
      </c>
      <c r="H1723" s="98">
        <v>0</v>
      </c>
      <c r="I1723" s="98">
        <v>0</v>
      </c>
      <c r="K1723" s="98">
        <v>0</v>
      </c>
      <c r="L1723" s="98">
        <v>0.58052999999999999</v>
      </c>
      <c r="M1723" s="98">
        <v>0</v>
      </c>
      <c r="N1723" s="98">
        <v>0</v>
      </c>
      <c r="O1723" s="99" t="s">
        <v>1212</v>
      </c>
    </row>
    <row r="1724" spans="1:15" x14ac:dyDescent="0.25">
      <c r="A1724" s="98" t="s">
        <v>54</v>
      </c>
      <c r="B1724" s="98" t="s">
        <v>99</v>
      </c>
      <c r="C1724" s="98">
        <v>0</v>
      </c>
      <c r="D1724" s="98">
        <v>1.0900099999999999E-5</v>
      </c>
      <c r="E1724" s="98">
        <v>9.9999999999999995E-7</v>
      </c>
      <c r="F1724" s="98" t="s">
        <v>100</v>
      </c>
      <c r="G1724" s="98" t="s">
        <v>100</v>
      </c>
      <c r="H1724" s="98">
        <v>0</v>
      </c>
      <c r="I1724" s="98">
        <v>0</v>
      </c>
      <c r="K1724" s="98">
        <v>0</v>
      </c>
      <c r="L1724" s="98">
        <v>5.8000999999999996</v>
      </c>
      <c r="M1724" s="98">
        <v>0</v>
      </c>
      <c r="N1724" s="98">
        <v>0</v>
      </c>
      <c r="O1724" s="99" t="s">
        <v>1213</v>
      </c>
    </row>
    <row r="1725" spans="1:15" x14ac:dyDescent="0.25">
      <c r="A1725" s="98" t="s">
        <v>54</v>
      </c>
      <c r="B1725" s="98" t="s">
        <v>99</v>
      </c>
      <c r="C1725" s="98">
        <v>1.0900000000000001E-5</v>
      </c>
      <c r="D1725" s="98">
        <v>1.0900000000000001E-4</v>
      </c>
      <c r="E1725" s="98">
        <v>1.0000000000000001E-9</v>
      </c>
      <c r="F1725" s="98" t="s">
        <v>100</v>
      </c>
      <c r="G1725" s="98" t="s">
        <v>100</v>
      </c>
      <c r="H1725" s="98">
        <v>0</v>
      </c>
      <c r="I1725" s="98">
        <v>0</v>
      </c>
      <c r="K1725" s="98">
        <v>0</v>
      </c>
      <c r="L1725" s="98">
        <v>2.5999999999999999E-3</v>
      </c>
      <c r="M1725" s="98">
        <v>0</v>
      </c>
      <c r="N1725" s="98">
        <v>0</v>
      </c>
      <c r="O1725" s="99" t="s">
        <v>1214</v>
      </c>
    </row>
    <row r="1726" spans="1:15" x14ac:dyDescent="0.25">
      <c r="A1726" s="98" t="s">
        <v>54</v>
      </c>
      <c r="B1726" s="98" t="s">
        <v>99</v>
      </c>
      <c r="C1726" s="98">
        <v>1.0900000000000001E-5</v>
      </c>
      <c r="D1726" s="98">
        <v>1.0900000000000001E-4</v>
      </c>
      <c r="E1726" s="98">
        <v>1E-8</v>
      </c>
      <c r="F1726" s="98" t="s">
        <v>100</v>
      </c>
      <c r="G1726" s="98" t="s">
        <v>100</v>
      </c>
      <c r="H1726" s="98">
        <v>0</v>
      </c>
      <c r="I1726" s="98">
        <v>0</v>
      </c>
      <c r="K1726" s="98">
        <v>0</v>
      </c>
      <c r="L1726" s="98">
        <v>2.5999999999999999E-3</v>
      </c>
      <c r="M1726" s="98">
        <v>0</v>
      </c>
      <c r="N1726" s="98">
        <v>0</v>
      </c>
      <c r="O1726" s="99" t="s">
        <v>1215</v>
      </c>
    </row>
    <row r="1727" spans="1:15" x14ac:dyDescent="0.25">
      <c r="A1727" s="98" t="s">
        <v>54</v>
      </c>
      <c r="B1727" s="98" t="s">
        <v>99</v>
      </c>
      <c r="C1727" s="98">
        <v>1.0900000000000001E-5</v>
      </c>
      <c r="D1727" s="98">
        <v>1.0900000000000001E-4</v>
      </c>
      <c r="E1727" s="98">
        <v>9.9999999999999995E-8</v>
      </c>
      <c r="F1727" s="98" t="s">
        <v>100</v>
      </c>
      <c r="G1727" s="98" t="s">
        <v>100</v>
      </c>
      <c r="H1727" s="98">
        <v>0</v>
      </c>
      <c r="I1727" s="98">
        <v>0</v>
      </c>
      <c r="K1727" s="98">
        <v>0</v>
      </c>
      <c r="L1727" s="98">
        <v>5.8884000000000002E-3</v>
      </c>
      <c r="M1727" s="98">
        <v>0</v>
      </c>
      <c r="N1727" s="98">
        <v>0</v>
      </c>
      <c r="O1727" s="99" t="s">
        <v>1216</v>
      </c>
    </row>
    <row r="1728" spans="1:15" x14ac:dyDescent="0.25">
      <c r="A1728" s="98" t="s">
        <v>54</v>
      </c>
      <c r="B1728" s="98" t="s">
        <v>99</v>
      </c>
      <c r="C1728" s="98">
        <v>1.0900000000000001E-5</v>
      </c>
      <c r="D1728" s="98">
        <v>1.0900000000000001E-4</v>
      </c>
      <c r="E1728" s="98">
        <v>9.9999999999999995E-7</v>
      </c>
      <c r="F1728" s="98" t="s">
        <v>100</v>
      </c>
      <c r="G1728" s="98" t="s">
        <v>100</v>
      </c>
      <c r="H1728" s="98">
        <v>0</v>
      </c>
      <c r="I1728" s="98">
        <v>0</v>
      </c>
      <c r="K1728" s="98">
        <v>0</v>
      </c>
      <c r="L1728" s="98">
        <v>5.3319999999999999E-2</v>
      </c>
      <c r="M1728" s="98">
        <v>0</v>
      </c>
      <c r="N1728" s="98">
        <v>0</v>
      </c>
      <c r="O1728" s="99" t="s">
        <v>1217</v>
      </c>
    </row>
    <row r="1729" spans="1:15" x14ac:dyDescent="0.25">
      <c r="A1729" s="98" t="s">
        <v>54</v>
      </c>
      <c r="B1729" s="98" t="s">
        <v>99</v>
      </c>
      <c r="C1729" s="98">
        <v>1.0900000000000001E-5</v>
      </c>
      <c r="D1729" s="98">
        <v>1.0900000000000001E-4</v>
      </c>
      <c r="E1729" s="98">
        <v>1.0000000000000001E-5</v>
      </c>
      <c r="F1729" s="98" t="s">
        <v>100</v>
      </c>
      <c r="G1729" s="98" t="s">
        <v>100</v>
      </c>
      <c r="H1729" s="98">
        <v>0</v>
      </c>
      <c r="I1729" s="98">
        <v>0</v>
      </c>
      <c r="K1729" s="98">
        <v>0</v>
      </c>
      <c r="L1729" s="98">
        <v>0.53261000000000003</v>
      </c>
      <c r="M1729" s="98">
        <v>0</v>
      </c>
      <c r="N1729" s="98">
        <v>0</v>
      </c>
      <c r="O1729" s="99" t="s">
        <v>1218</v>
      </c>
    </row>
    <row r="1730" spans="1:15" x14ac:dyDescent="0.25">
      <c r="A1730" s="98" t="s">
        <v>54</v>
      </c>
      <c r="B1730" s="98" t="s">
        <v>99</v>
      </c>
      <c r="C1730" s="98">
        <v>1.0900000000000001E-4</v>
      </c>
      <c r="D1730" s="98">
        <v>1.0901000000000001E-3</v>
      </c>
      <c r="E1730" s="98">
        <v>1E-8</v>
      </c>
      <c r="F1730" s="98" t="s">
        <v>100</v>
      </c>
      <c r="G1730" s="98" t="s">
        <v>100</v>
      </c>
      <c r="H1730" s="98">
        <v>0</v>
      </c>
      <c r="I1730" s="98">
        <v>0</v>
      </c>
      <c r="K1730" s="98">
        <v>0</v>
      </c>
      <c r="L1730" s="98">
        <v>1.6999999999999999E-3</v>
      </c>
      <c r="M1730" s="98">
        <v>0</v>
      </c>
      <c r="N1730" s="98">
        <v>0</v>
      </c>
      <c r="O1730" s="99" t="s">
        <v>1219</v>
      </c>
    </row>
    <row r="1731" spans="1:15" x14ac:dyDescent="0.25">
      <c r="A1731" s="98" t="s">
        <v>54</v>
      </c>
      <c r="B1731" s="98" t="s">
        <v>99</v>
      </c>
      <c r="C1731" s="98">
        <v>1.0900000000000001E-4</v>
      </c>
      <c r="D1731" s="98">
        <v>1.0901000000000001E-3</v>
      </c>
      <c r="E1731" s="98">
        <v>9.9999999999999995E-8</v>
      </c>
      <c r="F1731" s="98" t="s">
        <v>100</v>
      </c>
      <c r="G1731" s="98" t="s">
        <v>100</v>
      </c>
      <c r="H1731" s="98">
        <v>0</v>
      </c>
      <c r="I1731" s="98">
        <v>0</v>
      </c>
      <c r="K1731" s="98">
        <v>0</v>
      </c>
      <c r="L1731" s="98">
        <v>1.6999999999999999E-3</v>
      </c>
      <c r="M1731" s="98">
        <v>0</v>
      </c>
      <c r="N1731" s="98">
        <v>0</v>
      </c>
      <c r="O1731" s="99" t="s">
        <v>1220</v>
      </c>
    </row>
    <row r="1732" spans="1:15" x14ac:dyDescent="0.25">
      <c r="A1732" s="98" t="s">
        <v>54</v>
      </c>
      <c r="B1732" s="98" t="s">
        <v>99</v>
      </c>
      <c r="C1732" s="98">
        <v>1.0900000000000001E-4</v>
      </c>
      <c r="D1732" s="98">
        <v>1.0901000000000001E-3</v>
      </c>
      <c r="E1732" s="98">
        <v>9.9999999999999995E-7</v>
      </c>
      <c r="F1732" s="98" t="s">
        <v>100</v>
      </c>
      <c r="G1732" s="98" t="s">
        <v>100</v>
      </c>
      <c r="H1732" s="98">
        <v>0</v>
      </c>
      <c r="I1732" s="98">
        <v>0</v>
      </c>
      <c r="K1732" s="98">
        <v>0</v>
      </c>
      <c r="L1732" s="98">
        <v>5.5645E-3</v>
      </c>
      <c r="M1732" s="98">
        <v>0</v>
      </c>
      <c r="N1732" s="98">
        <v>0</v>
      </c>
      <c r="O1732" s="99" t="s">
        <v>1221</v>
      </c>
    </row>
    <row r="1733" spans="1:15" x14ac:dyDescent="0.25">
      <c r="A1733" s="98" t="s">
        <v>54</v>
      </c>
      <c r="B1733" s="98" t="s">
        <v>99</v>
      </c>
      <c r="C1733" s="98">
        <v>1.0900000000000001E-4</v>
      </c>
      <c r="D1733" s="98">
        <v>1.0901000000000001E-3</v>
      </c>
      <c r="E1733" s="98">
        <v>1.0000000000000001E-5</v>
      </c>
      <c r="F1733" s="98" t="s">
        <v>100</v>
      </c>
      <c r="G1733" s="98" t="s">
        <v>100</v>
      </c>
      <c r="H1733" s="98">
        <v>0</v>
      </c>
      <c r="I1733" s="98">
        <v>0</v>
      </c>
      <c r="K1733" s="98">
        <v>0</v>
      </c>
      <c r="L1733" s="98">
        <v>5.3284999999999999E-2</v>
      </c>
      <c r="M1733" s="98">
        <v>0</v>
      </c>
      <c r="N1733" s="98">
        <v>0</v>
      </c>
      <c r="O1733" s="99" t="s">
        <v>1222</v>
      </c>
    </row>
    <row r="1734" spans="1:15" x14ac:dyDescent="0.25">
      <c r="A1734" s="98" t="s">
        <v>54</v>
      </c>
      <c r="B1734" s="98" t="s">
        <v>99</v>
      </c>
      <c r="C1734" s="98">
        <v>1.0900000000000001E-4</v>
      </c>
      <c r="D1734" s="98">
        <v>1.0901000000000001E-3</v>
      </c>
      <c r="E1734" s="98">
        <v>1E-4</v>
      </c>
      <c r="F1734" s="98" t="s">
        <v>100</v>
      </c>
      <c r="G1734" s="98" t="s">
        <v>100</v>
      </c>
      <c r="H1734" s="98">
        <v>0</v>
      </c>
      <c r="I1734" s="98">
        <v>0</v>
      </c>
      <c r="K1734" s="98">
        <v>0</v>
      </c>
      <c r="L1734" s="98">
        <v>0.53259999999999996</v>
      </c>
      <c r="M1734" s="98">
        <v>0</v>
      </c>
      <c r="N1734" s="98">
        <v>0</v>
      </c>
      <c r="O1734" s="99" t="s">
        <v>1223</v>
      </c>
    </row>
    <row r="1735" spans="1:15" x14ac:dyDescent="0.25">
      <c r="A1735" s="98" t="s">
        <v>54</v>
      </c>
      <c r="B1735" s="98" t="s">
        <v>99</v>
      </c>
      <c r="C1735" s="98">
        <v>1.09E-3</v>
      </c>
      <c r="D1735" s="98">
        <v>1.0900099999999999E-2</v>
      </c>
      <c r="E1735" s="98">
        <v>9.9999999999999995E-8</v>
      </c>
      <c r="F1735" s="98" t="s">
        <v>100</v>
      </c>
      <c r="G1735" s="98" t="s">
        <v>100</v>
      </c>
      <c r="H1735" s="98">
        <v>0</v>
      </c>
      <c r="I1735" s="98">
        <v>0</v>
      </c>
      <c r="K1735" s="98">
        <v>0</v>
      </c>
      <c r="L1735" s="98">
        <v>1.2999999999999999E-3</v>
      </c>
      <c r="M1735" s="98">
        <v>0</v>
      </c>
      <c r="N1735" s="98">
        <v>0</v>
      </c>
      <c r="O1735" s="99" t="s">
        <v>1224</v>
      </c>
    </row>
    <row r="1736" spans="1:15" x14ac:dyDescent="0.25">
      <c r="A1736" s="98" t="s">
        <v>54</v>
      </c>
      <c r="B1736" s="98" t="s">
        <v>99</v>
      </c>
      <c r="C1736" s="98">
        <v>1.09E-3</v>
      </c>
      <c r="D1736" s="98">
        <v>1.0900099999999999E-2</v>
      </c>
      <c r="E1736" s="98">
        <v>9.9999999999999995E-7</v>
      </c>
      <c r="F1736" s="98" t="s">
        <v>100</v>
      </c>
      <c r="G1736" s="98" t="s">
        <v>100</v>
      </c>
      <c r="H1736" s="98">
        <v>0</v>
      </c>
      <c r="I1736" s="98">
        <v>0</v>
      </c>
      <c r="K1736" s="98">
        <v>0</v>
      </c>
      <c r="L1736" s="98">
        <v>1.3483E-3</v>
      </c>
      <c r="M1736" s="98">
        <v>0</v>
      </c>
      <c r="N1736" s="98">
        <v>0</v>
      </c>
      <c r="O1736" s="99" t="s">
        <v>1225</v>
      </c>
    </row>
    <row r="1737" spans="1:15" x14ac:dyDescent="0.25">
      <c r="A1737" s="98" t="s">
        <v>54</v>
      </c>
      <c r="B1737" s="98" t="s">
        <v>99</v>
      </c>
      <c r="C1737" s="98">
        <v>1.09E-3</v>
      </c>
      <c r="D1737" s="98">
        <v>1.0900099999999999E-2</v>
      </c>
      <c r="E1737" s="98">
        <v>1.0000000000000001E-5</v>
      </c>
      <c r="F1737" s="98" t="s">
        <v>100</v>
      </c>
      <c r="G1737" s="98" t="s">
        <v>100</v>
      </c>
      <c r="H1737" s="98">
        <v>0</v>
      </c>
      <c r="I1737" s="98">
        <v>0</v>
      </c>
      <c r="K1737" s="98">
        <v>0</v>
      </c>
      <c r="L1737" s="98">
        <v>5.4701999999999997E-3</v>
      </c>
      <c r="M1737" s="98">
        <v>0</v>
      </c>
      <c r="N1737" s="98">
        <v>0</v>
      </c>
      <c r="O1737" s="99" t="s">
        <v>1226</v>
      </c>
    </row>
    <row r="1738" spans="1:15" x14ac:dyDescent="0.25">
      <c r="A1738" s="98" t="s">
        <v>54</v>
      </c>
      <c r="B1738" s="98" t="s">
        <v>99</v>
      </c>
      <c r="C1738" s="98">
        <v>1.09E-3</v>
      </c>
      <c r="D1738" s="98">
        <v>1.0900099999999999E-2</v>
      </c>
      <c r="E1738" s="98">
        <v>1E-4</v>
      </c>
      <c r="F1738" s="98" t="s">
        <v>100</v>
      </c>
      <c r="G1738" s="98" t="s">
        <v>100</v>
      </c>
      <c r="H1738" s="98">
        <v>0</v>
      </c>
      <c r="I1738" s="98">
        <v>0</v>
      </c>
      <c r="K1738" s="98">
        <v>0</v>
      </c>
      <c r="L1738" s="98">
        <v>5.3275000000000003E-2</v>
      </c>
      <c r="M1738" s="98">
        <v>0</v>
      </c>
      <c r="N1738" s="98">
        <v>0</v>
      </c>
      <c r="O1738" s="99" t="s">
        <v>1227</v>
      </c>
    </row>
    <row r="1739" spans="1:15" x14ac:dyDescent="0.25">
      <c r="A1739" s="98" t="s">
        <v>54</v>
      </c>
      <c r="B1739" s="98" t="s">
        <v>99</v>
      </c>
      <c r="C1739" s="98">
        <v>1.09E-3</v>
      </c>
      <c r="D1739" s="98">
        <v>1.0900099999999999E-2</v>
      </c>
      <c r="E1739" s="98">
        <v>1E-3</v>
      </c>
      <c r="F1739" s="98" t="s">
        <v>100</v>
      </c>
      <c r="G1739" s="98" t="s">
        <v>100</v>
      </c>
      <c r="H1739" s="98">
        <v>0</v>
      </c>
      <c r="I1739" s="98">
        <v>0</v>
      </c>
      <c r="K1739" s="98">
        <v>0</v>
      </c>
      <c r="L1739" s="98">
        <v>0.53259999999999996</v>
      </c>
      <c r="M1739" s="98">
        <v>0</v>
      </c>
      <c r="N1739" s="98">
        <v>0</v>
      </c>
      <c r="O1739" s="99" t="s">
        <v>1228</v>
      </c>
    </row>
    <row r="1740" spans="1:15" x14ac:dyDescent="0.25">
      <c r="A1740" s="98" t="s">
        <v>54</v>
      </c>
      <c r="B1740" s="98" t="s">
        <v>99</v>
      </c>
      <c r="C1740" s="98">
        <v>1.09E-2</v>
      </c>
      <c r="D1740" s="98">
        <v>0.1090001</v>
      </c>
      <c r="E1740" s="98">
        <v>9.9999999999999995E-7</v>
      </c>
      <c r="F1740" s="98" t="s">
        <v>100</v>
      </c>
      <c r="G1740" s="98" t="s">
        <v>100</v>
      </c>
      <c r="H1740" s="98">
        <v>0</v>
      </c>
      <c r="I1740" s="98">
        <v>0</v>
      </c>
      <c r="K1740" s="98">
        <v>0</v>
      </c>
      <c r="L1740" s="98">
        <v>7.7999999999999999E-4</v>
      </c>
      <c r="M1740" s="98">
        <v>0</v>
      </c>
      <c r="N1740" s="98">
        <v>0</v>
      </c>
      <c r="O1740" s="99" t="s">
        <v>1229</v>
      </c>
    </row>
    <row r="1741" spans="1:15" x14ac:dyDescent="0.25">
      <c r="A1741" s="98" t="s">
        <v>54</v>
      </c>
      <c r="B1741" s="98" t="s">
        <v>99</v>
      </c>
      <c r="C1741" s="98">
        <v>1.09E-2</v>
      </c>
      <c r="D1741" s="98">
        <v>0.1090001</v>
      </c>
      <c r="E1741" s="98">
        <v>1.0000000000000001E-5</v>
      </c>
      <c r="F1741" s="98" t="s">
        <v>100</v>
      </c>
      <c r="G1741" s="98" t="s">
        <v>100</v>
      </c>
      <c r="H1741" s="98">
        <v>0</v>
      </c>
      <c r="I1741" s="98">
        <v>0</v>
      </c>
      <c r="K1741" s="98">
        <v>0</v>
      </c>
      <c r="L1741" s="98">
        <v>9.4315999999999996E-4</v>
      </c>
      <c r="M1741" s="98">
        <v>0</v>
      </c>
      <c r="N1741" s="98">
        <v>0</v>
      </c>
      <c r="O1741" s="99" t="s">
        <v>1230</v>
      </c>
    </row>
    <row r="1742" spans="1:15" x14ac:dyDescent="0.25">
      <c r="A1742" s="98" t="s">
        <v>54</v>
      </c>
      <c r="B1742" s="98" t="s">
        <v>99</v>
      </c>
      <c r="C1742" s="98">
        <v>1.09E-2</v>
      </c>
      <c r="D1742" s="98">
        <v>0.1090001</v>
      </c>
      <c r="E1742" s="98">
        <v>1E-4</v>
      </c>
      <c r="F1742" s="98" t="s">
        <v>100</v>
      </c>
      <c r="G1742" s="98" t="s">
        <v>100</v>
      </c>
      <c r="H1742" s="98">
        <v>0</v>
      </c>
      <c r="I1742" s="98">
        <v>0</v>
      </c>
      <c r="K1742" s="98">
        <v>0</v>
      </c>
      <c r="L1742" s="98">
        <v>5.3847000000000001E-3</v>
      </c>
      <c r="M1742" s="98">
        <v>0</v>
      </c>
      <c r="N1742" s="98">
        <v>0</v>
      </c>
      <c r="O1742" s="99" t="s">
        <v>1231</v>
      </c>
    </row>
    <row r="1743" spans="1:15" x14ac:dyDescent="0.25">
      <c r="A1743" s="98" t="s">
        <v>54</v>
      </c>
      <c r="B1743" s="98" t="s">
        <v>99</v>
      </c>
      <c r="C1743" s="98">
        <v>1.09E-2</v>
      </c>
      <c r="D1743" s="98">
        <v>0.1090001</v>
      </c>
      <c r="E1743" s="98">
        <v>1E-3</v>
      </c>
      <c r="F1743" s="98" t="s">
        <v>100</v>
      </c>
      <c r="G1743" s="98" t="s">
        <v>100</v>
      </c>
      <c r="H1743" s="98">
        <v>0</v>
      </c>
      <c r="I1743" s="98">
        <v>0</v>
      </c>
      <c r="K1743" s="98">
        <v>0</v>
      </c>
      <c r="L1743" s="98">
        <v>5.3267000000000002E-2</v>
      </c>
      <c r="M1743" s="98">
        <v>0</v>
      </c>
      <c r="N1743" s="98">
        <v>0</v>
      </c>
      <c r="O1743" s="99" t="s">
        <v>1232</v>
      </c>
    </row>
    <row r="1744" spans="1:15" x14ac:dyDescent="0.25">
      <c r="A1744" s="98" t="s">
        <v>54</v>
      </c>
      <c r="B1744" s="98" t="s">
        <v>99</v>
      </c>
      <c r="C1744" s="98">
        <v>1.09E-2</v>
      </c>
      <c r="D1744" s="98">
        <v>0.1090001</v>
      </c>
      <c r="E1744" s="98">
        <v>0.01</v>
      </c>
      <c r="F1744" s="98" t="s">
        <v>100</v>
      </c>
      <c r="G1744" s="98" t="s">
        <v>100</v>
      </c>
      <c r="H1744" s="98">
        <v>0</v>
      </c>
      <c r="I1744" s="98">
        <v>0</v>
      </c>
      <c r="K1744" s="98">
        <v>0</v>
      </c>
      <c r="L1744" s="98">
        <v>0.53259999999999996</v>
      </c>
      <c r="M1744" s="98">
        <v>0</v>
      </c>
      <c r="N1744" s="98">
        <v>0</v>
      </c>
      <c r="O1744" s="99" t="s">
        <v>1233</v>
      </c>
    </row>
    <row r="1745" spans="1:15" x14ac:dyDescent="0.25">
      <c r="A1745" s="98" t="s">
        <v>54</v>
      </c>
      <c r="B1745" s="98" t="s">
        <v>99</v>
      </c>
      <c r="C1745" s="98">
        <v>0.109</v>
      </c>
      <c r="D1745" s="98">
        <v>1.0901000000000001</v>
      </c>
      <c r="E1745" s="98">
        <v>1.0000000000000001E-5</v>
      </c>
      <c r="F1745" s="98" t="s">
        <v>100</v>
      </c>
      <c r="G1745" s="98" t="s">
        <v>100</v>
      </c>
      <c r="H1745" s="98">
        <v>0</v>
      </c>
      <c r="I1745" s="98">
        <v>0</v>
      </c>
      <c r="K1745" s="98">
        <v>0</v>
      </c>
      <c r="L1745" s="98">
        <v>7.7999999999999999E-4</v>
      </c>
      <c r="M1745" s="98">
        <v>0</v>
      </c>
      <c r="N1745" s="98">
        <v>0</v>
      </c>
      <c r="O1745" s="99" t="s">
        <v>1234</v>
      </c>
    </row>
    <row r="1746" spans="1:15" x14ac:dyDescent="0.25">
      <c r="A1746" s="98" t="s">
        <v>54</v>
      </c>
      <c r="B1746" s="98" t="s">
        <v>99</v>
      </c>
      <c r="C1746" s="98">
        <v>0.109</v>
      </c>
      <c r="D1746" s="98">
        <v>1.0901000000000001</v>
      </c>
      <c r="E1746" s="98">
        <v>1E-4</v>
      </c>
      <c r="F1746" s="98" t="s">
        <v>100</v>
      </c>
      <c r="G1746" s="98" t="s">
        <v>100</v>
      </c>
      <c r="H1746" s="98">
        <v>0</v>
      </c>
      <c r="I1746" s="98">
        <v>0</v>
      </c>
      <c r="K1746" s="98">
        <v>0</v>
      </c>
      <c r="L1746" s="98">
        <v>9.4282999999999997E-4</v>
      </c>
      <c r="M1746" s="98">
        <v>0</v>
      </c>
      <c r="N1746" s="98">
        <v>0</v>
      </c>
      <c r="O1746" s="99" t="s">
        <v>1235</v>
      </c>
    </row>
    <row r="1747" spans="1:15" x14ac:dyDescent="0.25">
      <c r="A1747" s="98" t="s">
        <v>54</v>
      </c>
      <c r="B1747" s="98" t="s">
        <v>99</v>
      </c>
      <c r="C1747" s="98">
        <v>0.109</v>
      </c>
      <c r="D1747" s="98">
        <v>1.0901000000000001</v>
      </c>
      <c r="E1747" s="98">
        <v>1E-3</v>
      </c>
      <c r="F1747" s="98" t="s">
        <v>100</v>
      </c>
      <c r="G1747" s="98" t="s">
        <v>100</v>
      </c>
      <c r="H1747" s="98">
        <v>0</v>
      </c>
      <c r="I1747" s="98">
        <v>0</v>
      </c>
      <c r="K1747" s="98">
        <v>0</v>
      </c>
      <c r="L1747" s="98">
        <v>5.3845999999999998E-3</v>
      </c>
      <c r="M1747" s="98">
        <v>0</v>
      </c>
      <c r="N1747" s="98">
        <v>0</v>
      </c>
      <c r="O1747" s="99" t="s">
        <v>1236</v>
      </c>
    </row>
    <row r="1748" spans="1:15" x14ac:dyDescent="0.25">
      <c r="A1748" s="98" t="s">
        <v>54</v>
      </c>
      <c r="B1748" s="98" t="s">
        <v>99</v>
      </c>
      <c r="C1748" s="98">
        <v>0.109</v>
      </c>
      <c r="D1748" s="98">
        <v>1.0901000000000001</v>
      </c>
      <c r="E1748" s="98">
        <v>0.01</v>
      </c>
      <c r="F1748" s="98" t="s">
        <v>100</v>
      </c>
      <c r="G1748" s="98" t="s">
        <v>100</v>
      </c>
      <c r="H1748" s="98">
        <v>0</v>
      </c>
      <c r="I1748" s="98">
        <v>0</v>
      </c>
      <c r="K1748" s="98">
        <v>0</v>
      </c>
      <c r="L1748" s="98">
        <v>5.3267000000000002E-2</v>
      </c>
      <c r="M1748" s="98">
        <v>0</v>
      </c>
      <c r="N1748" s="98">
        <v>0</v>
      </c>
      <c r="O1748" s="99" t="s">
        <v>1237</v>
      </c>
    </row>
    <row r="1749" spans="1:15" x14ac:dyDescent="0.25">
      <c r="A1749" s="98" t="s">
        <v>54</v>
      </c>
      <c r="B1749" s="98" t="s">
        <v>99</v>
      </c>
      <c r="C1749" s="98">
        <v>0.109</v>
      </c>
      <c r="D1749" s="98">
        <v>1.0901000000000001</v>
      </c>
      <c r="E1749" s="98">
        <v>0.1</v>
      </c>
      <c r="F1749" s="98" t="s">
        <v>100</v>
      </c>
      <c r="G1749" s="98" t="s">
        <v>100</v>
      </c>
      <c r="H1749" s="98">
        <v>0</v>
      </c>
      <c r="I1749" s="98">
        <v>0</v>
      </c>
      <c r="K1749" s="98">
        <v>0</v>
      </c>
      <c r="L1749" s="98">
        <v>0.53259999999999996</v>
      </c>
      <c r="M1749" s="98">
        <v>0</v>
      </c>
      <c r="N1749" s="98">
        <v>0</v>
      </c>
      <c r="O1749" s="99" t="s">
        <v>1238</v>
      </c>
    </row>
    <row r="1750" spans="1:15" x14ac:dyDescent="0.25">
      <c r="A1750" s="98" t="s">
        <v>54</v>
      </c>
      <c r="B1750" s="98" t="s">
        <v>99</v>
      </c>
      <c r="C1750" s="98">
        <v>1.0900000000000001</v>
      </c>
      <c r="D1750" s="98">
        <v>10.9001</v>
      </c>
      <c r="E1750" s="98">
        <v>1E-4</v>
      </c>
      <c r="F1750" s="98" t="s">
        <v>100</v>
      </c>
      <c r="G1750" s="98" t="s">
        <v>100</v>
      </c>
      <c r="H1750" s="98">
        <v>0</v>
      </c>
      <c r="I1750" s="98">
        <v>0</v>
      </c>
      <c r="K1750" s="98">
        <v>0</v>
      </c>
      <c r="L1750" s="98">
        <v>1.2999999999999999E-3</v>
      </c>
      <c r="M1750" s="98">
        <v>0</v>
      </c>
      <c r="N1750" s="98">
        <v>0</v>
      </c>
      <c r="O1750" s="99" t="s">
        <v>1239</v>
      </c>
    </row>
    <row r="1751" spans="1:15" x14ac:dyDescent="0.25">
      <c r="A1751" s="98" t="s">
        <v>54</v>
      </c>
      <c r="B1751" s="98" t="s">
        <v>99</v>
      </c>
      <c r="C1751" s="98">
        <v>1.0900000000000001</v>
      </c>
      <c r="D1751" s="98">
        <v>10.9001</v>
      </c>
      <c r="E1751" s="98">
        <v>1E-3</v>
      </c>
      <c r="F1751" s="98" t="s">
        <v>100</v>
      </c>
      <c r="G1751" s="98" t="s">
        <v>100</v>
      </c>
      <c r="H1751" s="98">
        <v>0</v>
      </c>
      <c r="I1751" s="98">
        <v>0</v>
      </c>
      <c r="K1751" s="98">
        <v>0</v>
      </c>
      <c r="L1751" s="98">
        <v>1.3347000000000001E-3</v>
      </c>
      <c r="M1751" s="98">
        <v>0</v>
      </c>
      <c r="N1751" s="98">
        <v>0</v>
      </c>
      <c r="O1751" s="99" t="s">
        <v>1240</v>
      </c>
    </row>
    <row r="1752" spans="1:15" x14ac:dyDescent="0.25">
      <c r="A1752" s="98" t="s">
        <v>54</v>
      </c>
      <c r="B1752" s="98" t="s">
        <v>99</v>
      </c>
      <c r="C1752" s="98">
        <v>1.0900000000000001</v>
      </c>
      <c r="D1752" s="98">
        <v>10.9001</v>
      </c>
      <c r="E1752" s="98">
        <v>0.01</v>
      </c>
      <c r="F1752" s="98" t="s">
        <v>100</v>
      </c>
      <c r="G1752" s="98" t="s">
        <v>100</v>
      </c>
      <c r="H1752" s="98">
        <v>0</v>
      </c>
      <c r="I1752" s="98">
        <v>0</v>
      </c>
      <c r="K1752" s="98">
        <v>0</v>
      </c>
      <c r="L1752" s="98">
        <v>5.4669000000000002E-3</v>
      </c>
      <c r="M1752" s="98">
        <v>0</v>
      </c>
      <c r="N1752" s="98">
        <v>0</v>
      </c>
      <c r="O1752" s="99" t="s">
        <v>1241</v>
      </c>
    </row>
    <row r="1753" spans="1:15" x14ac:dyDescent="0.25">
      <c r="A1753" s="98" t="s">
        <v>54</v>
      </c>
      <c r="B1753" s="98" t="s">
        <v>99</v>
      </c>
      <c r="C1753" s="98">
        <v>1.0900000000000001</v>
      </c>
      <c r="D1753" s="98">
        <v>10.9001</v>
      </c>
      <c r="E1753" s="98">
        <v>0.1</v>
      </c>
      <c r="F1753" s="98" t="s">
        <v>100</v>
      </c>
      <c r="G1753" s="98" t="s">
        <v>100</v>
      </c>
      <c r="H1753" s="98">
        <v>0</v>
      </c>
      <c r="I1753" s="98">
        <v>0</v>
      </c>
      <c r="K1753" s="98">
        <v>0</v>
      </c>
      <c r="L1753" s="98">
        <v>5.3275000000000003E-2</v>
      </c>
      <c r="M1753" s="98">
        <v>0</v>
      </c>
      <c r="N1753" s="98">
        <v>0</v>
      </c>
      <c r="O1753" s="99" t="s">
        <v>1242</v>
      </c>
    </row>
    <row r="1754" spans="1:15" x14ac:dyDescent="0.25">
      <c r="A1754" s="98" t="s">
        <v>54</v>
      </c>
      <c r="B1754" s="98" t="s">
        <v>99</v>
      </c>
      <c r="C1754" s="98">
        <v>1.0900000000000001</v>
      </c>
      <c r="D1754" s="98">
        <v>10.9001</v>
      </c>
      <c r="E1754" s="98">
        <v>1</v>
      </c>
      <c r="F1754" s="98" t="s">
        <v>100</v>
      </c>
      <c r="G1754" s="98" t="s">
        <v>100</v>
      </c>
      <c r="H1754" s="98">
        <v>0</v>
      </c>
      <c r="I1754" s="98">
        <v>0</v>
      </c>
      <c r="K1754" s="98">
        <v>0</v>
      </c>
      <c r="L1754" s="98">
        <v>0.53259999999999996</v>
      </c>
      <c r="M1754" s="98">
        <v>0</v>
      </c>
      <c r="N1754" s="98">
        <v>0</v>
      </c>
      <c r="O1754" s="99" t="s">
        <v>1243</v>
      </c>
    </row>
    <row r="1755" spans="1:15" x14ac:dyDescent="0.25">
      <c r="A1755" s="98" t="s">
        <v>54</v>
      </c>
      <c r="B1755" s="98" t="s">
        <v>99</v>
      </c>
      <c r="C1755" s="98">
        <v>10.9</v>
      </c>
      <c r="D1755" s="98">
        <v>109.0001</v>
      </c>
      <c r="E1755" s="98">
        <v>1E-3</v>
      </c>
      <c r="F1755" s="98" t="s">
        <v>100</v>
      </c>
      <c r="G1755" s="98" t="s">
        <v>100</v>
      </c>
      <c r="H1755" s="98">
        <v>0</v>
      </c>
      <c r="I1755" s="98">
        <v>0</v>
      </c>
      <c r="K1755" s="98">
        <v>0</v>
      </c>
      <c r="L1755" s="98">
        <v>8.8000000000000003E-4</v>
      </c>
      <c r="M1755" s="98">
        <v>0</v>
      </c>
      <c r="N1755" s="98">
        <v>0</v>
      </c>
      <c r="O1755" s="99" t="s">
        <v>1244</v>
      </c>
    </row>
    <row r="1756" spans="1:15" x14ac:dyDescent="0.25">
      <c r="A1756" s="98" t="s">
        <v>54</v>
      </c>
      <c r="B1756" s="98" t="s">
        <v>99</v>
      </c>
      <c r="C1756" s="98">
        <v>10.9</v>
      </c>
      <c r="D1756" s="98">
        <v>109.0001</v>
      </c>
      <c r="E1756" s="98">
        <v>0.01</v>
      </c>
      <c r="F1756" s="98" t="s">
        <v>100</v>
      </c>
      <c r="G1756" s="98" t="s">
        <v>100</v>
      </c>
      <c r="H1756" s="98">
        <v>0</v>
      </c>
      <c r="I1756" s="98">
        <v>0</v>
      </c>
      <c r="K1756" s="98">
        <v>0</v>
      </c>
      <c r="L1756" s="98">
        <v>1.0256E-3</v>
      </c>
      <c r="M1756" s="98">
        <v>0</v>
      </c>
      <c r="N1756" s="98">
        <v>0</v>
      </c>
      <c r="O1756" s="99" t="s">
        <v>1245</v>
      </c>
    </row>
    <row r="1757" spans="1:15" x14ac:dyDescent="0.25">
      <c r="A1757" s="98" t="s">
        <v>54</v>
      </c>
      <c r="B1757" s="98" t="s">
        <v>99</v>
      </c>
      <c r="C1757" s="98">
        <v>10.9</v>
      </c>
      <c r="D1757" s="98">
        <v>109.0001</v>
      </c>
      <c r="E1757" s="98">
        <v>0.1</v>
      </c>
      <c r="F1757" s="98" t="s">
        <v>100</v>
      </c>
      <c r="G1757" s="98" t="s">
        <v>100</v>
      </c>
      <c r="H1757" s="98">
        <v>0</v>
      </c>
      <c r="I1757" s="98">
        <v>0</v>
      </c>
      <c r="K1757" s="98">
        <v>0</v>
      </c>
      <c r="L1757" s="98">
        <v>5.3997000000000003E-3</v>
      </c>
      <c r="M1757" s="98">
        <v>0</v>
      </c>
      <c r="N1757" s="98">
        <v>0</v>
      </c>
      <c r="O1757" s="99" t="s">
        <v>1246</v>
      </c>
    </row>
    <row r="1758" spans="1:15" x14ac:dyDescent="0.25">
      <c r="A1758" s="98" t="s">
        <v>54</v>
      </c>
      <c r="B1758" s="98" t="s">
        <v>99</v>
      </c>
      <c r="C1758" s="98">
        <v>10.9</v>
      </c>
      <c r="D1758" s="98">
        <v>109.0001</v>
      </c>
      <c r="E1758" s="98">
        <v>1</v>
      </c>
      <c r="F1758" s="98" t="s">
        <v>100</v>
      </c>
      <c r="G1758" s="98" t="s">
        <v>100</v>
      </c>
      <c r="H1758" s="98">
        <v>0</v>
      </c>
      <c r="I1758" s="98">
        <v>0</v>
      </c>
      <c r="K1758" s="98">
        <v>0</v>
      </c>
      <c r="L1758" s="98">
        <v>5.3268000000000003E-2</v>
      </c>
      <c r="M1758" s="98">
        <v>0</v>
      </c>
      <c r="N1758" s="98">
        <v>0</v>
      </c>
      <c r="O1758" s="99" t="s">
        <v>1247</v>
      </c>
    </row>
    <row r="1759" spans="1:15" x14ac:dyDescent="0.25">
      <c r="A1759" s="98" t="s">
        <v>54</v>
      </c>
      <c r="B1759" s="98" t="s">
        <v>99</v>
      </c>
      <c r="C1759" s="98">
        <v>10.9</v>
      </c>
      <c r="D1759" s="98">
        <v>109.0001</v>
      </c>
      <c r="E1759" s="98">
        <v>10</v>
      </c>
      <c r="F1759" s="98" t="s">
        <v>100</v>
      </c>
      <c r="G1759" s="98" t="s">
        <v>100</v>
      </c>
      <c r="H1759" s="98">
        <v>0</v>
      </c>
      <c r="I1759" s="98">
        <v>0</v>
      </c>
      <c r="K1759" s="98">
        <v>0</v>
      </c>
      <c r="L1759" s="98">
        <v>0.53259999999999996</v>
      </c>
      <c r="M1759" s="98">
        <v>0</v>
      </c>
      <c r="N1759" s="98">
        <v>0</v>
      </c>
      <c r="O1759" s="99" t="s">
        <v>1248</v>
      </c>
    </row>
    <row r="1760" spans="1:15" x14ac:dyDescent="0.25">
      <c r="A1760" s="98" t="s">
        <v>54</v>
      </c>
      <c r="B1760" s="98" t="s">
        <v>99</v>
      </c>
      <c r="C1760" s="98">
        <v>109</v>
      </c>
      <c r="D1760" s="98">
        <v>363.00009999999997</v>
      </c>
      <c r="E1760" s="98">
        <v>0.01</v>
      </c>
      <c r="F1760" s="98" t="s">
        <v>100</v>
      </c>
      <c r="G1760" s="98" t="s">
        <v>100</v>
      </c>
      <c r="H1760" s="98">
        <v>0</v>
      </c>
      <c r="I1760" s="98">
        <v>0</v>
      </c>
      <c r="K1760" s="98">
        <v>0</v>
      </c>
      <c r="L1760" s="98">
        <v>1.1999999999999999E-3</v>
      </c>
      <c r="M1760" s="98">
        <v>0</v>
      </c>
      <c r="N1760" s="98">
        <v>0</v>
      </c>
      <c r="O1760" s="99" t="s">
        <v>1249</v>
      </c>
    </row>
    <row r="1761" spans="1:15" x14ac:dyDescent="0.25">
      <c r="A1761" s="98" t="s">
        <v>54</v>
      </c>
      <c r="B1761" s="98" t="s">
        <v>99</v>
      </c>
      <c r="C1761" s="98">
        <v>109</v>
      </c>
      <c r="D1761" s="98">
        <v>363.00009999999997</v>
      </c>
      <c r="E1761" s="98">
        <v>0.1</v>
      </c>
      <c r="F1761" s="98" t="s">
        <v>100</v>
      </c>
      <c r="G1761" s="98" t="s">
        <v>100</v>
      </c>
      <c r="H1761" s="98">
        <v>0</v>
      </c>
      <c r="I1761" s="98">
        <v>0</v>
      </c>
      <c r="K1761" s="98">
        <v>0</v>
      </c>
      <c r="L1761" s="98">
        <v>1.2283999999999999E-3</v>
      </c>
      <c r="M1761" s="98">
        <v>0</v>
      </c>
      <c r="N1761" s="98">
        <v>0</v>
      </c>
      <c r="O1761" s="99" t="s">
        <v>1250</v>
      </c>
    </row>
    <row r="1762" spans="1:15" x14ac:dyDescent="0.25">
      <c r="A1762" s="98" t="s">
        <v>54</v>
      </c>
      <c r="B1762" s="98" t="s">
        <v>99</v>
      </c>
      <c r="C1762" s="98">
        <v>109</v>
      </c>
      <c r="D1762" s="98">
        <v>363.00009999999997</v>
      </c>
      <c r="E1762" s="98">
        <v>1</v>
      </c>
      <c r="F1762" s="98" t="s">
        <v>100</v>
      </c>
      <c r="G1762" s="98" t="s">
        <v>100</v>
      </c>
      <c r="H1762" s="98">
        <v>0</v>
      </c>
      <c r="I1762" s="98">
        <v>0</v>
      </c>
      <c r="K1762" s="98">
        <v>0</v>
      </c>
      <c r="L1762" s="98">
        <v>5.4419000000000004E-3</v>
      </c>
      <c r="M1762" s="98">
        <v>0</v>
      </c>
      <c r="N1762" s="98">
        <v>0</v>
      </c>
      <c r="O1762" s="99" t="s">
        <v>1251</v>
      </c>
    </row>
    <row r="1763" spans="1:15" x14ac:dyDescent="0.25">
      <c r="A1763" s="98" t="s">
        <v>54</v>
      </c>
      <c r="B1763" s="98" t="s">
        <v>99</v>
      </c>
      <c r="C1763" s="98">
        <v>109</v>
      </c>
      <c r="D1763" s="98">
        <v>363.00009999999997</v>
      </c>
      <c r="E1763" s="98">
        <v>10</v>
      </c>
      <c r="F1763" s="98" t="s">
        <v>100</v>
      </c>
      <c r="G1763" s="98" t="s">
        <v>100</v>
      </c>
      <c r="H1763" s="98">
        <v>0</v>
      </c>
      <c r="I1763" s="98">
        <v>0</v>
      </c>
      <c r="K1763" s="98">
        <v>0</v>
      </c>
      <c r="L1763" s="98">
        <v>5.3273000000000001E-2</v>
      </c>
      <c r="M1763" s="98">
        <v>0</v>
      </c>
      <c r="N1763" s="98">
        <v>0</v>
      </c>
      <c r="O1763" s="99" t="s">
        <v>1252</v>
      </c>
    </row>
    <row r="1764" spans="1:15" x14ac:dyDescent="0.25">
      <c r="A1764" s="98" t="s">
        <v>54</v>
      </c>
      <c r="B1764" s="98" t="s">
        <v>99</v>
      </c>
      <c r="C1764" s="98">
        <v>363</v>
      </c>
      <c r="D1764" s="98">
        <v>990.00009999999997</v>
      </c>
      <c r="E1764" s="98">
        <v>0.01</v>
      </c>
      <c r="F1764" s="98" t="s">
        <v>100</v>
      </c>
      <c r="G1764" s="98" t="s">
        <v>100</v>
      </c>
      <c r="H1764" s="98">
        <v>0</v>
      </c>
      <c r="I1764" s="98">
        <v>0</v>
      </c>
      <c r="K1764" s="98">
        <v>0</v>
      </c>
      <c r="L1764" s="98">
        <v>1E-3</v>
      </c>
      <c r="M1764" s="98">
        <v>0</v>
      </c>
      <c r="N1764" s="98">
        <v>0</v>
      </c>
      <c r="O1764" s="99" t="s">
        <v>1253</v>
      </c>
    </row>
    <row r="1765" spans="1:15" x14ac:dyDescent="0.25">
      <c r="A1765" s="98" t="s">
        <v>54</v>
      </c>
      <c r="B1765" s="98" t="s">
        <v>99</v>
      </c>
      <c r="C1765" s="98">
        <v>363</v>
      </c>
      <c r="D1765" s="98">
        <v>990.00009999999997</v>
      </c>
      <c r="E1765" s="98">
        <v>0.1</v>
      </c>
      <c r="F1765" s="98" t="s">
        <v>100</v>
      </c>
      <c r="G1765" s="98" t="s">
        <v>100</v>
      </c>
      <c r="H1765" s="98">
        <v>0</v>
      </c>
      <c r="I1765" s="98">
        <v>0</v>
      </c>
      <c r="K1765" s="98">
        <v>0</v>
      </c>
      <c r="L1765" s="98">
        <v>1.0070000000000001E-3</v>
      </c>
      <c r="M1765" s="98">
        <v>0</v>
      </c>
      <c r="N1765" s="98">
        <v>0</v>
      </c>
      <c r="O1765" s="99" t="s">
        <v>1254</v>
      </c>
    </row>
    <row r="1766" spans="1:15" x14ac:dyDescent="0.25">
      <c r="A1766" s="98" t="s">
        <v>54</v>
      </c>
      <c r="B1766" s="98" t="s">
        <v>99</v>
      </c>
      <c r="C1766" s="98">
        <v>363</v>
      </c>
      <c r="D1766" s="98">
        <v>990.00009999999997</v>
      </c>
      <c r="E1766" s="98">
        <v>1</v>
      </c>
      <c r="F1766" s="98" t="s">
        <v>100</v>
      </c>
      <c r="G1766" s="98" t="s">
        <v>100</v>
      </c>
      <c r="H1766" s="98">
        <v>0</v>
      </c>
      <c r="I1766" s="98">
        <v>0</v>
      </c>
      <c r="K1766" s="98">
        <v>0</v>
      </c>
      <c r="L1766" s="98">
        <v>1.8832E-3</v>
      </c>
      <c r="M1766" s="98">
        <v>0</v>
      </c>
      <c r="N1766" s="98">
        <v>0</v>
      </c>
      <c r="O1766" s="99" t="s">
        <v>1255</v>
      </c>
    </row>
    <row r="1767" spans="1:15" x14ac:dyDescent="0.25">
      <c r="A1767" s="98" t="s">
        <v>54</v>
      </c>
      <c r="B1767" s="98" t="s">
        <v>99</v>
      </c>
      <c r="C1767" s="98">
        <v>363</v>
      </c>
      <c r="D1767" s="98">
        <v>990.00009999999997</v>
      </c>
      <c r="E1767" s="98">
        <v>10</v>
      </c>
      <c r="F1767" s="98" t="s">
        <v>100</v>
      </c>
      <c r="G1767" s="98" t="s">
        <v>100</v>
      </c>
      <c r="H1767" s="98">
        <v>0</v>
      </c>
      <c r="I1767" s="98">
        <v>0</v>
      </c>
      <c r="K1767" s="98">
        <v>0</v>
      </c>
      <c r="L1767" s="98">
        <v>1.601E-2</v>
      </c>
      <c r="M1767" s="98">
        <v>0</v>
      </c>
      <c r="N1767" s="98">
        <v>0</v>
      </c>
      <c r="O1767" s="99" t="s">
        <v>1256</v>
      </c>
    </row>
    <row r="1768" spans="1:15" x14ac:dyDescent="0.25">
      <c r="A1768" s="98" t="s">
        <v>54</v>
      </c>
      <c r="B1768" s="98" t="s">
        <v>99</v>
      </c>
      <c r="C1768" s="98">
        <v>363</v>
      </c>
      <c r="D1768" s="98">
        <v>990.00009999999997</v>
      </c>
      <c r="E1768" s="98">
        <v>100</v>
      </c>
      <c r="F1768" s="98" t="s">
        <v>100</v>
      </c>
      <c r="G1768" s="98" t="s">
        <v>100</v>
      </c>
      <c r="H1768" s="98">
        <v>0</v>
      </c>
      <c r="I1768" s="98">
        <v>0</v>
      </c>
      <c r="K1768" s="98">
        <v>0</v>
      </c>
      <c r="L1768" s="98">
        <v>0.15978999999999999</v>
      </c>
      <c r="M1768" s="98">
        <v>0</v>
      </c>
      <c r="N1768" s="98">
        <v>0</v>
      </c>
      <c r="O1768" s="99" t="s">
        <v>1257</v>
      </c>
    </row>
    <row r="1769" spans="1:15" x14ac:dyDescent="0.25">
      <c r="A1769" s="98" t="s">
        <v>54</v>
      </c>
      <c r="B1769" s="98" t="s">
        <v>99</v>
      </c>
      <c r="C1769" s="98">
        <v>990</v>
      </c>
      <c r="D1769" s="98">
        <v>3630.1</v>
      </c>
      <c r="E1769" s="98">
        <v>0.1</v>
      </c>
      <c r="F1769" s="98" t="s">
        <v>100</v>
      </c>
      <c r="G1769" s="98" t="s">
        <v>100</v>
      </c>
      <c r="H1769" s="98">
        <v>0</v>
      </c>
      <c r="I1769" s="98">
        <v>0</v>
      </c>
      <c r="K1769" s="98">
        <v>0</v>
      </c>
      <c r="L1769" s="98">
        <v>2.0999999999999999E-3</v>
      </c>
      <c r="M1769" s="98">
        <v>0</v>
      </c>
      <c r="N1769" s="98">
        <v>0</v>
      </c>
      <c r="O1769" s="99" t="s">
        <v>1258</v>
      </c>
    </row>
    <row r="1770" spans="1:15" x14ac:dyDescent="0.25">
      <c r="A1770" s="98" t="s">
        <v>54</v>
      </c>
      <c r="B1770" s="98" t="s">
        <v>99</v>
      </c>
      <c r="C1770" s="98">
        <v>990</v>
      </c>
      <c r="D1770" s="98">
        <v>3630.1</v>
      </c>
      <c r="E1770" s="98">
        <v>1</v>
      </c>
      <c r="F1770" s="98" t="s">
        <v>100</v>
      </c>
      <c r="G1770" s="98" t="s">
        <v>100</v>
      </c>
      <c r="H1770" s="98">
        <v>0</v>
      </c>
      <c r="I1770" s="98">
        <v>0</v>
      </c>
      <c r="K1770" s="98">
        <v>0</v>
      </c>
      <c r="L1770" s="98">
        <v>2.0999999999999999E-3</v>
      </c>
      <c r="M1770" s="98">
        <v>0</v>
      </c>
      <c r="N1770" s="98">
        <v>0</v>
      </c>
      <c r="O1770" s="99" t="s">
        <v>1259</v>
      </c>
    </row>
    <row r="1771" spans="1:15" x14ac:dyDescent="0.25">
      <c r="A1771" s="98" t="s">
        <v>54</v>
      </c>
      <c r="B1771" s="98" t="s">
        <v>99</v>
      </c>
      <c r="C1771" s="98">
        <v>990</v>
      </c>
      <c r="D1771" s="98">
        <v>3630.1</v>
      </c>
      <c r="E1771" s="98">
        <v>10</v>
      </c>
      <c r="F1771" s="98" t="s">
        <v>100</v>
      </c>
      <c r="G1771" s="98" t="s">
        <v>100</v>
      </c>
      <c r="H1771" s="98">
        <v>0</v>
      </c>
      <c r="I1771" s="98">
        <v>0</v>
      </c>
      <c r="K1771" s="98">
        <v>0</v>
      </c>
      <c r="L1771" s="98">
        <v>6.1979000000000001E-3</v>
      </c>
      <c r="M1771" s="98">
        <v>0</v>
      </c>
      <c r="N1771" s="98">
        <v>0</v>
      </c>
      <c r="O1771" s="99" t="s">
        <v>1260</v>
      </c>
    </row>
    <row r="1772" spans="1:15" x14ac:dyDescent="0.25">
      <c r="A1772" s="98" t="s">
        <v>54</v>
      </c>
      <c r="B1772" s="98" t="s">
        <v>99</v>
      </c>
      <c r="C1772" s="98">
        <v>990</v>
      </c>
      <c r="D1772" s="98">
        <v>3630.1</v>
      </c>
      <c r="E1772" s="98">
        <v>100</v>
      </c>
      <c r="F1772" s="98" t="s">
        <v>100</v>
      </c>
      <c r="G1772" s="98" t="s">
        <v>100</v>
      </c>
      <c r="H1772" s="98">
        <v>0</v>
      </c>
      <c r="I1772" s="98">
        <v>0</v>
      </c>
      <c r="K1772" s="98">
        <v>0</v>
      </c>
      <c r="L1772" s="98">
        <v>5.8622E-2</v>
      </c>
      <c r="M1772" s="98">
        <v>0</v>
      </c>
      <c r="N1772" s="98">
        <v>0</v>
      </c>
      <c r="O1772" s="99" t="s">
        <v>1261</v>
      </c>
    </row>
    <row r="1773" spans="1:15" x14ac:dyDescent="0.25">
      <c r="A1773" s="98" t="s">
        <v>54</v>
      </c>
      <c r="B1773" s="98" t="s">
        <v>99</v>
      </c>
      <c r="C1773" s="98">
        <v>990</v>
      </c>
      <c r="D1773" s="98">
        <v>3630.1</v>
      </c>
      <c r="E1773" s="98">
        <v>1000</v>
      </c>
      <c r="F1773" s="98" t="s">
        <v>100</v>
      </c>
      <c r="G1773" s="98" t="s">
        <v>100</v>
      </c>
      <c r="H1773" s="98">
        <v>0</v>
      </c>
      <c r="I1773" s="98">
        <v>0</v>
      </c>
      <c r="K1773" s="98">
        <v>0</v>
      </c>
      <c r="L1773" s="98">
        <v>0.58586000000000005</v>
      </c>
      <c r="M1773" s="98">
        <v>0</v>
      </c>
      <c r="N1773" s="98">
        <v>0</v>
      </c>
      <c r="O1773" s="99" t="s">
        <v>1262</v>
      </c>
    </row>
    <row r="1774" spans="1:15" x14ac:dyDescent="0.25">
      <c r="A1774" s="98" t="s">
        <v>54</v>
      </c>
      <c r="B1774" s="98" t="s">
        <v>99</v>
      </c>
      <c r="C1774" s="98">
        <v>3630</v>
      </c>
      <c r="D1774" s="98">
        <v>11200.1</v>
      </c>
      <c r="E1774" s="98">
        <v>0.1</v>
      </c>
      <c r="F1774" s="98" t="s">
        <v>100</v>
      </c>
      <c r="G1774" s="98" t="s">
        <v>100</v>
      </c>
      <c r="H1774" s="98">
        <v>0</v>
      </c>
      <c r="I1774" s="98">
        <v>0</v>
      </c>
      <c r="K1774" s="98">
        <v>0</v>
      </c>
      <c r="L1774" s="98">
        <v>1.6000000000000001E-3</v>
      </c>
      <c r="M1774" s="98">
        <v>0</v>
      </c>
      <c r="N1774" s="98">
        <v>0</v>
      </c>
      <c r="O1774" s="99" t="s">
        <v>1263</v>
      </c>
    </row>
    <row r="1775" spans="1:15" x14ac:dyDescent="0.25">
      <c r="A1775" s="98" t="s">
        <v>54</v>
      </c>
      <c r="B1775" s="98" t="s">
        <v>99</v>
      </c>
      <c r="C1775" s="98">
        <v>3630</v>
      </c>
      <c r="D1775" s="98">
        <v>11200.1</v>
      </c>
      <c r="E1775" s="98">
        <v>1</v>
      </c>
      <c r="F1775" s="98" t="s">
        <v>100</v>
      </c>
      <c r="G1775" s="98" t="s">
        <v>100</v>
      </c>
      <c r="H1775" s="98">
        <v>0</v>
      </c>
      <c r="I1775" s="98">
        <v>0</v>
      </c>
      <c r="K1775" s="98">
        <v>0</v>
      </c>
      <c r="L1775" s="98">
        <v>1.6000000000000001E-3</v>
      </c>
      <c r="M1775" s="98">
        <v>0</v>
      </c>
      <c r="N1775" s="98">
        <v>0</v>
      </c>
      <c r="O1775" s="99" t="s">
        <v>1264</v>
      </c>
    </row>
    <row r="1776" spans="1:15" x14ac:dyDescent="0.25">
      <c r="A1776" s="98" t="s">
        <v>54</v>
      </c>
      <c r="B1776" s="98" t="s">
        <v>99</v>
      </c>
      <c r="C1776" s="98">
        <v>3630</v>
      </c>
      <c r="D1776" s="98">
        <v>11200.1</v>
      </c>
      <c r="E1776" s="98">
        <v>10</v>
      </c>
      <c r="F1776" s="98" t="s">
        <v>100</v>
      </c>
      <c r="G1776" s="98" t="s">
        <v>100</v>
      </c>
      <c r="H1776" s="98">
        <v>0</v>
      </c>
      <c r="I1776" s="98">
        <v>0</v>
      </c>
      <c r="K1776" s="98">
        <v>0</v>
      </c>
      <c r="L1776" s="98">
        <v>2.2011999999999999E-3</v>
      </c>
      <c r="M1776" s="98">
        <v>0</v>
      </c>
      <c r="N1776" s="98">
        <v>0</v>
      </c>
      <c r="O1776" s="99" t="s">
        <v>1265</v>
      </c>
    </row>
    <row r="1777" spans="1:15" x14ac:dyDescent="0.25">
      <c r="A1777" s="98" t="s">
        <v>54</v>
      </c>
      <c r="B1777" s="98" t="s">
        <v>99</v>
      </c>
      <c r="C1777" s="98">
        <v>3630</v>
      </c>
      <c r="D1777" s="98">
        <v>11200.1</v>
      </c>
      <c r="E1777" s="98">
        <v>100</v>
      </c>
      <c r="F1777" s="98" t="s">
        <v>100</v>
      </c>
      <c r="G1777" s="98" t="s">
        <v>100</v>
      </c>
      <c r="H1777" s="98">
        <v>0</v>
      </c>
      <c r="I1777" s="98">
        <v>0</v>
      </c>
      <c r="K1777" s="98">
        <v>0</v>
      </c>
      <c r="L1777" s="98">
        <v>1.6050999999999999E-2</v>
      </c>
      <c r="M1777" s="98">
        <v>0</v>
      </c>
      <c r="N1777" s="98">
        <v>0</v>
      </c>
      <c r="O1777" s="99" t="s">
        <v>1266</v>
      </c>
    </row>
    <row r="1778" spans="1:15" x14ac:dyDescent="0.25">
      <c r="A1778" s="98" t="s">
        <v>54</v>
      </c>
      <c r="B1778" s="98" t="s">
        <v>99</v>
      </c>
      <c r="C1778" s="98">
        <v>3630</v>
      </c>
      <c r="D1778" s="98">
        <v>11200.1</v>
      </c>
      <c r="E1778" s="98">
        <v>1000</v>
      </c>
      <c r="F1778" s="98" t="s">
        <v>100</v>
      </c>
      <c r="G1778" s="98" t="s">
        <v>100</v>
      </c>
      <c r="H1778" s="98">
        <v>0</v>
      </c>
      <c r="I1778" s="98">
        <v>0</v>
      </c>
      <c r="K1778" s="98">
        <v>0</v>
      </c>
      <c r="L1778" s="98">
        <v>0.15978999999999999</v>
      </c>
      <c r="M1778" s="98">
        <v>0</v>
      </c>
      <c r="N1778" s="98">
        <v>0</v>
      </c>
      <c r="O1778" s="99" t="s">
        <v>1267</v>
      </c>
    </row>
    <row r="1779" spans="1:15" x14ac:dyDescent="0.25">
      <c r="A1779" s="98" t="s">
        <v>54</v>
      </c>
      <c r="B1779" s="98" t="s">
        <v>99</v>
      </c>
      <c r="C1779" s="98">
        <v>11200</v>
      </c>
      <c r="D1779" s="98">
        <v>20900</v>
      </c>
      <c r="E1779" s="98">
        <v>0.1</v>
      </c>
      <c r="F1779" s="98" t="s">
        <v>100</v>
      </c>
      <c r="G1779" s="98" t="s">
        <v>100</v>
      </c>
      <c r="H1779" s="98">
        <v>0</v>
      </c>
      <c r="I1779" s="98">
        <v>0</v>
      </c>
      <c r="K1779" s="98">
        <v>0</v>
      </c>
      <c r="L1779" s="98">
        <v>0.15978999999999999</v>
      </c>
      <c r="M1779" s="98">
        <v>0</v>
      </c>
      <c r="N1779" s="98">
        <v>0</v>
      </c>
      <c r="O1779" s="99" t="s">
        <v>1268</v>
      </c>
    </row>
    <row r="1780" spans="1:15" x14ac:dyDescent="0.25">
      <c r="A1780" s="98" t="s">
        <v>54</v>
      </c>
      <c r="B1780" s="98" t="s">
        <v>99</v>
      </c>
      <c r="C1780" s="98">
        <v>11200</v>
      </c>
      <c r="D1780" s="98">
        <v>20900</v>
      </c>
      <c r="E1780" s="98">
        <v>1</v>
      </c>
      <c r="F1780" s="98" t="s">
        <v>100</v>
      </c>
      <c r="G1780" s="98" t="s">
        <v>100</v>
      </c>
      <c r="H1780" s="98">
        <v>0</v>
      </c>
      <c r="I1780" s="98">
        <v>0</v>
      </c>
      <c r="K1780" s="98">
        <v>0</v>
      </c>
      <c r="L1780" s="98">
        <v>2.0999999999999999E-3</v>
      </c>
      <c r="M1780" s="98">
        <v>0</v>
      </c>
      <c r="N1780" s="98">
        <v>0</v>
      </c>
      <c r="O1780" s="99" t="s">
        <v>1269</v>
      </c>
    </row>
    <row r="1781" spans="1:15" x14ac:dyDescent="0.25">
      <c r="A1781" s="98" t="s">
        <v>54</v>
      </c>
      <c r="B1781" s="98" t="s">
        <v>99</v>
      </c>
      <c r="C1781" s="98">
        <v>11200</v>
      </c>
      <c r="D1781" s="98">
        <v>20900</v>
      </c>
      <c r="E1781" s="98">
        <v>10</v>
      </c>
      <c r="F1781" s="98" t="s">
        <v>100</v>
      </c>
      <c r="G1781" s="98" t="s">
        <v>100</v>
      </c>
      <c r="H1781" s="98">
        <v>0</v>
      </c>
      <c r="I1781" s="98">
        <v>0</v>
      </c>
      <c r="K1781" s="98">
        <v>0</v>
      </c>
      <c r="L1781" s="98">
        <v>2.0999999999999999E-3</v>
      </c>
      <c r="M1781" s="98">
        <v>0</v>
      </c>
      <c r="N1781" s="98">
        <v>0</v>
      </c>
      <c r="O1781" s="99" t="s">
        <v>1270</v>
      </c>
    </row>
    <row r="1782" spans="1:15" x14ac:dyDescent="0.25">
      <c r="A1782" s="98" t="s">
        <v>54</v>
      </c>
      <c r="B1782" s="98" t="s">
        <v>99</v>
      </c>
      <c r="C1782" s="98">
        <v>11200</v>
      </c>
      <c r="D1782" s="98">
        <v>20900</v>
      </c>
      <c r="E1782" s="98">
        <v>100</v>
      </c>
      <c r="F1782" s="98" t="s">
        <v>100</v>
      </c>
      <c r="G1782" s="98" t="s">
        <v>100</v>
      </c>
      <c r="H1782" s="98">
        <v>0</v>
      </c>
      <c r="I1782" s="98">
        <v>0</v>
      </c>
      <c r="K1782" s="98">
        <v>0</v>
      </c>
      <c r="L1782" s="98">
        <v>5.5465999999999996E-3</v>
      </c>
      <c r="M1782" s="98">
        <v>0</v>
      </c>
      <c r="N1782" s="98">
        <v>0</v>
      </c>
      <c r="O1782" s="99" t="s">
        <v>1271</v>
      </c>
    </row>
    <row r="1783" spans="1:15" x14ac:dyDescent="0.25">
      <c r="A1783" s="98" t="s">
        <v>54</v>
      </c>
      <c r="B1783" s="98" t="s">
        <v>99</v>
      </c>
      <c r="C1783" s="98">
        <v>11200</v>
      </c>
      <c r="D1783" s="98">
        <v>20900</v>
      </c>
      <c r="E1783" s="98">
        <v>1000</v>
      </c>
      <c r="F1783" s="98" t="s">
        <v>100</v>
      </c>
      <c r="G1783" s="98" t="s">
        <v>100</v>
      </c>
      <c r="H1783" s="98">
        <v>0</v>
      </c>
      <c r="I1783" s="98">
        <v>0</v>
      </c>
      <c r="K1783" s="98">
        <v>0</v>
      </c>
      <c r="L1783" s="98">
        <v>5.1733000000000001E-2</v>
      </c>
      <c r="M1783" s="98">
        <v>0</v>
      </c>
      <c r="N1783" s="98">
        <v>0</v>
      </c>
      <c r="O1783" s="99" t="s">
        <v>1272</v>
      </c>
    </row>
    <row r="1784" spans="1:15" x14ac:dyDescent="0.25">
      <c r="A1784" s="98" t="s">
        <v>54</v>
      </c>
      <c r="B1784" s="98" t="s">
        <v>99</v>
      </c>
      <c r="C1784" s="98">
        <v>20900</v>
      </c>
      <c r="D1784" s="98">
        <v>20901</v>
      </c>
      <c r="E1784" s="98">
        <v>0.1</v>
      </c>
      <c r="F1784" s="98" t="s">
        <v>100</v>
      </c>
      <c r="G1784" s="98" t="s">
        <v>100</v>
      </c>
      <c r="H1784" s="98">
        <v>0</v>
      </c>
      <c r="I1784" s="98">
        <v>0</v>
      </c>
      <c r="K1784" s="98">
        <v>0</v>
      </c>
      <c r="L1784" s="98">
        <v>0.15978999999999999</v>
      </c>
      <c r="M1784" s="98">
        <v>0</v>
      </c>
      <c r="N1784" s="98">
        <v>0</v>
      </c>
      <c r="O1784" s="99" t="s">
        <v>1273</v>
      </c>
    </row>
    <row r="1785" spans="1:15" x14ac:dyDescent="0.25">
      <c r="A1785" s="98" t="s">
        <v>54</v>
      </c>
      <c r="B1785" s="98" t="s">
        <v>99</v>
      </c>
      <c r="C1785" s="98">
        <v>20900</v>
      </c>
      <c r="D1785" s="98">
        <v>20901</v>
      </c>
      <c r="E1785" s="98">
        <v>1</v>
      </c>
      <c r="F1785" s="98" t="s">
        <v>100</v>
      </c>
      <c r="G1785" s="98" t="s">
        <v>100</v>
      </c>
      <c r="H1785" s="98">
        <v>0</v>
      </c>
      <c r="I1785" s="98">
        <v>0</v>
      </c>
      <c r="K1785" s="98">
        <v>0</v>
      </c>
      <c r="L1785" s="98">
        <v>2.0999999999999999E-3</v>
      </c>
      <c r="M1785" s="98">
        <v>0</v>
      </c>
      <c r="N1785" s="98">
        <v>0</v>
      </c>
      <c r="O1785" s="99" t="s">
        <v>1274</v>
      </c>
    </row>
    <row r="1786" spans="1:15" x14ac:dyDescent="0.25">
      <c r="A1786" s="98" t="s">
        <v>54</v>
      </c>
      <c r="B1786" s="98" t="s">
        <v>99</v>
      </c>
      <c r="C1786" s="98">
        <v>20900</v>
      </c>
      <c r="D1786" s="98">
        <v>20901</v>
      </c>
      <c r="E1786" s="98">
        <v>10</v>
      </c>
      <c r="F1786" s="98" t="s">
        <v>100</v>
      </c>
      <c r="G1786" s="98" t="s">
        <v>100</v>
      </c>
      <c r="H1786" s="98">
        <v>0</v>
      </c>
      <c r="I1786" s="98">
        <v>0</v>
      </c>
      <c r="K1786" s="98">
        <v>0</v>
      </c>
      <c r="L1786" s="98">
        <v>2.0999999999999999E-3</v>
      </c>
      <c r="M1786" s="98">
        <v>0</v>
      </c>
      <c r="N1786" s="98">
        <v>0</v>
      </c>
      <c r="O1786" s="99" t="s">
        <v>1275</v>
      </c>
    </row>
    <row r="1787" spans="1:15" x14ac:dyDescent="0.25">
      <c r="A1787" s="98" t="s">
        <v>54</v>
      </c>
      <c r="B1787" s="98" t="s">
        <v>99</v>
      </c>
      <c r="C1787" s="98">
        <v>20900</v>
      </c>
      <c r="D1787" s="98">
        <v>20901</v>
      </c>
      <c r="E1787" s="98">
        <v>100</v>
      </c>
      <c r="F1787" s="98" t="s">
        <v>100</v>
      </c>
      <c r="G1787" s="98" t="s">
        <v>100</v>
      </c>
      <c r="H1787" s="98">
        <v>0</v>
      </c>
      <c r="I1787" s="98">
        <v>0</v>
      </c>
      <c r="K1787" s="98">
        <v>0</v>
      </c>
      <c r="L1787" s="98">
        <v>5.5465999999999996E-3</v>
      </c>
      <c r="M1787" s="98">
        <v>0</v>
      </c>
      <c r="N1787" s="98">
        <v>0</v>
      </c>
      <c r="O1787" s="99" t="s">
        <v>1276</v>
      </c>
    </row>
    <row r="1788" spans="1:15" x14ac:dyDescent="0.25">
      <c r="A1788" s="98" t="s">
        <v>54</v>
      </c>
      <c r="B1788" s="98" t="s">
        <v>99</v>
      </c>
      <c r="C1788" s="98">
        <v>20900</v>
      </c>
      <c r="D1788" s="98">
        <v>20901</v>
      </c>
      <c r="E1788" s="98">
        <v>1000</v>
      </c>
      <c r="F1788" s="98" t="s">
        <v>100</v>
      </c>
      <c r="G1788" s="98" t="s">
        <v>100</v>
      </c>
      <c r="H1788" s="98">
        <v>0</v>
      </c>
      <c r="I1788" s="98">
        <v>0</v>
      </c>
      <c r="K1788" s="98">
        <v>0</v>
      </c>
      <c r="L1788" s="98">
        <v>5.1733000000000001E-2</v>
      </c>
      <c r="M1788" s="98">
        <v>0</v>
      </c>
      <c r="N1788" s="98">
        <v>0</v>
      </c>
      <c r="O1788" s="99" t="s">
        <v>1277</v>
      </c>
    </row>
    <row r="1789" spans="1:15" x14ac:dyDescent="0.25">
      <c r="A1789" s="98" t="s">
        <v>54</v>
      </c>
      <c r="B1789" s="98" t="s">
        <v>14</v>
      </c>
      <c r="C1789" s="98">
        <v>2.1999999999999999E-10</v>
      </c>
      <c r="D1789" s="98">
        <v>3.3000000000000002E-9</v>
      </c>
      <c r="E1789" s="98">
        <v>1E-13</v>
      </c>
      <c r="F1789" s="98" t="s">
        <v>140</v>
      </c>
      <c r="G1789" s="98" t="s">
        <v>15</v>
      </c>
      <c r="H1789" s="98">
        <v>0</v>
      </c>
      <c r="I1789" s="98">
        <v>0</v>
      </c>
      <c r="K1789" s="98">
        <v>1.2E-2</v>
      </c>
      <c r="L1789" s="98">
        <v>5800000</v>
      </c>
      <c r="M1789" s="98">
        <v>1.155E-2</v>
      </c>
      <c r="N1789" s="98">
        <v>5775200</v>
      </c>
      <c r="O1789" s="99" t="s">
        <v>1139</v>
      </c>
    </row>
    <row r="1790" spans="1:15" x14ac:dyDescent="0.25">
      <c r="A1790" s="98" t="s">
        <v>54</v>
      </c>
      <c r="B1790" s="98" t="s">
        <v>14</v>
      </c>
      <c r="C1790" s="98">
        <v>2.1999999999999999E-10</v>
      </c>
      <c r="D1790" s="98">
        <v>3.3000000000000002E-9</v>
      </c>
      <c r="E1790" s="98">
        <v>9.9999999999999998E-13</v>
      </c>
      <c r="F1790" s="98" t="s">
        <v>140</v>
      </c>
      <c r="G1790" s="98" t="s">
        <v>15</v>
      </c>
      <c r="H1790" s="98">
        <v>0</v>
      </c>
      <c r="I1790" s="98">
        <v>0</v>
      </c>
      <c r="K1790" s="98">
        <v>1.2E-2</v>
      </c>
      <c r="L1790" s="98">
        <v>5800000</v>
      </c>
      <c r="M1790" s="98">
        <v>1.1563E-2</v>
      </c>
      <c r="N1790" s="98">
        <v>5772800</v>
      </c>
      <c r="O1790" s="99" t="s">
        <v>1140</v>
      </c>
    </row>
    <row r="1791" spans="1:15" x14ac:dyDescent="0.25">
      <c r="A1791" s="98" t="s">
        <v>54</v>
      </c>
      <c r="B1791" s="98" t="s">
        <v>14</v>
      </c>
      <c r="C1791" s="98">
        <v>2.1999999999999999E-10</v>
      </c>
      <c r="D1791" s="98">
        <v>3.3000000000000002E-9</v>
      </c>
      <c r="E1791" s="98">
        <v>9.9999999999999994E-12</v>
      </c>
      <c r="F1791" s="98" t="s">
        <v>140</v>
      </c>
      <c r="G1791" s="98" t="s">
        <v>15</v>
      </c>
      <c r="H1791" s="98">
        <v>0</v>
      </c>
      <c r="I1791" s="98">
        <v>0</v>
      </c>
      <c r="K1791" s="98">
        <v>1.2845000000000001E-2</v>
      </c>
      <c r="L1791" s="98">
        <v>5547800</v>
      </c>
      <c r="M1791" s="98">
        <v>1.2838E-2</v>
      </c>
      <c r="N1791" s="98">
        <v>5547800</v>
      </c>
      <c r="O1791" s="99" t="s">
        <v>1141</v>
      </c>
    </row>
    <row r="1792" spans="1:15" x14ac:dyDescent="0.25">
      <c r="A1792" s="98" t="s">
        <v>54</v>
      </c>
      <c r="B1792" s="98" t="s">
        <v>14</v>
      </c>
      <c r="C1792" s="98">
        <v>2.1999999999999999E-10</v>
      </c>
      <c r="D1792" s="98">
        <v>3.3000000000000002E-9</v>
      </c>
      <c r="E1792" s="98">
        <v>1E-10</v>
      </c>
      <c r="F1792" s="98" t="s">
        <v>140</v>
      </c>
      <c r="G1792" s="98" t="s">
        <v>15</v>
      </c>
      <c r="H1792" s="98">
        <v>0</v>
      </c>
      <c r="I1792" s="98">
        <v>0</v>
      </c>
      <c r="K1792" s="98">
        <v>5.8705E-2</v>
      </c>
      <c r="L1792" s="98">
        <v>2016900</v>
      </c>
      <c r="M1792" s="98">
        <v>5.8698E-2</v>
      </c>
      <c r="N1792" s="98">
        <v>2014500</v>
      </c>
      <c r="O1792" s="99" t="s">
        <v>1142</v>
      </c>
    </row>
    <row r="1793" spans="1:15" x14ac:dyDescent="0.25">
      <c r="A1793" s="98" t="s">
        <v>54</v>
      </c>
      <c r="B1793" s="98" t="s">
        <v>14</v>
      </c>
      <c r="C1793" s="98">
        <v>2.1999999999999999E-10</v>
      </c>
      <c r="D1793" s="98">
        <v>3.3000000000000002E-9</v>
      </c>
      <c r="E1793" s="98">
        <v>1.0000000000000001E-9</v>
      </c>
      <c r="F1793" s="98" t="s">
        <v>140</v>
      </c>
      <c r="G1793" s="98" t="s">
        <v>15</v>
      </c>
      <c r="H1793" s="98">
        <v>0</v>
      </c>
      <c r="I1793" s="98">
        <v>0</v>
      </c>
      <c r="K1793" s="98">
        <v>0.57745000000000002</v>
      </c>
      <c r="L1793" s="98">
        <v>218190</v>
      </c>
      <c r="M1793" s="98">
        <v>0.57745000000000002</v>
      </c>
      <c r="N1793" s="98">
        <v>217000</v>
      </c>
      <c r="O1793" s="99" t="s">
        <v>1143</v>
      </c>
    </row>
    <row r="1794" spans="1:15" x14ac:dyDescent="0.25">
      <c r="A1794" s="98" t="s">
        <v>54</v>
      </c>
      <c r="B1794" s="98" t="s">
        <v>14</v>
      </c>
      <c r="C1794" s="98">
        <v>3.3000000000000002E-9</v>
      </c>
      <c r="D1794" s="98">
        <v>1.0999999999999999E-8</v>
      </c>
      <c r="E1794" s="98">
        <v>9.9999999999999998E-13</v>
      </c>
      <c r="F1794" s="98" t="s">
        <v>140</v>
      </c>
      <c r="G1794" s="98" t="s">
        <v>15</v>
      </c>
      <c r="H1794" s="98">
        <v>0</v>
      </c>
      <c r="I1794" s="98">
        <v>0</v>
      </c>
      <c r="K1794" s="98">
        <v>1.2E-2</v>
      </c>
      <c r="L1794" s="98">
        <v>2900000</v>
      </c>
      <c r="M1794" s="98">
        <v>1.1575999999999999E-2</v>
      </c>
      <c r="N1794" s="98">
        <v>2885200</v>
      </c>
      <c r="O1794" s="99" t="s">
        <v>1144</v>
      </c>
    </row>
    <row r="1795" spans="1:15" x14ac:dyDescent="0.25">
      <c r="A1795" s="98" t="s">
        <v>54</v>
      </c>
      <c r="B1795" s="98" t="s">
        <v>14</v>
      </c>
      <c r="C1795" s="98">
        <v>3.3000000000000002E-9</v>
      </c>
      <c r="D1795" s="98">
        <v>1.0999999999999999E-8</v>
      </c>
      <c r="E1795" s="98">
        <v>9.9999999999999994E-12</v>
      </c>
      <c r="F1795" s="98" t="s">
        <v>140</v>
      </c>
      <c r="G1795" s="98" t="s">
        <v>15</v>
      </c>
      <c r="H1795" s="98">
        <v>0</v>
      </c>
      <c r="I1795" s="98">
        <v>0</v>
      </c>
      <c r="K1795" s="98">
        <v>1.2482E-2</v>
      </c>
      <c r="L1795" s="98">
        <v>2856200</v>
      </c>
      <c r="M1795" s="98">
        <v>1.2511E-2</v>
      </c>
      <c r="N1795" s="98">
        <v>2834700</v>
      </c>
      <c r="O1795" s="99" t="s">
        <v>1145</v>
      </c>
    </row>
    <row r="1796" spans="1:15" x14ac:dyDescent="0.25">
      <c r="A1796" s="98" t="s">
        <v>54</v>
      </c>
      <c r="B1796" s="98" t="s">
        <v>14</v>
      </c>
      <c r="C1796" s="98">
        <v>3.3000000000000002E-9</v>
      </c>
      <c r="D1796" s="98">
        <v>1.0999999999999999E-8</v>
      </c>
      <c r="E1796" s="98">
        <v>1E-10</v>
      </c>
      <c r="F1796" s="98" t="s">
        <v>140</v>
      </c>
      <c r="G1796" s="98" t="s">
        <v>15</v>
      </c>
      <c r="H1796" s="98">
        <v>0</v>
      </c>
      <c r="I1796" s="98">
        <v>0</v>
      </c>
      <c r="K1796" s="98">
        <v>5.6911000000000003E-2</v>
      </c>
      <c r="L1796" s="98">
        <v>1398700</v>
      </c>
      <c r="M1796" s="98">
        <v>5.6877999999999998E-2</v>
      </c>
      <c r="N1796" s="98">
        <v>1390600</v>
      </c>
      <c r="O1796" s="99" t="s">
        <v>1146</v>
      </c>
    </row>
    <row r="1797" spans="1:15" x14ac:dyDescent="0.25">
      <c r="A1797" s="98" t="s">
        <v>54</v>
      </c>
      <c r="B1797" s="98" t="s">
        <v>14</v>
      </c>
      <c r="C1797" s="98">
        <v>3.3000000000000002E-9</v>
      </c>
      <c r="D1797" s="98">
        <v>1.0999999999999999E-8</v>
      </c>
      <c r="E1797" s="98">
        <v>1.0000000000000001E-9</v>
      </c>
      <c r="F1797" s="98" t="s">
        <v>140</v>
      </c>
      <c r="G1797" s="98" t="s">
        <v>15</v>
      </c>
      <c r="H1797" s="98">
        <v>0</v>
      </c>
      <c r="I1797" s="98">
        <v>0</v>
      </c>
      <c r="K1797" s="98">
        <v>0.57721999999999996</v>
      </c>
      <c r="L1797" s="98">
        <v>165280</v>
      </c>
      <c r="M1797" s="98">
        <v>0.57721</v>
      </c>
      <c r="N1797" s="98">
        <v>160660</v>
      </c>
      <c r="O1797" s="99" t="s">
        <v>1147</v>
      </c>
    </row>
    <row r="1798" spans="1:15" x14ac:dyDescent="0.25">
      <c r="A1798" s="98" t="s">
        <v>54</v>
      </c>
      <c r="B1798" s="98" t="s">
        <v>14</v>
      </c>
      <c r="C1798" s="98">
        <v>1.0999999999999999E-8</v>
      </c>
      <c r="D1798" s="98">
        <v>3.2999999999999998E-8</v>
      </c>
      <c r="E1798" s="98">
        <v>9.9999999999999998E-13</v>
      </c>
      <c r="F1798" s="98" t="s">
        <v>140</v>
      </c>
      <c r="G1798" s="98" t="s">
        <v>15</v>
      </c>
      <c r="H1798" s="98">
        <v>0</v>
      </c>
      <c r="I1798" s="98">
        <v>0</v>
      </c>
      <c r="K1798" s="98">
        <v>0.12</v>
      </c>
      <c r="L1798" s="98">
        <v>2900000</v>
      </c>
      <c r="M1798" s="98">
        <v>0.11547</v>
      </c>
      <c r="N1798" s="98">
        <v>2886700</v>
      </c>
      <c r="O1798" s="99" t="s">
        <v>1148</v>
      </c>
    </row>
    <row r="1799" spans="1:15" x14ac:dyDescent="0.25">
      <c r="A1799" s="98" t="s">
        <v>54</v>
      </c>
      <c r="B1799" s="98" t="s">
        <v>14</v>
      </c>
      <c r="C1799" s="98">
        <v>1.0999999999999999E-8</v>
      </c>
      <c r="D1799" s="98">
        <v>3.2999999999999998E-8</v>
      </c>
      <c r="E1799" s="98">
        <v>9.9999999999999994E-12</v>
      </c>
      <c r="F1799" s="98" t="s">
        <v>140</v>
      </c>
      <c r="G1799" s="98" t="s">
        <v>15</v>
      </c>
      <c r="H1799" s="98">
        <v>0</v>
      </c>
      <c r="I1799" s="98">
        <v>0</v>
      </c>
      <c r="K1799" s="98">
        <v>0.12</v>
      </c>
      <c r="L1799" s="98">
        <v>2900000</v>
      </c>
      <c r="M1799" s="98">
        <v>0.11561</v>
      </c>
      <c r="N1799" s="98">
        <v>2885200</v>
      </c>
      <c r="O1799" s="99" t="s">
        <v>1149</v>
      </c>
    </row>
    <row r="1800" spans="1:15" x14ac:dyDescent="0.25">
      <c r="A1800" s="98" t="s">
        <v>54</v>
      </c>
      <c r="B1800" s="98" t="s">
        <v>14</v>
      </c>
      <c r="C1800" s="98">
        <v>1.0999999999999999E-8</v>
      </c>
      <c r="D1800" s="98">
        <v>3.2999999999999998E-8</v>
      </c>
      <c r="E1800" s="98">
        <v>1E-10</v>
      </c>
      <c r="F1800" s="98" t="s">
        <v>140</v>
      </c>
      <c r="G1800" s="98" t="s">
        <v>15</v>
      </c>
      <c r="H1800" s="98">
        <v>0</v>
      </c>
      <c r="I1800" s="98">
        <v>0</v>
      </c>
      <c r="K1800" s="98">
        <v>0.12801000000000001</v>
      </c>
      <c r="L1800" s="98">
        <v>2745100</v>
      </c>
      <c r="M1800" s="98">
        <v>0.12797</v>
      </c>
      <c r="N1800" s="98">
        <v>2743500</v>
      </c>
      <c r="O1800" s="99" t="s">
        <v>1150</v>
      </c>
    </row>
    <row r="1801" spans="1:15" x14ac:dyDescent="0.25">
      <c r="A1801" s="98" t="s">
        <v>54</v>
      </c>
      <c r="B1801" s="98" t="s">
        <v>14</v>
      </c>
      <c r="C1801" s="98">
        <v>1.0999999999999999E-8</v>
      </c>
      <c r="D1801" s="98">
        <v>3.2999999999999998E-8</v>
      </c>
      <c r="E1801" s="98">
        <v>1.0000000000000001E-9</v>
      </c>
      <c r="F1801" s="98" t="s">
        <v>140</v>
      </c>
      <c r="G1801" s="98" t="s">
        <v>15</v>
      </c>
      <c r="H1801" s="98">
        <v>0</v>
      </c>
      <c r="I1801" s="98">
        <v>0</v>
      </c>
      <c r="K1801" s="98">
        <v>0.58647000000000005</v>
      </c>
      <c r="L1801" s="98">
        <v>856770</v>
      </c>
      <c r="M1801" s="98">
        <v>0.58643999999999996</v>
      </c>
      <c r="N1801" s="98">
        <v>853690</v>
      </c>
      <c r="O1801" s="99" t="s">
        <v>1151</v>
      </c>
    </row>
    <row r="1802" spans="1:15" x14ac:dyDescent="0.25">
      <c r="A1802" s="98" t="s">
        <v>54</v>
      </c>
      <c r="B1802" s="98" t="s">
        <v>14</v>
      </c>
      <c r="C1802" s="98">
        <v>1.0999999999999999E-8</v>
      </c>
      <c r="D1802" s="98">
        <v>3.2999999999999998E-8</v>
      </c>
      <c r="E1802" s="98">
        <v>1E-8</v>
      </c>
      <c r="F1802" s="98" t="s">
        <v>140</v>
      </c>
      <c r="G1802" s="98" t="s">
        <v>15</v>
      </c>
      <c r="H1802" s="98">
        <v>0</v>
      </c>
      <c r="I1802" s="98">
        <v>0</v>
      </c>
      <c r="K1802" s="98">
        <v>5.7744999999999997</v>
      </c>
      <c r="L1802" s="98">
        <v>853270</v>
      </c>
      <c r="M1802" s="98">
        <v>5.7744</v>
      </c>
      <c r="N1802" s="98">
        <v>89445</v>
      </c>
      <c r="O1802" s="99" t="s">
        <v>1152</v>
      </c>
    </row>
    <row r="1803" spans="1:15" x14ac:dyDescent="0.25">
      <c r="A1803" s="98" t="s">
        <v>54</v>
      </c>
      <c r="B1803" s="98" t="s">
        <v>14</v>
      </c>
      <c r="C1803" s="98">
        <v>3.2999999999999998E-8</v>
      </c>
      <c r="D1803" s="98">
        <v>1.1000000000000001E-7</v>
      </c>
      <c r="E1803" s="98">
        <v>9.9999999999999994E-12</v>
      </c>
      <c r="F1803" s="98" t="s">
        <v>140</v>
      </c>
      <c r="G1803" s="98" t="s">
        <v>15</v>
      </c>
      <c r="H1803" s="98">
        <v>0</v>
      </c>
      <c r="I1803" s="98">
        <v>0</v>
      </c>
      <c r="K1803" s="98">
        <v>0.12</v>
      </c>
      <c r="L1803" s="98">
        <v>2900000</v>
      </c>
      <c r="M1803" s="98">
        <v>0.11565</v>
      </c>
      <c r="N1803" s="98">
        <v>2886200</v>
      </c>
      <c r="O1803" s="99" t="s">
        <v>1153</v>
      </c>
    </row>
    <row r="1804" spans="1:15" x14ac:dyDescent="0.25">
      <c r="A1804" s="98" t="s">
        <v>54</v>
      </c>
      <c r="B1804" s="98" t="s">
        <v>14</v>
      </c>
      <c r="C1804" s="98">
        <v>3.2999999999999998E-8</v>
      </c>
      <c r="D1804" s="98">
        <v>1.1000000000000001E-7</v>
      </c>
      <c r="E1804" s="98">
        <v>1E-10</v>
      </c>
      <c r="F1804" s="98" t="s">
        <v>140</v>
      </c>
      <c r="G1804" s="98" t="s">
        <v>15</v>
      </c>
      <c r="H1804" s="98">
        <v>0</v>
      </c>
      <c r="I1804" s="98">
        <v>0</v>
      </c>
      <c r="K1804" s="98">
        <v>0.12459000000000001</v>
      </c>
      <c r="L1804" s="98">
        <v>2858300</v>
      </c>
      <c r="M1804" s="98">
        <v>0.125</v>
      </c>
      <c r="N1804" s="98">
        <v>2835700</v>
      </c>
      <c r="O1804" s="99" t="s">
        <v>1154</v>
      </c>
    </row>
    <row r="1805" spans="1:15" x14ac:dyDescent="0.25">
      <c r="A1805" s="98" t="s">
        <v>54</v>
      </c>
      <c r="B1805" s="98" t="s">
        <v>14</v>
      </c>
      <c r="C1805" s="98">
        <v>3.2999999999999998E-8</v>
      </c>
      <c r="D1805" s="98">
        <v>1.1000000000000001E-7</v>
      </c>
      <c r="E1805" s="98">
        <v>1.0000000000000001E-9</v>
      </c>
      <c r="F1805" s="98" t="s">
        <v>140</v>
      </c>
      <c r="G1805" s="98" t="s">
        <v>15</v>
      </c>
      <c r="H1805" s="98">
        <v>0</v>
      </c>
      <c r="I1805" s="98">
        <v>0</v>
      </c>
      <c r="K1805" s="98">
        <v>0.56898000000000004</v>
      </c>
      <c r="L1805" s="98">
        <v>1398000</v>
      </c>
      <c r="M1805" s="98">
        <v>0.56874000000000002</v>
      </c>
      <c r="N1805" s="98">
        <v>1390900</v>
      </c>
      <c r="O1805" s="99" t="s">
        <v>1155</v>
      </c>
    </row>
    <row r="1806" spans="1:15" x14ac:dyDescent="0.25">
      <c r="A1806" s="98" t="s">
        <v>54</v>
      </c>
      <c r="B1806" s="98" t="s">
        <v>14</v>
      </c>
      <c r="C1806" s="98">
        <v>3.2999999999999998E-8</v>
      </c>
      <c r="D1806" s="98">
        <v>1.1000000000000001E-7</v>
      </c>
      <c r="E1806" s="98">
        <v>1E-8</v>
      </c>
      <c r="F1806" s="98" t="s">
        <v>140</v>
      </c>
      <c r="G1806" s="98" t="s">
        <v>15</v>
      </c>
      <c r="H1806" s="98">
        <v>0</v>
      </c>
      <c r="I1806" s="98">
        <v>0</v>
      </c>
      <c r="K1806" s="98">
        <v>5.7721999999999998</v>
      </c>
      <c r="L1806" s="98">
        <v>164700</v>
      </c>
      <c r="M1806" s="98">
        <v>5.7721</v>
      </c>
      <c r="N1806" s="98">
        <v>160690</v>
      </c>
      <c r="O1806" s="99" t="s">
        <v>1156</v>
      </c>
    </row>
    <row r="1807" spans="1:15" x14ac:dyDescent="0.25">
      <c r="A1807" s="98" t="s">
        <v>54</v>
      </c>
      <c r="B1807" s="98" t="s">
        <v>14</v>
      </c>
      <c r="C1807" s="98">
        <v>1.1000000000000001E-7</v>
      </c>
      <c r="D1807" s="98">
        <v>3.3000000000000002E-7</v>
      </c>
      <c r="E1807" s="98">
        <v>9.9999999999999994E-12</v>
      </c>
      <c r="F1807" s="98" t="s">
        <v>140</v>
      </c>
      <c r="G1807" s="98" t="s">
        <v>15</v>
      </c>
      <c r="H1807" s="98">
        <v>0</v>
      </c>
      <c r="I1807" s="98">
        <v>0</v>
      </c>
      <c r="K1807" s="98">
        <v>0.35</v>
      </c>
      <c r="L1807" s="98">
        <v>2900000</v>
      </c>
      <c r="M1807" s="98">
        <v>0.34649000000000002</v>
      </c>
      <c r="N1807" s="98">
        <v>2886700</v>
      </c>
      <c r="O1807" s="99" t="s">
        <v>1157</v>
      </c>
    </row>
    <row r="1808" spans="1:15" x14ac:dyDescent="0.25">
      <c r="A1808" s="98" t="s">
        <v>54</v>
      </c>
      <c r="B1808" s="98" t="s">
        <v>14</v>
      </c>
      <c r="C1808" s="98">
        <v>1.1000000000000001E-7</v>
      </c>
      <c r="D1808" s="98">
        <v>3.3000000000000002E-7</v>
      </c>
      <c r="E1808" s="98">
        <v>1E-10</v>
      </c>
      <c r="F1808" s="98" t="s">
        <v>140</v>
      </c>
      <c r="G1808" s="98" t="s">
        <v>15</v>
      </c>
      <c r="H1808" s="98">
        <v>0</v>
      </c>
      <c r="I1808" s="98">
        <v>0</v>
      </c>
      <c r="K1808" s="98">
        <v>0.35</v>
      </c>
      <c r="L1808" s="98">
        <v>2900000</v>
      </c>
      <c r="M1808" s="98">
        <v>0.34958</v>
      </c>
      <c r="N1808" s="98">
        <v>2881200</v>
      </c>
      <c r="O1808" s="99" t="s">
        <v>1158</v>
      </c>
    </row>
    <row r="1809" spans="1:15" x14ac:dyDescent="0.25">
      <c r="A1809" s="98" t="s">
        <v>54</v>
      </c>
      <c r="B1809" s="98" t="s">
        <v>14</v>
      </c>
      <c r="C1809" s="98">
        <v>1.1000000000000001E-7</v>
      </c>
      <c r="D1809" s="98">
        <v>3.3000000000000002E-7</v>
      </c>
      <c r="E1809" s="98">
        <v>1.0000000000000001E-9</v>
      </c>
      <c r="F1809" s="98" t="s">
        <v>140</v>
      </c>
      <c r="G1809" s="98" t="s">
        <v>15</v>
      </c>
      <c r="H1809" s="98">
        <v>0</v>
      </c>
      <c r="I1809" s="98">
        <v>0</v>
      </c>
      <c r="K1809" s="98">
        <v>0.60931000000000002</v>
      </c>
      <c r="L1809" s="98">
        <v>2463100</v>
      </c>
      <c r="M1809" s="98">
        <v>0.60906000000000005</v>
      </c>
      <c r="N1809" s="98">
        <v>2462300</v>
      </c>
      <c r="O1809" s="99" t="s">
        <v>1159</v>
      </c>
    </row>
    <row r="1810" spans="1:15" x14ac:dyDescent="0.25">
      <c r="A1810" s="98" t="s">
        <v>54</v>
      </c>
      <c r="B1810" s="98" t="s">
        <v>14</v>
      </c>
      <c r="C1810" s="98">
        <v>1.1000000000000001E-7</v>
      </c>
      <c r="D1810" s="98">
        <v>3.3000000000000002E-7</v>
      </c>
      <c r="E1810" s="98">
        <v>1E-8</v>
      </c>
      <c r="F1810" s="98" t="s">
        <v>140</v>
      </c>
      <c r="G1810" s="98" t="s">
        <v>15</v>
      </c>
      <c r="H1810" s="98">
        <v>0</v>
      </c>
      <c r="I1810" s="98">
        <v>0</v>
      </c>
      <c r="K1810" s="98">
        <v>5.7584999999999997</v>
      </c>
      <c r="L1810" s="98">
        <v>484500</v>
      </c>
      <c r="M1810" s="98">
        <v>5.7584999999999997</v>
      </c>
      <c r="N1810" s="98">
        <v>483140</v>
      </c>
      <c r="O1810" s="99" t="s">
        <v>1160</v>
      </c>
    </row>
    <row r="1811" spans="1:15" x14ac:dyDescent="0.25">
      <c r="A1811" s="98" t="s">
        <v>54</v>
      </c>
      <c r="B1811" s="98" t="s">
        <v>14</v>
      </c>
      <c r="C1811" s="98">
        <v>3.3000000000000002E-7</v>
      </c>
      <c r="D1811" s="98">
        <v>1.1000000000000001E-6</v>
      </c>
      <c r="E1811" s="98">
        <v>1E-10</v>
      </c>
      <c r="F1811" s="98" t="s">
        <v>140</v>
      </c>
      <c r="G1811" s="98" t="s">
        <v>15</v>
      </c>
      <c r="H1811" s="98">
        <v>0</v>
      </c>
      <c r="I1811" s="98">
        <v>0</v>
      </c>
      <c r="K1811" s="98">
        <v>1.2</v>
      </c>
      <c r="L1811" s="98">
        <v>2900000</v>
      </c>
      <c r="M1811" s="98">
        <v>1.1566000000000001</v>
      </c>
      <c r="N1811" s="98">
        <v>2886200</v>
      </c>
      <c r="O1811" s="99" t="s">
        <v>1161</v>
      </c>
    </row>
    <row r="1812" spans="1:15" x14ac:dyDescent="0.25">
      <c r="A1812" s="98" t="s">
        <v>54</v>
      </c>
      <c r="B1812" s="98" t="s">
        <v>14</v>
      </c>
      <c r="C1812" s="98">
        <v>3.3000000000000002E-7</v>
      </c>
      <c r="D1812" s="98">
        <v>1.1000000000000001E-6</v>
      </c>
      <c r="E1812" s="98">
        <v>1.0000000000000001E-9</v>
      </c>
      <c r="F1812" s="98" t="s">
        <v>140</v>
      </c>
      <c r="G1812" s="98" t="s">
        <v>15</v>
      </c>
      <c r="H1812" s="98">
        <v>0</v>
      </c>
      <c r="I1812" s="98">
        <v>0</v>
      </c>
      <c r="K1812" s="98">
        <v>1.2438</v>
      </c>
      <c r="L1812" s="98">
        <v>2860200</v>
      </c>
      <c r="M1812" s="98">
        <v>1.2501</v>
      </c>
      <c r="N1812" s="98">
        <v>2835600</v>
      </c>
      <c r="O1812" s="99" t="s">
        <v>1162</v>
      </c>
    </row>
    <row r="1813" spans="1:15" x14ac:dyDescent="0.25">
      <c r="A1813" s="98" t="s">
        <v>54</v>
      </c>
      <c r="B1813" s="98" t="s">
        <v>14</v>
      </c>
      <c r="C1813" s="98">
        <v>3.3000000000000002E-7</v>
      </c>
      <c r="D1813" s="98">
        <v>1.1000000000000001E-6</v>
      </c>
      <c r="E1813" s="98">
        <v>1E-8</v>
      </c>
      <c r="F1813" s="98" t="s">
        <v>140</v>
      </c>
      <c r="G1813" s="98" t="s">
        <v>15</v>
      </c>
      <c r="H1813" s="98">
        <v>0</v>
      </c>
      <c r="I1813" s="98">
        <v>0</v>
      </c>
      <c r="K1813" s="98">
        <v>5.6890999999999998</v>
      </c>
      <c r="L1813" s="98">
        <v>1394000</v>
      </c>
      <c r="M1813" s="98">
        <v>5.6874000000000002</v>
      </c>
      <c r="N1813" s="98">
        <v>1390900</v>
      </c>
      <c r="O1813" s="99" t="s">
        <v>1163</v>
      </c>
    </row>
    <row r="1814" spans="1:15" x14ac:dyDescent="0.25">
      <c r="A1814" s="98" t="s">
        <v>54</v>
      </c>
      <c r="B1814" s="98" t="s">
        <v>14</v>
      </c>
      <c r="C1814" s="98">
        <v>3.3000000000000002E-7</v>
      </c>
      <c r="D1814" s="98">
        <v>1.1001000000000001E-6</v>
      </c>
      <c r="E1814" s="98">
        <v>9.9999999999999995E-8</v>
      </c>
      <c r="F1814" s="98" t="s">
        <v>140</v>
      </c>
      <c r="G1814" s="98" t="s">
        <v>15</v>
      </c>
      <c r="H1814" s="98">
        <v>0</v>
      </c>
      <c r="I1814" s="98">
        <v>0</v>
      </c>
      <c r="K1814" s="98">
        <v>57.722000000000001</v>
      </c>
      <c r="L1814" s="98">
        <v>162480</v>
      </c>
      <c r="M1814" s="98">
        <v>57.720999999999997</v>
      </c>
      <c r="N1814" s="98">
        <v>160690</v>
      </c>
      <c r="O1814" s="99" t="s">
        <v>1164</v>
      </c>
    </row>
    <row r="1815" spans="1:15" x14ac:dyDescent="0.25">
      <c r="A1815" s="98" t="s">
        <v>54</v>
      </c>
      <c r="B1815" s="98" t="s">
        <v>14</v>
      </c>
      <c r="C1815" s="98">
        <v>1.1000000000000001E-6</v>
      </c>
      <c r="D1815" s="98">
        <v>3.3001E-6</v>
      </c>
      <c r="E1815" s="98">
        <v>1E-10</v>
      </c>
      <c r="F1815" s="98" t="s">
        <v>140</v>
      </c>
      <c r="G1815" s="98" t="s">
        <v>15</v>
      </c>
      <c r="H1815" s="98">
        <v>0</v>
      </c>
      <c r="I1815" s="98">
        <v>0</v>
      </c>
      <c r="K1815" s="98">
        <v>3.5</v>
      </c>
      <c r="L1815" s="98">
        <v>2900000</v>
      </c>
      <c r="M1815" s="98">
        <v>3.4649000000000001</v>
      </c>
      <c r="N1815" s="98">
        <v>2886700</v>
      </c>
      <c r="O1815" s="99" t="s">
        <v>1165</v>
      </c>
    </row>
    <row r="1816" spans="1:15" x14ac:dyDescent="0.25">
      <c r="A1816" s="98" t="s">
        <v>54</v>
      </c>
      <c r="B1816" s="98" t="s">
        <v>14</v>
      </c>
      <c r="C1816" s="98">
        <v>1.1000000000000001E-6</v>
      </c>
      <c r="D1816" s="98">
        <v>3.3001E-6</v>
      </c>
      <c r="E1816" s="98">
        <v>1.0000000000000001E-9</v>
      </c>
      <c r="F1816" s="98" t="s">
        <v>140</v>
      </c>
      <c r="G1816" s="98" t="s">
        <v>15</v>
      </c>
      <c r="H1816" s="98">
        <v>0</v>
      </c>
      <c r="I1816" s="98">
        <v>0</v>
      </c>
      <c r="K1816" s="98">
        <v>3.5</v>
      </c>
      <c r="L1816" s="98">
        <v>2900000</v>
      </c>
      <c r="M1816" s="98">
        <v>3.4958</v>
      </c>
      <c r="N1816" s="98">
        <v>2881200</v>
      </c>
      <c r="O1816" s="99" t="s">
        <v>1166</v>
      </c>
    </row>
    <row r="1817" spans="1:15" x14ac:dyDescent="0.25">
      <c r="A1817" s="98" t="s">
        <v>54</v>
      </c>
      <c r="B1817" s="98" t="s">
        <v>14</v>
      </c>
      <c r="C1817" s="98">
        <v>1.1000000000000001E-6</v>
      </c>
      <c r="D1817" s="98">
        <v>3.3001E-6</v>
      </c>
      <c r="E1817" s="98">
        <v>1E-8</v>
      </c>
      <c r="F1817" s="98" t="s">
        <v>140</v>
      </c>
      <c r="G1817" s="98" t="s">
        <v>15</v>
      </c>
      <c r="H1817" s="98">
        <v>0</v>
      </c>
      <c r="I1817" s="98">
        <v>0</v>
      </c>
      <c r="K1817" s="98">
        <v>6.0937000000000001</v>
      </c>
      <c r="L1817" s="98">
        <v>2463200</v>
      </c>
      <c r="M1817" s="98">
        <v>6.0906000000000002</v>
      </c>
      <c r="N1817" s="98">
        <v>2462300</v>
      </c>
      <c r="O1817" s="99" t="s">
        <v>1167</v>
      </c>
    </row>
    <row r="1818" spans="1:15" x14ac:dyDescent="0.25">
      <c r="A1818" s="98" t="s">
        <v>54</v>
      </c>
      <c r="B1818" s="98" t="s">
        <v>14</v>
      </c>
      <c r="C1818" s="98">
        <v>1.1000000000000001E-6</v>
      </c>
      <c r="D1818" s="98">
        <v>3.3001E-6</v>
      </c>
      <c r="E1818" s="98">
        <v>9.9999999999999995E-8</v>
      </c>
      <c r="F1818" s="98" t="s">
        <v>140</v>
      </c>
      <c r="G1818" s="98" t="s">
        <v>15</v>
      </c>
      <c r="H1818" s="98">
        <v>0</v>
      </c>
      <c r="I1818" s="98">
        <v>0</v>
      </c>
      <c r="K1818" s="98">
        <v>57.585000000000001</v>
      </c>
      <c r="L1818" s="98">
        <v>484680</v>
      </c>
      <c r="M1818" s="98">
        <v>57.585000000000001</v>
      </c>
      <c r="N1818" s="98">
        <v>483140</v>
      </c>
      <c r="O1818" s="99" t="s">
        <v>1168</v>
      </c>
    </row>
    <row r="1819" spans="1:15" x14ac:dyDescent="0.25">
      <c r="A1819" s="98" t="s">
        <v>54</v>
      </c>
      <c r="B1819" s="98" t="s">
        <v>14</v>
      </c>
      <c r="C1819" s="98">
        <v>3.3000000000000002E-6</v>
      </c>
      <c r="D1819" s="98">
        <v>1.1001E-5</v>
      </c>
      <c r="E1819" s="98">
        <v>1.0000000000000001E-9</v>
      </c>
      <c r="F1819" s="98" t="s">
        <v>140</v>
      </c>
      <c r="G1819" s="98" t="s">
        <v>15</v>
      </c>
      <c r="H1819" s="98">
        <v>0</v>
      </c>
      <c r="I1819" s="98">
        <v>0</v>
      </c>
      <c r="K1819" s="98">
        <v>12</v>
      </c>
      <c r="L1819" s="98">
        <v>2900000</v>
      </c>
      <c r="M1819" s="98">
        <v>11.566000000000001</v>
      </c>
      <c r="N1819" s="98">
        <v>2886200</v>
      </c>
      <c r="O1819" s="99" t="s">
        <v>1169</v>
      </c>
    </row>
    <row r="1820" spans="1:15" x14ac:dyDescent="0.25">
      <c r="A1820" s="98" t="s">
        <v>54</v>
      </c>
      <c r="B1820" s="98" t="s">
        <v>14</v>
      </c>
      <c r="C1820" s="98">
        <v>3.3000000000000002E-6</v>
      </c>
      <c r="D1820" s="98">
        <v>1.1001E-5</v>
      </c>
      <c r="E1820" s="98">
        <v>1E-8</v>
      </c>
      <c r="F1820" s="98" t="s">
        <v>140</v>
      </c>
      <c r="G1820" s="98" t="s">
        <v>15</v>
      </c>
      <c r="H1820" s="98">
        <v>0</v>
      </c>
      <c r="I1820" s="98">
        <v>0</v>
      </c>
      <c r="K1820" s="98">
        <v>12.429</v>
      </c>
      <c r="L1820" s="98">
        <v>2861100</v>
      </c>
      <c r="M1820" s="98">
        <v>12.500999999999999</v>
      </c>
      <c r="N1820" s="98">
        <v>2835600</v>
      </c>
      <c r="O1820" s="99" t="s">
        <v>1170</v>
      </c>
    </row>
    <row r="1821" spans="1:15" x14ac:dyDescent="0.25">
      <c r="A1821" s="98" t="s">
        <v>54</v>
      </c>
      <c r="B1821" s="98" t="s">
        <v>14</v>
      </c>
      <c r="C1821" s="98">
        <v>3.3000000000000002E-6</v>
      </c>
      <c r="D1821" s="98">
        <v>1.1001E-5</v>
      </c>
      <c r="E1821" s="98">
        <v>9.9999999999999995E-8</v>
      </c>
      <c r="F1821" s="98" t="s">
        <v>140</v>
      </c>
      <c r="G1821" s="98" t="s">
        <v>15</v>
      </c>
      <c r="H1821" s="98">
        <v>0</v>
      </c>
      <c r="I1821" s="98">
        <v>0</v>
      </c>
      <c r="K1821" s="98">
        <v>56.88</v>
      </c>
      <c r="L1821" s="98">
        <v>1394300</v>
      </c>
      <c r="M1821" s="98">
        <v>56.874000000000002</v>
      </c>
      <c r="N1821" s="98">
        <v>1390900</v>
      </c>
      <c r="O1821" s="99" t="s">
        <v>1171</v>
      </c>
    </row>
    <row r="1822" spans="1:15" x14ac:dyDescent="0.25">
      <c r="A1822" s="98" t="s">
        <v>54</v>
      </c>
      <c r="B1822" s="98" t="s">
        <v>14</v>
      </c>
      <c r="C1822" s="98">
        <v>3.3000000000000002E-6</v>
      </c>
      <c r="D1822" s="98">
        <v>1.1001E-5</v>
      </c>
      <c r="E1822" s="98">
        <v>9.9999999999999995E-7</v>
      </c>
      <c r="F1822" s="98" t="s">
        <v>140</v>
      </c>
      <c r="G1822" s="98" t="s">
        <v>15</v>
      </c>
      <c r="H1822" s="98">
        <v>0</v>
      </c>
      <c r="I1822" s="98">
        <v>0</v>
      </c>
      <c r="K1822" s="98">
        <v>577.21</v>
      </c>
      <c r="L1822" s="98">
        <v>162540</v>
      </c>
      <c r="M1822" s="98">
        <v>577.21</v>
      </c>
      <c r="N1822" s="98">
        <v>160690</v>
      </c>
      <c r="O1822" s="99" t="s">
        <v>1172</v>
      </c>
    </row>
    <row r="1823" spans="1:15" x14ac:dyDescent="0.25">
      <c r="A1823" s="98" t="s">
        <v>54</v>
      </c>
      <c r="B1823" s="98" t="s">
        <v>14</v>
      </c>
      <c r="C1823" s="98">
        <v>1.1E-5</v>
      </c>
      <c r="D1823" s="98">
        <v>3.3000999999999998E-5</v>
      </c>
      <c r="E1823" s="98">
        <v>1.0000000000000001E-9</v>
      </c>
      <c r="F1823" s="98" t="s">
        <v>140</v>
      </c>
      <c r="G1823" s="98" t="s">
        <v>15</v>
      </c>
      <c r="H1823" s="98">
        <v>0</v>
      </c>
      <c r="I1823" s="98">
        <v>0</v>
      </c>
      <c r="K1823" s="98">
        <v>36</v>
      </c>
      <c r="L1823" s="98">
        <v>4600000</v>
      </c>
      <c r="M1823" s="98">
        <v>34.648000000000003</v>
      </c>
      <c r="N1823" s="98">
        <v>4618700</v>
      </c>
      <c r="O1823" s="99" t="s">
        <v>1173</v>
      </c>
    </row>
    <row r="1824" spans="1:15" x14ac:dyDescent="0.25">
      <c r="A1824" s="98" t="s">
        <v>54</v>
      </c>
      <c r="B1824" s="98" t="s">
        <v>14</v>
      </c>
      <c r="C1824" s="98">
        <v>1.1E-5</v>
      </c>
      <c r="D1824" s="98">
        <v>3.3000999999999998E-5</v>
      </c>
      <c r="E1824" s="98">
        <v>1E-8</v>
      </c>
      <c r="F1824" s="98" t="s">
        <v>140</v>
      </c>
      <c r="G1824" s="98" t="s">
        <v>15</v>
      </c>
      <c r="H1824" s="98">
        <v>0</v>
      </c>
      <c r="I1824" s="98">
        <v>0</v>
      </c>
      <c r="K1824" s="98">
        <v>36</v>
      </c>
      <c r="L1824" s="98">
        <v>4600000</v>
      </c>
      <c r="M1824" s="98">
        <v>34.893999999999998</v>
      </c>
      <c r="N1824" s="98">
        <v>4613900</v>
      </c>
      <c r="O1824" s="99" t="s">
        <v>1174</v>
      </c>
    </row>
    <row r="1825" spans="1:15" x14ac:dyDescent="0.25">
      <c r="A1825" s="98" t="s">
        <v>54</v>
      </c>
      <c r="B1825" s="98" t="s">
        <v>14</v>
      </c>
      <c r="C1825" s="98">
        <v>1.1E-5</v>
      </c>
      <c r="D1825" s="98">
        <v>3.3000999999999998E-5</v>
      </c>
      <c r="E1825" s="98">
        <v>9.9999999999999995E-8</v>
      </c>
      <c r="F1825" s="98" t="s">
        <v>140</v>
      </c>
      <c r="G1825" s="98" t="s">
        <v>15</v>
      </c>
      <c r="H1825" s="98">
        <v>0</v>
      </c>
      <c r="I1825" s="98">
        <v>0</v>
      </c>
      <c r="K1825" s="98">
        <v>56.814</v>
      </c>
      <c r="L1825" s="98">
        <v>4211300</v>
      </c>
      <c r="M1825" s="98">
        <v>56.808</v>
      </c>
      <c r="N1825" s="98">
        <v>4211000</v>
      </c>
      <c r="O1825" s="99" t="s">
        <v>1175</v>
      </c>
    </row>
    <row r="1826" spans="1:15" x14ac:dyDescent="0.25">
      <c r="A1826" s="98" t="s">
        <v>54</v>
      </c>
      <c r="B1826" s="98" t="s">
        <v>14</v>
      </c>
      <c r="C1826" s="98">
        <v>1.1E-5</v>
      </c>
      <c r="D1826" s="98">
        <v>3.3000999999999998E-5</v>
      </c>
      <c r="E1826" s="98">
        <v>9.9999999999999995E-7</v>
      </c>
      <c r="F1826" s="98" t="s">
        <v>140</v>
      </c>
      <c r="G1826" s="98" t="s">
        <v>15</v>
      </c>
      <c r="H1826" s="98">
        <v>0</v>
      </c>
      <c r="I1826" s="98">
        <v>0</v>
      </c>
      <c r="K1826" s="98">
        <v>572.02</v>
      </c>
      <c r="L1826" s="98">
        <v>1057800</v>
      </c>
      <c r="M1826" s="98">
        <v>572.02</v>
      </c>
      <c r="N1826" s="98">
        <v>1057200</v>
      </c>
      <c r="O1826" s="99" t="s">
        <v>1176</v>
      </c>
    </row>
    <row r="1827" spans="1:15" x14ac:dyDescent="0.25">
      <c r="A1827" s="98" t="s">
        <v>54</v>
      </c>
      <c r="B1827" s="98" t="s">
        <v>14</v>
      </c>
      <c r="C1827" s="98">
        <v>3.3000000000000003E-5</v>
      </c>
      <c r="D1827" s="98">
        <v>1.1001E-4</v>
      </c>
      <c r="E1827" s="98">
        <v>1E-8</v>
      </c>
      <c r="F1827" s="98" t="s">
        <v>140</v>
      </c>
      <c r="G1827" s="98" t="s">
        <v>15</v>
      </c>
      <c r="H1827" s="98">
        <v>0</v>
      </c>
      <c r="I1827" s="98">
        <v>0</v>
      </c>
      <c r="K1827" s="98">
        <v>120</v>
      </c>
      <c r="L1827" s="98">
        <v>5200000</v>
      </c>
      <c r="M1827" s="98">
        <v>115.61</v>
      </c>
      <c r="N1827" s="98">
        <v>5195600</v>
      </c>
      <c r="O1827" s="99" t="s">
        <v>1177</v>
      </c>
    </row>
    <row r="1828" spans="1:15" x14ac:dyDescent="0.25">
      <c r="A1828" s="98" t="s">
        <v>54</v>
      </c>
      <c r="B1828" s="98" t="s">
        <v>14</v>
      </c>
      <c r="C1828" s="98">
        <v>3.3000000000000003E-5</v>
      </c>
      <c r="D1828" s="98">
        <v>1.1001E-4</v>
      </c>
      <c r="E1828" s="98">
        <v>9.9999999999999995E-8</v>
      </c>
      <c r="F1828" s="98" t="s">
        <v>140</v>
      </c>
      <c r="G1828" s="98" t="s">
        <v>15</v>
      </c>
      <c r="H1828" s="98">
        <v>0</v>
      </c>
      <c r="I1828" s="98">
        <v>0</v>
      </c>
      <c r="K1828" s="98">
        <v>121.85</v>
      </c>
      <c r="L1828" s="98">
        <v>5183200</v>
      </c>
      <c r="M1828" s="98">
        <v>122.72</v>
      </c>
      <c r="N1828" s="98">
        <v>5152800</v>
      </c>
      <c r="O1828" s="99" t="s">
        <v>1178</v>
      </c>
    </row>
    <row r="1829" spans="1:15" x14ac:dyDescent="0.25">
      <c r="A1829" s="98" t="s">
        <v>54</v>
      </c>
      <c r="B1829" s="98" t="s">
        <v>14</v>
      </c>
      <c r="C1829" s="98">
        <v>3.3000000000000003E-5</v>
      </c>
      <c r="D1829" s="98">
        <v>1.1001E-4</v>
      </c>
      <c r="E1829" s="98">
        <v>9.9999999999999995E-7</v>
      </c>
      <c r="F1829" s="98" t="s">
        <v>140</v>
      </c>
      <c r="G1829" s="98" t="s">
        <v>15</v>
      </c>
      <c r="H1829" s="98">
        <v>0</v>
      </c>
      <c r="I1829" s="98">
        <v>0</v>
      </c>
      <c r="K1829" s="98">
        <v>536.63</v>
      </c>
      <c r="L1829" s="98">
        <v>3284200</v>
      </c>
      <c r="M1829" s="98">
        <v>536.45000000000005</v>
      </c>
      <c r="N1829" s="98">
        <v>3282000</v>
      </c>
      <c r="O1829" s="99" t="s">
        <v>1179</v>
      </c>
    </row>
    <row r="1830" spans="1:15" x14ac:dyDescent="0.25">
      <c r="A1830" s="98" t="s">
        <v>54</v>
      </c>
      <c r="B1830" s="98" t="s">
        <v>14</v>
      </c>
      <c r="C1830" s="98">
        <v>3.3000000000000003E-5</v>
      </c>
      <c r="D1830" s="98">
        <v>1.1001E-4</v>
      </c>
      <c r="E1830" s="98">
        <v>1.0000000000000001E-5</v>
      </c>
      <c r="F1830" s="98" t="s">
        <v>140</v>
      </c>
      <c r="G1830" s="98" t="s">
        <v>15</v>
      </c>
      <c r="H1830" s="98">
        <v>0</v>
      </c>
      <c r="I1830" s="98">
        <v>0</v>
      </c>
      <c r="K1830" s="98">
        <v>5766.3</v>
      </c>
      <c r="L1830" s="98">
        <v>438500</v>
      </c>
      <c r="M1830" s="98">
        <v>5766.3</v>
      </c>
      <c r="N1830" s="98">
        <v>436530</v>
      </c>
      <c r="O1830" s="99" t="s">
        <v>1180</v>
      </c>
    </row>
    <row r="1831" spans="1:15" x14ac:dyDescent="0.25">
      <c r="A1831" s="98" t="s">
        <v>54</v>
      </c>
      <c r="B1831" s="98" t="s">
        <v>14</v>
      </c>
      <c r="C1831" s="98">
        <v>1.1E-4</v>
      </c>
      <c r="D1831" s="98">
        <v>3.3000999999999999E-4</v>
      </c>
      <c r="E1831" s="98">
        <v>1E-8</v>
      </c>
      <c r="F1831" s="98" t="s">
        <v>140</v>
      </c>
      <c r="G1831" s="98" t="s">
        <v>16</v>
      </c>
      <c r="H1831" s="98">
        <v>0</v>
      </c>
      <c r="I1831" s="98">
        <v>0</v>
      </c>
      <c r="K1831" s="98">
        <v>0.35</v>
      </c>
      <c r="L1831" s="98">
        <v>5200</v>
      </c>
      <c r="M1831" s="98">
        <v>0.34612999999999999</v>
      </c>
      <c r="N1831" s="98">
        <v>5199.8</v>
      </c>
      <c r="O1831" s="99" t="s">
        <v>1181</v>
      </c>
    </row>
    <row r="1832" spans="1:15" x14ac:dyDescent="0.25">
      <c r="A1832" s="98" t="s">
        <v>54</v>
      </c>
      <c r="B1832" s="98" t="s">
        <v>14</v>
      </c>
      <c r="C1832" s="98">
        <v>1.1E-4</v>
      </c>
      <c r="D1832" s="98">
        <v>3.3000999999999999E-4</v>
      </c>
      <c r="E1832" s="98">
        <v>9.9999999999999995E-8</v>
      </c>
      <c r="F1832" s="98" t="s">
        <v>140</v>
      </c>
      <c r="G1832" s="98" t="s">
        <v>16</v>
      </c>
      <c r="H1832" s="98">
        <v>0</v>
      </c>
      <c r="I1832" s="98">
        <v>0</v>
      </c>
      <c r="K1832" s="98">
        <v>0.35</v>
      </c>
      <c r="L1832" s="98">
        <v>5200</v>
      </c>
      <c r="M1832" s="98">
        <v>0.34836</v>
      </c>
      <c r="N1832" s="98">
        <v>5195.3</v>
      </c>
      <c r="O1832" s="99" t="s">
        <v>1182</v>
      </c>
    </row>
    <row r="1833" spans="1:15" x14ac:dyDescent="0.25">
      <c r="A1833" s="98" t="s">
        <v>54</v>
      </c>
      <c r="B1833" s="98" t="s">
        <v>14</v>
      </c>
      <c r="C1833" s="98">
        <v>1.1E-4</v>
      </c>
      <c r="D1833" s="98">
        <v>3.3000999999999999E-4</v>
      </c>
      <c r="E1833" s="98">
        <v>9.9999999999999995E-7</v>
      </c>
      <c r="F1833" s="98" t="s">
        <v>140</v>
      </c>
      <c r="G1833" s="98" t="s">
        <v>16</v>
      </c>
      <c r="H1833" s="98">
        <v>0</v>
      </c>
      <c r="I1833" s="98">
        <v>0</v>
      </c>
      <c r="K1833" s="98">
        <v>0.55623</v>
      </c>
      <c r="L1833" s="98">
        <v>4803.8</v>
      </c>
      <c r="M1833" s="98">
        <v>0.55608000000000002</v>
      </c>
      <c r="N1833" s="98">
        <v>4803.7</v>
      </c>
      <c r="O1833" s="99" t="s">
        <v>1183</v>
      </c>
    </row>
    <row r="1834" spans="1:15" x14ac:dyDescent="0.25">
      <c r="A1834" s="98" t="s">
        <v>54</v>
      </c>
      <c r="B1834" s="98" t="s">
        <v>14</v>
      </c>
      <c r="C1834" s="98">
        <v>1.1E-4</v>
      </c>
      <c r="D1834" s="98">
        <v>3.3000999999999999E-4</v>
      </c>
      <c r="E1834" s="98">
        <v>1.0000000000000001E-5</v>
      </c>
      <c r="F1834" s="98" t="s">
        <v>140</v>
      </c>
      <c r="G1834" s="98" t="s">
        <v>16</v>
      </c>
      <c r="H1834" s="98">
        <v>0</v>
      </c>
      <c r="I1834" s="98">
        <v>0</v>
      </c>
      <c r="K1834" s="98">
        <v>5.7038000000000002</v>
      </c>
      <c r="L1834" s="98">
        <v>1294.4000000000001</v>
      </c>
      <c r="M1834" s="98">
        <v>5.7038000000000002</v>
      </c>
      <c r="N1834" s="98">
        <v>1293.8</v>
      </c>
      <c r="O1834" s="99" t="s">
        <v>1184</v>
      </c>
    </row>
    <row r="1835" spans="1:15" x14ac:dyDescent="0.25">
      <c r="A1835" s="98" t="s">
        <v>54</v>
      </c>
      <c r="B1835" s="98" t="s">
        <v>14</v>
      </c>
      <c r="C1835" s="98">
        <v>3.3E-4</v>
      </c>
      <c r="D1835" s="98">
        <v>1.1000999999999999E-3</v>
      </c>
      <c r="E1835" s="98">
        <v>9.9999999999999995E-8</v>
      </c>
      <c r="F1835" s="98" t="s">
        <v>140</v>
      </c>
      <c r="G1835" s="98" t="s">
        <v>16</v>
      </c>
      <c r="H1835" s="98">
        <v>0</v>
      </c>
      <c r="I1835" s="98">
        <v>0</v>
      </c>
      <c r="K1835" s="98">
        <v>1.2</v>
      </c>
      <c r="L1835" s="98">
        <v>5200</v>
      </c>
      <c r="M1835" s="98">
        <v>1.1557999999999999</v>
      </c>
      <c r="N1835" s="98">
        <v>5198.3</v>
      </c>
      <c r="O1835" s="99" t="s">
        <v>1185</v>
      </c>
    </row>
    <row r="1836" spans="1:15" x14ac:dyDescent="0.25">
      <c r="A1836" s="98" t="s">
        <v>54</v>
      </c>
      <c r="B1836" s="98" t="s">
        <v>14</v>
      </c>
      <c r="C1836" s="98">
        <v>3.3E-4</v>
      </c>
      <c r="D1836" s="98">
        <v>1.1000999999999999E-3</v>
      </c>
      <c r="E1836" s="98">
        <v>9.9999999999999995E-7</v>
      </c>
      <c r="F1836" s="98" t="s">
        <v>140</v>
      </c>
      <c r="G1836" s="98" t="s">
        <v>16</v>
      </c>
      <c r="H1836" s="98">
        <v>0</v>
      </c>
      <c r="I1836" s="98">
        <v>0</v>
      </c>
      <c r="K1836" s="98">
        <v>1.2193000000000001</v>
      </c>
      <c r="L1836" s="98">
        <v>5182.5</v>
      </c>
      <c r="M1836" s="98">
        <v>1.2267999999999999</v>
      </c>
      <c r="N1836" s="98">
        <v>5155.5</v>
      </c>
      <c r="O1836" s="99" t="s">
        <v>1186</v>
      </c>
    </row>
    <row r="1837" spans="1:15" x14ac:dyDescent="0.25">
      <c r="A1837" s="98" t="s">
        <v>54</v>
      </c>
      <c r="B1837" s="98" t="s">
        <v>14</v>
      </c>
      <c r="C1837" s="98">
        <v>3.3E-4</v>
      </c>
      <c r="D1837" s="98">
        <v>1.1000999999999999E-3</v>
      </c>
      <c r="E1837" s="98">
        <v>1.0000000000000001E-5</v>
      </c>
      <c r="F1837" s="98" t="s">
        <v>140</v>
      </c>
      <c r="G1837" s="98" t="s">
        <v>16</v>
      </c>
      <c r="H1837" s="98">
        <v>0</v>
      </c>
      <c r="I1837" s="98">
        <v>0</v>
      </c>
      <c r="K1837" s="98">
        <v>5.3658000000000001</v>
      </c>
      <c r="L1837" s="98">
        <v>3286.5</v>
      </c>
      <c r="M1837" s="98">
        <v>5.3640999999999996</v>
      </c>
      <c r="N1837" s="98">
        <v>3284.2</v>
      </c>
      <c r="O1837" s="99" t="s">
        <v>1187</v>
      </c>
    </row>
    <row r="1838" spans="1:15" x14ac:dyDescent="0.25">
      <c r="A1838" s="98" t="s">
        <v>54</v>
      </c>
      <c r="B1838" s="98" t="s">
        <v>14</v>
      </c>
      <c r="C1838" s="98">
        <v>3.3E-4</v>
      </c>
      <c r="D1838" s="98">
        <v>1.1000999999999999E-3</v>
      </c>
      <c r="E1838" s="98">
        <v>1E-4</v>
      </c>
      <c r="F1838" s="98" t="s">
        <v>140</v>
      </c>
      <c r="G1838" s="98" t="s">
        <v>16</v>
      </c>
      <c r="H1838" s="98">
        <v>0</v>
      </c>
      <c r="I1838" s="98">
        <v>0</v>
      </c>
      <c r="K1838" s="98">
        <v>57.662999999999997</v>
      </c>
      <c r="L1838" s="98">
        <v>438.86</v>
      </c>
      <c r="M1838" s="98">
        <v>57.662999999999997</v>
      </c>
      <c r="N1838" s="98">
        <v>436.89</v>
      </c>
      <c r="O1838" s="99" t="s">
        <v>1188</v>
      </c>
    </row>
    <row r="1839" spans="1:15" x14ac:dyDescent="0.25">
      <c r="A1839" s="98" t="s">
        <v>54</v>
      </c>
      <c r="B1839" s="98" t="s">
        <v>14</v>
      </c>
      <c r="C1839" s="98">
        <v>1.1000000000000001E-3</v>
      </c>
      <c r="D1839" s="98">
        <v>3.3000999999999998E-3</v>
      </c>
      <c r="E1839" s="98">
        <v>9.9999999999999995E-8</v>
      </c>
      <c r="F1839" s="98" t="s">
        <v>140</v>
      </c>
      <c r="G1839" s="98" t="s">
        <v>16</v>
      </c>
      <c r="H1839" s="98">
        <v>0</v>
      </c>
      <c r="I1839" s="98">
        <v>0</v>
      </c>
      <c r="K1839" s="98">
        <v>3.5</v>
      </c>
      <c r="L1839" s="98">
        <v>5200</v>
      </c>
      <c r="M1839" s="98">
        <v>3.4636</v>
      </c>
      <c r="N1839" s="98">
        <v>5198.8999999999996</v>
      </c>
      <c r="O1839" s="99" t="s">
        <v>1189</v>
      </c>
    </row>
    <row r="1840" spans="1:15" x14ac:dyDescent="0.25">
      <c r="A1840" s="98" t="s">
        <v>54</v>
      </c>
      <c r="B1840" s="98" t="s">
        <v>14</v>
      </c>
      <c r="C1840" s="98">
        <v>1.1000000000000001E-3</v>
      </c>
      <c r="D1840" s="98">
        <v>3.3000999999999998E-3</v>
      </c>
      <c r="E1840" s="98">
        <v>9.9999999999999995E-7</v>
      </c>
      <c r="F1840" s="98" t="s">
        <v>140</v>
      </c>
      <c r="G1840" s="98" t="s">
        <v>16</v>
      </c>
      <c r="H1840" s="98">
        <v>0</v>
      </c>
      <c r="I1840" s="98">
        <v>0</v>
      </c>
      <c r="K1840" s="98">
        <v>3.5</v>
      </c>
      <c r="L1840" s="98">
        <v>5200</v>
      </c>
      <c r="M1840" s="98">
        <v>3.4866000000000001</v>
      </c>
      <c r="N1840" s="98">
        <v>5194.3999999999996</v>
      </c>
      <c r="O1840" s="99" t="s">
        <v>1190</v>
      </c>
    </row>
    <row r="1841" spans="1:15" x14ac:dyDescent="0.25">
      <c r="A1841" s="98" t="s">
        <v>54</v>
      </c>
      <c r="B1841" s="98" t="s">
        <v>14</v>
      </c>
      <c r="C1841" s="98">
        <v>1.1000000000000001E-3</v>
      </c>
      <c r="D1841" s="98">
        <v>3.3000999999999998E-3</v>
      </c>
      <c r="E1841" s="98">
        <v>1.0000000000000001E-5</v>
      </c>
      <c r="F1841" s="98" t="s">
        <v>140</v>
      </c>
      <c r="G1841" s="98" t="s">
        <v>16</v>
      </c>
      <c r="H1841" s="98">
        <v>0</v>
      </c>
      <c r="I1841" s="98">
        <v>0</v>
      </c>
      <c r="K1841" s="98">
        <v>5.5761000000000003</v>
      </c>
      <c r="L1841" s="98">
        <v>4803.8999999999996</v>
      </c>
      <c r="M1841" s="98">
        <v>5.5633999999999997</v>
      </c>
      <c r="N1841" s="98">
        <v>4802.8999999999996</v>
      </c>
      <c r="O1841" s="99" t="s">
        <v>1191</v>
      </c>
    </row>
    <row r="1842" spans="1:15" x14ac:dyDescent="0.25">
      <c r="A1842" s="98" t="s">
        <v>54</v>
      </c>
      <c r="B1842" s="98" t="s">
        <v>14</v>
      </c>
      <c r="C1842" s="98">
        <v>1.1000000000000001E-3</v>
      </c>
      <c r="D1842" s="98">
        <v>3.3000999999999998E-3</v>
      </c>
      <c r="E1842" s="98">
        <v>1E-4</v>
      </c>
      <c r="F1842" s="98" t="s">
        <v>140</v>
      </c>
      <c r="G1842" s="98" t="s">
        <v>16</v>
      </c>
      <c r="H1842" s="98">
        <v>0</v>
      </c>
      <c r="I1842" s="98">
        <v>0</v>
      </c>
      <c r="K1842" s="98">
        <v>57.042999999999999</v>
      </c>
      <c r="L1842" s="98">
        <v>1299.0999999999999</v>
      </c>
      <c r="M1842" s="98">
        <v>57.037999999999997</v>
      </c>
      <c r="N1842" s="98">
        <v>1293.7</v>
      </c>
      <c r="O1842" s="99" t="s">
        <v>1192</v>
      </c>
    </row>
    <row r="1843" spans="1:15" x14ac:dyDescent="0.25">
      <c r="A1843" s="98" t="s">
        <v>54</v>
      </c>
      <c r="B1843" s="98" t="s">
        <v>14</v>
      </c>
      <c r="C1843" s="98">
        <v>3.3E-3</v>
      </c>
      <c r="D1843" s="98">
        <v>1.1001E-2</v>
      </c>
      <c r="E1843" s="98">
        <v>9.9999999999999995E-7</v>
      </c>
      <c r="F1843" s="98" t="s">
        <v>140</v>
      </c>
      <c r="G1843" s="98" t="s">
        <v>16</v>
      </c>
      <c r="H1843" s="98">
        <v>0</v>
      </c>
      <c r="I1843" s="98">
        <v>0</v>
      </c>
      <c r="K1843" s="98">
        <v>13</v>
      </c>
      <c r="L1843" s="98">
        <v>5200</v>
      </c>
      <c r="M1843" s="98">
        <v>12.076000000000001</v>
      </c>
      <c r="N1843" s="98">
        <v>5198.3</v>
      </c>
      <c r="O1843" s="99" t="s">
        <v>1193</v>
      </c>
    </row>
    <row r="1844" spans="1:15" x14ac:dyDescent="0.25">
      <c r="A1844" s="98" t="s">
        <v>54</v>
      </c>
      <c r="B1844" s="98" t="s">
        <v>14</v>
      </c>
      <c r="C1844" s="98">
        <v>3.3E-3</v>
      </c>
      <c r="D1844" s="98">
        <v>1.1001E-2</v>
      </c>
      <c r="E1844" s="98">
        <v>1.0000000000000001E-5</v>
      </c>
      <c r="F1844" s="98" t="s">
        <v>140</v>
      </c>
      <c r="G1844" s="98" t="s">
        <v>16</v>
      </c>
      <c r="H1844" s="98">
        <v>0</v>
      </c>
      <c r="I1844" s="98">
        <v>0</v>
      </c>
      <c r="K1844" s="98">
        <v>13</v>
      </c>
      <c r="L1844" s="98">
        <v>5200</v>
      </c>
      <c r="M1844" s="98">
        <v>12.712999999999999</v>
      </c>
      <c r="N1844" s="98">
        <v>5155.6000000000004</v>
      </c>
      <c r="O1844" s="99" t="s">
        <v>1194</v>
      </c>
    </row>
    <row r="1845" spans="1:15" x14ac:dyDescent="0.25">
      <c r="A1845" s="98" t="s">
        <v>54</v>
      </c>
      <c r="B1845" s="98" t="s">
        <v>14</v>
      </c>
      <c r="C1845" s="98">
        <v>3.3E-3</v>
      </c>
      <c r="D1845" s="98">
        <v>1.1001E-2</v>
      </c>
      <c r="E1845" s="98">
        <v>1E-4</v>
      </c>
      <c r="F1845" s="98" t="s">
        <v>140</v>
      </c>
      <c r="G1845" s="98" t="s">
        <v>16</v>
      </c>
      <c r="H1845" s="98">
        <v>0</v>
      </c>
      <c r="I1845" s="98">
        <v>0</v>
      </c>
      <c r="K1845" s="98">
        <v>53.665999999999997</v>
      </c>
      <c r="L1845" s="98">
        <v>3287.9</v>
      </c>
      <c r="M1845" s="98">
        <v>53.64</v>
      </c>
      <c r="N1845" s="98">
        <v>3284.3</v>
      </c>
      <c r="O1845" s="99" t="s">
        <v>1195</v>
      </c>
    </row>
    <row r="1846" spans="1:15" x14ac:dyDescent="0.25">
      <c r="A1846" s="98" t="s">
        <v>54</v>
      </c>
      <c r="B1846" s="98" t="s">
        <v>14</v>
      </c>
      <c r="C1846" s="98">
        <v>3.3E-3</v>
      </c>
      <c r="D1846" s="98">
        <v>1.1001E-2</v>
      </c>
      <c r="E1846" s="98">
        <v>1E-3</v>
      </c>
      <c r="F1846" s="98" t="s">
        <v>140</v>
      </c>
      <c r="G1846" s="98" t="s">
        <v>16</v>
      </c>
      <c r="H1846" s="98">
        <v>0</v>
      </c>
      <c r="I1846" s="98">
        <v>0</v>
      </c>
      <c r="K1846" s="98">
        <v>576.63</v>
      </c>
      <c r="L1846" s="98">
        <v>439.99</v>
      </c>
      <c r="M1846" s="98">
        <v>576.63</v>
      </c>
      <c r="N1846" s="98">
        <v>436.9</v>
      </c>
      <c r="O1846" s="99" t="s">
        <v>1196</v>
      </c>
    </row>
    <row r="1847" spans="1:15" x14ac:dyDescent="0.25">
      <c r="A1847" s="98" t="s">
        <v>54</v>
      </c>
      <c r="B1847" s="98" t="s">
        <v>14</v>
      </c>
      <c r="C1847" s="98">
        <v>1.0999999999999999E-2</v>
      </c>
      <c r="D1847" s="98">
        <v>3.3001000000000003E-2</v>
      </c>
      <c r="E1847" s="98">
        <v>9.9999999999999995E-7</v>
      </c>
      <c r="F1847" s="98" t="s">
        <v>140</v>
      </c>
      <c r="G1847" s="98" t="s">
        <v>16</v>
      </c>
      <c r="H1847" s="98">
        <v>0</v>
      </c>
      <c r="I1847" s="98">
        <v>0</v>
      </c>
      <c r="K1847" s="98">
        <v>35</v>
      </c>
      <c r="L1847" s="98">
        <v>8700</v>
      </c>
      <c r="M1847" s="98">
        <v>34.642000000000003</v>
      </c>
      <c r="N1847" s="98">
        <v>8661.9</v>
      </c>
      <c r="O1847" s="99" t="s">
        <v>1197</v>
      </c>
    </row>
    <row r="1848" spans="1:15" x14ac:dyDescent="0.25">
      <c r="A1848" s="98" t="s">
        <v>54</v>
      </c>
      <c r="B1848" s="98" t="s">
        <v>14</v>
      </c>
      <c r="C1848" s="98">
        <v>1.0999999999999999E-2</v>
      </c>
      <c r="D1848" s="98">
        <v>3.3001000000000003E-2</v>
      </c>
      <c r="E1848" s="98">
        <v>1.0000000000000001E-5</v>
      </c>
      <c r="F1848" s="98" t="s">
        <v>140</v>
      </c>
      <c r="G1848" s="98" t="s">
        <v>16</v>
      </c>
      <c r="H1848" s="98">
        <v>0</v>
      </c>
      <c r="I1848" s="98">
        <v>0</v>
      </c>
      <c r="K1848" s="98">
        <v>35</v>
      </c>
      <c r="L1848" s="98">
        <v>8700</v>
      </c>
      <c r="M1848" s="98">
        <v>34.805999999999997</v>
      </c>
      <c r="N1848" s="98">
        <v>8658.5</v>
      </c>
      <c r="O1848" s="99" t="s">
        <v>1198</v>
      </c>
    </row>
    <row r="1849" spans="1:15" x14ac:dyDescent="0.25">
      <c r="A1849" s="98" t="s">
        <v>54</v>
      </c>
      <c r="B1849" s="98" t="s">
        <v>14</v>
      </c>
      <c r="C1849" s="98">
        <v>1.0999999999999999E-2</v>
      </c>
      <c r="D1849" s="98">
        <v>3.3001000000000003E-2</v>
      </c>
      <c r="E1849" s="98">
        <v>1E-4</v>
      </c>
      <c r="F1849" s="98" t="s">
        <v>140</v>
      </c>
      <c r="G1849" s="98" t="s">
        <v>16</v>
      </c>
      <c r="H1849" s="98">
        <v>0</v>
      </c>
      <c r="I1849" s="98">
        <v>0</v>
      </c>
      <c r="K1849" s="98">
        <v>50.508000000000003</v>
      </c>
      <c r="L1849" s="98">
        <v>8339.7000000000007</v>
      </c>
      <c r="M1849" s="98">
        <v>50.436999999999998</v>
      </c>
      <c r="N1849" s="98">
        <v>8339.6</v>
      </c>
      <c r="O1849" s="99" t="s">
        <v>1199</v>
      </c>
    </row>
    <row r="1850" spans="1:15" x14ac:dyDescent="0.25">
      <c r="A1850" s="98" t="s">
        <v>54</v>
      </c>
      <c r="B1850" s="98" t="s">
        <v>14</v>
      </c>
      <c r="C1850" s="98">
        <v>1.0999999999999999E-2</v>
      </c>
      <c r="D1850" s="98">
        <v>3.3001000000000003E-2</v>
      </c>
      <c r="E1850" s="98">
        <v>1E-3</v>
      </c>
      <c r="F1850" s="98" t="s">
        <v>140</v>
      </c>
      <c r="G1850" s="98" t="s">
        <v>16</v>
      </c>
      <c r="H1850" s="98">
        <v>0</v>
      </c>
      <c r="I1850" s="98">
        <v>0</v>
      </c>
      <c r="K1850" s="98">
        <v>557.54999999999995</v>
      </c>
      <c r="L1850" s="98">
        <v>3119.3</v>
      </c>
      <c r="M1850" s="98">
        <v>557.52</v>
      </c>
      <c r="N1850" s="98">
        <v>3115.8</v>
      </c>
      <c r="O1850" s="99" t="s">
        <v>1200</v>
      </c>
    </row>
    <row r="1851" spans="1:15" x14ac:dyDescent="0.25">
      <c r="A1851" s="98" t="s">
        <v>54</v>
      </c>
      <c r="B1851" s="98" t="s">
        <v>14</v>
      </c>
      <c r="C1851" s="98">
        <v>3.3000000000000002E-2</v>
      </c>
      <c r="D1851" s="98">
        <v>0.11001</v>
      </c>
      <c r="E1851" s="98">
        <v>1.0000000000000001E-5</v>
      </c>
      <c r="F1851" s="98" t="s">
        <v>140</v>
      </c>
      <c r="G1851" s="98" t="s">
        <v>64</v>
      </c>
      <c r="H1851" s="98">
        <v>0</v>
      </c>
      <c r="I1851" s="98">
        <v>0</v>
      </c>
      <c r="K1851" s="98">
        <v>120</v>
      </c>
      <c r="L1851" s="98">
        <v>13000</v>
      </c>
      <c r="M1851" s="98">
        <v>115.63</v>
      </c>
      <c r="N1851" s="98">
        <v>12701</v>
      </c>
      <c r="O1851" s="99" t="s">
        <v>1201</v>
      </c>
    </row>
    <row r="1852" spans="1:15" x14ac:dyDescent="0.25">
      <c r="A1852" s="98" t="s">
        <v>54</v>
      </c>
      <c r="B1852" s="98" t="s">
        <v>14</v>
      </c>
      <c r="C1852" s="98">
        <v>3.3000000000000002E-2</v>
      </c>
      <c r="D1852" s="98">
        <v>0.11001</v>
      </c>
      <c r="E1852" s="98">
        <v>1E-4</v>
      </c>
      <c r="F1852" s="98" t="s">
        <v>140</v>
      </c>
      <c r="G1852" s="98" t="s">
        <v>64</v>
      </c>
      <c r="H1852" s="98">
        <v>0</v>
      </c>
      <c r="I1852" s="98">
        <v>0</v>
      </c>
      <c r="K1852" s="98">
        <v>120</v>
      </c>
      <c r="L1852" s="98">
        <v>13000</v>
      </c>
      <c r="M1852" s="98">
        <v>119.5</v>
      </c>
      <c r="N1852" s="98">
        <v>12676</v>
      </c>
      <c r="O1852" s="99" t="s">
        <v>1202</v>
      </c>
    </row>
    <row r="1853" spans="1:15" x14ac:dyDescent="0.25">
      <c r="A1853" s="98" t="s">
        <v>54</v>
      </c>
      <c r="B1853" s="98" t="s">
        <v>14</v>
      </c>
      <c r="C1853" s="98">
        <v>3.3000000000000002E-2</v>
      </c>
      <c r="D1853" s="98">
        <v>0.11001</v>
      </c>
      <c r="E1853" s="98">
        <v>1E-3</v>
      </c>
      <c r="F1853" s="98" t="s">
        <v>140</v>
      </c>
      <c r="G1853" s="98" t="s">
        <v>64</v>
      </c>
      <c r="H1853" s="98">
        <v>0</v>
      </c>
      <c r="I1853" s="98">
        <v>0</v>
      </c>
      <c r="K1853" s="98">
        <v>430.99</v>
      </c>
      <c r="L1853" s="98">
        <v>10809</v>
      </c>
      <c r="M1853" s="98">
        <v>430.28</v>
      </c>
      <c r="N1853" s="98">
        <v>10808</v>
      </c>
      <c r="O1853" s="99" t="s">
        <v>1203</v>
      </c>
    </row>
    <row r="1854" spans="1:15" x14ac:dyDescent="0.25">
      <c r="A1854" s="98" t="s">
        <v>54</v>
      </c>
      <c r="B1854" s="98" t="s">
        <v>14</v>
      </c>
      <c r="C1854" s="98">
        <v>3.3000000000000002E-2</v>
      </c>
      <c r="D1854" s="98">
        <v>0.11001</v>
      </c>
      <c r="E1854" s="98">
        <v>0.01</v>
      </c>
      <c r="F1854" s="98" t="s">
        <v>140</v>
      </c>
      <c r="G1854" s="98" t="s">
        <v>64</v>
      </c>
      <c r="H1854" s="98">
        <v>0</v>
      </c>
      <c r="I1854" s="98">
        <v>0</v>
      </c>
      <c r="K1854" s="98">
        <v>5725.6</v>
      </c>
      <c r="L1854" s="98">
        <v>2215.6</v>
      </c>
      <c r="M1854" s="98">
        <v>5725.3</v>
      </c>
      <c r="N1854" s="98">
        <v>2210.1</v>
      </c>
      <c r="O1854" s="99" t="s">
        <v>1204</v>
      </c>
    </row>
    <row r="1855" spans="1:15" x14ac:dyDescent="0.25">
      <c r="A1855" s="98" t="s">
        <v>54</v>
      </c>
      <c r="B1855" s="98" t="s">
        <v>14</v>
      </c>
      <c r="C1855" s="98">
        <v>0.11</v>
      </c>
      <c r="D1855" s="98">
        <v>0.1101</v>
      </c>
      <c r="E1855" s="98">
        <v>1.0000000000000001E-5</v>
      </c>
      <c r="F1855" s="98" t="s">
        <v>140</v>
      </c>
      <c r="G1855" s="98" t="s">
        <v>16</v>
      </c>
      <c r="H1855" s="98">
        <v>0</v>
      </c>
      <c r="I1855" s="98">
        <v>0</v>
      </c>
      <c r="K1855" s="98">
        <v>120</v>
      </c>
      <c r="L1855" s="98">
        <v>13000</v>
      </c>
      <c r="M1855" s="98">
        <v>115.63</v>
      </c>
      <c r="N1855" s="98">
        <v>12701</v>
      </c>
      <c r="O1855" s="99" t="s">
        <v>1205</v>
      </c>
    </row>
    <row r="1856" spans="1:15" x14ac:dyDescent="0.25">
      <c r="A1856" s="98" t="s">
        <v>54</v>
      </c>
      <c r="B1856" s="98" t="s">
        <v>14</v>
      </c>
      <c r="C1856" s="98">
        <v>0.11</v>
      </c>
      <c r="D1856" s="98">
        <v>0.1101</v>
      </c>
      <c r="E1856" s="98">
        <v>1E-4</v>
      </c>
      <c r="F1856" s="98" t="s">
        <v>140</v>
      </c>
      <c r="G1856" s="98" t="s">
        <v>16</v>
      </c>
      <c r="H1856" s="98">
        <v>0</v>
      </c>
      <c r="I1856" s="98">
        <v>0</v>
      </c>
      <c r="K1856" s="98">
        <v>120</v>
      </c>
      <c r="L1856" s="98">
        <v>13000</v>
      </c>
      <c r="M1856" s="98">
        <v>119.5</v>
      </c>
      <c r="N1856" s="98">
        <v>12676</v>
      </c>
      <c r="O1856" s="99" t="s">
        <v>1206</v>
      </c>
    </row>
    <row r="1857" spans="1:15" x14ac:dyDescent="0.25">
      <c r="A1857" s="98" t="s">
        <v>54</v>
      </c>
      <c r="B1857" s="98" t="s">
        <v>14</v>
      </c>
      <c r="C1857" s="98">
        <v>0.11</v>
      </c>
      <c r="D1857" s="98">
        <v>0.1101</v>
      </c>
      <c r="E1857" s="98">
        <v>1E-3</v>
      </c>
      <c r="F1857" s="98" t="s">
        <v>140</v>
      </c>
      <c r="G1857" s="98" t="s">
        <v>16</v>
      </c>
      <c r="H1857" s="98">
        <v>0</v>
      </c>
      <c r="I1857" s="98">
        <v>0</v>
      </c>
      <c r="K1857" s="98">
        <v>430.99</v>
      </c>
      <c r="L1857" s="98">
        <v>10809</v>
      </c>
      <c r="M1857" s="98">
        <v>430.28</v>
      </c>
      <c r="N1857" s="98">
        <v>10808</v>
      </c>
      <c r="O1857" s="99" t="s">
        <v>1207</v>
      </c>
    </row>
    <row r="1858" spans="1:15" x14ac:dyDescent="0.25">
      <c r="A1858" s="98" t="s">
        <v>54</v>
      </c>
      <c r="B1858" s="98" t="s">
        <v>14</v>
      </c>
      <c r="C1858" s="98">
        <v>0.11</v>
      </c>
      <c r="D1858" s="98">
        <v>0.1101</v>
      </c>
      <c r="E1858" s="98">
        <v>0.01</v>
      </c>
      <c r="F1858" s="98" t="s">
        <v>140</v>
      </c>
      <c r="G1858" s="98" t="s">
        <v>16</v>
      </c>
      <c r="H1858" s="98">
        <v>0</v>
      </c>
      <c r="I1858" s="98">
        <v>0</v>
      </c>
      <c r="K1858" s="98">
        <v>5725.6</v>
      </c>
      <c r="L1858" s="98">
        <v>2215.6</v>
      </c>
      <c r="M1858" s="98">
        <v>5725.3</v>
      </c>
      <c r="N1858" s="98">
        <v>2210.1</v>
      </c>
      <c r="O1858" s="99" t="s">
        <v>1208</v>
      </c>
    </row>
    <row r="1859" spans="1:15" x14ac:dyDescent="0.25">
      <c r="A1859" s="98" t="s">
        <v>54</v>
      </c>
      <c r="B1859" s="98" t="s">
        <v>91</v>
      </c>
      <c r="C1859" s="98">
        <v>-250</v>
      </c>
      <c r="D1859" s="98">
        <v>-99.9</v>
      </c>
      <c r="E1859" s="98">
        <v>0.1</v>
      </c>
      <c r="F1859" s="98" t="s">
        <v>23</v>
      </c>
      <c r="G1859" s="98" t="s">
        <v>23</v>
      </c>
      <c r="H1859" s="98">
        <v>0</v>
      </c>
      <c r="I1859" s="98">
        <v>0</v>
      </c>
      <c r="K1859" s="98">
        <v>0.58422842399999997</v>
      </c>
      <c r="L1859" s="98">
        <v>0</v>
      </c>
      <c r="M1859" s="98">
        <v>0.58257756299999996</v>
      </c>
      <c r="N1859" s="98">
        <v>0</v>
      </c>
      <c r="O1859" s="99" t="s">
        <v>1127</v>
      </c>
    </row>
    <row r="1860" spans="1:15" x14ac:dyDescent="0.25">
      <c r="A1860" s="98" t="s">
        <v>54</v>
      </c>
      <c r="B1860" s="98" t="s">
        <v>91</v>
      </c>
      <c r="C1860" s="98">
        <v>-250</v>
      </c>
      <c r="D1860" s="98">
        <v>-99.9</v>
      </c>
      <c r="E1860" s="98">
        <v>1</v>
      </c>
      <c r="F1860" s="98" t="s">
        <v>23</v>
      </c>
      <c r="G1860" s="98" t="s">
        <v>23</v>
      </c>
      <c r="H1860" s="98">
        <v>0</v>
      </c>
      <c r="I1860" s="98">
        <v>0</v>
      </c>
      <c r="K1860" s="98">
        <v>0.82286180799999997</v>
      </c>
      <c r="L1860" s="98">
        <v>0</v>
      </c>
      <c r="M1860" s="98">
        <v>0.81816661899999998</v>
      </c>
      <c r="N1860" s="98">
        <v>0</v>
      </c>
      <c r="O1860" s="99" t="s">
        <v>1128</v>
      </c>
    </row>
    <row r="1861" spans="1:15" x14ac:dyDescent="0.25">
      <c r="A1861" s="98" t="s">
        <v>54</v>
      </c>
      <c r="B1861" s="98" t="s">
        <v>91</v>
      </c>
      <c r="C1861" s="98">
        <v>-100</v>
      </c>
      <c r="D1861" s="98">
        <v>-24.9</v>
      </c>
      <c r="E1861" s="98">
        <v>0.1</v>
      </c>
      <c r="F1861" s="98" t="s">
        <v>23</v>
      </c>
      <c r="G1861" s="98" t="s">
        <v>23</v>
      </c>
      <c r="H1861" s="98">
        <v>0</v>
      </c>
      <c r="I1861" s="98">
        <v>0</v>
      </c>
      <c r="K1861" s="98">
        <v>0.198592928</v>
      </c>
      <c r="L1861" s="98">
        <v>0</v>
      </c>
      <c r="M1861" s="98">
        <v>0.19764767999999999</v>
      </c>
      <c r="N1861" s="98">
        <v>0</v>
      </c>
      <c r="O1861" s="99" t="s">
        <v>1129</v>
      </c>
    </row>
    <row r="1862" spans="1:15" x14ac:dyDescent="0.25">
      <c r="A1862" s="98" t="s">
        <v>54</v>
      </c>
      <c r="B1862" s="98" t="s">
        <v>91</v>
      </c>
      <c r="C1862" s="98">
        <v>-100</v>
      </c>
      <c r="D1862" s="98">
        <v>-24.9</v>
      </c>
      <c r="E1862" s="98">
        <v>1</v>
      </c>
      <c r="F1862" s="98" t="s">
        <v>23</v>
      </c>
      <c r="G1862" s="98" t="s">
        <v>23</v>
      </c>
      <c r="H1862" s="98">
        <v>0</v>
      </c>
      <c r="I1862" s="98">
        <v>0</v>
      </c>
      <c r="K1862" s="98">
        <v>0.60873868600000003</v>
      </c>
      <c r="L1862" s="98">
        <v>0</v>
      </c>
      <c r="M1862" s="98">
        <v>0.60750687699999995</v>
      </c>
      <c r="N1862" s="98">
        <v>0</v>
      </c>
      <c r="O1862" s="99" t="s">
        <v>1130</v>
      </c>
    </row>
    <row r="1863" spans="1:15" x14ac:dyDescent="0.25">
      <c r="A1863" s="98" t="s">
        <v>54</v>
      </c>
      <c r="B1863" s="98" t="s">
        <v>91</v>
      </c>
      <c r="C1863" s="98">
        <v>-25</v>
      </c>
      <c r="D1863" s="98">
        <v>350.1</v>
      </c>
      <c r="E1863" s="98">
        <v>0.1</v>
      </c>
      <c r="F1863" s="98" t="s">
        <v>23</v>
      </c>
      <c r="G1863" s="98" t="s">
        <v>23</v>
      </c>
      <c r="H1863" s="98">
        <v>0</v>
      </c>
      <c r="I1863" s="98">
        <v>0</v>
      </c>
      <c r="K1863" s="98">
        <v>0.17588372099999999</v>
      </c>
      <c r="L1863" s="98">
        <v>0</v>
      </c>
      <c r="M1863" s="98">
        <v>0.17481572500000001</v>
      </c>
      <c r="N1863" s="98">
        <v>0</v>
      </c>
      <c r="O1863" s="99" t="s">
        <v>1131</v>
      </c>
    </row>
    <row r="1864" spans="1:15" x14ac:dyDescent="0.25">
      <c r="A1864" s="98" t="s">
        <v>54</v>
      </c>
      <c r="B1864" s="98" t="s">
        <v>91</v>
      </c>
      <c r="C1864" s="98">
        <v>-25</v>
      </c>
      <c r="D1864" s="98">
        <v>350.1</v>
      </c>
      <c r="E1864" s="98">
        <v>1</v>
      </c>
      <c r="F1864" s="98" t="s">
        <v>23</v>
      </c>
      <c r="G1864" s="98" t="s">
        <v>23</v>
      </c>
      <c r="H1864" s="98">
        <v>0</v>
      </c>
      <c r="I1864" s="98">
        <v>0</v>
      </c>
      <c r="K1864" s="98">
        <v>0.60171315400000003</v>
      </c>
      <c r="L1864" s="98">
        <v>0</v>
      </c>
      <c r="M1864" s="98">
        <v>0.60046693299999998</v>
      </c>
      <c r="N1864" s="98">
        <v>0</v>
      </c>
      <c r="O1864" s="99" t="s">
        <v>1132</v>
      </c>
    </row>
    <row r="1865" spans="1:15" x14ac:dyDescent="0.25">
      <c r="A1865" s="98" t="s">
        <v>54</v>
      </c>
      <c r="B1865" s="98" t="s">
        <v>91</v>
      </c>
      <c r="C1865" s="98">
        <v>350</v>
      </c>
      <c r="D1865" s="98">
        <v>650.1</v>
      </c>
      <c r="E1865" s="98">
        <v>0.1</v>
      </c>
      <c r="F1865" s="98" t="s">
        <v>23</v>
      </c>
      <c r="G1865" s="98" t="s">
        <v>23</v>
      </c>
      <c r="H1865" s="98">
        <v>0</v>
      </c>
      <c r="I1865" s="98">
        <v>0</v>
      </c>
      <c r="K1865" s="98">
        <v>0.19682908399999999</v>
      </c>
      <c r="L1865" s="98">
        <v>0</v>
      </c>
      <c r="M1865" s="98">
        <v>0.19628464600000001</v>
      </c>
      <c r="N1865" s="98">
        <v>0</v>
      </c>
      <c r="O1865" s="99" t="s">
        <v>1133</v>
      </c>
    </row>
    <row r="1866" spans="1:15" x14ac:dyDescent="0.25">
      <c r="A1866" s="98" t="s">
        <v>54</v>
      </c>
      <c r="B1866" s="98" t="s">
        <v>91</v>
      </c>
      <c r="C1866" s="98">
        <v>350</v>
      </c>
      <c r="D1866" s="98">
        <v>650.1</v>
      </c>
      <c r="E1866" s="98">
        <v>1</v>
      </c>
      <c r="F1866" s="98" t="s">
        <v>23</v>
      </c>
      <c r="G1866" s="98" t="s">
        <v>23</v>
      </c>
      <c r="H1866" s="98">
        <v>0</v>
      </c>
      <c r="I1866" s="98">
        <v>0</v>
      </c>
      <c r="K1866" s="98">
        <v>0.60776950100000005</v>
      </c>
      <c r="L1866" s="98">
        <v>0</v>
      </c>
      <c r="M1866" s="98">
        <v>0.60706479199999996</v>
      </c>
      <c r="N1866" s="98">
        <v>0</v>
      </c>
      <c r="O1866" s="99" t="s">
        <v>1134</v>
      </c>
    </row>
    <row r="1867" spans="1:15" x14ac:dyDescent="0.25">
      <c r="A1867" s="98" t="s">
        <v>54</v>
      </c>
      <c r="B1867" s="98" t="s">
        <v>91</v>
      </c>
      <c r="C1867" s="98">
        <v>650</v>
      </c>
      <c r="D1867" s="98">
        <v>1000</v>
      </c>
      <c r="E1867" s="98">
        <v>0.1</v>
      </c>
      <c r="F1867" s="98" t="s">
        <v>23</v>
      </c>
      <c r="G1867" s="98" t="s">
        <v>23</v>
      </c>
      <c r="H1867" s="98">
        <v>0</v>
      </c>
      <c r="I1867" s="98">
        <v>0</v>
      </c>
      <c r="K1867" s="98">
        <v>0.25181161499999999</v>
      </c>
      <c r="L1867" s="98">
        <v>0</v>
      </c>
      <c r="M1867" s="98">
        <v>0.25138628299999999</v>
      </c>
      <c r="N1867" s="98">
        <v>0</v>
      </c>
      <c r="O1867" s="99" t="s">
        <v>1135</v>
      </c>
    </row>
    <row r="1868" spans="1:15" x14ac:dyDescent="0.25">
      <c r="A1868" s="98" t="s">
        <v>54</v>
      </c>
      <c r="B1868" s="98" t="s">
        <v>91</v>
      </c>
      <c r="C1868" s="98">
        <v>650</v>
      </c>
      <c r="D1868" s="98">
        <v>1000</v>
      </c>
      <c r="E1868" s="98">
        <v>1</v>
      </c>
      <c r="F1868" s="98" t="s">
        <v>23</v>
      </c>
      <c r="G1868" s="98" t="s">
        <v>23</v>
      </c>
      <c r="H1868" s="98">
        <v>0</v>
      </c>
      <c r="I1868" s="98">
        <v>0</v>
      </c>
      <c r="K1868" s="98">
        <v>0.62773495000000001</v>
      </c>
      <c r="L1868" s="98">
        <v>0</v>
      </c>
      <c r="M1868" s="98">
        <v>0.62705268000000003</v>
      </c>
      <c r="N1868" s="98">
        <v>0</v>
      </c>
      <c r="O1868" s="99" t="s">
        <v>1136</v>
      </c>
    </row>
    <row r="1869" spans="1:15" x14ac:dyDescent="0.25">
      <c r="A1869" s="98" t="s">
        <v>54</v>
      </c>
      <c r="B1869" s="98" t="s">
        <v>91</v>
      </c>
      <c r="C1869" s="98">
        <v>1000</v>
      </c>
      <c r="D1869" s="98">
        <v>1000.1</v>
      </c>
      <c r="E1869" s="98">
        <v>0.1</v>
      </c>
      <c r="F1869" s="98" t="s">
        <v>23</v>
      </c>
      <c r="G1869" s="98" t="s">
        <v>23</v>
      </c>
      <c r="H1869" s="98">
        <v>0</v>
      </c>
      <c r="I1869" s="98">
        <v>0</v>
      </c>
      <c r="K1869" s="98">
        <v>0.25181161499999999</v>
      </c>
      <c r="L1869" s="98">
        <v>0</v>
      </c>
      <c r="M1869" s="98">
        <v>0.25138628299999999</v>
      </c>
      <c r="N1869" s="98">
        <v>0</v>
      </c>
      <c r="O1869" s="99" t="s">
        <v>1137</v>
      </c>
    </row>
    <row r="1870" spans="1:15" x14ac:dyDescent="0.25">
      <c r="A1870" s="98" t="s">
        <v>54</v>
      </c>
      <c r="B1870" s="98" t="s">
        <v>91</v>
      </c>
      <c r="C1870" s="98">
        <v>1000</v>
      </c>
      <c r="D1870" s="98">
        <v>1000.1</v>
      </c>
      <c r="E1870" s="98">
        <v>1</v>
      </c>
      <c r="F1870" s="98" t="s">
        <v>23</v>
      </c>
      <c r="G1870" s="98" t="s">
        <v>23</v>
      </c>
      <c r="H1870" s="98">
        <v>0</v>
      </c>
      <c r="I1870" s="98">
        <v>0</v>
      </c>
      <c r="K1870" s="98">
        <v>0.62773495000000001</v>
      </c>
      <c r="L1870" s="98">
        <v>0</v>
      </c>
      <c r="M1870" s="98">
        <v>0.62705268000000003</v>
      </c>
      <c r="N1870" s="98">
        <v>0</v>
      </c>
      <c r="O1870" s="99" t="s">
        <v>1138</v>
      </c>
    </row>
    <row r="1871" spans="1:15" x14ac:dyDescent="0.25">
      <c r="A1871" s="98" t="s">
        <v>54</v>
      </c>
      <c r="B1871" s="98" t="s">
        <v>90</v>
      </c>
      <c r="C1871" s="98">
        <v>-210</v>
      </c>
      <c r="D1871" s="98">
        <v>-99.9</v>
      </c>
      <c r="E1871" s="98">
        <v>0.1</v>
      </c>
      <c r="F1871" s="98" t="s">
        <v>23</v>
      </c>
      <c r="G1871" s="98" t="s">
        <v>23</v>
      </c>
      <c r="H1871" s="98">
        <v>0</v>
      </c>
      <c r="I1871" s="98">
        <v>0</v>
      </c>
      <c r="K1871" s="98">
        <v>0.32482492800000001</v>
      </c>
      <c r="L1871" s="98">
        <v>0</v>
      </c>
      <c r="M1871" s="98">
        <v>0.31951027599999998</v>
      </c>
      <c r="N1871" s="98">
        <v>0</v>
      </c>
      <c r="O1871" s="99" t="s">
        <v>1115</v>
      </c>
    </row>
    <row r="1872" spans="1:15" x14ac:dyDescent="0.25">
      <c r="A1872" s="98" t="s">
        <v>54</v>
      </c>
      <c r="B1872" s="98" t="s">
        <v>90</v>
      </c>
      <c r="C1872" s="98">
        <v>-210</v>
      </c>
      <c r="D1872" s="98">
        <v>-99.9</v>
      </c>
      <c r="E1872" s="98">
        <v>1</v>
      </c>
      <c r="F1872" s="98" t="s">
        <v>23</v>
      </c>
      <c r="G1872" s="98" t="s">
        <v>23</v>
      </c>
      <c r="H1872" s="98">
        <v>0</v>
      </c>
      <c r="I1872" s="98">
        <v>0</v>
      </c>
      <c r="K1872" s="98">
        <v>0.66767094000000005</v>
      </c>
      <c r="L1872" s="98">
        <v>0</v>
      </c>
      <c r="M1872" s="98">
        <v>0.65733310899999997</v>
      </c>
      <c r="N1872" s="98">
        <v>0</v>
      </c>
      <c r="O1872" s="99" t="s">
        <v>1116</v>
      </c>
    </row>
    <row r="1873" spans="1:15" x14ac:dyDescent="0.25">
      <c r="A1873" s="98" t="s">
        <v>54</v>
      </c>
      <c r="B1873" s="98" t="s">
        <v>90</v>
      </c>
      <c r="C1873" s="98">
        <v>-100</v>
      </c>
      <c r="D1873" s="98">
        <v>-29.9</v>
      </c>
      <c r="E1873" s="98">
        <v>0.1</v>
      </c>
      <c r="F1873" s="98" t="s">
        <v>23</v>
      </c>
      <c r="G1873" s="98" t="s">
        <v>23</v>
      </c>
      <c r="H1873" s="98">
        <v>0</v>
      </c>
      <c r="I1873" s="98">
        <v>0</v>
      </c>
      <c r="K1873" s="98">
        <v>0.20265709500000001</v>
      </c>
      <c r="L1873" s="98">
        <v>0</v>
      </c>
      <c r="M1873" s="98">
        <v>0.19649070799999999</v>
      </c>
      <c r="N1873" s="98">
        <v>0</v>
      </c>
      <c r="O1873" s="99" t="s">
        <v>1117</v>
      </c>
    </row>
    <row r="1874" spans="1:15" x14ac:dyDescent="0.25">
      <c r="A1874" s="98" t="s">
        <v>54</v>
      </c>
      <c r="B1874" s="98" t="s">
        <v>90</v>
      </c>
      <c r="C1874" s="98">
        <v>-100</v>
      </c>
      <c r="D1874" s="98">
        <v>-29.9</v>
      </c>
      <c r="E1874" s="98">
        <v>1</v>
      </c>
      <c r="F1874" s="98" t="s">
        <v>23</v>
      </c>
      <c r="G1874" s="98" t="s">
        <v>23</v>
      </c>
      <c r="H1874" s="98">
        <v>0</v>
      </c>
      <c r="I1874" s="98">
        <v>0</v>
      </c>
      <c r="K1874" s="98">
        <v>0.61518598599999996</v>
      </c>
      <c r="L1874" s="98">
        <v>0</v>
      </c>
      <c r="M1874" s="98">
        <v>0.60713145099999999</v>
      </c>
      <c r="N1874" s="98">
        <v>0</v>
      </c>
      <c r="O1874" s="99" t="s">
        <v>1118</v>
      </c>
    </row>
    <row r="1875" spans="1:15" x14ac:dyDescent="0.25">
      <c r="A1875" s="98" t="s">
        <v>54</v>
      </c>
      <c r="B1875" s="98" t="s">
        <v>90</v>
      </c>
      <c r="C1875" s="98">
        <v>-30</v>
      </c>
      <c r="D1875" s="98">
        <v>150.1</v>
      </c>
      <c r="E1875" s="98">
        <v>0.1</v>
      </c>
      <c r="F1875" s="98" t="s">
        <v>23</v>
      </c>
      <c r="G1875" s="98" t="s">
        <v>23</v>
      </c>
      <c r="H1875" s="98">
        <v>0</v>
      </c>
      <c r="I1875" s="98">
        <v>0</v>
      </c>
      <c r="K1875" s="98">
        <v>0.18177460600000001</v>
      </c>
      <c r="L1875" s="98">
        <v>0</v>
      </c>
      <c r="M1875" s="98">
        <v>0.17487340400000001</v>
      </c>
      <c r="N1875" s="98">
        <v>0</v>
      </c>
      <c r="O1875" s="99" t="s">
        <v>1119</v>
      </c>
    </row>
    <row r="1876" spans="1:15" x14ac:dyDescent="0.25">
      <c r="A1876" s="98" t="s">
        <v>54</v>
      </c>
      <c r="B1876" s="98" t="s">
        <v>90</v>
      </c>
      <c r="C1876" s="98">
        <v>-30</v>
      </c>
      <c r="D1876" s="98">
        <v>150.1</v>
      </c>
      <c r="E1876" s="98">
        <v>1</v>
      </c>
      <c r="F1876" s="98" t="s">
        <v>23</v>
      </c>
      <c r="G1876" s="98" t="s">
        <v>23</v>
      </c>
      <c r="H1876" s="98">
        <v>0</v>
      </c>
      <c r="I1876" s="98">
        <v>0</v>
      </c>
      <c r="K1876" s="98">
        <v>0.60862624499999995</v>
      </c>
      <c r="L1876" s="98">
        <v>0</v>
      </c>
      <c r="M1876" s="98">
        <v>0.60048372800000005</v>
      </c>
      <c r="N1876" s="98">
        <v>0</v>
      </c>
      <c r="O1876" s="99" t="s">
        <v>1120</v>
      </c>
    </row>
    <row r="1877" spans="1:15" x14ac:dyDescent="0.25">
      <c r="A1877" s="98" t="s">
        <v>54</v>
      </c>
      <c r="B1877" s="98" t="s">
        <v>90</v>
      </c>
      <c r="C1877" s="98">
        <v>150</v>
      </c>
      <c r="D1877" s="98">
        <v>760.1</v>
      </c>
      <c r="E1877" s="98">
        <v>0.1</v>
      </c>
      <c r="F1877" s="98" t="s">
        <v>23</v>
      </c>
      <c r="G1877" s="98" t="s">
        <v>23</v>
      </c>
      <c r="H1877" s="98">
        <v>0</v>
      </c>
      <c r="I1877" s="98">
        <v>0</v>
      </c>
      <c r="K1877" s="98">
        <v>0.208895572</v>
      </c>
      <c r="L1877" s="98">
        <v>0</v>
      </c>
      <c r="M1877" s="98">
        <v>0.20722397400000001</v>
      </c>
      <c r="N1877" s="98">
        <v>0</v>
      </c>
      <c r="O1877" s="99" t="s">
        <v>1121</v>
      </c>
    </row>
    <row r="1878" spans="1:15" x14ac:dyDescent="0.25">
      <c r="A1878" s="98" t="s">
        <v>54</v>
      </c>
      <c r="B1878" s="98" t="s">
        <v>90</v>
      </c>
      <c r="C1878" s="98">
        <v>150</v>
      </c>
      <c r="D1878" s="98">
        <v>760.1</v>
      </c>
      <c r="E1878" s="98">
        <v>1</v>
      </c>
      <c r="F1878" s="98" t="s">
        <v>23</v>
      </c>
      <c r="G1878" s="98" t="s">
        <v>23</v>
      </c>
      <c r="H1878" s="98">
        <v>0</v>
      </c>
      <c r="I1878" s="98">
        <v>0</v>
      </c>
      <c r="K1878" s="98">
        <v>0.61296338699999997</v>
      </c>
      <c r="L1878" s="98">
        <v>0</v>
      </c>
      <c r="M1878" s="98">
        <v>0.61068959</v>
      </c>
      <c r="N1878" s="98">
        <v>0</v>
      </c>
      <c r="O1878" s="99" t="s">
        <v>1122</v>
      </c>
    </row>
    <row r="1879" spans="1:15" x14ac:dyDescent="0.25">
      <c r="A1879" s="98" t="s">
        <v>54</v>
      </c>
      <c r="B1879" s="98" t="s">
        <v>90</v>
      </c>
      <c r="C1879" s="98">
        <v>760</v>
      </c>
      <c r="D1879" s="98">
        <v>1200</v>
      </c>
      <c r="E1879" s="98">
        <v>0.1</v>
      </c>
      <c r="F1879" s="98" t="s">
        <v>23</v>
      </c>
      <c r="G1879" s="98" t="s">
        <v>23</v>
      </c>
      <c r="H1879" s="98">
        <v>0</v>
      </c>
      <c r="I1879" s="98">
        <v>0</v>
      </c>
      <c r="K1879" s="98">
        <v>0.27502981300000001</v>
      </c>
      <c r="L1879" s="98">
        <v>0</v>
      </c>
      <c r="M1879" s="98">
        <v>0.27376233</v>
      </c>
      <c r="N1879" s="98">
        <v>0</v>
      </c>
      <c r="O1879" s="99" t="s">
        <v>1123</v>
      </c>
    </row>
    <row r="1880" spans="1:15" x14ac:dyDescent="0.25">
      <c r="A1880" s="98" t="s">
        <v>54</v>
      </c>
      <c r="B1880" s="98" t="s">
        <v>90</v>
      </c>
      <c r="C1880" s="98">
        <v>760</v>
      </c>
      <c r="D1880" s="98">
        <v>1200</v>
      </c>
      <c r="E1880" s="98">
        <v>1</v>
      </c>
      <c r="F1880" s="98" t="s">
        <v>23</v>
      </c>
      <c r="G1880" s="98" t="s">
        <v>23</v>
      </c>
      <c r="H1880" s="98">
        <v>0</v>
      </c>
      <c r="I1880" s="98">
        <v>0</v>
      </c>
      <c r="K1880" s="98">
        <v>0.63853594400000002</v>
      </c>
      <c r="L1880" s="98">
        <v>0</v>
      </c>
      <c r="M1880" s="98">
        <v>0.636353528</v>
      </c>
      <c r="N1880" s="98">
        <v>0</v>
      </c>
      <c r="O1880" s="99" t="s">
        <v>1124</v>
      </c>
    </row>
    <row r="1881" spans="1:15" x14ac:dyDescent="0.25">
      <c r="A1881" s="98" t="s">
        <v>54</v>
      </c>
      <c r="B1881" s="98" t="s">
        <v>90</v>
      </c>
      <c r="C1881" s="98">
        <v>1200</v>
      </c>
      <c r="D1881" s="98">
        <v>1200.0999999999999</v>
      </c>
      <c r="E1881" s="98">
        <v>0.1</v>
      </c>
      <c r="F1881" s="98" t="s">
        <v>23</v>
      </c>
      <c r="G1881" s="98" t="s">
        <v>23</v>
      </c>
      <c r="H1881" s="98">
        <v>0</v>
      </c>
      <c r="I1881" s="98">
        <v>0</v>
      </c>
      <c r="K1881" s="98">
        <v>0.27502981300000001</v>
      </c>
      <c r="L1881" s="98">
        <v>0</v>
      </c>
      <c r="M1881" s="98">
        <v>0.27376233</v>
      </c>
      <c r="N1881" s="98">
        <v>0</v>
      </c>
      <c r="O1881" s="99" t="s">
        <v>1125</v>
      </c>
    </row>
    <row r="1882" spans="1:15" x14ac:dyDescent="0.25">
      <c r="A1882" s="98" t="s">
        <v>54</v>
      </c>
      <c r="B1882" s="98" t="s">
        <v>90</v>
      </c>
      <c r="C1882" s="98">
        <v>1200</v>
      </c>
      <c r="D1882" s="98">
        <v>1200.0999999999999</v>
      </c>
      <c r="E1882" s="98">
        <v>1</v>
      </c>
      <c r="F1882" s="98" t="s">
        <v>23</v>
      </c>
      <c r="G1882" s="98" t="s">
        <v>23</v>
      </c>
      <c r="H1882" s="98">
        <v>0</v>
      </c>
      <c r="I1882" s="98">
        <v>0</v>
      </c>
      <c r="K1882" s="98">
        <v>0.63853594400000002</v>
      </c>
      <c r="L1882" s="98">
        <v>0</v>
      </c>
      <c r="M1882" s="98">
        <v>0.636353528</v>
      </c>
      <c r="N1882" s="98">
        <v>0</v>
      </c>
      <c r="O1882" s="99" t="s">
        <v>1126</v>
      </c>
    </row>
    <row r="1883" spans="1:15" x14ac:dyDescent="0.25">
      <c r="A1883" s="98" t="s">
        <v>54</v>
      </c>
      <c r="B1883" s="98" t="s">
        <v>89</v>
      </c>
      <c r="C1883" s="98">
        <v>-200</v>
      </c>
      <c r="D1883" s="98">
        <v>-99.9</v>
      </c>
      <c r="E1883" s="98">
        <v>0.1</v>
      </c>
      <c r="F1883" s="98" t="s">
        <v>23</v>
      </c>
      <c r="G1883" s="98" t="s">
        <v>23</v>
      </c>
      <c r="H1883" s="98">
        <v>0</v>
      </c>
      <c r="I1883" s="98">
        <v>0</v>
      </c>
      <c r="K1883" s="98">
        <v>0.39349449399999997</v>
      </c>
      <c r="L1883" s="98">
        <v>0</v>
      </c>
      <c r="M1883" s="98">
        <v>0.38767236500000002</v>
      </c>
      <c r="N1883" s="98">
        <v>0</v>
      </c>
      <c r="O1883" s="99" t="s">
        <v>1103</v>
      </c>
    </row>
    <row r="1884" spans="1:15" x14ac:dyDescent="0.25">
      <c r="A1884" s="98" t="s">
        <v>54</v>
      </c>
      <c r="B1884" s="98" t="s">
        <v>89</v>
      </c>
      <c r="C1884" s="98">
        <v>-200</v>
      </c>
      <c r="D1884" s="98">
        <v>-99.9</v>
      </c>
      <c r="E1884" s="98">
        <v>1</v>
      </c>
      <c r="F1884" s="98" t="s">
        <v>23</v>
      </c>
      <c r="G1884" s="98" t="s">
        <v>23</v>
      </c>
      <c r="H1884" s="98">
        <v>0</v>
      </c>
      <c r="I1884" s="98">
        <v>0</v>
      </c>
      <c r="K1884" s="98">
        <v>0.70603263199999999</v>
      </c>
      <c r="L1884" s="98">
        <v>0</v>
      </c>
      <c r="M1884" s="98">
        <v>0.69302948200000003</v>
      </c>
      <c r="N1884" s="98">
        <v>0</v>
      </c>
      <c r="O1884" s="99" t="s">
        <v>1104</v>
      </c>
    </row>
    <row r="1885" spans="1:15" x14ac:dyDescent="0.25">
      <c r="A1885" s="98" t="s">
        <v>54</v>
      </c>
      <c r="B1885" s="98" t="s">
        <v>89</v>
      </c>
      <c r="C1885" s="98">
        <v>-100</v>
      </c>
      <c r="D1885" s="98">
        <v>-24.9</v>
      </c>
      <c r="E1885" s="98">
        <v>0.1</v>
      </c>
      <c r="F1885" s="98" t="s">
        <v>23</v>
      </c>
      <c r="G1885" s="98" t="s">
        <v>23</v>
      </c>
      <c r="H1885" s="98">
        <v>0</v>
      </c>
      <c r="I1885" s="98">
        <v>0</v>
      </c>
      <c r="K1885" s="98">
        <v>0.22869477099999999</v>
      </c>
      <c r="L1885" s="98">
        <v>0</v>
      </c>
      <c r="M1885" s="98">
        <v>0.218525158</v>
      </c>
      <c r="N1885" s="98">
        <v>0</v>
      </c>
      <c r="O1885" s="99" t="s">
        <v>1105</v>
      </c>
    </row>
    <row r="1886" spans="1:15" x14ac:dyDescent="0.25">
      <c r="A1886" s="98" t="s">
        <v>54</v>
      </c>
      <c r="B1886" s="98" t="s">
        <v>89</v>
      </c>
      <c r="C1886" s="98">
        <v>-100</v>
      </c>
      <c r="D1886" s="98">
        <v>-24.9</v>
      </c>
      <c r="E1886" s="98">
        <v>1</v>
      </c>
      <c r="F1886" s="98" t="s">
        <v>23</v>
      </c>
      <c r="G1886" s="98" t="s">
        <v>23</v>
      </c>
      <c r="H1886" s="98">
        <v>0</v>
      </c>
      <c r="I1886" s="98">
        <v>0</v>
      </c>
      <c r="K1886" s="98">
        <v>0.62924197199999998</v>
      </c>
      <c r="L1886" s="98">
        <v>0</v>
      </c>
      <c r="M1886" s="98">
        <v>0.61461633900000001</v>
      </c>
      <c r="N1886" s="98">
        <v>0</v>
      </c>
      <c r="O1886" s="99" t="s">
        <v>1106</v>
      </c>
    </row>
    <row r="1887" spans="1:15" x14ac:dyDescent="0.25">
      <c r="A1887" s="98" t="s">
        <v>54</v>
      </c>
      <c r="B1887" s="98" t="s">
        <v>89</v>
      </c>
      <c r="C1887" s="98">
        <v>-25</v>
      </c>
      <c r="D1887" s="98">
        <v>120.1</v>
      </c>
      <c r="E1887" s="98">
        <v>0.1</v>
      </c>
      <c r="F1887" s="98" t="s">
        <v>23</v>
      </c>
      <c r="G1887" s="98" t="s">
        <v>23</v>
      </c>
      <c r="H1887" s="98">
        <v>0</v>
      </c>
      <c r="I1887" s="98">
        <v>0</v>
      </c>
      <c r="K1887" s="98">
        <v>0.204276027</v>
      </c>
      <c r="L1887" s="98">
        <v>0</v>
      </c>
      <c r="M1887" s="98">
        <v>0.19653324699999999</v>
      </c>
      <c r="N1887" s="98">
        <v>0</v>
      </c>
      <c r="O1887" s="99" t="s">
        <v>1107</v>
      </c>
    </row>
    <row r="1888" spans="1:15" x14ac:dyDescent="0.25">
      <c r="A1888" s="98" t="s">
        <v>54</v>
      </c>
      <c r="B1888" s="98" t="s">
        <v>89</v>
      </c>
      <c r="C1888" s="98">
        <v>-25</v>
      </c>
      <c r="D1888" s="98">
        <v>120.1</v>
      </c>
      <c r="E1888" s="98">
        <v>1</v>
      </c>
      <c r="F1888" s="98" t="s">
        <v>23</v>
      </c>
      <c r="G1888" s="98" t="s">
        <v>23</v>
      </c>
      <c r="H1888" s="98">
        <v>0</v>
      </c>
      <c r="I1888" s="98">
        <v>0</v>
      </c>
      <c r="K1888" s="98">
        <v>0.61728342700000005</v>
      </c>
      <c r="L1888" s="98">
        <v>0</v>
      </c>
      <c r="M1888" s="98">
        <v>0.60714521899999996</v>
      </c>
      <c r="N1888" s="98">
        <v>0</v>
      </c>
      <c r="O1888" s="99" t="s">
        <v>1108</v>
      </c>
    </row>
    <row r="1889" spans="1:15" x14ac:dyDescent="0.25">
      <c r="A1889" s="98" t="s">
        <v>54</v>
      </c>
      <c r="B1889" s="98" t="s">
        <v>89</v>
      </c>
      <c r="C1889" s="98">
        <v>120</v>
      </c>
      <c r="D1889" s="98">
        <v>1000.1</v>
      </c>
      <c r="E1889" s="98">
        <v>0.1</v>
      </c>
      <c r="F1889" s="98" t="s">
        <v>23</v>
      </c>
      <c r="G1889" s="98" t="s">
        <v>23</v>
      </c>
      <c r="H1889" s="98">
        <v>0</v>
      </c>
      <c r="I1889" s="98">
        <v>0</v>
      </c>
      <c r="K1889" s="98">
        <v>0.31026319299999999</v>
      </c>
      <c r="L1889" s="98">
        <v>0</v>
      </c>
      <c r="M1889" s="98">
        <v>0.30757852099999999</v>
      </c>
      <c r="N1889" s="98">
        <v>0</v>
      </c>
      <c r="O1889" s="99" t="s">
        <v>1109</v>
      </c>
    </row>
    <row r="1890" spans="1:15" x14ac:dyDescent="0.25">
      <c r="A1890" s="98" t="s">
        <v>54</v>
      </c>
      <c r="B1890" s="98" t="s">
        <v>89</v>
      </c>
      <c r="C1890" s="98">
        <v>120</v>
      </c>
      <c r="D1890" s="98">
        <v>1000.1</v>
      </c>
      <c r="E1890" s="98">
        <v>1</v>
      </c>
      <c r="F1890" s="98" t="s">
        <v>23</v>
      </c>
      <c r="G1890" s="98" t="s">
        <v>23</v>
      </c>
      <c r="H1890" s="98">
        <v>0</v>
      </c>
      <c r="I1890" s="98">
        <v>0</v>
      </c>
      <c r="K1890" s="98">
        <v>0.65668817199999996</v>
      </c>
      <c r="L1890" s="98">
        <v>0</v>
      </c>
      <c r="M1890" s="98">
        <v>0.65161687099999999</v>
      </c>
      <c r="N1890" s="98">
        <v>0</v>
      </c>
      <c r="O1890" s="99" t="s">
        <v>1110</v>
      </c>
    </row>
    <row r="1891" spans="1:15" x14ac:dyDescent="0.25">
      <c r="A1891" s="98" t="s">
        <v>54</v>
      </c>
      <c r="B1891" s="98" t="s">
        <v>89</v>
      </c>
      <c r="C1891" s="98">
        <v>1000</v>
      </c>
      <c r="D1891" s="98">
        <v>1372</v>
      </c>
      <c r="E1891" s="98">
        <v>0.1</v>
      </c>
      <c r="F1891" s="98" t="s">
        <v>23</v>
      </c>
      <c r="G1891" s="98" t="s">
        <v>23</v>
      </c>
      <c r="H1891" s="98">
        <v>0</v>
      </c>
      <c r="I1891" s="98">
        <v>0</v>
      </c>
      <c r="K1891" s="98">
        <v>0.46917668400000001</v>
      </c>
      <c r="L1891" s="98">
        <v>0</v>
      </c>
      <c r="M1891" s="98">
        <v>0.466718309</v>
      </c>
      <c r="N1891" s="98">
        <v>0</v>
      </c>
      <c r="O1891" s="99" t="s">
        <v>1111</v>
      </c>
    </row>
    <row r="1892" spans="1:15" x14ac:dyDescent="0.25">
      <c r="A1892" s="98" t="s">
        <v>54</v>
      </c>
      <c r="B1892" s="98" t="s">
        <v>89</v>
      </c>
      <c r="C1892" s="98">
        <v>1000</v>
      </c>
      <c r="D1892" s="98">
        <v>1372</v>
      </c>
      <c r="E1892" s="98">
        <v>1</v>
      </c>
      <c r="F1892" s="98" t="s">
        <v>23</v>
      </c>
      <c r="G1892" s="98" t="s">
        <v>23</v>
      </c>
      <c r="H1892" s="98">
        <v>0</v>
      </c>
      <c r="I1892" s="98">
        <v>0</v>
      </c>
      <c r="K1892" s="98">
        <v>0.74634382200000005</v>
      </c>
      <c r="L1892" s="98">
        <v>0</v>
      </c>
      <c r="M1892" s="98">
        <v>0.74015267399999995</v>
      </c>
      <c r="N1892" s="98">
        <v>0</v>
      </c>
      <c r="O1892" s="99" t="s">
        <v>1112</v>
      </c>
    </row>
    <row r="1893" spans="1:15" x14ac:dyDescent="0.25">
      <c r="A1893" s="98" t="s">
        <v>54</v>
      </c>
      <c r="B1893" s="98" t="s">
        <v>89</v>
      </c>
      <c r="C1893" s="98">
        <v>1372</v>
      </c>
      <c r="D1893" s="98">
        <v>1372.1</v>
      </c>
      <c r="E1893" s="98">
        <v>0.1</v>
      </c>
      <c r="F1893" s="98" t="s">
        <v>23</v>
      </c>
      <c r="G1893" s="98" t="s">
        <v>23</v>
      </c>
      <c r="H1893" s="98">
        <v>0</v>
      </c>
      <c r="I1893" s="98">
        <v>0</v>
      </c>
      <c r="K1893" s="98">
        <v>0.46917668400000001</v>
      </c>
      <c r="L1893" s="98">
        <v>0</v>
      </c>
      <c r="M1893" s="98">
        <v>0.466718309</v>
      </c>
      <c r="N1893" s="98">
        <v>0</v>
      </c>
      <c r="O1893" s="99" t="s">
        <v>1113</v>
      </c>
    </row>
    <row r="1894" spans="1:15" x14ac:dyDescent="0.25">
      <c r="A1894" s="98" t="s">
        <v>54</v>
      </c>
      <c r="B1894" s="98" t="s">
        <v>89</v>
      </c>
      <c r="C1894" s="98">
        <v>1372</v>
      </c>
      <c r="D1894" s="98">
        <v>1372.1</v>
      </c>
      <c r="E1894" s="98">
        <v>1</v>
      </c>
      <c r="F1894" s="98" t="s">
        <v>23</v>
      </c>
      <c r="G1894" s="98" t="s">
        <v>23</v>
      </c>
      <c r="H1894" s="98">
        <v>0</v>
      </c>
      <c r="I1894" s="98">
        <v>0</v>
      </c>
      <c r="K1894" s="98">
        <v>0.74634382200000005</v>
      </c>
      <c r="L1894" s="98">
        <v>0</v>
      </c>
      <c r="M1894" s="98">
        <v>0.74015267399999995</v>
      </c>
      <c r="N1894" s="98">
        <v>0</v>
      </c>
      <c r="O1894" s="99" t="s">
        <v>1114</v>
      </c>
    </row>
    <row r="1895" spans="1:15" x14ac:dyDescent="0.25">
      <c r="A1895" s="98" t="s">
        <v>54</v>
      </c>
      <c r="B1895" s="98" t="s">
        <v>92</v>
      </c>
      <c r="C1895" s="98">
        <v>-200</v>
      </c>
      <c r="D1895" s="98">
        <v>-99.9</v>
      </c>
      <c r="E1895" s="98">
        <v>0.1</v>
      </c>
      <c r="F1895" s="98" t="s">
        <v>23</v>
      </c>
      <c r="G1895" s="98" t="s">
        <v>23</v>
      </c>
      <c r="H1895" s="98">
        <v>0</v>
      </c>
      <c r="I1895" s="98">
        <v>0</v>
      </c>
      <c r="K1895" s="98">
        <v>0.47200850999999999</v>
      </c>
      <c r="L1895" s="98">
        <v>0</v>
      </c>
      <c r="M1895" s="98">
        <v>0.46682217199999998</v>
      </c>
      <c r="N1895" s="98">
        <v>0</v>
      </c>
      <c r="O1895" s="99" t="s">
        <v>1091</v>
      </c>
    </row>
    <row r="1896" spans="1:15" x14ac:dyDescent="0.25">
      <c r="A1896" s="98" t="s">
        <v>54</v>
      </c>
      <c r="B1896" s="98" t="s">
        <v>92</v>
      </c>
      <c r="C1896" s="98">
        <v>-200</v>
      </c>
      <c r="D1896" s="98">
        <v>-99.9</v>
      </c>
      <c r="E1896" s="98">
        <v>1</v>
      </c>
      <c r="F1896" s="98" t="s">
        <v>23</v>
      </c>
      <c r="G1896" s="98" t="s">
        <v>23</v>
      </c>
      <c r="H1896" s="98">
        <v>0</v>
      </c>
      <c r="I1896" s="98">
        <v>0</v>
      </c>
      <c r="K1896" s="98">
        <v>0.75325912699999997</v>
      </c>
      <c r="L1896" s="98">
        <v>0</v>
      </c>
      <c r="M1896" s="98">
        <v>0.74021817099999998</v>
      </c>
      <c r="N1896" s="98">
        <v>0</v>
      </c>
      <c r="O1896" s="99" t="s">
        <v>1092</v>
      </c>
    </row>
    <row r="1897" spans="1:15" x14ac:dyDescent="0.25">
      <c r="A1897" s="98" t="s">
        <v>54</v>
      </c>
      <c r="B1897" s="98" t="s">
        <v>92</v>
      </c>
      <c r="C1897" s="98">
        <v>-100</v>
      </c>
      <c r="D1897" s="98">
        <v>-24.9</v>
      </c>
      <c r="E1897" s="98">
        <v>0.1</v>
      </c>
      <c r="F1897" s="98" t="s">
        <v>23</v>
      </c>
      <c r="G1897" s="98" t="s">
        <v>23</v>
      </c>
      <c r="H1897" s="98">
        <v>0</v>
      </c>
      <c r="I1897" s="98">
        <v>0</v>
      </c>
      <c r="K1897" s="98">
        <v>0.26967921099999997</v>
      </c>
      <c r="L1897" s="98">
        <v>0</v>
      </c>
      <c r="M1897" s="98">
        <v>0.26325360399999997</v>
      </c>
      <c r="N1897" s="98">
        <v>0</v>
      </c>
      <c r="O1897" s="99" t="s">
        <v>1093</v>
      </c>
    </row>
    <row r="1898" spans="1:15" x14ac:dyDescent="0.25">
      <c r="A1898" s="98" t="s">
        <v>54</v>
      </c>
      <c r="B1898" s="98" t="s">
        <v>92</v>
      </c>
      <c r="C1898" s="98">
        <v>-100</v>
      </c>
      <c r="D1898" s="98">
        <v>-24.9</v>
      </c>
      <c r="E1898" s="98">
        <v>1</v>
      </c>
      <c r="F1898" s="98" t="s">
        <v>23</v>
      </c>
      <c r="G1898" s="98" t="s">
        <v>23</v>
      </c>
      <c r="H1898" s="98">
        <v>0</v>
      </c>
      <c r="I1898" s="98">
        <v>0</v>
      </c>
      <c r="K1898" s="98">
        <v>0.64265086000000005</v>
      </c>
      <c r="L1898" s="98">
        <v>0</v>
      </c>
      <c r="M1898" s="98">
        <v>0.63190383800000005</v>
      </c>
      <c r="N1898" s="98">
        <v>0</v>
      </c>
      <c r="O1898" s="99" t="s">
        <v>1094</v>
      </c>
    </row>
    <row r="1899" spans="1:15" x14ac:dyDescent="0.25">
      <c r="A1899" s="98" t="s">
        <v>54</v>
      </c>
      <c r="B1899" s="98" t="s">
        <v>92</v>
      </c>
      <c r="C1899" s="98">
        <v>-25</v>
      </c>
      <c r="D1899" s="98">
        <v>120.1</v>
      </c>
      <c r="E1899" s="98">
        <v>0.1</v>
      </c>
      <c r="F1899" s="98" t="s">
        <v>23</v>
      </c>
      <c r="G1899" s="98" t="s">
        <v>23</v>
      </c>
      <c r="H1899" s="98">
        <v>0</v>
      </c>
      <c r="I1899" s="98">
        <v>0</v>
      </c>
      <c r="K1899" s="98">
        <v>0.23706429000000001</v>
      </c>
      <c r="L1899" s="98">
        <v>0</v>
      </c>
      <c r="M1899" s="98">
        <v>0.229728232</v>
      </c>
      <c r="N1899" s="98">
        <v>0</v>
      </c>
      <c r="O1899" s="99" t="s">
        <v>1095</v>
      </c>
    </row>
    <row r="1900" spans="1:15" x14ac:dyDescent="0.25">
      <c r="A1900" s="98" t="s">
        <v>54</v>
      </c>
      <c r="B1900" s="98" t="s">
        <v>92</v>
      </c>
      <c r="C1900" s="98">
        <v>-25</v>
      </c>
      <c r="D1900" s="98">
        <v>120.1</v>
      </c>
      <c r="E1900" s="98">
        <v>1</v>
      </c>
      <c r="F1900" s="98" t="s">
        <v>23</v>
      </c>
      <c r="G1900" s="98" t="s">
        <v>23</v>
      </c>
      <c r="H1900" s="98">
        <v>0</v>
      </c>
      <c r="I1900" s="98">
        <v>0</v>
      </c>
      <c r="K1900" s="98">
        <v>0.62966080400000002</v>
      </c>
      <c r="L1900" s="98">
        <v>0</v>
      </c>
      <c r="M1900" s="98">
        <v>0.61868817700000001</v>
      </c>
      <c r="N1900" s="98">
        <v>0</v>
      </c>
      <c r="O1900" s="99" t="s">
        <v>1096</v>
      </c>
    </row>
    <row r="1901" spans="1:15" x14ac:dyDescent="0.25">
      <c r="A1901" s="98" t="s">
        <v>54</v>
      </c>
      <c r="B1901" s="98" t="s">
        <v>92</v>
      </c>
      <c r="C1901" s="98">
        <v>120</v>
      </c>
      <c r="D1901" s="98">
        <v>410.1</v>
      </c>
      <c r="E1901" s="98">
        <v>0.1</v>
      </c>
      <c r="F1901" s="98" t="s">
        <v>23</v>
      </c>
      <c r="G1901" s="98" t="s">
        <v>23</v>
      </c>
      <c r="H1901" s="98">
        <v>0</v>
      </c>
      <c r="I1901" s="98">
        <v>0</v>
      </c>
      <c r="K1901" s="98">
        <v>0.22303414499999999</v>
      </c>
      <c r="L1901" s="98">
        <v>0</v>
      </c>
      <c r="M1901" s="98">
        <v>0.218550883</v>
      </c>
      <c r="N1901" s="98">
        <v>0</v>
      </c>
      <c r="O1901" s="99" t="s">
        <v>1097</v>
      </c>
    </row>
    <row r="1902" spans="1:15" x14ac:dyDescent="0.25">
      <c r="A1902" s="98" t="s">
        <v>54</v>
      </c>
      <c r="B1902" s="98" t="s">
        <v>92</v>
      </c>
      <c r="C1902" s="98">
        <v>120</v>
      </c>
      <c r="D1902" s="98">
        <v>410.1</v>
      </c>
      <c r="E1902" s="98">
        <v>1</v>
      </c>
      <c r="F1902" s="98" t="s">
        <v>23</v>
      </c>
      <c r="G1902" s="98" t="s">
        <v>23</v>
      </c>
      <c r="H1902" s="98">
        <v>0</v>
      </c>
      <c r="I1902" s="98">
        <v>0</v>
      </c>
      <c r="K1902" s="98">
        <v>0.62103417999999999</v>
      </c>
      <c r="L1902" s="98">
        <v>0</v>
      </c>
      <c r="M1902" s="98">
        <v>0.614625486</v>
      </c>
      <c r="N1902" s="98">
        <v>0</v>
      </c>
      <c r="O1902" s="99" t="s">
        <v>1098</v>
      </c>
    </row>
    <row r="1903" spans="1:15" x14ac:dyDescent="0.25">
      <c r="A1903" s="98" t="s">
        <v>54</v>
      </c>
      <c r="B1903" s="98" t="s">
        <v>92</v>
      </c>
      <c r="C1903" s="98">
        <v>410</v>
      </c>
      <c r="D1903" s="98">
        <v>1300</v>
      </c>
      <c r="E1903" s="98">
        <v>0.1</v>
      </c>
      <c r="F1903" s="98" t="s">
        <v>23</v>
      </c>
      <c r="G1903" s="98" t="s">
        <v>23</v>
      </c>
      <c r="H1903" s="98">
        <v>0</v>
      </c>
      <c r="I1903" s="98">
        <v>0</v>
      </c>
      <c r="K1903" s="98">
        <v>0.321968492</v>
      </c>
      <c r="L1903" s="98">
        <v>0</v>
      </c>
      <c r="M1903" s="98">
        <v>0.31887923899999998</v>
      </c>
      <c r="N1903" s="98">
        <v>0</v>
      </c>
      <c r="O1903" s="99" t="s">
        <v>1099</v>
      </c>
    </row>
    <row r="1904" spans="1:15" x14ac:dyDescent="0.25">
      <c r="A1904" s="98" t="s">
        <v>54</v>
      </c>
      <c r="B1904" s="98" t="s">
        <v>92</v>
      </c>
      <c r="C1904" s="98">
        <v>410</v>
      </c>
      <c r="D1904" s="98">
        <v>1300</v>
      </c>
      <c r="E1904" s="98">
        <v>1</v>
      </c>
      <c r="F1904" s="98" t="s">
        <v>23</v>
      </c>
      <c r="G1904" s="98" t="s">
        <v>23</v>
      </c>
      <c r="H1904" s="98">
        <v>0</v>
      </c>
      <c r="I1904" s="98">
        <v>0</v>
      </c>
      <c r="K1904" s="98">
        <v>0.66302559000000005</v>
      </c>
      <c r="L1904" s="98">
        <v>0</v>
      </c>
      <c r="M1904" s="98">
        <v>0.65702661200000001</v>
      </c>
      <c r="N1904" s="98">
        <v>0</v>
      </c>
      <c r="O1904" s="99" t="s">
        <v>1100</v>
      </c>
    </row>
    <row r="1905" spans="1:15" x14ac:dyDescent="0.25">
      <c r="A1905" s="98" t="s">
        <v>54</v>
      </c>
      <c r="B1905" s="98" t="s">
        <v>92</v>
      </c>
      <c r="C1905" s="98">
        <v>1300</v>
      </c>
      <c r="D1905" s="98">
        <v>1300.0999999999999</v>
      </c>
      <c r="E1905" s="98">
        <v>0.1</v>
      </c>
      <c r="F1905" s="98" t="s">
        <v>23</v>
      </c>
      <c r="G1905" s="98" t="s">
        <v>23</v>
      </c>
      <c r="H1905" s="98">
        <v>0</v>
      </c>
      <c r="I1905" s="98">
        <v>0</v>
      </c>
      <c r="K1905" s="98">
        <v>0.321968492</v>
      </c>
      <c r="L1905" s="98">
        <v>0</v>
      </c>
      <c r="M1905" s="98">
        <v>0.31887923899999998</v>
      </c>
      <c r="N1905" s="98">
        <v>0</v>
      </c>
      <c r="O1905" s="99" t="s">
        <v>1101</v>
      </c>
    </row>
    <row r="1906" spans="1:15" x14ac:dyDescent="0.25">
      <c r="A1906" s="98" t="s">
        <v>54</v>
      </c>
      <c r="B1906" s="98" t="s">
        <v>92</v>
      </c>
      <c r="C1906" s="98">
        <v>1300</v>
      </c>
      <c r="D1906" s="98">
        <v>1300.0999999999999</v>
      </c>
      <c r="E1906" s="98">
        <v>1</v>
      </c>
      <c r="F1906" s="98" t="s">
        <v>23</v>
      </c>
      <c r="G1906" s="98" t="s">
        <v>23</v>
      </c>
      <c r="H1906" s="98">
        <v>0</v>
      </c>
      <c r="I1906" s="98">
        <v>0</v>
      </c>
      <c r="K1906" s="98">
        <v>0.66302559000000005</v>
      </c>
      <c r="L1906" s="98">
        <v>0</v>
      </c>
      <c r="M1906" s="98">
        <v>0.65702661200000001</v>
      </c>
      <c r="N1906" s="98">
        <v>0</v>
      </c>
      <c r="O1906" s="99" t="s">
        <v>1102</v>
      </c>
    </row>
    <row r="1907" spans="1:15" x14ac:dyDescent="0.25">
      <c r="A1907" s="98" t="s">
        <v>54</v>
      </c>
      <c r="B1907" s="98" t="s">
        <v>96</v>
      </c>
      <c r="C1907" s="98">
        <v>-200</v>
      </c>
      <c r="D1907" s="98">
        <v>0.1</v>
      </c>
      <c r="E1907" s="98">
        <v>0.1</v>
      </c>
      <c r="F1907" s="98" t="s">
        <v>23</v>
      </c>
      <c r="G1907" s="98" t="s">
        <v>23</v>
      </c>
      <c r="H1907" s="98">
        <v>0</v>
      </c>
      <c r="I1907" s="98">
        <v>0</v>
      </c>
      <c r="K1907" s="98">
        <v>0.13102279</v>
      </c>
      <c r="L1907" s="98">
        <v>0</v>
      </c>
      <c r="M1907" s="98">
        <v>0.116270806</v>
      </c>
      <c r="N1907" s="98">
        <v>0</v>
      </c>
      <c r="O1907" s="99" t="s">
        <v>1077</v>
      </c>
    </row>
    <row r="1908" spans="1:15" x14ac:dyDescent="0.25">
      <c r="A1908" s="98" t="s">
        <v>54</v>
      </c>
      <c r="B1908" s="98" t="s">
        <v>96</v>
      </c>
      <c r="C1908" s="98">
        <v>-200</v>
      </c>
      <c r="D1908" s="98">
        <v>0.1</v>
      </c>
      <c r="E1908" s="98">
        <v>1</v>
      </c>
      <c r="F1908" s="98" t="s">
        <v>23</v>
      </c>
      <c r="G1908" s="98" t="s">
        <v>23</v>
      </c>
      <c r="H1908" s="98">
        <v>0</v>
      </c>
      <c r="I1908" s="98">
        <v>0</v>
      </c>
      <c r="K1908" s="98">
        <v>0.60095134800000005</v>
      </c>
      <c r="L1908" s="98">
        <v>0</v>
      </c>
      <c r="M1908" s="98">
        <v>0.588685177</v>
      </c>
      <c r="N1908" s="98">
        <v>0</v>
      </c>
      <c r="O1908" s="99" t="s">
        <v>1078</v>
      </c>
    </row>
    <row r="1909" spans="1:15" x14ac:dyDescent="0.25">
      <c r="A1909" s="98" t="s">
        <v>54</v>
      </c>
      <c r="B1909" s="98" t="s">
        <v>96</v>
      </c>
      <c r="C1909" s="98">
        <v>0</v>
      </c>
      <c r="D1909" s="98">
        <v>100.1</v>
      </c>
      <c r="E1909" s="98">
        <v>0.1</v>
      </c>
      <c r="F1909" s="98" t="s">
        <v>23</v>
      </c>
      <c r="G1909" s="98" t="s">
        <v>23</v>
      </c>
      <c r="H1909" s="98">
        <v>0</v>
      </c>
      <c r="I1909" s="98">
        <v>0</v>
      </c>
      <c r="K1909" s="98">
        <v>0.165710737</v>
      </c>
      <c r="L1909" s="98">
        <v>0</v>
      </c>
      <c r="M1909" s="98">
        <v>0.15431129900000001</v>
      </c>
      <c r="N1909" s="98">
        <v>0</v>
      </c>
      <c r="O1909" s="99" t="s">
        <v>1079</v>
      </c>
    </row>
    <row r="1910" spans="1:15" x14ac:dyDescent="0.25">
      <c r="A1910" s="98" t="s">
        <v>54</v>
      </c>
      <c r="B1910" s="98" t="s">
        <v>96</v>
      </c>
      <c r="C1910" s="98">
        <v>0</v>
      </c>
      <c r="D1910" s="98">
        <v>100.1</v>
      </c>
      <c r="E1910" s="98">
        <v>1</v>
      </c>
      <c r="F1910" s="98" t="s">
        <v>23</v>
      </c>
      <c r="G1910" s="98" t="s">
        <v>23</v>
      </c>
      <c r="H1910" s="98">
        <v>0</v>
      </c>
      <c r="I1910" s="98">
        <v>0</v>
      </c>
      <c r="K1910" s="98">
        <v>0.60945516600000005</v>
      </c>
      <c r="L1910" s="98">
        <v>0</v>
      </c>
      <c r="M1910" s="98">
        <v>0.59736363699999995</v>
      </c>
      <c r="N1910" s="98">
        <v>0</v>
      </c>
      <c r="O1910" s="99" t="s">
        <v>1080</v>
      </c>
    </row>
    <row r="1911" spans="1:15" x14ac:dyDescent="0.25">
      <c r="A1911" s="98" t="s">
        <v>54</v>
      </c>
      <c r="B1911" s="98" t="s">
        <v>96</v>
      </c>
      <c r="C1911" s="98">
        <v>100</v>
      </c>
      <c r="D1911" s="98">
        <v>300.10000000000002</v>
      </c>
      <c r="E1911" s="98">
        <v>0.1</v>
      </c>
      <c r="F1911" s="98" t="s">
        <v>23</v>
      </c>
      <c r="G1911" s="98" t="s">
        <v>23</v>
      </c>
      <c r="H1911" s="98">
        <v>0</v>
      </c>
      <c r="I1911" s="98">
        <v>0</v>
      </c>
      <c r="K1911" s="98">
        <v>0.165710737</v>
      </c>
      <c r="L1911" s="98">
        <v>0</v>
      </c>
      <c r="M1911" s="98">
        <v>0.15431129900000001</v>
      </c>
      <c r="N1911" s="98">
        <v>0</v>
      </c>
      <c r="O1911" s="99" t="s">
        <v>1081</v>
      </c>
    </row>
    <row r="1912" spans="1:15" x14ac:dyDescent="0.25">
      <c r="A1912" s="98" t="s">
        <v>54</v>
      </c>
      <c r="B1912" s="98" t="s">
        <v>96</v>
      </c>
      <c r="C1912" s="98">
        <v>100</v>
      </c>
      <c r="D1912" s="98">
        <v>300.10000000000002</v>
      </c>
      <c r="E1912" s="98">
        <v>1</v>
      </c>
      <c r="F1912" s="98" t="s">
        <v>23</v>
      </c>
      <c r="G1912" s="98" t="s">
        <v>23</v>
      </c>
      <c r="H1912" s="98">
        <v>0</v>
      </c>
      <c r="I1912" s="98">
        <v>0</v>
      </c>
      <c r="K1912" s="98">
        <v>0.60945516600000005</v>
      </c>
      <c r="L1912" s="98">
        <v>0</v>
      </c>
      <c r="M1912" s="98">
        <v>0.59736363699999995</v>
      </c>
      <c r="N1912" s="98">
        <v>0</v>
      </c>
      <c r="O1912" s="99" t="s">
        <v>1082</v>
      </c>
    </row>
    <row r="1913" spans="1:15" x14ac:dyDescent="0.25">
      <c r="A1913" s="98" t="s">
        <v>54</v>
      </c>
      <c r="B1913" s="98" t="s">
        <v>96</v>
      </c>
      <c r="C1913" s="98">
        <v>300</v>
      </c>
      <c r="D1913" s="98">
        <v>400.1</v>
      </c>
      <c r="E1913" s="98">
        <v>0.1</v>
      </c>
      <c r="F1913" s="98" t="s">
        <v>23</v>
      </c>
      <c r="G1913" s="98" t="s">
        <v>23</v>
      </c>
      <c r="H1913" s="98">
        <v>0</v>
      </c>
      <c r="I1913" s="98">
        <v>0</v>
      </c>
      <c r="K1913" s="98">
        <v>0.22203263600000001</v>
      </c>
      <c r="L1913" s="98">
        <v>0</v>
      </c>
      <c r="M1913" s="98">
        <v>0.21365959000000001</v>
      </c>
      <c r="N1913" s="98">
        <v>0</v>
      </c>
      <c r="O1913" s="99" t="s">
        <v>1083</v>
      </c>
    </row>
    <row r="1914" spans="1:15" x14ac:dyDescent="0.25">
      <c r="A1914" s="98" t="s">
        <v>54</v>
      </c>
      <c r="B1914" s="98" t="s">
        <v>96</v>
      </c>
      <c r="C1914" s="98">
        <v>300</v>
      </c>
      <c r="D1914" s="98">
        <v>400.1</v>
      </c>
      <c r="E1914" s="98">
        <v>1</v>
      </c>
      <c r="F1914" s="98" t="s">
        <v>23</v>
      </c>
      <c r="G1914" s="98" t="s">
        <v>23</v>
      </c>
      <c r="H1914" s="98">
        <v>0</v>
      </c>
      <c r="I1914" s="98">
        <v>0</v>
      </c>
      <c r="K1914" s="98">
        <v>0.62711565300000005</v>
      </c>
      <c r="L1914" s="98">
        <v>0</v>
      </c>
      <c r="M1914" s="98">
        <v>0.61537123599999999</v>
      </c>
      <c r="N1914" s="98">
        <v>0</v>
      </c>
      <c r="O1914" s="99" t="s">
        <v>1084</v>
      </c>
    </row>
    <row r="1915" spans="1:15" x14ac:dyDescent="0.25">
      <c r="A1915" s="98" t="s">
        <v>54</v>
      </c>
      <c r="B1915" s="98" t="s">
        <v>96</v>
      </c>
      <c r="C1915" s="98">
        <v>400</v>
      </c>
      <c r="D1915" s="98">
        <v>630.1</v>
      </c>
      <c r="E1915" s="98">
        <v>0.1</v>
      </c>
      <c r="F1915" s="98" t="s">
        <v>23</v>
      </c>
      <c r="G1915" s="98" t="s">
        <v>23</v>
      </c>
      <c r="H1915" s="98">
        <v>0</v>
      </c>
      <c r="I1915" s="98">
        <v>0</v>
      </c>
      <c r="K1915" s="98">
        <v>0.259995115</v>
      </c>
      <c r="L1915" s="98">
        <v>0</v>
      </c>
      <c r="M1915" s="98">
        <v>0.25288216299999999</v>
      </c>
      <c r="N1915" s="98">
        <v>0</v>
      </c>
      <c r="O1915" s="99" t="s">
        <v>1085</v>
      </c>
    </row>
    <row r="1916" spans="1:15" x14ac:dyDescent="0.25">
      <c r="A1916" s="98" t="s">
        <v>54</v>
      </c>
      <c r="B1916" s="98" t="s">
        <v>96</v>
      </c>
      <c r="C1916" s="98">
        <v>400</v>
      </c>
      <c r="D1916" s="98">
        <v>630.1</v>
      </c>
      <c r="E1916" s="98">
        <v>1</v>
      </c>
      <c r="F1916" s="98" t="s">
        <v>23</v>
      </c>
      <c r="G1916" s="98" t="s">
        <v>23</v>
      </c>
      <c r="H1916" s="98">
        <v>0</v>
      </c>
      <c r="I1916" s="98">
        <v>0</v>
      </c>
      <c r="K1916" s="98">
        <v>0.64153956300000003</v>
      </c>
      <c r="L1916" s="98">
        <v>0</v>
      </c>
      <c r="M1916" s="98">
        <v>0.63006406500000001</v>
      </c>
      <c r="N1916" s="98">
        <v>0</v>
      </c>
      <c r="O1916" s="99" t="s">
        <v>1086</v>
      </c>
    </row>
    <row r="1917" spans="1:15" x14ac:dyDescent="0.25">
      <c r="A1917" s="98" t="s">
        <v>54</v>
      </c>
      <c r="B1917" s="98" t="s">
        <v>96</v>
      </c>
      <c r="C1917" s="98">
        <v>630</v>
      </c>
      <c r="D1917" s="98">
        <v>800</v>
      </c>
      <c r="E1917" s="98">
        <v>0.1</v>
      </c>
      <c r="F1917" s="98" t="s">
        <v>23</v>
      </c>
      <c r="G1917" s="98" t="s">
        <v>23</v>
      </c>
      <c r="H1917" s="98">
        <v>0</v>
      </c>
      <c r="I1917" s="98">
        <v>0</v>
      </c>
      <c r="K1917" s="98">
        <v>0.43496643800000001</v>
      </c>
      <c r="L1917" s="98">
        <v>0</v>
      </c>
      <c r="M1917" s="98">
        <v>0.43075251799999997</v>
      </c>
      <c r="N1917" s="98">
        <v>0</v>
      </c>
      <c r="O1917" s="99" t="s">
        <v>1087</v>
      </c>
    </row>
    <row r="1918" spans="1:15" x14ac:dyDescent="0.25">
      <c r="A1918" s="98" t="s">
        <v>54</v>
      </c>
      <c r="B1918" s="98" t="s">
        <v>96</v>
      </c>
      <c r="C1918" s="98">
        <v>630</v>
      </c>
      <c r="D1918" s="98">
        <v>800</v>
      </c>
      <c r="E1918" s="98">
        <v>1</v>
      </c>
      <c r="F1918" s="98" t="s">
        <v>23</v>
      </c>
      <c r="G1918" s="98" t="s">
        <v>23</v>
      </c>
      <c r="H1918" s="98">
        <v>0</v>
      </c>
      <c r="I1918" s="98">
        <v>0</v>
      </c>
      <c r="K1918" s="98">
        <v>0.73018583500000001</v>
      </c>
      <c r="L1918" s="98">
        <v>0</v>
      </c>
      <c r="M1918" s="98">
        <v>0.72012434299999994</v>
      </c>
      <c r="N1918" s="98">
        <v>0</v>
      </c>
      <c r="O1918" s="99" t="s">
        <v>1088</v>
      </c>
    </row>
    <row r="1919" spans="1:15" x14ac:dyDescent="0.25">
      <c r="A1919" s="98" t="s">
        <v>54</v>
      </c>
      <c r="B1919" s="98" t="s">
        <v>96</v>
      </c>
      <c r="C1919" s="98">
        <v>800</v>
      </c>
      <c r="D1919" s="98">
        <v>800.1</v>
      </c>
      <c r="E1919" s="98">
        <v>0.1</v>
      </c>
      <c r="F1919" s="98" t="s">
        <v>23</v>
      </c>
      <c r="G1919" s="98" t="s">
        <v>23</v>
      </c>
      <c r="H1919" s="98">
        <v>0</v>
      </c>
      <c r="I1919" s="98">
        <v>0</v>
      </c>
      <c r="K1919" s="98">
        <v>0.43496643800000001</v>
      </c>
      <c r="L1919" s="98">
        <v>0</v>
      </c>
      <c r="M1919" s="98">
        <v>0.43075251799999997</v>
      </c>
      <c r="N1919" s="98">
        <v>0</v>
      </c>
      <c r="O1919" s="99" t="s">
        <v>1089</v>
      </c>
    </row>
    <row r="1920" spans="1:15" x14ac:dyDescent="0.25">
      <c r="A1920" s="98" t="s">
        <v>54</v>
      </c>
      <c r="B1920" s="98" t="s">
        <v>96</v>
      </c>
      <c r="C1920" s="98">
        <v>800</v>
      </c>
      <c r="D1920" s="98">
        <v>800.1</v>
      </c>
      <c r="E1920" s="98">
        <v>1</v>
      </c>
      <c r="F1920" s="98" t="s">
        <v>23</v>
      </c>
      <c r="G1920" s="98" t="s">
        <v>23</v>
      </c>
      <c r="H1920" s="98">
        <v>0</v>
      </c>
      <c r="I1920" s="98">
        <v>0</v>
      </c>
      <c r="K1920" s="98">
        <v>0.73018583500000001</v>
      </c>
      <c r="L1920" s="98">
        <v>0</v>
      </c>
      <c r="M1920" s="98">
        <v>0.72012434299999994</v>
      </c>
      <c r="N1920" s="98">
        <v>0</v>
      </c>
      <c r="O1920" s="99" t="s">
        <v>1090</v>
      </c>
    </row>
    <row r="1921" spans="1:15" x14ac:dyDescent="0.25">
      <c r="A1921" s="98" t="s">
        <v>54</v>
      </c>
      <c r="B1921" s="98" t="s">
        <v>97</v>
      </c>
      <c r="C1921" s="98">
        <v>-200</v>
      </c>
      <c r="D1921" s="98">
        <v>0.1</v>
      </c>
      <c r="E1921" s="98">
        <v>0.1</v>
      </c>
      <c r="F1921" s="98" t="s">
        <v>23</v>
      </c>
      <c r="G1921" s="98" t="s">
        <v>23</v>
      </c>
      <c r="H1921" s="98">
        <v>0</v>
      </c>
      <c r="I1921" s="98">
        <v>0</v>
      </c>
      <c r="K1921" s="98">
        <v>0.103093619</v>
      </c>
      <c r="L1921" s="98">
        <v>0</v>
      </c>
      <c r="M1921" s="98">
        <v>8.3547729000000001E-2</v>
      </c>
      <c r="N1921" s="98">
        <v>0</v>
      </c>
      <c r="O1921" s="99" t="s">
        <v>1061</v>
      </c>
    </row>
    <row r="1922" spans="1:15" x14ac:dyDescent="0.25">
      <c r="A1922" s="98" t="s">
        <v>54</v>
      </c>
      <c r="B1922" s="98" t="s">
        <v>97</v>
      </c>
      <c r="C1922" s="98">
        <v>-200</v>
      </c>
      <c r="D1922" s="98">
        <v>0.1</v>
      </c>
      <c r="E1922" s="98">
        <v>1</v>
      </c>
      <c r="F1922" s="98" t="s">
        <v>23</v>
      </c>
      <c r="G1922" s="98" t="s">
        <v>23</v>
      </c>
      <c r="H1922" s="98">
        <v>0</v>
      </c>
      <c r="I1922" s="98">
        <v>0</v>
      </c>
      <c r="K1922" s="98">
        <v>0.59548622600000001</v>
      </c>
      <c r="L1922" s="98">
        <v>0</v>
      </c>
      <c r="M1922" s="98">
        <v>0.58310510299999996</v>
      </c>
      <c r="N1922" s="98">
        <v>0</v>
      </c>
      <c r="O1922" s="99" t="s">
        <v>1062</v>
      </c>
    </row>
    <row r="1923" spans="1:15" x14ac:dyDescent="0.25">
      <c r="A1923" s="98" t="s">
        <v>54</v>
      </c>
      <c r="B1923" s="98" t="s">
        <v>97</v>
      </c>
      <c r="C1923" s="98">
        <v>0</v>
      </c>
      <c r="D1923" s="98">
        <v>100.1</v>
      </c>
      <c r="E1923" s="98">
        <v>0.1</v>
      </c>
      <c r="F1923" s="98" t="s">
        <v>23</v>
      </c>
      <c r="G1923" s="98" t="s">
        <v>23</v>
      </c>
      <c r="H1923" s="98">
        <v>0</v>
      </c>
      <c r="I1923" s="98">
        <v>0</v>
      </c>
      <c r="K1923" s="98">
        <v>0.117069308</v>
      </c>
      <c r="L1923" s="98">
        <v>0</v>
      </c>
      <c r="M1923" s="98">
        <v>0.10028535099999999</v>
      </c>
      <c r="N1923" s="98">
        <v>0</v>
      </c>
      <c r="O1923" s="99" t="s">
        <v>1063</v>
      </c>
    </row>
    <row r="1924" spans="1:15" x14ac:dyDescent="0.25">
      <c r="A1924" s="98" t="s">
        <v>54</v>
      </c>
      <c r="B1924" s="98" t="s">
        <v>97</v>
      </c>
      <c r="C1924" s="98">
        <v>0</v>
      </c>
      <c r="D1924" s="98">
        <v>100.1</v>
      </c>
      <c r="E1924" s="98">
        <v>1</v>
      </c>
      <c r="F1924" s="98" t="s">
        <v>23</v>
      </c>
      <c r="G1924" s="98" t="s">
        <v>23</v>
      </c>
      <c r="H1924" s="98">
        <v>0</v>
      </c>
      <c r="I1924" s="98">
        <v>0</v>
      </c>
      <c r="K1924" s="98">
        <v>0.59806418900000002</v>
      </c>
      <c r="L1924" s="98">
        <v>0</v>
      </c>
      <c r="M1924" s="98">
        <v>0.58573755999999999</v>
      </c>
      <c r="N1924" s="98">
        <v>0</v>
      </c>
      <c r="O1924" s="99" t="s">
        <v>1064</v>
      </c>
    </row>
    <row r="1925" spans="1:15" x14ac:dyDescent="0.25">
      <c r="A1925" s="98" t="s">
        <v>54</v>
      </c>
      <c r="B1925" s="98" t="s">
        <v>97</v>
      </c>
      <c r="C1925" s="98">
        <v>100</v>
      </c>
      <c r="D1925" s="98">
        <v>260.10000000000002</v>
      </c>
      <c r="E1925" s="98">
        <v>0.1</v>
      </c>
      <c r="F1925" s="98" t="s">
        <v>23</v>
      </c>
      <c r="G1925" s="98" t="s">
        <v>23</v>
      </c>
      <c r="H1925" s="98">
        <v>0</v>
      </c>
      <c r="I1925" s="98">
        <v>0</v>
      </c>
      <c r="K1925" s="98">
        <v>0.117069308</v>
      </c>
      <c r="L1925" s="98">
        <v>0</v>
      </c>
      <c r="M1925" s="98">
        <v>0.10028535099999999</v>
      </c>
      <c r="N1925" s="98">
        <v>0</v>
      </c>
      <c r="O1925" s="99" t="s">
        <v>1065</v>
      </c>
    </row>
    <row r="1926" spans="1:15" x14ac:dyDescent="0.25">
      <c r="A1926" s="98" t="s">
        <v>54</v>
      </c>
      <c r="B1926" s="98" t="s">
        <v>97</v>
      </c>
      <c r="C1926" s="98">
        <v>100</v>
      </c>
      <c r="D1926" s="98">
        <v>260.10000000000002</v>
      </c>
      <c r="E1926" s="98">
        <v>1</v>
      </c>
      <c r="F1926" s="98" t="s">
        <v>23</v>
      </c>
      <c r="G1926" s="98" t="s">
        <v>23</v>
      </c>
      <c r="H1926" s="98">
        <v>0</v>
      </c>
      <c r="I1926" s="98">
        <v>0</v>
      </c>
      <c r="K1926" s="98">
        <v>0.59806418900000002</v>
      </c>
      <c r="L1926" s="98">
        <v>0</v>
      </c>
      <c r="M1926" s="98">
        <v>0.58573755999999999</v>
      </c>
      <c r="N1926" s="98">
        <v>0</v>
      </c>
      <c r="O1926" s="99" t="s">
        <v>1066</v>
      </c>
    </row>
    <row r="1927" spans="1:15" x14ac:dyDescent="0.25">
      <c r="A1927" s="98" t="s">
        <v>54</v>
      </c>
      <c r="B1927" s="98" t="s">
        <v>97</v>
      </c>
      <c r="C1927" s="98">
        <v>260</v>
      </c>
      <c r="D1927" s="98">
        <v>300.10000000000002</v>
      </c>
      <c r="E1927" s="98">
        <v>0.1</v>
      </c>
      <c r="F1927" s="98" t="s">
        <v>23</v>
      </c>
      <c r="G1927" s="98" t="s">
        <v>23</v>
      </c>
      <c r="H1927" s="98">
        <v>0</v>
      </c>
      <c r="I1927" s="98">
        <v>0</v>
      </c>
      <c r="K1927" s="98">
        <v>0.15328217499999999</v>
      </c>
      <c r="L1927" s="98">
        <v>0</v>
      </c>
      <c r="M1927" s="98">
        <v>0.140880637</v>
      </c>
      <c r="N1927" s="98">
        <v>0</v>
      </c>
      <c r="O1927" s="99" t="s">
        <v>1067</v>
      </c>
    </row>
    <row r="1928" spans="1:15" x14ac:dyDescent="0.25">
      <c r="A1928" s="98" t="s">
        <v>54</v>
      </c>
      <c r="B1928" s="98" t="s">
        <v>97</v>
      </c>
      <c r="C1928" s="98">
        <v>260</v>
      </c>
      <c r="D1928" s="98">
        <v>300.10000000000002</v>
      </c>
      <c r="E1928" s="98">
        <v>1</v>
      </c>
      <c r="F1928" s="98" t="s">
        <v>23</v>
      </c>
      <c r="G1928" s="98" t="s">
        <v>23</v>
      </c>
      <c r="H1928" s="98">
        <v>0</v>
      </c>
      <c r="I1928" s="98">
        <v>0</v>
      </c>
      <c r="K1928" s="98">
        <v>0.60619384399999998</v>
      </c>
      <c r="L1928" s="98">
        <v>0</v>
      </c>
      <c r="M1928" s="98">
        <v>0.59403593399999999</v>
      </c>
      <c r="N1928" s="98">
        <v>0</v>
      </c>
      <c r="O1928" s="99" t="s">
        <v>1068</v>
      </c>
    </row>
    <row r="1929" spans="1:15" x14ac:dyDescent="0.25">
      <c r="A1929" s="98" t="s">
        <v>54</v>
      </c>
      <c r="B1929" s="98" t="s">
        <v>97</v>
      </c>
      <c r="C1929" s="98">
        <v>300</v>
      </c>
      <c r="D1929" s="98">
        <v>400.1</v>
      </c>
      <c r="E1929" s="98">
        <v>0.1</v>
      </c>
      <c r="F1929" s="98" t="s">
        <v>23</v>
      </c>
      <c r="G1929" s="98" t="s">
        <v>23</v>
      </c>
      <c r="H1929" s="98">
        <v>0</v>
      </c>
      <c r="I1929" s="98">
        <v>0</v>
      </c>
      <c r="K1929" s="98">
        <v>0.16999556299999999</v>
      </c>
      <c r="L1929" s="98">
        <v>0</v>
      </c>
      <c r="M1929" s="98">
        <v>0.15890380900000001</v>
      </c>
      <c r="N1929" s="98">
        <v>0</v>
      </c>
      <c r="O1929" s="99" t="s">
        <v>1069</v>
      </c>
    </row>
    <row r="1930" spans="1:15" x14ac:dyDescent="0.25">
      <c r="A1930" s="98" t="s">
        <v>54</v>
      </c>
      <c r="B1930" s="98" t="s">
        <v>97</v>
      </c>
      <c r="C1930" s="98">
        <v>300</v>
      </c>
      <c r="D1930" s="98">
        <v>400.1</v>
      </c>
      <c r="E1930" s="98">
        <v>1</v>
      </c>
      <c r="F1930" s="98" t="s">
        <v>23</v>
      </c>
      <c r="G1930" s="98" t="s">
        <v>23</v>
      </c>
      <c r="H1930" s="98">
        <v>0</v>
      </c>
      <c r="I1930" s="98">
        <v>0</v>
      </c>
      <c r="K1930" s="98">
        <v>0.61063413099999997</v>
      </c>
      <c r="L1930" s="98">
        <v>0</v>
      </c>
      <c r="M1930" s="98">
        <v>0.59856641899999996</v>
      </c>
      <c r="N1930" s="98">
        <v>0</v>
      </c>
      <c r="O1930" s="99" t="s">
        <v>1070</v>
      </c>
    </row>
    <row r="1931" spans="1:15" x14ac:dyDescent="0.25">
      <c r="A1931" s="98" t="s">
        <v>54</v>
      </c>
      <c r="B1931" s="98" t="s">
        <v>97</v>
      </c>
      <c r="C1931" s="98">
        <v>400</v>
      </c>
      <c r="D1931" s="98">
        <v>600.1</v>
      </c>
      <c r="E1931" s="98">
        <v>0.1</v>
      </c>
      <c r="F1931" s="98" t="s">
        <v>23</v>
      </c>
      <c r="G1931" s="98" t="s">
        <v>23</v>
      </c>
      <c r="H1931" s="98">
        <v>0</v>
      </c>
      <c r="I1931" s="98">
        <v>0</v>
      </c>
      <c r="K1931" s="98">
        <v>0.17203912299999999</v>
      </c>
      <c r="L1931" s="98">
        <v>0</v>
      </c>
      <c r="M1931" s="98">
        <v>0.16108813899999999</v>
      </c>
      <c r="N1931" s="98">
        <v>0</v>
      </c>
      <c r="O1931" s="99" t="s">
        <v>1071</v>
      </c>
    </row>
    <row r="1932" spans="1:15" x14ac:dyDescent="0.25">
      <c r="A1932" s="98" t="s">
        <v>54</v>
      </c>
      <c r="B1932" s="98" t="s">
        <v>97</v>
      </c>
      <c r="C1932" s="98">
        <v>400</v>
      </c>
      <c r="D1932" s="98">
        <v>600.1</v>
      </c>
      <c r="E1932" s="98">
        <v>1</v>
      </c>
      <c r="F1932" s="98" t="s">
        <v>23</v>
      </c>
      <c r="G1932" s="98" t="s">
        <v>23</v>
      </c>
      <c r="H1932" s="98">
        <v>0</v>
      </c>
      <c r="I1932" s="98">
        <v>0</v>
      </c>
      <c r="K1932" s="98">
        <v>0.61120619300000001</v>
      </c>
      <c r="L1932" s="98">
        <v>0</v>
      </c>
      <c r="M1932" s="98">
        <v>0.59915000299999999</v>
      </c>
      <c r="N1932" s="98">
        <v>0</v>
      </c>
      <c r="O1932" s="99" t="s">
        <v>1072</v>
      </c>
    </row>
    <row r="1933" spans="1:15" x14ac:dyDescent="0.25">
      <c r="A1933" s="98" t="s">
        <v>54</v>
      </c>
      <c r="B1933" s="98" t="s">
        <v>97</v>
      </c>
      <c r="C1933" s="98">
        <v>600</v>
      </c>
      <c r="D1933" s="98">
        <v>630</v>
      </c>
      <c r="E1933" s="98">
        <v>0.1</v>
      </c>
      <c r="F1933" s="98" t="s">
        <v>23</v>
      </c>
      <c r="G1933" s="98" t="s">
        <v>23</v>
      </c>
      <c r="H1933" s="98">
        <v>0</v>
      </c>
      <c r="I1933" s="98">
        <v>0</v>
      </c>
      <c r="K1933" s="98">
        <v>0.47301427699999998</v>
      </c>
      <c r="L1933" s="98">
        <v>0</v>
      </c>
      <c r="M1933" s="98">
        <v>0.46914223399999999</v>
      </c>
      <c r="N1933" s="98">
        <v>0</v>
      </c>
      <c r="O1933" s="99" t="s">
        <v>1073</v>
      </c>
    </row>
    <row r="1934" spans="1:15" x14ac:dyDescent="0.25">
      <c r="A1934" s="98" t="s">
        <v>54</v>
      </c>
      <c r="B1934" s="98" t="s">
        <v>97</v>
      </c>
      <c r="C1934" s="98">
        <v>600</v>
      </c>
      <c r="D1934" s="98">
        <v>630</v>
      </c>
      <c r="E1934" s="98">
        <v>1</v>
      </c>
      <c r="F1934" s="98" t="s">
        <v>23</v>
      </c>
      <c r="G1934" s="98" t="s">
        <v>23</v>
      </c>
      <c r="H1934" s="98">
        <v>0</v>
      </c>
      <c r="I1934" s="98">
        <v>0</v>
      </c>
      <c r="K1934" s="98">
        <v>0.75347067499999998</v>
      </c>
      <c r="L1934" s="98">
        <v>0</v>
      </c>
      <c r="M1934" s="98">
        <v>0.74372425900000005</v>
      </c>
      <c r="N1934" s="98">
        <v>0</v>
      </c>
      <c r="O1934" s="99" t="s">
        <v>1074</v>
      </c>
    </row>
    <row r="1935" spans="1:15" x14ac:dyDescent="0.25">
      <c r="A1935" s="98" t="s">
        <v>54</v>
      </c>
      <c r="B1935" s="98" t="s">
        <v>97</v>
      </c>
      <c r="C1935" s="98">
        <v>630</v>
      </c>
      <c r="D1935" s="98">
        <v>630.1</v>
      </c>
      <c r="E1935" s="98">
        <v>0.1</v>
      </c>
      <c r="F1935" s="98" t="s">
        <v>23</v>
      </c>
      <c r="G1935" s="98" t="s">
        <v>23</v>
      </c>
      <c r="H1935" s="98">
        <v>0</v>
      </c>
      <c r="I1935" s="98">
        <v>0</v>
      </c>
      <c r="K1935" s="98">
        <v>0.47301427699999998</v>
      </c>
      <c r="L1935" s="98">
        <v>0</v>
      </c>
      <c r="M1935" s="98">
        <v>0.46914223399999999</v>
      </c>
      <c r="N1935" s="98">
        <v>0</v>
      </c>
      <c r="O1935" s="99" t="s">
        <v>1075</v>
      </c>
    </row>
    <row r="1936" spans="1:15" x14ac:dyDescent="0.25">
      <c r="A1936" s="98" t="s">
        <v>54</v>
      </c>
      <c r="B1936" s="98" t="s">
        <v>97</v>
      </c>
      <c r="C1936" s="98">
        <v>630</v>
      </c>
      <c r="D1936" s="98">
        <v>630.1</v>
      </c>
      <c r="E1936" s="98">
        <v>1</v>
      </c>
      <c r="F1936" s="98" t="s">
        <v>23</v>
      </c>
      <c r="G1936" s="98" t="s">
        <v>23</v>
      </c>
      <c r="H1936" s="98">
        <v>0</v>
      </c>
      <c r="I1936" s="98">
        <v>0</v>
      </c>
      <c r="K1936" s="98">
        <v>0.75347067499999998</v>
      </c>
      <c r="L1936" s="98">
        <v>0</v>
      </c>
      <c r="M1936" s="98">
        <v>0.74372425900000005</v>
      </c>
      <c r="N1936" s="98">
        <v>0</v>
      </c>
      <c r="O1936" s="99" t="s">
        <v>1076</v>
      </c>
    </row>
    <row r="1937" spans="1:15" x14ac:dyDescent="0.25">
      <c r="A1937" s="98" t="s">
        <v>54</v>
      </c>
      <c r="B1937" s="98" t="s">
        <v>93</v>
      </c>
      <c r="C1937" s="98">
        <v>0</v>
      </c>
      <c r="D1937" s="98">
        <v>250.1</v>
      </c>
      <c r="E1937" s="98">
        <v>0.1</v>
      </c>
      <c r="F1937" s="98" t="s">
        <v>23</v>
      </c>
      <c r="G1937" s="98" t="s">
        <v>23</v>
      </c>
      <c r="H1937" s="98">
        <v>0</v>
      </c>
      <c r="I1937" s="98">
        <v>0</v>
      </c>
      <c r="K1937" s="98">
        <v>0.66952654300000003</v>
      </c>
      <c r="L1937" s="98">
        <v>0</v>
      </c>
      <c r="M1937" s="98">
        <v>0.66592057000000004</v>
      </c>
      <c r="N1937" s="98">
        <v>0</v>
      </c>
      <c r="O1937" s="99" t="s">
        <v>1051</v>
      </c>
    </row>
    <row r="1938" spans="1:15" x14ac:dyDescent="0.25">
      <c r="A1938" s="98" t="s">
        <v>54</v>
      </c>
      <c r="B1938" s="98" t="s">
        <v>93</v>
      </c>
      <c r="C1938" s="98">
        <v>0</v>
      </c>
      <c r="D1938" s="98">
        <v>250.1</v>
      </c>
      <c r="E1938" s="98">
        <v>1</v>
      </c>
      <c r="F1938" s="98" t="s">
        <v>23</v>
      </c>
      <c r="G1938" s="98" t="s">
        <v>23</v>
      </c>
      <c r="H1938" s="98">
        <v>0</v>
      </c>
      <c r="I1938" s="98">
        <v>0</v>
      </c>
      <c r="K1938" s="98">
        <v>0.89034406399999999</v>
      </c>
      <c r="L1938" s="98">
        <v>0</v>
      </c>
      <c r="M1938" s="98">
        <v>0.87946017899999995</v>
      </c>
      <c r="N1938" s="98">
        <v>0</v>
      </c>
      <c r="O1938" s="99" t="s">
        <v>1052</v>
      </c>
    </row>
    <row r="1939" spans="1:15" x14ac:dyDescent="0.25">
      <c r="A1939" s="98" t="s">
        <v>54</v>
      </c>
      <c r="B1939" s="98" t="s">
        <v>93</v>
      </c>
      <c r="C1939" s="98">
        <v>250</v>
      </c>
      <c r="D1939" s="98">
        <v>400.1</v>
      </c>
      <c r="E1939" s="98">
        <v>0.1</v>
      </c>
      <c r="F1939" s="98" t="s">
        <v>23</v>
      </c>
      <c r="G1939" s="98" t="s">
        <v>23</v>
      </c>
      <c r="H1939" s="98">
        <v>0</v>
      </c>
      <c r="I1939" s="98">
        <v>0</v>
      </c>
      <c r="K1939" s="98">
        <v>0.41654469300000002</v>
      </c>
      <c r="L1939" s="98">
        <v>0</v>
      </c>
      <c r="M1939" s="98">
        <v>0.41163453</v>
      </c>
      <c r="N1939" s="98">
        <v>0</v>
      </c>
      <c r="O1939" s="99" t="s">
        <v>1053</v>
      </c>
    </row>
    <row r="1940" spans="1:15" x14ac:dyDescent="0.25">
      <c r="A1940" s="98" t="s">
        <v>54</v>
      </c>
      <c r="B1940" s="98" t="s">
        <v>93</v>
      </c>
      <c r="C1940" s="98">
        <v>250</v>
      </c>
      <c r="D1940" s="98">
        <v>400.1</v>
      </c>
      <c r="E1940" s="98">
        <v>1</v>
      </c>
      <c r="F1940" s="98" t="s">
        <v>23</v>
      </c>
      <c r="G1940" s="98" t="s">
        <v>23</v>
      </c>
      <c r="H1940" s="98">
        <v>0</v>
      </c>
      <c r="I1940" s="98">
        <v>0</v>
      </c>
      <c r="K1940" s="98">
        <v>0.71812879500000004</v>
      </c>
      <c r="L1940" s="98">
        <v>0</v>
      </c>
      <c r="M1940" s="98">
        <v>0.70671280299999995</v>
      </c>
      <c r="N1940" s="98">
        <v>0</v>
      </c>
      <c r="O1940" s="99" t="s">
        <v>1054</v>
      </c>
    </row>
    <row r="1941" spans="1:15" x14ac:dyDescent="0.25">
      <c r="A1941" s="98" t="s">
        <v>54</v>
      </c>
      <c r="B1941" s="98" t="s">
        <v>93</v>
      </c>
      <c r="C1941" s="98">
        <v>400</v>
      </c>
      <c r="D1941" s="98">
        <v>1000.1</v>
      </c>
      <c r="E1941" s="98">
        <v>0.1</v>
      </c>
      <c r="F1941" s="98" t="s">
        <v>23</v>
      </c>
      <c r="G1941" s="98" t="s">
        <v>23</v>
      </c>
      <c r="H1941" s="98">
        <v>0</v>
      </c>
      <c r="I1941" s="98">
        <v>0</v>
      </c>
      <c r="K1941" s="98">
        <v>0.39416654600000001</v>
      </c>
      <c r="L1941" s="98">
        <v>0</v>
      </c>
      <c r="M1941" s="98">
        <v>0.38897399700000002</v>
      </c>
      <c r="N1941" s="98">
        <v>0</v>
      </c>
      <c r="O1941" s="99" t="s">
        <v>1055</v>
      </c>
    </row>
    <row r="1942" spans="1:15" x14ac:dyDescent="0.25">
      <c r="A1942" s="98" t="s">
        <v>54</v>
      </c>
      <c r="B1942" s="98" t="s">
        <v>93</v>
      </c>
      <c r="C1942" s="98">
        <v>400</v>
      </c>
      <c r="D1942" s="98">
        <v>1000.1</v>
      </c>
      <c r="E1942" s="98">
        <v>1</v>
      </c>
      <c r="F1942" s="98" t="s">
        <v>23</v>
      </c>
      <c r="G1942" s="98" t="s">
        <v>23</v>
      </c>
      <c r="H1942" s="98">
        <v>0</v>
      </c>
      <c r="I1942" s="98">
        <v>0</v>
      </c>
      <c r="K1942" s="98">
        <v>0.70538411599999995</v>
      </c>
      <c r="L1942" s="98">
        <v>0</v>
      </c>
      <c r="M1942" s="98">
        <v>0.69375843800000003</v>
      </c>
      <c r="N1942" s="98">
        <v>0</v>
      </c>
      <c r="O1942" s="99" t="s">
        <v>1056</v>
      </c>
    </row>
    <row r="1943" spans="1:15" x14ac:dyDescent="0.25">
      <c r="A1943" s="98" t="s">
        <v>54</v>
      </c>
      <c r="B1943" s="98" t="s">
        <v>93</v>
      </c>
      <c r="C1943" s="98">
        <v>1000</v>
      </c>
      <c r="D1943" s="98">
        <v>1767</v>
      </c>
      <c r="E1943" s="98">
        <v>0.1</v>
      </c>
      <c r="F1943" s="98" t="s">
        <v>23</v>
      </c>
      <c r="G1943" s="98" t="s">
        <v>23</v>
      </c>
      <c r="H1943" s="98">
        <v>0</v>
      </c>
      <c r="I1943" s="98">
        <v>0</v>
      </c>
      <c r="K1943" s="98">
        <v>0.53997687599999999</v>
      </c>
      <c r="L1943" s="98">
        <v>0</v>
      </c>
      <c r="M1943" s="98">
        <v>0.53619821999999995</v>
      </c>
      <c r="N1943" s="98">
        <v>0</v>
      </c>
      <c r="O1943" s="99" t="s">
        <v>1057</v>
      </c>
    </row>
    <row r="1944" spans="1:15" x14ac:dyDescent="0.25">
      <c r="A1944" s="98" t="s">
        <v>54</v>
      </c>
      <c r="B1944" s="98" t="s">
        <v>93</v>
      </c>
      <c r="C1944" s="98">
        <v>1000</v>
      </c>
      <c r="D1944" s="98">
        <v>1767</v>
      </c>
      <c r="E1944" s="98">
        <v>1</v>
      </c>
      <c r="F1944" s="98" t="s">
        <v>23</v>
      </c>
      <c r="G1944" s="98" t="s">
        <v>23</v>
      </c>
      <c r="H1944" s="98">
        <v>0</v>
      </c>
      <c r="I1944" s="98">
        <v>0</v>
      </c>
      <c r="K1944" s="98">
        <v>0.79609956199999998</v>
      </c>
      <c r="L1944" s="98">
        <v>0</v>
      </c>
      <c r="M1944" s="98">
        <v>0.78581710999999999</v>
      </c>
      <c r="N1944" s="98">
        <v>0</v>
      </c>
      <c r="O1944" s="99" t="s">
        <v>1058</v>
      </c>
    </row>
    <row r="1945" spans="1:15" x14ac:dyDescent="0.25">
      <c r="A1945" s="98" t="s">
        <v>54</v>
      </c>
      <c r="B1945" s="98" t="s">
        <v>93</v>
      </c>
      <c r="C1945" s="98">
        <v>1767</v>
      </c>
      <c r="D1945" s="98">
        <v>1767.1</v>
      </c>
      <c r="E1945" s="98">
        <v>0.1</v>
      </c>
      <c r="F1945" s="98" t="s">
        <v>23</v>
      </c>
      <c r="G1945" s="98" t="s">
        <v>23</v>
      </c>
      <c r="H1945" s="98">
        <v>0</v>
      </c>
      <c r="I1945" s="98">
        <v>0</v>
      </c>
      <c r="K1945" s="98">
        <v>0.53997687599999999</v>
      </c>
      <c r="L1945" s="98">
        <v>0</v>
      </c>
      <c r="M1945" s="98">
        <v>0.53619821999999995</v>
      </c>
      <c r="N1945" s="98">
        <v>0</v>
      </c>
      <c r="O1945" s="99" t="s">
        <v>1059</v>
      </c>
    </row>
    <row r="1946" spans="1:15" x14ac:dyDescent="0.25">
      <c r="A1946" s="98" t="s">
        <v>54</v>
      </c>
      <c r="B1946" s="98" t="s">
        <v>93</v>
      </c>
      <c r="C1946" s="98">
        <v>1767</v>
      </c>
      <c r="D1946" s="98">
        <v>1767.1</v>
      </c>
      <c r="E1946" s="98">
        <v>1</v>
      </c>
      <c r="F1946" s="98" t="s">
        <v>23</v>
      </c>
      <c r="G1946" s="98" t="s">
        <v>23</v>
      </c>
      <c r="H1946" s="98">
        <v>0</v>
      </c>
      <c r="I1946" s="98">
        <v>0</v>
      </c>
      <c r="K1946" s="98">
        <v>0.79609956199999998</v>
      </c>
      <c r="L1946" s="98">
        <v>0</v>
      </c>
      <c r="M1946" s="98">
        <v>0.78581710999999999</v>
      </c>
      <c r="N1946" s="98">
        <v>0</v>
      </c>
      <c r="O1946" s="99" t="s">
        <v>1060</v>
      </c>
    </row>
    <row r="1947" spans="1:15" x14ac:dyDescent="0.25">
      <c r="A1947" s="98" t="s">
        <v>54</v>
      </c>
      <c r="B1947" s="98" t="s">
        <v>94</v>
      </c>
      <c r="C1947" s="98">
        <v>0</v>
      </c>
      <c r="D1947" s="98">
        <v>250.1</v>
      </c>
      <c r="E1947" s="98">
        <v>0.1</v>
      </c>
      <c r="F1947" s="98" t="s">
        <v>23</v>
      </c>
      <c r="G1947" s="98" t="s">
        <v>23</v>
      </c>
      <c r="H1947" s="98">
        <v>0</v>
      </c>
      <c r="I1947" s="98">
        <v>0</v>
      </c>
      <c r="K1947" s="98">
        <v>0.55632015300000004</v>
      </c>
      <c r="L1947" s="98">
        <v>0</v>
      </c>
      <c r="M1947" s="98">
        <v>0.55207204200000004</v>
      </c>
      <c r="N1947" s="98">
        <v>0</v>
      </c>
      <c r="O1947" s="99" t="s">
        <v>1041</v>
      </c>
    </row>
    <row r="1948" spans="1:15" x14ac:dyDescent="0.25">
      <c r="A1948" s="98" t="s">
        <v>54</v>
      </c>
      <c r="B1948" s="98" t="s">
        <v>94</v>
      </c>
      <c r="C1948" s="98">
        <v>0</v>
      </c>
      <c r="D1948" s="98">
        <v>250.1</v>
      </c>
      <c r="E1948" s="98">
        <v>1</v>
      </c>
      <c r="F1948" s="98" t="s">
        <v>23</v>
      </c>
      <c r="G1948" s="98" t="s">
        <v>23</v>
      </c>
      <c r="H1948" s="98">
        <v>0</v>
      </c>
      <c r="I1948" s="98">
        <v>0</v>
      </c>
      <c r="K1948" s="98">
        <v>0.808466346</v>
      </c>
      <c r="L1948" s="98">
        <v>0</v>
      </c>
      <c r="M1948" s="98">
        <v>0.79673304099999998</v>
      </c>
      <c r="N1948" s="98">
        <v>0</v>
      </c>
      <c r="O1948" s="99" t="s">
        <v>1042</v>
      </c>
    </row>
    <row r="1949" spans="1:15" x14ac:dyDescent="0.25">
      <c r="A1949" s="98" t="s">
        <v>54</v>
      </c>
      <c r="B1949" s="98" t="s">
        <v>94</v>
      </c>
      <c r="C1949" s="98">
        <v>250</v>
      </c>
      <c r="D1949" s="98">
        <v>1000.1</v>
      </c>
      <c r="E1949" s="98">
        <v>0.1</v>
      </c>
      <c r="F1949" s="98" t="s">
        <v>23</v>
      </c>
      <c r="G1949" s="98" t="s">
        <v>23</v>
      </c>
      <c r="H1949" s="98">
        <v>0</v>
      </c>
      <c r="I1949" s="98">
        <v>0</v>
      </c>
      <c r="K1949" s="98">
        <v>0.42875922700000002</v>
      </c>
      <c r="L1949" s="98">
        <v>0</v>
      </c>
      <c r="M1949" s="98">
        <v>0.42399054200000003</v>
      </c>
      <c r="N1949" s="98">
        <v>0</v>
      </c>
      <c r="O1949" s="99" t="s">
        <v>1043</v>
      </c>
    </row>
    <row r="1950" spans="1:15" x14ac:dyDescent="0.25">
      <c r="A1950" s="98" t="s">
        <v>54</v>
      </c>
      <c r="B1950" s="98" t="s">
        <v>94</v>
      </c>
      <c r="C1950" s="98">
        <v>250</v>
      </c>
      <c r="D1950" s="98">
        <v>1000.1</v>
      </c>
      <c r="E1950" s="98">
        <v>1</v>
      </c>
      <c r="F1950" s="98" t="s">
        <v>23</v>
      </c>
      <c r="G1950" s="98" t="s">
        <v>23</v>
      </c>
      <c r="H1950" s="98">
        <v>0</v>
      </c>
      <c r="I1950" s="98">
        <v>0</v>
      </c>
      <c r="K1950" s="98">
        <v>0.72528198700000002</v>
      </c>
      <c r="L1950" s="98">
        <v>0</v>
      </c>
      <c r="M1950" s="98">
        <v>0.71398037800000003</v>
      </c>
      <c r="N1950" s="98">
        <v>0</v>
      </c>
      <c r="O1950" s="99" t="s">
        <v>1044</v>
      </c>
    </row>
    <row r="1951" spans="1:15" x14ac:dyDescent="0.25">
      <c r="A1951" s="98" t="s">
        <v>54</v>
      </c>
      <c r="B1951" s="98" t="s">
        <v>94</v>
      </c>
      <c r="C1951" s="98">
        <v>1000</v>
      </c>
      <c r="D1951" s="98">
        <v>1400.1</v>
      </c>
      <c r="E1951" s="98">
        <v>0.1</v>
      </c>
      <c r="F1951" s="98" t="s">
        <v>23</v>
      </c>
      <c r="G1951" s="98" t="s">
        <v>23</v>
      </c>
      <c r="H1951" s="98">
        <v>0</v>
      </c>
      <c r="I1951" s="98">
        <v>0</v>
      </c>
      <c r="K1951" s="98">
        <v>0.438600078</v>
      </c>
      <c r="L1951" s="98">
        <v>0</v>
      </c>
      <c r="M1951" s="98">
        <v>0.43393955000000001</v>
      </c>
      <c r="N1951" s="98">
        <v>0</v>
      </c>
      <c r="O1951" s="99" t="s">
        <v>1045</v>
      </c>
    </row>
    <row r="1952" spans="1:15" x14ac:dyDescent="0.25">
      <c r="A1952" s="98" t="s">
        <v>54</v>
      </c>
      <c r="B1952" s="98" t="s">
        <v>94</v>
      </c>
      <c r="C1952" s="98">
        <v>1000</v>
      </c>
      <c r="D1952" s="98">
        <v>1400.1</v>
      </c>
      <c r="E1952" s="98">
        <v>1</v>
      </c>
      <c r="F1952" s="98" t="s">
        <v>23</v>
      </c>
      <c r="G1952" s="98" t="s">
        <v>23</v>
      </c>
      <c r="H1952" s="98">
        <v>0</v>
      </c>
      <c r="I1952" s="98">
        <v>0</v>
      </c>
      <c r="K1952" s="98">
        <v>0.73114260799999997</v>
      </c>
      <c r="L1952" s="98">
        <v>0</v>
      </c>
      <c r="M1952" s="98">
        <v>0.71993300599999999</v>
      </c>
      <c r="N1952" s="98">
        <v>0</v>
      </c>
      <c r="O1952" s="99" t="s">
        <v>1046</v>
      </c>
    </row>
    <row r="1953" spans="1:15" x14ac:dyDescent="0.25">
      <c r="A1953" s="98" t="s">
        <v>54</v>
      </c>
      <c r="B1953" s="98" t="s">
        <v>94</v>
      </c>
      <c r="C1953" s="98">
        <v>1400</v>
      </c>
      <c r="D1953" s="98">
        <v>1767</v>
      </c>
      <c r="E1953" s="98">
        <v>0.1</v>
      </c>
      <c r="F1953" s="98" t="s">
        <v>23</v>
      </c>
      <c r="G1953" s="98" t="s">
        <v>23</v>
      </c>
      <c r="H1953" s="98">
        <v>0</v>
      </c>
      <c r="I1953" s="98">
        <v>0</v>
      </c>
      <c r="K1953" s="98">
        <v>0.54056503099999997</v>
      </c>
      <c r="L1953" s="98">
        <v>0</v>
      </c>
      <c r="M1953" s="98">
        <v>0.53679051499999997</v>
      </c>
      <c r="N1953" s="98">
        <v>0</v>
      </c>
      <c r="O1953" s="99" t="s">
        <v>1047</v>
      </c>
    </row>
    <row r="1954" spans="1:15" x14ac:dyDescent="0.25">
      <c r="A1954" s="98" t="s">
        <v>54</v>
      </c>
      <c r="B1954" s="98" t="s">
        <v>94</v>
      </c>
      <c r="C1954" s="98">
        <v>1400</v>
      </c>
      <c r="D1954" s="98">
        <v>1767</v>
      </c>
      <c r="E1954" s="98">
        <v>1</v>
      </c>
      <c r="F1954" s="98" t="s">
        <v>23</v>
      </c>
      <c r="G1954" s="98" t="s">
        <v>23</v>
      </c>
      <c r="H1954" s="98">
        <v>0</v>
      </c>
      <c r="I1954" s="98">
        <v>0</v>
      </c>
      <c r="K1954" s="98">
        <v>0.79649861099999997</v>
      </c>
      <c r="L1954" s="98">
        <v>0</v>
      </c>
      <c r="M1954" s="98">
        <v>0.786221379</v>
      </c>
      <c r="N1954" s="98">
        <v>0</v>
      </c>
      <c r="O1954" s="99" t="s">
        <v>1048</v>
      </c>
    </row>
    <row r="1955" spans="1:15" x14ac:dyDescent="0.25">
      <c r="A1955" s="98" t="s">
        <v>54</v>
      </c>
      <c r="B1955" s="98" t="s">
        <v>94</v>
      </c>
      <c r="C1955" s="98">
        <v>1767</v>
      </c>
      <c r="D1955" s="98">
        <v>1767.1</v>
      </c>
      <c r="E1955" s="98">
        <v>0.1</v>
      </c>
      <c r="F1955" s="98" t="s">
        <v>23</v>
      </c>
      <c r="G1955" s="98" t="s">
        <v>23</v>
      </c>
      <c r="H1955" s="98">
        <v>0</v>
      </c>
      <c r="I1955" s="98">
        <v>0</v>
      </c>
      <c r="K1955" s="98">
        <v>0.54056503099999997</v>
      </c>
      <c r="L1955" s="98">
        <v>0</v>
      </c>
      <c r="M1955" s="98">
        <v>0.53679051499999997</v>
      </c>
      <c r="N1955" s="98">
        <v>0</v>
      </c>
      <c r="O1955" s="99" t="s">
        <v>1049</v>
      </c>
    </row>
    <row r="1956" spans="1:15" x14ac:dyDescent="0.25">
      <c r="A1956" s="98" t="s">
        <v>54</v>
      </c>
      <c r="B1956" s="98" t="s">
        <v>94</v>
      </c>
      <c r="C1956" s="98">
        <v>1767</v>
      </c>
      <c r="D1956" s="98">
        <v>1767.1</v>
      </c>
      <c r="E1956" s="98">
        <v>1</v>
      </c>
      <c r="F1956" s="98" t="s">
        <v>23</v>
      </c>
      <c r="G1956" s="98" t="s">
        <v>23</v>
      </c>
      <c r="H1956" s="98">
        <v>0</v>
      </c>
      <c r="I1956" s="98">
        <v>0</v>
      </c>
      <c r="K1956" s="98">
        <v>0.79649861099999997</v>
      </c>
      <c r="L1956" s="98">
        <v>0</v>
      </c>
      <c r="M1956" s="98">
        <v>0.786221379</v>
      </c>
      <c r="N1956" s="98">
        <v>0</v>
      </c>
      <c r="O1956" s="99" t="s">
        <v>1050</v>
      </c>
    </row>
    <row r="1957" spans="1:15" x14ac:dyDescent="0.25">
      <c r="A1957" s="98" t="s">
        <v>54</v>
      </c>
      <c r="B1957" s="98" t="s">
        <v>95</v>
      </c>
      <c r="C1957" s="98">
        <v>-250</v>
      </c>
      <c r="D1957" s="98">
        <v>-149.9</v>
      </c>
      <c r="E1957" s="98">
        <v>0.1</v>
      </c>
      <c r="F1957" s="98" t="s">
        <v>23</v>
      </c>
      <c r="G1957" s="98" t="s">
        <v>23</v>
      </c>
      <c r="H1957" s="98">
        <v>0</v>
      </c>
      <c r="I1957" s="98">
        <v>0</v>
      </c>
      <c r="K1957" s="98">
        <v>0.55536480200000005</v>
      </c>
      <c r="L1957" s="98">
        <v>0</v>
      </c>
      <c r="M1957" s="98">
        <v>0.55057507900000002</v>
      </c>
      <c r="N1957" s="98">
        <v>0</v>
      </c>
      <c r="O1957" s="99" t="s">
        <v>1031</v>
      </c>
    </row>
    <row r="1958" spans="1:15" x14ac:dyDescent="0.25">
      <c r="A1958" s="98" t="s">
        <v>54</v>
      </c>
      <c r="B1958" s="98" t="s">
        <v>95</v>
      </c>
      <c r="C1958" s="98">
        <v>-250</v>
      </c>
      <c r="D1958" s="98">
        <v>-149.9</v>
      </c>
      <c r="E1958" s="98">
        <v>1</v>
      </c>
      <c r="F1958" s="98" t="s">
        <v>23</v>
      </c>
      <c r="G1958" s="98" t="s">
        <v>23</v>
      </c>
      <c r="H1958" s="98">
        <v>0</v>
      </c>
      <c r="I1958" s="98">
        <v>0</v>
      </c>
      <c r="K1958" s="98">
        <v>0.80890141400000004</v>
      </c>
      <c r="L1958" s="98">
        <v>0</v>
      </c>
      <c r="M1958" s="98">
        <v>0.79569649899999995</v>
      </c>
      <c r="N1958" s="98">
        <v>0</v>
      </c>
      <c r="O1958" s="99" t="s">
        <v>1032</v>
      </c>
    </row>
    <row r="1959" spans="1:15" x14ac:dyDescent="0.25">
      <c r="A1959" s="98" t="s">
        <v>54</v>
      </c>
      <c r="B1959" s="98" t="s">
        <v>95</v>
      </c>
      <c r="C1959" s="98">
        <v>-150</v>
      </c>
      <c r="D1959" s="98">
        <v>0.1</v>
      </c>
      <c r="E1959" s="98">
        <v>0.1</v>
      </c>
      <c r="F1959" s="98" t="s">
        <v>23</v>
      </c>
      <c r="G1959" s="98" t="s">
        <v>23</v>
      </c>
      <c r="H1959" s="98">
        <v>0</v>
      </c>
      <c r="I1959" s="98">
        <v>0</v>
      </c>
      <c r="K1959" s="98">
        <v>0.29307530900000001</v>
      </c>
      <c r="L1959" s="98">
        <v>0</v>
      </c>
      <c r="M1959" s="98">
        <v>0.28549186100000001</v>
      </c>
      <c r="N1959" s="98">
        <v>0</v>
      </c>
      <c r="O1959" s="99" t="s">
        <v>1033</v>
      </c>
    </row>
    <row r="1960" spans="1:15" x14ac:dyDescent="0.25">
      <c r="A1960" s="98" t="s">
        <v>54</v>
      </c>
      <c r="B1960" s="98" t="s">
        <v>95</v>
      </c>
      <c r="C1960" s="98">
        <v>-150</v>
      </c>
      <c r="D1960" s="98">
        <v>0.1</v>
      </c>
      <c r="E1960" s="98">
        <v>1</v>
      </c>
      <c r="F1960" s="98" t="s">
        <v>23</v>
      </c>
      <c r="G1960" s="98" t="s">
        <v>23</v>
      </c>
      <c r="H1960" s="98">
        <v>0</v>
      </c>
      <c r="I1960" s="98">
        <v>0</v>
      </c>
      <c r="K1960" s="98">
        <v>0.65502346499999997</v>
      </c>
      <c r="L1960" s="98">
        <v>0</v>
      </c>
      <c r="M1960" s="98">
        <v>0.64148702499999999</v>
      </c>
      <c r="N1960" s="98">
        <v>0</v>
      </c>
      <c r="O1960" s="99" t="s">
        <v>1034</v>
      </c>
    </row>
    <row r="1961" spans="1:15" x14ac:dyDescent="0.25">
      <c r="A1961" s="98" t="s">
        <v>54</v>
      </c>
      <c r="B1961" s="98" t="s">
        <v>95</v>
      </c>
      <c r="C1961" s="98">
        <v>0</v>
      </c>
      <c r="D1961" s="98">
        <v>120.1</v>
      </c>
      <c r="E1961" s="98">
        <v>0.1</v>
      </c>
      <c r="F1961" s="98" t="s">
        <v>23</v>
      </c>
      <c r="G1961" s="98" t="s">
        <v>23</v>
      </c>
      <c r="H1961" s="98">
        <v>0</v>
      </c>
      <c r="I1961" s="98">
        <v>0</v>
      </c>
      <c r="K1961" s="98">
        <v>0.20014928100000001</v>
      </c>
      <c r="L1961" s="98">
        <v>0</v>
      </c>
      <c r="M1961" s="98">
        <v>0.19650714699999999</v>
      </c>
      <c r="N1961" s="98">
        <v>0</v>
      </c>
      <c r="O1961" s="99" t="s">
        <v>1035</v>
      </c>
    </row>
    <row r="1962" spans="1:15" x14ac:dyDescent="0.25">
      <c r="A1962" s="98" t="s">
        <v>54</v>
      </c>
      <c r="B1962" s="98" t="s">
        <v>95</v>
      </c>
      <c r="C1962" s="98">
        <v>0</v>
      </c>
      <c r="D1962" s="98">
        <v>120.1</v>
      </c>
      <c r="E1962" s="98">
        <v>1</v>
      </c>
      <c r="F1962" s="98" t="s">
        <v>23</v>
      </c>
      <c r="G1962" s="98" t="s">
        <v>23</v>
      </c>
      <c r="H1962" s="98">
        <v>0</v>
      </c>
      <c r="I1962" s="98">
        <v>0</v>
      </c>
      <c r="K1962" s="98">
        <v>0.61187724499999996</v>
      </c>
      <c r="L1962" s="98">
        <v>0</v>
      </c>
      <c r="M1962" s="98">
        <v>0.60713677099999996</v>
      </c>
      <c r="N1962" s="98">
        <v>0</v>
      </c>
      <c r="O1962" s="99" t="s">
        <v>1036</v>
      </c>
    </row>
    <row r="1963" spans="1:15" x14ac:dyDescent="0.25">
      <c r="A1963" s="98" t="s">
        <v>54</v>
      </c>
      <c r="B1963" s="98" t="s">
        <v>95</v>
      </c>
      <c r="C1963" s="98">
        <v>120</v>
      </c>
      <c r="D1963" s="98">
        <v>400</v>
      </c>
      <c r="E1963" s="98">
        <v>0.1</v>
      </c>
      <c r="F1963" s="98" t="s">
        <v>23</v>
      </c>
      <c r="G1963" s="98" t="s">
        <v>23</v>
      </c>
      <c r="H1963" s="98">
        <v>0</v>
      </c>
      <c r="I1963" s="98">
        <v>0</v>
      </c>
      <c r="K1963" s="98">
        <v>0.17895368</v>
      </c>
      <c r="L1963" s="98">
        <v>0</v>
      </c>
      <c r="M1963" s="98">
        <v>0.17487064799999999</v>
      </c>
      <c r="N1963" s="98">
        <v>0</v>
      </c>
      <c r="O1963" s="99" t="s">
        <v>1037</v>
      </c>
    </row>
    <row r="1964" spans="1:15" x14ac:dyDescent="0.25">
      <c r="A1964" s="98" t="s">
        <v>54</v>
      </c>
      <c r="B1964" s="98" t="s">
        <v>95</v>
      </c>
      <c r="C1964" s="98">
        <v>120</v>
      </c>
      <c r="D1964" s="98">
        <v>400</v>
      </c>
      <c r="E1964" s="98">
        <v>1</v>
      </c>
      <c r="F1964" s="98" t="s">
        <v>23</v>
      </c>
      <c r="G1964" s="98" t="s">
        <v>23</v>
      </c>
      <c r="H1964" s="98">
        <v>0</v>
      </c>
      <c r="I1964" s="98">
        <v>0</v>
      </c>
      <c r="K1964" s="98">
        <v>0.60527551300000004</v>
      </c>
      <c r="L1964" s="98">
        <v>0</v>
      </c>
      <c r="M1964" s="98">
        <v>0.600482925</v>
      </c>
      <c r="N1964" s="98">
        <v>0</v>
      </c>
      <c r="O1964" s="99" t="s">
        <v>1038</v>
      </c>
    </row>
    <row r="1965" spans="1:15" x14ac:dyDescent="0.25">
      <c r="A1965" s="98" t="s">
        <v>54</v>
      </c>
      <c r="B1965" s="98" t="s">
        <v>95</v>
      </c>
      <c r="C1965" s="98">
        <v>400</v>
      </c>
      <c r="D1965" s="98">
        <v>400.1</v>
      </c>
      <c r="E1965" s="98">
        <v>0.1</v>
      </c>
      <c r="F1965" s="98" t="s">
        <v>23</v>
      </c>
      <c r="G1965" s="98" t="s">
        <v>23</v>
      </c>
      <c r="H1965" s="98">
        <v>0</v>
      </c>
      <c r="I1965" s="98">
        <v>0</v>
      </c>
      <c r="K1965" s="98">
        <v>0.17895368</v>
      </c>
      <c r="L1965" s="98">
        <v>0</v>
      </c>
      <c r="M1965" s="98">
        <v>0.17487064799999999</v>
      </c>
      <c r="N1965" s="98">
        <v>0</v>
      </c>
      <c r="O1965" s="99" t="s">
        <v>1039</v>
      </c>
    </row>
    <row r="1966" spans="1:15" x14ac:dyDescent="0.25">
      <c r="A1966" s="98" t="s">
        <v>54</v>
      </c>
      <c r="B1966" s="98" t="s">
        <v>95</v>
      </c>
      <c r="C1966" s="98">
        <v>400</v>
      </c>
      <c r="D1966" s="98">
        <v>400.1</v>
      </c>
      <c r="E1966" s="98">
        <v>1</v>
      </c>
      <c r="F1966" s="98" t="s">
        <v>23</v>
      </c>
      <c r="G1966" s="98" t="s">
        <v>23</v>
      </c>
      <c r="H1966" s="98">
        <v>0</v>
      </c>
      <c r="I1966" s="98">
        <v>0</v>
      </c>
      <c r="K1966" s="98">
        <v>0.60527551300000004</v>
      </c>
      <c r="L1966" s="98">
        <v>0</v>
      </c>
      <c r="M1966" s="98">
        <v>0.600482925</v>
      </c>
      <c r="N1966" s="98">
        <v>0</v>
      </c>
      <c r="O1966" s="99" t="s">
        <v>1040</v>
      </c>
    </row>
    <row r="1967" spans="1:15" x14ac:dyDescent="0.25">
      <c r="A1967" s="98" t="s">
        <v>54</v>
      </c>
      <c r="B1967" s="98" t="s">
        <v>46</v>
      </c>
      <c r="C1967" s="98">
        <v>0</v>
      </c>
      <c r="D1967" s="98">
        <v>3.3000999999999999E-4</v>
      </c>
      <c r="E1967" s="98">
        <v>1.0000000000000001E-9</v>
      </c>
      <c r="F1967" s="98" t="s">
        <v>13</v>
      </c>
      <c r="G1967" s="98" t="s">
        <v>11</v>
      </c>
      <c r="H1967" s="98">
        <v>0</v>
      </c>
      <c r="I1967" s="98">
        <v>0</v>
      </c>
      <c r="K1967" s="98">
        <v>2.4E-2</v>
      </c>
      <c r="L1967" s="98">
        <v>180</v>
      </c>
      <c r="M1967" s="98">
        <v>2.3106999999999999E-2</v>
      </c>
      <c r="N1967" s="98">
        <v>175.06</v>
      </c>
      <c r="O1967" s="99" t="s">
        <v>990</v>
      </c>
    </row>
    <row r="1968" spans="1:15" x14ac:dyDescent="0.25">
      <c r="A1968" s="98" t="s">
        <v>54</v>
      </c>
      <c r="B1968" s="98" t="s">
        <v>46</v>
      </c>
      <c r="C1968" s="98">
        <v>0</v>
      </c>
      <c r="D1968" s="98">
        <v>3.3000999999999999E-4</v>
      </c>
      <c r="E1968" s="98">
        <v>1E-8</v>
      </c>
      <c r="F1968" s="98" t="s">
        <v>13</v>
      </c>
      <c r="G1968" s="98" t="s">
        <v>11</v>
      </c>
      <c r="H1968" s="98">
        <v>0</v>
      </c>
      <c r="I1968" s="98">
        <v>0</v>
      </c>
      <c r="K1968" s="98">
        <v>2.4E-2</v>
      </c>
      <c r="L1968" s="98">
        <v>173.53</v>
      </c>
      <c r="M1968" s="98">
        <v>2.3813999999999998E-2</v>
      </c>
      <c r="N1968" s="98">
        <v>173.54</v>
      </c>
      <c r="O1968" s="99" t="s">
        <v>991</v>
      </c>
    </row>
    <row r="1969" spans="1:15" x14ac:dyDescent="0.25">
      <c r="A1969" s="98" t="s">
        <v>54</v>
      </c>
      <c r="B1969" s="98" t="s">
        <v>46</v>
      </c>
      <c r="C1969" s="98">
        <v>0</v>
      </c>
      <c r="D1969" s="98">
        <v>3.3000999999999999E-4</v>
      </c>
      <c r="E1969" s="98">
        <v>9.9999999999999995E-8</v>
      </c>
      <c r="F1969" s="98" t="s">
        <v>13</v>
      </c>
      <c r="G1969" s="98" t="s">
        <v>11</v>
      </c>
      <c r="H1969" s="98">
        <v>0</v>
      </c>
      <c r="I1969" s="98">
        <v>0</v>
      </c>
      <c r="K1969" s="98">
        <v>6.2453000000000002E-2</v>
      </c>
      <c r="L1969" s="98">
        <v>113</v>
      </c>
      <c r="M1969" s="98">
        <v>6.2384000000000002E-2</v>
      </c>
      <c r="N1969" s="98">
        <v>113</v>
      </c>
      <c r="O1969" s="99" t="s">
        <v>992</v>
      </c>
    </row>
    <row r="1970" spans="1:15" x14ac:dyDescent="0.25">
      <c r="A1970" s="98" t="s">
        <v>54</v>
      </c>
      <c r="B1970" s="98" t="s">
        <v>46</v>
      </c>
      <c r="C1970" s="98">
        <v>0</v>
      </c>
      <c r="D1970" s="98">
        <v>3.3000999999999999E-4</v>
      </c>
      <c r="E1970" s="98">
        <v>9.9999999999999995E-7</v>
      </c>
      <c r="F1970" s="98" t="s">
        <v>13</v>
      </c>
      <c r="G1970" s="98" t="s">
        <v>11</v>
      </c>
      <c r="H1970" s="98">
        <v>0</v>
      </c>
      <c r="I1970" s="98">
        <v>0</v>
      </c>
      <c r="K1970" s="98">
        <v>0.58048</v>
      </c>
      <c r="L1970" s="98">
        <v>15.8</v>
      </c>
      <c r="M1970" s="98">
        <v>0.58045000000000002</v>
      </c>
      <c r="N1970" s="98">
        <v>15.6</v>
      </c>
      <c r="O1970" s="99" t="s">
        <v>993</v>
      </c>
    </row>
    <row r="1971" spans="1:15" x14ac:dyDescent="0.25">
      <c r="A1971" s="98" t="s">
        <v>54</v>
      </c>
      <c r="B1971" s="98" t="s">
        <v>46</v>
      </c>
      <c r="C1971" s="98">
        <v>0</v>
      </c>
      <c r="D1971" s="98">
        <v>3.3000999999999999E-4</v>
      </c>
      <c r="E1971" s="98">
        <v>1.0000000000000001E-5</v>
      </c>
      <c r="F1971" s="98" t="s">
        <v>13</v>
      </c>
      <c r="G1971" s="98" t="s">
        <v>11</v>
      </c>
      <c r="H1971" s="98">
        <v>0</v>
      </c>
      <c r="I1971" s="98">
        <v>0</v>
      </c>
      <c r="K1971" s="98">
        <v>5.8000999999999996</v>
      </c>
      <c r="L1971" s="98">
        <v>1.6500999999999999</v>
      </c>
      <c r="M1971" s="98">
        <v>5.8000999999999996</v>
      </c>
      <c r="N1971" s="98">
        <v>1.5718000000000001</v>
      </c>
      <c r="O1971" s="99" t="s">
        <v>994</v>
      </c>
    </row>
    <row r="1972" spans="1:15" x14ac:dyDescent="0.25">
      <c r="A1972" s="98" t="s">
        <v>54</v>
      </c>
      <c r="B1972" s="98" t="s">
        <v>46</v>
      </c>
      <c r="C1972" s="98">
        <v>0</v>
      </c>
      <c r="D1972" s="98">
        <v>3.3000999999999999E-4</v>
      </c>
      <c r="E1972" s="98">
        <v>1E-4</v>
      </c>
      <c r="F1972" s="98" t="s">
        <v>13</v>
      </c>
      <c r="G1972" s="98" t="s">
        <v>11</v>
      </c>
      <c r="H1972" s="98">
        <v>0</v>
      </c>
      <c r="I1972" s="98">
        <v>0</v>
      </c>
      <c r="K1972" s="98">
        <v>58</v>
      </c>
      <c r="L1972" s="98">
        <v>0.18851999999999999</v>
      </c>
      <c r="M1972" s="98">
        <v>58</v>
      </c>
      <c r="N1972" s="98">
        <v>0.15719</v>
      </c>
      <c r="O1972" s="99" t="s">
        <v>995</v>
      </c>
    </row>
    <row r="1973" spans="1:15" x14ac:dyDescent="0.25">
      <c r="A1973" s="98" t="s">
        <v>54</v>
      </c>
      <c r="B1973" s="98" t="s">
        <v>46</v>
      </c>
      <c r="C1973" s="98">
        <v>0</v>
      </c>
      <c r="D1973" s="98">
        <v>3.3000999999999999E-4</v>
      </c>
      <c r="E1973" s="98">
        <v>1E-3</v>
      </c>
      <c r="F1973" s="98" t="s">
        <v>13</v>
      </c>
      <c r="G1973" s="98" t="s">
        <v>11</v>
      </c>
      <c r="H1973" s="98">
        <v>0</v>
      </c>
      <c r="I1973" s="98">
        <v>0</v>
      </c>
      <c r="K1973" s="98">
        <v>580</v>
      </c>
      <c r="L1973" s="98">
        <v>2.8251999999999999E-2</v>
      </c>
      <c r="M1973" s="98">
        <v>580</v>
      </c>
      <c r="N1973" s="98">
        <v>1.5719E-2</v>
      </c>
      <c r="O1973" s="99" t="s">
        <v>996</v>
      </c>
    </row>
    <row r="1974" spans="1:15" x14ac:dyDescent="0.25">
      <c r="A1974" s="98" t="s">
        <v>54</v>
      </c>
      <c r="B1974" s="98" t="s">
        <v>46</v>
      </c>
      <c r="C1974" s="98">
        <v>0</v>
      </c>
      <c r="D1974" s="98">
        <v>3.3000999999999999E-4</v>
      </c>
      <c r="E1974" s="98">
        <v>0.01</v>
      </c>
      <c r="F1974" s="98" t="s">
        <v>13</v>
      </c>
      <c r="G1974" s="98" t="s">
        <v>12</v>
      </c>
      <c r="H1974" s="98">
        <v>0</v>
      </c>
      <c r="I1974" s="98">
        <v>0</v>
      </c>
      <c r="K1974" s="98">
        <v>5.8</v>
      </c>
      <c r="L1974" s="98">
        <v>6.5850999999999999E-6</v>
      </c>
      <c r="M1974" s="98">
        <v>5.8</v>
      </c>
      <c r="N1974" s="98">
        <v>1.5718999999999999E-6</v>
      </c>
      <c r="O1974" s="99" t="s">
        <v>997</v>
      </c>
    </row>
    <row r="1975" spans="1:15" x14ac:dyDescent="0.25">
      <c r="A1975" s="98" t="s">
        <v>54</v>
      </c>
      <c r="B1975" s="98" t="s">
        <v>46</v>
      </c>
      <c r="C1975" s="98">
        <v>0</v>
      </c>
      <c r="D1975" s="98">
        <v>3.3000999999999999E-4</v>
      </c>
      <c r="E1975" s="98">
        <v>0.1</v>
      </c>
      <c r="F1975" s="98" t="s">
        <v>13</v>
      </c>
      <c r="G1975" s="98" t="s">
        <v>12</v>
      </c>
      <c r="H1975" s="98">
        <v>0</v>
      </c>
      <c r="I1975" s="98">
        <v>0</v>
      </c>
      <c r="K1975" s="98">
        <v>58</v>
      </c>
      <c r="L1975" s="98">
        <v>2.1625E-6</v>
      </c>
      <c r="M1975" s="98">
        <v>58</v>
      </c>
      <c r="N1975" s="98">
        <v>1.572E-7</v>
      </c>
      <c r="O1975" s="99" t="s">
        <v>998</v>
      </c>
    </row>
    <row r="1976" spans="1:15" x14ac:dyDescent="0.25">
      <c r="A1976" s="98" t="s">
        <v>54</v>
      </c>
      <c r="B1976" s="98" t="s">
        <v>46</v>
      </c>
      <c r="C1976" s="98">
        <v>3.3E-4</v>
      </c>
      <c r="D1976" s="98">
        <v>3.3000999999999998E-3</v>
      </c>
      <c r="E1976" s="98">
        <v>1E-8</v>
      </c>
      <c r="F1976" s="98" t="s">
        <v>13</v>
      </c>
      <c r="G1976" s="98" t="s">
        <v>11</v>
      </c>
      <c r="H1976" s="98">
        <v>0</v>
      </c>
      <c r="I1976" s="98">
        <v>0</v>
      </c>
      <c r="K1976" s="98">
        <v>6.8000000000000005E-2</v>
      </c>
      <c r="L1976" s="98">
        <v>150</v>
      </c>
      <c r="M1976" s="98">
        <v>5.7598000000000003E-2</v>
      </c>
      <c r="N1976" s="98">
        <v>152.88999999999999</v>
      </c>
      <c r="O1976" s="99" t="s">
        <v>999</v>
      </c>
    </row>
    <row r="1977" spans="1:15" x14ac:dyDescent="0.25">
      <c r="A1977" s="98" t="s">
        <v>54</v>
      </c>
      <c r="B1977" s="98" t="s">
        <v>46</v>
      </c>
      <c r="C1977" s="98">
        <v>3.3E-4</v>
      </c>
      <c r="D1977" s="98">
        <v>3.3000999999999998E-3</v>
      </c>
      <c r="E1977" s="98">
        <v>9.9999999999999995E-8</v>
      </c>
      <c r="F1977" s="98" t="s">
        <v>13</v>
      </c>
      <c r="G1977" s="98" t="s">
        <v>11</v>
      </c>
      <c r="H1977" s="98">
        <v>0</v>
      </c>
      <c r="I1977" s="98">
        <v>0</v>
      </c>
      <c r="K1977" s="98">
        <v>7.6187000000000005E-2</v>
      </c>
      <c r="L1977" s="98">
        <v>148.47</v>
      </c>
      <c r="M1977" s="98">
        <v>7.3319999999999996E-2</v>
      </c>
      <c r="N1977" s="98">
        <v>149.02000000000001</v>
      </c>
      <c r="O1977" s="99" t="s">
        <v>1000</v>
      </c>
    </row>
    <row r="1978" spans="1:15" x14ac:dyDescent="0.25">
      <c r="A1978" s="98" t="s">
        <v>54</v>
      </c>
      <c r="B1978" s="98" t="s">
        <v>46</v>
      </c>
      <c r="C1978" s="98">
        <v>3.3E-4</v>
      </c>
      <c r="D1978" s="98">
        <v>3.3000999999999998E-3</v>
      </c>
      <c r="E1978" s="98">
        <v>9.9999999999999995E-7</v>
      </c>
      <c r="F1978" s="98" t="s">
        <v>13</v>
      </c>
      <c r="G1978" s="98" t="s">
        <v>11</v>
      </c>
      <c r="H1978" s="98">
        <v>0</v>
      </c>
      <c r="I1978" s="98">
        <v>0</v>
      </c>
      <c r="K1978" s="98">
        <v>0.56791999999999998</v>
      </c>
      <c r="L1978" s="98">
        <v>73.551000000000002</v>
      </c>
      <c r="M1978" s="98">
        <v>0.56576000000000004</v>
      </c>
      <c r="N1978" s="98">
        <v>73.311999999999998</v>
      </c>
      <c r="O1978" s="99" t="s">
        <v>1001</v>
      </c>
    </row>
    <row r="1979" spans="1:15" x14ac:dyDescent="0.25">
      <c r="A1979" s="98" t="s">
        <v>54</v>
      </c>
      <c r="B1979" s="98" t="s">
        <v>46</v>
      </c>
      <c r="C1979" s="98">
        <v>3.3E-4</v>
      </c>
      <c r="D1979" s="98">
        <v>3.3000999999999998E-3</v>
      </c>
      <c r="E1979" s="98">
        <v>1.0000000000000001E-5</v>
      </c>
      <c r="F1979" s="98" t="s">
        <v>13</v>
      </c>
      <c r="G1979" s="98" t="s">
        <v>11</v>
      </c>
      <c r="H1979" s="98">
        <v>0</v>
      </c>
      <c r="I1979" s="98">
        <v>0</v>
      </c>
      <c r="K1979" s="98">
        <v>5.7988999999999997</v>
      </c>
      <c r="L1979" s="98">
        <v>9.0556999999999999</v>
      </c>
      <c r="M1979" s="98">
        <v>5.7980999999999998</v>
      </c>
      <c r="N1979" s="98">
        <v>8.8116000000000003</v>
      </c>
      <c r="O1979" s="99" t="s">
        <v>1002</v>
      </c>
    </row>
    <row r="1980" spans="1:15" x14ac:dyDescent="0.25">
      <c r="A1980" s="98" t="s">
        <v>54</v>
      </c>
      <c r="B1980" s="98" t="s">
        <v>46</v>
      </c>
      <c r="C1980" s="98">
        <v>3.3E-4</v>
      </c>
      <c r="D1980" s="98">
        <v>3.3000999999999998E-3</v>
      </c>
      <c r="E1980" s="98">
        <v>1E-4</v>
      </c>
      <c r="F1980" s="98" t="s">
        <v>13</v>
      </c>
      <c r="G1980" s="98" t="s">
        <v>11</v>
      </c>
      <c r="H1980" s="98">
        <v>0</v>
      </c>
      <c r="I1980" s="98">
        <v>0</v>
      </c>
      <c r="K1980" s="98">
        <v>58</v>
      </c>
      <c r="L1980" s="98">
        <v>0.98192000000000002</v>
      </c>
      <c r="M1980" s="98">
        <v>58</v>
      </c>
      <c r="N1980" s="98">
        <v>0.88327999999999995</v>
      </c>
      <c r="O1980" s="99" t="s">
        <v>1003</v>
      </c>
    </row>
    <row r="1981" spans="1:15" x14ac:dyDescent="0.25">
      <c r="A1981" s="98" t="s">
        <v>54</v>
      </c>
      <c r="B1981" s="98" t="s">
        <v>46</v>
      </c>
      <c r="C1981" s="98">
        <v>3.3E-3</v>
      </c>
      <c r="D1981" s="98">
        <v>3.3001000000000003E-2</v>
      </c>
      <c r="E1981" s="98">
        <v>9.9999999999999995E-8</v>
      </c>
      <c r="F1981" s="98" t="s">
        <v>13</v>
      </c>
      <c r="G1981" s="98" t="s">
        <v>11</v>
      </c>
      <c r="H1981" s="98">
        <v>0</v>
      </c>
      <c r="I1981" s="98">
        <v>0</v>
      </c>
      <c r="K1981" s="98">
        <v>0.21</v>
      </c>
      <c r="L1981" s="98">
        <v>150</v>
      </c>
      <c r="M1981" s="98">
        <v>0.20100000000000001</v>
      </c>
      <c r="N1981" s="98">
        <v>145.79</v>
      </c>
      <c r="O1981" s="99" t="s">
        <v>1004</v>
      </c>
    </row>
    <row r="1982" spans="1:15" x14ac:dyDescent="0.25">
      <c r="A1982" s="98" t="s">
        <v>54</v>
      </c>
      <c r="B1982" s="98" t="s">
        <v>46</v>
      </c>
      <c r="C1982" s="98">
        <v>3.3E-3</v>
      </c>
      <c r="D1982" s="98">
        <v>3.3001000000000003E-2</v>
      </c>
      <c r="E1982" s="98">
        <v>9.9999999999999995E-7</v>
      </c>
      <c r="F1982" s="98" t="s">
        <v>13</v>
      </c>
      <c r="G1982" s="98" t="s">
        <v>11</v>
      </c>
      <c r="H1982" s="98">
        <v>0</v>
      </c>
      <c r="I1982" s="98">
        <v>0</v>
      </c>
      <c r="K1982" s="98">
        <v>0.44201000000000001</v>
      </c>
      <c r="L1982" s="98">
        <v>139.58000000000001</v>
      </c>
      <c r="M1982" s="98">
        <v>0.43215999999999999</v>
      </c>
      <c r="N1982" s="98">
        <v>139.79</v>
      </c>
      <c r="O1982" s="99" t="s">
        <v>1005</v>
      </c>
    </row>
    <row r="1983" spans="1:15" x14ac:dyDescent="0.25">
      <c r="A1983" s="98" t="s">
        <v>54</v>
      </c>
      <c r="B1983" s="98" t="s">
        <v>46</v>
      </c>
      <c r="C1983" s="98">
        <v>3.3E-3</v>
      </c>
      <c r="D1983" s="98">
        <v>3.3001000000000003E-2</v>
      </c>
      <c r="E1983" s="98">
        <v>1.0000000000000001E-5</v>
      </c>
      <c r="F1983" s="98" t="s">
        <v>13</v>
      </c>
      <c r="G1983" s="98" t="s">
        <v>11</v>
      </c>
      <c r="H1983" s="98">
        <v>0</v>
      </c>
      <c r="I1983" s="98">
        <v>0</v>
      </c>
      <c r="K1983" s="98">
        <v>5.6421999999999999</v>
      </c>
      <c r="L1983" s="98">
        <v>61.543999999999997</v>
      </c>
      <c r="M1983" s="98">
        <v>5.6368999999999998</v>
      </c>
      <c r="N1983" s="98">
        <v>61.47</v>
      </c>
      <c r="O1983" s="99" t="s">
        <v>1006</v>
      </c>
    </row>
    <row r="1984" spans="1:15" x14ac:dyDescent="0.25">
      <c r="A1984" s="98" t="s">
        <v>54</v>
      </c>
      <c r="B1984" s="98" t="s">
        <v>46</v>
      </c>
      <c r="C1984" s="98">
        <v>3.3E-3</v>
      </c>
      <c r="D1984" s="98">
        <v>3.3001000000000003E-2</v>
      </c>
      <c r="E1984" s="98">
        <v>1E-4</v>
      </c>
      <c r="F1984" s="98" t="s">
        <v>13</v>
      </c>
      <c r="G1984" s="98" t="s">
        <v>11</v>
      </c>
      <c r="H1984" s="98">
        <v>0</v>
      </c>
      <c r="I1984" s="98">
        <v>0</v>
      </c>
      <c r="K1984" s="98">
        <v>57.982999999999997</v>
      </c>
      <c r="L1984" s="98">
        <v>7.2053000000000003</v>
      </c>
      <c r="M1984" s="98">
        <v>57.981000000000002</v>
      </c>
      <c r="N1984" s="98">
        <v>7.1429999999999998</v>
      </c>
      <c r="O1984" s="99" t="s">
        <v>1007</v>
      </c>
    </row>
    <row r="1985" spans="1:15" x14ac:dyDescent="0.25">
      <c r="A1985" s="98" t="s">
        <v>54</v>
      </c>
      <c r="B1985" s="98" t="s">
        <v>46</v>
      </c>
      <c r="C1985" s="98">
        <v>3.3E-3</v>
      </c>
      <c r="D1985" s="98">
        <v>3.3001000000000003E-2</v>
      </c>
      <c r="E1985" s="98">
        <v>1E-3</v>
      </c>
      <c r="F1985" s="98" t="s">
        <v>13</v>
      </c>
      <c r="G1985" s="98" t="s">
        <v>11</v>
      </c>
      <c r="H1985" s="98">
        <v>0</v>
      </c>
      <c r="I1985" s="98">
        <v>0</v>
      </c>
      <c r="K1985" s="98">
        <v>580</v>
      </c>
      <c r="L1985" s="98">
        <v>0.74075999999999997</v>
      </c>
      <c r="M1985" s="98">
        <v>580</v>
      </c>
      <c r="N1985" s="98">
        <v>0.71564000000000005</v>
      </c>
      <c r="O1985" s="99" t="s">
        <v>1008</v>
      </c>
    </row>
    <row r="1986" spans="1:15" x14ac:dyDescent="0.25">
      <c r="A1986" s="98" t="s">
        <v>54</v>
      </c>
      <c r="B1986" s="98" t="s">
        <v>46</v>
      </c>
      <c r="C1986" s="98">
        <v>3.3000000000000002E-2</v>
      </c>
      <c r="D1986" s="98">
        <v>0.33001000000000003</v>
      </c>
      <c r="E1986" s="98">
        <v>9.9999999999999995E-7</v>
      </c>
      <c r="F1986" s="98" t="s">
        <v>13</v>
      </c>
      <c r="G1986" s="98" t="s">
        <v>11</v>
      </c>
      <c r="H1986" s="98">
        <v>0</v>
      </c>
      <c r="I1986" s="98">
        <v>0</v>
      </c>
      <c r="K1986" s="98">
        <v>3</v>
      </c>
      <c r="L1986" s="98">
        <v>120</v>
      </c>
      <c r="M1986" s="98">
        <v>2.9413999999999998</v>
      </c>
      <c r="N1986" s="98">
        <v>115.33</v>
      </c>
      <c r="O1986" s="99" t="s">
        <v>1009</v>
      </c>
    </row>
    <row r="1987" spans="1:15" x14ac:dyDescent="0.25">
      <c r="A1987" s="98" t="s">
        <v>54</v>
      </c>
      <c r="B1987" s="98" t="s">
        <v>46</v>
      </c>
      <c r="C1987" s="98">
        <v>3.3000000000000002E-2</v>
      </c>
      <c r="D1987" s="98">
        <v>0.33001000000000003</v>
      </c>
      <c r="E1987" s="98">
        <v>1.0000000000000001E-5</v>
      </c>
      <c r="F1987" s="98" t="s">
        <v>13</v>
      </c>
      <c r="G1987" s="98" t="s">
        <v>11</v>
      </c>
      <c r="H1987" s="98">
        <v>0</v>
      </c>
      <c r="I1987" s="98">
        <v>0</v>
      </c>
      <c r="K1987" s="98">
        <v>5.2853000000000003</v>
      </c>
      <c r="L1987" s="98">
        <v>109.48</v>
      </c>
      <c r="M1987" s="98">
        <v>5.266</v>
      </c>
      <c r="N1987" s="98">
        <v>109.51</v>
      </c>
      <c r="O1987" s="99" t="s">
        <v>1010</v>
      </c>
    </row>
    <row r="1988" spans="1:15" x14ac:dyDescent="0.25">
      <c r="A1988" s="98" t="s">
        <v>54</v>
      </c>
      <c r="B1988" s="98" t="s">
        <v>46</v>
      </c>
      <c r="C1988" s="98">
        <v>3.3000000000000002E-2</v>
      </c>
      <c r="D1988" s="98">
        <v>0.33001000000000003</v>
      </c>
      <c r="E1988" s="98">
        <v>1E-4</v>
      </c>
      <c r="F1988" s="98" t="s">
        <v>13</v>
      </c>
      <c r="G1988" s="98" t="s">
        <v>11</v>
      </c>
      <c r="H1988" s="98">
        <v>0</v>
      </c>
      <c r="I1988" s="98">
        <v>0</v>
      </c>
      <c r="K1988" s="98">
        <v>56.994999999999997</v>
      </c>
      <c r="L1988" s="98">
        <v>42.585000000000001</v>
      </c>
      <c r="M1988" s="98">
        <v>56.984000000000002</v>
      </c>
      <c r="N1988" s="98">
        <v>42.551000000000002</v>
      </c>
      <c r="O1988" s="99" t="s">
        <v>1011</v>
      </c>
    </row>
    <row r="1989" spans="1:15" x14ac:dyDescent="0.25">
      <c r="A1989" s="98" t="s">
        <v>54</v>
      </c>
      <c r="B1989" s="98" t="s">
        <v>46</v>
      </c>
      <c r="C1989" s="98">
        <v>3.3000000000000002E-2</v>
      </c>
      <c r="D1989" s="98">
        <v>0.33001000000000003</v>
      </c>
      <c r="E1989" s="98">
        <v>1E-3</v>
      </c>
      <c r="F1989" s="98" t="s">
        <v>13</v>
      </c>
      <c r="G1989" s="98" t="s">
        <v>11</v>
      </c>
      <c r="H1989" s="98">
        <v>0</v>
      </c>
      <c r="I1989" s="98">
        <v>0</v>
      </c>
      <c r="K1989" s="98">
        <v>579.89</v>
      </c>
      <c r="L1989" s="98">
        <v>4.7610000000000001</v>
      </c>
      <c r="M1989" s="98">
        <v>579.88</v>
      </c>
      <c r="N1989" s="98">
        <v>4.7411000000000003</v>
      </c>
      <c r="O1989" s="99" t="s">
        <v>1012</v>
      </c>
    </row>
    <row r="1990" spans="1:15" x14ac:dyDescent="0.25">
      <c r="A1990" s="98" t="s">
        <v>54</v>
      </c>
      <c r="B1990" s="98" t="s">
        <v>46</v>
      </c>
      <c r="C1990" s="98">
        <v>3.3000000000000002E-2</v>
      </c>
      <c r="D1990" s="98">
        <v>0.33001000000000003</v>
      </c>
      <c r="E1990" s="98">
        <v>0.01</v>
      </c>
      <c r="F1990" s="98" t="s">
        <v>13</v>
      </c>
      <c r="G1990" s="98" t="s">
        <v>11</v>
      </c>
      <c r="H1990" s="98">
        <v>0</v>
      </c>
      <c r="I1990" s="98">
        <v>0</v>
      </c>
      <c r="K1990" s="98">
        <v>5800</v>
      </c>
      <c r="L1990" s="98">
        <v>0.48270000000000002</v>
      </c>
      <c r="M1990" s="98">
        <v>5800</v>
      </c>
      <c r="N1990" s="98">
        <v>0.47471000000000002</v>
      </c>
      <c r="O1990" s="99" t="s">
        <v>1013</v>
      </c>
    </row>
    <row r="1991" spans="1:15" x14ac:dyDescent="0.25">
      <c r="A1991" s="98" t="s">
        <v>54</v>
      </c>
      <c r="B1991" s="98" t="s">
        <v>46</v>
      </c>
      <c r="C1991" s="98">
        <v>0.33</v>
      </c>
      <c r="D1991" s="98">
        <v>3.0001000000000002</v>
      </c>
      <c r="E1991" s="98">
        <v>1.0000000000000001E-5</v>
      </c>
      <c r="F1991" s="98" t="s">
        <v>13</v>
      </c>
      <c r="G1991" s="98" t="s">
        <v>12</v>
      </c>
      <c r="H1991" s="98">
        <v>0</v>
      </c>
      <c r="I1991" s="98">
        <v>0</v>
      </c>
      <c r="K1991" s="98">
        <v>5.1999999999999998E-2</v>
      </c>
      <c r="L1991" s="98">
        <v>0.44</v>
      </c>
      <c r="M1991" s="98">
        <v>5.0999999999999997E-2</v>
      </c>
      <c r="N1991" s="98">
        <v>0.43873000000000001</v>
      </c>
      <c r="O1991" s="99" t="s">
        <v>1014</v>
      </c>
    </row>
    <row r="1992" spans="1:15" x14ac:dyDescent="0.25">
      <c r="A1992" s="98" t="s">
        <v>54</v>
      </c>
      <c r="B1992" s="98" t="s">
        <v>46</v>
      </c>
      <c r="C1992" s="98">
        <v>0.33</v>
      </c>
      <c r="D1992" s="98">
        <v>3.0001000000000002</v>
      </c>
      <c r="E1992" s="98">
        <v>1E-4</v>
      </c>
      <c r="F1992" s="98" t="s">
        <v>13</v>
      </c>
      <c r="G1992" s="98" t="s">
        <v>12</v>
      </c>
      <c r="H1992" s="98">
        <v>0</v>
      </c>
      <c r="I1992" s="98">
        <v>0</v>
      </c>
      <c r="K1992" s="98">
        <v>6.0248999999999997E-2</v>
      </c>
      <c r="L1992" s="98">
        <v>0.43614000000000003</v>
      </c>
      <c r="M1992" s="98">
        <v>6.0204000000000001E-2</v>
      </c>
      <c r="N1992" s="98">
        <v>0.43607000000000001</v>
      </c>
      <c r="O1992" s="99" t="s">
        <v>1015</v>
      </c>
    </row>
    <row r="1993" spans="1:15" x14ac:dyDescent="0.25">
      <c r="A1993" s="98" t="s">
        <v>54</v>
      </c>
      <c r="B1993" s="98" t="s">
        <v>46</v>
      </c>
      <c r="C1993" s="98">
        <v>0.33</v>
      </c>
      <c r="D1993" s="98">
        <v>3.0001000000000002</v>
      </c>
      <c r="E1993" s="98">
        <v>1E-3</v>
      </c>
      <c r="F1993" s="98" t="s">
        <v>13</v>
      </c>
      <c r="G1993" s="98" t="s">
        <v>12</v>
      </c>
      <c r="H1993" s="98">
        <v>0</v>
      </c>
      <c r="I1993" s="98">
        <v>0</v>
      </c>
      <c r="K1993" s="98">
        <v>0.50421000000000005</v>
      </c>
      <c r="L1993" s="98">
        <v>0.32729000000000003</v>
      </c>
      <c r="M1993" s="98">
        <v>0.50424000000000002</v>
      </c>
      <c r="N1993" s="98">
        <v>0.32695999999999997</v>
      </c>
      <c r="O1993" s="99" t="s">
        <v>1016</v>
      </c>
    </row>
    <row r="1994" spans="1:15" x14ac:dyDescent="0.25">
      <c r="A1994" s="98" t="s">
        <v>54</v>
      </c>
      <c r="B1994" s="98" t="s">
        <v>46</v>
      </c>
      <c r="C1994" s="98">
        <v>0.33</v>
      </c>
      <c r="D1994" s="98">
        <v>3.0001000000000002</v>
      </c>
      <c r="E1994" s="98">
        <v>0.01</v>
      </c>
      <c r="F1994" s="98" t="s">
        <v>13</v>
      </c>
      <c r="G1994" s="98" t="s">
        <v>12</v>
      </c>
      <c r="H1994" s="98">
        <v>0</v>
      </c>
      <c r="I1994" s="98">
        <v>0</v>
      </c>
      <c r="K1994" s="98">
        <v>5.7839999999999998</v>
      </c>
      <c r="L1994" s="98">
        <v>5.8643000000000001E-2</v>
      </c>
      <c r="M1994" s="98">
        <v>5.7840999999999996</v>
      </c>
      <c r="N1994" s="98">
        <v>5.8298999999999997E-2</v>
      </c>
      <c r="O1994" s="99" t="s">
        <v>1017</v>
      </c>
    </row>
    <row r="1995" spans="1:15" x14ac:dyDescent="0.25">
      <c r="A1995" s="98" t="s">
        <v>54</v>
      </c>
      <c r="B1995" s="98" t="s">
        <v>46</v>
      </c>
      <c r="C1995" s="98">
        <v>0.33</v>
      </c>
      <c r="D1995" s="98">
        <v>3.0001000000000002</v>
      </c>
      <c r="E1995" s="98">
        <v>0.1</v>
      </c>
      <c r="F1995" s="98" t="s">
        <v>13</v>
      </c>
      <c r="G1995" s="98" t="s">
        <v>12</v>
      </c>
      <c r="H1995" s="98">
        <v>0</v>
      </c>
      <c r="I1995" s="98">
        <v>0</v>
      </c>
      <c r="K1995" s="98">
        <v>57.997999999999998</v>
      </c>
      <c r="L1995" s="98">
        <v>6.0523E-3</v>
      </c>
      <c r="M1995" s="98">
        <v>57.997999999999998</v>
      </c>
      <c r="N1995" s="98">
        <v>5.9106000000000002E-3</v>
      </c>
      <c r="O1995" s="99" t="s">
        <v>1018</v>
      </c>
    </row>
    <row r="1996" spans="1:15" x14ac:dyDescent="0.25">
      <c r="A1996" s="98" t="s">
        <v>54</v>
      </c>
      <c r="B1996" s="98" t="s">
        <v>46</v>
      </c>
      <c r="C1996" s="98">
        <v>3</v>
      </c>
      <c r="D1996" s="98">
        <v>11.000999999999999</v>
      </c>
      <c r="E1996" s="98">
        <v>1E-4</v>
      </c>
      <c r="F1996" s="98" t="s">
        <v>13</v>
      </c>
      <c r="G1996" s="98" t="s">
        <v>12</v>
      </c>
      <c r="H1996" s="98">
        <v>0</v>
      </c>
      <c r="I1996" s="98">
        <v>0</v>
      </c>
      <c r="K1996" s="98">
        <v>-2.4E-2</v>
      </c>
      <c r="L1996" s="98">
        <v>0.92</v>
      </c>
      <c r="M1996" s="98">
        <v>-2.4618999999999999E-2</v>
      </c>
      <c r="N1996" s="98">
        <v>0.91522999999999999</v>
      </c>
      <c r="O1996" s="99" t="s">
        <v>1019</v>
      </c>
    </row>
    <row r="1997" spans="1:15" x14ac:dyDescent="0.25">
      <c r="A1997" s="98" t="s">
        <v>54</v>
      </c>
      <c r="B1997" s="98" t="s">
        <v>46</v>
      </c>
      <c r="C1997" s="98">
        <v>3</v>
      </c>
      <c r="D1997" s="98">
        <v>11.000999999999999</v>
      </c>
      <c r="E1997" s="98">
        <v>1E-3</v>
      </c>
      <c r="F1997" s="98" t="s">
        <v>13</v>
      </c>
      <c r="G1997" s="98" t="s">
        <v>12</v>
      </c>
      <c r="H1997" s="98">
        <v>0</v>
      </c>
      <c r="I1997" s="98">
        <v>0</v>
      </c>
      <c r="K1997" s="98">
        <v>5.5271000000000001E-2</v>
      </c>
      <c r="L1997" s="98">
        <v>0.90973000000000004</v>
      </c>
      <c r="M1997" s="98">
        <v>5.2344000000000002E-2</v>
      </c>
      <c r="N1997" s="98">
        <v>0.90973999999999999</v>
      </c>
      <c r="O1997" s="99" t="s">
        <v>1020</v>
      </c>
    </row>
    <row r="1998" spans="1:15" x14ac:dyDescent="0.25">
      <c r="A1998" s="98" t="s">
        <v>54</v>
      </c>
      <c r="B1998" s="98" t="s">
        <v>46</v>
      </c>
      <c r="C1998" s="98">
        <v>3</v>
      </c>
      <c r="D1998" s="98">
        <v>11.000999999999999</v>
      </c>
      <c r="E1998" s="98">
        <v>0.01</v>
      </c>
      <c r="F1998" s="98" t="s">
        <v>13</v>
      </c>
      <c r="G1998" s="98" t="s">
        <v>12</v>
      </c>
      <c r="H1998" s="98">
        <v>0</v>
      </c>
      <c r="I1998" s="98">
        <v>0</v>
      </c>
      <c r="K1998" s="98">
        <v>4.4629000000000003</v>
      </c>
      <c r="L1998" s="98">
        <v>0.64946999999999999</v>
      </c>
      <c r="M1998" s="98">
        <v>4.4596999999999998</v>
      </c>
      <c r="N1998" s="98">
        <v>0.64886999999999995</v>
      </c>
      <c r="O1998" s="99" t="s">
        <v>1021</v>
      </c>
    </row>
    <row r="1999" spans="1:15" x14ac:dyDescent="0.25">
      <c r="A1999" s="98" t="s">
        <v>54</v>
      </c>
      <c r="B1999" s="98" t="s">
        <v>46</v>
      </c>
      <c r="C1999" s="98">
        <v>3</v>
      </c>
      <c r="D1999" s="98">
        <v>11.000999999999999</v>
      </c>
      <c r="E1999" s="98">
        <v>0.1</v>
      </c>
      <c r="F1999" s="98" t="s">
        <v>13</v>
      </c>
      <c r="G1999" s="98" t="s">
        <v>12</v>
      </c>
      <c r="H1999" s="98">
        <v>0</v>
      </c>
      <c r="I1999" s="98">
        <v>0</v>
      </c>
      <c r="K1999" s="98">
        <v>57.764000000000003</v>
      </c>
      <c r="L1999" s="98">
        <v>0.10059999999999999</v>
      </c>
      <c r="M1999" s="98">
        <v>57.764000000000003</v>
      </c>
      <c r="N1999" s="98">
        <v>9.9908999999999998E-2</v>
      </c>
      <c r="O1999" s="99" t="s">
        <v>1022</v>
      </c>
    </row>
    <row r="2000" spans="1:15" x14ac:dyDescent="0.25">
      <c r="A2000" s="98" t="s">
        <v>54</v>
      </c>
      <c r="B2000" s="98" t="s">
        <v>46</v>
      </c>
      <c r="C2000" s="98">
        <v>11</v>
      </c>
      <c r="D2000" s="98">
        <v>20.5</v>
      </c>
      <c r="E2000" s="98">
        <v>1E-4</v>
      </c>
      <c r="F2000" s="98" t="s">
        <v>13</v>
      </c>
      <c r="G2000" s="98" t="s">
        <v>12</v>
      </c>
      <c r="H2000" s="98">
        <v>0</v>
      </c>
      <c r="I2000" s="98">
        <v>0</v>
      </c>
      <c r="K2000" s="98">
        <v>2.7</v>
      </c>
      <c r="L2000" s="98">
        <v>1.1000000000000001</v>
      </c>
      <c r="M2000" s="98">
        <v>2.6473</v>
      </c>
      <c r="N2000" s="98">
        <v>1.1008</v>
      </c>
      <c r="O2000" s="99" t="s">
        <v>1023</v>
      </c>
    </row>
    <row r="2001" spans="1:15" x14ac:dyDescent="0.25">
      <c r="A2001" s="98" t="s">
        <v>54</v>
      </c>
      <c r="B2001" s="98" t="s">
        <v>46</v>
      </c>
      <c r="C2001" s="98">
        <v>11</v>
      </c>
      <c r="D2001" s="98">
        <v>20.5</v>
      </c>
      <c r="E2001" s="98">
        <v>1E-3</v>
      </c>
      <c r="F2001" s="98" t="s">
        <v>13</v>
      </c>
      <c r="G2001" s="98" t="s">
        <v>12</v>
      </c>
      <c r="H2001" s="98">
        <v>0</v>
      </c>
      <c r="I2001" s="98">
        <v>0</v>
      </c>
      <c r="K2001" s="98">
        <v>2.7</v>
      </c>
      <c r="L2001" s="98">
        <v>1.1006</v>
      </c>
      <c r="M2001" s="98">
        <v>2.6625999999999999</v>
      </c>
      <c r="N2001" s="98">
        <v>1.1004</v>
      </c>
      <c r="O2001" s="99" t="s">
        <v>1024</v>
      </c>
    </row>
    <row r="2002" spans="1:15" x14ac:dyDescent="0.25">
      <c r="A2002" s="98" t="s">
        <v>54</v>
      </c>
      <c r="B2002" s="98" t="s">
        <v>46</v>
      </c>
      <c r="C2002" s="98">
        <v>11</v>
      </c>
      <c r="D2002" s="98">
        <v>20.5</v>
      </c>
      <c r="E2002" s="98">
        <v>0.01</v>
      </c>
      <c r="F2002" s="98" t="s">
        <v>13</v>
      </c>
      <c r="G2002" s="98" t="s">
        <v>12</v>
      </c>
      <c r="H2002" s="98">
        <v>0</v>
      </c>
      <c r="I2002" s="98">
        <v>0</v>
      </c>
      <c r="K2002" s="98">
        <v>4.2515999999999998</v>
      </c>
      <c r="L2002" s="98">
        <v>1.0555000000000001</v>
      </c>
      <c r="M2002" s="98">
        <v>4.2550999999999997</v>
      </c>
      <c r="N2002" s="98">
        <v>1.0545</v>
      </c>
      <c r="O2002" s="99" t="s">
        <v>1025</v>
      </c>
    </row>
    <row r="2003" spans="1:15" x14ac:dyDescent="0.25">
      <c r="A2003" s="98" t="s">
        <v>54</v>
      </c>
      <c r="B2003" s="98" t="s">
        <v>46</v>
      </c>
      <c r="C2003" s="98">
        <v>11</v>
      </c>
      <c r="D2003" s="98">
        <v>20.5</v>
      </c>
      <c r="E2003" s="98">
        <v>0.1</v>
      </c>
      <c r="F2003" s="98" t="s">
        <v>13</v>
      </c>
      <c r="G2003" s="98" t="s">
        <v>12</v>
      </c>
      <c r="H2003" s="98">
        <v>0</v>
      </c>
      <c r="I2003" s="98">
        <v>0</v>
      </c>
      <c r="K2003" s="98">
        <v>55.899000000000001</v>
      </c>
      <c r="L2003" s="98">
        <v>0.35962</v>
      </c>
      <c r="M2003" s="98">
        <v>55.915999999999997</v>
      </c>
      <c r="N2003" s="98">
        <v>0.35746</v>
      </c>
      <c r="O2003" s="99" t="s">
        <v>1026</v>
      </c>
    </row>
    <row r="2004" spans="1:15" x14ac:dyDescent="0.25">
      <c r="A2004" s="98" t="s">
        <v>54</v>
      </c>
      <c r="B2004" s="98" t="s">
        <v>46</v>
      </c>
      <c r="C2004" s="98">
        <v>20.5</v>
      </c>
      <c r="D2004" s="98">
        <v>20.6</v>
      </c>
      <c r="E2004" s="98">
        <v>1E-4</v>
      </c>
      <c r="F2004" s="98" t="s">
        <v>13</v>
      </c>
      <c r="G2004" s="98" t="s">
        <v>12</v>
      </c>
      <c r="H2004" s="98">
        <v>0</v>
      </c>
      <c r="I2004" s="98">
        <v>0</v>
      </c>
      <c r="K2004" s="98">
        <v>2.7</v>
      </c>
      <c r="L2004" s="98">
        <v>1.1000000000000001</v>
      </c>
      <c r="M2004" s="98">
        <v>2.6473</v>
      </c>
      <c r="N2004" s="98">
        <v>1.1008</v>
      </c>
      <c r="O2004" s="99" t="s">
        <v>1027</v>
      </c>
    </row>
    <row r="2005" spans="1:15" x14ac:dyDescent="0.25">
      <c r="A2005" s="98" t="s">
        <v>54</v>
      </c>
      <c r="B2005" s="98" t="s">
        <v>46</v>
      </c>
      <c r="C2005" s="98">
        <v>20.5</v>
      </c>
      <c r="D2005" s="98">
        <v>20.6</v>
      </c>
      <c r="E2005" s="98">
        <v>1E-3</v>
      </c>
      <c r="F2005" s="98" t="s">
        <v>13</v>
      </c>
      <c r="G2005" s="98" t="s">
        <v>12</v>
      </c>
      <c r="H2005" s="98">
        <v>0</v>
      </c>
      <c r="I2005" s="98">
        <v>0</v>
      </c>
      <c r="K2005" s="98">
        <v>2.7</v>
      </c>
      <c r="L2005" s="98">
        <v>1.1006</v>
      </c>
      <c r="M2005" s="98">
        <v>2.6625999999999999</v>
      </c>
      <c r="N2005" s="98">
        <v>1.1004</v>
      </c>
      <c r="O2005" s="99" t="s">
        <v>1028</v>
      </c>
    </row>
    <row r="2006" spans="1:15" x14ac:dyDescent="0.25">
      <c r="A2006" s="98" t="s">
        <v>54</v>
      </c>
      <c r="B2006" s="98" t="s">
        <v>46</v>
      </c>
      <c r="C2006" s="98">
        <v>20.5</v>
      </c>
      <c r="D2006" s="98">
        <v>20.6</v>
      </c>
      <c r="E2006" s="98">
        <v>0.01</v>
      </c>
      <c r="F2006" s="98" t="s">
        <v>13</v>
      </c>
      <c r="G2006" s="98" t="s">
        <v>12</v>
      </c>
      <c r="H2006" s="98">
        <v>0</v>
      </c>
      <c r="I2006" s="98">
        <v>0</v>
      </c>
      <c r="K2006" s="98">
        <v>4.2515999999999998</v>
      </c>
      <c r="L2006" s="98">
        <v>1.0555000000000001</v>
      </c>
      <c r="M2006" s="98">
        <v>4.2550999999999997</v>
      </c>
      <c r="N2006" s="98">
        <v>1.0545</v>
      </c>
      <c r="O2006" s="99" t="s">
        <v>1029</v>
      </c>
    </row>
    <row r="2007" spans="1:15" x14ac:dyDescent="0.25">
      <c r="A2007" s="98" t="s">
        <v>54</v>
      </c>
      <c r="B2007" s="98" t="s">
        <v>46</v>
      </c>
      <c r="C2007" s="98">
        <v>20.5</v>
      </c>
      <c r="D2007" s="98">
        <v>20.6</v>
      </c>
      <c r="E2007" s="98">
        <v>0.1</v>
      </c>
      <c r="F2007" s="98" t="s">
        <v>13</v>
      </c>
      <c r="G2007" s="98" t="s">
        <v>12</v>
      </c>
      <c r="H2007" s="98">
        <v>0</v>
      </c>
      <c r="I2007" s="98">
        <v>0</v>
      </c>
      <c r="K2007" s="98">
        <v>55.899000000000001</v>
      </c>
      <c r="L2007" s="98">
        <v>0.35962</v>
      </c>
      <c r="M2007" s="98">
        <v>55.915999999999997</v>
      </c>
      <c r="N2007" s="98">
        <v>0.35746</v>
      </c>
      <c r="O2007" s="99" t="s">
        <v>1030</v>
      </c>
    </row>
    <row r="2008" spans="1:15" x14ac:dyDescent="0.25">
      <c r="A2008" s="98" t="s">
        <v>54</v>
      </c>
      <c r="B2008" s="98" t="s">
        <v>58</v>
      </c>
      <c r="C2008" s="98">
        <v>1</v>
      </c>
      <c r="D2008" s="98">
        <v>11.000999999999999</v>
      </c>
      <c r="E2008" s="98">
        <v>1E-4</v>
      </c>
      <c r="F2008" s="98" t="s">
        <v>13</v>
      </c>
      <c r="G2008" s="98" t="s">
        <v>12</v>
      </c>
      <c r="H2008" s="98">
        <v>0</v>
      </c>
      <c r="I2008" s="98">
        <v>0</v>
      </c>
      <c r="K2008" s="98">
        <v>8.2000000000000003E-2</v>
      </c>
      <c r="L2008" s="98">
        <v>2</v>
      </c>
      <c r="M2008" s="98">
        <v>8.0875000000000002E-2</v>
      </c>
      <c r="N2008" s="98">
        <v>1.9946999999999999</v>
      </c>
      <c r="O2008" s="99" t="s">
        <v>964</v>
      </c>
    </row>
    <row r="2009" spans="1:15" x14ac:dyDescent="0.25">
      <c r="A2009" s="98" t="s">
        <v>54</v>
      </c>
      <c r="B2009" s="98" t="s">
        <v>58</v>
      </c>
      <c r="C2009" s="98">
        <v>1</v>
      </c>
      <c r="D2009" s="98">
        <v>11.000999999999999</v>
      </c>
      <c r="E2009" s="98">
        <v>1E-3</v>
      </c>
      <c r="F2009" s="98" t="s">
        <v>13</v>
      </c>
      <c r="G2009" s="98" t="s">
        <v>12</v>
      </c>
      <c r="H2009" s="98">
        <v>0</v>
      </c>
      <c r="I2009" s="98">
        <v>0</v>
      </c>
      <c r="K2009" s="98">
        <v>0.16836000000000001</v>
      </c>
      <c r="L2009" s="98">
        <v>1.9875</v>
      </c>
      <c r="M2009" s="98">
        <v>0.16627</v>
      </c>
      <c r="N2009" s="98">
        <v>1.9876</v>
      </c>
      <c r="O2009" s="99" t="s">
        <v>965</v>
      </c>
    </row>
    <row r="2010" spans="1:15" x14ac:dyDescent="0.25">
      <c r="A2010" s="98" t="s">
        <v>54</v>
      </c>
      <c r="B2010" s="98" t="s">
        <v>58</v>
      </c>
      <c r="C2010" s="98">
        <v>1</v>
      </c>
      <c r="D2010" s="98">
        <v>11.000999999999999</v>
      </c>
      <c r="E2010" s="98">
        <v>0.01</v>
      </c>
      <c r="F2010" s="98" t="s">
        <v>13</v>
      </c>
      <c r="G2010" s="98" t="s">
        <v>12</v>
      </c>
      <c r="H2010" s="98">
        <v>0</v>
      </c>
      <c r="I2010" s="98">
        <v>0</v>
      </c>
      <c r="K2010" s="98">
        <v>4.4751000000000003</v>
      </c>
      <c r="L2010" s="98">
        <v>1.6631</v>
      </c>
      <c r="M2010" s="98">
        <v>4.4718</v>
      </c>
      <c r="N2010" s="98">
        <v>1.6632</v>
      </c>
      <c r="O2010" s="99" t="s">
        <v>966</v>
      </c>
    </row>
    <row r="2011" spans="1:15" x14ac:dyDescent="0.25">
      <c r="A2011" s="98" t="s">
        <v>54</v>
      </c>
      <c r="B2011" s="98" t="s">
        <v>58</v>
      </c>
      <c r="C2011" s="98">
        <v>1</v>
      </c>
      <c r="D2011" s="98">
        <v>11.000999999999999</v>
      </c>
      <c r="E2011" s="98">
        <v>0.1</v>
      </c>
      <c r="F2011" s="98" t="s">
        <v>13</v>
      </c>
      <c r="G2011" s="98" t="s">
        <v>12</v>
      </c>
      <c r="H2011" s="98">
        <v>0</v>
      </c>
      <c r="I2011" s="98">
        <v>0</v>
      </c>
      <c r="K2011" s="98">
        <v>57.372</v>
      </c>
      <c r="L2011" s="98">
        <v>0.40227000000000002</v>
      </c>
      <c r="M2011" s="98">
        <v>57.371000000000002</v>
      </c>
      <c r="N2011" s="98">
        <v>0.40201999999999999</v>
      </c>
      <c r="O2011" s="99" t="s">
        <v>967</v>
      </c>
    </row>
    <row r="2012" spans="1:15" x14ac:dyDescent="0.25">
      <c r="A2012" s="98" t="s">
        <v>54</v>
      </c>
      <c r="B2012" s="98" t="s">
        <v>58</v>
      </c>
      <c r="C2012" s="98">
        <v>1</v>
      </c>
      <c r="D2012" s="98">
        <v>11.000999999999999</v>
      </c>
      <c r="E2012" s="98">
        <v>1</v>
      </c>
      <c r="F2012" s="98" t="s">
        <v>13</v>
      </c>
      <c r="G2012" s="98" t="s">
        <v>12</v>
      </c>
      <c r="H2012" s="98">
        <v>0</v>
      </c>
      <c r="I2012" s="98">
        <v>0</v>
      </c>
      <c r="K2012" s="98">
        <v>577.32000000000005</v>
      </c>
      <c r="L2012" s="98">
        <v>4.1721000000000001E-2</v>
      </c>
      <c r="M2012" s="98">
        <v>577.32000000000005</v>
      </c>
      <c r="N2012" s="98">
        <v>4.1612999999999997E-2</v>
      </c>
      <c r="O2012" s="99" t="s">
        <v>968</v>
      </c>
    </row>
    <row r="2013" spans="1:15" x14ac:dyDescent="0.25">
      <c r="A2013" s="98" t="s">
        <v>54</v>
      </c>
      <c r="B2013" s="98" t="s">
        <v>58</v>
      </c>
      <c r="C2013" s="98">
        <v>11</v>
      </c>
      <c r="D2013" s="98">
        <v>30.001000000000001</v>
      </c>
      <c r="E2013" s="98">
        <v>1E-3</v>
      </c>
      <c r="F2013" s="98" t="s">
        <v>13</v>
      </c>
      <c r="G2013" s="98" t="s">
        <v>12</v>
      </c>
      <c r="H2013" s="98">
        <v>0</v>
      </c>
      <c r="I2013" s="98">
        <v>0</v>
      </c>
      <c r="K2013" s="98">
        <v>1.6</v>
      </c>
      <c r="L2013" s="98">
        <v>2</v>
      </c>
      <c r="M2013" s="98">
        <v>0.12764</v>
      </c>
      <c r="N2013" s="98">
        <v>2.0470999999999999</v>
      </c>
      <c r="O2013" s="99" t="s">
        <v>969</v>
      </c>
    </row>
    <row r="2014" spans="1:15" x14ac:dyDescent="0.25">
      <c r="A2014" s="98" t="s">
        <v>54</v>
      </c>
      <c r="B2014" s="98" t="s">
        <v>58</v>
      </c>
      <c r="C2014" s="98">
        <v>11</v>
      </c>
      <c r="D2014" s="98">
        <v>30.001000000000001</v>
      </c>
      <c r="E2014" s="98">
        <v>0.01</v>
      </c>
      <c r="F2014" s="98" t="s">
        <v>13</v>
      </c>
      <c r="G2014" s="98" t="s">
        <v>12</v>
      </c>
      <c r="H2014" s="98">
        <v>0</v>
      </c>
      <c r="I2014" s="98">
        <v>0</v>
      </c>
      <c r="K2014" s="98">
        <v>1.6</v>
      </c>
      <c r="L2014" s="98">
        <v>2.0127000000000002</v>
      </c>
      <c r="M2014" s="98">
        <v>1.1037999999999999</v>
      </c>
      <c r="N2014" s="98">
        <v>2.0234999999999999</v>
      </c>
      <c r="O2014" s="99" t="s">
        <v>970</v>
      </c>
    </row>
    <row r="2015" spans="1:15" x14ac:dyDescent="0.25">
      <c r="A2015" s="98" t="s">
        <v>54</v>
      </c>
      <c r="B2015" s="98" t="s">
        <v>58</v>
      </c>
      <c r="C2015" s="98">
        <v>11</v>
      </c>
      <c r="D2015" s="98">
        <v>30.001000000000001</v>
      </c>
      <c r="E2015" s="98">
        <v>0.1</v>
      </c>
      <c r="F2015" s="98" t="s">
        <v>13</v>
      </c>
      <c r="G2015" s="98" t="s">
        <v>12</v>
      </c>
      <c r="H2015" s="98">
        <v>0</v>
      </c>
      <c r="I2015" s="98">
        <v>0</v>
      </c>
      <c r="K2015" s="98">
        <v>49.094000000000001</v>
      </c>
      <c r="L2015" s="98">
        <v>1.1796</v>
      </c>
      <c r="M2015" s="98">
        <v>49.066000000000003</v>
      </c>
      <c r="N2015" s="98">
        <v>1.1772</v>
      </c>
      <c r="O2015" s="99" t="s">
        <v>971</v>
      </c>
    </row>
    <row r="2016" spans="1:15" x14ac:dyDescent="0.25">
      <c r="A2016" s="98" t="s">
        <v>54</v>
      </c>
      <c r="B2016" s="98" t="s">
        <v>58</v>
      </c>
      <c r="C2016" s="98">
        <v>11</v>
      </c>
      <c r="D2016" s="98">
        <v>30.001000000000001</v>
      </c>
      <c r="E2016" s="98">
        <v>1</v>
      </c>
      <c r="F2016" s="98" t="s">
        <v>13</v>
      </c>
      <c r="G2016" s="98" t="s">
        <v>12</v>
      </c>
      <c r="H2016" s="98">
        <v>0</v>
      </c>
      <c r="I2016" s="98">
        <v>0</v>
      </c>
      <c r="K2016" s="98">
        <v>576.16999999999996</v>
      </c>
      <c r="L2016" s="98">
        <v>0.15057999999999999</v>
      </c>
      <c r="M2016" s="98">
        <v>576.16</v>
      </c>
      <c r="N2016" s="98">
        <v>0.14877000000000001</v>
      </c>
      <c r="O2016" s="99" t="s">
        <v>972</v>
      </c>
    </row>
    <row r="2017" spans="1:15" x14ac:dyDescent="0.25">
      <c r="A2017" s="98" t="s">
        <v>54</v>
      </c>
      <c r="B2017" s="98" t="s">
        <v>58</v>
      </c>
      <c r="C2017" s="98">
        <v>11</v>
      </c>
      <c r="D2017" s="98">
        <v>30.001000000000001</v>
      </c>
      <c r="E2017" s="98">
        <v>10</v>
      </c>
      <c r="F2017" s="98" t="s">
        <v>13</v>
      </c>
      <c r="G2017" s="98" t="s">
        <v>12</v>
      </c>
      <c r="H2017" s="98">
        <v>0</v>
      </c>
      <c r="I2017" s="98">
        <v>0</v>
      </c>
      <c r="K2017" s="98">
        <v>5773.4</v>
      </c>
      <c r="L2017" s="98">
        <v>1.5656E-2</v>
      </c>
      <c r="M2017" s="98">
        <v>5773.4</v>
      </c>
      <c r="N2017" s="98">
        <v>1.4925000000000001E-2</v>
      </c>
      <c r="O2017" s="99" t="s">
        <v>973</v>
      </c>
    </row>
    <row r="2018" spans="1:15" x14ac:dyDescent="0.25">
      <c r="A2018" s="98" t="s">
        <v>54</v>
      </c>
      <c r="B2018" s="98" t="s">
        <v>58</v>
      </c>
      <c r="C2018" s="98">
        <v>11</v>
      </c>
      <c r="D2018" s="98">
        <v>30.001000000000001</v>
      </c>
      <c r="E2018" s="98">
        <v>100</v>
      </c>
      <c r="F2018" s="98" t="s">
        <v>13</v>
      </c>
      <c r="G2018" s="98" t="s">
        <v>12</v>
      </c>
      <c r="H2018" s="98">
        <v>0</v>
      </c>
      <c r="I2018" s="98">
        <v>0</v>
      </c>
      <c r="K2018" s="98">
        <v>57736</v>
      </c>
      <c r="L2018" s="98">
        <v>1.7851E-3</v>
      </c>
      <c r="M2018" s="98">
        <v>57735</v>
      </c>
      <c r="N2018" s="98">
        <v>1.4924999999999999E-3</v>
      </c>
      <c r="O2018" s="99" t="s">
        <v>974</v>
      </c>
    </row>
    <row r="2019" spans="1:15" x14ac:dyDescent="0.25">
      <c r="A2019" s="98" t="s">
        <v>54</v>
      </c>
      <c r="B2019" s="98" t="s">
        <v>58</v>
      </c>
      <c r="C2019" s="98">
        <v>30</v>
      </c>
      <c r="D2019" s="98">
        <v>110.01</v>
      </c>
      <c r="E2019" s="98">
        <v>0.01</v>
      </c>
      <c r="F2019" s="98" t="s">
        <v>13</v>
      </c>
      <c r="G2019" s="98" t="s">
        <v>12</v>
      </c>
      <c r="H2019" s="98">
        <v>0</v>
      </c>
      <c r="I2019" s="98">
        <v>0</v>
      </c>
      <c r="K2019" s="98">
        <v>4</v>
      </c>
      <c r="L2019" s="98">
        <v>2.1</v>
      </c>
      <c r="M2019" s="98">
        <v>2.5089999999999999</v>
      </c>
      <c r="N2019" s="98">
        <v>2.1122000000000001</v>
      </c>
      <c r="O2019" s="99" t="s">
        <v>975</v>
      </c>
    </row>
    <row r="2020" spans="1:15" x14ac:dyDescent="0.25">
      <c r="A2020" s="98" t="s">
        <v>54</v>
      </c>
      <c r="B2020" s="98" t="s">
        <v>58</v>
      </c>
      <c r="C2020" s="98">
        <v>30</v>
      </c>
      <c r="D2020" s="98">
        <v>110.01</v>
      </c>
      <c r="E2020" s="98">
        <v>0.1</v>
      </c>
      <c r="F2020" s="98" t="s">
        <v>13</v>
      </c>
      <c r="G2020" s="98" t="s">
        <v>12</v>
      </c>
      <c r="H2020" s="98">
        <v>0</v>
      </c>
      <c r="I2020" s="98">
        <v>0</v>
      </c>
      <c r="K2020" s="98">
        <v>29.550999999999998</v>
      </c>
      <c r="L2020" s="98">
        <v>1.93</v>
      </c>
      <c r="M2020" s="98">
        <v>29.510999999999999</v>
      </c>
      <c r="N2020" s="98">
        <v>1.9297</v>
      </c>
      <c r="O2020" s="99" t="s">
        <v>976</v>
      </c>
    </row>
    <row r="2021" spans="1:15" x14ac:dyDescent="0.25">
      <c r="A2021" s="98" t="s">
        <v>54</v>
      </c>
      <c r="B2021" s="98" t="s">
        <v>58</v>
      </c>
      <c r="C2021" s="98">
        <v>30</v>
      </c>
      <c r="D2021" s="98">
        <v>110.01</v>
      </c>
      <c r="E2021" s="98">
        <v>1</v>
      </c>
      <c r="F2021" s="98" t="s">
        <v>13</v>
      </c>
      <c r="G2021" s="98" t="s">
        <v>12</v>
      </c>
      <c r="H2021" s="98">
        <v>0</v>
      </c>
      <c r="I2021" s="98">
        <v>0</v>
      </c>
      <c r="K2021" s="98">
        <v>565.25</v>
      </c>
      <c r="L2021" s="98">
        <v>0.52854000000000001</v>
      </c>
      <c r="M2021" s="98">
        <v>565.25</v>
      </c>
      <c r="N2021" s="98">
        <v>0.52742999999999995</v>
      </c>
      <c r="O2021" s="99" t="s">
        <v>977</v>
      </c>
    </row>
    <row r="2022" spans="1:15" x14ac:dyDescent="0.25">
      <c r="A2022" s="98" t="s">
        <v>54</v>
      </c>
      <c r="B2022" s="98" t="s">
        <v>58</v>
      </c>
      <c r="C2022" s="98">
        <v>30</v>
      </c>
      <c r="D2022" s="98">
        <v>110.01</v>
      </c>
      <c r="E2022" s="98">
        <v>10</v>
      </c>
      <c r="F2022" s="98" t="s">
        <v>13</v>
      </c>
      <c r="G2022" s="98" t="s">
        <v>12</v>
      </c>
      <c r="H2022" s="98">
        <v>0</v>
      </c>
      <c r="I2022" s="98">
        <v>0</v>
      </c>
      <c r="K2022" s="98">
        <v>5772.3</v>
      </c>
      <c r="L2022" s="98">
        <v>5.5474999999999997E-2</v>
      </c>
      <c r="M2022" s="98">
        <v>5772.3</v>
      </c>
      <c r="N2022" s="98">
        <v>5.4984999999999999E-2</v>
      </c>
      <c r="O2022" s="99" t="s">
        <v>978</v>
      </c>
    </row>
    <row r="2023" spans="1:15" x14ac:dyDescent="0.25">
      <c r="A2023" s="98" t="s">
        <v>54</v>
      </c>
      <c r="B2023" s="98" t="s">
        <v>58</v>
      </c>
      <c r="C2023" s="98">
        <v>30</v>
      </c>
      <c r="D2023" s="98">
        <v>110.01</v>
      </c>
      <c r="E2023" s="98">
        <v>100</v>
      </c>
      <c r="F2023" s="98" t="s">
        <v>13</v>
      </c>
      <c r="G2023" s="98" t="s">
        <v>12</v>
      </c>
      <c r="H2023" s="98">
        <v>0</v>
      </c>
      <c r="I2023" s="98">
        <v>0</v>
      </c>
      <c r="K2023" s="98">
        <v>57735</v>
      </c>
      <c r="L2023" s="98">
        <v>5.6968000000000001E-3</v>
      </c>
      <c r="M2023" s="98">
        <v>57735</v>
      </c>
      <c r="N2023" s="98">
        <v>5.5009999999999998E-3</v>
      </c>
      <c r="O2023" s="99" t="s">
        <v>979</v>
      </c>
    </row>
    <row r="2024" spans="1:15" x14ac:dyDescent="0.25">
      <c r="A2024" s="98" t="s">
        <v>54</v>
      </c>
      <c r="B2024" s="98" t="s">
        <v>58</v>
      </c>
      <c r="C2024" s="98">
        <v>110</v>
      </c>
      <c r="D2024" s="98">
        <v>205</v>
      </c>
      <c r="E2024" s="98">
        <v>0.01</v>
      </c>
      <c r="F2024" s="98" t="s">
        <v>13</v>
      </c>
      <c r="G2024" s="98" t="s">
        <v>12</v>
      </c>
      <c r="H2024" s="98">
        <v>0</v>
      </c>
      <c r="I2024" s="98">
        <v>0</v>
      </c>
      <c r="K2024" s="98">
        <v>6.5</v>
      </c>
      <c r="L2024" s="98">
        <v>2.2999999999999998</v>
      </c>
      <c r="M2024" s="98">
        <v>4.5922000000000001</v>
      </c>
      <c r="N2024" s="98">
        <v>2.3086000000000002</v>
      </c>
      <c r="O2024" s="99" t="s">
        <v>980</v>
      </c>
    </row>
    <row r="2025" spans="1:15" x14ac:dyDescent="0.25">
      <c r="A2025" s="98" t="s">
        <v>54</v>
      </c>
      <c r="B2025" s="98" t="s">
        <v>58</v>
      </c>
      <c r="C2025" s="98">
        <v>110</v>
      </c>
      <c r="D2025" s="98">
        <v>205</v>
      </c>
      <c r="E2025" s="98">
        <v>0.1</v>
      </c>
      <c r="F2025" s="98" t="s">
        <v>13</v>
      </c>
      <c r="G2025" s="98" t="s">
        <v>12</v>
      </c>
      <c r="H2025" s="98">
        <v>0</v>
      </c>
      <c r="I2025" s="98">
        <v>0</v>
      </c>
      <c r="K2025" s="98">
        <v>14.301</v>
      </c>
      <c r="L2025" s="98">
        <v>2.2787999999999999</v>
      </c>
      <c r="M2025" s="98">
        <v>14.221</v>
      </c>
      <c r="N2025" s="98">
        <v>2.2784</v>
      </c>
      <c r="O2025" s="99" t="s">
        <v>981</v>
      </c>
    </row>
    <row r="2026" spans="1:15" x14ac:dyDescent="0.25">
      <c r="A2026" s="98" t="s">
        <v>54</v>
      </c>
      <c r="B2026" s="98" t="s">
        <v>58</v>
      </c>
      <c r="C2026" s="98">
        <v>110</v>
      </c>
      <c r="D2026" s="98">
        <v>205</v>
      </c>
      <c r="E2026" s="98">
        <v>1</v>
      </c>
      <c r="F2026" s="98" t="s">
        <v>13</v>
      </c>
      <c r="G2026" s="98" t="s">
        <v>12</v>
      </c>
      <c r="H2026" s="98">
        <v>0</v>
      </c>
      <c r="I2026" s="98">
        <v>0</v>
      </c>
      <c r="K2026" s="98">
        <v>497.21</v>
      </c>
      <c r="L2026" s="98">
        <v>1.2323999999999999</v>
      </c>
      <c r="M2026" s="98">
        <v>497.26</v>
      </c>
      <c r="N2026" s="98">
        <v>1.2301</v>
      </c>
      <c r="O2026" s="99" t="s">
        <v>982</v>
      </c>
    </row>
    <row r="2027" spans="1:15" x14ac:dyDescent="0.25">
      <c r="A2027" s="98" t="s">
        <v>54</v>
      </c>
      <c r="B2027" s="98" t="s">
        <v>58</v>
      </c>
      <c r="C2027" s="98">
        <v>110</v>
      </c>
      <c r="D2027" s="98">
        <v>205</v>
      </c>
      <c r="E2027" s="98">
        <v>10</v>
      </c>
      <c r="F2027" s="98" t="s">
        <v>13</v>
      </c>
      <c r="G2027" s="98" t="s">
        <v>12</v>
      </c>
      <c r="H2027" s="98">
        <v>0</v>
      </c>
      <c r="I2027" s="98">
        <v>0</v>
      </c>
      <c r="K2027" s="98">
        <v>5763.1</v>
      </c>
      <c r="L2027" s="98">
        <v>0.14824000000000001</v>
      </c>
      <c r="M2027" s="98">
        <v>5763.2</v>
      </c>
      <c r="N2027" s="98">
        <v>0.1469</v>
      </c>
      <c r="O2027" s="99" t="s">
        <v>983</v>
      </c>
    </row>
    <row r="2028" spans="1:15" x14ac:dyDescent="0.25">
      <c r="A2028" s="98" t="s">
        <v>54</v>
      </c>
      <c r="B2028" s="98" t="s">
        <v>58</v>
      </c>
      <c r="C2028" s="98">
        <v>110</v>
      </c>
      <c r="D2028" s="98">
        <v>205</v>
      </c>
      <c r="E2028" s="98">
        <v>100</v>
      </c>
      <c r="F2028" s="98" t="s">
        <v>13</v>
      </c>
      <c r="G2028" s="98" t="s">
        <v>12</v>
      </c>
      <c r="H2028" s="98">
        <v>0</v>
      </c>
      <c r="I2028" s="98">
        <v>0</v>
      </c>
      <c r="K2028" s="98">
        <v>57734</v>
      </c>
      <c r="L2028" s="98">
        <v>1.5259999999999999E-2</v>
      </c>
      <c r="M2028" s="98">
        <v>57734</v>
      </c>
      <c r="N2028" s="98">
        <v>1.4722000000000001E-2</v>
      </c>
      <c r="O2028" s="99" t="s">
        <v>984</v>
      </c>
    </row>
    <row r="2029" spans="1:15" x14ac:dyDescent="0.25">
      <c r="A2029" s="98" t="s">
        <v>54</v>
      </c>
      <c r="B2029" s="98" t="s">
        <v>58</v>
      </c>
      <c r="C2029" s="98">
        <v>205</v>
      </c>
      <c r="D2029" s="98">
        <v>206</v>
      </c>
      <c r="E2029" s="98">
        <v>0.01</v>
      </c>
      <c r="F2029" s="98" t="s">
        <v>13</v>
      </c>
      <c r="G2029" s="98" t="s">
        <v>12</v>
      </c>
      <c r="H2029" s="98">
        <v>0</v>
      </c>
      <c r="I2029" s="98">
        <v>0</v>
      </c>
      <c r="K2029" s="98">
        <v>6.5</v>
      </c>
      <c r="L2029" s="98">
        <v>2.2999999999999998</v>
      </c>
      <c r="M2029" s="98">
        <v>4.5922000000000001</v>
      </c>
      <c r="N2029" s="98">
        <v>2.3086000000000002</v>
      </c>
      <c r="O2029" s="99" t="s">
        <v>985</v>
      </c>
    </row>
    <row r="2030" spans="1:15" x14ac:dyDescent="0.25">
      <c r="A2030" s="98" t="s">
        <v>54</v>
      </c>
      <c r="B2030" s="98" t="s">
        <v>58</v>
      </c>
      <c r="C2030" s="98">
        <v>205</v>
      </c>
      <c r="D2030" s="98">
        <v>206</v>
      </c>
      <c r="E2030" s="98">
        <v>0.1</v>
      </c>
      <c r="F2030" s="98" t="s">
        <v>13</v>
      </c>
      <c r="G2030" s="98" t="s">
        <v>12</v>
      </c>
      <c r="H2030" s="98">
        <v>0</v>
      </c>
      <c r="I2030" s="98">
        <v>0</v>
      </c>
      <c r="K2030" s="98">
        <v>14.301</v>
      </c>
      <c r="L2030" s="98">
        <v>2.2787999999999999</v>
      </c>
      <c r="M2030" s="98">
        <v>14.221</v>
      </c>
      <c r="N2030" s="98">
        <v>2.2784</v>
      </c>
      <c r="O2030" s="99" t="s">
        <v>986</v>
      </c>
    </row>
    <row r="2031" spans="1:15" x14ac:dyDescent="0.25">
      <c r="A2031" s="98" t="s">
        <v>54</v>
      </c>
      <c r="B2031" s="98" t="s">
        <v>58</v>
      </c>
      <c r="C2031" s="98">
        <v>205</v>
      </c>
      <c r="D2031" s="98">
        <v>206</v>
      </c>
      <c r="E2031" s="98">
        <v>1</v>
      </c>
      <c r="F2031" s="98" t="s">
        <v>13</v>
      </c>
      <c r="G2031" s="98" t="s">
        <v>12</v>
      </c>
      <c r="H2031" s="98">
        <v>0</v>
      </c>
      <c r="I2031" s="98">
        <v>0</v>
      </c>
      <c r="K2031" s="98">
        <v>497.21</v>
      </c>
      <c r="L2031" s="98">
        <v>1.2323999999999999</v>
      </c>
      <c r="M2031" s="98">
        <v>497.26</v>
      </c>
      <c r="N2031" s="98">
        <v>1.2301</v>
      </c>
      <c r="O2031" s="99" t="s">
        <v>987</v>
      </c>
    </row>
    <row r="2032" spans="1:15" x14ac:dyDescent="0.25">
      <c r="A2032" s="98" t="s">
        <v>54</v>
      </c>
      <c r="B2032" s="98" t="s">
        <v>58</v>
      </c>
      <c r="C2032" s="98">
        <v>205</v>
      </c>
      <c r="D2032" s="98">
        <v>206</v>
      </c>
      <c r="E2032" s="98">
        <v>10</v>
      </c>
      <c r="F2032" s="98" t="s">
        <v>13</v>
      </c>
      <c r="G2032" s="98" t="s">
        <v>12</v>
      </c>
      <c r="H2032" s="98">
        <v>0</v>
      </c>
      <c r="I2032" s="98">
        <v>0</v>
      </c>
      <c r="K2032" s="98">
        <v>5763.1</v>
      </c>
      <c r="L2032" s="98">
        <v>0.14824000000000001</v>
      </c>
      <c r="M2032" s="98">
        <v>5763.2</v>
      </c>
      <c r="N2032" s="98">
        <v>0.1469</v>
      </c>
      <c r="O2032" s="99" t="s">
        <v>988</v>
      </c>
    </row>
    <row r="2033" spans="1:15" x14ac:dyDescent="0.25">
      <c r="A2033" s="98" t="s">
        <v>54</v>
      </c>
      <c r="B2033" s="98" t="s">
        <v>58</v>
      </c>
      <c r="C2033" s="98">
        <v>205</v>
      </c>
      <c r="D2033" s="98">
        <v>206</v>
      </c>
      <c r="E2033" s="98">
        <v>100</v>
      </c>
      <c r="F2033" s="98" t="s">
        <v>13</v>
      </c>
      <c r="G2033" s="98" t="s">
        <v>12</v>
      </c>
      <c r="H2033" s="98">
        <v>0</v>
      </c>
      <c r="I2033" s="98">
        <v>0</v>
      </c>
      <c r="K2033" s="98">
        <v>57734</v>
      </c>
      <c r="L2033" s="98">
        <v>1.5259999999999999E-2</v>
      </c>
      <c r="M2033" s="98">
        <v>57734</v>
      </c>
      <c r="N2033" s="98">
        <v>1.4722000000000001E-2</v>
      </c>
      <c r="O2033" s="99" t="s">
        <v>989</v>
      </c>
    </row>
    <row r="2034" spans="1:15" x14ac:dyDescent="0.25">
      <c r="A2034" s="98" t="s">
        <v>54</v>
      </c>
      <c r="B2034" s="98" t="s">
        <v>59</v>
      </c>
      <c r="C2034" s="98">
        <v>20</v>
      </c>
      <c r="D2034" s="98">
        <v>60.01</v>
      </c>
      <c r="E2034" s="98">
        <v>1E-3</v>
      </c>
      <c r="F2034" s="98" t="s">
        <v>13</v>
      </c>
      <c r="G2034" s="98" t="s">
        <v>12</v>
      </c>
      <c r="H2034" s="98">
        <v>0</v>
      </c>
      <c r="I2034" s="98">
        <v>0</v>
      </c>
      <c r="K2034" s="98">
        <v>3.9</v>
      </c>
      <c r="L2034" s="98">
        <v>2.1</v>
      </c>
      <c r="M2034" s="98">
        <v>0.23927999999999999</v>
      </c>
      <c r="N2034" s="98">
        <v>2.0472999999999999</v>
      </c>
      <c r="O2034" s="99" t="s">
        <v>942</v>
      </c>
    </row>
    <row r="2035" spans="1:15" x14ac:dyDescent="0.25">
      <c r="A2035" s="98" t="s">
        <v>54</v>
      </c>
      <c r="B2035" s="98" t="s">
        <v>59</v>
      </c>
      <c r="C2035" s="98">
        <v>20</v>
      </c>
      <c r="D2035" s="98">
        <v>60.01</v>
      </c>
      <c r="E2035" s="98">
        <v>0.01</v>
      </c>
      <c r="F2035" s="98" t="s">
        <v>13</v>
      </c>
      <c r="G2035" s="98" t="s">
        <v>12</v>
      </c>
      <c r="H2035" s="98">
        <v>0</v>
      </c>
      <c r="I2035" s="98">
        <v>0</v>
      </c>
      <c r="K2035" s="98">
        <v>3.9</v>
      </c>
      <c r="L2035" s="98">
        <v>2.1</v>
      </c>
      <c r="M2035" s="98">
        <v>0.76998</v>
      </c>
      <c r="N2035" s="98">
        <v>2.0407000000000002</v>
      </c>
      <c r="O2035" s="99" t="s">
        <v>943</v>
      </c>
    </row>
    <row r="2036" spans="1:15" x14ac:dyDescent="0.25">
      <c r="A2036" s="98" t="s">
        <v>54</v>
      </c>
      <c r="B2036" s="98" t="s">
        <v>59</v>
      </c>
      <c r="C2036" s="98">
        <v>20</v>
      </c>
      <c r="D2036" s="98">
        <v>60.01</v>
      </c>
      <c r="E2036" s="98">
        <v>0.1</v>
      </c>
      <c r="F2036" s="98" t="s">
        <v>13</v>
      </c>
      <c r="G2036" s="98" t="s">
        <v>12</v>
      </c>
      <c r="H2036" s="98">
        <v>0</v>
      </c>
      <c r="I2036" s="98">
        <v>0</v>
      </c>
      <c r="K2036" s="98">
        <v>38.447000000000003</v>
      </c>
      <c r="L2036" s="98">
        <v>1.6259999999999999</v>
      </c>
      <c r="M2036" s="98">
        <v>38.404000000000003</v>
      </c>
      <c r="N2036" s="98">
        <v>1.6256999999999999</v>
      </c>
      <c r="O2036" s="99" t="s">
        <v>944</v>
      </c>
    </row>
    <row r="2037" spans="1:15" x14ac:dyDescent="0.25">
      <c r="A2037" s="98" t="s">
        <v>54</v>
      </c>
      <c r="B2037" s="98" t="s">
        <v>59</v>
      </c>
      <c r="C2037" s="98">
        <v>20</v>
      </c>
      <c r="D2037" s="98">
        <v>60.01</v>
      </c>
      <c r="E2037" s="98">
        <v>1</v>
      </c>
      <c r="F2037" s="98" t="s">
        <v>13</v>
      </c>
      <c r="G2037" s="98" t="s">
        <v>12</v>
      </c>
      <c r="H2037" s="98">
        <v>0</v>
      </c>
      <c r="I2037" s="98">
        <v>0</v>
      </c>
      <c r="K2037" s="98">
        <v>573.08000000000004</v>
      </c>
      <c r="L2037" s="98">
        <v>0.28848000000000001</v>
      </c>
      <c r="M2037" s="98">
        <v>573.07000000000005</v>
      </c>
      <c r="N2037" s="98">
        <v>0.28764000000000001</v>
      </c>
      <c r="O2037" s="99" t="s">
        <v>945</v>
      </c>
    </row>
    <row r="2038" spans="1:15" x14ac:dyDescent="0.25">
      <c r="A2038" s="98" t="s">
        <v>54</v>
      </c>
      <c r="B2038" s="98" t="s">
        <v>59</v>
      </c>
      <c r="C2038" s="98">
        <v>20</v>
      </c>
      <c r="D2038" s="98">
        <v>60.01</v>
      </c>
      <c r="E2038" s="98">
        <v>10</v>
      </c>
      <c r="F2038" s="98" t="s">
        <v>13</v>
      </c>
      <c r="G2038" s="98" t="s">
        <v>12</v>
      </c>
      <c r="H2038" s="98">
        <v>0</v>
      </c>
      <c r="I2038" s="98">
        <v>0</v>
      </c>
      <c r="K2038" s="98">
        <v>5773.1</v>
      </c>
      <c r="L2038" s="98">
        <v>2.9468000000000001E-2</v>
      </c>
      <c r="M2038" s="98">
        <v>5773.1</v>
      </c>
      <c r="N2038" s="98">
        <v>2.912E-2</v>
      </c>
      <c r="O2038" s="99" t="s">
        <v>946</v>
      </c>
    </row>
    <row r="2039" spans="1:15" x14ac:dyDescent="0.25">
      <c r="A2039" s="98" t="s">
        <v>54</v>
      </c>
      <c r="B2039" s="98" t="s">
        <v>59</v>
      </c>
      <c r="C2039" s="98">
        <v>20</v>
      </c>
      <c r="D2039" s="98">
        <v>60.01</v>
      </c>
      <c r="E2039" s="98">
        <v>100</v>
      </c>
      <c r="F2039" s="98" t="s">
        <v>13</v>
      </c>
      <c r="G2039" s="98" t="s">
        <v>12</v>
      </c>
      <c r="H2039" s="98">
        <v>0</v>
      </c>
      <c r="I2039" s="98">
        <v>0</v>
      </c>
      <c r="K2039" s="98">
        <v>57735</v>
      </c>
      <c r="L2039" s="98">
        <v>3.0514000000000001E-3</v>
      </c>
      <c r="M2039" s="98">
        <v>57735</v>
      </c>
      <c r="N2039" s="98">
        <v>2.9123999999999999E-3</v>
      </c>
      <c r="O2039" s="99" t="s">
        <v>947</v>
      </c>
    </row>
    <row r="2040" spans="1:15" x14ac:dyDescent="0.25">
      <c r="A2040" s="98" t="s">
        <v>54</v>
      </c>
      <c r="B2040" s="98" t="s">
        <v>59</v>
      </c>
      <c r="C2040" s="98">
        <v>60</v>
      </c>
      <c r="D2040" s="98">
        <v>220.01</v>
      </c>
      <c r="E2040" s="98">
        <v>1E-3</v>
      </c>
      <c r="F2040" s="98" t="s">
        <v>13</v>
      </c>
      <c r="G2040" s="98" t="s">
        <v>12</v>
      </c>
      <c r="H2040" s="98">
        <v>0</v>
      </c>
      <c r="I2040" s="98">
        <v>0</v>
      </c>
      <c r="K2040" s="98">
        <v>19</v>
      </c>
      <c r="L2040" s="98">
        <v>2.2000000000000002</v>
      </c>
      <c r="M2040" s="98">
        <v>4.5221</v>
      </c>
      <c r="N2040" s="98">
        <v>2.1139999999999999</v>
      </c>
      <c r="O2040" s="99" t="s">
        <v>948</v>
      </c>
    </row>
    <row r="2041" spans="1:15" x14ac:dyDescent="0.25">
      <c r="A2041" s="98" t="s">
        <v>54</v>
      </c>
      <c r="B2041" s="98" t="s">
        <v>59</v>
      </c>
      <c r="C2041" s="98">
        <v>60</v>
      </c>
      <c r="D2041" s="98">
        <v>220.01</v>
      </c>
      <c r="E2041" s="98">
        <v>0.01</v>
      </c>
      <c r="F2041" s="98" t="s">
        <v>13</v>
      </c>
      <c r="G2041" s="98" t="s">
        <v>12</v>
      </c>
      <c r="H2041" s="98">
        <v>0</v>
      </c>
      <c r="I2041" s="98">
        <v>0</v>
      </c>
      <c r="K2041" s="98">
        <v>19</v>
      </c>
      <c r="L2041" s="98">
        <v>2.2000000000000002</v>
      </c>
      <c r="M2041" s="98">
        <v>19.725999999999999</v>
      </c>
      <c r="N2041" s="98">
        <v>2.0608</v>
      </c>
      <c r="O2041" s="99" t="s">
        <v>949</v>
      </c>
    </row>
    <row r="2042" spans="1:15" x14ac:dyDescent="0.25">
      <c r="A2042" s="98" t="s">
        <v>54</v>
      </c>
      <c r="B2042" s="98" t="s">
        <v>59</v>
      </c>
      <c r="C2042" s="98">
        <v>60</v>
      </c>
      <c r="D2042" s="98">
        <v>220.01</v>
      </c>
      <c r="E2042" s="98">
        <v>0.1</v>
      </c>
      <c r="F2042" s="98" t="s">
        <v>13</v>
      </c>
      <c r="G2042" s="98" t="s">
        <v>12</v>
      </c>
      <c r="H2042" s="98">
        <v>0</v>
      </c>
      <c r="I2042" s="98">
        <v>0</v>
      </c>
      <c r="K2042" s="98">
        <v>535.04</v>
      </c>
      <c r="L2042" s="98">
        <v>0.95226</v>
      </c>
      <c r="M2042" s="98">
        <v>535.04</v>
      </c>
      <c r="N2042" s="98">
        <v>0.95071000000000006</v>
      </c>
      <c r="O2042" s="99" t="s">
        <v>950</v>
      </c>
    </row>
    <row r="2043" spans="1:15" x14ac:dyDescent="0.25">
      <c r="A2043" s="98" t="s">
        <v>54</v>
      </c>
      <c r="B2043" s="98" t="s">
        <v>59</v>
      </c>
      <c r="C2043" s="98">
        <v>60</v>
      </c>
      <c r="D2043" s="98">
        <v>220.01</v>
      </c>
      <c r="E2043" s="98">
        <v>1</v>
      </c>
      <c r="F2043" s="98" t="s">
        <v>13</v>
      </c>
      <c r="G2043" s="98" t="s">
        <v>12</v>
      </c>
      <c r="H2043" s="98">
        <v>0</v>
      </c>
      <c r="I2043" s="98">
        <v>0</v>
      </c>
      <c r="K2043" s="98">
        <v>5768.4</v>
      </c>
      <c r="L2043" s="98">
        <v>0.11068</v>
      </c>
      <c r="M2043" s="98">
        <v>5768.5</v>
      </c>
      <c r="N2043" s="98">
        <v>0.10982</v>
      </c>
      <c r="O2043" s="99" t="s">
        <v>951</v>
      </c>
    </row>
    <row r="2044" spans="1:15" x14ac:dyDescent="0.25">
      <c r="A2044" s="98" t="s">
        <v>54</v>
      </c>
      <c r="B2044" s="98" t="s">
        <v>59</v>
      </c>
      <c r="C2044" s="98">
        <v>60</v>
      </c>
      <c r="D2044" s="98">
        <v>220.01</v>
      </c>
      <c r="E2044" s="98">
        <v>10</v>
      </c>
      <c r="F2044" s="98" t="s">
        <v>13</v>
      </c>
      <c r="G2044" s="98" t="s">
        <v>12</v>
      </c>
      <c r="H2044" s="98">
        <v>0</v>
      </c>
      <c r="I2044" s="98">
        <v>0</v>
      </c>
      <c r="K2044" s="98">
        <v>57735</v>
      </c>
      <c r="L2044" s="98">
        <v>1.1346999999999999E-2</v>
      </c>
      <c r="M2044" s="98">
        <v>57735</v>
      </c>
      <c r="N2044" s="98">
        <v>1.1002E-2</v>
      </c>
      <c r="O2044" s="99" t="s">
        <v>952</v>
      </c>
    </row>
    <row r="2045" spans="1:15" x14ac:dyDescent="0.25">
      <c r="A2045" s="98" t="s">
        <v>54</v>
      </c>
      <c r="B2045" s="98" t="s">
        <v>59</v>
      </c>
      <c r="C2045" s="98">
        <v>60</v>
      </c>
      <c r="D2045" s="98">
        <v>220.01</v>
      </c>
      <c r="E2045" s="98">
        <v>100</v>
      </c>
      <c r="F2045" s="98" t="s">
        <v>13</v>
      </c>
      <c r="G2045" s="98" t="s">
        <v>12</v>
      </c>
      <c r="H2045" s="98">
        <v>0</v>
      </c>
      <c r="I2045" s="98">
        <v>0</v>
      </c>
      <c r="K2045" s="98">
        <v>577360</v>
      </c>
      <c r="L2045" s="98">
        <v>1.2382000000000001E-3</v>
      </c>
      <c r="M2045" s="98">
        <v>577350</v>
      </c>
      <c r="N2045" s="98">
        <v>1.1002E-3</v>
      </c>
      <c r="O2045" s="99" t="s">
        <v>953</v>
      </c>
    </row>
    <row r="2046" spans="1:15" x14ac:dyDescent="0.25">
      <c r="A2046" s="98" t="s">
        <v>54</v>
      </c>
      <c r="B2046" s="98" t="s">
        <v>59</v>
      </c>
      <c r="C2046" s="98">
        <v>220</v>
      </c>
      <c r="D2046" s="98">
        <v>410</v>
      </c>
      <c r="E2046" s="98">
        <v>0.01</v>
      </c>
      <c r="F2046" s="98" t="s">
        <v>13</v>
      </c>
      <c r="G2046" s="98" t="s">
        <v>12</v>
      </c>
      <c r="H2046" s="98">
        <v>0</v>
      </c>
      <c r="I2046" s="98">
        <v>0</v>
      </c>
      <c r="K2046" s="98">
        <v>13</v>
      </c>
      <c r="L2046" s="98">
        <v>2.2999999999999998</v>
      </c>
      <c r="M2046" s="98">
        <v>9.0436999999999994</v>
      </c>
      <c r="N2046" s="98">
        <v>2.3088000000000002</v>
      </c>
      <c r="O2046" s="99" t="s">
        <v>954</v>
      </c>
    </row>
    <row r="2047" spans="1:15" x14ac:dyDescent="0.25">
      <c r="A2047" s="98" t="s">
        <v>54</v>
      </c>
      <c r="B2047" s="98" t="s">
        <v>59</v>
      </c>
      <c r="C2047" s="98">
        <v>220</v>
      </c>
      <c r="D2047" s="98">
        <v>410</v>
      </c>
      <c r="E2047" s="98">
        <v>0.1</v>
      </c>
      <c r="F2047" s="98" t="s">
        <v>13</v>
      </c>
      <c r="G2047" s="98" t="s">
        <v>12</v>
      </c>
      <c r="H2047" s="98">
        <v>0</v>
      </c>
      <c r="I2047" s="98">
        <v>0</v>
      </c>
      <c r="K2047" s="98">
        <v>13.978</v>
      </c>
      <c r="L2047" s="98">
        <v>2.3014000000000001</v>
      </c>
      <c r="M2047" s="98">
        <v>13.925000000000001</v>
      </c>
      <c r="N2047" s="98">
        <v>2.3010999999999999</v>
      </c>
      <c r="O2047" s="99" t="s">
        <v>955</v>
      </c>
    </row>
    <row r="2048" spans="1:15" x14ac:dyDescent="0.25">
      <c r="A2048" s="98" t="s">
        <v>54</v>
      </c>
      <c r="B2048" s="98" t="s">
        <v>59</v>
      </c>
      <c r="C2048" s="98">
        <v>220</v>
      </c>
      <c r="D2048" s="98">
        <v>410</v>
      </c>
      <c r="E2048" s="98">
        <v>1</v>
      </c>
      <c r="F2048" s="98" t="s">
        <v>13</v>
      </c>
      <c r="G2048" s="98" t="s">
        <v>12</v>
      </c>
      <c r="H2048" s="98">
        <v>0</v>
      </c>
      <c r="I2048" s="98">
        <v>0</v>
      </c>
      <c r="K2048" s="98">
        <v>379.54</v>
      </c>
      <c r="L2048" s="98">
        <v>1.7988999999999999</v>
      </c>
      <c r="M2048" s="98">
        <v>379.5</v>
      </c>
      <c r="N2048" s="98">
        <v>1.7976000000000001</v>
      </c>
      <c r="O2048" s="99" t="s">
        <v>956</v>
      </c>
    </row>
    <row r="2049" spans="1:15" x14ac:dyDescent="0.25">
      <c r="A2049" s="98" t="s">
        <v>54</v>
      </c>
      <c r="B2049" s="98" t="s">
        <v>59</v>
      </c>
      <c r="C2049" s="98">
        <v>220</v>
      </c>
      <c r="D2049" s="98">
        <v>410</v>
      </c>
      <c r="E2049" s="98">
        <v>10</v>
      </c>
      <c r="F2049" s="98" t="s">
        <v>13</v>
      </c>
      <c r="G2049" s="98" t="s">
        <v>12</v>
      </c>
      <c r="H2049" s="98">
        <v>0</v>
      </c>
      <c r="I2049" s="98">
        <v>0</v>
      </c>
      <c r="K2049" s="98">
        <v>5732.3</v>
      </c>
      <c r="L2049" s="98">
        <v>0.29332000000000003</v>
      </c>
      <c r="M2049" s="98">
        <v>5732.4</v>
      </c>
      <c r="N2049" s="98">
        <v>0.29187999999999997</v>
      </c>
      <c r="O2049" s="99" t="s">
        <v>957</v>
      </c>
    </row>
    <row r="2050" spans="1:15" x14ac:dyDescent="0.25">
      <c r="A2050" s="98" t="s">
        <v>54</v>
      </c>
      <c r="B2050" s="98" t="s">
        <v>59</v>
      </c>
      <c r="C2050" s="98">
        <v>220</v>
      </c>
      <c r="D2050" s="98">
        <v>410</v>
      </c>
      <c r="E2050" s="98">
        <v>100</v>
      </c>
      <c r="F2050" s="98" t="s">
        <v>13</v>
      </c>
      <c r="G2050" s="98" t="s">
        <v>12</v>
      </c>
      <c r="H2050" s="98">
        <v>0</v>
      </c>
      <c r="I2050" s="98">
        <v>0</v>
      </c>
      <c r="K2050" s="98">
        <v>57731</v>
      </c>
      <c r="L2050" s="98">
        <v>3.0030000000000001E-2</v>
      </c>
      <c r="M2050" s="98">
        <v>57731</v>
      </c>
      <c r="N2050" s="98">
        <v>2.9441999999999999E-2</v>
      </c>
      <c r="O2050" s="99" t="s">
        <v>958</v>
      </c>
    </row>
    <row r="2051" spans="1:15" x14ac:dyDescent="0.25">
      <c r="A2051" s="98" t="s">
        <v>54</v>
      </c>
      <c r="B2051" s="98" t="s">
        <v>59</v>
      </c>
      <c r="C2051" s="98">
        <v>410</v>
      </c>
      <c r="D2051" s="98">
        <v>411</v>
      </c>
      <c r="E2051" s="98">
        <v>0.01</v>
      </c>
      <c r="F2051" s="98" t="s">
        <v>13</v>
      </c>
      <c r="G2051" s="98" t="s">
        <v>12</v>
      </c>
      <c r="H2051" s="98">
        <v>0</v>
      </c>
      <c r="I2051" s="98">
        <v>0</v>
      </c>
      <c r="K2051" s="98">
        <v>13</v>
      </c>
      <c r="L2051" s="98">
        <v>2.2999999999999998</v>
      </c>
      <c r="M2051" s="98">
        <v>9.0436999999999994</v>
      </c>
      <c r="N2051" s="98">
        <v>2.3088000000000002</v>
      </c>
      <c r="O2051" s="99" t="s">
        <v>959</v>
      </c>
    </row>
    <row r="2052" spans="1:15" x14ac:dyDescent="0.25">
      <c r="A2052" s="98" t="s">
        <v>54</v>
      </c>
      <c r="B2052" s="98" t="s">
        <v>59</v>
      </c>
      <c r="C2052" s="98">
        <v>410</v>
      </c>
      <c r="D2052" s="98">
        <v>411</v>
      </c>
      <c r="E2052" s="98">
        <v>0.1</v>
      </c>
      <c r="F2052" s="98" t="s">
        <v>13</v>
      </c>
      <c r="G2052" s="98" t="s">
        <v>12</v>
      </c>
      <c r="H2052" s="98">
        <v>0</v>
      </c>
      <c r="I2052" s="98">
        <v>0</v>
      </c>
      <c r="K2052" s="98">
        <v>13.978</v>
      </c>
      <c r="L2052" s="98">
        <v>2.3014000000000001</v>
      </c>
      <c r="M2052" s="98">
        <v>13.925000000000001</v>
      </c>
      <c r="N2052" s="98">
        <v>2.3010999999999999</v>
      </c>
      <c r="O2052" s="99" t="s">
        <v>960</v>
      </c>
    </row>
    <row r="2053" spans="1:15" x14ac:dyDescent="0.25">
      <c r="A2053" s="98" t="s">
        <v>54</v>
      </c>
      <c r="B2053" s="98" t="s">
        <v>59</v>
      </c>
      <c r="C2053" s="98">
        <v>410</v>
      </c>
      <c r="D2053" s="98">
        <v>411</v>
      </c>
      <c r="E2053" s="98">
        <v>1</v>
      </c>
      <c r="F2053" s="98" t="s">
        <v>13</v>
      </c>
      <c r="G2053" s="98" t="s">
        <v>12</v>
      </c>
      <c r="H2053" s="98">
        <v>0</v>
      </c>
      <c r="I2053" s="98">
        <v>0</v>
      </c>
      <c r="K2053" s="98">
        <v>379.54</v>
      </c>
      <c r="L2053" s="98">
        <v>1.7988999999999999</v>
      </c>
      <c r="M2053" s="98">
        <v>379.5</v>
      </c>
      <c r="N2053" s="98">
        <v>1.7976000000000001</v>
      </c>
      <c r="O2053" s="99" t="s">
        <v>961</v>
      </c>
    </row>
    <row r="2054" spans="1:15" x14ac:dyDescent="0.25">
      <c r="A2054" s="98" t="s">
        <v>54</v>
      </c>
      <c r="B2054" s="98" t="s">
        <v>59</v>
      </c>
      <c r="C2054" s="98">
        <v>410</v>
      </c>
      <c r="D2054" s="98">
        <v>411</v>
      </c>
      <c r="E2054" s="98">
        <v>10</v>
      </c>
      <c r="F2054" s="98" t="s">
        <v>13</v>
      </c>
      <c r="G2054" s="98" t="s">
        <v>12</v>
      </c>
      <c r="H2054" s="98">
        <v>0</v>
      </c>
      <c r="I2054" s="98">
        <v>0</v>
      </c>
      <c r="K2054" s="98">
        <v>5732.3</v>
      </c>
      <c r="L2054" s="98">
        <v>0.29332000000000003</v>
      </c>
      <c r="M2054" s="98">
        <v>5732.4</v>
      </c>
      <c r="N2054" s="98">
        <v>0.29187999999999997</v>
      </c>
      <c r="O2054" s="99" t="s">
        <v>962</v>
      </c>
    </row>
    <row r="2055" spans="1:15" x14ac:dyDescent="0.25">
      <c r="A2055" s="98" t="s">
        <v>54</v>
      </c>
      <c r="B2055" s="98" t="s">
        <v>59</v>
      </c>
      <c r="C2055" s="98">
        <v>410</v>
      </c>
      <c r="D2055" s="98">
        <v>411</v>
      </c>
      <c r="E2055" s="98">
        <v>100</v>
      </c>
      <c r="F2055" s="98" t="s">
        <v>13</v>
      </c>
      <c r="G2055" s="98" t="s">
        <v>12</v>
      </c>
      <c r="H2055" s="98">
        <v>0</v>
      </c>
      <c r="I2055" s="98">
        <v>0</v>
      </c>
      <c r="K2055" s="98">
        <v>57731</v>
      </c>
      <c r="L2055" s="98">
        <v>3.0030000000000001E-2</v>
      </c>
      <c r="M2055" s="98">
        <v>57731</v>
      </c>
      <c r="N2055" s="98">
        <v>2.9441999999999999E-2</v>
      </c>
      <c r="O2055" s="99" t="s">
        <v>963</v>
      </c>
    </row>
    <row r="2056" spans="1:15" x14ac:dyDescent="0.25">
      <c r="A2056" s="98" t="s">
        <v>54</v>
      </c>
      <c r="B2056" s="98" t="s">
        <v>60</v>
      </c>
      <c r="C2056" s="98">
        <v>55</v>
      </c>
      <c r="D2056" s="98">
        <v>150.01</v>
      </c>
      <c r="E2056" s="98">
        <v>1E-3</v>
      </c>
      <c r="F2056" s="98" t="s">
        <v>13</v>
      </c>
      <c r="G2056" s="98" t="s">
        <v>12</v>
      </c>
      <c r="H2056" s="98">
        <v>0</v>
      </c>
      <c r="I2056" s="98">
        <v>0</v>
      </c>
      <c r="K2056" s="98">
        <v>7.7</v>
      </c>
      <c r="L2056" s="98">
        <v>2</v>
      </c>
      <c r="M2056" s="98">
        <v>0.58265</v>
      </c>
      <c r="N2056" s="98">
        <v>2.0474000000000001</v>
      </c>
      <c r="O2056" s="99" t="s">
        <v>921</v>
      </c>
    </row>
    <row r="2057" spans="1:15" x14ac:dyDescent="0.25">
      <c r="A2057" s="98" t="s">
        <v>54</v>
      </c>
      <c r="B2057" s="98" t="s">
        <v>60</v>
      </c>
      <c r="C2057" s="98">
        <v>55</v>
      </c>
      <c r="D2057" s="98">
        <v>150.01</v>
      </c>
      <c r="E2057" s="98">
        <v>0.01</v>
      </c>
      <c r="F2057" s="98" t="s">
        <v>13</v>
      </c>
      <c r="G2057" s="98" t="s">
        <v>12</v>
      </c>
      <c r="H2057" s="98">
        <v>0</v>
      </c>
      <c r="I2057" s="98">
        <v>0</v>
      </c>
      <c r="K2057" s="98">
        <v>7.7</v>
      </c>
      <c r="L2057" s="98">
        <v>2.0005999999999999</v>
      </c>
      <c r="M2057" s="98">
        <v>0.78383999999999998</v>
      </c>
      <c r="N2057" s="98">
        <v>2.0464000000000002</v>
      </c>
      <c r="O2057" s="99" t="s">
        <v>922</v>
      </c>
    </row>
    <row r="2058" spans="1:15" x14ac:dyDescent="0.25">
      <c r="A2058" s="98" t="s">
        <v>54</v>
      </c>
      <c r="B2058" s="98" t="s">
        <v>60</v>
      </c>
      <c r="C2058" s="98">
        <v>55</v>
      </c>
      <c r="D2058" s="98">
        <v>150.01</v>
      </c>
      <c r="E2058" s="98">
        <v>0.1</v>
      </c>
      <c r="F2058" s="98" t="s">
        <v>13</v>
      </c>
      <c r="G2058" s="98" t="s">
        <v>12</v>
      </c>
      <c r="H2058" s="98">
        <v>0</v>
      </c>
      <c r="I2058" s="98">
        <v>0</v>
      </c>
      <c r="K2058" s="98">
        <v>19.451000000000001</v>
      </c>
      <c r="L2058" s="98">
        <v>1.9578</v>
      </c>
      <c r="M2058" s="98">
        <v>19.379000000000001</v>
      </c>
      <c r="N2058" s="98">
        <v>1.9579</v>
      </c>
      <c r="O2058" s="99" t="s">
        <v>923</v>
      </c>
    </row>
    <row r="2059" spans="1:15" x14ac:dyDescent="0.25">
      <c r="A2059" s="98" t="s">
        <v>54</v>
      </c>
      <c r="B2059" s="98" t="s">
        <v>60</v>
      </c>
      <c r="C2059" s="98">
        <v>55</v>
      </c>
      <c r="D2059" s="98">
        <v>150.01</v>
      </c>
      <c r="E2059" s="98">
        <v>1</v>
      </c>
      <c r="F2059" s="98" t="s">
        <v>13</v>
      </c>
      <c r="G2059" s="98" t="s">
        <v>12</v>
      </c>
      <c r="H2059" s="98">
        <v>0</v>
      </c>
      <c r="I2059" s="98">
        <v>0</v>
      </c>
      <c r="K2059" s="98">
        <v>550.23</v>
      </c>
      <c r="L2059" s="98">
        <v>0.69408000000000003</v>
      </c>
      <c r="M2059" s="98">
        <v>550.20000000000005</v>
      </c>
      <c r="N2059" s="98">
        <v>0.69349000000000005</v>
      </c>
      <c r="O2059" s="99" t="s">
        <v>924</v>
      </c>
    </row>
    <row r="2060" spans="1:15" x14ac:dyDescent="0.25">
      <c r="A2060" s="98" t="s">
        <v>54</v>
      </c>
      <c r="B2060" s="98" t="s">
        <v>60</v>
      </c>
      <c r="C2060" s="98">
        <v>55</v>
      </c>
      <c r="D2060" s="98">
        <v>150.01</v>
      </c>
      <c r="E2060" s="98">
        <v>10</v>
      </c>
      <c r="F2060" s="98" t="s">
        <v>13</v>
      </c>
      <c r="G2060" s="98" t="s">
        <v>12</v>
      </c>
      <c r="H2060" s="98">
        <v>0</v>
      </c>
      <c r="I2060" s="98">
        <v>0</v>
      </c>
      <c r="K2060" s="98">
        <v>5770.6</v>
      </c>
      <c r="L2060" s="98">
        <v>7.4861999999999998E-2</v>
      </c>
      <c r="M2060" s="98">
        <v>5770.6</v>
      </c>
      <c r="N2060" s="98">
        <v>7.4565000000000006E-2</v>
      </c>
      <c r="O2060" s="99" t="s">
        <v>925</v>
      </c>
    </row>
    <row r="2061" spans="1:15" x14ac:dyDescent="0.25">
      <c r="A2061" s="98" t="s">
        <v>54</v>
      </c>
      <c r="B2061" s="98" t="s">
        <v>60</v>
      </c>
      <c r="C2061" s="98">
        <v>55</v>
      </c>
      <c r="D2061" s="98">
        <v>150.01</v>
      </c>
      <c r="E2061" s="98">
        <v>100</v>
      </c>
      <c r="F2061" s="98" t="s">
        <v>13</v>
      </c>
      <c r="G2061" s="98" t="s">
        <v>12</v>
      </c>
      <c r="H2061" s="98">
        <v>0</v>
      </c>
      <c r="I2061" s="98">
        <v>0</v>
      </c>
      <c r="K2061" s="98">
        <v>57735</v>
      </c>
      <c r="L2061" s="98">
        <v>7.5814999999999997E-3</v>
      </c>
      <c r="M2061" s="98">
        <v>57732</v>
      </c>
      <c r="N2061" s="98">
        <v>7.4625000000000004E-3</v>
      </c>
      <c r="O2061" s="99" t="s">
        <v>926</v>
      </c>
    </row>
    <row r="2062" spans="1:15" x14ac:dyDescent="0.25">
      <c r="A2062" s="98" t="s">
        <v>54</v>
      </c>
      <c r="B2062" s="98" t="s">
        <v>60</v>
      </c>
      <c r="C2062" s="98">
        <v>150</v>
      </c>
      <c r="D2062" s="98">
        <v>550.01</v>
      </c>
      <c r="E2062" s="98">
        <v>0.01</v>
      </c>
      <c r="F2062" s="98" t="s">
        <v>13</v>
      </c>
      <c r="G2062" s="98" t="s">
        <v>12</v>
      </c>
      <c r="H2062" s="98">
        <v>0</v>
      </c>
      <c r="I2062" s="98">
        <v>0</v>
      </c>
      <c r="K2062" s="98">
        <v>19</v>
      </c>
      <c r="L2062" s="98">
        <v>2.2000000000000002</v>
      </c>
      <c r="M2062" s="98">
        <v>-17.053000000000001</v>
      </c>
      <c r="N2062" s="98">
        <v>2.1654</v>
      </c>
      <c r="O2062" s="99" t="s">
        <v>927</v>
      </c>
    </row>
    <row r="2063" spans="1:15" x14ac:dyDescent="0.25">
      <c r="A2063" s="98" t="s">
        <v>54</v>
      </c>
      <c r="B2063" s="98" t="s">
        <v>60</v>
      </c>
      <c r="C2063" s="98">
        <v>150</v>
      </c>
      <c r="D2063" s="98">
        <v>550.01</v>
      </c>
      <c r="E2063" s="98">
        <v>0.1</v>
      </c>
      <c r="F2063" s="98" t="s">
        <v>13</v>
      </c>
      <c r="G2063" s="98" t="s">
        <v>12</v>
      </c>
      <c r="H2063" s="98">
        <v>0</v>
      </c>
      <c r="I2063" s="98">
        <v>0</v>
      </c>
      <c r="K2063" s="98">
        <v>19</v>
      </c>
      <c r="L2063" s="98">
        <v>2.2000000000000002</v>
      </c>
      <c r="M2063" s="98">
        <v>-10.260999999999999</v>
      </c>
      <c r="N2063" s="98">
        <v>2.1556000000000002</v>
      </c>
      <c r="O2063" s="99" t="s">
        <v>928</v>
      </c>
    </row>
    <row r="2064" spans="1:15" x14ac:dyDescent="0.25">
      <c r="A2064" s="98" t="s">
        <v>54</v>
      </c>
      <c r="B2064" s="98" t="s">
        <v>60</v>
      </c>
      <c r="C2064" s="98">
        <v>150</v>
      </c>
      <c r="D2064" s="98">
        <v>550.01</v>
      </c>
      <c r="E2064" s="98">
        <v>1</v>
      </c>
      <c r="F2064" s="98" t="s">
        <v>13</v>
      </c>
      <c r="G2064" s="98" t="s">
        <v>12</v>
      </c>
      <c r="H2064" s="98">
        <v>0</v>
      </c>
      <c r="I2064" s="98">
        <v>0</v>
      </c>
      <c r="K2064" s="98">
        <v>409.49</v>
      </c>
      <c r="L2064" s="98">
        <v>1.6356999999999999</v>
      </c>
      <c r="M2064" s="98">
        <v>409.01</v>
      </c>
      <c r="N2064" s="98">
        <v>1.6349</v>
      </c>
      <c r="O2064" s="99" t="s">
        <v>929</v>
      </c>
    </row>
    <row r="2065" spans="1:15" x14ac:dyDescent="0.25">
      <c r="A2065" s="98" t="s">
        <v>54</v>
      </c>
      <c r="B2065" s="98" t="s">
        <v>60</v>
      </c>
      <c r="C2065" s="98">
        <v>150</v>
      </c>
      <c r="D2065" s="98">
        <v>550.01</v>
      </c>
      <c r="E2065" s="98">
        <v>10</v>
      </c>
      <c r="F2065" s="98" t="s">
        <v>13</v>
      </c>
      <c r="G2065" s="98" t="s">
        <v>12</v>
      </c>
      <c r="H2065" s="98">
        <v>0</v>
      </c>
      <c r="I2065" s="98">
        <v>0</v>
      </c>
      <c r="K2065" s="98">
        <v>5740.6</v>
      </c>
      <c r="L2065" s="98">
        <v>0.27617999999999998</v>
      </c>
      <c r="M2065" s="98">
        <v>5740.5</v>
      </c>
      <c r="N2065" s="98">
        <v>0.27484999999999998</v>
      </c>
      <c r="O2065" s="99" t="s">
        <v>930</v>
      </c>
    </row>
    <row r="2066" spans="1:15" x14ac:dyDescent="0.25">
      <c r="A2066" s="98" t="s">
        <v>54</v>
      </c>
      <c r="B2066" s="98" t="s">
        <v>60</v>
      </c>
      <c r="C2066" s="98">
        <v>150</v>
      </c>
      <c r="D2066" s="98">
        <v>550.01</v>
      </c>
      <c r="E2066" s="98">
        <v>100</v>
      </c>
      <c r="F2066" s="98" t="s">
        <v>13</v>
      </c>
      <c r="G2066" s="98" t="s">
        <v>12</v>
      </c>
      <c r="H2066" s="98">
        <v>0</v>
      </c>
      <c r="I2066" s="98">
        <v>0</v>
      </c>
      <c r="K2066" s="98">
        <v>57732</v>
      </c>
      <c r="L2066" s="98">
        <v>2.8329E-2</v>
      </c>
      <c r="M2066" s="98">
        <v>57732</v>
      </c>
      <c r="N2066" s="98">
        <v>2.7782999999999999E-2</v>
      </c>
      <c r="O2066" s="99" t="s">
        <v>931</v>
      </c>
    </row>
    <row r="2067" spans="1:15" x14ac:dyDescent="0.25">
      <c r="A2067" s="98" t="s">
        <v>54</v>
      </c>
      <c r="B2067" s="98" t="s">
        <v>60</v>
      </c>
      <c r="C2067" s="98">
        <v>550</v>
      </c>
      <c r="D2067" s="98">
        <v>1025</v>
      </c>
      <c r="E2067" s="98">
        <v>0.01</v>
      </c>
      <c r="F2067" s="98" t="s">
        <v>13</v>
      </c>
      <c r="G2067" s="98" t="s">
        <v>12</v>
      </c>
      <c r="H2067" s="98">
        <v>0</v>
      </c>
      <c r="I2067" s="98">
        <v>0</v>
      </c>
      <c r="K2067" s="98">
        <v>32</v>
      </c>
      <c r="L2067" s="98">
        <v>2.2999999999999998</v>
      </c>
      <c r="M2067" s="98">
        <v>22.486999999999998</v>
      </c>
      <c r="N2067" s="98">
        <v>2.3089</v>
      </c>
      <c r="O2067" s="99" t="s">
        <v>932</v>
      </c>
    </row>
    <row r="2068" spans="1:15" x14ac:dyDescent="0.25">
      <c r="A2068" s="98" t="s">
        <v>54</v>
      </c>
      <c r="B2068" s="98" t="s">
        <v>60</v>
      </c>
      <c r="C2068" s="98">
        <v>550</v>
      </c>
      <c r="D2068" s="98">
        <v>1025</v>
      </c>
      <c r="E2068" s="98">
        <v>0.1</v>
      </c>
      <c r="F2068" s="98" t="s">
        <v>13</v>
      </c>
      <c r="G2068" s="98" t="s">
        <v>12</v>
      </c>
      <c r="H2068" s="98">
        <v>0</v>
      </c>
      <c r="I2068" s="98">
        <v>0</v>
      </c>
      <c r="K2068" s="98">
        <v>32</v>
      </c>
      <c r="L2068" s="98">
        <v>2.3014000000000001</v>
      </c>
      <c r="M2068" s="98">
        <v>24.491</v>
      </c>
      <c r="N2068" s="98">
        <v>2.3075999999999999</v>
      </c>
      <c r="O2068" s="99" t="s">
        <v>933</v>
      </c>
    </row>
    <row r="2069" spans="1:15" x14ac:dyDescent="0.25">
      <c r="A2069" s="98" t="s">
        <v>54</v>
      </c>
      <c r="B2069" s="98" t="s">
        <v>60</v>
      </c>
      <c r="C2069" s="98">
        <v>550</v>
      </c>
      <c r="D2069" s="98">
        <v>1025</v>
      </c>
      <c r="E2069" s="98">
        <v>1</v>
      </c>
      <c r="F2069" s="98" t="s">
        <v>13</v>
      </c>
      <c r="G2069" s="98" t="s">
        <v>12</v>
      </c>
      <c r="H2069" s="98">
        <v>0</v>
      </c>
      <c r="I2069" s="98">
        <v>0</v>
      </c>
      <c r="K2069" s="98">
        <v>209.6</v>
      </c>
      <c r="L2069" s="98">
        <v>2.1949000000000001</v>
      </c>
      <c r="M2069" s="98">
        <v>208.5</v>
      </c>
      <c r="N2069" s="98">
        <v>2.1945000000000001</v>
      </c>
      <c r="O2069" s="99" t="s">
        <v>934</v>
      </c>
    </row>
    <row r="2070" spans="1:15" x14ac:dyDescent="0.25">
      <c r="A2070" s="98" t="s">
        <v>54</v>
      </c>
      <c r="B2070" s="98" t="s">
        <v>60</v>
      </c>
      <c r="C2070" s="98">
        <v>550</v>
      </c>
      <c r="D2070" s="98">
        <v>1025</v>
      </c>
      <c r="E2070" s="98">
        <v>10</v>
      </c>
      <c r="F2070" s="98" t="s">
        <v>13</v>
      </c>
      <c r="G2070" s="98" t="s">
        <v>12</v>
      </c>
      <c r="H2070" s="98">
        <v>0</v>
      </c>
      <c r="I2070" s="98">
        <v>0</v>
      </c>
      <c r="K2070" s="98">
        <v>5532.1</v>
      </c>
      <c r="L2070" s="98">
        <v>0.70111000000000001</v>
      </c>
      <c r="M2070" s="98">
        <v>5532.1</v>
      </c>
      <c r="N2070" s="98">
        <v>0.69874999999999998</v>
      </c>
      <c r="O2070" s="99" t="s">
        <v>935</v>
      </c>
    </row>
    <row r="2071" spans="1:15" x14ac:dyDescent="0.25">
      <c r="A2071" s="98" t="s">
        <v>54</v>
      </c>
      <c r="B2071" s="98" t="s">
        <v>60</v>
      </c>
      <c r="C2071" s="98">
        <v>550</v>
      </c>
      <c r="D2071" s="98">
        <v>1025</v>
      </c>
      <c r="E2071" s="98">
        <v>100</v>
      </c>
      <c r="F2071" s="98" t="s">
        <v>13</v>
      </c>
      <c r="G2071" s="98" t="s">
        <v>12</v>
      </c>
      <c r="H2071" s="98">
        <v>0</v>
      </c>
      <c r="I2071" s="98">
        <v>0</v>
      </c>
      <c r="K2071" s="98">
        <v>57709</v>
      </c>
      <c r="L2071" s="98">
        <v>7.4653999999999998E-2</v>
      </c>
      <c r="M2071" s="98">
        <v>57710</v>
      </c>
      <c r="N2071" s="98">
        <v>7.3570999999999998E-2</v>
      </c>
      <c r="O2071" s="99" t="s">
        <v>936</v>
      </c>
    </row>
    <row r="2072" spans="1:15" x14ac:dyDescent="0.25">
      <c r="A2072" s="98" t="s">
        <v>54</v>
      </c>
      <c r="B2072" s="98" t="s">
        <v>60</v>
      </c>
      <c r="C2072" s="98">
        <v>1025</v>
      </c>
      <c r="D2072" s="98">
        <v>1026</v>
      </c>
      <c r="E2072" s="98">
        <v>0.01</v>
      </c>
      <c r="F2072" s="98" t="s">
        <v>13</v>
      </c>
      <c r="G2072" s="98" t="s">
        <v>12</v>
      </c>
      <c r="H2072" s="98">
        <v>0</v>
      </c>
      <c r="I2072" s="98">
        <v>0</v>
      </c>
      <c r="K2072" s="98">
        <v>32</v>
      </c>
      <c r="L2072" s="98">
        <v>2.2999999999999998</v>
      </c>
      <c r="M2072" s="98">
        <v>22.486999999999998</v>
      </c>
      <c r="N2072" s="98">
        <v>2.3089</v>
      </c>
      <c r="O2072" s="99" t="s">
        <v>937</v>
      </c>
    </row>
    <row r="2073" spans="1:15" x14ac:dyDescent="0.25">
      <c r="A2073" s="98" t="s">
        <v>54</v>
      </c>
      <c r="B2073" s="98" t="s">
        <v>60</v>
      </c>
      <c r="C2073" s="98">
        <v>1025</v>
      </c>
      <c r="D2073" s="98">
        <v>1026</v>
      </c>
      <c r="E2073" s="98">
        <v>0.1</v>
      </c>
      <c r="F2073" s="98" t="s">
        <v>13</v>
      </c>
      <c r="G2073" s="98" t="s">
        <v>12</v>
      </c>
      <c r="H2073" s="98">
        <v>0</v>
      </c>
      <c r="I2073" s="98">
        <v>0</v>
      </c>
      <c r="K2073" s="98">
        <v>32</v>
      </c>
      <c r="L2073" s="98">
        <v>2.3014000000000001</v>
      </c>
      <c r="M2073" s="98">
        <v>24.491</v>
      </c>
      <c r="N2073" s="98">
        <v>2.3075999999999999</v>
      </c>
      <c r="O2073" s="99" t="s">
        <v>938</v>
      </c>
    </row>
    <row r="2074" spans="1:15" x14ac:dyDescent="0.25">
      <c r="A2074" s="98" t="s">
        <v>54</v>
      </c>
      <c r="B2074" s="98" t="s">
        <v>60</v>
      </c>
      <c r="C2074" s="98">
        <v>1025</v>
      </c>
      <c r="D2074" s="98">
        <v>1026</v>
      </c>
      <c r="E2074" s="98">
        <v>1</v>
      </c>
      <c r="F2074" s="98" t="s">
        <v>13</v>
      </c>
      <c r="G2074" s="98" t="s">
        <v>12</v>
      </c>
      <c r="H2074" s="98">
        <v>0</v>
      </c>
      <c r="I2074" s="98">
        <v>0</v>
      </c>
      <c r="K2074" s="98">
        <v>209.6</v>
      </c>
      <c r="L2074" s="98">
        <v>2.1949000000000001</v>
      </c>
      <c r="M2074" s="98">
        <v>208.5</v>
      </c>
      <c r="N2074" s="98">
        <v>2.1945000000000001</v>
      </c>
      <c r="O2074" s="99" t="s">
        <v>939</v>
      </c>
    </row>
    <row r="2075" spans="1:15" x14ac:dyDescent="0.25">
      <c r="A2075" s="98" t="s">
        <v>54</v>
      </c>
      <c r="B2075" s="98" t="s">
        <v>60</v>
      </c>
      <c r="C2075" s="98">
        <v>1025</v>
      </c>
      <c r="D2075" s="98">
        <v>1026</v>
      </c>
      <c r="E2075" s="98">
        <v>10</v>
      </c>
      <c r="F2075" s="98" t="s">
        <v>13</v>
      </c>
      <c r="G2075" s="98" t="s">
        <v>12</v>
      </c>
      <c r="H2075" s="98">
        <v>0</v>
      </c>
      <c r="I2075" s="98">
        <v>0</v>
      </c>
      <c r="K2075" s="98">
        <v>5532.1</v>
      </c>
      <c r="L2075" s="98">
        <v>0.70111000000000001</v>
      </c>
      <c r="M2075" s="98">
        <v>5532.1</v>
      </c>
      <c r="N2075" s="98">
        <v>0.69874999999999998</v>
      </c>
      <c r="O2075" s="99" t="s">
        <v>940</v>
      </c>
    </row>
    <row r="2076" spans="1:15" x14ac:dyDescent="0.25">
      <c r="A2076" s="98" t="s">
        <v>54</v>
      </c>
      <c r="B2076" s="98" t="s">
        <v>60</v>
      </c>
      <c r="C2076" s="98">
        <v>1025</v>
      </c>
      <c r="D2076" s="98">
        <v>1026</v>
      </c>
      <c r="E2076" s="98">
        <v>100</v>
      </c>
      <c r="F2076" s="98" t="s">
        <v>13</v>
      </c>
      <c r="G2076" s="98" t="s">
        <v>12</v>
      </c>
      <c r="H2076" s="98">
        <v>0</v>
      </c>
      <c r="I2076" s="98">
        <v>0</v>
      </c>
      <c r="K2076" s="98">
        <v>57709</v>
      </c>
      <c r="L2076" s="98">
        <v>7.4653999999999998E-2</v>
      </c>
      <c r="M2076" s="98">
        <v>57710</v>
      </c>
      <c r="N2076" s="98">
        <v>7.3570999999999998E-2</v>
      </c>
      <c r="O2076" s="99" t="s">
        <v>941</v>
      </c>
    </row>
    <row r="2077" spans="1:15" x14ac:dyDescent="0.25">
      <c r="A2077" s="98" t="s">
        <v>54</v>
      </c>
      <c r="B2077" s="98" t="s">
        <v>3</v>
      </c>
      <c r="C2077" s="98">
        <v>0</v>
      </c>
      <c r="D2077" s="98">
        <v>0.33000099999999999</v>
      </c>
      <c r="E2077" s="98">
        <v>9.9999999999999995E-8</v>
      </c>
      <c r="F2077" s="98" t="s">
        <v>6</v>
      </c>
      <c r="G2077" s="98" t="s">
        <v>5</v>
      </c>
      <c r="H2077" s="98">
        <v>0</v>
      </c>
      <c r="I2077" s="98">
        <v>0</v>
      </c>
      <c r="K2077" s="98">
        <v>3.6</v>
      </c>
      <c r="L2077" s="98">
        <v>69</v>
      </c>
      <c r="M2077" s="98">
        <v>3.4727000000000001</v>
      </c>
      <c r="N2077" s="98">
        <v>69.313999999999993</v>
      </c>
      <c r="O2077" s="99" t="s">
        <v>884</v>
      </c>
    </row>
    <row r="2078" spans="1:15" x14ac:dyDescent="0.25">
      <c r="A2078" s="98" t="s">
        <v>54</v>
      </c>
      <c r="B2078" s="98" t="s">
        <v>3</v>
      </c>
      <c r="C2078" s="98">
        <v>0</v>
      </c>
      <c r="D2078" s="98">
        <v>0.33000099999999999</v>
      </c>
      <c r="E2078" s="98">
        <v>9.9999999999999995E-7</v>
      </c>
      <c r="F2078" s="98" t="s">
        <v>6</v>
      </c>
      <c r="G2078" s="98" t="s">
        <v>5</v>
      </c>
      <c r="H2078" s="98">
        <v>0</v>
      </c>
      <c r="I2078" s="98">
        <v>0</v>
      </c>
      <c r="K2078" s="98">
        <v>3.6</v>
      </c>
      <c r="L2078" s="98">
        <v>69.150999999999996</v>
      </c>
      <c r="M2078" s="98">
        <v>3.5196000000000001</v>
      </c>
      <c r="N2078" s="98">
        <v>69.191000000000003</v>
      </c>
      <c r="O2078" s="99" t="s">
        <v>885</v>
      </c>
    </row>
    <row r="2079" spans="1:15" x14ac:dyDescent="0.25">
      <c r="A2079" s="98" t="s">
        <v>54</v>
      </c>
      <c r="B2079" s="98" t="s">
        <v>3</v>
      </c>
      <c r="C2079" s="98">
        <v>0</v>
      </c>
      <c r="D2079" s="98">
        <v>0.33000099999999999</v>
      </c>
      <c r="E2079" s="98">
        <v>1.0000000000000001E-5</v>
      </c>
      <c r="F2079" s="98" t="s">
        <v>6</v>
      </c>
      <c r="G2079" s="98" t="s">
        <v>5</v>
      </c>
      <c r="H2079" s="98">
        <v>0</v>
      </c>
      <c r="I2079" s="98">
        <v>0</v>
      </c>
      <c r="K2079" s="98">
        <v>6.7737999999999996</v>
      </c>
      <c r="L2079" s="98">
        <v>61.286999999999999</v>
      </c>
      <c r="M2079" s="98">
        <v>6.7343999999999999</v>
      </c>
      <c r="N2079" s="98">
        <v>61.341999999999999</v>
      </c>
      <c r="O2079" s="99" t="s">
        <v>886</v>
      </c>
    </row>
    <row r="2080" spans="1:15" x14ac:dyDescent="0.25">
      <c r="A2080" s="98" t="s">
        <v>54</v>
      </c>
      <c r="B2080" s="98" t="s">
        <v>3</v>
      </c>
      <c r="C2080" s="98">
        <v>0</v>
      </c>
      <c r="D2080" s="98">
        <v>0.33000099999999999</v>
      </c>
      <c r="E2080" s="98">
        <v>1E-4</v>
      </c>
      <c r="F2080" s="98" t="s">
        <v>6</v>
      </c>
      <c r="G2080" s="98" t="s">
        <v>5</v>
      </c>
      <c r="H2080" s="98">
        <v>0</v>
      </c>
      <c r="I2080" s="98">
        <v>0</v>
      </c>
      <c r="K2080" s="98">
        <v>58.11</v>
      </c>
      <c r="L2080" s="98">
        <v>17.059999999999999</v>
      </c>
      <c r="M2080" s="98">
        <v>58.091000000000001</v>
      </c>
      <c r="N2080" s="98">
        <v>17.007000000000001</v>
      </c>
      <c r="O2080" s="99" t="s">
        <v>887</v>
      </c>
    </row>
    <row r="2081" spans="1:15" x14ac:dyDescent="0.25">
      <c r="A2081" s="98" t="s">
        <v>54</v>
      </c>
      <c r="B2081" s="98" t="s">
        <v>3</v>
      </c>
      <c r="C2081" s="98">
        <v>0</v>
      </c>
      <c r="D2081" s="98">
        <v>0.33000099999999999</v>
      </c>
      <c r="E2081" s="98">
        <v>1E-3</v>
      </c>
      <c r="F2081" s="98" t="s">
        <v>6</v>
      </c>
      <c r="G2081" s="98" t="s">
        <v>5</v>
      </c>
      <c r="H2081" s="98">
        <v>0</v>
      </c>
      <c r="I2081" s="98">
        <v>0</v>
      </c>
      <c r="K2081" s="98">
        <v>580.02</v>
      </c>
      <c r="L2081" s="98">
        <v>1.8105</v>
      </c>
      <c r="M2081" s="98">
        <v>580.01</v>
      </c>
      <c r="N2081" s="98">
        <v>1.7849999999999999</v>
      </c>
      <c r="O2081" s="99" t="s">
        <v>888</v>
      </c>
    </row>
    <row r="2082" spans="1:15" x14ac:dyDescent="0.25">
      <c r="A2082" s="98" t="s">
        <v>54</v>
      </c>
      <c r="B2082" s="98" t="s">
        <v>3</v>
      </c>
      <c r="C2082" s="98">
        <v>0</v>
      </c>
      <c r="D2082" s="98">
        <v>0.33000099999999999</v>
      </c>
      <c r="E2082" s="98">
        <v>0.01</v>
      </c>
      <c r="F2082" s="98" t="s">
        <v>6</v>
      </c>
      <c r="G2082" s="98" t="s">
        <v>5</v>
      </c>
      <c r="H2082" s="98">
        <v>0</v>
      </c>
      <c r="I2082" s="98">
        <v>0</v>
      </c>
      <c r="K2082" s="98">
        <v>5800</v>
      </c>
      <c r="L2082" s="98">
        <v>0.1888</v>
      </c>
      <c r="M2082" s="98">
        <v>5800</v>
      </c>
      <c r="N2082" s="98">
        <v>0.17859</v>
      </c>
      <c r="O2082" s="99" t="s">
        <v>889</v>
      </c>
    </row>
    <row r="2083" spans="1:15" x14ac:dyDescent="0.25">
      <c r="A2083" s="98" t="s">
        <v>54</v>
      </c>
      <c r="B2083" s="98" t="s">
        <v>3</v>
      </c>
      <c r="C2083" s="98">
        <v>0</v>
      </c>
      <c r="D2083" s="98">
        <v>0.33000099999999999</v>
      </c>
      <c r="E2083" s="98">
        <v>0.1</v>
      </c>
      <c r="F2083" s="98" t="s">
        <v>6</v>
      </c>
      <c r="G2083" s="98" t="s">
        <v>4</v>
      </c>
      <c r="H2083" s="98">
        <v>0</v>
      </c>
      <c r="I2083" s="98">
        <v>0</v>
      </c>
      <c r="K2083" s="98">
        <v>58</v>
      </c>
      <c r="L2083" s="98">
        <v>2.1943E-5</v>
      </c>
      <c r="M2083" s="98">
        <v>58</v>
      </c>
      <c r="N2083" s="98">
        <v>1.7859E-5</v>
      </c>
      <c r="O2083" s="99" t="s">
        <v>890</v>
      </c>
    </row>
    <row r="2084" spans="1:15" x14ac:dyDescent="0.25">
      <c r="A2084" s="98" t="s">
        <v>54</v>
      </c>
      <c r="B2084" s="98" t="s">
        <v>3</v>
      </c>
      <c r="C2084" s="98">
        <v>0</v>
      </c>
      <c r="D2084" s="98">
        <v>0.33000099999999999</v>
      </c>
      <c r="E2084" s="98">
        <v>1</v>
      </c>
      <c r="F2084" s="98" t="s">
        <v>6</v>
      </c>
      <c r="G2084" s="98" t="s">
        <v>4</v>
      </c>
      <c r="H2084" s="98">
        <v>0</v>
      </c>
      <c r="I2084" s="98">
        <v>0</v>
      </c>
      <c r="K2084" s="98">
        <v>580</v>
      </c>
      <c r="L2084" s="98">
        <v>3.4199999999999999E-6</v>
      </c>
      <c r="M2084" s="98">
        <v>580</v>
      </c>
      <c r="N2084" s="98">
        <v>1.79E-6</v>
      </c>
      <c r="O2084" s="99" t="s">
        <v>891</v>
      </c>
    </row>
    <row r="2085" spans="1:15" x14ac:dyDescent="0.25">
      <c r="A2085" s="98" t="s">
        <v>54</v>
      </c>
      <c r="B2085" s="98" t="s">
        <v>3</v>
      </c>
      <c r="C2085" s="98">
        <v>0</v>
      </c>
      <c r="D2085" s="98">
        <v>0.33000099999999999</v>
      </c>
      <c r="E2085" s="98">
        <v>10</v>
      </c>
      <c r="F2085" s="98" t="s">
        <v>6</v>
      </c>
      <c r="G2085" s="98" t="s">
        <v>4</v>
      </c>
      <c r="H2085" s="98">
        <v>0</v>
      </c>
      <c r="I2085" s="98">
        <v>0</v>
      </c>
      <c r="K2085" s="98">
        <v>5800</v>
      </c>
      <c r="L2085" s="98">
        <v>8.3200000000000004E-7</v>
      </c>
      <c r="M2085" s="98">
        <v>5800</v>
      </c>
      <c r="N2085" s="98">
        <v>1.79E-7</v>
      </c>
      <c r="O2085" s="99" t="s">
        <v>892</v>
      </c>
    </row>
    <row r="2086" spans="1:15" x14ac:dyDescent="0.25">
      <c r="A2086" s="98" t="s">
        <v>54</v>
      </c>
      <c r="B2086" s="98" t="s">
        <v>3</v>
      </c>
      <c r="C2086" s="98">
        <v>0.33</v>
      </c>
      <c r="D2086" s="98">
        <v>3.3000099999999999</v>
      </c>
      <c r="E2086" s="98">
        <v>9.9999999999999995E-7</v>
      </c>
      <c r="F2086" s="98" t="s">
        <v>6</v>
      </c>
      <c r="G2086" s="98" t="s">
        <v>5</v>
      </c>
      <c r="H2086" s="98">
        <v>0</v>
      </c>
      <c r="I2086" s="98">
        <v>0</v>
      </c>
      <c r="K2086" s="98">
        <v>5.9</v>
      </c>
      <c r="L2086" s="98">
        <v>58</v>
      </c>
      <c r="M2086" s="98">
        <v>5.7708000000000004</v>
      </c>
      <c r="N2086" s="98">
        <v>57.786999999999999</v>
      </c>
      <c r="O2086" s="99" t="s">
        <v>893</v>
      </c>
    </row>
    <row r="2087" spans="1:15" x14ac:dyDescent="0.25">
      <c r="A2087" s="98" t="s">
        <v>54</v>
      </c>
      <c r="B2087" s="98" t="s">
        <v>3</v>
      </c>
      <c r="C2087" s="98">
        <v>0.33</v>
      </c>
      <c r="D2087" s="98">
        <v>3.3000099999999999</v>
      </c>
      <c r="E2087" s="98">
        <v>1.0000000000000001E-5</v>
      </c>
      <c r="F2087" s="98" t="s">
        <v>6</v>
      </c>
      <c r="G2087" s="98" t="s">
        <v>5</v>
      </c>
      <c r="H2087" s="98">
        <v>0</v>
      </c>
      <c r="I2087" s="98">
        <v>0</v>
      </c>
      <c r="K2087" s="98">
        <v>6.8066000000000004</v>
      </c>
      <c r="L2087" s="98">
        <v>57.529000000000003</v>
      </c>
      <c r="M2087" s="98">
        <v>6.4957000000000003</v>
      </c>
      <c r="N2087" s="98">
        <v>57.593000000000004</v>
      </c>
      <c r="O2087" s="99" t="s">
        <v>894</v>
      </c>
    </row>
    <row r="2088" spans="1:15" x14ac:dyDescent="0.25">
      <c r="A2088" s="98" t="s">
        <v>54</v>
      </c>
      <c r="B2088" s="98" t="s">
        <v>3</v>
      </c>
      <c r="C2088" s="98">
        <v>0.33</v>
      </c>
      <c r="D2088" s="98">
        <v>3.3000099999999999</v>
      </c>
      <c r="E2088" s="98">
        <v>1E-4</v>
      </c>
      <c r="F2088" s="98" t="s">
        <v>6</v>
      </c>
      <c r="G2088" s="98" t="s">
        <v>5</v>
      </c>
      <c r="H2088" s="98">
        <v>0</v>
      </c>
      <c r="I2088" s="98">
        <v>0</v>
      </c>
      <c r="K2088" s="98">
        <v>47.82</v>
      </c>
      <c r="L2088" s="98">
        <v>47.701000000000001</v>
      </c>
      <c r="M2088" s="98">
        <v>47.341999999999999</v>
      </c>
      <c r="N2088" s="98">
        <v>47.73</v>
      </c>
      <c r="O2088" s="99" t="s">
        <v>895</v>
      </c>
    </row>
    <row r="2089" spans="1:15" x14ac:dyDescent="0.25">
      <c r="A2089" s="98" t="s">
        <v>54</v>
      </c>
      <c r="B2089" s="98" t="s">
        <v>3</v>
      </c>
      <c r="C2089" s="98">
        <v>0.33</v>
      </c>
      <c r="D2089" s="98">
        <v>3.3000099999999999</v>
      </c>
      <c r="E2089" s="98">
        <v>1E-3</v>
      </c>
      <c r="F2089" s="98" t="s">
        <v>6</v>
      </c>
      <c r="G2089" s="98" t="s">
        <v>5</v>
      </c>
      <c r="H2089" s="98">
        <v>0</v>
      </c>
      <c r="I2089" s="98">
        <v>0</v>
      </c>
      <c r="K2089" s="98">
        <v>577.16999999999996</v>
      </c>
      <c r="L2089" s="98">
        <v>10.824</v>
      </c>
      <c r="M2089" s="98">
        <v>576.99</v>
      </c>
      <c r="N2089" s="98">
        <v>10.721</v>
      </c>
      <c r="O2089" s="99" t="s">
        <v>896</v>
      </c>
    </row>
    <row r="2090" spans="1:15" x14ac:dyDescent="0.25">
      <c r="A2090" s="98" t="s">
        <v>54</v>
      </c>
      <c r="B2090" s="98" t="s">
        <v>3</v>
      </c>
      <c r="C2090" s="98">
        <v>0.33</v>
      </c>
      <c r="D2090" s="98">
        <v>3.3000099999999999</v>
      </c>
      <c r="E2090" s="98">
        <v>0.01</v>
      </c>
      <c r="F2090" s="98" t="s">
        <v>6</v>
      </c>
      <c r="G2090" s="98" t="s">
        <v>5</v>
      </c>
      <c r="H2090" s="98">
        <v>0</v>
      </c>
      <c r="I2090" s="98">
        <v>0</v>
      </c>
      <c r="K2090" s="98">
        <v>5799.8</v>
      </c>
      <c r="L2090" s="98">
        <v>1.1473</v>
      </c>
      <c r="M2090" s="98">
        <v>5799.7</v>
      </c>
      <c r="N2090" s="98">
        <v>1.1022000000000001</v>
      </c>
      <c r="O2090" s="99" t="s">
        <v>897</v>
      </c>
    </row>
    <row r="2091" spans="1:15" x14ac:dyDescent="0.25">
      <c r="A2091" s="98" t="s">
        <v>54</v>
      </c>
      <c r="B2091" s="98" t="s">
        <v>3</v>
      </c>
      <c r="C2091" s="98">
        <v>0.33</v>
      </c>
      <c r="D2091" s="98">
        <v>3.3000099999999999</v>
      </c>
      <c r="E2091" s="98">
        <v>0.1</v>
      </c>
      <c r="F2091" s="98" t="s">
        <v>6</v>
      </c>
      <c r="G2091" s="98" t="s">
        <v>5</v>
      </c>
      <c r="H2091" s="98">
        <v>0</v>
      </c>
      <c r="I2091" s="98">
        <v>0</v>
      </c>
      <c r="K2091" s="98">
        <v>58000</v>
      </c>
      <c r="L2091" s="98">
        <v>0.12833</v>
      </c>
      <c r="M2091" s="98">
        <v>5799.8</v>
      </c>
      <c r="N2091" s="98">
        <v>0.11025</v>
      </c>
      <c r="O2091" s="99" t="s">
        <v>898</v>
      </c>
    </row>
    <row r="2092" spans="1:15" x14ac:dyDescent="0.25">
      <c r="A2092" s="98" t="s">
        <v>54</v>
      </c>
      <c r="B2092" s="98" t="s">
        <v>3</v>
      </c>
      <c r="C2092" s="98">
        <v>3</v>
      </c>
      <c r="D2092" s="98">
        <v>33.000100000000003</v>
      </c>
      <c r="E2092" s="98">
        <v>1.0000000000000001E-5</v>
      </c>
      <c r="F2092" s="98" t="s">
        <v>6</v>
      </c>
      <c r="G2092" s="98" t="s">
        <v>4</v>
      </c>
      <c r="H2092" s="98">
        <v>0</v>
      </c>
      <c r="I2092" s="98">
        <v>0</v>
      </c>
      <c r="K2092" s="98">
        <v>5.8999999999999997E-2</v>
      </c>
      <c r="L2092" s="98">
        <v>5.8000000000000003E-2</v>
      </c>
      <c r="M2092" s="98">
        <v>5.8347999999999997E-2</v>
      </c>
      <c r="N2092" s="98">
        <v>5.7918999999999998E-2</v>
      </c>
      <c r="O2092" s="99" t="s">
        <v>899</v>
      </c>
    </row>
    <row r="2093" spans="1:15" x14ac:dyDescent="0.25">
      <c r="A2093" s="98" t="s">
        <v>54</v>
      </c>
      <c r="B2093" s="98" t="s">
        <v>3</v>
      </c>
      <c r="C2093" s="98">
        <v>3</v>
      </c>
      <c r="D2093" s="98">
        <v>33.000100000000003</v>
      </c>
      <c r="E2093" s="98">
        <v>1E-4</v>
      </c>
      <c r="F2093" s="98" t="s">
        <v>6</v>
      </c>
      <c r="G2093" s="98" t="s">
        <v>4</v>
      </c>
      <c r="H2093" s="98">
        <v>0</v>
      </c>
      <c r="I2093" s="98">
        <v>0</v>
      </c>
      <c r="K2093" s="98">
        <v>6.7757999999999999E-2</v>
      </c>
      <c r="L2093" s="98">
        <v>5.7660999999999997E-2</v>
      </c>
      <c r="M2093" s="98">
        <v>6.4652000000000001E-2</v>
      </c>
      <c r="N2093" s="98">
        <v>5.7724999999999999E-2</v>
      </c>
      <c r="O2093" s="99" t="s">
        <v>900</v>
      </c>
    </row>
    <row r="2094" spans="1:15" x14ac:dyDescent="0.25">
      <c r="A2094" s="98" t="s">
        <v>54</v>
      </c>
      <c r="B2094" s="98" t="s">
        <v>3</v>
      </c>
      <c r="C2094" s="98">
        <v>3</v>
      </c>
      <c r="D2094" s="98">
        <v>33.000100000000003</v>
      </c>
      <c r="E2094" s="98">
        <v>1E-3</v>
      </c>
      <c r="F2094" s="98" t="s">
        <v>6</v>
      </c>
      <c r="G2094" s="98" t="s">
        <v>4</v>
      </c>
      <c r="H2094" s="98">
        <v>0</v>
      </c>
      <c r="I2094" s="98">
        <v>0</v>
      </c>
      <c r="K2094" s="98">
        <v>0.47783999999999999</v>
      </c>
      <c r="L2094" s="98">
        <v>4.7829000000000003E-2</v>
      </c>
      <c r="M2094" s="98">
        <v>0.47304000000000002</v>
      </c>
      <c r="N2094" s="98">
        <v>4.7858999999999999E-2</v>
      </c>
      <c r="O2094" s="99" t="s">
        <v>901</v>
      </c>
    </row>
    <row r="2095" spans="1:15" x14ac:dyDescent="0.25">
      <c r="A2095" s="98" t="s">
        <v>54</v>
      </c>
      <c r="B2095" s="98" t="s">
        <v>3</v>
      </c>
      <c r="C2095" s="98">
        <v>3</v>
      </c>
      <c r="D2095" s="98">
        <v>33.000100000000003</v>
      </c>
      <c r="E2095" s="98">
        <v>0.01</v>
      </c>
      <c r="F2095" s="98" t="s">
        <v>6</v>
      </c>
      <c r="G2095" s="98" t="s">
        <v>4</v>
      </c>
      <c r="H2095" s="98">
        <v>0</v>
      </c>
      <c r="I2095" s="98">
        <v>0</v>
      </c>
      <c r="K2095" s="98">
        <v>5.7714999999999996</v>
      </c>
      <c r="L2095" s="98">
        <v>1.0867999999999999E-2</v>
      </c>
      <c r="M2095" s="98">
        <v>5.7698</v>
      </c>
      <c r="N2095" s="98">
        <v>1.0763999999999999E-2</v>
      </c>
      <c r="O2095" s="99" t="s">
        <v>902</v>
      </c>
    </row>
    <row r="2096" spans="1:15" x14ac:dyDescent="0.25">
      <c r="A2096" s="98" t="s">
        <v>54</v>
      </c>
      <c r="B2096" s="98" t="s">
        <v>3</v>
      </c>
      <c r="C2096" s="98">
        <v>3</v>
      </c>
      <c r="D2096" s="98">
        <v>33.000100000000003</v>
      </c>
      <c r="E2096" s="98">
        <v>0.1</v>
      </c>
      <c r="F2096" s="98" t="s">
        <v>6</v>
      </c>
      <c r="G2096" s="98" t="s">
        <v>4</v>
      </c>
      <c r="H2096" s="98">
        <v>0</v>
      </c>
      <c r="I2096" s="98">
        <v>0</v>
      </c>
      <c r="K2096" s="98">
        <v>57.997999999999998</v>
      </c>
      <c r="L2096" s="98">
        <v>1.1519E-3</v>
      </c>
      <c r="M2096" s="98">
        <v>57.997</v>
      </c>
      <c r="N2096" s="98">
        <v>1.1068E-3</v>
      </c>
      <c r="O2096" s="99" t="s">
        <v>903</v>
      </c>
    </row>
    <row r="2097" spans="1:15" x14ac:dyDescent="0.25">
      <c r="A2097" s="98" t="s">
        <v>54</v>
      </c>
      <c r="B2097" s="98" t="s">
        <v>3</v>
      </c>
      <c r="C2097" s="98">
        <v>3</v>
      </c>
      <c r="D2097" s="98">
        <v>33.000100000000003</v>
      </c>
      <c r="E2097" s="98">
        <v>1</v>
      </c>
      <c r="F2097" s="98" t="s">
        <v>6</v>
      </c>
      <c r="G2097" s="98" t="s">
        <v>4</v>
      </c>
      <c r="H2097" s="98">
        <v>0</v>
      </c>
      <c r="I2097" s="98">
        <v>0</v>
      </c>
      <c r="K2097" s="98">
        <v>580</v>
      </c>
      <c r="L2097" s="98">
        <v>1.2878999999999999E-4</v>
      </c>
      <c r="M2097" s="98">
        <v>580</v>
      </c>
      <c r="N2097" s="98">
        <v>1.1071E-4</v>
      </c>
      <c r="O2097" s="99" t="s">
        <v>904</v>
      </c>
    </row>
    <row r="2098" spans="1:15" x14ac:dyDescent="0.25">
      <c r="A2098" s="98" t="s">
        <v>54</v>
      </c>
      <c r="B2098" s="98" t="s">
        <v>3</v>
      </c>
      <c r="C2098" s="98">
        <v>33</v>
      </c>
      <c r="D2098" s="98">
        <v>330.00099999999998</v>
      </c>
      <c r="E2098" s="98">
        <v>1E-4</v>
      </c>
      <c r="F2098" s="98" t="s">
        <v>6</v>
      </c>
      <c r="G2098" s="98" t="s">
        <v>4</v>
      </c>
      <c r="H2098" s="98">
        <v>0</v>
      </c>
      <c r="I2098" s="98">
        <v>0</v>
      </c>
      <c r="K2098" s="98">
        <v>0.59</v>
      </c>
      <c r="L2098" s="98">
        <v>6.4000000000000001E-2</v>
      </c>
      <c r="M2098" s="98">
        <v>0.57833999999999997</v>
      </c>
      <c r="N2098" s="98">
        <v>6.3644000000000006E-2</v>
      </c>
      <c r="O2098" s="99" t="s">
        <v>905</v>
      </c>
    </row>
    <row r="2099" spans="1:15" x14ac:dyDescent="0.25">
      <c r="A2099" s="98" t="s">
        <v>54</v>
      </c>
      <c r="B2099" s="98" t="s">
        <v>3</v>
      </c>
      <c r="C2099" s="98">
        <v>33</v>
      </c>
      <c r="D2099" s="98">
        <v>330.00099999999998</v>
      </c>
      <c r="E2099" s="98">
        <v>1E-3</v>
      </c>
      <c r="F2099" s="98" t="s">
        <v>6</v>
      </c>
      <c r="G2099" s="98" t="s">
        <v>4</v>
      </c>
      <c r="H2099" s="98">
        <v>0</v>
      </c>
      <c r="I2099" s="98">
        <v>0</v>
      </c>
      <c r="K2099" s="98">
        <v>0.67471000000000003</v>
      </c>
      <c r="L2099" s="98">
        <v>6.3403000000000001E-2</v>
      </c>
      <c r="M2099" s="98">
        <v>0.64578000000000002</v>
      </c>
      <c r="N2099" s="98">
        <v>6.3463000000000006E-2</v>
      </c>
      <c r="O2099" s="99" t="s">
        <v>906</v>
      </c>
    </row>
    <row r="2100" spans="1:15" x14ac:dyDescent="0.25">
      <c r="A2100" s="98" t="s">
        <v>54</v>
      </c>
      <c r="B2100" s="98" t="s">
        <v>3</v>
      </c>
      <c r="C2100" s="98">
        <v>33</v>
      </c>
      <c r="D2100" s="98">
        <v>330.00099999999998</v>
      </c>
      <c r="E2100" s="98">
        <v>0.01</v>
      </c>
      <c r="F2100" s="98" t="s">
        <v>6</v>
      </c>
      <c r="G2100" s="98" t="s">
        <v>4</v>
      </c>
      <c r="H2100" s="98">
        <v>0</v>
      </c>
      <c r="I2100" s="98">
        <v>0</v>
      </c>
      <c r="K2100" s="98">
        <v>4.6628999999999996</v>
      </c>
      <c r="L2100" s="98">
        <v>5.3692999999999998E-2</v>
      </c>
      <c r="M2100" s="98">
        <v>4.6153000000000004</v>
      </c>
      <c r="N2100" s="98">
        <v>5.3731000000000001E-2</v>
      </c>
      <c r="O2100" s="99" t="s">
        <v>907</v>
      </c>
    </row>
    <row r="2101" spans="1:15" x14ac:dyDescent="0.25">
      <c r="A2101" s="98" t="s">
        <v>54</v>
      </c>
      <c r="B2101" s="98" t="s">
        <v>3</v>
      </c>
      <c r="C2101" s="98">
        <v>33</v>
      </c>
      <c r="D2101" s="98">
        <v>330.00099999999998</v>
      </c>
      <c r="E2101" s="98">
        <v>0.1</v>
      </c>
      <c r="F2101" s="98" t="s">
        <v>6</v>
      </c>
      <c r="G2101" s="98" t="s">
        <v>4</v>
      </c>
      <c r="H2101" s="98">
        <v>0</v>
      </c>
      <c r="I2101" s="98">
        <v>0</v>
      </c>
      <c r="K2101" s="98">
        <v>57.654000000000003</v>
      </c>
      <c r="L2101" s="98">
        <v>1.2973999999999999E-2</v>
      </c>
      <c r="M2101" s="98">
        <v>57.637</v>
      </c>
      <c r="N2101" s="98">
        <v>1.2872E-2</v>
      </c>
      <c r="O2101" s="99" t="s">
        <v>908</v>
      </c>
    </row>
    <row r="2102" spans="1:15" x14ac:dyDescent="0.25">
      <c r="A2102" s="98" t="s">
        <v>54</v>
      </c>
      <c r="B2102" s="98" t="s">
        <v>3</v>
      </c>
      <c r="C2102" s="98">
        <v>33</v>
      </c>
      <c r="D2102" s="98">
        <v>330.00099999999998</v>
      </c>
      <c r="E2102" s="98">
        <v>1</v>
      </c>
      <c r="F2102" s="98" t="s">
        <v>6</v>
      </c>
      <c r="G2102" s="98" t="s">
        <v>4</v>
      </c>
      <c r="H2102" s="98">
        <v>0</v>
      </c>
      <c r="I2102" s="98">
        <v>0</v>
      </c>
      <c r="K2102" s="98">
        <v>579.97</v>
      </c>
      <c r="L2102" s="98">
        <v>1.3757000000000001E-3</v>
      </c>
      <c r="M2102" s="98">
        <v>579.96</v>
      </c>
      <c r="N2102" s="98">
        <v>1.3305000000000001E-3</v>
      </c>
      <c r="O2102" s="99" t="s">
        <v>909</v>
      </c>
    </row>
    <row r="2103" spans="1:15" x14ac:dyDescent="0.25">
      <c r="A2103" s="98" t="s">
        <v>54</v>
      </c>
      <c r="B2103" s="98" t="s">
        <v>3</v>
      </c>
      <c r="C2103" s="98">
        <v>33</v>
      </c>
      <c r="D2103" s="98">
        <v>330.00099999999998</v>
      </c>
      <c r="E2103" s="98">
        <v>10</v>
      </c>
      <c r="F2103" s="98" t="s">
        <v>6</v>
      </c>
      <c r="G2103" s="98" t="s">
        <v>4</v>
      </c>
      <c r="H2103" s="98">
        <v>0</v>
      </c>
      <c r="I2103" s="98">
        <v>0</v>
      </c>
      <c r="K2103" s="98">
        <v>5800</v>
      </c>
      <c r="L2103" s="98">
        <v>1.5118E-4</v>
      </c>
      <c r="M2103" s="98">
        <v>5800</v>
      </c>
      <c r="N2103" s="98">
        <v>1.3310000000000001E-4</v>
      </c>
      <c r="O2103" s="99" t="s">
        <v>910</v>
      </c>
    </row>
    <row r="2104" spans="1:15" x14ac:dyDescent="0.25">
      <c r="A2104" s="98" t="s">
        <v>54</v>
      </c>
      <c r="B2104" s="98" t="s">
        <v>3</v>
      </c>
      <c r="C2104" s="98">
        <v>330</v>
      </c>
      <c r="D2104" s="98">
        <v>1000.01</v>
      </c>
      <c r="E2104" s="98">
        <v>1E-3</v>
      </c>
      <c r="F2104" s="98" t="s">
        <v>6</v>
      </c>
      <c r="G2104" s="98" t="s">
        <v>4</v>
      </c>
      <c r="H2104" s="98">
        <v>0</v>
      </c>
      <c r="I2104" s="98">
        <v>0</v>
      </c>
      <c r="K2104" s="98">
        <v>1.9</v>
      </c>
      <c r="L2104" s="98">
        <v>6.4000000000000001E-2</v>
      </c>
      <c r="M2104" s="98">
        <v>1.7548999999999999</v>
      </c>
      <c r="N2104" s="98">
        <v>6.3615000000000005E-2</v>
      </c>
      <c r="O2104" s="99" t="s">
        <v>911</v>
      </c>
    </row>
    <row r="2105" spans="1:15" x14ac:dyDescent="0.25">
      <c r="A2105" s="98" t="s">
        <v>54</v>
      </c>
      <c r="B2105" s="98" t="s">
        <v>3</v>
      </c>
      <c r="C2105" s="98">
        <v>330</v>
      </c>
      <c r="D2105" s="98">
        <v>1000.01</v>
      </c>
      <c r="E2105" s="98">
        <v>0.01</v>
      </c>
      <c r="F2105" s="98" t="s">
        <v>6</v>
      </c>
      <c r="G2105" s="98" t="s">
        <v>4</v>
      </c>
      <c r="H2105" s="98">
        <v>0</v>
      </c>
      <c r="I2105" s="98">
        <v>0</v>
      </c>
      <c r="K2105" s="98">
        <v>3.0276999999999998</v>
      </c>
      <c r="L2105" s="98">
        <v>6.2894000000000005E-2</v>
      </c>
      <c r="M2105" s="98">
        <v>2.7052</v>
      </c>
      <c r="N2105" s="98">
        <v>6.2919000000000003E-2</v>
      </c>
      <c r="O2105" s="99" t="s">
        <v>912</v>
      </c>
    </row>
    <row r="2106" spans="1:15" x14ac:dyDescent="0.25">
      <c r="A2106" s="98" t="s">
        <v>54</v>
      </c>
      <c r="B2106" s="98" t="s">
        <v>3</v>
      </c>
      <c r="C2106" s="98">
        <v>330</v>
      </c>
      <c r="D2106" s="98">
        <v>1000.01</v>
      </c>
      <c r="E2106" s="98">
        <v>0.1</v>
      </c>
      <c r="F2106" s="98" t="s">
        <v>6</v>
      </c>
      <c r="G2106" s="98" t="s">
        <v>4</v>
      </c>
      <c r="H2106" s="98">
        <v>0</v>
      </c>
      <c r="I2106" s="98">
        <v>0</v>
      </c>
      <c r="K2106" s="98">
        <v>50.21</v>
      </c>
      <c r="L2106" s="98">
        <v>3.8072000000000002E-2</v>
      </c>
      <c r="M2106" s="98">
        <v>49.941000000000003</v>
      </c>
      <c r="N2106" s="98">
        <v>3.7448000000000002E-2</v>
      </c>
      <c r="O2106" s="99" t="s">
        <v>913</v>
      </c>
    </row>
    <row r="2107" spans="1:15" x14ac:dyDescent="0.25">
      <c r="A2107" s="98" t="s">
        <v>54</v>
      </c>
      <c r="B2107" s="98" t="s">
        <v>3</v>
      </c>
      <c r="C2107" s="98">
        <v>330</v>
      </c>
      <c r="D2107" s="98">
        <v>1000.01</v>
      </c>
      <c r="E2107" s="98">
        <v>1</v>
      </c>
      <c r="F2107" s="98" t="s">
        <v>6</v>
      </c>
      <c r="G2107" s="98" t="s">
        <v>4</v>
      </c>
      <c r="H2107" s="98">
        <v>0</v>
      </c>
      <c r="I2107" s="98">
        <v>0</v>
      </c>
      <c r="K2107" s="98">
        <v>578.9</v>
      </c>
      <c r="L2107" s="98">
        <v>5.3112000000000003E-3</v>
      </c>
      <c r="M2107" s="98">
        <v>578.86</v>
      </c>
      <c r="N2107" s="98">
        <v>4.8152999999999998E-3</v>
      </c>
      <c r="O2107" s="99" t="s">
        <v>914</v>
      </c>
    </row>
    <row r="2108" spans="1:15" x14ac:dyDescent="0.25">
      <c r="A2108" s="98" t="s">
        <v>54</v>
      </c>
      <c r="B2108" s="98" t="s">
        <v>3</v>
      </c>
      <c r="C2108" s="98">
        <v>330</v>
      </c>
      <c r="D2108" s="98">
        <v>1000.01</v>
      </c>
      <c r="E2108" s="98">
        <v>10</v>
      </c>
      <c r="F2108" s="98" t="s">
        <v>6</v>
      </c>
      <c r="G2108" s="98" t="s">
        <v>4</v>
      </c>
      <c r="H2108" s="98">
        <v>0</v>
      </c>
      <c r="I2108" s="98">
        <v>0</v>
      </c>
      <c r="K2108" s="98">
        <v>5799.9</v>
      </c>
      <c r="L2108" s="98">
        <v>6.8362000000000002E-4</v>
      </c>
      <c r="M2108" s="98">
        <v>5799.9</v>
      </c>
      <c r="N2108" s="98">
        <v>4.8322000000000003E-4</v>
      </c>
      <c r="O2108" s="99" t="s">
        <v>915</v>
      </c>
    </row>
    <row r="2109" spans="1:15" x14ac:dyDescent="0.25">
      <c r="A2109" s="98" t="s">
        <v>54</v>
      </c>
      <c r="B2109" s="98" t="s">
        <v>3</v>
      </c>
      <c r="C2109" s="98">
        <v>1000</v>
      </c>
      <c r="D2109" s="98">
        <v>1001</v>
      </c>
      <c r="E2109" s="98">
        <v>1E-3</v>
      </c>
      <c r="F2109" s="98" t="s">
        <v>6</v>
      </c>
      <c r="G2109" s="98" t="s">
        <v>4</v>
      </c>
      <c r="H2109" s="98">
        <v>0</v>
      </c>
      <c r="I2109" s="98">
        <v>0</v>
      </c>
      <c r="K2109" s="98">
        <v>1.9</v>
      </c>
      <c r="L2109" s="98">
        <v>6.4000000000000001E-2</v>
      </c>
      <c r="M2109" s="98">
        <v>1.7548999999999999</v>
      </c>
      <c r="N2109" s="98">
        <v>6.3615000000000005E-2</v>
      </c>
      <c r="O2109" s="99" t="s">
        <v>916</v>
      </c>
    </row>
    <row r="2110" spans="1:15" x14ac:dyDescent="0.25">
      <c r="A2110" s="98" t="s">
        <v>54</v>
      </c>
      <c r="B2110" s="98" t="s">
        <v>3</v>
      </c>
      <c r="C2110" s="98">
        <v>1000</v>
      </c>
      <c r="D2110" s="98">
        <v>1001</v>
      </c>
      <c r="E2110" s="98">
        <v>0.01</v>
      </c>
      <c r="F2110" s="98" t="s">
        <v>6</v>
      </c>
      <c r="G2110" s="98" t="s">
        <v>4</v>
      </c>
      <c r="H2110" s="98">
        <v>0</v>
      </c>
      <c r="I2110" s="98">
        <v>0</v>
      </c>
      <c r="K2110" s="98">
        <v>3.0276999999999998</v>
      </c>
      <c r="L2110" s="98">
        <v>6.2894000000000005E-2</v>
      </c>
      <c r="M2110" s="98">
        <v>2.7052</v>
      </c>
      <c r="N2110" s="98">
        <v>6.2919000000000003E-2</v>
      </c>
      <c r="O2110" s="99" t="s">
        <v>917</v>
      </c>
    </row>
    <row r="2111" spans="1:15" x14ac:dyDescent="0.25">
      <c r="A2111" s="98" t="s">
        <v>54</v>
      </c>
      <c r="B2111" s="98" t="s">
        <v>3</v>
      </c>
      <c r="C2111" s="98">
        <v>1000</v>
      </c>
      <c r="D2111" s="98">
        <v>1001</v>
      </c>
      <c r="E2111" s="98">
        <v>0.1</v>
      </c>
      <c r="F2111" s="98" t="s">
        <v>6</v>
      </c>
      <c r="G2111" s="98" t="s">
        <v>4</v>
      </c>
      <c r="H2111" s="98">
        <v>0</v>
      </c>
      <c r="I2111" s="98">
        <v>0</v>
      </c>
      <c r="K2111" s="98">
        <v>50.21</v>
      </c>
      <c r="L2111" s="98">
        <v>3.8072000000000002E-2</v>
      </c>
      <c r="M2111" s="98">
        <v>49.941000000000003</v>
      </c>
      <c r="N2111" s="98">
        <v>3.7448000000000002E-2</v>
      </c>
      <c r="O2111" s="99" t="s">
        <v>918</v>
      </c>
    </row>
    <row r="2112" spans="1:15" x14ac:dyDescent="0.25">
      <c r="A2112" s="98" t="s">
        <v>54</v>
      </c>
      <c r="B2112" s="98" t="s">
        <v>3</v>
      </c>
      <c r="C2112" s="98">
        <v>1000</v>
      </c>
      <c r="D2112" s="98">
        <v>1001</v>
      </c>
      <c r="E2112" s="98">
        <v>1</v>
      </c>
      <c r="F2112" s="98" t="s">
        <v>6</v>
      </c>
      <c r="G2112" s="98" t="s">
        <v>4</v>
      </c>
      <c r="H2112" s="98">
        <v>0</v>
      </c>
      <c r="I2112" s="98">
        <v>0</v>
      </c>
      <c r="K2112" s="98">
        <v>578.9</v>
      </c>
      <c r="L2112" s="98">
        <v>5.3112000000000003E-3</v>
      </c>
      <c r="M2112" s="98">
        <v>578.86</v>
      </c>
      <c r="N2112" s="98">
        <v>4.8152999999999998E-3</v>
      </c>
      <c r="O2112" s="99" t="s">
        <v>919</v>
      </c>
    </row>
    <row r="2113" spans="1:15" x14ac:dyDescent="0.25">
      <c r="A2113" s="98" t="s">
        <v>54</v>
      </c>
      <c r="B2113" s="98" t="s">
        <v>3</v>
      </c>
      <c r="C2113" s="98">
        <v>1000</v>
      </c>
      <c r="D2113" s="98">
        <v>1001</v>
      </c>
      <c r="E2113" s="98">
        <v>10</v>
      </c>
      <c r="F2113" s="98" t="s">
        <v>6</v>
      </c>
      <c r="G2113" s="98" t="s">
        <v>4</v>
      </c>
      <c r="H2113" s="98">
        <v>0</v>
      </c>
      <c r="I2113" s="98">
        <v>0</v>
      </c>
      <c r="K2113" s="98">
        <v>5799.9</v>
      </c>
      <c r="L2113" s="98">
        <v>6.8362000000000002E-4</v>
      </c>
      <c r="M2113" s="98">
        <v>5799.9</v>
      </c>
      <c r="N2113" s="98">
        <v>4.8322000000000003E-4</v>
      </c>
      <c r="O2113" s="99" t="s">
        <v>920</v>
      </c>
    </row>
    <row r="2114" spans="1:15" x14ac:dyDescent="0.25">
      <c r="A2114" s="98" t="s">
        <v>54</v>
      </c>
      <c r="B2114" s="98" t="s">
        <v>98</v>
      </c>
      <c r="C2114" s="98">
        <v>0</v>
      </c>
      <c r="D2114" s="98">
        <v>1.0900000000000001E-4</v>
      </c>
      <c r="E2114" s="98">
        <v>1E-10</v>
      </c>
      <c r="F2114" s="98" t="s">
        <v>152</v>
      </c>
      <c r="G2114" s="98" t="s">
        <v>152</v>
      </c>
      <c r="H2114" s="98">
        <v>0</v>
      </c>
      <c r="I2114" s="98">
        <v>0</v>
      </c>
      <c r="K2114" s="98">
        <v>0</v>
      </c>
      <c r="L2114" s="98">
        <v>3.5999999999999999E-3</v>
      </c>
      <c r="M2114" s="98">
        <v>0</v>
      </c>
      <c r="N2114" s="98">
        <v>0</v>
      </c>
      <c r="O2114" s="99" t="s">
        <v>820</v>
      </c>
    </row>
    <row r="2115" spans="1:15" x14ac:dyDescent="0.25">
      <c r="A2115" s="98" t="s">
        <v>54</v>
      </c>
      <c r="B2115" s="98" t="s">
        <v>98</v>
      </c>
      <c r="C2115" s="98">
        <v>0</v>
      </c>
      <c r="D2115" s="98">
        <v>1.0900000000000001E-4</v>
      </c>
      <c r="E2115" s="98">
        <v>1.0000000000000001E-9</v>
      </c>
      <c r="F2115" s="98" t="s">
        <v>152</v>
      </c>
      <c r="G2115" s="98" t="s">
        <v>152</v>
      </c>
      <c r="H2115" s="98">
        <v>0</v>
      </c>
      <c r="I2115" s="98">
        <v>0</v>
      </c>
      <c r="K2115" s="98">
        <v>0</v>
      </c>
      <c r="L2115" s="98">
        <v>3.5999999999999999E-3</v>
      </c>
      <c r="M2115" s="98">
        <v>0</v>
      </c>
      <c r="N2115" s="98">
        <v>0</v>
      </c>
      <c r="O2115" s="99" t="s">
        <v>821</v>
      </c>
    </row>
    <row r="2116" spans="1:15" x14ac:dyDescent="0.25">
      <c r="A2116" s="98" t="s">
        <v>54</v>
      </c>
      <c r="B2116" s="98" t="s">
        <v>98</v>
      </c>
      <c r="C2116" s="98">
        <v>0</v>
      </c>
      <c r="D2116" s="98">
        <v>1.0900000000000001E-4</v>
      </c>
      <c r="E2116" s="98">
        <v>1E-8</v>
      </c>
      <c r="F2116" s="98" t="s">
        <v>152</v>
      </c>
      <c r="G2116" s="98" t="s">
        <v>152</v>
      </c>
      <c r="H2116" s="98">
        <v>0</v>
      </c>
      <c r="I2116" s="98">
        <v>0</v>
      </c>
      <c r="K2116" s="98">
        <v>0</v>
      </c>
      <c r="L2116" s="98">
        <v>6.8024000000000001E-3</v>
      </c>
      <c r="M2116" s="98">
        <v>0</v>
      </c>
      <c r="N2116" s="98">
        <v>0</v>
      </c>
      <c r="O2116" s="99" t="s">
        <v>822</v>
      </c>
    </row>
    <row r="2117" spans="1:15" x14ac:dyDescent="0.25">
      <c r="A2117" s="98" t="s">
        <v>54</v>
      </c>
      <c r="B2117" s="98" t="s">
        <v>98</v>
      </c>
      <c r="C2117" s="98">
        <v>0</v>
      </c>
      <c r="D2117" s="98">
        <v>1.0900000000000001E-4</v>
      </c>
      <c r="E2117" s="98">
        <v>9.9999999999999995E-8</v>
      </c>
      <c r="F2117" s="98" t="s">
        <v>152</v>
      </c>
      <c r="G2117" s="98" t="s">
        <v>152</v>
      </c>
      <c r="H2117" s="98">
        <v>0</v>
      </c>
      <c r="I2117" s="98">
        <v>0</v>
      </c>
      <c r="K2117" s="98">
        <v>0</v>
      </c>
      <c r="L2117" s="98">
        <v>5.8110000000000002E-2</v>
      </c>
      <c r="M2117" s="98">
        <v>0</v>
      </c>
      <c r="N2117" s="98">
        <v>0</v>
      </c>
      <c r="O2117" s="99" t="s">
        <v>823</v>
      </c>
    </row>
    <row r="2118" spans="1:15" x14ac:dyDescent="0.25">
      <c r="A2118" s="98" t="s">
        <v>54</v>
      </c>
      <c r="B2118" s="98" t="s">
        <v>98</v>
      </c>
      <c r="C2118" s="98">
        <v>0</v>
      </c>
      <c r="D2118" s="98">
        <v>1.0900000000000001E-4</v>
      </c>
      <c r="E2118" s="98">
        <v>9.9999999999999995E-7</v>
      </c>
      <c r="F2118" s="98" t="s">
        <v>152</v>
      </c>
      <c r="G2118" s="98" t="s">
        <v>152</v>
      </c>
      <c r="H2118" s="98">
        <v>0</v>
      </c>
      <c r="I2118" s="98">
        <v>0</v>
      </c>
      <c r="K2118" s="98">
        <v>0</v>
      </c>
      <c r="L2118" s="98">
        <v>0.58001000000000003</v>
      </c>
      <c r="M2118" s="98">
        <v>0</v>
      </c>
      <c r="N2118" s="98">
        <v>0</v>
      </c>
      <c r="O2118" s="99" t="s">
        <v>824</v>
      </c>
    </row>
    <row r="2119" spans="1:15" x14ac:dyDescent="0.25">
      <c r="A2119" s="98" t="s">
        <v>54</v>
      </c>
      <c r="B2119" s="98" t="s">
        <v>98</v>
      </c>
      <c r="C2119" s="98">
        <v>0</v>
      </c>
      <c r="D2119" s="98">
        <v>1.0900000000000001E-4</v>
      </c>
      <c r="E2119" s="98">
        <v>1.0000000000000001E-5</v>
      </c>
      <c r="F2119" s="98" t="s">
        <v>152</v>
      </c>
      <c r="G2119" s="98" t="s">
        <v>152</v>
      </c>
      <c r="H2119" s="98">
        <v>0</v>
      </c>
      <c r="I2119" s="98">
        <v>0</v>
      </c>
      <c r="K2119" s="98">
        <v>0</v>
      </c>
      <c r="L2119" s="98">
        <v>5.8</v>
      </c>
      <c r="M2119" s="98">
        <v>0</v>
      </c>
      <c r="N2119" s="98">
        <v>0</v>
      </c>
      <c r="O2119" s="99" t="s">
        <v>825</v>
      </c>
    </row>
    <row r="2120" spans="1:15" x14ac:dyDescent="0.25">
      <c r="A2120" s="98" t="s">
        <v>54</v>
      </c>
      <c r="B2120" s="98" t="s">
        <v>98</v>
      </c>
      <c r="C2120" s="98">
        <v>0</v>
      </c>
      <c r="D2120" s="98">
        <v>1.0900000000000001E-4</v>
      </c>
      <c r="E2120" s="98">
        <v>1E-4</v>
      </c>
      <c r="F2120" s="98" t="s">
        <v>152</v>
      </c>
      <c r="G2120" s="98" t="s">
        <v>152</v>
      </c>
      <c r="H2120" s="98">
        <v>0</v>
      </c>
      <c r="I2120" s="98">
        <v>0</v>
      </c>
      <c r="K2120" s="98">
        <v>0</v>
      </c>
      <c r="L2120" s="98">
        <v>58</v>
      </c>
      <c r="M2120" s="98">
        <v>0</v>
      </c>
      <c r="N2120" s="98">
        <v>0</v>
      </c>
      <c r="O2120" s="99" t="s">
        <v>826</v>
      </c>
    </row>
    <row r="2121" spans="1:15" x14ac:dyDescent="0.25">
      <c r="A2121" s="98" t="s">
        <v>54</v>
      </c>
      <c r="B2121" s="98" t="s">
        <v>98</v>
      </c>
      <c r="C2121" s="98">
        <v>0</v>
      </c>
      <c r="D2121" s="98">
        <v>1.0900000000000001E-4</v>
      </c>
      <c r="E2121" s="98">
        <v>1E-3</v>
      </c>
      <c r="F2121" s="98" t="s">
        <v>152</v>
      </c>
      <c r="G2121" s="98" t="s">
        <v>152</v>
      </c>
      <c r="H2121" s="98">
        <v>0</v>
      </c>
      <c r="I2121" s="98">
        <v>0</v>
      </c>
      <c r="K2121" s="98">
        <v>0</v>
      </c>
      <c r="L2121" s="98">
        <v>580</v>
      </c>
      <c r="M2121" s="98">
        <v>0</v>
      </c>
      <c r="N2121" s="98">
        <v>0</v>
      </c>
      <c r="O2121" s="99" t="s">
        <v>827</v>
      </c>
    </row>
    <row r="2122" spans="1:15" x14ac:dyDescent="0.25">
      <c r="A2122" s="98" t="s">
        <v>54</v>
      </c>
      <c r="B2122" s="98" t="s">
        <v>98</v>
      </c>
      <c r="C2122" s="98">
        <v>0</v>
      </c>
      <c r="D2122" s="98">
        <v>1.0900000000000001E-4</v>
      </c>
      <c r="E2122" s="98">
        <v>0.01</v>
      </c>
      <c r="F2122" s="98" t="s">
        <v>152</v>
      </c>
      <c r="G2122" s="98" t="s">
        <v>152</v>
      </c>
      <c r="H2122" s="98">
        <v>0</v>
      </c>
      <c r="I2122" s="98">
        <v>0</v>
      </c>
      <c r="K2122" s="98">
        <v>0</v>
      </c>
      <c r="L2122" s="98">
        <v>5800</v>
      </c>
      <c r="M2122" s="98">
        <v>0</v>
      </c>
      <c r="N2122" s="98">
        <v>0</v>
      </c>
      <c r="O2122" s="99" t="s">
        <v>828</v>
      </c>
    </row>
    <row r="2123" spans="1:15" x14ac:dyDescent="0.25">
      <c r="A2123" s="98" t="s">
        <v>54</v>
      </c>
      <c r="B2123" s="98" t="s">
        <v>98</v>
      </c>
      <c r="C2123" s="98">
        <v>1.0900000000000001E-4</v>
      </c>
      <c r="D2123" s="98">
        <v>1.0900999999999999E-6</v>
      </c>
      <c r="E2123" s="98">
        <v>1E-8</v>
      </c>
      <c r="F2123" s="98" t="s">
        <v>152</v>
      </c>
      <c r="G2123" s="98" t="s">
        <v>152</v>
      </c>
      <c r="H2123" s="98">
        <v>0</v>
      </c>
      <c r="I2123" s="98">
        <v>0</v>
      </c>
      <c r="K2123" s="98">
        <v>0</v>
      </c>
      <c r="L2123" s="98">
        <v>3.5E-4</v>
      </c>
      <c r="M2123" s="98">
        <v>0</v>
      </c>
      <c r="N2123" s="98">
        <v>0</v>
      </c>
      <c r="O2123" s="99" t="s">
        <v>829</v>
      </c>
    </row>
    <row r="2124" spans="1:15" x14ac:dyDescent="0.25">
      <c r="A2124" s="98" t="s">
        <v>54</v>
      </c>
      <c r="B2124" s="98" t="s">
        <v>98</v>
      </c>
      <c r="C2124" s="98">
        <v>1.0900000000000001E-4</v>
      </c>
      <c r="D2124" s="98">
        <v>1.0900999999999999E-6</v>
      </c>
      <c r="E2124" s="98">
        <v>9.9999999999999995E-8</v>
      </c>
      <c r="F2124" s="98" t="s">
        <v>152</v>
      </c>
      <c r="G2124" s="98" t="s">
        <v>152</v>
      </c>
      <c r="H2124" s="98">
        <v>0</v>
      </c>
      <c r="I2124" s="98">
        <v>0</v>
      </c>
      <c r="K2124" s="98">
        <v>0</v>
      </c>
      <c r="L2124" s="98">
        <v>6.3400999999999996E-4</v>
      </c>
      <c r="M2124" s="98">
        <v>0</v>
      </c>
      <c r="N2124" s="98">
        <v>0</v>
      </c>
      <c r="O2124" s="99" t="s">
        <v>830</v>
      </c>
    </row>
    <row r="2125" spans="1:15" x14ac:dyDescent="0.25">
      <c r="A2125" s="98" t="s">
        <v>54</v>
      </c>
      <c r="B2125" s="98" t="s">
        <v>98</v>
      </c>
      <c r="C2125" s="98">
        <v>1.0900000000000001E-4</v>
      </c>
      <c r="D2125" s="98">
        <v>1.0900999999999999E-6</v>
      </c>
      <c r="E2125" s="98">
        <v>9.9999999999999995E-7</v>
      </c>
      <c r="F2125" s="98" t="s">
        <v>152</v>
      </c>
      <c r="G2125" s="98" t="s">
        <v>152</v>
      </c>
      <c r="H2125" s="98">
        <v>0</v>
      </c>
      <c r="I2125" s="98">
        <v>0</v>
      </c>
      <c r="K2125" s="98">
        <v>0</v>
      </c>
      <c r="L2125" s="98">
        <v>5.3337000000000002E-3</v>
      </c>
      <c r="M2125" s="98">
        <v>0</v>
      </c>
      <c r="N2125" s="98">
        <v>0</v>
      </c>
      <c r="O2125" s="99" t="s">
        <v>831</v>
      </c>
    </row>
    <row r="2126" spans="1:15" x14ac:dyDescent="0.25">
      <c r="A2126" s="98" t="s">
        <v>54</v>
      </c>
      <c r="B2126" s="98" t="s">
        <v>98</v>
      </c>
      <c r="C2126" s="98">
        <v>1.0900000000000001E-4</v>
      </c>
      <c r="D2126" s="98">
        <v>1.0900999999999999E-6</v>
      </c>
      <c r="E2126" s="98">
        <v>1.0000000000000001E-5</v>
      </c>
      <c r="F2126" s="98" t="s">
        <v>152</v>
      </c>
      <c r="G2126" s="98" t="s">
        <v>152</v>
      </c>
      <c r="H2126" s="98">
        <v>0</v>
      </c>
      <c r="I2126" s="98">
        <v>0</v>
      </c>
      <c r="K2126" s="98">
        <v>0</v>
      </c>
      <c r="L2126" s="98">
        <v>5.3213000000000003E-2</v>
      </c>
      <c r="M2126" s="98">
        <v>0</v>
      </c>
      <c r="N2126" s="98">
        <v>0</v>
      </c>
      <c r="O2126" s="99" t="s">
        <v>832</v>
      </c>
    </row>
    <row r="2127" spans="1:15" x14ac:dyDescent="0.25">
      <c r="A2127" s="98" t="s">
        <v>54</v>
      </c>
      <c r="B2127" s="98" t="s">
        <v>98</v>
      </c>
      <c r="C2127" s="98">
        <v>1.0900000000000001E-4</v>
      </c>
      <c r="D2127" s="98">
        <v>1.0900999999999999E-6</v>
      </c>
      <c r="E2127" s="98">
        <v>1E-4</v>
      </c>
      <c r="F2127" s="98" t="s">
        <v>152</v>
      </c>
      <c r="G2127" s="98" t="s">
        <v>152</v>
      </c>
      <c r="H2127" s="98">
        <v>0</v>
      </c>
      <c r="I2127" s="98">
        <v>0</v>
      </c>
      <c r="K2127" s="98">
        <v>0</v>
      </c>
      <c r="L2127" s="98">
        <v>0.53210999999999997</v>
      </c>
      <c r="M2127" s="98">
        <v>0</v>
      </c>
      <c r="N2127" s="98">
        <v>0</v>
      </c>
      <c r="O2127" s="99" t="s">
        <v>833</v>
      </c>
    </row>
    <row r="2128" spans="1:15" x14ac:dyDescent="0.25">
      <c r="A2128" s="98" t="s">
        <v>54</v>
      </c>
      <c r="B2128" s="98" t="s">
        <v>98</v>
      </c>
      <c r="C2128" s="98">
        <v>1.09E-3</v>
      </c>
      <c r="D2128" s="98">
        <v>1.0900099999999999E-2</v>
      </c>
      <c r="E2128" s="98">
        <v>9.9999999999999995E-8</v>
      </c>
      <c r="F2128" s="98" t="s">
        <v>152</v>
      </c>
      <c r="G2128" s="98" t="s">
        <v>152</v>
      </c>
      <c r="H2128" s="98">
        <v>0</v>
      </c>
      <c r="I2128" s="98">
        <v>0</v>
      </c>
      <c r="K2128" s="98">
        <v>0</v>
      </c>
      <c r="L2128" s="98">
        <v>2.4000000000000001E-4</v>
      </c>
      <c r="M2128" s="98">
        <v>0</v>
      </c>
      <c r="N2128" s="98">
        <v>0</v>
      </c>
      <c r="O2128" s="99" t="s">
        <v>834</v>
      </c>
    </row>
    <row r="2129" spans="1:15" x14ac:dyDescent="0.25">
      <c r="A2129" s="98" t="s">
        <v>54</v>
      </c>
      <c r="B2129" s="98" t="s">
        <v>98</v>
      </c>
      <c r="C2129" s="98">
        <v>1.09E-3</v>
      </c>
      <c r="D2129" s="98">
        <v>1.0900099999999999E-2</v>
      </c>
      <c r="E2129" s="98">
        <v>9.9999999999999995E-7</v>
      </c>
      <c r="F2129" s="98" t="s">
        <v>152</v>
      </c>
      <c r="G2129" s="98" t="s">
        <v>152</v>
      </c>
      <c r="H2129" s="98">
        <v>0</v>
      </c>
      <c r="I2129" s="98">
        <v>0</v>
      </c>
      <c r="K2129" s="98">
        <v>0</v>
      </c>
      <c r="L2129" s="98">
        <v>5.8093000000000001E-4</v>
      </c>
      <c r="M2129" s="98">
        <v>0</v>
      </c>
      <c r="N2129" s="98">
        <v>0</v>
      </c>
      <c r="O2129" s="99" t="s">
        <v>835</v>
      </c>
    </row>
    <row r="2130" spans="1:15" x14ac:dyDescent="0.25">
      <c r="A2130" s="98" t="s">
        <v>54</v>
      </c>
      <c r="B2130" s="98" t="s">
        <v>98</v>
      </c>
      <c r="C2130" s="98">
        <v>1.09E-3</v>
      </c>
      <c r="D2130" s="98">
        <v>1.0900099999999999E-2</v>
      </c>
      <c r="E2130" s="98">
        <v>1.0000000000000001E-5</v>
      </c>
      <c r="F2130" s="98" t="s">
        <v>152</v>
      </c>
      <c r="G2130" s="98" t="s">
        <v>152</v>
      </c>
      <c r="H2130" s="98">
        <v>0</v>
      </c>
      <c r="I2130" s="98">
        <v>0</v>
      </c>
      <c r="K2130" s="98">
        <v>0</v>
      </c>
      <c r="L2130" s="98">
        <v>5.3277000000000003E-3</v>
      </c>
      <c r="M2130" s="98">
        <v>0</v>
      </c>
      <c r="N2130" s="98">
        <v>0</v>
      </c>
      <c r="O2130" s="99" t="s">
        <v>836</v>
      </c>
    </row>
    <row r="2131" spans="1:15" x14ac:dyDescent="0.25">
      <c r="A2131" s="98" t="s">
        <v>54</v>
      </c>
      <c r="B2131" s="98" t="s">
        <v>98</v>
      </c>
      <c r="C2131" s="98">
        <v>1.09E-3</v>
      </c>
      <c r="D2131" s="98">
        <v>1.0900099999999999E-2</v>
      </c>
      <c r="E2131" s="98">
        <v>1E-4</v>
      </c>
      <c r="F2131" s="98" t="s">
        <v>152</v>
      </c>
      <c r="G2131" s="98" t="s">
        <v>152</v>
      </c>
      <c r="H2131" s="98">
        <v>0</v>
      </c>
      <c r="I2131" s="98">
        <v>0</v>
      </c>
      <c r="K2131" s="98">
        <v>0</v>
      </c>
      <c r="L2131" s="98">
        <v>5.3212000000000002E-2</v>
      </c>
      <c r="M2131" s="98">
        <v>0</v>
      </c>
      <c r="N2131" s="98">
        <v>0</v>
      </c>
      <c r="O2131" s="99" t="s">
        <v>837</v>
      </c>
    </row>
    <row r="2132" spans="1:15" x14ac:dyDescent="0.25">
      <c r="A2132" s="98" t="s">
        <v>54</v>
      </c>
      <c r="B2132" s="98" t="s">
        <v>98</v>
      </c>
      <c r="C2132" s="98">
        <v>1.09E-3</v>
      </c>
      <c r="D2132" s="98">
        <v>1.0900099999999999E-2</v>
      </c>
      <c r="E2132" s="98">
        <v>1E-3</v>
      </c>
      <c r="F2132" s="98" t="s">
        <v>152</v>
      </c>
      <c r="G2132" s="98" t="s">
        <v>152</v>
      </c>
      <c r="H2132" s="98">
        <v>0</v>
      </c>
      <c r="I2132" s="98">
        <v>0</v>
      </c>
      <c r="K2132" s="98">
        <v>0</v>
      </c>
      <c r="L2132" s="98">
        <v>0.53210999999999997</v>
      </c>
      <c r="M2132" s="98">
        <v>0</v>
      </c>
      <c r="N2132" s="98">
        <v>0</v>
      </c>
      <c r="O2132" s="99" t="s">
        <v>838</v>
      </c>
    </row>
    <row r="2133" spans="1:15" x14ac:dyDescent="0.25">
      <c r="A2133" s="98" t="s">
        <v>54</v>
      </c>
      <c r="B2133" s="98" t="s">
        <v>98</v>
      </c>
      <c r="C2133" s="98">
        <v>1.09E-2</v>
      </c>
      <c r="D2133" s="98">
        <v>0.1090001</v>
      </c>
      <c r="E2133" s="98">
        <v>9.9999999999999995E-7</v>
      </c>
      <c r="F2133" s="98" t="s">
        <v>152</v>
      </c>
      <c r="G2133" s="98" t="s">
        <v>152</v>
      </c>
      <c r="H2133" s="98">
        <v>0</v>
      </c>
      <c r="I2133" s="98">
        <v>0</v>
      </c>
      <c r="K2133" s="98">
        <v>0</v>
      </c>
      <c r="L2133" s="98">
        <v>1.9000000000000001E-4</v>
      </c>
      <c r="M2133" s="98">
        <v>0</v>
      </c>
      <c r="N2133" s="98">
        <v>0</v>
      </c>
      <c r="O2133" s="99" t="s">
        <v>839</v>
      </c>
    </row>
    <row r="2134" spans="1:15" x14ac:dyDescent="0.25">
      <c r="A2134" s="98" t="s">
        <v>54</v>
      </c>
      <c r="B2134" s="98" t="s">
        <v>98</v>
      </c>
      <c r="C2134" s="98">
        <v>1.09E-2</v>
      </c>
      <c r="D2134" s="98">
        <v>0.1090001</v>
      </c>
      <c r="E2134" s="98">
        <v>1.0000000000000001E-5</v>
      </c>
      <c r="F2134" s="98" t="s">
        <v>152</v>
      </c>
      <c r="G2134" s="98" t="s">
        <v>152</v>
      </c>
      <c r="H2134" s="98">
        <v>0</v>
      </c>
      <c r="I2134" s="98">
        <v>0</v>
      </c>
      <c r="K2134" s="98">
        <v>0</v>
      </c>
      <c r="L2134" s="98">
        <v>5.6395000000000002E-4</v>
      </c>
      <c r="M2134" s="98">
        <v>0</v>
      </c>
      <c r="N2134" s="98">
        <v>0</v>
      </c>
      <c r="O2134" s="99" t="s">
        <v>840</v>
      </c>
    </row>
    <row r="2135" spans="1:15" x14ac:dyDescent="0.25">
      <c r="A2135" s="98" t="s">
        <v>54</v>
      </c>
      <c r="B2135" s="98" t="s">
        <v>98</v>
      </c>
      <c r="C2135" s="98">
        <v>1.09E-2</v>
      </c>
      <c r="D2135" s="98">
        <v>0.1090001</v>
      </c>
      <c r="E2135" s="98">
        <v>1E-4</v>
      </c>
      <c r="F2135" s="98" t="s">
        <v>152</v>
      </c>
      <c r="G2135" s="98" t="s">
        <v>152</v>
      </c>
      <c r="H2135" s="98">
        <v>0</v>
      </c>
      <c r="I2135" s="98">
        <v>0</v>
      </c>
      <c r="K2135" s="98">
        <v>0</v>
      </c>
      <c r="L2135" s="98">
        <v>5.3308000000000001E-3</v>
      </c>
      <c r="M2135" s="98">
        <v>0</v>
      </c>
      <c r="N2135" s="98">
        <v>0</v>
      </c>
      <c r="O2135" s="99" t="s">
        <v>841</v>
      </c>
    </row>
    <row r="2136" spans="1:15" x14ac:dyDescent="0.25">
      <c r="A2136" s="98" t="s">
        <v>54</v>
      </c>
      <c r="B2136" s="98" t="s">
        <v>98</v>
      </c>
      <c r="C2136" s="98">
        <v>1.09E-2</v>
      </c>
      <c r="D2136" s="98">
        <v>0.1090001</v>
      </c>
      <c r="E2136" s="98">
        <v>1E-3</v>
      </c>
      <c r="F2136" s="98" t="s">
        <v>152</v>
      </c>
      <c r="G2136" s="98" t="s">
        <v>152</v>
      </c>
      <c r="H2136" s="98">
        <v>0</v>
      </c>
      <c r="I2136" s="98">
        <v>0</v>
      </c>
      <c r="K2136" s="98">
        <v>0</v>
      </c>
      <c r="L2136" s="98">
        <v>5.3261000000000003E-2</v>
      </c>
      <c r="M2136" s="98">
        <v>0</v>
      </c>
      <c r="N2136" s="98">
        <v>0</v>
      </c>
      <c r="O2136" s="99" t="s">
        <v>842</v>
      </c>
    </row>
    <row r="2137" spans="1:15" x14ac:dyDescent="0.25">
      <c r="A2137" s="98" t="s">
        <v>54</v>
      </c>
      <c r="B2137" s="98" t="s">
        <v>98</v>
      </c>
      <c r="C2137" s="98">
        <v>1.09E-2</v>
      </c>
      <c r="D2137" s="98">
        <v>0.1090001</v>
      </c>
      <c r="E2137" s="98">
        <v>0.01</v>
      </c>
      <c r="F2137" s="98" t="s">
        <v>152</v>
      </c>
      <c r="G2137" s="98" t="s">
        <v>152</v>
      </c>
      <c r="H2137" s="98">
        <v>0</v>
      </c>
      <c r="I2137" s="98">
        <v>0</v>
      </c>
      <c r="K2137" s="98">
        <v>0</v>
      </c>
      <c r="L2137" s="98">
        <v>0.53259999999999996</v>
      </c>
      <c r="M2137" s="98">
        <v>0</v>
      </c>
      <c r="N2137" s="98">
        <v>0</v>
      </c>
      <c r="O2137" s="99" t="s">
        <v>843</v>
      </c>
    </row>
    <row r="2138" spans="1:15" x14ac:dyDescent="0.25">
      <c r="A2138" s="98" t="s">
        <v>54</v>
      </c>
      <c r="B2138" s="98" t="s">
        <v>98</v>
      </c>
      <c r="C2138" s="98">
        <v>0.109</v>
      </c>
      <c r="D2138" s="98">
        <v>1.0901000000000001</v>
      </c>
      <c r="E2138" s="98">
        <v>1.0000000000000001E-5</v>
      </c>
      <c r="F2138" s="98" t="s">
        <v>152</v>
      </c>
      <c r="G2138" s="98" t="s">
        <v>152</v>
      </c>
      <c r="H2138" s="98">
        <v>0</v>
      </c>
      <c r="I2138" s="98">
        <v>0</v>
      </c>
      <c r="K2138" s="98">
        <v>0</v>
      </c>
      <c r="L2138" s="98">
        <v>2.3000000000000001E-4</v>
      </c>
      <c r="M2138" s="98">
        <v>0</v>
      </c>
      <c r="N2138" s="98">
        <v>0</v>
      </c>
      <c r="O2138" s="99" t="s">
        <v>844</v>
      </c>
    </row>
    <row r="2139" spans="1:15" x14ac:dyDescent="0.25">
      <c r="A2139" s="98" t="s">
        <v>54</v>
      </c>
      <c r="B2139" s="98" t="s">
        <v>98</v>
      </c>
      <c r="C2139" s="98">
        <v>0.109</v>
      </c>
      <c r="D2139" s="98">
        <v>1.0901000000000001</v>
      </c>
      <c r="E2139" s="98">
        <v>1E-4</v>
      </c>
      <c r="F2139" s="98" t="s">
        <v>152</v>
      </c>
      <c r="G2139" s="98" t="s">
        <v>152</v>
      </c>
      <c r="H2139" s="98">
        <v>0</v>
      </c>
      <c r="I2139" s="98">
        <v>0</v>
      </c>
      <c r="K2139" s="98">
        <v>0</v>
      </c>
      <c r="L2139" s="98">
        <v>5.7855999999999999E-4</v>
      </c>
      <c r="M2139" s="98">
        <v>0</v>
      </c>
      <c r="N2139" s="98">
        <v>0</v>
      </c>
      <c r="O2139" s="99" t="s">
        <v>845</v>
      </c>
    </row>
    <row r="2140" spans="1:15" x14ac:dyDescent="0.25">
      <c r="A2140" s="98" t="s">
        <v>54</v>
      </c>
      <c r="B2140" s="98" t="s">
        <v>98</v>
      </c>
      <c r="C2140" s="98">
        <v>0.109</v>
      </c>
      <c r="D2140" s="98">
        <v>1.0901000000000001</v>
      </c>
      <c r="E2140" s="98">
        <v>1E-3</v>
      </c>
      <c r="F2140" s="98" t="s">
        <v>152</v>
      </c>
      <c r="G2140" s="98" t="s">
        <v>152</v>
      </c>
      <c r="H2140" s="98">
        <v>0</v>
      </c>
      <c r="I2140" s="98">
        <v>0</v>
      </c>
      <c r="K2140" s="98">
        <v>0</v>
      </c>
      <c r="L2140" s="98">
        <v>5.3324000000000002E-3</v>
      </c>
      <c r="M2140" s="98">
        <v>0</v>
      </c>
      <c r="N2140" s="98">
        <v>0</v>
      </c>
      <c r="O2140" s="99" t="s">
        <v>846</v>
      </c>
    </row>
    <row r="2141" spans="1:15" x14ac:dyDescent="0.25">
      <c r="A2141" s="98" t="s">
        <v>54</v>
      </c>
      <c r="B2141" s="98" t="s">
        <v>98</v>
      </c>
      <c r="C2141" s="98">
        <v>0.109</v>
      </c>
      <c r="D2141" s="98">
        <v>1.0901000000000001</v>
      </c>
      <c r="E2141" s="98">
        <v>0.01</v>
      </c>
      <c r="F2141" s="98" t="s">
        <v>152</v>
      </c>
      <c r="G2141" s="98" t="s">
        <v>152</v>
      </c>
      <c r="H2141" s="98">
        <v>0</v>
      </c>
      <c r="I2141" s="98">
        <v>0</v>
      </c>
      <c r="K2141" s="98">
        <v>0</v>
      </c>
      <c r="L2141" s="98">
        <v>5.3261000000000003E-2</v>
      </c>
      <c r="M2141" s="98">
        <v>0</v>
      </c>
      <c r="N2141" s="98">
        <v>0</v>
      </c>
      <c r="O2141" s="99" t="s">
        <v>847</v>
      </c>
    </row>
    <row r="2142" spans="1:15" x14ac:dyDescent="0.25">
      <c r="A2142" s="98" t="s">
        <v>54</v>
      </c>
      <c r="B2142" s="98" t="s">
        <v>98</v>
      </c>
      <c r="C2142" s="98">
        <v>0.109</v>
      </c>
      <c r="D2142" s="98">
        <v>1.0901000000000001</v>
      </c>
      <c r="E2142" s="98">
        <v>0.1</v>
      </c>
      <c r="F2142" s="98" t="s">
        <v>152</v>
      </c>
      <c r="G2142" s="98" t="s">
        <v>152</v>
      </c>
      <c r="H2142" s="98">
        <v>0</v>
      </c>
      <c r="I2142" s="98">
        <v>0</v>
      </c>
      <c r="K2142" s="98">
        <v>0</v>
      </c>
      <c r="L2142" s="98">
        <v>0.53259999999999996</v>
      </c>
      <c r="M2142" s="98">
        <v>0</v>
      </c>
      <c r="N2142" s="98">
        <v>0</v>
      </c>
      <c r="O2142" s="99" t="s">
        <v>848</v>
      </c>
    </row>
    <row r="2143" spans="1:15" x14ac:dyDescent="0.25">
      <c r="A2143" s="98" t="s">
        <v>54</v>
      </c>
      <c r="B2143" s="98" t="s">
        <v>98</v>
      </c>
      <c r="C2143" s="98">
        <v>1.0900000000000001</v>
      </c>
      <c r="D2143" s="98">
        <v>10.9001</v>
      </c>
      <c r="E2143" s="98">
        <v>1E-4</v>
      </c>
      <c r="F2143" s="98" t="s">
        <v>152</v>
      </c>
      <c r="G2143" s="98" t="s">
        <v>152</v>
      </c>
      <c r="H2143" s="98">
        <v>0</v>
      </c>
      <c r="I2143" s="98">
        <v>0</v>
      </c>
      <c r="K2143" s="98">
        <v>0</v>
      </c>
      <c r="L2143" s="98">
        <v>2.3000000000000001E-4</v>
      </c>
      <c r="M2143" s="98">
        <v>0</v>
      </c>
      <c r="N2143" s="98">
        <v>0</v>
      </c>
      <c r="O2143" s="99" t="s">
        <v>849</v>
      </c>
    </row>
    <row r="2144" spans="1:15" x14ac:dyDescent="0.25">
      <c r="A2144" s="98" t="s">
        <v>54</v>
      </c>
      <c r="B2144" s="98" t="s">
        <v>98</v>
      </c>
      <c r="C2144" s="98">
        <v>1.0900000000000001</v>
      </c>
      <c r="D2144" s="98">
        <v>10.9001</v>
      </c>
      <c r="E2144" s="98">
        <v>1E-3</v>
      </c>
      <c r="F2144" s="98" t="s">
        <v>152</v>
      </c>
      <c r="G2144" s="98" t="s">
        <v>152</v>
      </c>
      <c r="H2144" s="98">
        <v>0</v>
      </c>
      <c r="I2144" s="98">
        <v>0</v>
      </c>
      <c r="K2144" s="98">
        <v>0</v>
      </c>
      <c r="L2144" s="98">
        <v>5.7824999999999999E-4</v>
      </c>
      <c r="M2144" s="98">
        <v>0</v>
      </c>
      <c r="N2144" s="98">
        <v>0</v>
      </c>
      <c r="O2144" s="99" t="s">
        <v>850</v>
      </c>
    </row>
    <row r="2145" spans="1:15" x14ac:dyDescent="0.25">
      <c r="A2145" s="98" t="s">
        <v>54</v>
      </c>
      <c r="B2145" s="98" t="s">
        <v>98</v>
      </c>
      <c r="C2145" s="98">
        <v>1.0900000000000001</v>
      </c>
      <c r="D2145" s="98">
        <v>10.9001</v>
      </c>
      <c r="E2145" s="98">
        <v>0.01</v>
      </c>
      <c r="F2145" s="98" t="s">
        <v>152</v>
      </c>
      <c r="G2145" s="98" t="s">
        <v>152</v>
      </c>
      <c r="H2145" s="98">
        <v>0</v>
      </c>
      <c r="I2145" s="98">
        <v>0</v>
      </c>
      <c r="K2145" s="98">
        <v>0</v>
      </c>
      <c r="L2145" s="98">
        <v>5.3321999999999996E-3</v>
      </c>
      <c r="M2145" s="98">
        <v>0</v>
      </c>
      <c r="N2145" s="98">
        <v>0</v>
      </c>
      <c r="O2145" s="99" t="s">
        <v>851</v>
      </c>
    </row>
    <row r="2146" spans="1:15" x14ac:dyDescent="0.25">
      <c r="A2146" s="98" t="s">
        <v>54</v>
      </c>
      <c r="B2146" s="98" t="s">
        <v>98</v>
      </c>
      <c r="C2146" s="98">
        <v>1.0900000000000001</v>
      </c>
      <c r="D2146" s="98">
        <v>10.9001</v>
      </c>
      <c r="E2146" s="98">
        <v>0.1</v>
      </c>
      <c r="F2146" s="98" t="s">
        <v>152</v>
      </c>
      <c r="G2146" s="98" t="s">
        <v>152</v>
      </c>
      <c r="H2146" s="98">
        <v>0</v>
      </c>
      <c r="I2146" s="98">
        <v>0</v>
      </c>
      <c r="K2146" s="98">
        <v>0</v>
      </c>
      <c r="L2146" s="98">
        <v>5.3261000000000003E-2</v>
      </c>
      <c r="M2146" s="98">
        <v>0</v>
      </c>
      <c r="N2146" s="98">
        <v>0</v>
      </c>
      <c r="O2146" s="99" t="s">
        <v>852</v>
      </c>
    </row>
    <row r="2147" spans="1:15" x14ac:dyDescent="0.25">
      <c r="A2147" s="98" t="s">
        <v>54</v>
      </c>
      <c r="B2147" s="98" t="s">
        <v>98</v>
      </c>
      <c r="C2147" s="98">
        <v>1.0900000000000001</v>
      </c>
      <c r="D2147" s="98">
        <v>10.9001</v>
      </c>
      <c r="E2147" s="98">
        <v>1</v>
      </c>
      <c r="F2147" s="98" t="s">
        <v>152</v>
      </c>
      <c r="G2147" s="98" t="s">
        <v>152</v>
      </c>
      <c r="H2147" s="98">
        <v>0</v>
      </c>
      <c r="I2147" s="98">
        <v>0</v>
      </c>
      <c r="K2147" s="98">
        <v>0</v>
      </c>
      <c r="L2147" s="98">
        <v>0.53259999999999996</v>
      </c>
      <c r="M2147" s="98">
        <v>0</v>
      </c>
      <c r="N2147" s="98">
        <v>0</v>
      </c>
      <c r="O2147" s="99" t="s">
        <v>853</v>
      </c>
    </row>
    <row r="2148" spans="1:15" x14ac:dyDescent="0.25">
      <c r="A2148" s="98" t="s">
        <v>54</v>
      </c>
      <c r="B2148" s="98" t="s">
        <v>98</v>
      </c>
      <c r="C2148" s="98">
        <v>10.9</v>
      </c>
      <c r="D2148" s="98">
        <v>109.0001</v>
      </c>
      <c r="E2148" s="98">
        <v>1E-3</v>
      </c>
      <c r="F2148" s="98" t="s">
        <v>152</v>
      </c>
      <c r="G2148" s="98" t="s">
        <v>152</v>
      </c>
      <c r="H2148" s="98">
        <v>0</v>
      </c>
      <c r="I2148" s="98">
        <v>0</v>
      </c>
      <c r="K2148" s="98">
        <v>0</v>
      </c>
      <c r="L2148" s="98">
        <v>2.3000000000000001E-4</v>
      </c>
      <c r="M2148" s="98">
        <v>0</v>
      </c>
      <c r="N2148" s="98">
        <v>0</v>
      </c>
      <c r="O2148" s="99" t="s">
        <v>854</v>
      </c>
    </row>
    <row r="2149" spans="1:15" x14ac:dyDescent="0.25">
      <c r="A2149" s="98" t="s">
        <v>54</v>
      </c>
      <c r="B2149" s="98" t="s">
        <v>98</v>
      </c>
      <c r="C2149" s="98">
        <v>10.9</v>
      </c>
      <c r="D2149" s="98">
        <v>109.0001</v>
      </c>
      <c r="E2149" s="98">
        <v>0.01</v>
      </c>
      <c r="F2149" s="98" t="s">
        <v>152</v>
      </c>
      <c r="G2149" s="98" t="s">
        <v>152</v>
      </c>
      <c r="H2149" s="98">
        <v>0</v>
      </c>
      <c r="I2149" s="98">
        <v>0</v>
      </c>
      <c r="K2149" s="98">
        <v>0</v>
      </c>
      <c r="L2149" s="98">
        <v>5.7886999999999999E-4</v>
      </c>
      <c r="M2149" s="98">
        <v>0</v>
      </c>
      <c r="N2149" s="98">
        <v>0</v>
      </c>
      <c r="O2149" s="99" t="s">
        <v>855</v>
      </c>
    </row>
    <row r="2150" spans="1:15" x14ac:dyDescent="0.25">
      <c r="A2150" s="98" t="s">
        <v>54</v>
      </c>
      <c r="B2150" s="98" t="s">
        <v>98</v>
      </c>
      <c r="C2150" s="98">
        <v>10.9</v>
      </c>
      <c r="D2150" s="98">
        <v>109.0001</v>
      </c>
      <c r="E2150" s="98">
        <v>0.1</v>
      </c>
      <c r="F2150" s="98" t="s">
        <v>152</v>
      </c>
      <c r="G2150" s="98" t="s">
        <v>152</v>
      </c>
      <c r="H2150" s="98">
        <v>0</v>
      </c>
      <c r="I2150" s="98">
        <v>0</v>
      </c>
      <c r="K2150" s="98">
        <v>0</v>
      </c>
      <c r="L2150" s="98">
        <v>5.3322999999999999E-3</v>
      </c>
      <c r="M2150" s="98">
        <v>0</v>
      </c>
      <c r="N2150" s="98">
        <v>0</v>
      </c>
      <c r="O2150" s="99" t="s">
        <v>856</v>
      </c>
    </row>
    <row r="2151" spans="1:15" x14ac:dyDescent="0.25">
      <c r="A2151" s="98" t="s">
        <v>54</v>
      </c>
      <c r="B2151" s="98" t="s">
        <v>98</v>
      </c>
      <c r="C2151" s="98">
        <v>10.9</v>
      </c>
      <c r="D2151" s="98">
        <v>109.0001</v>
      </c>
      <c r="E2151" s="98">
        <v>1</v>
      </c>
      <c r="F2151" s="98" t="s">
        <v>152</v>
      </c>
      <c r="G2151" s="98" t="s">
        <v>152</v>
      </c>
      <c r="H2151" s="98">
        <v>0</v>
      </c>
      <c r="I2151" s="98">
        <v>0</v>
      </c>
      <c r="K2151" s="98">
        <v>0</v>
      </c>
      <c r="L2151" s="98">
        <v>5.3261000000000003E-2</v>
      </c>
      <c r="M2151" s="98">
        <v>0</v>
      </c>
      <c r="N2151" s="98">
        <v>0</v>
      </c>
      <c r="O2151" s="99" t="s">
        <v>857</v>
      </c>
    </row>
    <row r="2152" spans="1:15" x14ac:dyDescent="0.25">
      <c r="A2152" s="98" t="s">
        <v>54</v>
      </c>
      <c r="B2152" s="98" t="s">
        <v>98</v>
      </c>
      <c r="C2152" s="98">
        <v>10.9</v>
      </c>
      <c r="D2152" s="98">
        <v>109.0001</v>
      </c>
      <c r="E2152" s="98">
        <v>10</v>
      </c>
      <c r="F2152" s="98" t="s">
        <v>152</v>
      </c>
      <c r="G2152" s="98" t="s">
        <v>152</v>
      </c>
      <c r="H2152" s="98">
        <v>0</v>
      </c>
      <c r="I2152" s="98">
        <v>0</v>
      </c>
      <c r="K2152" s="98">
        <v>0</v>
      </c>
      <c r="L2152" s="98">
        <v>0.53259999999999996</v>
      </c>
      <c r="M2152" s="98">
        <v>0</v>
      </c>
      <c r="N2152" s="98">
        <v>0</v>
      </c>
      <c r="O2152" s="99" t="s">
        <v>858</v>
      </c>
    </row>
    <row r="2153" spans="1:15" x14ac:dyDescent="0.25">
      <c r="A2153" s="98" t="s">
        <v>54</v>
      </c>
      <c r="B2153" s="98" t="s">
        <v>98</v>
      </c>
      <c r="C2153" s="98">
        <v>109</v>
      </c>
      <c r="D2153" s="98">
        <v>330.00009999999997</v>
      </c>
      <c r="E2153" s="98">
        <v>1E-3</v>
      </c>
      <c r="F2153" s="98" t="s">
        <v>152</v>
      </c>
      <c r="G2153" s="98" t="s">
        <v>152</v>
      </c>
      <c r="H2153" s="98">
        <v>0</v>
      </c>
      <c r="I2153" s="98">
        <v>0</v>
      </c>
      <c r="K2153" s="98">
        <v>0</v>
      </c>
      <c r="L2153" s="98">
        <v>1.4999999999999999E-4</v>
      </c>
      <c r="M2153" s="98">
        <v>0</v>
      </c>
      <c r="N2153" s="98">
        <v>0</v>
      </c>
      <c r="O2153" s="99" t="s">
        <v>859</v>
      </c>
    </row>
    <row r="2154" spans="1:15" x14ac:dyDescent="0.25">
      <c r="A2154" s="98" t="s">
        <v>54</v>
      </c>
      <c r="B2154" s="98" t="s">
        <v>98</v>
      </c>
      <c r="C2154" s="98">
        <v>109</v>
      </c>
      <c r="D2154" s="98">
        <v>330.00009999999997</v>
      </c>
      <c r="E2154" s="98">
        <v>0.01</v>
      </c>
      <c r="F2154" s="98" t="s">
        <v>152</v>
      </c>
      <c r="G2154" s="98" t="s">
        <v>152</v>
      </c>
      <c r="H2154" s="98">
        <v>0</v>
      </c>
      <c r="I2154" s="98">
        <v>0</v>
      </c>
      <c r="K2154" s="98">
        <v>0</v>
      </c>
      <c r="L2154" s="98">
        <v>1.5254999999999999E-4</v>
      </c>
      <c r="M2154" s="98">
        <v>0</v>
      </c>
      <c r="N2154" s="98">
        <v>0</v>
      </c>
      <c r="O2154" s="99" t="s">
        <v>860</v>
      </c>
    </row>
    <row r="2155" spans="1:15" x14ac:dyDescent="0.25">
      <c r="A2155" s="98" t="s">
        <v>54</v>
      </c>
      <c r="B2155" s="98" t="s">
        <v>98</v>
      </c>
      <c r="C2155" s="98">
        <v>109</v>
      </c>
      <c r="D2155" s="98">
        <v>330.00009999999997</v>
      </c>
      <c r="E2155" s="98">
        <v>0.1</v>
      </c>
      <c r="F2155" s="98" t="s">
        <v>152</v>
      </c>
      <c r="G2155" s="98" t="s">
        <v>152</v>
      </c>
      <c r="H2155" s="98">
        <v>0</v>
      </c>
      <c r="I2155" s="98">
        <v>0</v>
      </c>
      <c r="K2155" s="98">
        <v>0</v>
      </c>
      <c r="L2155" s="98">
        <v>5.5201999999999996E-4</v>
      </c>
      <c r="M2155" s="98">
        <v>0</v>
      </c>
      <c r="N2155" s="98">
        <v>0</v>
      </c>
      <c r="O2155" s="99" t="s">
        <v>861</v>
      </c>
    </row>
    <row r="2156" spans="1:15" x14ac:dyDescent="0.25">
      <c r="A2156" s="98" t="s">
        <v>54</v>
      </c>
      <c r="B2156" s="98" t="s">
        <v>98</v>
      </c>
      <c r="C2156" s="98">
        <v>109</v>
      </c>
      <c r="D2156" s="98">
        <v>330.00009999999997</v>
      </c>
      <c r="E2156" s="98">
        <v>1</v>
      </c>
      <c r="F2156" s="98" t="s">
        <v>152</v>
      </c>
      <c r="G2156" s="98" t="s">
        <v>152</v>
      </c>
      <c r="H2156" s="98">
        <v>0</v>
      </c>
      <c r="I2156" s="98">
        <v>0</v>
      </c>
      <c r="K2156" s="98">
        <v>0</v>
      </c>
      <c r="L2156" s="98">
        <v>5.3282E-3</v>
      </c>
      <c r="M2156" s="98">
        <v>0</v>
      </c>
      <c r="N2156" s="98">
        <v>0</v>
      </c>
      <c r="O2156" s="99" t="s">
        <v>862</v>
      </c>
    </row>
    <row r="2157" spans="1:15" x14ac:dyDescent="0.25">
      <c r="A2157" s="98" t="s">
        <v>54</v>
      </c>
      <c r="B2157" s="98" t="s">
        <v>98</v>
      </c>
      <c r="C2157" s="98">
        <v>109</v>
      </c>
      <c r="D2157" s="98">
        <v>330.00009999999997</v>
      </c>
      <c r="E2157" s="98">
        <v>10</v>
      </c>
      <c r="F2157" s="98" t="s">
        <v>152</v>
      </c>
      <c r="G2157" s="98" t="s">
        <v>152</v>
      </c>
      <c r="H2157" s="98">
        <v>0</v>
      </c>
      <c r="I2157" s="98">
        <v>0</v>
      </c>
      <c r="K2157" s="98">
        <v>0</v>
      </c>
      <c r="L2157" s="98">
        <v>5.3260000000000002E-2</v>
      </c>
      <c r="M2157" s="98">
        <v>0</v>
      </c>
      <c r="N2157" s="98">
        <v>0</v>
      </c>
      <c r="O2157" s="99" t="s">
        <v>863</v>
      </c>
    </row>
    <row r="2158" spans="1:15" x14ac:dyDescent="0.25">
      <c r="A2158" s="98" t="s">
        <v>54</v>
      </c>
      <c r="B2158" s="98" t="s">
        <v>98</v>
      </c>
      <c r="C2158" s="98">
        <v>330</v>
      </c>
      <c r="D2158" s="98">
        <v>3000.0001000000002</v>
      </c>
      <c r="E2158" s="98">
        <v>0.01</v>
      </c>
      <c r="F2158" s="98" t="s">
        <v>152</v>
      </c>
      <c r="G2158" s="98" t="s">
        <v>152</v>
      </c>
      <c r="H2158" s="98">
        <v>0</v>
      </c>
      <c r="I2158" s="98">
        <v>0</v>
      </c>
      <c r="K2158" s="98">
        <v>0</v>
      </c>
      <c r="L2158" s="98">
        <v>5.9999999999999995E-4</v>
      </c>
      <c r="M2158" s="98">
        <v>0</v>
      </c>
      <c r="N2158" s="98">
        <v>0</v>
      </c>
      <c r="O2158" s="99" t="s">
        <v>864</v>
      </c>
    </row>
    <row r="2159" spans="1:15" x14ac:dyDescent="0.25">
      <c r="A2159" s="98" t="s">
        <v>54</v>
      </c>
      <c r="B2159" s="98" t="s">
        <v>98</v>
      </c>
      <c r="C2159" s="98">
        <v>330</v>
      </c>
      <c r="D2159" s="98">
        <v>3000.0001000000002</v>
      </c>
      <c r="E2159" s="98">
        <v>0.1</v>
      </c>
      <c r="F2159" s="98" t="s">
        <v>152</v>
      </c>
      <c r="G2159" s="98" t="s">
        <v>152</v>
      </c>
      <c r="H2159" s="98">
        <v>0</v>
      </c>
      <c r="I2159" s="98">
        <v>0</v>
      </c>
      <c r="K2159" s="98">
        <v>0</v>
      </c>
      <c r="L2159" s="98">
        <v>6.2246000000000003E-4</v>
      </c>
      <c r="M2159" s="98">
        <v>0</v>
      </c>
      <c r="N2159" s="98">
        <v>0</v>
      </c>
      <c r="O2159" s="99" t="s">
        <v>865</v>
      </c>
    </row>
    <row r="2160" spans="1:15" x14ac:dyDescent="0.25">
      <c r="A2160" s="98" t="s">
        <v>54</v>
      </c>
      <c r="B2160" s="98" t="s">
        <v>98</v>
      </c>
      <c r="C2160" s="98">
        <v>330</v>
      </c>
      <c r="D2160" s="98">
        <v>3000.0001000000002</v>
      </c>
      <c r="E2160" s="98">
        <v>1</v>
      </c>
      <c r="F2160" s="98" t="s">
        <v>152</v>
      </c>
      <c r="G2160" s="98" t="s">
        <v>152</v>
      </c>
      <c r="H2160" s="98">
        <v>0</v>
      </c>
      <c r="I2160" s="98">
        <v>0</v>
      </c>
      <c r="K2160" s="98">
        <v>0</v>
      </c>
      <c r="L2160" s="98">
        <v>1.8565000000000001E-3</v>
      </c>
      <c r="M2160" s="98">
        <v>0</v>
      </c>
      <c r="N2160" s="98">
        <v>0</v>
      </c>
      <c r="O2160" s="99" t="s">
        <v>866</v>
      </c>
    </row>
    <row r="2161" spans="1:15" x14ac:dyDescent="0.25">
      <c r="A2161" s="98" t="s">
        <v>54</v>
      </c>
      <c r="B2161" s="98" t="s">
        <v>98</v>
      </c>
      <c r="C2161" s="98">
        <v>330</v>
      </c>
      <c r="D2161" s="98">
        <v>3000.0001000000002</v>
      </c>
      <c r="E2161" s="98">
        <v>10</v>
      </c>
      <c r="F2161" s="98" t="s">
        <v>152</v>
      </c>
      <c r="G2161" s="98" t="s">
        <v>152</v>
      </c>
      <c r="H2161" s="98">
        <v>0</v>
      </c>
      <c r="I2161" s="98">
        <v>0</v>
      </c>
      <c r="K2161" s="98">
        <v>0</v>
      </c>
      <c r="L2161" s="98">
        <v>1.7586000000000001E-2</v>
      </c>
      <c r="M2161" s="98">
        <v>0</v>
      </c>
      <c r="N2161" s="98">
        <v>0</v>
      </c>
      <c r="O2161" s="99" t="s">
        <v>867</v>
      </c>
    </row>
    <row r="2162" spans="1:15" x14ac:dyDescent="0.25">
      <c r="A2162" s="98" t="s">
        <v>54</v>
      </c>
      <c r="B2162" s="98" t="s">
        <v>98</v>
      </c>
      <c r="C2162" s="98">
        <v>330</v>
      </c>
      <c r="D2162" s="98">
        <v>3000.0001000000002</v>
      </c>
      <c r="E2162" s="98">
        <v>100</v>
      </c>
      <c r="F2162" s="98" t="s">
        <v>152</v>
      </c>
      <c r="G2162" s="98" t="s">
        <v>152</v>
      </c>
      <c r="H2162" s="98">
        <v>0</v>
      </c>
      <c r="I2162" s="98">
        <v>0</v>
      </c>
      <c r="K2162" s="98">
        <v>0</v>
      </c>
      <c r="L2162" s="98">
        <v>0.17576</v>
      </c>
      <c r="M2162" s="98">
        <v>0</v>
      </c>
      <c r="N2162" s="98">
        <v>0</v>
      </c>
      <c r="O2162" s="99" t="s">
        <v>868</v>
      </c>
    </row>
    <row r="2163" spans="1:15" x14ac:dyDescent="0.25">
      <c r="A2163" s="98" t="s">
        <v>54</v>
      </c>
      <c r="B2163" s="98" t="s">
        <v>98</v>
      </c>
      <c r="C2163" s="98">
        <v>3000</v>
      </c>
      <c r="D2163" s="98">
        <v>11000.1</v>
      </c>
      <c r="E2163" s="98">
        <v>10</v>
      </c>
      <c r="F2163" s="98" t="s">
        <v>152</v>
      </c>
      <c r="G2163" s="98" t="s">
        <v>152</v>
      </c>
      <c r="H2163" s="98">
        <v>0</v>
      </c>
      <c r="I2163" s="98">
        <v>0</v>
      </c>
      <c r="K2163" s="98">
        <v>0</v>
      </c>
      <c r="L2163" s="98">
        <v>9.1E-4</v>
      </c>
      <c r="M2163" s="98">
        <v>0</v>
      </c>
      <c r="N2163" s="98">
        <v>0</v>
      </c>
      <c r="O2163" s="99" t="s">
        <v>869</v>
      </c>
    </row>
    <row r="2164" spans="1:15" x14ac:dyDescent="0.25">
      <c r="A2164" s="98" t="s">
        <v>54</v>
      </c>
      <c r="B2164" s="98" t="s">
        <v>98</v>
      </c>
      <c r="C2164" s="98">
        <v>3000</v>
      </c>
      <c r="D2164" s="98">
        <v>11000.1</v>
      </c>
      <c r="E2164" s="98">
        <v>100</v>
      </c>
      <c r="F2164" s="98" t="s">
        <v>152</v>
      </c>
      <c r="G2164" s="98" t="s">
        <v>152</v>
      </c>
      <c r="H2164" s="98">
        <v>0</v>
      </c>
      <c r="I2164" s="98">
        <v>0</v>
      </c>
      <c r="K2164" s="98">
        <v>0</v>
      </c>
      <c r="L2164" s="98">
        <v>9.1E-4</v>
      </c>
      <c r="M2164" s="98">
        <v>0</v>
      </c>
      <c r="N2164" s="98">
        <v>0</v>
      </c>
      <c r="O2164" s="99" t="s">
        <v>870</v>
      </c>
    </row>
    <row r="2165" spans="1:15" x14ac:dyDescent="0.25">
      <c r="A2165" s="98" t="s">
        <v>54</v>
      </c>
      <c r="B2165" s="98" t="s">
        <v>98</v>
      </c>
      <c r="C2165" s="98">
        <v>3000</v>
      </c>
      <c r="D2165" s="98">
        <v>11000.1</v>
      </c>
      <c r="E2165" s="98">
        <v>1000</v>
      </c>
      <c r="F2165" s="98" t="s">
        <v>152</v>
      </c>
      <c r="G2165" s="98" t="s">
        <v>152</v>
      </c>
      <c r="H2165" s="98">
        <v>0</v>
      </c>
      <c r="I2165" s="98">
        <v>0</v>
      </c>
      <c r="K2165" s="98">
        <v>0</v>
      </c>
      <c r="L2165" s="98">
        <v>9.2997999999999996E-4</v>
      </c>
      <c r="M2165" s="98">
        <v>0</v>
      </c>
      <c r="N2165" s="98">
        <v>0</v>
      </c>
      <c r="O2165" s="99" t="s">
        <v>871</v>
      </c>
    </row>
    <row r="2166" spans="1:15" x14ac:dyDescent="0.25">
      <c r="A2166" s="98" t="s">
        <v>54</v>
      </c>
      <c r="B2166" s="98" t="s">
        <v>98</v>
      </c>
      <c r="C2166" s="98">
        <v>3000</v>
      </c>
      <c r="D2166" s="98">
        <v>11000.1</v>
      </c>
      <c r="E2166" s="98">
        <v>10000</v>
      </c>
      <c r="F2166" s="98" t="s">
        <v>152</v>
      </c>
      <c r="G2166" s="98" t="s">
        <v>152</v>
      </c>
      <c r="H2166" s="98">
        <v>0</v>
      </c>
      <c r="I2166" s="98">
        <v>0</v>
      </c>
      <c r="K2166" s="98">
        <v>0</v>
      </c>
      <c r="L2166" s="98">
        <v>2.1367000000000001E-3</v>
      </c>
      <c r="M2166" s="98">
        <v>0</v>
      </c>
      <c r="N2166" s="98">
        <v>0</v>
      </c>
      <c r="O2166" s="99" t="s">
        <v>872</v>
      </c>
    </row>
    <row r="2167" spans="1:15" x14ac:dyDescent="0.25">
      <c r="A2167" s="98" t="s">
        <v>54</v>
      </c>
      <c r="B2167" s="98" t="s">
        <v>98</v>
      </c>
      <c r="C2167" s="98">
        <v>3000</v>
      </c>
      <c r="D2167" s="98">
        <v>11000.1</v>
      </c>
      <c r="E2167" s="98">
        <v>100000</v>
      </c>
      <c r="F2167" s="98" t="s">
        <v>152</v>
      </c>
      <c r="G2167" s="98" t="s">
        <v>152</v>
      </c>
      <c r="H2167" s="98">
        <v>0</v>
      </c>
      <c r="I2167" s="98">
        <v>0</v>
      </c>
      <c r="K2167" s="98">
        <v>0</v>
      </c>
      <c r="L2167" s="98">
        <v>1.9355000000000001E-2</v>
      </c>
      <c r="M2167" s="98">
        <v>0</v>
      </c>
      <c r="N2167" s="98">
        <v>0</v>
      </c>
      <c r="O2167" s="99" t="s">
        <v>873</v>
      </c>
    </row>
    <row r="2168" spans="1:15" x14ac:dyDescent="0.25">
      <c r="A2168" s="98" t="s">
        <v>54</v>
      </c>
      <c r="B2168" s="98" t="s">
        <v>98</v>
      </c>
      <c r="C2168" s="98">
        <v>11000</v>
      </c>
      <c r="D2168" s="98">
        <v>24500</v>
      </c>
      <c r="E2168" s="98">
        <v>10</v>
      </c>
      <c r="F2168" s="98" t="s">
        <v>152</v>
      </c>
      <c r="G2168" s="98" t="s">
        <v>152</v>
      </c>
      <c r="H2168" s="98">
        <v>0</v>
      </c>
      <c r="I2168" s="98">
        <v>0</v>
      </c>
      <c r="K2168" s="98">
        <v>0</v>
      </c>
      <c r="L2168" s="98">
        <v>1.4E-3</v>
      </c>
      <c r="M2168" s="98">
        <v>0</v>
      </c>
      <c r="N2168" s="98">
        <v>0</v>
      </c>
      <c r="O2168" s="99" t="s">
        <v>874</v>
      </c>
    </row>
    <row r="2169" spans="1:15" x14ac:dyDescent="0.25">
      <c r="A2169" s="98" t="s">
        <v>54</v>
      </c>
      <c r="B2169" s="98" t="s">
        <v>98</v>
      </c>
      <c r="C2169" s="98">
        <v>11000</v>
      </c>
      <c r="D2169" s="98">
        <v>24500</v>
      </c>
      <c r="E2169" s="98">
        <v>100</v>
      </c>
      <c r="F2169" s="98" t="s">
        <v>152</v>
      </c>
      <c r="G2169" s="98" t="s">
        <v>152</v>
      </c>
      <c r="H2169" s="98">
        <v>0</v>
      </c>
      <c r="I2169" s="98">
        <v>0</v>
      </c>
      <c r="K2169" s="98">
        <v>0</v>
      </c>
      <c r="L2169" s="98">
        <v>1.4E-3</v>
      </c>
      <c r="M2169" s="98">
        <v>0</v>
      </c>
      <c r="N2169" s="98">
        <v>0</v>
      </c>
      <c r="O2169" s="99" t="s">
        <v>875</v>
      </c>
    </row>
    <row r="2170" spans="1:15" x14ac:dyDescent="0.25">
      <c r="A2170" s="98" t="s">
        <v>54</v>
      </c>
      <c r="B2170" s="98" t="s">
        <v>98</v>
      </c>
      <c r="C2170" s="98">
        <v>11000</v>
      </c>
      <c r="D2170" s="98">
        <v>24500</v>
      </c>
      <c r="E2170" s="98">
        <v>1000</v>
      </c>
      <c r="F2170" s="98" t="s">
        <v>152</v>
      </c>
      <c r="G2170" s="98" t="s">
        <v>152</v>
      </c>
      <c r="H2170" s="98">
        <v>0</v>
      </c>
      <c r="I2170" s="98">
        <v>0</v>
      </c>
      <c r="K2170" s="98">
        <v>0</v>
      </c>
      <c r="L2170" s="98">
        <v>1.4429E-3</v>
      </c>
      <c r="M2170" s="98">
        <v>0</v>
      </c>
      <c r="N2170" s="98">
        <v>0</v>
      </c>
      <c r="O2170" s="99" t="s">
        <v>876</v>
      </c>
    </row>
    <row r="2171" spans="1:15" x14ac:dyDescent="0.25">
      <c r="A2171" s="98" t="s">
        <v>54</v>
      </c>
      <c r="B2171" s="98" t="s">
        <v>98</v>
      </c>
      <c r="C2171" s="98">
        <v>11000</v>
      </c>
      <c r="D2171" s="98">
        <v>24500</v>
      </c>
      <c r="E2171" s="98">
        <v>10000</v>
      </c>
      <c r="F2171" s="98" t="s">
        <v>152</v>
      </c>
      <c r="G2171" s="98" t="s">
        <v>152</v>
      </c>
      <c r="H2171" s="98">
        <v>0</v>
      </c>
      <c r="I2171" s="98">
        <v>0</v>
      </c>
      <c r="K2171" s="98">
        <v>0</v>
      </c>
      <c r="L2171" s="98">
        <v>5.4410999999999999E-3</v>
      </c>
      <c r="M2171" s="98">
        <v>0</v>
      </c>
      <c r="N2171" s="98">
        <v>0</v>
      </c>
      <c r="O2171" s="99" t="s">
        <v>877</v>
      </c>
    </row>
    <row r="2172" spans="1:15" x14ac:dyDescent="0.25">
      <c r="A2172" s="98" t="s">
        <v>54</v>
      </c>
      <c r="B2172" s="98" t="s">
        <v>98</v>
      </c>
      <c r="C2172" s="98">
        <v>11000</v>
      </c>
      <c r="D2172" s="98">
        <v>24500</v>
      </c>
      <c r="E2172" s="98">
        <v>100000</v>
      </c>
      <c r="F2172" s="98" t="s">
        <v>152</v>
      </c>
      <c r="G2172" s="98" t="s">
        <v>152</v>
      </c>
      <c r="H2172" s="98">
        <v>0</v>
      </c>
      <c r="I2172" s="98">
        <v>0</v>
      </c>
      <c r="K2172" s="98">
        <v>0</v>
      </c>
      <c r="L2172" s="98">
        <v>5.2745E-2</v>
      </c>
      <c r="M2172" s="98">
        <v>0</v>
      </c>
      <c r="N2172" s="98">
        <v>0</v>
      </c>
      <c r="O2172" s="99" t="s">
        <v>878</v>
      </c>
    </row>
    <row r="2173" spans="1:15" x14ac:dyDescent="0.25">
      <c r="A2173" s="98" t="s">
        <v>54</v>
      </c>
      <c r="B2173" s="98" t="s">
        <v>98</v>
      </c>
      <c r="C2173" s="98">
        <v>24500</v>
      </c>
      <c r="D2173" s="98">
        <v>24500</v>
      </c>
      <c r="E2173" s="98">
        <v>10</v>
      </c>
      <c r="F2173" s="98" t="s">
        <v>100</v>
      </c>
      <c r="G2173" s="98" t="s">
        <v>100</v>
      </c>
      <c r="H2173" s="98">
        <v>0</v>
      </c>
      <c r="I2173" s="98">
        <v>0</v>
      </c>
      <c r="K2173" s="98">
        <v>0</v>
      </c>
      <c r="L2173" s="98">
        <v>1.4E-3</v>
      </c>
      <c r="M2173" s="98">
        <v>0</v>
      </c>
      <c r="N2173" s="98">
        <v>0</v>
      </c>
      <c r="O2173" s="99" t="s">
        <v>879</v>
      </c>
    </row>
    <row r="2174" spans="1:15" x14ac:dyDescent="0.25">
      <c r="A2174" s="98" t="s">
        <v>54</v>
      </c>
      <c r="B2174" s="98" t="s">
        <v>98</v>
      </c>
      <c r="C2174" s="98">
        <v>24500</v>
      </c>
      <c r="D2174" s="98">
        <v>24500</v>
      </c>
      <c r="E2174" s="98">
        <v>100</v>
      </c>
      <c r="F2174" s="98" t="s">
        <v>100</v>
      </c>
      <c r="G2174" s="98" t="s">
        <v>100</v>
      </c>
      <c r="H2174" s="98">
        <v>0</v>
      </c>
      <c r="I2174" s="98">
        <v>0</v>
      </c>
      <c r="K2174" s="98">
        <v>0</v>
      </c>
      <c r="L2174" s="98">
        <v>1.4E-3</v>
      </c>
      <c r="M2174" s="98">
        <v>0</v>
      </c>
      <c r="N2174" s="98">
        <v>0</v>
      </c>
      <c r="O2174" s="99" t="s">
        <v>880</v>
      </c>
    </row>
    <row r="2175" spans="1:15" x14ac:dyDescent="0.25">
      <c r="A2175" s="98" t="s">
        <v>54</v>
      </c>
      <c r="B2175" s="98" t="s">
        <v>98</v>
      </c>
      <c r="C2175" s="98">
        <v>24500</v>
      </c>
      <c r="D2175" s="98">
        <v>24500</v>
      </c>
      <c r="E2175" s="98">
        <v>1000</v>
      </c>
      <c r="F2175" s="98" t="s">
        <v>100</v>
      </c>
      <c r="G2175" s="98" t="s">
        <v>100</v>
      </c>
      <c r="H2175" s="98">
        <v>0</v>
      </c>
      <c r="I2175" s="98">
        <v>0</v>
      </c>
      <c r="K2175" s="98">
        <v>0</v>
      </c>
      <c r="L2175" s="98">
        <v>1.4429E-3</v>
      </c>
      <c r="M2175" s="98">
        <v>0</v>
      </c>
      <c r="N2175" s="98">
        <v>0</v>
      </c>
      <c r="O2175" s="99" t="s">
        <v>881</v>
      </c>
    </row>
    <row r="2176" spans="1:15" x14ac:dyDescent="0.25">
      <c r="A2176" s="98" t="s">
        <v>54</v>
      </c>
      <c r="B2176" s="98" t="s">
        <v>98</v>
      </c>
      <c r="C2176" s="98">
        <v>24500</v>
      </c>
      <c r="D2176" s="98">
        <v>24500</v>
      </c>
      <c r="E2176" s="98">
        <v>10000</v>
      </c>
      <c r="F2176" s="98" t="s">
        <v>100</v>
      </c>
      <c r="G2176" s="98" t="s">
        <v>100</v>
      </c>
      <c r="H2176" s="98">
        <v>0</v>
      </c>
      <c r="I2176" s="98">
        <v>0</v>
      </c>
      <c r="K2176" s="98">
        <v>0</v>
      </c>
      <c r="L2176" s="98">
        <v>5.4410999999999999E-3</v>
      </c>
      <c r="M2176" s="98">
        <v>0</v>
      </c>
      <c r="N2176" s="98">
        <v>0</v>
      </c>
      <c r="O2176" s="99" t="s">
        <v>882</v>
      </c>
    </row>
    <row r="2177" spans="1:15" x14ac:dyDescent="0.25">
      <c r="A2177" s="98" t="s">
        <v>54</v>
      </c>
      <c r="B2177" s="98" t="s">
        <v>98</v>
      </c>
      <c r="C2177" s="98">
        <v>24500</v>
      </c>
      <c r="D2177" s="98">
        <v>24500</v>
      </c>
      <c r="E2177" s="98">
        <v>100000</v>
      </c>
      <c r="F2177" s="98" t="s">
        <v>100</v>
      </c>
      <c r="G2177" s="98" t="s">
        <v>100</v>
      </c>
      <c r="H2177" s="98">
        <v>0</v>
      </c>
      <c r="I2177" s="98">
        <v>0</v>
      </c>
      <c r="K2177" s="98">
        <v>0</v>
      </c>
      <c r="L2177" s="98">
        <v>5.2745E-2</v>
      </c>
      <c r="M2177" s="98">
        <v>0</v>
      </c>
      <c r="N2177" s="98">
        <v>0</v>
      </c>
      <c r="O2177" s="99" t="s">
        <v>883</v>
      </c>
    </row>
    <row r="2178" spans="1:15" x14ac:dyDescent="0.25">
      <c r="A2178" s="98" t="s">
        <v>54</v>
      </c>
      <c r="B2178" s="98" t="s">
        <v>80</v>
      </c>
      <c r="C2178" s="98">
        <v>-418</v>
      </c>
      <c r="D2178" s="98">
        <v>-147.9</v>
      </c>
      <c r="E2178" s="98">
        <v>0.1</v>
      </c>
      <c r="F2178" s="98" t="s">
        <v>26</v>
      </c>
      <c r="G2178" s="98" t="s">
        <v>26</v>
      </c>
      <c r="H2178" s="98">
        <v>0</v>
      </c>
      <c r="I2178" s="98">
        <v>0</v>
      </c>
      <c r="K2178" s="98">
        <v>1.046246556</v>
      </c>
      <c r="L2178" s="98">
        <v>0</v>
      </c>
      <c r="M2178" s="98">
        <v>1.0432597260000001</v>
      </c>
      <c r="N2178" s="98">
        <v>0</v>
      </c>
      <c r="O2178" s="99" t="s">
        <v>808</v>
      </c>
    </row>
    <row r="2179" spans="1:15" x14ac:dyDescent="0.25">
      <c r="A2179" s="98" t="s">
        <v>54</v>
      </c>
      <c r="B2179" s="98" t="s">
        <v>80</v>
      </c>
      <c r="C2179" s="98">
        <v>-418</v>
      </c>
      <c r="D2179" s="98">
        <v>-147.9</v>
      </c>
      <c r="E2179" s="98">
        <v>1</v>
      </c>
      <c r="F2179" s="98" t="s">
        <v>26</v>
      </c>
      <c r="G2179" s="98" t="s">
        <v>26</v>
      </c>
      <c r="H2179" s="98">
        <v>0</v>
      </c>
      <c r="I2179" s="98">
        <v>0</v>
      </c>
      <c r="K2179" s="98">
        <v>1.2013970430000001</v>
      </c>
      <c r="L2179" s="98">
        <v>0</v>
      </c>
      <c r="M2179" s="98">
        <v>1.190962155</v>
      </c>
      <c r="N2179" s="98">
        <v>0</v>
      </c>
      <c r="O2179" s="99" t="s">
        <v>809</v>
      </c>
    </row>
    <row r="2180" spans="1:15" x14ac:dyDescent="0.25">
      <c r="A2180" s="98" t="s">
        <v>54</v>
      </c>
      <c r="B2180" s="98" t="s">
        <v>80</v>
      </c>
      <c r="C2180" s="98">
        <v>-148</v>
      </c>
      <c r="D2180" s="98">
        <v>-12.9</v>
      </c>
      <c r="E2180" s="98">
        <v>0.1</v>
      </c>
      <c r="F2180" s="98" t="s">
        <v>26</v>
      </c>
      <c r="G2180" s="98" t="s">
        <v>26</v>
      </c>
      <c r="H2180" s="98">
        <v>0</v>
      </c>
      <c r="I2180" s="98">
        <v>0</v>
      </c>
      <c r="K2180" s="98">
        <v>0.34659772799999999</v>
      </c>
      <c r="L2180" s="98">
        <v>0</v>
      </c>
      <c r="M2180" s="98">
        <v>0.34484265600000003</v>
      </c>
      <c r="N2180" s="98">
        <v>0</v>
      </c>
      <c r="O2180" s="99" t="s">
        <v>810</v>
      </c>
    </row>
    <row r="2181" spans="1:15" x14ac:dyDescent="0.25">
      <c r="A2181" s="98" t="s">
        <v>54</v>
      </c>
      <c r="B2181" s="98" t="s">
        <v>80</v>
      </c>
      <c r="C2181" s="98">
        <v>-148</v>
      </c>
      <c r="D2181" s="98">
        <v>-12.9</v>
      </c>
      <c r="E2181" s="98">
        <v>1</v>
      </c>
      <c r="F2181" s="98" t="s">
        <v>26</v>
      </c>
      <c r="G2181" s="98" t="s">
        <v>26</v>
      </c>
      <c r="H2181" s="98">
        <v>0</v>
      </c>
      <c r="I2181" s="98">
        <v>0</v>
      </c>
      <c r="K2181" s="98">
        <v>1.2013970430000001</v>
      </c>
      <c r="L2181" s="98">
        <v>0</v>
      </c>
      <c r="M2181" s="98">
        <v>1.190962155</v>
      </c>
      <c r="N2181" s="98">
        <v>0</v>
      </c>
      <c r="O2181" s="99" t="s">
        <v>811</v>
      </c>
    </row>
    <row r="2182" spans="1:15" x14ac:dyDescent="0.25">
      <c r="A2182" s="98" t="s">
        <v>54</v>
      </c>
      <c r="B2182" s="98" t="s">
        <v>80</v>
      </c>
      <c r="C2182" s="98">
        <v>-13</v>
      </c>
      <c r="D2182" s="98">
        <v>662.1</v>
      </c>
      <c r="E2182" s="98">
        <v>0.1</v>
      </c>
      <c r="F2182" s="98" t="s">
        <v>26</v>
      </c>
      <c r="G2182" s="98" t="s">
        <v>26</v>
      </c>
      <c r="H2182" s="98">
        <v>0</v>
      </c>
      <c r="I2182" s="98">
        <v>0</v>
      </c>
      <c r="K2182" s="98">
        <v>0.30436869799999999</v>
      </c>
      <c r="L2182" s="98">
        <v>0</v>
      </c>
      <c r="M2182" s="98">
        <v>0.30236860999999998</v>
      </c>
      <c r="N2182" s="98">
        <v>0</v>
      </c>
      <c r="O2182" s="99" t="s">
        <v>812</v>
      </c>
    </row>
    <row r="2183" spans="1:15" x14ac:dyDescent="0.25">
      <c r="A2183" s="98" t="s">
        <v>54</v>
      </c>
      <c r="B2183" s="98" t="s">
        <v>80</v>
      </c>
      <c r="C2183" s="98">
        <v>-13</v>
      </c>
      <c r="D2183" s="98">
        <v>662.1</v>
      </c>
      <c r="E2183" s="98">
        <v>1</v>
      </c>
      <c r="F2183" s="98" t="s">
        <v>26</v>
      </c>
      <c r="G2183" s="98" t="s">
        <v>26</v>
      </c>
      <c r="H2183" s="98">
        <v>0</v>
      </c>
      <c r="I2183" s="98">
        <v>0</v>
      </c>
      <c r="K2183" s="98">
        <v>0.65290189700000001</v>
      </c>
      <c r="L2183" s="98">
        <v>0</v>
      </c>
      <c r="M2183" s="98">
        <v>0.64917391800000002</v>
      </c>
      <c r="N2183" s="98">
        <v>0</v>
      </c>
      <c r="O2183" s="99" t="s">
        <v>813</v>
      </c>
    </row>
    <row r="2184" spans="1:15" x14ac:dyDescent="0.25">
      <c r="A2184" s="98" t="s">
        <v>54</v>
      </c>
      <c r="B2184" s="98" t="s">
        <v>80</v>
      </c>
      <c r="C2184" s="98">
        <v>662</v>
      </c>
      <c r="D2184" s="98">
        <v>1202.0999999999999</v>
      </c>
      <c r="E2184" s="98">
        <v>0.1</v>
      </c>
      <c r="F2184" s="98" t="s">
        <v>26</v>
      </c>
      <c r="G2184" s="98" t="s">
        <v>26</v>
      </c>
      <c r="H2184" s="98">
        <v>0</v>
      </c>
      <c r="I2184" s="98">
        <v>0</v>
      </c>
      <c r="K2184" s="98">
        <v>0.34352197200000001</v>
      </c>
      <c r="L2184" s="98">
        <v>0</v>
      </c>
      <c r="M2184" s="98">
        <v>0.342511169</v>
      </c>
      <c r="N2184" s="98">
        <v>0</v>
      </c>
      <c r="O2184" s="99" t="s">
        <v>814</v>
      </c>
    </row>
    <row r="2185" spans="1:15" x14ac:dyDescent="0.25">
      <c r="A2185" s="98" t="s">
        <v>54</v>
      </c>
      <c r="B2185" s="98" t="s">
        <v>80</v>
      </c>
      <c r="C2185" s="98">
        <v>662</v>
      </c>
      <c r="D2185" s="98">
        <v>1202.0999999999999</v>
      </c>
      <c r="E2185" s="98">
        <v>1</v>
      </c>
      <c r="F2185" s="98" t="s">
        <v>26</v>
      </c>
      <c r="G2185" s="98" t="s">
        <v>26</v>
      </c>
      <c r="H2185" s="98">
        <v>0</v>
      </c>
      <c r="I2185" s="98">
        <v>0</v>
      </c>
      <c r="K2185" s="98">
        <v>0.67088574199999995</v>
      </c>
      <c r="L2185" s="98">
        <v>0</v>
      </c>
      <c r="M2185" s="98">
        <v>0.668815296</v>
      </c>
      <c r="N2185" s="98">
        <v>0</v>
      </c>
      <c r="O2185" s="99" t="s">
        <v>815</v>
      </c>
    </row>
    <row r="2186" spans="1:15" x14ac:dyDescent="0.25">
      <c r="A2186" s="98" t="s">
        <v>54</v>
      </c>
      <c r="B2186" s="98" t="s">
        <v>80</v>
      </c>
      <c r="C2186" s="98">
        <v>1202</v>
      </c>
      <c r="D2186" s="98">
        <v>1832</v>
      </c>
      <c r="E2186" s="98">
        <v>0.1</v>
      </c>
      <c r="F2186" s="98" t="s">
        <v>26</v>
      </c>
      <c r="G2186" s="98" t="s">
        <v>26</v>
      </c>
      <c r="H2186" s="98">
        <v>0</v>
      </c>
      <c r="I2186" s="98">
        <v>0</v>
      </c>
      <c r="K2186" s="98">
        <v>0.44489108799999999</v>
      </c>
      <c r="L2186" s="98">
        <v>0</v>
      </c>
      <c r="M2186" s="98">
        <v>0.444111062</v>
      </c>
      <c r="N2186" s="98">
        <v>0</v>
      </c>
      <c r="O2186" s="99" t="s">
        <v>816</v>
      </c>
    </row>
    <row r="2187" spans="1:15" x14ac:dyDescent="0.25">
      <c r="A2187" s="98" t="s">
        <v>54</v>
      </c>
      <c r="B2187" s="98" t="s">
        <v>80</v>
      </c>
      <c r="C2187" s="98">
        <v>1202</v>
      </c>
      <c r="D2187" s="98">
        <v>1832</v>
      </c>
      <c r="E2187" s="98">
        <v>1</v>
      </c>
      <c r="F2187" s="98" t="s">
        <v>26</v>
      </c>
      <c r="G2187" s="98" t="s">
        <v>26</v>
      </c>
      <c r="H2187" s="98">
        <v>0</v>
      </c>
      <c r="I2187" s="98">
        <v>0</v>
      </c>
      <c r="K2187" s="98">
        <v>0.72801676699999995</v>
      </c>
      <c r="L2187" s="98">
        <v>0</v>
      </c>
      <c r="M2187" s="98">
        <v>0.72610924499999996</v>
      </c>
      <c r="N2187" s="98">
        <v>0</v>
      </c>
      <c r="O2187" s="99" t="s">
        <v>817</v>
      </c>
    </row>
    <row r="2188" spans="1:15" x14ac:dyDescent="0.25">
      <c r="A2188" s="98" t="s">
        <v>54</v>
      </c>
      <c r="B2188" s="98" t="s">
        <v>80</v>
      </c>
      <c r="C2188" s="98">
        <v>1832</v>
      </c>
      <c r="D2188" s="98">
        <v>1832.1</v>
      </c>
      <c r="E2188" s="98">
        <v>0.1</v>
      </c>
      <c r="F2188" s="98" t="s">
        <v>26</v>
      </c>
      <c r="G2188" s="98" t="s">
        <v>26</v>
      </c>
      <c r="H2188" s="98">
        <v>0</v>
      </c>
      <c r="I2188" s="98">
        <v>0</v>
      </c>
      <c r="K2188" s="98">
        <v>0.44489108799999999</v>
      </c>
      <c r="L2188" s="98">
        <v>0</v>
      </c>
      <c r="M2188" s="98">
        <v>0.444111062</v>
      </c>
      <c r="N2188" s="98">
        <v>0</v>
      </c>
      <c r="O2188" s="99" t="s">
        <v>818</v>
      </c>
    </row>
    <row r="2189" spans="1:15" x14ac:dyDescent="0.25">
      <c r="A2189" s="98" t="s">
        <v>54</v>
      </c>
      <c r="B2189" s="98" t="s">
        <v>80</v>
      </c>
      <c r="C2189" s="98">
        <v>1832</v>
      </c>
      <c r="D2189" s="98">
        <v>1832.1</v>
      </c>
      <c r="E2189" s="98">
        <v>1</v>
      </c>
      <c r="F2189" s="98" t="s">
        <v>26</v>
      </c>
      <c r="G2189" s="98" t="s">
        <v>26</v>
      </c>
      <c r="H2189" s="98">
        <v>0</v>
      </c>
      <c r="I2189" s="98">
        <v>0</v>
      </c>
      <c r="K2189" s="98">
        <v>0.72801676699999995</v>
      </c>
      <c r="L2189" s="98">
        <v>0</v>
      </c>
      <c r="M2189" s="98">
        <v>0.72610924499999996</v>
      </c>
      <c r="N2189" s="98">
        <v>0</v>
      </c>
      <c r="O2189" s="99" t="s">
        <v>819</v>
      </c>
    </row>
    <row r="2190" spans="1:15" x14ac:dyDescent="0.25">
      <c r="A2190" s="98" t="s">
        <v>54</v>
      </c>
      <c r="B2190" s="98" t="s">
        <v>81</v>
      </c>
      <c r="C2190" s="98">
        <v>-346</v>
      </c>
      <c r="D2190" s="98">
        <v>-147.9</v>
      </c>
      <c r="E2190" s="98">
        <v>0.1</v>
      </c>
      <c r="F2190" s="98" t="s">
        <v>26</v>
      </c>
      <c r="G2190" s="98" t="s">
        <v>26</v>
      </c>
      <c r="H2190" s="98">
        <v>0</v>
      </c>
      <c r="I2190" s="98">
        <v>0</v>
      </c>
      <c r="K2190" s="98">
        <v>0.57726726900000003</v>
      </c>
      <c r="L2190" s="98">
        <v>0</v>
      </c>
      <c r="M2190" s="98">
        <v>0.56757588800000003</v>
      </c>
      <c r="N2190" s="98">
        <v>0</v>
      </c>
      <c r="O2190" s="99" t="s">
        <v>796</v>
      </c>
    </row>
    <row r="2191" spans="1:15" x14ac:dyDescent="0.25">
      <c r="A2191" s="98" t="s">
        <v>54</v>
      </c>
      <c r="B2191" s="98" t="s">
        <v>81</v>
      </c>
      <c r="C2191" s="98">
        <v>-346</v>
      </c>
      <c r="D2191" s="98">
        <v>-147.9</v>
      </c>
      <c r="E2191" s="98">
        <v>1</v>
      </c>
      <c r="F2191" s="98" t="s">
        <v>26</v>
      </c>
      <c r="G2191" s="98" t="s">
        <v>26</v>
      </c>
      <c r="H2191" s="98">
        <v>0</v>
      </c>
      <c r="I2191" s="98">
        <v>0</v>
      </c>
      <c r="K2191" s="98">
        <v>0.83457943499999998</v>
      </c>
      <c r="L2191" s="98">
        <v>0</v>
      </c>
      <c r="M2191" s="98">
        <v>0.80755333500000004</v>
      </c>
      <c r="N2191" s="98">
        <v>0</v>
      </c>
      <c r="O2191" s="99" t="s">
        <v>797</v>
      </c>
    </row>
    <row r="2192" spans="1:15" x14ac:dyDescent="0.25">
      <c r="A2192" s="98" t="s">
        <v>54</v>
      </c>
      <c r="B2192" s="98" t="s">
        <v>81</v>
      </c>
      <c r="C2192" s="98">
        <v>-148</v>
      </c>
      <c r="D2192" s="98">
        <v>-21.9</v>
      </c>
      <c r="E2192" s="98">
        <v>0.1</v>
      </c>
      <c r="F2192" s="98" t="s">
        <v>26</v>
      </c>
      <c r="G2192" s="98" t="s">
        <v>26</v>
      </c>
      <c r="H2192" s="98">
        <v>0</v>
      </c>
      <c r="I2192" s="98">
        <v>0</v>
      </c>
      <c r="K2192" s="98">
        <v>0.354075484</v>
      </c>
      <c r="L2192" s="98">
        <v>0</v>
      </c>
      <c r="M2192" s="98">
        <v>0.34262930000000003</v>
      </c>
      <c r="N2192" s="98">
        <v>0</v>
      </c>
      <c r="O2192" s="99" t="s">
        <v>798</v>
      </c>
    </row>
    <row r="2193" spans="1:15" x14ac:dyDescent="0.25">
      <c r="A2193" s="98" t="s">
        <v>54</v>
      </c>
      <c r="B2193" s="98" t="s">
        <v>81</v>
      </c>
      <c r="C2193" s="98">
        <v>-148</v>
      </c>
      <c r="D2193" s="98">
        <v>-21.9</v>
      </c>
      <c r="E2193" s="98">
        <v>1</v>
      </c>
      <c r="F2193" s="98" t="s">
        <v>26</v>
      </c>
      <c r="G2193" s="98" t="s">
        <v>26</v>
      </c>
      <c r="H2193" s="98">
        <v>0</v>
      </c>
      <c r="I2193" s="98">
        <v>0</v>
      </c>
      <c r="K2193" s="98">
        <v>0.69231010500000001</v>
      </c>
      <c r="L2193" s="98">
        <v>0</v>
      </c>
      <c r="M2193" s="98">
        <v>0.66887580099999999</v>
      </c>
      <c r="N2193" s="98">
        <v>0</v>
      </c>
      <c r="O2193" s="99" t="s">
        <v>799</v>
      </c>
    </row>
    <row r="2194" spans="1:15" x14ac:dyDescent="0.25">
      <c r="A2194" s="98" t="s">
        <v>54</v>
      </c>
      <c r="B2194" s="98" t="s">
        <v>81</v>
      </c>
      <c r="C2194" s="98">
        <v>-22</v>
      </c>
      <c r="D2194" s="98">
        <v>302.10000000000002</v>
      </c>
      <c r="E2194" s="98">
        <v>0.1</v>
      </c>
      <c r="F2194" s="98" t="s">
        <v>26</v>
      </c>
      <c r="G2194" s="98" t="s">
        <v>26</v>
      </c>
      <c r="H2194" s="98">
        <v>0</v>
      </c>
      <c r="I2194" s="98">
        <v>0</v>
      </c>
      <c r="K2194" s="98">
        <v>0.31531184099999998</v>
      </c>
      <c r="L2194" s="98">
        <v>0</v>
      </c>
      <c r="M2194" s="98">
        <v>0.302401961</v>
      </c>
      <c r="N2194" s="98">
        <v>0</v>
      </c>
      <c r="O2194" s="99" t="s">
        <v>800</v>
      </c>
    </row>
    <row r="2195" spans="1:15" x14ac:dyDescent="0.25">
      <c r="A2195" s="98" t="s">
        <v>54</v>
      </c>
      <c r="B2195" s="98" t="s">
        <v>81</v>
      </c>
      <c r="C2195" s="98">
        <v>-22</v>
      </c>
      <c r="D2195" s="98">
        <v>302.10000000000002</v>
      </c>
      <c r="E2195" s="98">
        <v>1</v>
      </c>
      <c r="F2195" s="98" t="s">
        <v>26</v>
      </c>
      <c r="G2195" s="98" t="s">
        <v>26</v>
      </c>
      <c r="H2195" s="98">
        <v>0</v>
      </c>
      <c r="I2195" s="98">
        <v>0</v>
      </c>
      <c r="K2195" s="98">
        <v>0.67330928300000004</v>
      </c>
      <c r="L2195" s="98">
        <v>0</v>
      </c>
      <c r="M2195" s="98">
        <v>0.64918945299999997</v>
      </c>
      <c r="N2195" s="98">
        <v>0</v>
      </c>
      <c r="O2195" s="99" t="s">
        <v>801</v>
      </c>
    </row>
    <row r="2196" spans="1:15" x14ac:dyDescent="0.25">
      <c r="A2196" s="98" t="s">
        <v>54</v>
      </c>
      <c r="B2196" s="98" t="s">
        <v>81</v>
      </c>
      <c r="C2196" s="98">
        <v>302</v>
      </c>
      <c r="D2196" s="98">
        <v>1400.1</v>
      </c>
      <c r="E2196" s="98">
        <v>0.1</v>
      </c>
      <c r="F2196" s="98" t="s">
        <v>26</v>
      </c>
      <c r="G2196" s="98" t="s">
        <v>26</v>
      </c>
      <c r="H2196" s="98">
        <v>0</v>
      </c>
      <c r="I2196" s="98">
        <v>0</v>
      </c>
      <c r="K2196" s="98">
        <v>0.36583836400000003</v>
      </c>
      <c r="L2196" s="98">
        <v>0</v>
      </c>
      <c r="M2196" s="98">
        <v>0.36274510900000001</v>
      </c>
      <c r="N2196" s="98">
        <v>0</v>
      </c>
      <c r="O2196" s="99" t="s">
        <v>802</v>
      </c>
    </row>
    <row r="2197" spans="1:15" x14ac:dyDescent="0.25">
      <c r="A2197" s="98" t="s">
        <v>54</v>
      </c>
      <c r="B2197" s="98" t="s">
        <v>81</v>
      </c>
      <c r="C2197" s="98">
        <v>302</v>
      </c>
      <c r="D2197" s="98">
        <v>1400.1</v>
      </c>
      <c r="E2197" s="98">
        <v>1</v>
      </c>
      <c r="F2197" s="98" t="s">
        <v>26</v>
      </c>
      <c r="G2197" s="98" t="s">
        <v>26</v>
      </c>
      <c r="H2197" s="98">
        <v>0</v>
      </c>
      <c r="I2197" s="98">
        <v>0</v>
      </c>
      <c r="K2197" s="98">
        <v>0.68600203500000001</v>
      </c>
      <c r="L2197" s="98">
        <v>0</v>
      </c>
      <c r="M2197" s="98">
        <v>0.679399745</v>
      </c>
      <c r="N2197" s="98">
        <v>0</v>
      </c>
      <c r="O2197" s="99" t="s">
        <v>803</v>
      </c>
    </row>
    <row r="2198" spans="1:15" x14ac:dyDescent="0.25">
      <c r="A2198" s="98" t="s">
        <v>54</v>
      </c>
      <c r="B2198" s="98" t="s">
        <v>81</v>
      </c>
      <c r="C2198" s="98">
        <v>1400</v>
      </c>
      <c r="D2198" s="98">
        <v>2192</v>
      </c>
      <c r="E2198" s="98">
        <v>0.1</v>
      </c>
      <c r="F2198" s="98" t="s">
        <v>26</v>
      </c>
      <c r="G2198" s="98" t="s">
        <v>26</v>
      </c>
      <c r="H2198" s="98">
        <v>0</v>
      </c>
      <c r="I2198" s="98">
        <v>0</v>
      </c>
      <c r="K2198" s="98">
        <v>0.487362028</v>
      </c>
      <c r="L2198" s="98">
        <v>0</v>
      </c>
      <c r="M2198" s="98">
        <v>0.48504438100000002</v>
      </c>
      <c r="N2198" s="98">
        <v>0</v>
      </c>
      <c r="O2198" s="99" t="s">
        <v>804</v>
      </c>
    </row>
    <row r="2199" spans="1:15" x14ac:dyDescent="0.25">
      <c r="A2199" s="98" t="s">
        <v>54</v>
      </c>
      <c r="B2199" s="98" t="s">
        <v>81</v>
      </c>
      <c r="C2199" s="98">
        <v>1400</v>
      </c>
      <c r="D2199" s="98">
        <v>2192</v>
      </c>
      <c r="E2199" s="98">
        <v>1</v>
      </c>
      <c r="F2199" s="98" t="s">
        <v>26</v>
      </c>
      <c r="G2199" s="98" t="s">
        <v>26</v>
      </c>
      <c r="H2199" s="98">
        <v>0</v>
      </c>
      <c r="I2199" s="98">
        <v>0</v>
      </c>
      <c r="K2199" s="98">
        <v>0.75781450900000003</v>
      </c>
      <c r="L2199" s="98">
        <v>0</v>
      </c>
      <c r="M2199" s="98">
        <v>0.75184310300000001</v>
      </c>
      <c r="N2199" s="98">
        <v>0</v>
      </c>
      <c r="O2199" s="99" t="s">
        <v>805</v>
      </c>
    </row>
    <row r="2200" spans="1:15" x14ac:dyDescent="0.25">
      <c r="A2200" s="98" t="s">
        <v>54</v>
      </c>
      <c r="B2200" s="98" t="s">
        <v>81</v>
      </c>
      <c r="C2200" s="98">
        <v>2192</v>
      </c>
      <c r="D2200" s="98">
        <v>2192.1</v>
      </c>
      <c r="E2200" s="98">
        <v>0.1</v>
      </c>
      <c r="F2200" s="98" t="s">
        <v>26</v>
      </c>
      <c r="G2200" s="98" t="s">
        <v>26</v>
      </c>
      <c r="H2200" s="98">
        <v>0</v>
      </c>
      <c r="I2200" s="98">
        <v>0</v>
      </c>
      <c r="K2200" s="98">
        <v>0.487362028</v>
      </c>
      <c r="L2200" s="98">
        <v>0</v>
      </c>
      <c r="M2200" s="98">
        <v>0.48504438100000002</v>
      </c>
      <c r="N2200" s="98">
        <v>0</v>
      </c>
      <c r="O2200" s="99" t="s">
        <v>806</v>
      </c>
    </row>
    <row r="2201" spans="1:15" x14ac:dyDescent="0.25">
      <c r="A2201" s="98" t="s">
        <v>54</v>
      </c>
      <c r="B2201" s="98" t="s">
        <v>81</v>
      </c>
      <c r="C2201" s="98">
        <v>2192</v>
      </c>
      <c r="D2201" s="98">
        <v>2192.1</v>
      </c>
      <c r="E2201" s="98">
        <v>1</v>
      </c>
      <c r="F2201" s="98" t="s">
        <v>26</v>
      </c>
      <c r="G2201" s="98" t="s">
        <v>26</v>
      </c>
      <c r="H2201" s="98">
        <v>0</v>
      </c>
      <c r="I2201" s="98">
        <v>0</v>
      </c>
      <c r="K2201" s="98">
        <v>0.75781450900000003</v>
      </c>
      <c r="L2201" s="98">
        <v>0</v>
      </c>
      <c r="M2201" s="98">
        <v>0.75184310300000001</v>
      </c>
      <c r="N2201" s="98">
        <v>0</v>
      </c>
      <c r="O2201" s="99" t="s">
        <v>807</v>
      </c>
    </row>
    <row r="2202" spans="1:15" x14ac:dyDescent="0.25">
      <c r="A2202" s="98" t="s">
        <v>54</v>
      </c>
      <c r="B2202" s="98" t="s">
        <v>82</v>
      </c>
      <c r="C2202" s="98">
        <v>-328</v>
      </c>
      <c r="D2202" s="98">
        <v>-147.9</v>
      </c>
      <c r="E2202" s="98">
        <v>0.1</v>
      </c>
      <c r="F2202" s="98" t="s">
        <v>26</v>
      </c>
      <c r="G2202" s="98" t="s">
        <v>26</v>
      </c>
      <c r="H2202" s="98">
        <v>0</v>
      </c>
      <c r="I2202" s="98">
        <v>0</v>
      </c>
      <c r="K2202" s="98">
        <v>0.70185549000000003</v>
      </c>
      <c r="L2202" s="98">
        <v>0</v>
      </c>
      <c r="M2202" s="98">
        <v>0.69127811699999997</v>
      </c>
      <c r="N2202" s="98">
        <v>0</v>
      </c>
      <c r="O2202" s="99" t="s">
        <v>784</v>
      </c>
    </row>
    <row r="2203" spans="1:15" x14ac:dyDescent="0.25">
      <c r="A2203" s="98" t="s">
        <v>54</v>
      </c>
      <c r="B2203" s="98" t="s">
        <v>82</v>
      </c>
      <c r="C2203" s="98">
        <v>-328</v>
      </c>
      <c r="D2203" s="98">
        <v>-147.9</v>
      </c>
      <c r="E2203" s="98">
        <v>1</v>
      </c>
      <c r="F2203" s="98" t="s">
        <v>26</v>
      </c>
      <c r="G2203" s="98" t="s">
        <v>26</v>
      </c>
      <c r="H2203" s="98">
        <v>0</v>
      </c>
      <c r="I2203" s="98">
        <v>0</v>
      </c>
      <c r="K2203" s="98">
        <v>0.93102535500000005</v>
      </c>
      <c r="L2203" s="98">
        <v>0</v>
      </c>
      <c r="M2203" s="98">
        <v>0.89881334800000001</v>
      </c>
      <c r="N2203" s="98">
        <v>0</v>
      </c>
      <c r="O2203" s="99" t="s">
        <v>785</v>
      </c>
    </row>
    <row r="2204" spans="1:15" x14ac:dyDescent="0.25">
      <c r="A2204" s="98" t="s">
        <v>54</v>
      </c>
      <c r="B2204" s="98" t="s">
        <v>82</v>
      </c>
      <c r="C2204" s="98">
        <v>-148</v>
      </c>
      <c r="D2204" s="98">
        <v>-12.9</v>
      </c>
      <c r="E2204" s="98">
        <v>0.1</v>
      </c>
      <c r="F2204" s="98" t="s">
        <v>26</v>
      </c>
      <c r="G2204" s="98" t="s">
        <v>26</v>
      </c>
      <c r="H2204" s="98">
        <v>0</v>
      </c>
      <c r="I2204" s="98">
        <v>0</v>
      </c>
      <c r="K2204" s="98">
        <v>0.40197575899999999</v>
      </c>
      <c r="L2204" s="98">
        <v>0</v>
      </c>
      <c r="M2204" s="98">
        <v>0.38320858099999999</v>
      </c>
      <c r="N2204" s="98">
        <v>0</v>
      </c>
      <c r="O2204" s="99" t="s">
        <v>786</v>
      </c>
    </row>
    <row r="2205" spans="1:15" x14ac:dyDescent="0.25">
      <c r="A2205" s="98" t="s">
        <v>54</v>
      </c>
      <c r="B2205" s="98" t="s">
        <v>82</v>
      </c>
      <c r="C2205" s="98">
        <v>-148</v>
      </c>
      <c r="D2205" s="98">
        <v>-12.9</v>
      </c>
      <c r="E2205" s="98">
        <v>1</v>
      </c>
      <c r="F2205" s="98" t="s">
        <v>26</v>
      </c>
      <c r="G2205" s="98" t="s">
        <v>26</v>
      </c>
      <c r="H2205" s="98">
        <v>0</v>
      </c>
      <c r="I2205" s="98">
        <v>0</v>
      </c>
      <c r="K2205" s="98">
        <v>0.73197786499999995</v>
      </c>
      <c r="L2205" s="98">
        <v>0</v>
      </c>
      <c r="M2205" s="98">
        <v>0.690542408</v>
      </c>
      <c r="N2205" s="98">
        <v>0</v>
      </c>
      <c r="O2205" s="99" t="s">
        <v>787</v>
      </c>
    </row>
    <row r="2206" spans="1:15" x14ac:dyDescent="0.25">
      <c r="A2206" s="98" t="s">
        <v>54</v>
      </c>
      <c r="B2206" s="98" t="s">
        <v>82</v>
      </c>
      <c r="C2206" s="98">
        <v>-13</v>
      </c>
      <c r="D2206" s="98">
        <v>248.1</v>
      </c>
      <c r="E2206" s="98">
        <v>0.1</v>
      </c>
      <c r="F2206" s="98" t="s">
        <v>26</v>
      </c>
      <c r="G2206" s="98" t="s">
        <v>26</v>
      </c>
      <c r="H2206" s="98">
        <v>0</v>
      </c>
      <c r="I2206" s="98">
        <v>0</v>
      </c>
      <c r="K2206" s="98">
        <v>0.35702451000000002</v>
      </c>
      <c r="L2206" s="98">
        <v>0</v>
      </c>
      <c r="M2206" s="98">
        <v>0.34265369699999998</v>
      </c>
      <c r="N2206" s="98">
        <v>0</v>
      </c>
      <c r="O2206" s="99" t="s">
        <v>788</v>
      </c>
    </row>
    <row r="2207" spans="1:15" x14ac:dyDescent="0.25">
      <c r="A2207" s="98" t="s">
        <v>54</v>
      </c>
      <c r="B2207" s="98" t="s">
        <v>82</v>
      </c>
      <c r="C2207" s="98">
        <v>-13</v>
      </c>
      <c r="D2207" s="98">
        <v>248.1</v>
      </c>
      <c r="E2207" s="98">
        <v>1</v>
      </c>
      <c r="F2207" s="98" t="s">
        <v>26</v>
      </c>
      <c r="G2207" s="98" t="s">
        <v>26</v>
      </c>
      <c r="H2207" s="98">
        <v>0</v>
      </c>
      <c r="I2207" s="98">
        <v>0</v>
      </c>
      <c r="K2207" s="98">
        <v>0.69830604600000001</v>
      </c>
      <c r="L2207" s="98">
        <v>0</v>
      </c>
      <c r="M2207" s="98">
        <v>0.66888829900000002</v>
      </c>
      <c r="N2207" s="98">
        <v>0</v>
      </c>
      <c r="O2207" s="99" t="s">
        <v>789</v>
      </c>
    </row>
    <row r="2208" spans="1:15" x14ac:dyDescent="0.25">
      <c r="A2208" s="98" t="s">
        <v>54</v>
      </c>
      <c r="B2208" s="98" t="s">
        <v>82</v>
      </c>
      <c r="C2208" s="98">
        <v>248</v>
      </c>
      <c r="D2208" s="98">
        <v>1832.1</v>
      </c>
      <c r="E2208" s="98">
        <v>0.1</v>
      </c>
      <c r="F2208" s="98" t="s">
        <v>26</v>
      </c>
      <c r="G2208" s="98" t="s">
        <v>26</v>
      </c>
      <c r="H2208" s="98">
        <v>0</v>
      </c>
      <c r="I2208" s="98">
        <v>0</v>
      </c>
      <c r="K2208" s="98">
        <v>0.55154780400000003</v>
      </c>
      <c r="L2208" s="98">
        <v>0</v>
      </c>
      <c r="M2208" s="98">
        <v>0.54665417400000005</v>
      </c>
      <c r="N2208" s="98">
        <v>0</v>
      </c>
      <c r="O2208" s="99" t="s">
        <v>790</v>
      </c>
    </row>
    <row r="2209" spans="1:15" x14ac:dyDescent="0.25">
      <c r="A2209" s="98" t="s">
        <v>54</v>
      </c>
      <c r="B2209" s="98" t="s">
        <v>82</v>
      </c>
      <c r="C2209" s="98">
        <v>248</v>
      </c>
      <c r="D2209" s="98">
        <v>1832.1</v>
      </c>
      <c r="E2209" s="98">
        <v>1</v>
      </c>
      <c r="F2209" s="98" t="s">
        <v>26</v>
      </c>
      <c r="G2209" s="98" t="s">
        <v>26</v>
      </c>
      <c r="H2209" s="98">
        <v>0</v>
      </c>
      <c r="I2209" s="98">
        <v>0</v>
      </c>
      <c r="K2209" s="98">
        <v>0.80642889500000003</v>
      </c>
      <c r="L2209" s="98">
        <v>0</v>
      </c>
      <c r="M2209" s="98">
        <v>0.792988515</v>
      </c>
      <c r="N2209" s="98">
        <v>0</v>
      </c>
      <c r="O2209" s="99" t="s">
        <v>791</v>
      </c>
    </row>
    <row r="2210" spans="1:15" x14ac:dyDescent="0.25">
      <c r="A2210" s="98" t="s">
        <v>54</v>
      </c>
      <c r="B2210" s="98" t="s">
        <v>82</v>
      </c>
      <c r="C2210" s="98">
        <v>1832</v>
      </c>
      <c r="D2210" s="98">
        <v>2500</v>
      </c>
      <c r="E2210" s="98">
        <v>0.1</v>
      </c>
      <c r="F2210" s="98" t="s">
        <v>26</v>
      </c>
      <c r="G2210" s="98" t="s">
        <v>26</v>
      </c>
      <c r="H2210" s="98">
        <v>0</v>
      </c>
      <c r="I2210" s="98">
        <v>0</v>
      </c>
      <c r="K2210" s="98">
        <v>0.83992544099999999</v>
      </c>
      <c r="L2210" s="98">
        <v>0</v>
      </c>
      <c r="M2210" s="98">
        <v>0.835476043</v>
      </c>
      <c r="N2210" s="98">
        <v>0</v>
      </c>
      <c r="O2210" s="99" t="s">
        <v>792</v>
      </c>
    </row>
    <row r="2211" spans="1:15" x14ac:dyDescent="0.25">
      <c r="A2211" s="98" t="s">
        <v>54</v>
      </c>
      <c r="B2211" s="98" t="s">
        <v>82</v>
      </c>
      <c r="C2211" s="98">
        <v>1832</v>
      </c>
      <c r="D2211" s="98">
        <v>2500</v>
      </c>
      <c r="E2211" s="98">
        <v>1</v>
      </c>
      <c r="F2211" s="98" t="s">
        <v>26</v>
      </c>
      <c r="G2211" s="98" t="s">
        <v>26</v>
      </c>
      <c r="H2211" s="98">
        <v>0</v>
      </c>
      <c r="I2211" s="98">
        <v>0</v>
      </c>
      <c r="K2211" s="98">
        <v>1.0285126790000001</v>
      </c>
      <c r="L2211" s="98">
        <v>0</v>
      </c>
      <c r="M2211" s="98">
        <v>1.013913319</v>
      </c>
      <c r="N2211" s="98">
        <v>0</v>
      </c>
      <c r="O2211" s="99" t="s">
        <v>793</v>
      </c>
    </row>
    <row r="2212" spans="1:15" x14ac:dyDescent="0.25">
      <c r="A2212" s="98" t="s">
        <v>54</v>
      </c>
      <c r="B2212" s="98" t="s">
        <v>82</v>
      </c>
      <c r="C2212" s="98">
        <v>2500</v>
      </c>
      <c r="D2212" s="98">
        <v>2500.1</v>
      </c>
      <c r="E2212" s="98">
        <v>0.1</v>
      </c>
      <c r="F2212" s="98" t="s">
        <v>26</v>
      </c>
      <c r="G2212" s="98" t="s">
        <v>26</v>
      </c>
      <c r="H2212" s="98">
        <v>0</v>
      </c>
      <c r="I2212" s="98">
        <v>0</v>
      </c>
      <c r="K2212" s="98">
        <v>0.83992544099999999</v>
      </c>
      <c r="L2212" s="98">
        <v>0</v>
      </c>
      <c r="M2212" s="98">
        <v>0.835476043</v>
      </c>
      <c r="N2212" s="98">
        <v>0</v>
      </c>
      <c r="O2212" s="99" t="s">
        <v>794</v>
      </c>
    </row>
    <row r="2213" spans="1:15" x14ac:dyDescent="0.25">
      <c r="A2213" s="98" t="s">
        <v>54</v>
      </c>
      <c r="B2213" s="98" t="s">
        <v>82</v>
      </c>
      <c r="C2213" s="98">
        <v>2500</v>
      </c>
      <c r="D2213" s="98">
        <v>2500.1</v>
      </c>
      <c r="E2213" s="98">
        <v>1</v>
      </c>
      <c r="F2213" s="98" t="s">
        <v>26</v>
      </c>
      <c r="G2213" s="98" t="s">
        <v>26</v>
      </c>
      <c r="H2213" s="98">
        <v>0</v>
      </c>
      <c r="I2213" s="98">
        <v>0</v>
      </c>
      <c r="K2213" s="98">
        <v>1.0285126790000001</v>
      </c>
      <c r="L2213" s="98">
        <v>0</v>
      </c>
      <c r="M2213" s="98">
        <v>1.013913319</v>
      </c>
      <c r="N2213" s="98">
        <v>0</v>
      </c>
      <c r="O2213" s="99" t="s">
        <v>795</v>
      </c>
    </row>
    <row r="2214" spans="1:15" x14ac:dyDescent="0.25">
      <c r="A2214" s="98" t="s">
        <v>54</v>
      </c>
      <c r="B2214" s="98" t="s">
        <v>83</v>
      </c>
      <c r="C2214" s="98">
        <v>-328</v>
      </c>
      <c r="D2214" s="98">
        <v>-147.9</v>
      </c>
      <c r="E2214" s="98">
        <v>0.1</v>
      </c>
      <c r="F2214" s="98" t="s">
        <v>26</v>
      </c>
      <c r="G2214" s="98" t="s">
        <v>26</v>
      </c>
      <c r="H2214" s="98">
        <v>0</v>
      </c>
      <c r="I2214" s="98">
        <v>0</v>
      </c>
      <c r="K2214" s="98">
        <v>0.84492191400000005</v>
      </c>
      <c r="L2214" s="98">
        <v>0</v>
      </c>
      <c r="M2214" s="98">
        <v>0.83553406799999996</v>
      </c>
      <c r="N2214" s="98">
        <v>0</v>
      </c>
      <c r="O2214" s="99" t="s">
        <v>772</v>
      </c>
    </row>
    <row r="2215" spans="1:15" x14ac:dyDescent="0.25">
      <c r="A2215" s="98" t="s">
        <v>54</v>
      </c>
      <c r="B2215" s="98" t="s">
        <v>83</v>
      </c>
      <c r="C2215" s="98">
        <v>-328</v>
      </c>
      <c r="D2215" s="98">
        <v>-147.9</v>
      </c>
      <c r="E2215" s="98">
        <v>1</v>
      </c>
      <c r="F2215" s="98" t="s">
        <v>26</v>
      </c>
      <c r="G2215" s="98" t="s">
        <v>26</v>
      </c>
      <c r="H2215" s="98">
        <v>0</v>
      </c>
      <c r="I2215" s="98">
        <v>0</v>
      </c>
      <c r="K2215" s="98">
        <v>1.0446150599999999</v>
      </c>
      <c r="L2215" s="98">
        <v>0</v>
      </c>
      <c r="M2215" s="98">
        <v>1.013961133</v>
      </c>
      <c r="N2215" s="98">
        <v>0</v>
      </c>
      <c r="O2215" s="99" t="s">
        <v>773</v>
      </c>
    </row>
    <row r="2216" spans="1:15" x14ac:dyDescent="0.25">
      <c r="A2216" s="98" t="s">
        <v>54</v>
      </c>
      <c r="B2216" s="98" t="s">
        <v>83</v>
      </c>
      <c r="C2216" s="98">
        <v>-148</v>
      </c>
      <c r="D2216" s="98">
        <v>-12.9</v>
      </c>
      <c r="E2216" s="98">
        <v>0.1</v>
      </c>
      <c r="F2216" s="98" t="s">
        <v>26</v>
      </c>
      <c r="G2216" s="98" t="s">
        <v>26</v>
      </c>
      <c r="H2216" s="98">
        <v>0</v>
      </c>
      <c r="I2216" s="98">
        <v>0</v>
      </c>
      <c r="K2216" s="98">
        <v>0.47673872299999998</v>
      </c>
      <c r="L2216" s="98">
        <v>0</v>
      </c>
      <c r="M2216" s="98">
        <v>0.46495666299999999</v>
      </c>
      <c r="N2216" s="98">
        <v>0</v>
      </c>
      <c r="O2216" s="99" t="s">
        <v>774</v>
      </c>
    </row>
    <row r="2217" spans="1:15" x14ac:dyDescent="0.25">
      <c r="A2217" s="98" t="s">
        <v>54</v>
      </c>
      <c r="B2217" s="98" t="s">
        <v>83</v>
      </c>
      <c r="C2217" s="98">
        <v>-148</v>
      </c>
      <c r="D2217" s="98">
        <v>-12.9</v>
      </c>
      <c r="E2217" s="98">
        <v>1</v>
      </c>
      <c r="F2217" s="98" t="s">
        <v>26</v>
      </c>
      <c r="G2217" s="98" t="s">
        <v>26</v>
      </c>
      <c r="H2217" s="98">
        <v>0</v>
      </c>
      <c r="I2217" s="98">
        <v>0</v>
      </c>
      <c r="K2217" s="98">
        <v>0.76848236400000003</v>
      </c>
      <c r="L2217" s="98">
        <v>0</v>
      </c>
      <c r="M2217" s="98">
        <v>0.73904309700000004</v>
      </c>
      <c r="N2217" s="98">
        <v>0</v>
      </c>
      <c r="O2217" s="99" t="s">
        <v>775</v>
      </c>
    </row>
    <row r="2218" spans="1:15" x14ac:dyDescent="0.25">
      <c r="A2218" s="98" t="s">
        <v>54</v>
      </c>
      <c r="B2218" s="98" t="s">
        <v>83</v>
      </c>
      <c r="C2218" s="98">
        <v>-13</v>
      </c>
      <c r="D2218" s="98">
        <v>248.1</v>
      </c>
      <c r="E2218" s="98">
        <v>0.1</v>
      </c>
      <c r="F2218" s="98" t="s">
        <v>26</v>
      </c>
      <c r="G2218" s="98" t="s">
        <v>26</v>
      </c>
      <c r="H2218" s="98">
        <v>0</v>
      </c>
      <c r="I2218" s="98">
        <v>0</v>
      </c>
      <c r="K2218" s="98">
        <v>0.41715274200000002</v>
      </c>
      <c r="L2218" s="98">
        <v>0</v>
      </c>
      <c r="M2218" s="98">
        <v>0.40363510699999999</v>
      </c>
      <c r="N2218" s="98">
        <v>0</v>
      </c>
      <c r="O2218" s="99" t="s">
        <v>776</v>
      </c>
    </row>
    <row r="2219" spans="1:15" x14ac:dyDescent="0.25">
      <c r="A2219" s="98" t="s">
        <v>54</v>
      </c>
      <c r="B2219" s="98" t="s">
        <v>83</v>
      </c>
      <c r="C2219" s="98">
        <v>-13</v>
      </c>
      <c r="D2219" s="98">
        <v>248.1</v>
      </c>
      <c r="E2219" s="98">
        <v>1</v>
      </c>
      <c r="F2219" s="98" t="s">
        <v>26</v>
      </c>
      <c r="G2219" s="98" t="s">
        <v>26</v>
      </c>
      <c r="H2219" s="98">
        <v>0</v>
      </c>
      <c r="I2219" s="98">
        <v>0</v>
      </c>
      <c r="K2219" s="98">
        <v>0.73300869300000004</v>
      </c>
      <c r="L2219" s="98">
        <v>0</v>
      </c>
      <c r="M2219" s="98">
        <v>0.70208354100000003</v>
      </c>
      <c r="N2219" s="98">
        <v>0</v>
      </c>
      <c r="O2219" s="99" t="s">
        <v>777</v>
      </c>
    </row>
    <row r="2220" spans="1:15" x14ac:dyDescent="0.25">
      <c r="A2220" s="98" t="s">
        <v>54</v>
      </c>
      <c r="B2220" s="98" t="s">
        <v>83</v>
      </c>
      <c r="C2220" s="98">
        <v>248</v>
      </c>
      <c r="D2220" s="98">
        <v>770.1</v>
      </c>
      <c r="E2220" s="98">
        <v>0.1</v>
      </c>
      <c r="F2220" s="98" t="s">
        <v>26</v>
      </c>
      <c r="G2220" s="98" t="s">
        <v>26</v>
      </c>
      <c r="H2220" s="98">
        <v>0</v>
      </c>
      <c r="I2220" s="98">
        <v>0</v>
      </c>
      <c r="K2220" s="98">
        <v>0.391502774</v>
      </c>
      <c r="L2220" s="98">
        <v>0</v>
      </c>
      <c r="M2220" s="98">
        <v>0.38322325200000001</v>
      </c>
      <c r="N2220" s="98">
        <v>0</v>
      </c>
      <c r="O2220" s="99" t="s">
        <v>778</v>
      </c>
    </row>
    <row r="2221" spans="1:15" x14ac:dyDescent="0.25">
      <c r="A2221" s="98" t="s">
        <v>54</v>
      </c>
      <c r="B2221" s="98" t="s">
        <v>83</v>
      </c>
      <c r="C2221" s="98">
        <v>248</v>
      </c>
      <c r="D2221" s="98">
        <v>770.1</v>
      </c>
      <c r="E2221" s="98">
        <v>1</v>
      </c>
      <c r="F2221" s="98" t="s">
        <v>26</v>
      </c>
      <c r="G2221" s="98" t="s">
        <v>26</v>
      </c>
      <c r="H2221" s="98">
        <v>0</v>
      </c>
      <c r="I2221" s="98">
        <v>0</v>
      </c>
      <c r="K2221" s="98">
        <v>0.70888469099999996</v>
      </c>
      <c r="L2221" s="98">
        <v>0</v>
      </c>
      <c r="M2221" s="98">
        <v>0.69055054900000001</v>
      </c>
      <c r="N2221" s="98">
        <v>0</v>
      </c>
      <c r="O2221" s="99" t="s">
        <v>779</v>
      </c>
    </row>
    <row r="2222" spans="1:15" x14ac:dyDescent="0.25">
      <c r="A2222" s="98" t="s">
        <v>54</v>
      </c>
      <c r="B2222" s="98" t="s">
        <v>83</v>
      </c>
      <c r="C2222" s="98">
        <v>770</v>
      </c>
      <c r="D2222" s="98">
        <v>2372</v>
      </c>
      <c r="E2222" s="98">
        <v>0.1</v>
      </c>
      <c r="F2222" s="98" t="s">
        <v>26</v>
      </c>
      <c r="G2222" s="98" t="s">
        <v>26</v>
      </c>
      <c r="H2222" s="98">
        <v>0</v>
      </c>
      <c r="I2222" s="98">
        <v>0</v>
      </c>
      <c r="K2222" s="98">
        <v>0.57284718899999998</v>
      </c>
      <c r="L2222" s="98">
        <v>0</v>
      </c>
      <c r="M2222" s="98">
        <v>0.567220893</v>
      </c>
      <c r="N2222" s="98">
        <v>0</v>
      </c>
      <c r="O2222" s="99" t="s">
        <v>780</v>
      </c>
    </row>
    <row r="2223" spans="1:15" x14ac:dyDescent="0.25">
      <c r="A2223" s="98" t="s">
        <v>54</v>
      </c>
      <c r="B2223" s="98" t="s">
        <v>83</v>
      </c>
      <c r="C2223" s="98">
        <v>770</v>
      </c>
      <c r="D2223" s="98">
        <v>2372</v>
      </c>
      <c r="E2223" s="98">
        <v>1</v>
      </c>
      <c r="F2223" s="98" t="s">
        <v>26</v>
      </c>
      <c r="G2223" s="98" t="s">
        <v>26</v>
      </c>
      <c r="H2223" s="98">
        <v>0</v>
      </c>
      <c r="I2223" s="98">
        <v>0</v>
      </c>
      <c r="K2223" s="98">
        <v>0.82304130200000003</v>
      </c>
      <c r="L2223" s="98">
        <v>0</v>
      </c>
      <c r="M2223" s="98">
        <v>0.80730387100000001</v>
      </c>
      <c r="N2223" s="98">
        <v>0</v>
      </c>
      <c r="O2223" s="99" t="s">
        <v>781</v>
      </c>
    </row>
    <row r="2224" spans="1:15" x14ac:dyDescent="0.25">
      <c r="A2224" s="98" t="s">
        <v>54</v>
      </c>
      <c r="B2224" s="98" t="s">
        <v>83</v>
      </c>
      <c r="C2224" s="98">
        <v>2372</v>
      </c>
      <c r="D2224" s="98">
        <v>2372.1</v>
      </c>
      <c r="E2224" s="98">
        <v>0.1</v>
      </c>
      <c r="F2224" s="98" t="s">
        <v>26</v>
      </c>
      <c r="G2224" s="98" t="s">
        <v>26</v>
      </c>
      <c r="H2224" s="98">
        <v>0</v>
      </c>
      <c r="I2224" s="98">
        <v>0</v>
      </c>
      <c r="K2224" s="98">
        <v>0.57284718899999998</v>
      </c>
      <c r="L2224" s="98">
        <v>0</v>
      </c>
      <c r="M2224" s="98">
        <v>0.567220893</v>
      </c>
      <c r="N2224" s="98">
        <v>0</v>
      </c>
      <c r="O2224" s="99" t="s">
        <v>782</v>
      </c>
    </row>
    <row r="2225" spans="1:15" x14ac:dyDescent="0.25">
      <c r="A2225" s="98" t="s">
        <v>54</v>
      </c>
      <c r="B2225" s="98" t="s">
        <v>83</v>
      </c>
      <c r="C2225" s="98">
        <v>2372</v>
      </c>
      <c r="D2225" s="98">
        <v>2372.1</v>
      </c>
      <c r="E2225" s="98">
        <v>1</v>
      </c>
      <c r="F2225" s="98" t="s">
        <v>26</v>
      </c>
      <c r="G2225" s="98" t="s">
        <v>26</v>
      </c>
      <c r="H2225" s="98">
        <v>0</v>
      </c>
      <c r="I2225" s="98">
        <v>0</v>
      </c>
      <c r="K2225" s="98">
        <v>0.82304130200000003</v>
      </c>
      <c r="L2225" s="98">
        <v>0</v>
      </c>
      <c r="M2225" s="98">
        <v>0.80730387100000001</v>
      </c>
      <c r="N2225" s="98">
        <v>0</v>
      </c>
      <c r="O2225" s="99" t="s">
        <v>783</v>
      </c>
    </row>
    <row r="2226" spans="1:15" x14ac:dyDescent="0.25">
      <c r="A2226" s="98" t="s">
        <v>54</v>
      </c>
      <c r="B2226" s="98" t="s">
        <v>87</v>
      </c>
      <c r="C2226" s="98">
        <v>-328</v>
      </c>
      <c r="D2226" s="98">
        <v>32.1</v>
      </c>
      <c r="E2226" s="98">
        <v>0.1</v>
      </c>
      <c r="F2226" s="98" t="s">
        <v>26</v>
      </c>
      <c r="G2226" s="98" t="s">
        <v>26</v>
      </c>
      <c r="H2226" s="98">
        <v>0</v>
      </c>
      <c r="I2226" s="98">
        <v>0</v>
      </c>
      <c r="K2226" s="98">
        <v>0.219284594</v>
      </c>
      <c r="L2226" s="98">
        <v>0</v>
      </c>
      <c r="M2226" s="98">
        <v>0.190436296</v>
      </c>
      <c r="N2226" s="98">
        <v>0</v>
      </c>
      <c r="O2226" s="99" t="s">
        <v>758</v>
      </c>
    </row>
    <row r="2227" spans="1:15" x14ac:dyDescent="0.25">
      <c r="A2227" s="98" t="s">
        <v>54</v>
      </c>
      <c r="B2227" s="98" t="s">
        <v>87</v>
      </c>
      <c r="C2227" s="98">
        <v>-328</v>
      </c>
      <c r="D2227" s="98">
        <v>32.1</v>
      </c>
      <c r="E2227" s="98">
        <v>1</v>
      </c>
      <c r="F2227" s="98" t="s">
        <v>26</v>
      </c>
      <c r="G2227" s="98" t="s">
        <v>26</v>
      </c>
      <c r="H2227" s="98">
        <v>0</v>
      </c>
      <c r="I2227" s="98">
        <v>0</v>
      </c>
      <c r="K2227" s="98">
        <v>0.60123441600000005</v>
      </c>
      <c r="L2227" s="98">
        <v>0</v>
      </c>
      <c r="M2227" s="98">
        <v>0.58897414100000001</v>
      </c>
      <c r="N2227" s="98">
        <v>0</v>
      </c>
      <c r="O2227" s="99" t="s">
        <v>759</v>
      </c>
    </row>
    <row r="2228" spans="1:15" x14ac:dyDescent="0.25">
      <c r="A2228" s="98" t="s">
        <v>54</v>
      </c>
      <c r="B2228" s="98" t="s">
        <v>87</v>
      </c>
      <c r="C2228" s="98">
        <v>32</v>
      </c>
      <c r="D2228" s="98">
        <v>212.1</v>
      </c>
      <c r="E2228" s="98">
        <v>0.1</v>
      </c>
      <c r="F2228" s="98" t="s">
        <v>26</v>
      </c>
      <c r="G2228" s="98" t="s">
        <v>26</v>
      </c>
      <c r="H2228" s="98">
        <v>0</v>
      </c>
      <c r="I2228" s="98">
        <v>0</v>
      </c>
      <c r="K2228" s="98">
        <v>0.28536871200000002</v>
      </c>
      <c r="L2228" s="98">
        <v>0</v>
      </c>
      <c r="M2228" s="98">
        <v>0.26384759099999999</v>
      </c>
      <c r="N2228" s="98">
        <v>0</v>
      </c>
      <c r="O2228" s="99" t="s">
        <v>760</v>
      </c>
    </row>
    <row r="2229" spans="1:15" x14ac:dyDescent="0.25">
      <c r="A2229" s="98" t="s">
        <v>54</v>
      </c>
      <c r="B2229" s="98" t="s">
        <v>87</v>
      </c>
      <c r="C2229" s="98">
        <v>32</v>
      </c>
      <c r="D2229" s="98">
        <v>212.1</v>
      </c>
      <c r="E2229" s="98">
        <v>1</v>
      </c>
      <c r="F2229" s="98" t="s">
        <v>26</v>
      </c>
      <c r="G2229" s="98" t="s">
        <v>26</v>
      </c>
      <c r="H2229" s="98">
        <v>0</v>
      </c>
      <c r="I2229" s="98">
        <v>0</v>
      </c>
      <c r="K2229" s="98">
        <v>0.611006049</v>
      </c>
      <c r="L2229" s="98">
        <v>0</v>
      </c>
      <c r="M2229" s="98">
        <v>0.59894583000000001</v>
      </c>
      <c r="N2229" s="98">
        <v>0</v>
      </c>
      <c r="O2229" s="99" t="s">
        <v>761</v>
      </c>
    </row>
    <row r="2230" spans="1:15" x14ac:dyDescent="0.25">
      <c r="A2230" s="98" t="s">
        <v>54</v>
      </c>
      <c r="B2230" s="98" t="s">
        <v>87</v>
      </c>
      <c r="C2230" s="98">
        <v>212</v>
      </c>
      <c r="D2230" s="98">
        <v>572.1</v>
      </c>
      <c r="E2230" s="98">
        <v>0.1</v>
      </c>
      <c r="F2230" s="98" t="s">
        <v>26</v>
      </c>
      <c r="G2230" s="98" t="s">
        <v>26</v>
      </c>
      <c r="H2230" s="98">
        <v>0</v>
      </c>
      <c r="I2230" s="98">
        <v>0</v>
      </c>
      <c r="K2230" s="98">
        <v>0.28536871200000002</v>
      </c>
      <c r="L2230" s="98">
        <v>0</v>
      </c>
      <c r="M2230" s="98">
        <v>0.26384759099999999</v>
      </c>
      <c r="N2230" s="98">
        <v>0</v>
      </c>
      <c r="O2230" s="99" t="s">
        <v>762</v>
      </c>
    </row>
    <row r="2231" spans="1:15" x14ac:dyDescent="0.25">
      <c r="A2231" s="98" t="s">
        <v>54</v>
      </c>
      <c r="B2231" s="98" t="s">
        <v>87</v>
      </c>
      <c r="C2231" s="98">
        <v>212</v>
      </c>
      <c r="D2231" s="98">
        <v>572.1</v>
      </c>
      <c r="E2231" s="98">
        <v>1</v>
      </c>
      <c r="F2231" s="98" t="s">
        <v>26</v>
      </c>
      <c r="G2231" s="98" t="s">
        <v>26</v>
      </c>
      <c r="H2231" s="98">
        <v>0</v>
      </c>
      <c r="I2231" s="98">
        <v>0</v>
      </c>
      <c r="K2231" s="98">
        <v>0.611006049</v>
      </c>
      <c r="L2231" s="98">
        <v>0</v>
      </c>
      <c r="M2231" s="98">
        <v>0.59894583000000001</v>
      </c>
      <c r="N2231" s="98">
        <v>0</v>
      </c>
      <c r="O2231" s="99" t="s">
        <v>763</v>
      </c>
    </row>
    <row r="2232" spans="1:15" x14ac:dyDescent="0.25">
      <c r="A2232" s="98" t="s">
        <v>54</v>
      </c>
      <c r="B2232" s="98" t="s">
        <v>87</v>
      </c>
      <c r="C2232" s="98">
        <v>572</v>
      </c>
      <c r="D2232" s="98">
        <v>752.1</v>
      </c>
      <c r="E2232" s="98">
        <v>0.1</v>
      </c>
      <c r="F2232" s="98" t="s">
        <v>26</v>
      </c>
      <c r="G2232" s="98" t="s">
        <v>26</v>
      </c>
      <c r="H2232" s="98">
        <v>0</v>
      </c>
      <c r="I2232" s="98">
        <v>0</v>
      </c>
      <c r="K2232" s="98">
        <v>0.39011774900000001</v>
      </c>
      <c r="L2232" s="98">
        <v>0</v>
      </c>
      <c r="M2232" s="98">
        <v>0.37466265900000001</v>
      </c>
      <c r="N2232" s="98">
        <v>0</v>
      </c>
      <c r="O2232" s="99" t="s">
        <v>764</v>
      </c>
    </row>
    <row r="2233" spans="1:15" x14ac:dyDescent="0.25">
      <c r="A2233" s="98" t="s">
        <v>54</v>
      </c>
      <c r="B2233" s="98" t="s">
        <v>87</v>
      </c>
      <c r="C2233" s="98">
        <v>572</v>
      </c>
      <c r="D2233" s="98">
        <v>752.1</v>
      </c>
      <c r="E2233" s="98">
        <v>1</v>
      </c>
      <c r="F2233" s="98" t="s">
        <v>26</v>
      </c>
      <c r="G2233" s="98" t="s">
        <v>26</v>
      </c>
      <c r="H2233" s="98">
        <v>0</v>
      </c>
      <c r="I2233" s="98">
        <v>0</v>
      </c>
      <c r="K2233" s="98">
        <v>0.63118059900000001</v>
      </c>
      <c r="L2233" s="98">
        <v>0</v>
      </c>
      <c r="M2233" s="98">
        <v>0.61951324699999999</v>
      </c>
      <c r="N2233" s="98">
        <v>0</v>
      </c>
      <c r="O2233" s="99" t="s">
        <v>765</v>
      </c>
    </row>
    <row r="2234" spans="1:15" x14ac:dyDescent="0.25">
      <c r="A2234" s="98" t="s">
        <v>54</v>
      </c>
      <c r="B2234" s="98" t="s">
        <v>87</v>
      </c>
      <c r="C2234" s="98">
        <v>752</v>
      </c>
      <c r="D2234" s="98">
        <v>1166.0999999999999</v>
      </c>
      <c r="E2234" s="98">
        <v>0.1</v>
      </c>
      <c r="F2234" s="98" t="s">
        <v>26</v>
      </c>
      <c r="G2234" s="98" t="s">
        <v>26</v>
      </c>
      <c r="H2234" s="98">
        <v>0</v>
      </c>
      <c r="I2234" s="98">
        <v>0</v>
      </c>
      <c r="K2234" s="98">
        <v>0.45987010699999997</v>
      </c>
      <c r="L2234" s="98">
        <v>0</v>
      </c>
      <c r="M2234" s="98">
        <v>0.44683415799999998</v>
      </c>
      <c r="N2234" s="98">
        <v>0</v>
      </c>
      <c r="O2234" s="99" t="s">
        <v>766</v>
      </c>
    </row>
    <row r="2235" spans="1:15" x14ac:dyDescent="0.25">
      <c r="A2235" s="98" t="s">
        <v>54</v>
      </c>
      <c r="B2235" s="98" t="s">
        <v>87</v>
      </c>
      <c r="C2235" s="98">
        <v>752</v>
      </c>
      <c r="D2235" s="98">
        <v>1166.0999999999999</v>
      </c>
      <c r="E2235" s="98">
        <v>1</v>
      </c>
      <c r="F2235" s="98" t="s">
        <v>26</v>
      </c>
      <c r="G2235" s="98" t="s">
        <v>26</v>
      </c>
      <c r="H2235" s="98">
        <v>0</v>
      </c>
      <c r="I2235" s="98">
        <v>0</v>
      </c>
      <c r="K2235" s="98">
        <v>0.64672529300000003</v>
      </c>
      <c r="L2235" s="98">
        <v>0</v>
      </c>
      <c r="M2235" s="98">
        <v>0.63534346600000002</v>
      </c>
      <c r="N2235" s="98">
        <v>0</v>
      </c>
      <c r="O2235" s="99" t="s">
        <v>767</v>
      </c>
    </row>
    <row r="2236" spans="1:15" x14ac:dyDescent="0.25">
      <c r="A2236" s="98" t="s">
        <v>54</v>
      </c>
      <c r="B2236" s="98" t="s">
        <v>87</v>
      </c>
      <c r="C2236" s="98">
        <v>1166</v>
      </c>
      <c r="D2236" s="98">
        <v>1472</v>
      </c>
      <c r="E2236" s="98">
        <v>0.1</v>
      </c>
      <c r="F2236" s="98" t="s">
        <v>26</v>
      </c>
      <c r="G2236" s="98" t="s">
        <v>26</v>
      </c>
      <c r="H2236" s="98">
        <v>0</v>
      </c>
      <c r="I2236" s="98">
        <v>0</v>
      </c>
      <c r="K2236" s="98">
        <v>0.77811255300000004</v>
      </c>
      <c r="L2236" s="98">
        <v>0</v>
      </c>
      <c r="M2236" s="98">
        <v>0.77047997700000004</v>
      </c>
      <c r="N2236" s="98">
        <v>0</v>
      </c>
      <c r="O2236" s="99" t="s">
        <v>768</v>
      </c>
    </row>
    <row r="2237" spans="1:15" x14ac:dyDescent="0.25">
      <c r="A2237" s="98" t="s">
        <v>54</v>
      </c>
      <c r="B2237" s="98" t="s">
        <v>87</v>
      </c>
      <c r="C2237" s="98">
        <v>1166</v>
      </c>
      <c r="D2237" s="98">
        <v>1472</v>
      </c>
      <c r="E2237" s="98">
        <v>1</v>
      </c>
      <c r="F2237" s="98" t="s">
        <v>26</v>
      </c>
      <c r="G2237" s="98" t="s">
        <v>26</v>
      </c>
      <c r="H2237" s="98">
        <v>0</v>
      </c>
      <c r="I2237" s="98">
        <v>0</v>
      </c>
      <c r="K2237" s="98">
        <v>0.73899948299999996</v>
      </c>
      <c r="L2237" s="98">
        <v>0</v>
      </c>
      <c r="M2237" s="98">
        <v>0.72905963500000004</v>
      </c>
      <c r="N2237" s="98">
        <v>0</v>
      </c>
      <c r="O2237" s="99" t="s">
        <v>769</v>
      </c>
    </row>
    <row r="2238" spans="1:15" x14ac:dyDescent="0.25">
      <c r="A2238" s="98" t="s">
        <v>54</v>
      </c>
      <c r="B2238" s="98" t="s">
        <v>87</v>
      </c>
      <c r="C2238" s="98">
        <v>1472</v>
      </c>
      <c r="D2238" s="98">
        <v>1472.1</v>
      </c>
      <c r="E2238" s="98">
        <v>0.1</v>
      </c>
      <c r="F2238" s="98" t="s">
        <v>26</v>
      </c>
      <c r="G2238" s="98" t="s">
        <v>26</v>
      </c>
      <c r="H2238" s="98">
        <v>0</v>
      </c>
      <c r="I2238" s="98">
        <v>0</v>
      </c>
      <c r="K2238" s="98">
        <v>0.77811255300000004</v>
      </c>
      <c r="L2238" s="98">
        <v>0</v>
      </c>
      <c r="M2238" s="98">
        <v>0.77047997700000004</v>
      </c>
      <c r="N2238" s="98">
        <v>0</v>
      </c>
      <c r="O2238" s="99" t="s">
        <v>770</v>
      </c>
    </row>
    <row r="2239" spans="1:15" x14ac:dyDescent="0.25">
      <c r="A2239" s="98" t="s">
        <v>54</v>
      </c>
      <c r="B2239" s="98" t="s">
        <v>87</v>
      </c>
      <c r="C2239" s="98">
        <v>1472</v>
      </c>
      <c r="D2239" s="98">
        <v>1472.1</v>
      </c>
      <c r="E2239" s="98">
        <v>1</v>
      </c>
      <c r="F2239" s="98" t="s">
        <v>26</v>
      </c>
      <c r="G2239" s="98" t="s">
        <v>26</v>
      </c>
      <c r="H2239" s="98">
        <v>0</v>
      </c>
      <c r="I2239" s="98">
        <v>0</v>
      </c>
      <c r="K2239" s="98">
        <v>0.73899948299999996</v>
      </c>
      <c r="L2239" s="98">
        <v>0</v>
      </c>
      <c r="M2239" s="98">
        <v>0.72905963500000004</v>
      </c>
      <c r="N2239" s="98">
        <v>0</v>
      </c>
      <c r="O2239" s="99" t="s">
        <v>771</v>
      </c>
    </row>
    <row r="2240" spans="1:15" x14ac:dyDescent="0.25">
      <c r="A2240" s="98" t="s">
        <v>54</v>
      </c>
      <c r="B2240" s="98" t="s">
        <v>88</v>
      </c>
      <c r="C2240" s="98">
        <v>-328</v>
      </c>
      <c r="D2240" s="98">
        <v>32.1</v>
      </c>
      <c r="E2240" s="98">
        <v>0.1</v>
      </c>
      <c r="F2240" s="98" t="s">
        <v>26</v>
      </c>
      <c r="G2240" s="98" t="s">
        <v>26</v>
      </c>
      <c r="H2240" s="98">
        <v>0</v>
      </c>
      <c r="I2240" s="98">
        <v>0</v>
      </c>
      <c r="K2240" s="98">
        <v>0.16401347099999999</v>
      </c>
      <c r="L2240" s="98">
        <v>0</v>
      </c>
      <c r="M2240" s="98">
        <v>0.12280337299999999</v>
      </c>
      <c r="N2240" s="98">
        <v>0</v>
      </c>
      <c r="O2240" s="99" t="s">
        <v>743</v>
      </c>
    </row>
    <row r="2241" spans="1:15" x14ac:dyDescent="0.25">
      <c r="A2241" s="98" t="s">
        <v>54</v>
      </c>
      <c r="B2241" s="98" t="s">
        <v>88</v>
      </c>
      <c r="C2241" s="98">
        <v>-328</v>
      </c>
      <c r="D2241" s="98">
        <v>32.1</v>
      </c>
      <c r="E2241" s="98">
        <v>1</v>
      </c>
      <c r="F2241" s="98" t="s">
        <v>26</v>
      </c>
      <c r="G2241" s="98" t="s">
        <v>26</v>
      </c>
      <c r="H2241" s="98">
        <v>0</v>
      </c>
      <c r="I2241" s="98">
        <v>0</v>
      </c>
      <c r="K2241" s="98">
        <v>0.59551113200000005</v>
      </c>
      <c r="L2241" s="98">
        <v>0</v>
      </c>
      <c r="M2241" s="98">
        <v>0.58313053800000003</v>
      </c>
      <c r="N2241" s="98">
        <v>0</v>
      </c>
      <c r="O2241" s="99" t="s">
        <v>744</v>
      </c>
    </row>
    <row r="2242" spans="1:15" x14ac:dyDescent="0.25">
      <c r="A2242" s="98" t="s">
        <v>54</v>
      </c>
      <c r="B2242" s="98" t="s">
        <v>88</v>
      </c>
      <c r="C2242" s="98">
        <v>32</v>
      </c>
      <c r="D2242" s="98">
        <v>212.1</v>
      </c>
      <c r="E2242" s="98">
        <v>0.1</v>
      </c>
      <c r="F2242" s="98" t="s">
        <v>26</v>
      </c>
      <c r="G2242" s="98" t="s">
        <v>26</v>
      </c>
      <c r="H2242" s="98">
        <v>0</v>
      </c>
      <c r="I2242" s="98">
        <v>0</v>
      </c>
      <c r="K2242" s="98">
        <v>0.19201475800000001</v>
      </c>
      <c r="L2242" s="98">
        <v>0</v>
      </c>
      <c r="M2242" s="98">
        <v>0.15827165600000001</v>
      </c>
      <c r="N2242" s="98">
        <v>0</v>
      </c>
      <c r="O2242" s="99" t="s">
        <v>745</v>
      </c>
    </row>
    <row r="2243" spans="1:15" x14ac:dyDescent="0.25">
      <c r="A2243" s="98" t="s">
        <v>54</v>
      </c>
      <c r="B2243" s="98" t="s">
        <v>88</v>
      </c>
      <c r="C2243" s="98">
        <v>212</v>
      </c>
      <c r="D2243" s="98">
        <v>500.1</v>
      </c>
      <c r="E2243" s="98">
        <v>0.1</v>
      </c>
      <c r="F2243" s="98" t="s">
        <v>26</v>
      </c>
      <c r="G2243" s="98" t="s">
        <v>26</v>
      </c>
      <c r="H2243" s="98">
        <v>0</v>
      </c>
      <c r="I2243" s="98">
        <v>0</v>
      </c>
      <c r="K2243" s="98">
        <v>0.19201475800000001</v>
      </c>
      <c r="L2243" s="98">
        <v>0</v>
      </c>
      <c r="M2243" s="98">
        <v>0.15827165600000001</v>
      </c>
      <c r="N2243" s="98">
        <v>0</v>
      </c>
      <c r="O2243" s="99" t="s">
        <v>746</v>
      </c>
    </row>
    <row r="2244" spans="1:15" x14ac:dyDescent="0.25">
      <c r="A2244" s="98" t="s">
        <v>54</v>
      </c>
      <c r="B2244" s="98" t="s">
        <v>88</v>
      </c>
      <c r="C2244" s="98">
        <v>212</v>
      </c>
      <c r="D2244" s="98">
        <v>500.1</v>
      </c>
      <c r="E2244" s="98">
        <v>1</v>
      </c>
      <c r="F2244" s="98" t="s">
        <v>26</v>
      </c>
      <c r="G2244" s="98" t="s">
        <v>26</v>
      </c>
      <c r="H2244" s="98">
        <v>0</v>
      </c>
      <c r="I2244" s="98">
        <v>0</v>
      </c>
      <c r="K2244" s="98">
        <v>0.59860734800000004</v>
      </c>
      <c r="L2244" s="98">
        <v>0</v>
      </c>
      <c r="M2244" s="98">
        <v>0.58629213899999999</v>
      </c>
      <c r="N2244" s="98">
        <v>0</v>
      </c>
      <c r="O2244" s="99" t="s">
        <v>747</v>
      </c>
    </row>
    <row r="2245" spans="1:15" x14ac:dyDescent="0.25">
      <c r="A2245" s="98" t="s">
        <v>54</v>
      </c>
      <c r="B2245" s="98" t="s">
        <v>88</v>
      </c>
      <c r="C2245" s="98">
        <v>500</v>
      </c>
      <c r="D2245" s="98">
        <v>572.1</v>
      </c>
      <c r="E2245" s="98">
        <v>0.1</v>
      </c>
      <c r="F2245" s="98" t="s">
        <v>26</v>
      </c>
      <c r="G2245" s="98" t="s">
        <v>26</v>
      </c>
      <c r="H2245" s="98">
        <v>0</v>
      </c>
      <c r="I2245" s="98">
        <v>0</v>
      </c>
      <c r="K2245" s="98">
        <v>0.26189677900000002</v>
      </c>
      <c r="L2245" s="98">
        <v>0</v>
      </c>
      <c r="M2245" s="98">
        <v>0.23826491999999999</v>
      </c>
      <c r="N2245" s="98">
        <v>0</v>
      </c>
      <c r="O2245" s="99" t="s">
        <v>748</v>
      </c>
    </row>
    <row r="2246" spans="1:15" x14ac:dyDescent="0.25">
      <c r="A2246" s="98" t="s">
        <v>54</v>
      </c>
      <c r="B2246" s="98" t="s">
        <v>88</v>
      </c>
      <c r="C2246" s="98">
        <v>500</v>
      </c>
      <c r="D2246" s="98">
        <v>572.1</v>
      </c>
      <c r="E2246" s="98">
        <v>1</v>
      </c>
      <c r="F2246" s="98" t="s">
        <v>26</v>
      </c>
      <c r="G2246" s="98" t="s">
        <v>26</v>
      </c>
      <c r="H2246" s="98">
        <v>0</v>
      </c>
      <c r="I2246" s="98">
        <v>0</v>
      </c>
      <c r="K2246" s="98">
        <v>0.61002542000000004</v>
      </c>
      <c r="L2246" s="98">
        <v>0</v>
      </c>
      <c r="M2246" s="98">
        <v>0.597945422</v>
      </c>
      <c r="N2246" s="98">
        <v>0</v>
      </c>
      <c r="O2246" s="99" t="s">
        <v>749</v>
      </c>
    </row>
    <row r="2247" spans="1:15" x14ac:dyDescent="0.25">
      <c r="A2247" s="98" t="s">
        <v>54</v>
      </c>
      <c r="B2247" s="98" t="s">
        <v>88</v>
      </c>
      <c r="C2247" s="98">
        <v>572</v>
      </c>
      <c r="D2247" s="98">
        <v>752.1</v>
      </c>
      <c r="E2247" s="98">
        <v>0.1</v>
      </c>
      <c r="F2247" s="98" t="s">
        <v>26</v>
      </c>
      <c r="G2247" s="98" t="s">
        <v>26</v>
      </c>
      <c r="H2247" s="98">
        <v>0</v>
      </c>
      <c r="I2247" s="98">
        <v>0</v>
      </c>
      <c r="K2247" s="98">
        <v>0.29342095699999998</v>
      </c>
      <c r="L2247" s="98">
        <v>0</v>
      </c>
      <c r="M2247" s="98">
        <v>0.27253643399999999</v>
      </c>
      <c r="N2247" s="98">
        <v>0</v>
      </c>
      <c r="O2247" s="99" t="s">
        <v>750</v>
      </c>
    </row>
    <row r="2248" spans="1:15" x14ac:dyDescent="0.25">
      <c r="A2248" s="98" t="s">
        <v>54</v>
      </c>
      <c r="B2248" s="98" t="s">
        <v>88</v>
      </c>
      <c r="C2248" s="98">
        <v>572</v>
      </c>
      <c r="D2248" s="98">
        <v>752.1</v>
      </c>
      <c r="E2248" s="98">
        <v>1</v>
      </c>
      <c r="F2248" s="98" t="s">
        <v>26</v>
      </c>
      <c r="G2248" s="98" t="s">
        <v>26</v>
      </c>
      <c r="H2248" s="98">
        <v>0</v>
      </c>
      <c r="I2248" s="98">
        <v>0</v>
      </c>
      <c r="K2248" s="98">
        <v>0.61480805800000005</v>
      </c>
      <c r="L2248" s="98">
        <v>0</v>
      </c>
      <c r="M2248" s="98">
        <v>0.60282390799999996</v>
      </c>
      <c r="N2248" s="98">
        <v>0</v>
      </c>
      <c r="O2248" s="99" t="s">
        <v>751</v>
      </c>
    </row>
    <row r="2249" spans="1:15" x14ac:dyDescent="0.25">
      <c r="A2249" s="98" t="s">
        <v>54</v>
      </c>
      <c r="B2249" s="98" t="s">
        <v>88</v>
      </c>
      <c r="C2249" s="98">
        <v>752</v>
      </c>
      <c r="D2249" s="98">
        <v>1112.0999999999999</v>
      </c>
      <c r="E2249" s="98">
        <v>0.1</v>
      </c>
      <c r="F2249" s="98" t="s">
        <v>26</v>
      </c>
      <c r="G2249" s="98" t="s">
        <v>26</v>
      </c>
      <c r="H2249" s="98">
        <v>0</v>
      </c>
      <c r="I2249" s="98">
        <v>0</v>
      </c>
      <c r="K2249" s="98">
        <v>0.29725496600000001</v>
      </c>
      <c r="L2249" s="98">
        <v>0</v>
      </c>
      <c r="M2249" s="98">
        <v>0.27666001600000001</v>
      </c>
      <c r="N2249" s="98">
        <v>0</v>
      </c>
      <c r="O2249" s="99" t="s">
        <v>752</v>
      </c>
    </row>
    <row r="2250" spans="1:15" x14ac:dyDescent="0.25">
      <c r="A2250" s="98" t="s">
        <v>54</v>
      </c>
      <c r="B2250" s="98" t="s">
        <v>88</v>
      </c>
      <c r="C2250" s="98">
        <v>752</v>
      </c>
      <c r="D2250" s="98">
        <v>1112.0999999999999</v>
      </c>
      <c r="E2250" s="98">
        <v>1</v>
      </c>
      <c r="F2250" s="98" t="s">
        <v>26</v>
      </c>
      <c r="G2250" s="98" t="s">
        <v>26</v>
      </c>
      <c r="H2250" s="98">
        <v>0</v>
      </c>
      <c r="I2250" s="98">
        <v>0</v>
      </c>
      <c r="K2250" s="98">
        <v>0.61664706700000005</v>
      </c>
      <c r="L2250" s="98">
        <v>0</v>
      </c>
      <c r="M2250" s="98">
        <v>0.60469936400000002</v>
      </c>
      <c r="N2250" s="98">
        <v>0</v>
      </c>
      <c r="O2250" s="99" t="s">
        <v>753</v>
      </c>
    </row>
    <row r="2251" spans="1:15" x14ac:dyDescent="0.25">
      <c r="A2251" s="98" t="s">
        <v>54</v>
      </c>
      <c r="B2251" s="98" t="s">
        <v>88</v>
      </c>
      <c r="C2251" s="98">
        <v>1112</v>
      </c>
      <c r="D2251" s="98">
        <v>1166</v>
      </c>
      <c r="E2251" s="98">
        <v>0.1</v>
      </c>
      <c r="F2251" s="98" t="s">
        <v>26</v>
      </c>
      <c r="G2251" s="98" t="s">
        <v>26</v>
      </c>
      <c r="H2251" s="98">
        <v>0</v>
      </c>
      <c r="I2251" s="98">
        <v>0</v>
      </c>
      <c r="K2251" s="98">
        <v>0.84698905999999996</v>
      </c>
      <c r="L2251" s="98">
        <v>0</v>
      </c>
      <c r="M2251" s="98">
        <v>0.83998256900000001</v>
      </c>
      <c r="N2251" s="98">
        <v>0</v>
      </c>
      <c r="O2251" s="99" t="s">
        <v>754</v>
      </c>
    </row>
    <row r="2252" spans="1:15" x14ac:dyDescent="0.25">
      <c r="A2252" s="98" t="s">
        <v>54</v>
      </c>
      <c r="B2252" s="98" t="s">
        <v>88</v>
      </c>
      <c r="C2252" s="98">
        <v>1112</v>
      </c>
      <c r="D2252" s="98">
        <v>1166</v>
      </c>
      <c r="E2252" s="98">
        <v>1</v>
      </c>
      <c r="F2252" s="98" t="s">
        <v>26</v>
      </c>
      <c r="G2252" s="98" t="s">
        <v>26</v>
      </c>
      <c r="H2252" s="98">
        <v>0</v>
      </c>
      <c r="I2252" s="98">
        <v>0</v>
      </c>
      <c r="K2252" s="98">
        <v>1.026249266</v>
      </c>
      <c r="L2252" s="98">
        <v>0</v>
      </c>
      <c r="M2252" s="98">
        <v>1.019114946</v>
      </c>
      <c r="N2252" s="98">
        <v>0</v>
      </c>
      <c r="O2252" s="99" t="s">
        <v>755</v>
      </c>
    </row>
    <row r="2253" spans="1:15" x14ac:dyDescent="0.25">
      <c r="A2253" s="98" t="s">
        <v>54</v>
      </c>
      <c r="B2253" s="98" t="s">
        <v>88</v>
      </c>
      <c r="C2253" s="98">
        <v>1166</v>
      </c>
      <c r="D2253" s="98">
        <v>1166.0999999999999</v>
      </c>
      <c r="E2253" s="98">
        <v>0.1</v>
      </c>
      <c r="F2253" s="98" t="s">
        <v>26</v>
      </c>
      <c r="G2253" s="98" t="s">
        <v>26</v>
      </c>
      <c r="H2253" s="98">
        <v>0</v>
      </c>
      <c r="I2253" s="98">
        <v>0</v>
      </c>
      <c r="K2253" s="98">
        <v>0.84698905999999996</v>
      </c>
      <c r="L2253" s="98">
        <v>0</v>
      </c>
      <c r="M2253" s="98">
        <v>0.83998256900000001</v>
      </c>
      <c r="N2253" s="98">
        <v>0</v>
      </c>
      <c r="O2253" s="99" t="s">
        <v>756</v>
      </c>
    </row>
    <row r="2254" spans="1:15" x14ac:dyDescent="0.25">
      <c r="A2254" s="98" t="s">
        <v>54</v>
      </c>
      <c r="B2254" s="98" t="s">
        <v>88</v>
      </c>
      <c r="C2254" s="98">
        <v>1166</v>
      </c>
      <c r="D2254" s="98">
        <v>1166.0999999999999</v>
      </c>
      <c r="E2254" s="98">
        <v>1</v>
      </c>
      <c r="F2254" s="98" t="s">
        <v>26</v>
      </c>
      <c r="G2254" s="98" t="s">
        <v>26</v>
      </c>
      <c r="H2254" s="98">
        <v>0</v>
      </c>
      <c r="I2254" s="98">
        <v>0</v>
      </c>
      <c r="K2254" s="98">
        <v>1.026249266</v>
      </c>
      <c r="L2254" s="98">
        <v>0</v>
      </c>
      <c r="M2254" s="98">
        <v>1.019114946</v>
      </c>
      <c r="N2254" s="98">
        <v>0</v>
      </c>
      <c r="O2254" s="99" t="s">
        <v>757</v>
      </c>
    </row>
    <row r="2255" spans="1:15" x14ac:dyDescent="0.25">
      <c r="A2255" s="98" t="s">
        <v>54</v>
      </c>
      <c r="B2255" s="98" t="s">
        <v>84</v>
      </c>
      <c r="C2255" s="98">
        <v>32</v>
      </c>
      <c r="D2255" s="98">
        <v>482.1</v>
      </c>
      <c r="E2255" s="98">
        <v>0.1</v>
      </c>
      <c r="F2255" s="98" t="s">
        <v>26</v>
      </c>
      <c r="G2255" s="98" t="s">
        <v>26</v>
      </c>
      <c r="H2255" s="98">
        <v>0</v>
      </c>
      <c r="I2255" s="98">
        <v>0</v>
      </c>
      <c r="K2255" s="98">
        <v>1.196556843</v>
      </c>
      <c r="L2255" s="98">
        <v>0</v>
      </c>
      <c r="M2255" s="98">
        <v>1.190019234</v>
      </c>
      <c r="N2255" s="98">
        <v>0</v>
      </c>
      <c r="O2255" s="99" t="s">
        <v>733</v>
      </c>
    </row>
    <row r="2256" spans="1:15" x14ac:dyDescent="0.25">
      <c r="A2256" s="98" t="s">
        <v>54</v>
      </c>
      <c r="B2256" s="98" t="s">
        <v>84</v>
      </c>
      <c r="C2256" s="98">
        <v>32</v>
      </c>
      <c r="D2256" s="98">
        <v>482.1</v>
      </c>
      <c r="E2256" s="98">
        <v>1</v>
      </c>
      <c r="F2256" s="98" t="s">
        <v>26</v>
      </c>
      <c r="G2256" s="98" t="s">
        <v>26</v>
      </c>
      <c r="H2256" s="98">
        <v>0</v>
      </c>
      <c r="I2256" s="98">
        <v>0</v>
      </c>
      <c r="K2256" s="98">
        <v>1.3448255570000001</v>
      </c>
      <c r="L2256" s="98">
        <v>0</v>
      </c>
      <c r="M2256" s="98">
        <v>1.3214180929999999</v>
      </c>
      <c r="N2256" s="98">
        <v>0</v>
      </c>
      <c r="O2256" s="99" t="s">
        <v>734</v>
      </c>
    </row>
    <row r="2257" spans="1:15" x14ac:dyDescent="0.25">
      <c r="A2257" s="98" t="s">
        <v>54</v>
      </c>
      <c r="B2257" s="98" t="s">
        <v>84</v>
      </c>
      <c r="C2257" s="98">
        <v>482</v>
      </c>
      <c r="D2257" s="98">
        <v>752.1</v>
      </c>
      <c r="E2257" s="98">
        <v>0.1</v>
      </c>
      <c r="F2257" s="98" t="s">
        <v>26</v>
      </c>
      <c r="G2257" s="98" t="s">
        <v>26</v>
      </c>
      <c r="H2257" s="98">
        <v>0</v>
      </c>
      <c r="I2257" s="98">
        <v>0</v>
      </c>
      <c r="K2257" s="98">
        <v>0.74216754799999995</v>
      </c>
      <c r="L2257" s="98">
        <v>0</v>
      </c>
      <c r="M2257" s="98">
        <v>0.73323749500000002</v>
      </c>
      <c r="N2257" s="98">
        <v>0</v>
      </c>
      <c r="O2257" s="99" t="s">
        <v>735</v>
      </c>
    </row>
    <row r="2258" spans="1:15" x14ac:dyDescent="0.25">
      <c r="A2258" s="98" t="s">
        <v>54</v>
      </c>
      <c r="B2258" s="98" t="s">
        <v>84</v>
      </c>
      <c r="C2258" s="98">
        <v>482</v>
      </c>
      <c r="D2258" s="98">
        <v>752.1</v>
      </c>
      <c r="E2258" s="98">
        <v>1</v>
      </c>
      <c r="F2258" s="98" t="s">
        <v>26</v>
      </c>
      <c r="G2258" s="98" t="s">
        <v>26</v>
      </c>
      <c r="H2258" s="98">
        <v>0</v>
      </c>
      <c r="I2258" s="98">
        <v>0</v>
      </c>
      <c r="K2258" s="98">
        <v>0.959343006</v>
      </c>
      <c r="L2258" s="98">
        <v>0</v>
      </c>
      <c r="M2258" s="98">
        <v>0.931470464</v>
      </c>
      <c r="N2258" s="98">
        <v>0</v>
      </c>
      <c r="O2258" s="99" t="s">
        <v>736</v>
      </c>
    </row>
    <row r="2259" spans="1:15" x14ac:dyDescent="0.25">
      <c r="A2259" s="98" t="s">
        <v>54</v>
      </c>
      <c r="B2259" s="98" t="s">
        <v>84</v>
      </c>
      <c r="C2259" s="98">
        <v>752</v>
      </c>
      <c r="D2259" s="98">
        <v>1832.1</v>
      </c>
      <c r="E2259" s="98">
        <v>0.1</v>
      </c>
      <c r="F2259" s="98" t="s">
        <v>26</v>
      </c>
      <c r="G2259" s="98" t="s">
        <v>26</v>
      </c>
      <c r="H2259" s="98">
        <v>0</v>
      </c>
      <c r="I2259" s="98">
        <v>0</v>
      </c>
      <c r="K2259" s="98">
        <v>0.70146403099999999</v>
      </c>
      <c r="L2259" s="98">
        <v>0</v>
      </c>
      <c r="M2259" s="98">
        <v>0.69200891799999997</v>
      </c>
      <c r="N2259" s="98">
        <v>0</v>
      </c>
      <c r="O2259" s="99" t="s">
        <v>737</v>
      </c>
    </row>
    <row r="2260" spans="1:15" x14ac:dyDescent="0.25">
      <c r="A2260" s="98" t="s">
        <v>54</v>
      </c>
      <c r="B2260" s="98" t="s">
        <v>84</v>
      </c>
      <c r="C2260" s="98">
        <v>752</v>
      </c>
      <c r="D2260" s="98">
        <v>1832.1</v>
      </c>
      <c r="E2260" s="98">
        <v>1</v>
      </c>
      <c r="F2260" s="98" t="s">
        <v>26</v>
      </c>
      <c r="G2260" s="98" t="s">
        <v>26</v>
      </c>
      <c r="H2260" s="98">
        <v>0</v>
      </c>
      <c r="I2260" s="98">
        <v>0</v>
      </c>
      <c r="K2260" s="98">
        <v>0.92821232499999995</v>
      </c>
      <c r="L2260" s="98">
        <v>0</v>
      </c>
      <c r="M2260" s="98">
        <v>0.89937552899999995</v>
      </c>
      <c r="N2260" s="98">
        <v>0</v>
      </c>
      <c r="O2260" s="99" t="s">
        <v>738</v>
      </c>
    </row>
    <row r="2261" spans="1:15" x14ac:dyDescent="0.25">
      <c r="A2261" s="98" t="s">
        <v>54</v>
      </c>
      <c r="B2261" s="98" t="s">
        <v>84</v>
      </c>
      <c r="C2261" s="98">
        <v>1832</v>
      </c>
      <c r="D2261" s="98">
        <v>3213</v>
      </c>
      <c r="E2261" s="98">
        <v>0.1</v>
      </c>
      <c r="F2261" s="98" t="s">
        <v>26</v>
      </c>
      <c r="G2261" s="98" t="s">
        <v>26</v>
      </c>
      <c r="H2261" s="98">
        <v>0</v>
      </c>
      <c r="I2261" s="98">
        <v>0</v>
      </c>
      <c r="K2261" s="98">
        <v>0.96694891999999999</v>
      </c>
      <c r="L2261" s="98">
        <v>0</v>
      </c>
      <c r="M2261" s="98">
        <v>0.96011185300000002</v>
      </c>
      <c r="N2261" s="98">
        <v>0</v>
      </c>
      <c r="O2261" s="99" t="s">
        <v>739</v>
      </c>
    </row>
    <row r="2262" spans="1:15" x14ac:dyDescent="0.25">
      <c r="A2262" s="98" t="s">
        <v>54</v>
      </c>
      <c r="B2262" s="98" t="s">
        <v>84</v>
      </c>
      <c r="C2262" s="98">
        <v>1832</v>
      </c>
      <c r="D2262" s="98">
        <v>3213</v>
      </c>
      <c r="E2262" s="98">
        <v>1</v>
      </c>
      <c r="F2262" s="98" t="s">
        <v>26</v>
      </c>
      <c r="G2262" s="98" t="s">
        <v>26</v>
      </c>
      <c r="H2262" s="98">
        <v>0</v>
      </c>
      <c r="I2262" s="98">
        <v>0</v>
      </c>
      <c r="K2262" s="98">
        <v>1.142154345</v>
      </c>
      <c r="L2262" s="98">
        <v>0</v>
      </c>
      <c r="M2262" s="98">
        <v>1.1188452840000001</v>
      </c>
      <c r="N2262" s="98">
        <v>0</v>
      </c>
      <c r="O2262" s="99" t="s">
        <v>740</v>
      </c>
    </row>
    <row r="2263" spans="1:15" x14ac:dyDescent="0.25">
      <c r="A2263" s="98" t="s">
        <v>54</v>
      </c>
      <c r="B2263" s="98" t="s">
        <v>84</v>
      </c>
      <c r="C2263" s="98">
        <v>3213</v>
      </c>
      <c r="D2263" s="98">
        <v>3213.1</v>
      </c>
      <c r="E2263" s="98">
        <v>0.1</v>
      </c>
      <c r="F2263" s="98" t="s">
        <v>26</v>
      </c>
      <c r="G2263" s="98" t="s">
        <v>26</v>
      </c>
      <c r="H2263" s="98">
        <v>0</v>
      </c>
      <c r="I2263" s="98">
        <v>0</v>
      </c>
      <c r="K2263" s="98">
        <v>0.96694891999999999</v>
      </c>
      <c r="L2263" s="98">
        <v>0</v>
      </c>
      <c r="M2263" s="98">
        <v>0.96011185300000002</v>
      </c>
      <c r="N2263" s="98">
        <v>0</v>
      </c>
      <c r="O2263" s="99" t="s">
        <v>741</v>
      </c>
    </row>
    <row r="2264" spans="1:15" x14ac:dyDescent="0.25">
      <c r="A2264" s="98" t="s">
        <v>54</v>
      </c>
      <c r="B2264" s="98" t="s">
        <v>84</v>
      </c>
      <c r="C2264" s="98">
        <v>3213</v>
      </c>
      <c r="D2264" s="98">
        <v>3213.1</v>
      </c>
      <c r="E2264" s="98">
        <v>1</v>
      </c>
      <c r="F2264" s="98" t="s">
        <v>26</v>
      </c>
      <c r="G2264" s="98" t="s">
        <v>26</v>
      </c>
      <c r="H2264" s="98">
        <v>0</v>
      </c>
      <c r="I2264" s="98">
        <v>0</v>
      </c>
      <c r="K2264" s="98">
        <v>1.142154345</v>
      </c>
      <c r="L2264" s="98">
        <v>0</v>
      </c>
      <c r="M2264" s="98">
        <v>1.1188452840000001</v>
      </c>
      <c r="N2264" s="98">
        <v>0</v>
      </c>
      <c r="O2264" s="99" t="s">
        <v>742</v>
      </c>
    </row>
    <row r="2265" spans="1:15" x14ac:dyDescent="0.25">
      <c r="A2265" s="98" t="s">
        <v>54</v>
      </c>
      <c r="B2265" s="98" t="s">
        <v>85</v>
      </c>
      <c r="C2265" s="98">
        <v>32</v>
      </c>
      <c r="D2265" s="98">
        <v>482.1</v>
      </c>
      <c r="E2265" s="98">
        <v>0.1</v>
      </c>
      <c r="F2265" s="98" t="s">
        <v>26</v>
      </c>
      <c r="G2265" s="98" t="s">
        <v>26</v>
      </c>
      <c r="H2265" s="98">
        <v>0</v>
      </c>
      <c r="I2265" s="98">
        <v>0</v>
      </c>
      <c r="K2265" s="98">
        <v>0.99102046200000005</v>
      </c>
      <c r="L2265" s="98">
        <v>0</v>
      </c>
      <c r="M2265" s="98">
        <v>0.98329333299999999</v>
      </c>
      <c r="N2265" s="98">
        <v>0</v>
      </c>
      <c r="O2265" s="99" t="s">
        <v>723</v>
      </c>
    </row>
    <row r="2266" spans="1:15" x14ac:dyDescent="0.25">
      <c r="A2266" s="98" t="s">
        <v>54</v>
      </c>
      <c r="B2266" s="98" t="s">
        <v>85</v>
      </c>
      <c r="C2266" s="98">
        <v>32</v>
      </c>
      <c r="D2266" s="98">
        <v>482.1</v>
      </c>
      <c r="E2266" s="98">
        <v>1</v>
      </c>
      <c r="F2266" s="98" t="s">
        <v>26</v>
      </c>
      <c r="G2266" s="98" t="s">
        <v>26</v>
      </c>
      <c r="H2266" s="98">
        <v>0</v>
      </c>
      <c r="I2266" s="98">
        <v>0</v>
      </c>
      <c r="K2266" s="98">
        <v>1.165284896</v>
      </c>
      <c r="L2266" s="98">
        <v>0</v>
      </c>
      <c r="M2266" s="98">
        <v>1.1388001480000001</v>
      </c>
      <c r="N2266" s="98">
        <v>0</v>
      </c>
      <c r="O2266" s="99" t="s">
        <v>724</v>
      </c>
    </row>
    <row r="2267" spans="1:15" x14ac:dyDescent="0.25">
      <c r="A2267" s="98" t="s">
        <v>54</v>
      </c>
      <c r="B2267" s="98" t="s">
        <v>85</v>
      </c>
      <c r="C2267" s="98">
        <v>482</v>
      </c>
      <c r="D2267" s="98">
        <v>1832.1</v>
      </c>
      <c r="E2267" s="98">
        <v>0.1</v>
      </c>
      <c r="F2267" s="98" t="s">
        <v>26</v>
      </c>
      <c r="G2267" s="98" t="s">
        <v>26</v>
      </c>
      <c r="H2267" s="98">
        <v>0</v>
      </c>
      <c r="I2267" s="98">
        <v>0</v>
      </c>
      <c r="K2267" s="98">
        <v>0.76311401300000004</v>
      </c>
      <c r="L2267" s="98">
        <v>0</v>
      </c>
      <c r="M2267" s="98">
        <v>0.75443194000000002</v>
      </c>
      <c r="N2267" s="98">
        <v>0</v>
      </c>
      <c r="O2267" s="99" t="s">
        <v>725</v>
      </c>
    </row>
    <row r="2268" spans="1:15" x14ac:dyDescent="0.25">
      <c r="A2268" s="98" t="s">
        <v>54</v>
      </c>
      <c r="B2268" s="98" t="s">
        <v>85</v>
      </c>
      <c r="C2268" s="98">
        <v>482</v>
      </c>
      <c r="D2268" s="98">
        <v>1832.1</v>
      </c>
      <c r="E2268" s="98">
        <v>1</v>
      </c>
      <c r="F2268" s="98" t="s">
        <v>26</v>
      </c>
      <c r="G2268" s="98" t="s">
        <v>26</v>
      </c>
      <c r="H2268" s="98">
        <v>0</v>
      </c>
      <c r="I2268" s="98">
        <v>0</v>
      </c>
      <c r="K2268" s="98">
        <v>0.97705967599999999</v>
      </c>
      <c r="L2268" s="98">
        <v>0</v>
      </c>
      <c r="M2268" s="98">
        <v>0.94824445800000001</v>
      </c>
      <c r="N2268" s="98">
        <v>0</v>
      </c>
      <c r="O2268" s="99" t="s">
        <v>726</v>
      </c>
    </row>
    <row r="2269" spans="1:15" x14ac:dyDescent="0.25">
      <c r="A2269" s="98" t="s">
        <v>54</v>
      </c>
      <c r="B2269" s="98" t="s">
        <v>85</v>
      </c>
      <c r="C2269" s="98">
        <v>1832</v>
      </c>
      <c r="D2269" s="98">
        <v>2552.1</v>
      </c>
      <c r="E2269" s="98">
        <v>0.1</v>
      </c>
      <c r="F2269" s="98" t="s">
        <v>26</v>
      </c>
      <c r="G2269" s="98" t="s">
        <v>26</v>
      </c>
      <c r="H2269" s="98">
        <v>0</v>
      </c>
      <c r="I2269" s="98">
        <v>0</v>
      </c>
      <c r="K2269" s="98">
        <v>0.78273955799999995</v>
      </c>
      <c r="L2269" s="98">
        <v>0</v>
      </c>
      <c r="M2269" s="98">
        <v>0.77427758000000002</v>
      </c>
      <c r="N2269" s="98">
        <v>0</v>
      </c>
      <c r="O2269" s="99" t="s">
        <v>727</v>
      </c>
    </row>
    <row r="2270" spans="1:15" x14ac:dyDescent="0.25">
      <c r="A2270" s="98" t="s">
        <v>54</v>
      </c>
      <c r="B2270" s="98" t="s">
        <v>85</v>
      </c>
      <c r="C2270" s="98">
        <v>1832</v>
      </c>
      <c r="D2270" s="98">
        <v>2552.1</v>
      </c>
      <c r="E2270" s="98">
        <v>1</v>
      </c>
      <c r="F2270" s="98" t="s">
        <v>26</v>
      </c>
      <c r="G2270" s="98" t="s">
        <v>26</v>
      </c>
      <c r="H2270" s="98">
        <v>0</v>
      </c>
      <c r="I2270" s="98">
        <v>0</v>
      </c>
      <c r="K2270" s="98">
        <v>0.99106384700000005</v>
      </c>
      <c r="L2270" s="98">
        <v>0</v>
      </c>
      <c r="M2270" s="98">
        <v>0.96410879699999996</v>
      </c>
      <c r="N2270" s="98">
        <v>0</v>
      </c>
      <c r="O2270" s="99" t="s">
        <v>728</v>
      </c>
    </row>
    <row r="2271" spans="1:15" x14ac:dyDescent="0.25">
      <c r="A2271" s="98" t="s">
        <v>54</v>
      </c>
      <c r="B2271" s="98" t="s">
        <v>85</v>
      </c>
      <c r="C2271" s="98">
        <v>2552</v>
      </c>
      <c r="D2271" s="98">
        <v>3213</v>
      </c>
      <c r="E2271" s="98">
        <v>0.1</v>
      </c>
      <c r="F2271" s="98" t="s">
        <v>26</v>
      </c>
      <c r="G2271" s="98" t="s">
        <v>26</v>
      </c>
      <c r="H2271" s="98">
        <v>0</v>
      </c>
      <c r="I2271" s="98">
        <v>0</v>
      </c>
      <c r="K2271" s="98">
        <v>0.96727748899999999</v>
      </c>
      <c r="L2271" s="98">
        <v>0</v>
      </c>
      <c r="M2271" s="98">
        <v>0.96044275999999995</v>
      </c>
      <c r="N2271" s="98">
        <v>0</v>
      </c>
      <c r="O2271" s="99" t="s">
        <v>729</v>
      </c>
    </row>
    <row r="2272" spans="1:15" x14ac:dyDescent="0.25">
      <c r="A2272" s="98" t="s">
        <v>54</v>
      </c>
      <c r="B2272" s="98" t="s">
        <v>85</v>
      </c>
      <c r="C2272" s="98">
        <v>2552</v>
      </c>
      <c r="D2272" s="98">
        <v>3213</v>
      </c>
      <c r="E2272" s="98">
        <v>1</v>
      </c>
      <c r="F2272" s="98" t="s">
        <v>26</v>
      </c>
      <c r="G2272" s="98" t="s">
        <v>26</v>
      </c>
      <c r="H2272" s="98">
        <v>0</v>
      </c>
      <c r="I2272" s="98">
        <v>0</v>
      </c>
      <c r="K2272" s="98">
        <v>1.142432525</v>
      </c>
      <c r="L2272" s="98">
        <v>0</v>
      </c>
      <c r="M2272" s="98">
        <v>1.1191292580000001</v>
      </c>
      <c r="N2272" s="98">
        <v>0</v>
      </c>
      <c r="O2272" s="99" t="s">
        <v>730</v>
      </c>
    </row>
    <row r="2273" spans="1:15" x14ac:dyDescent="0.25">
      <c r="A2273" s="98" t="s">
        <v>54</v>
      </c>
      <c r="B2273" s="98" t="s">
        <v>85</v>
      </c>
      <c r="C2273" s="98">
        <v>3213</v>
      </c>
      <c r="D2273" s="98">
        <v>3213.1</v>
      </c>
      <c r="E2273" s="98">
        <v>0.1</v>
      </c>
      <c r="F2273" s="98" t="s">
        <v>26</v>
      </c>
      <c r="G2273" s="98" t="s">
        <v>26</v>
      </c>
      <c r="H2273" s="98">
        <v>0</v>
      </c>
      <c r="I2273" s="98">
        <v>0</v>
      </c>
      <c r="K2273" s="98">
        <v>0.96727748899999999</v>
      </c>
      <c r="L2273" s="98">
        <v>0</v>
      </c>
      <c r="M2273" s="98">
        <v>0.96044275999999995</v>
      </c>
      <c r="N2273" s="98">
        <v>0</v>
      </c>
      <c r="O2273" s="99" t="s">
        <v>731</v>
      </c>
    </row>
    <row r="2274" spans="1:15" x14ac:dyDescent="0.25">
      <c r="A2274" s="98" t="s">
        <v>54</v>
      </c>
      <c r="B2274" s="98" t="s">
        <v>85</v>
      </c>
      <c r="C2274" s="98">
        <v>3213</v>
      </c>
      <c r="D2274" s="98">
        <v>3213.1</v>
      </c>
      <c r="E2274" s="98">
        <v>1</v>
      </c>
      <c r="F2274" s="98" t="s">
        <v>26</v>
      </c>
      <c r="G2274" s="98" t="s">
        <v>26</v>
      </c>
      <c r="H2274" s="98">
        <v>0</v>
      </c>
      <c r="I2274" s="98">
        <v>0</v>
      </c>
      <c r="K2274" s="98">
        <v>1.142432525</v>
      </c>
      <c r="L2274" s="98">
        <v>0</v>
      </c>
      <c r="M2274" s="98">
        <v>1.1191292580000001</v>
      </c>
      <c r="N2274" s="98">
        <v>0</v>
      </c>
      <c r="O2274" s="99" t="s">
        <v>732</v>
      </c>
    </row>
    <row r="2275" spans="1:15" x14ac:dyDescent="0.25">
      <c r="A2275" s="98" t="s">
        <v>54</v>
      </c>
      <c r="B2275" s="98" t="s">
        <v>86</v>
      </c>
      <c r="C2275" s="98">
        <v>-418</v>
      </c>
      <c r="D2275" s="98">
        <v>-237.9</v>
      </c>
      <c r="E2275" s="98">
        <v>0.1</v>
      </c>
      <c r="F2275" s="98" t="s">
        <v>26</v>
      </c>
      <c r="G2275" s="98" t="s">
        <v>26</v>
      </c>
      <c r="H2275" s="98">
        <v>0</v>
      </c>
      <c r="I2275" s="98">
        <v>0</v>
      </c>
      <c r="K2275" s="98">
        <v>0.55536480200000005</v>
      </c>
      <c r="L2275" s="98">
        <v>0</v>
      </c>
      <c r="M2275" s="98">
        <v>0.55057507900000002</v>
      </c>
      <c r="N2275" s="98">
        <v>0</v>
      </c>
      <c r="O2275" s="99" t="s">
        <v>713</v>
      </c>
    </row>
    <row r="2276" spans="1:15" x14ac:dyDescent="0.25">
      <c r="A2276" s="98" t="s">
        <v>54</v>
      </c>
      <c r="B2276" s="98" t="s">
        <v>86</v>
      </c>
      <c r="C2276" s="98">
        <v>-418</v>
      </c>
      <c r="D2276" s="98">
        <v>-237.9</v>
      </c>
      <c r="E2276" s="98">
        <v>1</v>
      </c>
      <c r="F2276" s="98" t="s">
        <v>26</v>
      </c>
      <c r="G2276" s="98" t="s">
        <v>26</v>
      </c>
      <c r="H2276" s="98">
        <v>0</v>
      </c>
      <c r="I2276" s="98">
        <v>0</v>
      </c>
      <c r="K2276" s="98">
        <v>0.80890141400000004</v>
      </c>
      <c r="L2276" s="98">
        <v>0</v>
      </c>
      <c r="M2276" s="98">
        <v>0.79569649899999995</v>
      </c>
      <c r="N2276" s="98">
        <v>0</v>
      </c>
      <c r="O2276" s="99" t="s">
        <v>714</v>
      </c>
    </row>
    <row r="2277" spans="1:15" x14ac:dyDescent="0.25">
      <c r="A2277" s="98" t="s">
        <v>54</v>
      </c>
      <c r="B2277" s="98" t="s">
        <v>86</v>
      </c>
      <c r="C2277" s="98">
        <v>-238</v>
      </c>
      <c r="D2277" s="98">
        <v>32.1</v>
      </c>
      <c r="E2277" s="98">
        <v>0.1</v>
      </c>
      <c r="F2277" s="98" t="s">
        <v>26</v>
      </c>
      <c r="G2277" s="98" t="s">
        <v>26</v>
      </c>
      <c r="H2277" s="98">
        <v>0</v>
      </c>
      <c r="I2277" s="98">
        <v>0</v>
      </c>
      <c r="K2277" s="98">
        <v>0.29307530900000001</v>
      </c>
      <c r="L2277" s="98">
        <v>0</v>
      </c>
      <c r="M2277" s="98">
        <v>0.28549186100000001</v>
      </c>
      <c r="N2277" s="98">
        <v>0</v>
      </c>
      <c r="O2277" s="99" t="s">
        <v>715</v>
      </c>
    </row>
    <row r="2278" spans="1:15" x14ac:dyDescent="0.25">
      <c r="A2278" s="98" t="s">
        <v>54</v>
      </c>
      <c r="B2278" s="98" t="s">
        <v>86</v>
      </c>
      <c r="C2278" s="98">
        <v>-238</v>
      </c>
      <c r="D2278" s="98">
        <v>32.1</v>
      </c>
      <c r="E2278" s="98">
        <v>1</v>
      </c>
      <c r="F2278" s="98" t="s">
        <v>26</v>
      </c>
      <c r="G2278" s="98" t="s">
        <v>26</v>
      </c>
      <c r="H2278" s="98">
        <v>0</v>
      </c>
      <c r="I2278" s="98">
        <v>0</v>
      </c>
      <c r="K2278" s="98">
        <v>0.65502346499999997</v>
      </c>
      <c r="L2278" s="98">
        <v>0</v>
      </c>
      <c r="M2278" s="98">
        <v>0.64148702499999999</v>
      </c>
      <c r="N2278" s="98">
        <v>0</v>
      </c>
      <c r="O2278" s="99" t="s">
        <v>716</v>
      </c>
    </row>
    <row r="2279" spans="1:15" x14ac:dyDescent="0.25">
      <c r="A2279" s="98" t="s">
        <v>54</v>
      </c>
      <c r="B2279" s="98" t="s">
        <v>86</v>
      </c>
      <c r="C2279" s="98">
        <v>32</v>
      </c>
      <c r="D2279" s="98">
        <v>248.1</v>
      </c>
      <c r="E2279" s="98">
        <v>0.1</v>
      </c>
      <c r="F2279" s="98" t="s">
        <v>26</v>
      </c>
      <c r="G2279" s="98" t="s">
        <v>26</v>
      </c>
      <c r="H2279" s="98">
        <v>0</v>
      </c>
      <c r="I2279" s="98">
        <v>0</v>
      </c>
      <c r="K2279" s="98">
        <v>0.20014928100000001</v>
      </c>
      <c r="L2279" s="98">
        <v>0</v>
      </c>
      <c r="M2279" s="98">
        <v>0.19650714699999999</v>
      </c>
      <c r="N2279" s="98">
        <v>0</v>
      </c>
      <c r="O2279" s="99" t="s">
        <v>717</v>
      </c>
    </row>
    <row r="2280" spans="1:15" x14ac:dyDescent="0.25">
      <c r="A2280" s="98" t="s">
        <v>54</v>
      </c>
      <c r="B2280" s="98" t="s">
        <v>86</v>
      </c>
      <c r="C2280" s="98">
        <v>32</v>
      </c>
      <c r="D2280" s="98">
        <v>248.1</v>
      </c>
      <c r="E2280" s="98">
        <v>1</v>
      </c>
      <c r="F2280" s="98" t="s">
        <v>26</v>
      </c>
      <c r="G2280" s="98" t="s">
        <v>26</v>
      </c>
      <c r="H2280" s="98">
        <v>0</v>
      </c>
      <c r="I2280" s="98">
        <v>0</v>
      </c>
      <c r="K2280" s="98">
        <v>0.61187724499999996</v>
      </c>
      <c r="L2280" s="98">
        <v>0</v>
      </c>
      <c r="M2280" s="98">
        <v>0.60713677099999996</v>
      </c>
      <c r="N2280" s="98">
        <v>0</v>
      </c>
      <c r="O2280" s="99" t="s">
        <v>718</v>
      </c>
    </row>
    <row r="2281" spans="1:15" x14ac:dyDescent="0.25">
      <c r="A2281" s="98" t="s">
        <v>54</v>
      </c>
      <c r="B2281" s="98" t="s">
        <v>86</v>
      </c>
      <c r="C2281" s="98">
        <v>248</v>
      </c>
      <c r="D2281" s="98">
        <v>752</v>
      </c>
      <c r="E2281" s="98">
        <v>0.1</v>
      </c>
      <c r="F2281" s="98" t="s">
        <v>26</v>
      </c>
      <c r="G2281" s="98" t="s">
        <v>26</v>
      </c>
      <c r="H2281" s="98">
        <v>0</v>
      </c>
      <c r="I2281" s="98">
        <v>0</v>
      </c>
      <c r="K2281" s="98">
        <v>0.17895368</v>
      </c>
      <c r="L2281" s="98">
        <v>0</v>
      </c>
      <c r="M2281" s="98">
        <v>0.17487064799999999</v>
      </c>
      <c r="N2281" s="98">
        <v>0</v>
      </c>
      <c r="O2281" s="99" t="s">
        <v>719</v>
      </c>
    </row>
    <row r="2282" spans="1:15" x14ac:dyDescent="0.25">
      <c r="A2282" s="98" t="s">
        <v>54</v>
      </c>
      <c r="B2282" s="98" t="s">
        <v>86</v>
      </c>
      <c r="C2282" s="98">
        <v>248</v>
      </c>
      <c r="D2282" s="98">
        <v>752</v>
      </c>
      <c r="E2282" s="98">
        <v>1</v>
      </c>
      <c r="F2282" s="98" t="s">
        <v>26</v>
      </c>
      <c r="G2282" s="98" t="s">
        <v>26</v>
      </c>
      <c r="H2282" s="98">
        <v>0</v>
      </c>
      <c r="I2282" s="98">
        <v>0</v>
      </c>
      <c r="K2282" s="98">
        <v>0.60527551300000004</v>
      </c>
      <c r="L2282" s="98">
        <v>0</v>
      </c>
      <c r="M2282" s="98">
        <v>0.600482925</v>
      </c>
      <c r="N2282" s="98">
        <v>0</v>
      </c>
      <c r="O2282" s="99" t="s">
        <v>720</v>
      </c>
    </row>
    <row r="2283" spans="1:15" x14ac:dyDescent="0.25">
      <c r="A2283" s="98" t="s">
        <v>54</v>
      </c>
      <c r="B2283" s="98" t="s">
        <v>86</v>
      </c>
      <c r="C2283" s="98">
        <v>752</v>
      </c>
      <c r="D2283" s="98">
        <v>752.1</v>
      </c>
      <c r="E2283" s="98">
        <v>0.1</v>
      </c>
      <c r="F2283" s="98" t="s">
        <v>26</v>
      </c>
      <c r="G2283" s="98" t="s">
        <v>26</v>
      </c>
      <c r="H2283" s="98">
        <v>0</v>
      </c>
      <c r="I2283" s="98">
        <v>0</v>
      </c>
      <c r="K2283" s="98">
        <v>0.17895368</v>
      </c>
      <c r="L2283" s="98">
        <v>0</v>
      </c>
      <c r="M2283" s="98">
        <v>0.17487064799999999</v>
      </c>
      <c r="N2283" s="98">
        <v>0</v>
      </c>
      <c r="O2283" s="99" t="s">
        <v>721</v>
      </c>
    </row>
    <row r="2284" spans="1:15" x14ac:dyDescent="0.25">
      <c r="A2284" s="98" t="s">
        <v>54</v>
      </c>
      <c r="B2284" s="98" t="s">
        <v>86</v>
      </c>
      <c r="C2284" s="98">
        <v>752</v>
      </c>
      <c r="D2284" s="98">
        <v>752.1</v>
      </c>
      <c r="E2284" s="98">
        <v>1</v>
      </c>
      <c r="F2284" s="98" t="s">
        <v>26</v>
      </c>
      <c r="G2284" s="98" t="s">
        <v>26</v>
      </c>
      <c r="H2284" s="98">
        <v>0</v>
      </c>
      <c r="I2284" s="98">
        <v>0</v>
      </c>
      <c r="K2284" s="98">
        <v>0.60527551300000004</v>
      </c>
      <c r="L2284" s="98">
        <v>0</v>
      </c>
      <c r="M2284" s="98">
        <v>0.600482925</v>
      </c>
      <c r="N2284" s="98">
        <v>0</v>
      </c>
      <c r="O2284" s="99" t="s">
        <v>722</v>
      </c>
    </row>
    <row r="2285" spans="1:15" x14ac:dyDescent="0.25">
      <c r="A2285" s="98" t="s">
        <v>54</v>
      </c>
      <c r="B2285" s="98" t="s">
        <v>17</v>
      </c>
      <c r="C2285" s="98">
        <v>0</v>
      </c>
      <c r="D2285" s="98">
        <v>120.001</v>
      </c>
      <c r="E2285" s="98">
        <v>1E-3</v>
      </c>
      <c r="F2285" s="98" t="s">
        <v>9</v>
      </c>
      <c r="G2285" s="98" t="s">
        <v>9</v>
      </c>
      <c r="H2285" s="98">
        <v>0</v>
      </c>
      <c r="I2285" s="98">
        <v>0</v>
      </c>
      <c r="K2285" s="98">
        <v>6.0000000000000001E-3</v>
      </c>
      <c r="L2285" s="98">
        <v>1.2999999999999999E-5</v>
      </c>
      <c r="M2285" s="98">
        <v>1.2888999999999999E-3</v>
      </c>
      <c r="N2285" s="98">
        <v>2.8E-5</v>
      </c>
      <c r="O2285" s="99" t="s">
        <v>683</v>
      </c>
    </row>
    <row r="2286" spans="1:15" x14ac:dyDescent="0.25">
      <c r="A2286" s="98" t="s">
        <v>54</v>
      </c>
      <c r="B2286" s="98" t="s">
        <v>17</v>
      </c>
      <c r="C2286" s="98">
        <v>0</v>
      </c>
      <c r="D2286" s="98">
        <v>120.001</v>
      </c>
      <c r="E2286" s="98">
        <v>0.01</v>
      </c>
      <c r="F2286" s="98" t="s">
        <v>9</v>
      </c>
      <c r="G2286" s="98" t="s">
        <v>9</v>
      </c>
      <c r="H2286" s="98">
        <v>0</v>
      </c>
      <c r="I2286" s="98">
        <v>0</v>
      </c>
      <c r="K2286" s="98">
        <v>6.0575999999999998E-3</v>
      </c>
      <c r="L2286" s="98">
        <v>1.5807E-5</v>
      </c>
      <c r="M2286" s="98">
        <v>5.8809999999999999E-3</v>
      </c>
      <c r="N2286" s="98">
        <v>1.26E-5</v>
      </c>
      <c r="O2286" s="99" t="s">
        <v>684</v>
      </c>
    </row>
    <row r="2287" spans="1:15" x14ac:dyDescent="0.25">
      <c r="A2287" s="98" t="s">
        <v>54</v>
      </c>
      <c r="B2287" s="98" t="s">
        <v>17</v>
      </c>
      <c r="C2287" s="98">
        <v>0</v>
      </c>
      <c r="D2287" s="98">
        <v>120.001</v>
      </c>
      <c r="E2287" s="98">
        <v>0.1</v>
      </c>
      <c r="F2287" s="98" t="s">
        <v>9</v>
      </c>
      <c r="G2287" s="98" t="s">
        <v>9</v>
      </c>
      <c r="H2287" s="98">
        <v>0</v>
      </c>
      <c r="I2287" s="98">
        <v>0</v>
      </c>
      <c r="K2287" s="98">
        <v>5.7819000000000002E-2</v>
      </c>
      <c r="L2287" s="98">
        <v>3.3129000000000001E-6</v>
      </c>
      <c r="M2287" s="98">
        <v>5.7745999999999999E-2</v>
      </c>
      <c r="N2287" s="98">
        <v>1.4481E-6</v>
      </c>
      <c r="O2287" s="99" t="s">
        <v>685</v>
      </c>
    </row>
    <row r="2288" spans="1:15" x14ac:dyDescent="0.25">
      <c r="A2288" s="98" t="s">
        <v>54</v>
      </c>
      <c r="B2288" s="98" t="s">
        <v>17</v>
      </c>
      <c r="C2288" s="98">
        <v>0</v>
      </c>
      <c r="D2288" s="98">
        <v>120.001</v>
      </c>
      <c r="E2288" s="98">
        <v>1</v>
      </c>
      <c r="F2288" s="98" t="s">
        <v>9</v>
      </c>
      <c r="G2288" s="98" t="s">
        <v>9</v>
      </c>
      <c r="H2288" s="98">
        <v>0</v>
      </c>
      <c r="I2288" s="98">
        <v>0</v>
      </c>
      <c r="K2288" s="98">
        <v>0.57738999999999996</v>
      </c>
      <c r="L2288" s="98">
        <v>8.9635999999999996E-7</v>
      </c>
      <c r="M2288" s="98">
        <v>0.57735999999999998</v>
      </c>
      <c r="N2288" s="98">
        <v>1.4506E-7</v>
      </c>
      <c r="O2288" s="99" t="s">
        <v>686</v>
      </c>
    </row>
    <row r="2289" spans="1:15" x14ac:dyDescent="0.25">
      <c r="A2289" s="98" t="s">
        <v>54</v>
      </c>
      <c r="B2289" s="98" t="s">
        <v>17</v>
      </c>
      <c r="C2289" s="98">
        <v>0</v>
      </c>
      <c r="D2289" s="98">
        <v>120.001</v>
      </c>
      <c r="E2289" s="98">
        <v>10</v>
      </c>
      <c r="F2289" s="98" t="s">
        <v>9</v>
      </c>
      <c r="G2289" s="98" t="s">
        <v>9</v>
      </c>
      <c r="H2289" s="98">
        <v>0</v>
      </c>
      <c r="I2289" s="98">
        <v>0</v>
      </c>
      <c r="K2289" s="98">
        <v>5.7736000000000001</v>
      </c>
      <c r="L2289" s="98">
        <v>3.1507999999999999E-7</v>
      </c>
      <c r="M2289" s="98">
        <v>5.7736000000000001</v>
      </c>
      <c r="N2289" s="98">
        <v>1.4505999999999999E-8</v>
      </c>
      <c r="O2289" s="99" t="s">
        <v>687</v>
      </c>
    </row>
    <row r="2290" spans="1:15" x14ac:dyDescent="0.25">
      <c r="A2290" s="98" t="s">
        <v>54</v>
      </c>
      <c r="B2290" s="98" t="s">
        <v>17</v>
      </c>
      <c r="C2290" s="98">
        <v>0</v>
      </c>
      <c r="D2290" s="98">
        <v>120.001</v>
      </c>
      <c r="E2290" s="98">
        <v>100</v>
      </c>
      <c r="F2290" s="98" t="s">
        <v>9</v>
      </c>
      <c r="G2290" s="98" t="s">
        <v>9</v>
      </c>
      <c r="H2290" s="98">
        <v>0</v>
      </c>
      <c r="I2290" s="98">
        <v>0</v>
      </c>
      <c r="K2290" s="98">
        <v>57.735999999999997</v>
      </c>
      <c r="L2290" s="98">
        <v>1.2167999999999999E-7</v>
      </c>
      <c r="M2290" s="98">
        <v>57.735999999999997</v>
      </c>
      <c r="N2290" s="98">
        <v>1.4510000000000001E-9</v>
      </c>
      <c r="O2290" s="99" t="s">
        <v>688</v>
      </c>
    </row>
    <row r="2291" spans="1:15" x14ac:dyDescent="0.25">
      <c r="A2291" s="98" t="s">
        <v>54</v>
      </c>
      <c r="B2291" s="98" t="s">
        <v>17</v>
      </c>
      <c r="C2291" s="98">
        <v>0</v>
      </c>
      <c r="D2291" s="98">
        <v>120.001</v>
      </c>
      <c r="E2291" s="98">
        <v>1000</v>
      </c>
      <c r="F2291" s="98" t="s">
        <v>9</v>
      </c>
      <c r="G2291" s="98" t="s">
        <v>9</v>
      </c>
      <c r="H2291" s="98">
        <v>0</v>
      </c>
      <c r="I2291" s="98">
        <v>0</v>
      </c>
      <c r="K2291" s="98">
        <v>577.36</v>
      </c>
      <c r="L2291" s="98">
        <v>4.8236000000000003E-8</v>
      </c>
      <c r="M2291" s="98">
        <v>577.36</v>
      </c>
      <c r="N2291" s="98">
        <v>1.4499999999999999E-10</v>
      </c>
      <c r="O2291" s="99" t="s">
        <v>689</v>
      </c>
    </row>
    <row r="2292" spans="1:15" x14ac:dyDescent="0.25">
      <c r="A2292" s="98" t="s">
        <v>54</v>
      </c>
      <c r="B2292" s="98" t="s">
        <v>17</v>
      </c>
      <c r="C2292" s="98">
        <v>120</v>
      </c>
      <c r="D2292" s="98">
        <v>1200.01</v>
      </c>
      <c r="E2292" s="98">
        <v>0.01</v>
      </c>
      <c r="F2292" s="98" t="s">
        <v>9</v>
      </c>
      <c r="G2292" s="98" t="s">
        <v>9</v>
      </c>
      <c r="H2292" s="98">
        <v>0</v>
      </c>
      <c r="I2292" s="98">
        <v>0</v>
      </c>
      <c r="K2292" s="98">
        <v>5.8000000000000003E-2</v>
      </c>
      <c r="L2292" s="98">
        <v>9.5000000000000005E-6</v>
      </c>
      <c r="M2292" s="98">
        <v>4.1865000000000001E-3</v>
      </c>
      <c r="N2292" s="98">
        <v>2.6727E-5</v>
      </c>
      <c r="O2292" s="99" t="s">
        <v>690</v>
      </c>
    </row>
    <row r="2293" spans="1:15" x14ac:dyDescent="0.25">
      <c r="A2293" s="98" t="s">
        <v>54</v>
      </c>
      <c r="B2293" s="98" t="s">
        <v>17</v>
      </c>
      <c r="C2293" s="98">
        <v>120</v>
      </c>
      <c r="D2293" s="98">
        <v>1200.01</v>
      </c>
      <c r="E2293" s="98">
        <v>0.1</v>
      </c>
      <c r="F2293" s="98" t="s">
        <v>9</v>
      </c>
      <c r="G2293" s="98" t="s">
        <v>9</v>
      </c>
      <c r="H2293" s="98">
        <v>0</v>
      </c>
      <c r="I2293" s="98">
        <v>0</v>
      </c>
      <c r="K2293" s="98">
        <v>5.8519000000000002E-2</v>
      </c>
      <c r="L2293" s="98">
        <v>1.0244000000000001E-5</v>
      </c>
      <c r="M2293" s="98">
        <v>5.6807999999999997E-2</v>
      </c>
      <c r="N2293" s="98">
        <v>9.2701999999999998E-6</v>
      </c>
      <c r="O2293" s="99" t="s">
        <v>691</v>
      </c>
    </row>
    <row r="2294" spans="1:15" x14ac:dyDescent="0.25">
      <c r="A2294" s="98" t="s">
        <v>54</v>
      </c>
      <c r="B2294" s="98" t="s">
        <v>17</v>
      </c>
      <c r="C2294" s="98">
        <v>120</v>
      </c>
      <c r="D2294" s="98">
        <v>1200.01</v>
      </c>
      <c r="E2294" s="98">
        <v>1</v>
      </c>
      <c r="F2294" s="98" t="s">
        <v>9</v>
      </c>
      <c r="G2294" s="98" t="s">
        <v>9</v>
      </c>
      <c r="H2294" s="98">
        <v>0</v>
      </c>
      <c r="I2294" s="98">
        <v>0</v>
      </c>
      <c r="K2294" s="98">
        <v>0.57794999999999996</v>
      </c>
      <c r="L2294" s="98">
        <v>1.5972999999999999E-6</v>
      </c>
      <c r="M2294" s="98">
        <v>0.57725000000000004</v>
      </c>
      <c r="N2294" s="98">
        <v>1.0094E-6</v>
      </c>
      <c r="O2294" s="99" t="s">
        <v>692</v>
      </c>
    </row>
    <row r="2295" spans="1:15" x14ac:dyDescent="0.25">
      <c r="A2295" s="98" t="s">
        <v>54</v>
      </c>
      <c r="B2295" s="98" t="s">
        <v>17</v>
      </c>
      <c r="C2295" s="98">
        <v>120</v>
      </c>
      <c r="D2295" s="98">
        <v>1200.01</v>
      </c>
      <c r="E2295" s="98">
        <v>10</v>
      </c>
      <c r="F2295" s="98" t="s">
        <v>9</v>
      </c>
      <c r="G2295" s="98" t="s">
        <v>9</v>
      </c>
      <c r="H2295" s="98">
        <v>0</v>
      </c>
      <c r="I2295" s="98">
        <v>0</v>
      </c>
      <c r="K2295" s="98">
        <v>5.7739000000000003</v>
      </c>
      <c r="L2295" s="98">
        <v>3.3757000000000002E-7</v>
      </c>
      <c r="M2295" s="98">
        <v>5.7735000000000003</v>
      </c>
      <c r="N2295" s="98">
        <v>1.0104E-7</v>
      </c>
      <c r="O2295" s="99" t="s">
        <v>693</v>
      </c>
    </row>
    <row r="2296" spans="1:15" x14ac:dyDescent="0.25">
      <c r="A2296" s="98" t="s">
        <v>54</v>
      </c>
      <c r="B2296" s="98" t="s">
        <v>17</v>
      </c>
      <c r="C2296" s="98">
        <v>1200</v>
      </c>
      <c r="D2296" s="98">
        <v>12001</v>
      </c>
      <c r="E2296" s="98">
        <v>0.1</v>
      </c>
      <c r="F2296" s="98" t="s">
        <v>9</v>
      </c>
      <c r="G2296" s="98" t="s">
        <v>9</v>
      </c>
      <c r="H2296" s="98">
        <v>0</v>
      </c>
      <c r="I2296" s="98">
        <v>0</v>
      </c>
      <c r="K2296" s="98">
        <v>0.58496999999999999</v>
      </c>
      <c r="L2296" s="98">
        <v>9.8285999999999994E-6</v>
      </c>
      <c r="M2296" s="98">
        <v>0.56786000000000003</v>
      </c>
      <c r="N2296" s="98">
        <v>8.8367999999999998E-6</v>
      </c>
      <c r="O2296" s="99" t="s">
        <v>694</v>
      </c>
    </row>
    <row r="2297" spans="1:15" x14ac:dyDescent="0.25">
      <c r="A2297" s="98" t="s">
        <v>54</v>
      </c>
      <c r="B2297" s="98" t="s">
        <v>17</v>
      </c>
      <c r="C2297" s="98">
        <v>1200</v>
      </c>
      <c r="D2297" s="98">
        <v>12001</v>
      </c>
      <c r="E2297" s="98">
        <v>1</v>
      </c>
      <c r="F2297" s="98" t="s">
        <v>9</v>
      </c>
      <c r="G2297" s="98" t="s">
        <v>9</v>
      </c>
      <c r="H2297" s="98">
        <v>0</v>
      </c>
      <c r="I2297" s="98">
        <v>0</v>
      </c>
      <c r="K2297" s="98">
        <v>5.7794999999999996</v>
      </c>
      <c r="L2297" s="98">
        <v>1.5456000000000001E-6</v>
      </c>
      <c r="M2297" s="98">
        <v>5.7725</v>
      </c>
      <c r="N2297" s="98">
        <v>9.5753999999999998E-7</v>
      </c>
      <c r="O2297" s="99" t="s">
        <v>695</v>
      </c>
    </row>
    <row r="2298" spans="1:15" x14ac:dyDescent="0.25">
      <c r="A2298" s="98" t="s">
        <v>54</v>
      </c>
      <c r="B2298" s="98" t="s">
        <v>17</v>
      </c>
      <c r="C2298" s="98">
        <v>1200</v>
      </c>
      <c r="D2298" s="98">
        <v>12001</v>
      </c>
      <c r="E2298" s="98">
        <v>10</v>
      </c>
      <c r="F2298" s="98" t="s">
        <v>9</v>
      </c>
      <c r="G2298" s="98" t="s">
        <v>9</v>
      </c>
      <c r="H2298" s="98">
        <v>0</v>
      </c>
      <c r="I2298" s="98">
        <v>0</v>
      </c>
      <c r="K2298" s="98">
        <v>57.738999999999997</v>
      </c>
      <c r="L2298" s="98">
        <v>3.3237E-7</v>
      </c>
      <c r="M2298" s="98">
        <v>57.734999999999999</v>
      </c>
      <c r="N2298" s="98">
        <v>9.5840000000000003E-8</v>
      </c>
      <c r="O2298" s="99" t="s">
        <v>696</v>
      </c>
    </row>
    <row r="2299" spans="1:15" x14ac:dyDescent="0.25">
      <c r="A2299" s="98" t="s">
        <v>54</v>
      </c>
      <c r="B2299" s="98" t="s">
        <v>17</v>
      </c>
      <c r="C2299" s="98">
        <v>12000</v>
      </c>
      <c r="D2299" s="98">
        <v>120010</v>
      </c>
      <c r="E2299" s="98">
        <v>1</v>
      </c>
      <c r="F2299" s="98" t="s">
        <v>9</v>
      </c>
      <c r="G2299" s="98" t="s">
        <v>9</v>
      </c>
      <c r="H2299" s="98">
        <v>0</v>
      </c>
      <c r="I2299" s="98">
        <v>0</v>
      </c>
      <c r="K2299" s="98">
        <v>19</v>
      </c>
      <c r="L2299" s="98">
        <v>2.8E-5</v>
      </c>
      <c r="M2299" s="98">
        <v>17.329999999999998</v>
      </c>
      <c r="N2299" s="98">
        <v>2.8853999999999999E-5</v>
      </c>
      <c r="O2299" s="99" t="s">
        <v>697</v>
      </c>
    </row>
    <row r="2300" spans="1:15" x14ac:dyDescent="0.25">
      <c r="A2300" s="98" t="s">
        <v>54</v>
      </c>
      <c r="B2300" s="98" t="s">
        <v>17</v>
      </c>
      <c r="C2300" s="98">
        <v>12000</v>
      </c>
      <c r="D2300" s="98">
        <v>120010</v>
      </c>
      <c r="E2300" s="98">
        <v>10</v>
      </c>
      <c r="F2300" s="98" t="s">
        <v>9</v>
      </c>
      <c r="G2300" s="98" t="s">
        <v>9</v>
      </c>
      <c r="H2300" s="98">
        <v>0</v>
      </c>
      <c r="I2300" s="98">
        <v>0</v>
      </c>
      <c r="K2300" s="98">
        <v>19</v>
      </c>
      <c r="L2300" s="98">
        <v>2.8E-5</v>
      </c>
      <c r="M2300" s="98">
        <v>18.254999999999999</v>
      </c>
      <c r="N2300" s="98">
        <v>2.7640999999999998E-5</v>
      </c>
      <c r="O2300" s="99" t="s">
        <v>698</v>
      </c>
    </row>
    <row r="2301" spans="1:15" x14ac:dyDescent="0.25">
      <c r="A2301" s="98" t="s">
        <v>54</v>
      </c>
      <c r="B2301" s="98" t="s">
        <v>17</v>
      </c>
      <c r="C2301" s="98">
        <v>12000</v>
      </c>
      <c r="D2301" s="98">
        <v>120010</v>
      </c>
      <c r="E2301" s="98">
        <v>100</v>
      </c>
      <c r="F2301" s="98" t="s">
        <v>9</v>
      </c>
      <c r="G2301" s="98" t="s">
        <v>9</v>
      </c>
      <c r="H2301" s="98">
        <v>0</v>
      </c>
      <c r="I2301" s="98">
        <v>0</v>
      </c>
      <c r="K2301" s="98">
        <v>60.591999999999999</v>
      </c>
      <c r="L2301" s="98">
        <v>1.1287000000000001E-5</v>
      </c>
      <c r="M2301" s="98">
        <v>60.268999999999998</v>
      </c>
      <c r="N2301" s="98">
        <v>9.1177999999999993E-6</v>
      </c>
      <c r="O2301" s="99" t="s">
        <v>699</v>
      </c>
    </row>
    <row r="2302" spans="1:15" x14ac:dyDescent="0.25">
      <c r="A2302" s="98" t="s">
        <v>54</v>
      </c>
      <c r="B2302" s="98" t="s">
        <v>17</v>
      </c>
      <c r="C2302" s="98">
        <v>12000</v>
      </c>
      <c r="D2302" s="98">
        <v>120010</v>
      </c>
      <c r="E2302" s="98">
        <v>1000</v>
      </c>
      <c r="F2302" s="98" t="s">
        <v>9</v>
      </c>
      <c r="G2302" s="98" t="s">
        <v>9</v>
      </c>
      <c r="H2302" s="98">
        <v>0</v>
      </c>
      <c r="I2302" s="98">
        <v>0</v>
      </c>
      <c r="K2302" s="98">
        <v>577.75</v>
      </c>
      <c r="L2302" s="98">
        <v>1.9059E-6</v>
      </c>
      <c r="M2302" s="98">
        <v>577.61</v>
      </c>
      <c r="N2302" s="98">
        <v>9.6075000000000008E-7</v>
      </c>
      <c r="O2302" s="99" t="s">
        <v>700</v>
      </c>
    </row>
    <row r="2303" spans="1:15" x14ac:dyDescent="0.25">
      <c r="A2303" s="98" t="s">
        <v>54</v>
      </c>
      <c r="B2303" s="98" t="s">
        <v>17</v>
      </c>
      <c r="C2303" s="98">
        <v>120000</v>
      </c>
      <c r="D2303" s="98">
        <v>1200010</v>
      </c>
      <c r="E2303" s="98">
        <v>10</v>
      </c>
      <c r="F2303" s="98" t="s">
        <v>9</v>
      </c>
      <c r="G2303" s="98" t="s">
        <v>9</v>
      </c>
      <c r="H2303" s="98">
        <v>0</v>
      </c>
      <c r="I2303" s="98">
        <v>0</v>
      </c>
      <c r="K2303" s="98">
        <v>60</v>
      </c>
      <c r="L2303" s="98">
        <v>1.5999999999999999E-5</v>
      </c>
      <c r="M2303" s="98">
        <v>18.158999999999999</v>
      </c>
      <c r="N2303" s="98">
        <v>2.8435000000000001E-5</v>
      </c>
      <c r="O2303" s="99" t="s">
        <v>701</v>
      </c>
    </row>
    <row r="2304" spans="1:15" x14ac:dyDescent="0.25">
      <c r="A2304" s="98" t="s">
        <v>54</v>
      </c>
      <c r="B2304" s="98" t="s">
        <v>17</v>
      </c>
      <c r="C2304" s="98">
        <v>120000</v>
      </c>
      <c r="D2304" s="98">
        <v>1200010</v>
      </c>
      <c r="E2304" s="98">
        <v>100</v>
      </c>
      <c r="F2304" s="98" t="s">
        <v>9</v>
      </c>
      <c r="G2304" s="98" t="s">
        <v>9</v>
      </c>
      <c r="H2304" s="98">
        <v>0</v>
      </c>
      <c r="I2304" s="98">
        <v>0</v>
      </c>
      <c r="K2304" s="98">
        <v>60.875999999999998</v>
      </c>
      <c r="L2304" s="98">
        <v>1.8461000000000002E-5</v>
      </c>
      <c r="M2304" s="98">
        <v>59.55</v>
      </c>
      <c r="N2304" s="98">
        <v>1.5104E-5</v>
      </c>
      <c r="O2304" s="99" t="s">
        <v>702</v>
      </c>
    </row>
    <row r="2305" spans="1:15" x14ac:dyDescent="0.25">
      <c r="A2305" s="98" t="s">
        <v>54</v>
      </c>
      <c r="B2305" s="98" t="s">
        <v>17</v>
      </c>
      <c r="C2305" s="98">
        <v>120000</v>
      </c>
      <c r="D2305" s="98">
        <v>1200010</v>
      </c>
      <c r="E2305" s="98">
        <v>1000</v>
      </c>
      <c r="F2305" s="98" t="s">
        <v>9</v>
      </c>
      <c r="G2305" s="98" t="s">
        <v>9</v>
      </c>
      <c r="H2305" s="98">
        <v>0</v>
      </c>
      <c r="I2305" s="98">
        <v>0</v>
      </c>
      <c r="K2305" s="98">
        <v>578.01</v>
      </c>
      <c r="L2305" s="98">
        <v>3.8670999999999998E-6</v>
      </c>
      <c r="M2305" s="98">
        <v>577.51</v>
      </c>
      <c r="N2305" s="98">
        <v>1.8143999999999999E-6</v>
      </c>
      <c r="O2305" s="99" t="s">
        <v>703</v>
      </c>
    </row>
    <row r="2306" spans="1:15" x14ac:dyDescent="0.25">
      <c r="A2306" s="98" t="s">
        <v>54</v>
      </c>
      <c r="B2306" s="98" t="s">
        <v>17</v>
      </c>
      <c r="C2306" s="98">
        <v>120000</v>
      </c>
      <c r="D2306" s="98">
        <v>1200010</v>
      </c>
      <c r="E2306" s="98">
        <v>10000</v>
      </c>
      <c r="F2306" s="98" t="s">
        <v>9</v>
      </c>
      <c r="G2306" s="98" t="s">
        <v>9</v>
      </c>
      <c r="H2306" s="98">
        <v>0</v>
      </c>
      <c r="I2306" s="98">
        <v>0</v>
      </c>
      <c r="K2306" s="98">
        <v>5773.8</v>
      </c>
      <c r="L2306" s="98">
        <v>1.0097E-6</v>
      </c>
      <c r="M2306" s="98">
        <v>5773.6</v>
      </c>
      <c r="N2306" s="98">
        <v>1.8185999999999999E-7</v>
      </c>
      <c r="O2306" s="99" t="s">
        <v>704</v>
      </c>
    </row>
    <row r="2307" spans="1:15" x14ac:dyDescent="0.25">
      <c r="A2307" s="98" t="s">
        <v>54</v>
      </c>
      <c r="B2307" s="98" t="s">
        <v>17</v>
      </c>
      <c r="C2307" s="98">
        <v>1200000</v>
      </c>
      <c r="D2307" s="98">
        <v>2000000</v>
      </c>
      <c r="E2307" s="98">
        <v>100</v>
      </c>
      <c r="F2307" s="98" t="s">
        <v>9</v>
      </c>
      <c r="G2307" s="98" t="s">
        <v>10</v>
      </c>
      <c r="H2307" s="98">
        <v>0</v>
      </c>
      <c r="I2307" s="98">
        <v>0</v>
      </c>
      <c r="K2307" s="98">
        <v>0.43</v>
      </c>
      <c r="L2307" s="98">
        <v>1.2999999999999999E-4</v>
      </c>
      <c r="M2307" s="98">
        <v>-0.35824</v>
      </c>
      <c r="N2307" s="98">
        <v>3.6326000000000002E-4</v>
      </c>
      <c r="O2307" s="99" t="s">
        <v>705</v>
      </c>
    </row>
    <row r="2308" spans="1:15" x14ac:dyDescent="0.25">
      <c r="A2308" s="98" t="s">
        <v>54</v>
      </c>
      <c r="B2308" s="98" t="s">
        <v>17</v>
      </c>
      <c r="C2308" s="98">
        <v>1200000</v>
      </c>
      <c r="D2308" s="98">
        <v>2000000</v>
      </c>
      <c r="E2308" s="98">
        <v>1000</v>
      </c>
      <c r="F2308" s="98" t="s">
        <v>9</v>
      </c>
      <c r="G2308" s="98" t="s">
        <v>10</v>
      </c>
      <c r="H2308" s="98">
        <v>0</v>
      </c>
      <c r="I2308" s="98">
        <v>0</v>
      </c>
      <c r="K2308" s="98">
        <v>0.43</v>
      </c>
      <c r="L2308" s="98">
        <v>1.4137000000000001E-4</v>
      </c>
      <c r="M2308" s="98">
        <v>0.42565999999999998</v>
      </c>
      <c r="N2308" s="98">
        <v>1.2836E-4</v>
      </c>
      <c r="O2308" s="99" t="s">
        <v>706</v>
      </c>
    </row>
    <row r="2309" spans="1:15" x14ac:dyDescent="0.25">
      <c r="A2309" s="98" t="s">
        <v>54</v>
      </c>
      <c r="B2309" s="98" t="s">
        <v>17</v>
      </c>
      <c r="C2309" s="98">
        <v>1200000</v>
      </c>
      <c r="D2309" s="98">
        <v>2000000</v>
      </c>
      <c r="E2309" s="98">
        <v>10000</v>
      </c>
      <c r="F2309" s="98" t="s">
        <v>9</v>
      </c>
      <c r="G2309" s="98" t="s">
        <v>10</v>
      </c>
      <c r="H2309" s="98">
        <v>0</v>
      </c>
      <c r="I2309" s="98">
        <v>0</v>
      </c>
      <c r="K2309" s="98">
        <v>5.7549000000000001</v>
      </c>
      <c r="L2309" s="98">
        <v>2.1951E-5</v>
      </c>
      <c r="M2309" s="98">
        <v>5.7569999999999997</v>
      </c>
      <c r="N2309" s="98">
        <v>1.4015E-5</v>
      </c>
      <c r="O2309" s="99" t="s">
        <v>707</v>
      </c>
    </row>
    <row r="2310" spans="1:15" x14ac:dyDescent="0.25">
      <c r="A2310" s="98" t="s">
        <v>54</v>
      </c>
      <c r="B2310" s="98" t="s">
        <v>17</v>
      </c>
      <c r="C2310" s="98">
        <v>1200000</v>
      </c>
      <c r="D2310" s="98">
        <v>2000000</v>
      </c>
      <c r="E2310" s="98">
        <v>100000</v>
      </c>
      <c r="F2310" s="98" t="s">
        <v>9</v>
      </c>
      <c r="G2310" s="98" t="s">
        <v>10</v>
      </c>
      <c r="H2310" s="98">
        <v>0</v>
      </c>
      <c r="I2310" s="98">
        <v>0</v>
      </c>
      <c r="K2310" s="98">
        <v>57.732999999999997</v>
      </c>
      <c r="L2310" s="98">
        <v>4.5960999999999999E-6</v>
      </c>
      <c r="M2310" s="98">
        <v>57.734000000000002</v>
      </c>
      <c r="N2310" s="98">
        <v>1.4028999999999999E-6</v>
      </c>
      <c r="O2310" s="99" t="s">
        <v>708</v>
      </c>
    </row>
    <row r="2311" spans="1:15" x14ac:dyDescent="0.25">
      <c r="A2311" s="98" t="s">
        <v>54</v>
      </c>
      <c r="B2311" s="98" t="s">
        <v>17</v>
      </c>
      <c r="C2311" s="98">
        <v>2000000</v>
      </c>
      <c r="D2311" s="98">
        <v>2001000</v>
      </c>
      <c r="E2311" s="98">
        <v>100</v>
      </c>
      <c r="F2311" s="98" t="s">
        <v>9</v>
      </c>
      <c r="G2311" s="98" t="s">
        <v>10</v>
      </c>
      <c r="H2311" s="98">
        <v>0</v>
      </c>
      <c r="I2311" s="98">
        <v>0</v>
      </c>
      <c r="K2311" s="98">
        <v>0.43</v>
      </c>
      <c r="L2311" s="98">
        <v>1.2999999999999999E-4</v>
      </c>
      <c r="M2311" s="98">
        <v>-0.35824</v>
      </c>
      <c r="N2311" s="98">
        <v>3.6326000000000002E-4</v>
      </c>
      <c r="O2311" s="99" t="s">
        <v>709</v>
      </c>
    </row>
    <row r="2312" spans="1:15" x14ac:dyDescent="0.25">
      <c r="A2312" s="98" t="s">
        <v>54</v>
      </c>
      <c r="B2312" s="98" t="s">
        <v>17</v>
      </c>
      <c r="C2312" s="98">
        <v>2000000</v>
      </c>
      <c r="D2312" s="98">
        <v>2001000</v>
      </c>
      <c r="E2312" s="98">
        <v>1000</v>
      </c>
      <c r="F2312" s="98" t="s">
        <v>9</v>
      </c>
      <c r="G2312" s="98" t="s">
        <v>10</v>
      </c>
      <c r="H2312" s="98">
        <v>0</v>
      </c>
      <c r="I2312" s="98">
        <v>0</v>
      </c>
      <c r="K2312" s="98">
        <v>0.43</v>
      </c>
      <c r="L2312" s="98">
        <v>1.4137000000000001E-4</v>
      </c>
      <c r="M2312" s="98">
        <v>0.42565999999999998</v>
      </c>
      <c r="N2312" s="98">
        <v>1.2836E-4</v>
      </c>
      <c r="O2312" s="99" t="s">
        <v>710</v>
      </c>
    </row>
    <row r="2313" spans="1:15" x14ac:dyDescent="0.25">
      <c r="A2313" s="98" t="s">
        <v>54</v>
      </c>
      <c r="B2313" s="98" t="s">
        <v>17</v>
      </c>
      <c r="C2313" s="98">
        <v>2000000</v>
      </c>
      <c r="D2313" s="98">
        <v>2001000</v>
      </c>
      <c r="E2313" s="98">
        <v>10000</v>
      </c>
      <c r="F2313" s="98" t="s">
        <v>9</v>
      </c>
      <c r="G2313" s="98" t="s">
        <v>10</v>
      </c>
      <c r="H2313" s="98">
        <v>0</v>
      </c>
      <c r="I2313" s="98">
        <v>0</v>
      </c>
      <c r="K2313" s="98">
        <v>5.7549000000000001</v>
      </c>
      <c r="L2313" s="98">
        <v>2.1951E-5</v>
      </c>
      <c r="M2313" s="98">
        <v>5.7569999999999997</v>
      </c>
      <c r="N2313" s="98">
        <v>1.4015E-5</v>
      </c>
      <c r="O2313" s="99" t="s">
        <v>711</v>
      </c>
    </row>
    <row r="2314" spans="1:15" x14ac:dyDescent="0.25">
      <c r="A2314" s="98" t="s">
        <v>54</v>
      </c>
      <c r="B2314" s="98" t="s">
        <v>17</v>
      </c>
      <c r="C2314" s="98">
        <v>2000000</v>
      </c>
      <c r="D2314" s="98">
        <v>2001000</v>
      </c>
      <c r="E2314" s="98">
        <v>100000</v>
      </c>
      <c r="F2314" s="98" t="s">
        <v>9</v>
      </c>
      <c r="G2314" s="98" t="s">
        <v>10</v>
      </c>
      <c r="H2314" s="98">
        <v>0</v>
      </c>
      <c r="I2314" s="98">
        <v>0</v>
      </c>
      <c r="K2314" s="98">
        <v>57.732999999999997</v>
      </c>
      <c r="L2314" s="98">
        <v>4.5960999999999999E-6</v>
      </c>
      <c r="M2314" s="98">
        <v>57.734000000000002</v>
      </c>
      <c r="N2314" s="98">
        <v>1.4028999999999999E-6</v>
      </c>
      <c r="O2314" s="99" t="s">
        <v>712</v>
      </c>
    </row>
    <row r="2315" spans="1:15" x14ac:dyDescent="0.25">
      <c r="A2315" s="98" t="s">
        <v>54</v>
      </c>
      <c r="B2315" s="98" t="s">
        <v>7</v>
      </c>
      <c r="C2315" s="98">
        <v>0</v>
      </c>
      <c r="D2315" s="98">
        <v>11.000999999999999</v>
      </c>
      <c r="E2315" s="98">
        <v>1E-3</v>
      </c>
      <c r="F2315" s="98" t="s">
        <v>102</v>
      </c>
      <c r="G2315" s="98" t="s">
        <v>48</v>
      </c>
      <c r="H2315" s="98">
        <v>0</v>
      </c>
      <c r="I2315" s="98">
        <v>0</v>
      </c>
      <c r="K2315" s="98">
        <v>12</v>
      </c>
      <c r="L2315" s="98">
        <v>0.14000000000000001</v>
      </c>
      <c r="M2315" s="98">
        <v>11.576000000000001</v>
      </c>
      <c r="N2315" s="98">
        <v>0.13830000000000001</v>
      </c>
      <c r="O2315" s="99" t="s">
        <v>604</v>
      </c>
    </row>
    <row r="2316" spans="1:15" x14ac:dyDescent="0.25">
      <c r="A2316" s="98" t="s">
        <v>54</v>
      </c>
      <c r="B2316" s="98" t="s">
        <v>7</v>
      </c>
      <c r="C2316" s="98">
        <v>0</v>
      </c>
      <c r="D2316" s="98">
        <v>11.000999999999999</v>
      </c>
      <c r="E2316" s="98">
        <v>0.01</v>
      </c>
      <c r="F2316" s="98" t="s">
        <v>102</v>
      </c>
      <c r="G2316" s="98" t="s">
        <v>48</v>
      </c>
      <c r="H2316" s="98">
        <v>0</v>
      </c>
      <c r="I2316" s="98">
        <v>0</v>
      </c>
      <c r="K2316" s="98">
        <v>12.939</v>
      </c>
      <c r="L2316" s="98">
        <v>0.12581000000000001</v>
      </c>
      <c r="M2316" s="98">
        <v>12.935</v>
      </c>
      <c r="N2316" s="98">
        <v>0.12525</v>
      </c>
      <c r="O2316" s="99" t="s">
        <v>605</v>
      </c>
    </row>
    <row r="2317" spans="1:15" x14ac:dyDescent="0.25">
      <c r="A2317" s="98" t="s">
        <v>54</v>
      </c>
      <c r="B2317" s="98" t="s">
        <v>7</v>
      </c>
      <c r="C2317" s="98">
        <v>0</v>
      </c>
      <c r="D2317" s="98">
        <v>11.000999999999999</v>
      </c>
      <c r="E2317" s="98">
        <v>0.1</v>
      </c>
      <c r="F2317" s="98" t="s">
        <v>102</v>
      </c>
      <c r="G2317" s="98" t="s">
        <v>48</v>
      </c>
      <c r="H2317" s="98">
        <v>0</v>
      </c>
      <c r="I2317" s="98">
        <v>0</v>
      </c>
      <c r="K2317" s="98">
        <v>59.143999999999998</v>
      </c>
      <c r="L2317" s="98">
        <v>2.9356E-2</v>
      </c>
      <c r="M2317" s="98">
        <v>59.140999999999998</v>
      </c>
      <c r="N2317" s="98">
        <v>2.8788000000000001E-2</v>
      </c>
      <c r="O2317" s="99" t="s">
        <v>606</v>
      </c>
    </row>
    <row r="2318" spans="1:15" x14ac:dyDescent="0.25">
      <c r="A2318" s="98" t="s">
        <v>54</v>
      </c>
      <c r="B2318" s="98" t="s">
        <v>7</v>
      </c>
      <c r="C2318" s="98">
        <v>0</v>
      </c>
      <c r="D2318" s="98">
        <v>11.000999999999999</v>
      </c>
      <c r="E2318" s="98">
        <v>1</v>
      </c>
      <c r="F2318" s="98" t="s">
        <v>102</v>
      </c>
      <c r="G2318" s="98" t="s">
        <v>48</v>
      </c>
      <c r="H2318" s="98">
        <v>0</v>
      </c>
      <c r="I2318" s="98">
        <v>0</v>
      </c>
      <c r="K2318" s="98">
        <v>580.12</v>
      </c>
      <c r="L2318" s="98">
        <v>3.176E-3</v>
      </c>
      <c r="M2318" s="98">
        <v>580.12</v>
      </c>
      <c r="N2318" s="98">
        <v>2.9426999999999999E-3</v>
      </c>
      <c r="O2318" s="99" t="s">
        <v>607</v>
      </c>
    </row>
    <row r="2319" spans="1:15" x14ac:dyDescent="0.25">
      <c r="A2319" s="98" t="s">
        <v>54</v>
      </c>
      <c r="B2319" s="98" t="s">
        <v>7</v>
      </c>
      <c r="C2319" s="98">
        <v>0</v>
      </c>
      <c r="D2319" s="98">
        <v>11.000999999999999</v>
      </c>
      <c r="E2319" s="98">
        <v>10</v>
      </c>
      <c r="F2319" s="98" t="s">
        <v>102</v>
      </c>
      <c r="G2319" s="98" t="s">
        <v>48</v>
      </c>
      <c r="H2319" s="98">
        <v>0</v>
      </c>
      <c r="I2319" s="98">
        <v>0</v>
      </c>
      <c r="K2319" s="98">
        <v>5800</v>
      </c>
      <c r="L2319" s="98">
        <v>3.8767000000000001E-4</v>
      </c>
      <c r="M2319" s="98">
        <v>5800</v>
      </c>
      <c r="N2319" s="98">
        <v>2.9433999999999998E-4</v>
      </c>
      <c r="O2319" s="99" t="s">
        <v>608</v>
      </c>
    </row>
    <row r="2320" spans="1:15" x14ac:dyDescent="0.25">
      <c r="A2320" s="98" t="s">
        <v>54</v>
      </c>
      <c r="B2320" s="98" t="s">
        <v>7</v>
      </c>
      <c r="C2320" s="98">
        <v>0</v>
      </c>
      <c r="D2320" s="98">
        <v>11.000999999999999</v>
      </c>
      <c r="E2320" s="98">
        <v>100</v>
      </c>
      <c r="F2320" s="98" t="s">
        <v>102</v>
      </c>
      <c r="G2320" s="98" t="s">
        <v>48</v>
      </c>
      <c r="H2320" s="98">
        <v>0</v>
      </c>
      <c r="I2320" s="98">
        <v>0</v>
      </c>
      <c r="K2320" s="98">
        <v>58000</v>
      </c>
      <c r="L2320" s="98">
        <v>6.6765000000000002E-5</v>
      </c>
      <c r="M2320" s="98">
        <v>58000</v>
      </c>
      <c r="N2320" s="98">
        <v>2.9434E-5</v>
      </c>
      <c r="O2320" s="99" t="s">
        <v>609</v>
      </c>
    </row>
    <row r="2321" spans="1:15" x14ac:dyDescent="0.25">
      <c r="A2321" s="98" t="s">
        <v>54</v>
      </c>
      <c r="B2321" s="98" t="s">
        <v>7</v>
      </c>
      <c r="C2321" s="98">
        <v>0</v>
      </c>
      <c r="D2321" s="98">
        <v>11.000999999999999</v>
      </c>
      <c r="E2321" s="98">
        <v>1000</v>
      </c>
      <c r="F2321" s="98" t="s">
        <v>102</v>
      </c>
      <c r="G2321" s="98" t="s">
        <v>48</v>
      </c>
      <c r="H2321" s="98">
        <v>0</v>
      </c>
      <c r="I2321" s="98">
        <v>0</v>
      </c>
      <c r="K2321" s="98">
        <v>580000</v>
      </c>
      <c r="L2321" s="98">
        <v>1.7876E-5</v>
      </c>
      <c r="M2321" s="98">
        <v>580000</v>
      </c>
      <c r="N2321" s="98">
        <v>2.9434000000000001E-6</v>
      </c>
      <c r="O2321" s="99" t="s">
        <v>610</v>
      </c>
    </row>
    <row r="2322" spans="1:15" x14ac:dyDescent="0.25">
      <c r="A2322" s="98" t="s">
        <v>54</v>
      </c>
      <c r="B2322" s="98" t="s">
        <v>7</v>
      </c>
      <c r="C2322" s="98">
        <v>0</v>
      </c>
      <c r="D2322" s="98">
        <v>11.000999999999999</v>
      </c>
      <c r="E2322" s="98">
        <v>10000</v>
      </c>
      <c r="F2322" s="98" t="s">
        <v>102</v>
      </c>
      <c r="G2322" s="98" t="s">
        <v>48</v>
      </c>
      <c r="H2322" s="98">
        <v>0</v>
      </c>
      <c r="I2322" s="98">
        <v>0</v>
      </c>
      <c r="K2322" s="98">
        <v>5800000</v>
      </c>
      <c r="L2322" s="98">
        <v>6.2674000000000003E-6</v>
      </c>
      <c r="M2322" s="98">
        <v>5800000</v>
      </c>
      <c r="N2322" s="98">
        <v>2.9434999999999999E-7</v>
      </c>
      <c r="O2322" s="99" t="s">
        <v>611</v>
      </c>
    </row>
    <row r="2323" spans="1:15" x14ac:dyDescent="0.25">
      <c r="A2323" s="98" t="s">
        <v>54</v>
      </c>
      <c r="B2323" s="98" t="s">
        <v>7</v>
      </c>
      <c r="C2323" s="98">
        <v>0</v>
      </c>
      <c r="D2323" s="98">
        <v>11.000999999999999</v>
      </c>
      <c r="E2323" s="98">
        <v>100000</v>
      </c>
      <c r="F2323" s="98" t="s">
        <v>102</v>
      </c>
      <c r="G2323" s="98" t="s">
        <v>48</v>
      </c>
      <c r="H2323" s="98">
        <v>0</v>
      </c>
      <c r="I2323" s="98">
        <v>0</v>
      </c>
      <c r="K2323" s="98">
        <v>58000000</v>
      </c>
      <c r="L2323" s="98">
        <v>2.4177000000000002E-6</v>
      </c>
      <c r="M2323" s="98">
        <v>58000000</v>
      </c>
      <c r="N2323" s="98">
        <v>2.9391999999999999E-8</v>
      </c>
      <c r="O2323" s="99" t="s">
        <v>612</v>
      </c>
    </row>
    <row r="2324" spans="1:15" x14ac:dyDescent="0.25">
      <c r="A2324" s="98" t="s">
        <v>54</v>
      </c>
      <c r="B2324" s="98" t="s">
        <v>7</v>
      </c>
      <c r="C2324" s="98">
        <v>0</v>
      </c>
      <c r="D2324" s="98">
        <v>11.000999999999999</v>
      </c>
      <c r="E2324" s="98">
        <v>1000000</v>
      </c>
      <c r="F2324" s="98" t="s">
        <v>102</v>
      </c>
      <c r="G2324" s="98" t="s">
        <v>48</v>
      </c>
      <c r="H2324" s="98">
        <v>0</v>
      </c>
      <c r="I2324" s="98">
        <v>0</v>
      </c>
      <c r="K2324" s="98">
        <v>580000000</v>
      </c>
      <c r="L2324" s="98">
        <v>9.5148999999999995E-7</v>
      </c>
      <c r="M2324" s="98">
        <v>580000000</v>
      </c>
      <c r="N2324" s="98">
        <v>0</v>
      </c>
      <c r="O2324" s="99" t="s">
        <v>613</v>
      </c>
    </row>
    <row r="2325" spans="1:15" x14ac:dyDescent="0.25">
      <c r="A2325" s="98" t="s">
        <v>54</v>
      </c>
      <c r="B2325" s="98" t="s">
        <v>7</v>
      </c>
      <c r="C2325" s="98">
        <v>0</v>
      </c>
      <c r="D2325" s="98">
        <v>11.000999999999999</v>
      </c>
      <c r="E2325" s="98">
        <v>10000000</v>
      </c>
      <c r="F2325" s="98" t="s">
        <v>102</v>
      </c>
      <c r="G2325" s="98" t="s">
        <v>48</v>
      </c>
      <c r="H2325" s="98">
        <v>0</v>
      </c>
      <c r="I2325" s="98">
        <v>0</v>
      </c>
      <c r="K2325" s="98">
        <v>5800000000</v>
      </c>
      <c r="L2325" s="98">
        <v>0</v>
      </c>
      <c r="M2325" s="98">
        <v>5800000000</v>
      </c>
      <c r="N2325" s="98">
        <v>0</v>
      </c>
      <c r="O2325" s="99" t="s">
        <v>614</v>
      </c>
    </row>
    <row r="2326" spans="1:15" x14ac:dyDescent="0.25">
      <c r="A2326" s="98" t="s">
        <v>54</v>
      </c>
      <c r="B2326" s="98" t="s">
        <v>7</v>
      </c>
      <c r="C2326" s="98">
        <v>11</v>
      </c>
      <c r="D2326" s="98">
        <v>33.000999999999998</v>
      </c>
      <c r="E2326" s="98">
        <v>1E-3</v>
      </c>
      <c r="F2326" s="98" t="s">
        <v>102</v>
      </c>
      <c r="G2326" s="98" t="s">
        <v>48</v>
      </c>
      <c r="H2326" s="98">
        <v>0</v>
      </c>
      <c r="I2326" s="98">
        <v>0</v>
      </c>
      <c r="K2326" s="98">
        <v>18</v>
      </c>
      <c r="L2326" s="98">
        <v>0.14000000000000001</v>
      </c>
      <c r="M2326" s="98">
        <v>17.338999999999999</v>
      </c>
      <c r="N2326" s="98">
        <v>0.13885</v>
      </c>
      <c r="O2326" s="99" t="s">
        <v>615</v>
      </c>
    </row>
    <row r="2327" spans="1:15" x14ac:dyDescent="0.25">
      <c r="A2327" s="98" t="s">
        <v>54</v>
      </c>
      <c r="B2327" s="98" t="s">
        <v>7</v>
      </c>
      <c r="C2327" s="98">
        <v>11</v>
      </c>
      <c r="D2327" s="98">
        <v>33.000999999999998</v>
      </c>
      <c r="E2327" s="98">
        <v>0.01</v>
      </c>
      <c r="F2327" s="98" t="s">
        <v>102</v>
      </c>
      <c r="G2327" s="98" t="s">
        <v>48</v>
      </c>
      <c r="H2327" s="98">
        <v>0</v>
      </c>
      <c r="I2327" s="98">
        <v>0</v>
      </c>
      <c r="K2327" s="98">
        <v>18.263000000000002</v>
      </c>
      <c r="L2327" s="98">
        <v>0.13372000000000001</v>
      </c>
      <c r="M2327" s="98">
        <v>18.257999999999999</v>
      </c>
      <c r="N2327" s="98">
        <v>0.13356999999999999</v>
      </c>
      <c r="O2327" s="99" t="s">
        <v>616</v>
      </c>
    </row>
    <row r="2328" spans="1:15" x14ac:dyDescent="0.25">
      <c r="A2328" s="98" t="s">
        <v>54</v>
      </c>
      <c r="B2328" s="98" t="s">
        <v>7</v>
      </c>
      <c r="C2328" s="98">
        <v>11</v>
      </c>
      <c r="D2328" s="98">
        <v>33.000999999999998</v>
      </c>
      <c r="E2328" s="98">
        <v>0.1</v>
      </c>
      <c r="F2328" s="98" t="s">
        <v>102</v>
      </c>
      <c r="G2328" s="98" t="s">
        <v>48</v>
      </c>
      <c r="H2328" s="98">
        <v>0</v>
      </c>
      <c r="I2328" s="98">
        <v>0</v>
      </c>
      <c r="K2328" s="98">
        <v>60.487000000000002</v>
      </c>
      <c r="L2328" s="98">
        <v>4.6303999999999998E-2</v>
      </c>
      <c r="M2328" s="98">
        <v>60.481000000000002</v>
      </c>
      <c r="N2328" s="98">
        <v>4.6039999999999998E-2</v>
      </c>
      <c r="O2328" s="99" t="s">
        <v>617</v>
      </c>
    </row>
    <row r="2329" spans="1:15" x14ac:dyDescent="0.25">
      <c r="A2329" s="98" t="s">
        <v>54</v>
      </c>
      <c r="B2329" s="98" t="s">
        <v>7</v>
      </c>
      <c r="C2329" s="98">
        <v>11</v>
      </c>
      <c r="D2329" s="98">
        <v>33.000999999999998</v>
      </c>
      <c r="E2329" s="98">
        <v>1</v>
      </c>
      <c r="F2329" s="98" t="s">
        <v>102</v>
      </c>
      <c r="G2329" s="98" t="s">
        <v>48</v>
      </c>
      <c r="H2329" s="98">
        <v>0</v>
      </c>
      <c r="I2329" s="98">
        <v>0</v>
      </c>
      <c r="K2329" s="98">
        <v>580.26</v>
      </c>
      <c r="L2329" s="98">
        <v>4.9937999999999996E-3</v>
      </c>
      <c r="M2329" s="98">
        <v>580.25</v>
      </c>
      <c r="N2329" s="98">
        <v>4.8783000000000003E-3</v>
      </c>
      <c r="O2329" s="99" t="s">
        <v>618</v>
      </c>
    </row>
    <row r="2330" spans="1:15" x14ac:dyDescent="0.25">
      <c r="A2330" s="98" t="s">
        <v>54</v>
      </c>
      <c r="B2330" s="98" t="s">
        <v>7</v>
      </c>
      <c r="C2330" s="98">
        <v>33</v>
      </c>
      <c r="D2330" s="98">
        <v>110.01</v>
      </c>
      <c r="E2330" s="98">
        <v>1E-3</v>
      </c>
      <c r="F2330" s="98" t="s">
        <v>102</v>
      </c>
      <c r="G2330" s="98" t="s">
        <v>48</v>
      </c>
      <c r="H2330" s="98">
        <v>0</v>
      </c>
      <c r="I2330" s="98">
        <v>0</v>
      </c>
      <c r="K2330" s="98">
        <v>18</v>
      </c>
      <c r="L2330" s="98">
        <v>0.1</v>
      </c>
      <c r="M2330" s="98">
        <v>17.341999999999999</v>
      </c>
      <c r="N2330" s="98">
        <v>0.10406</v>
      </c>
      <c r="O2330" s="99" t="s">
        <v>619</v>
      </c>
    </row>
    <row r="2331" spans="1:15" x14ac:dyDescent="0.25">
      <c r="A2331" s="98" t="s">
        <v>54</v>
      </c>
      <c r="B2331" s="98" t="s">
        <v>7</v>
      </c>
      <c r="C2331" s="98">
        <v>33</v>
      </c>
      <c r="D2331" s="98">
        <v>110.01</v>
      </c>
      <c r="E2331" s="98">
        <v>0.01</v>
      </c>
      <c r="F2331" s="98" t="s">
        <v>102</v>
      </c>
      <c r="G2331" s="98" t="s">
        <v>48</v>
      </c>
      <c r="H2331" s="98">
        <v>0</v>
      </c>
      <c r="I2331" s="98">
        <v>0</v>
      </c>
      <c r="K2331" s="98">
        <v>18.224</v>
      </c>
      <c r="L2331" s="98">
        <v>0.10151</v>
      </c>
      <c r="M2331" s="98">
        <v>18.221</v>
      </c>
      <c r="N2331" s="98">
        <v>0.10128</v>
      </c>
      <c r="O2331" s="99" t="s">
        <v>620</v>
      </c>
    </row>
    <row r="2332" spans="1:15" x14ac:dyDescent="0.25">
      <c r="A2332" s="98" t="s">
        <v>54</v>
      </c>
      <c r="B2332" s="98" t="s">
        <v>7</v>
      </c>
      <c r="C2332" s="98">
        <v>33</v>
      </c>
      <c r="D2332" s="98">
        <v>110.01</v>
      </c>
      <c r="E2332" s="98">
        <v>0.1</v>
      </c>
      <c r="F2332" s="98" t="s">
        <v>102</v>
      </c>
      <c r="G2332" s="98" t="s">
        <v>48</v>
      </c>
      <c r="H2332" s="98">
        <v>0</v>
      </c>
      <c r="I2332" s="98">
        <v>0</v>
      </c>
      <c r="K2332" s="98">
        <v>60.259</v>
      </c>
      <c r="L2332" s="98">
        <v>4.1284000000000001E-2</v>
      </c>
      <c r="M2332" s="98">
        <v>60.259</v>
      </c>
      <c r="N2332" s="98">
        <v>4.0820000000000002E-2</v>
      </c>
      <c r="O2332" s="99" t="s">
        <v>621</v>
      </c>
    </row>
    <row r="2333" spans="1:15" x14ac:dyDescent="0.25">
      <c r="A2333" s="98" t="s">
        <v>54</v>
      </c>
      <c r="B2333" s="98" t="s">
        <v>7</v>
      </c>
      <c r="C2333" s="98">
        <v>33</v>
      </c>
      <c r="D2333" s="98">
        <v>110.01</v>
      </c>
      <c r="E2333" s="98">
        <v>1</v>
      </c>
      <c r="F2333" s="98" t="s">
        <v>102</v>
      </c>
      <c r="G2333" s="98" t="s">
        <v>48</v>
      </c>
      <c r="H2333" s="98">
        <v>0</v>
      </c>
      <c r="I2333" s="98">
        <v>0</v>
      </c>
      <c r="K2333" s="98">
        <v>580.23</v>
      </c>
      <c r="L2333" s="98">
        <v>4.6533E-3</v>
      </c>
      <c r="M2333" s="98">
        <v>580.23</v>
      </c>
      <c r="N2333" s="98">
        <v>4.4422000000000003E-3</v>
      </c>
      <c r="O2333" s="99" t="s">
        <v>622</v>
      </c>
    </row>
    <row r="2334" spans="1:15" x14ac:dyDescent="0.25">
      <c r="A2334" s="98" t="s">
        <v>54</v>
      </c>
      <c r="B2334" s="98" t="s">
        <v>7</v>
      </c>
      <c r="C2334" s="98">
        <v>110</v>
      </c>
      <c r="D2334" s="98">
        <v>330.01</v>
      </c>
      <c r="E2334" s="98">
        <v>1E-3</v>
      </c>
      <c r="F2334" s="98" t="s">
        <v>102</v>
      </c>
      <c r="G2334" s="98" t="s">
        <v>48</v>
      </c>
      <c r="H2334" s="98">
        <v>0</v>
      </c>
      <c r="I2334" s="98">
        <v>0</v>
      </c>
      <c r="K2334" s="98">
        <v>25</v>
      </c>
      <c r="L2334" s="98">
        <v>0.3</v>
      </c>
      <c r="M2334" s="98">
        <v>24.812000000000001</v>
      </c>
      <c r="N2334" s="98">
        <v>0.29687000000000002</v>
      </c>
      <c r="O2334" s="99" t="s">
        <v>623</v>
      </c>
    </row>
    <row r="2335" spans="1:15" x14ac:dyDescent="0.25">
      <c r="A2335" s="98" t="s">
        <v>54</v>
      </c>
      <c r="B2335" s="98" t="s">
        <v>7</v>
      </c>
      <c r="C2335" s="98">
        <v>110</v>
      </c>
      <c r="D2335" s="98">
        <v>330.01</v>
      </c>
      <c r="E2335" s="98">
        <v>0.01</v>
      </c>
      <c r="F2335" s="98" t="s">
        <v>102</v>
      </c>
      <c r="G2335" s="98" t="s">
        <v>48</v>
      </c>
      <c r="H2335" s="98">
        <v>0</v>
      </c>
      <c r="I2335" s="98">
        <v>0</v>
      </c>
      <c r="K2335" s="98">
        <v>25.358000000000001</v>
      </c>
      <c r="L2335" s="98">
        <v>0.29479</v>
      </c>
      <c r="M2335" s="98">
        <v>25.35</v>
      </c>
      <c r="N2335" s="98">
        <v>0.29441000000000001</v>
      </c>
      <c r="O2335" s="99" t="s">
        <v>624</v>
      </c>
    </row>
    <row r="2336" spans="1:15" x14ac:dyDescent="0.25">
      <c r="A2336" s="98" t="s">
        <v>54</v>
      </c>
      <c r="B2336" s="98" t="s">
        <v>7</v>
      </c>
      <c r="C2336" s="98">
        <v>110</v>
      </c>
      <c r="D2336" s="98">
        <v>330.01</v>
      </c>
      <c r="E2336" s="98">
        <v>0.1</v>
      </c>
      <c r="F2336" s="98" t="s">
        <v>102</v>
      </c>
      <c r="G2336" s="98" t="s">
        <v>48</v>
      </c>
      <c r="H2336" s="98">
        <v>0</v>
      </c>
      <c r="I2336" s="98">
        <v>0</v>
      </c>
      <c r="K2336" s="98">
        <v>61.466000000000001</v>
      </c>
      <c r="L2336" s="98">
        <v>0.18435000000000001</v>
      </c>
      <c r="M2336" s="98">
        <v>61.46</v>
      </c>
      <c r="N2336" s="98">
        <v>0.18304999999999999</v>
      </c>
      <c r="O2336" s="99" t="s">
        <v>625</v>
      </c>
    </row>
    <row r="2337" spans="1:15" x14ac:dyDescent="0.25">
      <c r="A2337" s="98" t="s">
        <v>54</v>
      </c>
      <c r="B2337" s="98" t="s">
        <v>7</v>
      </c>
      <c r="C2337" s="98">
        <v>110</v>
      </c>
      <c r="D2337" s="98">
        <v>330.01</v>
      </c>
      <c r="E2337" s="98">
        <v>1</v>
      </c>
      <c r="F2337" s="98" t="s">
        <v>102</v>
      </c>
      <c r="G2337" s="98" t="s">
        <v>48</v>
      </c>
      <c r="H2337" s="98">
        <v>0</v>
      </c>
      <c r="I2337" s="98">
        <v>0</v>
      </c>
      <c r="K2337" s="98">
        <v>580.25</v>
      </c>
      <c r="L2337" s="98">
        <v>2.4237000000000002E-2</v>
      </c>
      <c r="M2337" s="98">
        <v>580.25</v>
      </c>
      <c r="N2337" s="98">
        <v>2.3449000000000001E-2</v>
      </c>
      <c r="O2337" s="99" t="s">
        <v>626</v>
      </c>
    </row>
    <row r="2338" spans="1:15" x14ac:dyDescent="0.25">
      <c r="A2338" s="98" t="s">
        <v>54</v>
      </c>
      <c r="B2338" s="98" t="s">
        <v>7</v>
      </c>
      <c r="C2338" s="98">
        <v>330</v>
      </c>
      <c r="D2338" s="98">
        <v>1100.01</v>
      </c>
      <c r="E2338" s="98">
        <v>0.01</v>
      </c>
      <c r="F2338" s="98" t="s">
        <v>102</v>
      </c>
      <c r="G2338" s="98" t="s">
        <v>48</v>
      </c>
      <c r="H2338" s="98">
        <v>0</v>
      </c>
      <c r="I2338" s="98">
        <v>0</v>
      </c>
      <c r="K2338" s="98">
        <v>28</v>
      </c>
      <c r="L2338" s="98">
        <v>0.1</v>
      </c>
      <c r="M2338" s="98">
        <v>23.818000000000001</v>
      </c>
      <c r="N2338" s="98">
        <v>0.10366</v>
      </c>
      <c r="O2338" s="99" t="s">
        <v>627</v>
      </c>
    </row>
    <row r="2339" spans="1:15" x14ac:dyDescent="0.25">
      <c r="A2339" s="98" t="s">
        <v>54</v>
      </c>
      <c r="B2339" s="98" t="s">
        <v>7</v>
      </c>
      <c r="C2339" s="98">
        <v>330</v>
      </c>
      <c r="D2339" s="98">
        <v>1100.01</v>
      </c>
      <c r="E2339" s="98">
        <v>0.1</v>
      </c>
      <c r="F2339" s="98" t="s">
        <v>102</v>
      </c>
      <c r="G2339" s="98" t="s">
        <v>48</v>
      </c>
      <c r="H2339" s="98">
        <v>0</v>
      </c>
      <c r="I2339" s="98">
        <v>0</v>
      </c>
      <c r="K2339" s="98">
        <v>52.968000000000004</v>
      </c>
      <c r="L2339" s="98">
        <v>8.7891999999999998E-2</v>
      </c>
      <c r="M2339" s="98">
        <v>52.866999999999997</v>
      </c>
      <c r="N2339" s="98">
        <v>8.7789000000000006E-2</v>
      </c>
      <c r="O2339" s="99" t="s">
        <v>628</v>
      </c>
    </row>
    <row r="2340" spans="1:15" x14ac:dyDescent="0.25">
      <c r="A2340" s="98" t="s">
        <v>54</v>
      </c>
      <c r="B2340" s="98" t="s">
        <v>7</v>
      </c>
      <c r="C2340" s="98">
        <v>330</v>
      </c>
      <c r="D2340" s="98">
        <v>1100.01</v>
      </c>
      <c r="E2340" s="98">
        <v>1</v>
      </c>
      <c r="F2340" s="98" t="s">
        <v>102</v>
      </c>
      <c r="G2340" s="98" t="s">
        <v>48</v>
      </c>
      <c r="H2340" s="98">
        <v>0</v>
      </c>
      <c r="I2340" s="98">
        <v>0</v>
      </c>
      <c r="K2340" s="98">
        <v>577.20000000000005</v>
      </c>
      <c r="L2340" s="98">
        <v>1.7401E-2</v>
      </c>
      <c r="M2340" s="98">
        <v>577.17999999999995</v>
      </c>
      <c r="N2340" s="98">
        <v>1.7221E-2</v>
      </c>
      <c r="O2340" s="99" t="s">
        <v>629</v>
      </c>
    </row>
    <row r="2341" spans="1:15" x14ac:dyDescent="0.25">
      <c r="A2341" s="98" t="s">
        <v>54</v>
      </c>
      <c r="B2341" s="98" t="s">
        <v>7</v>
      </c>
      <c r="C2341" s="98">
        <v>330</v>
      </c>
      <c r="D2341" s="98">
        <v>1100.01</v>
      </c>
      <c r="E2341" s="98">
        <v>10</v>
      </c>
      <c r="F2341" s="98" t="s">
        <v>102</v>
      </c>
      <c r="G2341" s="98" t="s">
        <v>48</v>
      </c>
      <c r="H2341" s="98">
        <v>0</v>
      </c>
      <c r="I2341" s="98">
        <v>0</v>
      </c>
      <c r="K2341" s="98">
        <v>5799.7</v>
      </c>
      <c r="L2341" s="98">
        <v>1.8247999999999999E-3</v>
      </c>
      <c r="M2341" s="98">
        <v>5799.7</v>
      </c>
      <c r="N2341" s="98">
        <v>1.75E-3</v>
      </c>
      <c r="O2341" s="99" t="s">
        <v>630</v>
      </c>
    </row>
    <row r="2342" spans="1:15" x14ac:dyDescent="0.25">
      <c r="A2342" s="98" t="s">
        <v>54</v>
      </c>
      <c r="B2342" s="98" t="s">
        <v>7</v>
      </c>
      <c r="C2342" s="98">
        <v>1100</v>
      </c>
      <c r="D2342" s="98">
        <v>3300.1</v>
      </c>
      <c r="E2342" s="98">
        <v>0.01</v>
      </c>
      <c r="F2342" s="98" t="s">
        <v>102</v>
      </c>
      <c r="G2342" s="98" t="s">
        <v>49</v>
      </c>
      <c r="H2342" s="98">
        <v>0</v>
      </c>
      <c r="I2342" s="98">
        <v>0</v>
      </c>
      <c r="K2342" s="98">
        <v>0.25</v>
      </c>
      <c r="L2342" s="98">
        <v>1E-4</v>
      </c>
      <c r="M2342" s="98">
        <v>0.23096</v>
      </c>
      <c r="N2342" s="98">
        <v>1.0411E-4</v>
      </c>
      <c r="O2342" s="99" t="s">
        <v>631</v>
      </c>
    </row>
    <row r="2343" spans="1:15" x14ac:dyDescent="0.25">
      <c r="A2343" s="98" t="s">
        <v>54</v>
      </c>
      <c r="B2343" s="98" t="s">
        <v>7</v>
      </c>
      <c r="C2343" s="98">
        <v>1100</v>
      </c>
      <c r="D2343" s="98">
        <v>3300.1</v>
      </c>
      <c r="E2343" s="98">
        <v>0.1</v>
      </c>
      <c r="F2343" s="98" t="s">
        <v>102</v>
      </c>
      <c r="G2343" s="98" t="s">
        <v>49</v>
      </c>
      <c r="H2343" s="98">
        <v>0</v>
      </c>
      <c r="I2343" s="98">
        <v>0</v>
      </c>
      <c r="K2343" s="98">
        <v>0.25</v>
      </c>
      <c r="L2343" s="98">
        <v>1.0329E-4</v>
      </c>
      <c r="M2343" s="98">
        <v>0.23666000000000001</v>
      </c>
      <c r="N2343" s="98">
        <v>1.0325E-4</v>
      </c>
      <c r="O2343" s="99" t="s">
        <v>632</v>
      </c>
    </row>
    <row r="2344" spans="1:15" x14ac:dyDescent="0.25">
      <c r="A2344" s="98" t="s">
        <v>54</v>
      </c>
      <c r="B2344" s="98" t="s">
        <v>7</v>
      </c>
      <c r="C2344" s="98">
        <v>1100</v>
      </c>
      <c r="D2344" s="98">
        <v>3300.1</v>
      </c>
      <c r="E2344" s="98">
        <v>1</v>
      </c>
      <c r="F2344" s="98" t="s">
        <v>102</v>
      </c>
      <c r="G2344" s="98" t="s">
        <v>49</v>
      </c>
      <c r="H2344" s="98">
        <v>0</v>
      </c>
      <c r="I2344" s="98">
        <v>0</v>
      </c>
      <c r="K2344" s="98">
        <v>0.60487000000000002</v>
      </c>
      <c r="L2344" s="98">
        <v>6.4429000000000003E-5</v>
      </c>
      <c r="M2344" s="98">
        <v>0.60441</v>
      </c>
      <c r="N2344" s="98">
        <v>6.4220999999999994E-5</v>
      </c>
      <c r="O2344" s="99" t="s">
        <v>633</v>
      </c>
    </row>
    <row r="2345" spans="1:15" x14ac:dyDescent="0.25">
      <c r="A2345" s="98" t="s">
        <v>54</v>
      </c>
      <c r="B2345" s="98" t="s">
        <v>7</v>
      </c>
      <c r="C2345" s="98">
        <v>1100</v>
      </c>
      <c r="D2345" s="98">
        <v>3300.1</v>
      </c>
      <c r="E2345" s="98">
        <v>10</v>
      </c>
      <c r="F2345" s="98" t="s">
        <v>102</v>
      </c>
      <c r="G2345" s="98" t="s">
        <v>49</v>
      </c>
      <c r="H2345" s="98">
        <v>0</v>
      </c>
      <c r="I2345" s="98">
        <v>0</v>
      </c>
      <c r="K2345" s="98">
        <v>5.8014000000000001</v>
      </c>
      <c r="L2345" s="98">
        <v>8.3760999999999993E-6</v>
      </c>
      <c r="M2345" s="98">
        <v>5.8011999999999997</v>
      </c>
      <c r="N2345" s="98">
        <v>8.2293999999999995E-6</v>
      </c>
      <c r="O2345" s="99" t="s">
        <v>634</v>
      </c>
    </row>
    <row r="2346" spans="1:15" x14ac:dyDescent="0.25">
      <c r="A2346" s="98" t="s">
        <v>54</v>
      </c>
      <c r="B2346" s="98" t="s">
        <v>7</v>
      </c>
      <c r="C2346" s="98">
        <v>3300</v>
      </c>
      <c r="D2346" s="98">
        <v>11001</v>
      </c>
      <c r="E2346" s="98">
        <v>0.1</v>
      </c>
      <c r="F2346" s="98" t="s">
        <v>102</v>
      </c>
      <c r="G2346" s="98" t="s">
        <v>49</v>
      </c>
      <c r="H2346" s="98">
        <v>0</v>
      </c>
      <c r="I2346" s="98">
        <v>0</v>
      </c>
      <c r="K2346" s="98">
        <v>0.17</v>
      </c>
      <c r="L2346" s="98">
        <v>1E-4</v>
      </c>
      <c r="M2346" s="98">
        <v>0.12474</v>
      </c>
      <c r="N2346" s="98">
        <v>1.0353000000000001E-4</v>
      </c>
      <c r="O2346" s="99" t="s">
        <v>635</v>
      </c>
    </row>
    <row r="2347" spans="1:15" x14ac:dyDescent="0.25">
      <c r="A2347" s="98" t="s">
        <v>54</v>
      </c>
      <c r="B2347" s="98" t="s">
        <v>7</v>
      </c>
      <c r="C2347" s="98">
        <v>3300</v>
      </c>
      <c r="D2347" s="98">
        <v>11001</v>
      </c>
      <c r="E2347" s="98">
        <v>1</v>
      </c>
      <c r="F2347" s="98" t="s">
        <v>102</v>
      </c>
      <c r="G2347" s="98" t="s">
        <v>49</v>
      </c>
      <c r="H2347" s="98">
        <v>0</v>
      </c>
      <c r="I2347" s="98">
        <v>0</v>
      </c>
      <c r="K2347" s="98">
        <v>0.46536</v>
      </c>
      <c r="L2347" s="98">
        <v>8.4151000000000001E-5</v>
      </c>
      <c r="M2347" s="98">
        <v>0.46464</v>
      </c>
      <c r="N2347" s="98">
        <v>8.4043999999999997E-5</v>
      </c>
      <c r="O2347" s="99" t="s">
        <v>636</v>
      </c>
    </row>
    <row r="2348" spans="1:15" x14ac:dyDescent="0.25">
      <c r="A2348" s="98" t="s">
        <v>54</v>
      </c>
      <c r="B2348" s="98" t="s">
        <v>7</v>
      </c>
      <c r="C2348" s="98">
        <v>3300</v>
      </c>
      <c r="D2348" s="98">
        <v>11001</v>
      </c>
      <c r="E2348" s="98">
        <v>10</v>
      </c>
      <c r="F2348" s="98" t="s">
        <v>102</v>
      </c>
      <c r="G2348" s="98" t="s">
        <v>49</v>
      </c>
      <c r="H2348" s="98">
        <v>0</v>
      </c>
      <c r="I2348" s="98">
        <v>0</v>
      </c>
      <c r="K2348" s="98">
        <v>5.7682000000000002</v>
      </c>
      <c r="L2348" s="98">
        <v>1.5398000000000001E-5</v>
      </c>
      <c r="M2348" s="98">
        <v>5.7682000000000002</v>
      </c>
      <c r="N2348" s="98">
        <v>1.5238E-5</v>
      </c>
      <c r="O2348" s="99" t="s">
        <v>637</v>
      </c>
    </row>
    <row r="2349" spans="1:15" x14ac:dyDescent="0.25">
      <c r="A2349" s="98" t="s">
        <v>54</v>
      </c>
      <c r="B2349" s="98" t="s">
        <v>7</v>
      </c>
      <c r="C2349" s="98">
        <v>3300</v>
      </c>
      <c r="D2349" s="98">
        <v>11001</v>
      </c>
      <c r="E2349" s="98">
        <v>100</v>
      </c>
      <c r="F2349" s="98" t="s">
        <v>102</v>
      </c>
      <c r="G2349" s="98" t="s">
        <v>49</v>
      </c>
      <c r="H2349" s="98">
        <v>0</v>
      </c>
      <c r="I2349" s="98">
        <v>0</v>
      </c>
      <c r="K2349" s="98">
        <v>57.997</v>
      </c>
      <c r="L2349" s="98">
        <v>1.6098E-6</v>
      </c>
      <c r="M2349" s="98">
        <v>57.997</v>
      </c>
      <c r="N2349" s="98">
        <v>1.5437999999999999E-6</v>
      </c>
      <c r="O2349" s="99" t="s">
        <v>638</v>
      </c>
    </row>
    <row r="2350" spans="1:15" x14ac:dyDescent="0.25">
      <c r="A2350" s="98" t="s">
        <v>54</v>
      </c>
      <c r="B2350" s="98" t="s">
        <v>7</v>
      </c>
      <c r="C2350" s="98">
        <v>11000</v>
      </c>
      <c r="D2350" s="98">
        <v>33001</v>
      </c>
      <c r="E2350" s="98">
        <v>0.1</v>
      </c>
      <c r="F2350" s="98" t="s">
        <v>102</v>
      </c>
      <c r="G2350" s="98" t="s">
        <v>49</v>
      </c>
      <c r="H2350" s="98">
        <v>0</v>
      </c>
      <c r="I2350" s="98">
        <v>0</v>
      </c>
      <c r="K2350" s="98">
        <v>1.3</v>
      </c>
      <c r="L2350" s="98">
        <v>1E-4</v>
      </c>
      <c r="M2350" s="98">
        <v>1.1560999999999999</v>
      </c>
      <c r="N2350" s="98">
        <v>1.0412E-4</v>
      </c>
      <c r="O2350" s="99" t="s">
        <v>639</v>
      </c>
    </row>
    <row r="2351" spans="1:15" x14ac:dyDescent="0.25">
      <c r="A2351" s="98" t="s">
        <v>54</v>
      </c>
      <c r="B2351" s="98" t="s">
        <v>7</v>
      </c>
      <c r="C2351" s="98">
        <v>11000</v>
      </c>
      <c r="D2351" s="98">
        <v>33001</v>
      </c>
      <c r="E2351" s="98">
        <v>1</v>
      </c>
      <c r="F2351" s="98" t="s">
        <v>102</v>
      </c>
      <c r="G2351" s="98" t="s">
        <v>49</v>
      </c>
      <c r="H2351" s="98">
        <v>0</v>
      </c>
      <c r="I2351" s="98">
        <v>0</v>
      </c>
      <c r="K2351" s="98">
        <v>1.3</v>
      </c>
      <c r="L2351" s="98">
        <v>1.0253E-4</v>
      </c>
      <c r="M2351" s="98">
        <v>1.2442</v>
      </c>
      <c r="N2351" s="98">
        <v>1.0252E-4</v>
      </c>
      <c r="O2351" s="99" t="s">
        <v>640</v>
      </c>
    </row>
    <row r="2352" spans="1:15" x14ac:dyDescent="0.25">
      <c r="A2352" s="98" t="s">
        <v>54</v>
      </c>
      <c r="B2352" s="98" t="s">
        <v>7</v>
      </c>
      <c r="C2352" s="98">
        <v>11000</v>
      </c>
      <c r="D2352" s="98">
        <v>33001</v>
      </c>
      <c r="E2352" s="98">
        <v>10</v>
      </c>
      <c r="F2352" s="98" t="s">
        <v>102</v>
      </c>
      <c r="G2352" s="98" t="s">
        <v>49</v>
      </c>
      <c r="H2352" s="98">
        <v>0</v>
      </c>
      <c r="I2352" s="98">
        <v>0</v>
      </c>
      <c r="K2352" s="98">
        <v>5.6614000000000004</v>
      </c>
      <c r="L2352" s="98">
        <v>5.2695000000000003E-5</v>
      </c>
      <c r="M2352" s="98">
        <v>5.6604999999999999</v>
      </c>
      <c r="N2352" s="98">
        <v>5.2621000000000003E-5</v>
      </c>
      <c r="O2352" s="99" t="s">
        <v>641</v>
      </c>
    </row>
    <row r="2353" spans="1:15" x14ac:dyDescent="0.25">
      <c r="A2353" s="98" t="s">
        <v>54</v>
      </c>
      <c r="B2353" s="98" t="s">
        <v>7</v>
      </c>
      <c r="C2353" s="98">
        <v>11000</v>
      </c>
      <c r="D2353" s="98">
        <v>33001</v>
      </c>
      <c r="E2353" s="98">
        <v>100</v>
      </c>
      <c r="F2353" s="98" t="s">
        <v>102</v>
      </c>
      <c r="G2353" s="98" t="s">
        <v>49</v>
      </c>
      <c r="H2353" s="98">
        <v>0</v>
      </c>
      <c r="I2353" s="98">
        <v>0</v>
      </c>
      <c r="K2353" s="98">
        <v>57.978000000000002</v>
      </c>
      <c r="L2353" s="98">
        <v>6.2175000000000002E-6</v>
      </c>
      <c r="M2353" s="98">
        <v>57.978000000000002</v>
      </c>
      <c r="N2353" s="98">
        <v>6.1738000000000001E-6</v>
      </c>
      <c r="O2353" s="99" t="s">
        <v>642</v>
      </c>
    </row>
    <row r="2354" spans="1:15" x14ac:dyDescent="0.25">
      <c r="A2354" s="98" t="s">
        <v>54</v>
      </c>
      <c r="B2354" s="98" t="s">
        <v>7</v>
      </c>
      <c r="C2354" s="98">
        <v>33000</v>
      </c>
      <c r="D2354" s="98">
        <v>110010</v>
      </c>
      <c r="E2354" s="98">
        <v>1</v>
      </c>
      <c r="F2354" s="98" t="s">
        <v>102</v>
      </c>
      <c r="G2354" s="98" t="s">
        <v>49</v>
      </c>
      <c r="H2354" s="98">
        <v>0</v>
      </c>
      <c r="I2354" s="98">
        <v>0</v>
      </c>
      <c r="K2354" s="98">
        <v>1.3</v>
      </c>
      <c r="L2354" s="98">
        <v>1.2999999999999999E-4</v>
      </c>
      <c r="M2354" s="98">
        <v>1.2346999999999999</v>
      </c>
      <c r="N2354" s="98">
        <v>1.2664999999999999E-4</v>
      </c>
      <c r="O2354" s="99" t="s">
        <v>643</v>
      </c>
    </row>
    <row r="2355" spans="1:15" x14ac:dyDescent="0.25">
      <c r="A2355" s="98" t="s">
        <v>54</v>
      </c>
      <c r="B2355" s="98" t="s">
        <v>7</v>
      </c>
      <c r="C2355" s="98">
        <v>33000</v>
      </c>
      <c r="D2355" s="98">
        <v>110010</v>
      </c>
      <c r="E2355" s="98">
        <v>10</v>
      </c>
      <c r="F2355" s="98" t="s">
        <v>102</v>
      </c>
      <c r="G2355" s="98" t="s">
        <v>49</v>
      </c>
      <c r="H2355" s="98">
        <v>0</v>
      </c>
      <c r="I2355" s="98">
        <v>0</v>
      </c>
      <c r="K2355" s="98">
        <v>4.3529999999999998</v>
      </c>
      <c r="L2355" s="98">
        <v>1.0805E-4</v>
      </c>
      <c r="M2355" s="98">
        <v>4.3501000000000003</v>
      </c>
      <c r="N2355" s="98">
        <v>1.0797E-4</v>
      </c>
      <c r="O2355" s="99" t="s">
        <v>644</v>
      </c>
    </row>
    <row r="2356" spans="1:15" x14ac:dyDescent="0.25">
      <c r="A2356" s="98" t="s">
        <v>54</v>
      </c>
      <c r="B2356" s="98" t="s">
        <v>7</v>
      </c>
      <c r="C2356" s="98">
        <v>33000</v>
      </c>
      <c r="D2356" s="98">
        <v>110010</v>
      </c>
      <c r="E2356" s="98">
        <v>100</v>
      </c>
      <c r="F2356" s="98" t="s">
        <v>102</v>
      </c>
      <c r="G2356" s="98" t="s">
        <v>49</v>
      </c>
      <c r="H2356" s="98">
        <v>0</v>
      </c>
      <c r="I2356" s="98">
        <v>0</v>
      </c>
      <c r="K2356" s="98">
        <v>57.521000000000001</v>
      </c>
      <c r="L2356" s="98">
        <v>2.2172999999999999E-5</v>
      </c>
      <c r="M2356" s="98">
        <v>57.521999999999998</v>
      </c>
      <c r="N2356" s="98">
        <v>2.2050999999999999E-5</v>
      </c>
      <c r="O2356" s="99" t="s">
        <v>645</v>
      </c>
    </row>
    <row r="2357" spans="1:15" x14ac:dyDescent="0.25">
      <c r="A2357" s="98" t="s">
        <v>54</v>
      </c>
      <c r="B2357" s="98" t="s">
        <v>7</v>
      </c>
      <c r="C2357" s="98">
        <v>33000</v>
      </c>
      <c r="D2357" s="98">
        <v>110010</v>
      </c>
      <c r="E2357" s="98">
        <v>1000</v>
      </c>
      <c r="F2357" s="98" t="s">
        <v>102</v>
      </c>
      <c r="G2357" s="98" t="s">
        <v>49</v>
      </c>
      <c r="H2357" s="98">
        <v>0</v>
      </c>
      <c r="I2357" s="98">
        <v>0</v>
      </c>
      <c r="K2357" s="98">
        <v>579.95000000000005</v>
      </c>
      <c r="L2357" s="98">
        <v>2.2971E-6</v>
      </c>
      <c r="M2357" s="98">
        <v>579.95000000000005</v>
      </c>
      <c r="N2357" s="98">
        <v>2.2465E-6</v>
      </c>
      <c r="O2357" s="99" t="s">
        <v>646</v>
      </c>
    </row>
    <row r="2358" spans="1:15" x14ac:dyDescent="0.25">
      <c r="A2358" s="98" t="s">
        <v>54</v>
      </c>
      <c r="B2358" s="98" t="s">
        <v>7</v>
      </c>
      <c r="C2358" s="98">
        <v>110000</v>
      </c>
      <c r="D2358" s="98">
        <v>330010</v>
      </c>
      <c r="E2358" s="98">
        <v>1</v>
      </c>
      <c r="F2358" s="98" t="s">
        <v>102</v>
      </c>
      <c r="G2358" s="98" t="s">
        <v>49</v>
      </c>
      <c r="H2358" s="98">
        <v>0</v>
      </c>
      <c r="I2358" s="98">
        <v>0</v>
      </c>
      <c r="K2358" s="98">
        <v>12</v>
      </c>
      <c r="L2358" s="98">
        <v>1.3999999999999999E-4</v>
      </c>
      <c r="M2358" s="98">
        <v>11.565</v>
      </c>
      <c r="N2358" s="98">
        <v>1.393E-4</v>
      </c>
      <c r="O2358" s="99" t="s">
        <v>647</v>
      </c>
    </row>
    <row r="2359" spans="1:15" x14ac:dyDescent="0.25">
      <c r="A2359" s="98" t="s">
        <v>54</v>
      </c>
      <c r="B2359" s="98" t="s">
        <v>7</v>
      </c>
      <c r="C2359" s="98">
        <v>110000</v>
      </c>
      <c r="D2359" s="98">
        <v>330010</v>
      </c>
      <c r="E2359" s="98">
        <v>10</v>
      </c>
      <c r="F2359" s="98" t="s">
        <v>102</v>
      </c>
      <c r="G2359" s="98" t="s">
        <v>49</v>
      </c>
      <c r="H2359" s="98">
        <v>0</v>
      </c>
      <c r="I2359" s="98">
        <v>0</v>
      </c>
      <c r="K2359" s="98">
        <v>12.289</v>
      </c>
      <c r="L2359" s="98">
        <v>1.3783999999999999E-4</v>
      </c>
      <c r="M2359" s="98">
        <v>12.284000000000001</v>
      </c>
      <c r="N2359" s="98">
        <v>1.3782000000000001E-4</v>
      </c>
      <c r="O2359" s="99" t="s">
        <v>648</v>
      </c>
    </row>
    <row r="2360" spans="1:15" x14ac:dyDescent="0.25">
      <c r="A2360" s="98" t="s">
        <v>54</v>
      </c>
      <c r="B2360" s="98" t="s">
        <v>7</v>
      </c>
      <c r="C2360" s="98">
        <v>110000</v>
      </c>
      <c r="D2360" s="98">
        <v>330010</v>
      </c>
      <c r="E2360" s="98">
        <v>100</v>
      </c>
      <c r="F2360" s="98" t="s">
        <v>102</v>
      </c>
      <c r="G2360" s="98" t="s">
        <v>49</v>
      </c>
      <c r="H2360" s="98">
        <v>0</v>
      </c>
      <c r="I2360" s="98">
        <v>0</v>
      </c>
      <c r="K2360" s="98">
        <v>55.026000000000003</v>
      </c>
      <c r="L2360" s="98">
        <v>8.0747999999999993E-5</v>
      </c>
      <c r="M2360" s="98">
        <v>55.024000000000001</v>
      </c>
      <c r="N2360" s="98">
        <v>8.0667000000000005E-5</v>
      </c>
      <c r="O2360" s="99" t="s">
        <v>649</v>
      </c>
    </row>
    <row r="2361" spans="1:15" x14ac:dyDescent="0.25">
      <c r="A2361" s="98" t="s">
        <v>54</v>
      </c>
      <c r="B2361" s="98" t="s">
        <v>7</v>
      </c>
      <c r="C2361" s="98">
        <v>110000</v>
      </c>
      <c r="D2361" s="98">
        <v>330010</v>
      </c>
      <c r="E2361" s="98">
        <v>1000</v>
      </c>
      <c r="F2361" s="98" t="s">
        <v>102</v>
      </c>
      <c r="G2361" s="98" t="s">
        <v>49</v>
      </c>
      <c r="H2361" s="98">
        <v>0</v>
      </c>
      <c r="I2361" s="98">
        <v>0</v>
      </c>
      <c r="K2361" s="98">
        <v>579.51</v>
      </c>
      <c r="L2361" s="98">
        <v>1.0142E-5</v>
      </c>
      <c r="M2361" s="98">
        <v>579.51</v>
      </c>
      <c r="N2361" s="98">
        <v>1.0091E-5</v>
      </c>
      <c r="O2361" s="99" t="s">
        <v>650</v>
      </c>
    </row>
    <row r="2362" spans="1:15" x14ac:dyDescent="0.25">
      <c r="A2362" s="98" t="s">
        <v>54</v>
      </c>
      <c r="B2362" s="98" t="s">
        <v>7</v>
      </c>
      <c r="C2362" s="98">
        <v>330000</v>
      </c>
      <c r="D2362" s="98">
        <v>1100010</v>
      </c>
      <c r="E2362" s="98">
        <v>10</v>
      </c>
      <c r="F2362" s="98" t="s">
        <v>102</v>
      </c>
      <c r="G2362" s="98" t="s">
        <v>49</v>
      </c>
      <c r="H2362" s="98">
        <v>0</v>
      </c>
      <c r="I2362" s="98">
        <v>0</v>
      </c>
      <c r="K2362" s="98">
        <v>16</v>
      </c>
      <c r="L2362" s="98">
        <v>1.7000000000000001E-4</v>
      </c>
      <c r="M2362" s="98">
        <v>12.340999999999999</v>
      </c>
      <c r="N2362" s="98">
        <v>1.7274E-4</v>
      </c>
      <c r="O2362" s="99" t="s">
        <v>651</v>
      </c>
    </row>
    <row r="2363" spans="1:15" x14ac:dyDescent="0.25">
      <c r="A2363" s="98" t="s">
        <v>54</v>
      </c>
      <c r="B2363" s="98" t="s">
        <v>7</v>
      </c>
      <c r="C2363" s="98">
        <v>330000</v>
      </c>
      <c r="D2363" s="98">
        <v>1100010</v>
      </c>
      <c r="E2363" s="98">
        <v>100</v>
      </c>
      <c r="F2363" s="98" t="s">
        <v>102</v>
      </c>
      <c r="G2363" s="98" t="s">
        <v>49</v>
      </c>
      <c r="H2363" s="98">
        <v>0</v>
      </c>
      <c r="I2363" s="98">
        <v>0</v>
      </c>
      <c r="K2363" s="98">
        <v>38.744</v>
      </c>
      <c r="L2363" s="98">
        <v>1.5613000000000001E-4</v>
      </c>
      <c r="M2363" s="98">
        <v>38.701999999999998</v>
      </c>
      <c r="N2363" s="98">
        <v>1.5610999999999999E-4</v>
      </c>
      <c r="O2363" s="99" t="s">
        <v>652</v>
      </c>
    </row>
    <row r="2364" spans="1:15" x14ac:dyDescent="0.25">
      <c r="A2364" s="98" t="s">
        <v>54</v>
      </c>
      <c r="B2364" s="98" t="s">
        <v>7</v>
      </c>
      <c r="C2364" s="98">
        <v>330000</v>
      </c>
      <c r="D2364" s="98">
        <v>1100010</v>
      </c>
      <c r="E2364" s="98">
        <v>1000</v>
      </c>
      <c r="F2364" s="98" t="s">
        <v>102</v>
      </c>
      <c r="G2364" s="98" t="s">
        <v>49</v>
      </c>
      <c r="H2364" s="98">
        <v>0</v>
      </c>
      <c r="I2364" s="98">
        <v>0</v>
      </c>
      <c r="K2364" s="98">
        <v>571.17999999999995</v>
      </c>
      <c r="L2364" s="98">
        <v>3.9240999999999999E-5</v>
      </c>
      <c r="M2364" s="98">
        <v>571.17999999999995</v>
      </c>
      <c r="N2364" s="98">
        <v>3.9165000000000002E-5</v>
      </c>
      <c r="O2364" s="99" t="s">
        <v>653</v>
      </c>
    </row>
    <row r="2365" spans="1:15" x14ac:dyDescent="0.25">
      <c r="A2365" s="98" t="s">
        <v>54</v>
      </c>
      <c r="B2365" s="98" t="s">
        <v>7</v>
      </c>
      <c r="C2365" s="98">
        <v>330000</v>
      </c>
      <c r="D2365" s="98">
        <v>1100010</v>
      </c>
      <c r="E2365" s="98">
        <v>10000</v>
      </c>
      <c r="F2365" s="98" t="s">
        <v>102</v>
      </c>
      <c r="G2365" s="98" t="s">
        <v>49</v>
      </c>
      <c r="H2365" s="98">
        <v>0</v>
      </c>
      <c r="I2365" s="98">
        <v>0</v>
      </c>
      <c r="K2365" s="98">
        <v>5799.1</v>
      </c>
      <c r="L2365" s="98">
        <v>4.0775999999999997E-6</v>
      </c>
      <c r="M2365" s="98">
        <v>5799.1</v>
      </c>
      <c r="N2365" s="98">
        <v>4.0446000000000002E-6</v>
      </c>
      <c r="O2365" s="99" t="s">
        <v>654</v>
      </c>
    </row>
    <row r="2366" spans="1:15" x14ac:dyDescent="0.25">
      <c r="A2366" s="98" t="s">
        <v>54</v>
      </c>
      <c r="B2366" s="98" t="s">
        <v>7</v>
      </c>
      <c r="C2366" s="98">
        <v>1100000</v>
      </c>
      <c r="D2366" s="98">
        <v>3301000</v>
      </c>
      <c r="E2366" s="98">
        <v>10</v>
      </c>
      <c r="F2366" s="98" t="s">
        <v>102</v>
      </c>
      <c r="G2366" s="98" t="s">
        <v>50</v>
      </c>
      <c r="H2366" s="98">
        <v>0</v>
      </c>
      <c r="I2366" s="98">
        <v>0</v>
      </c>
      <c r="K2366" s="98">
        <v>0.19</v>
      </c>
      <c r="L2366" s="98">
        <v>1.6999999999999999E-7</v>
      </c>
      <c r="M2366" s="98">
        <v>0.17338999999999999</v>
      </c>
      <c r="N2366" s="98">
        <v>1.7317999999999999E-7</v>
      </c>
      <c r="O2366" s="99" t="s">
        <v>655</v>
      </c>
    </row>
    <row r="2367" spans="1:15" x14ac:dyDescent="0.25">
      <c r="A2367" s="98" t="s">
        <v>54</v>
      </c>
      <c r="B2367" s="98" t="s">
        <v>7</v>
      </c>
      <c r="C2367" s="98">
        <v>1100000</v>
      </c>
      <c r="D2367" s="98">
        <v>3301000</v>
      </c>
      <c r="E2367" s="98">
        <v>100</v>
      </c>
      <c r="F2367" s="98" t="s">
        <v>102</v>
      </c>
      <c r="G2367" s="98" t="s">
        <v>50</v>
      </c>
      <c r="H2367" s="98">
        <v>0</v>
      </c>
      <c r="I2367" s="98">
        <v>0</v>
      </c>
      <c r="K2367" s="98">
        <v>0.19</v>
      </c>
      <c r="L2367" s="98">
        <v>1.7214999999999999E-7</v>
      </c>
      <c r="M2367" s="98">
        <v>0.17910000000000001</v>
      </c>
      <c r="N2367" s="98">
        <v>1.7212999999999999E-7</v>
      </c>
      <c r="O2367" s="99" t="s">
        <v>656</v>
      </c>
    </row>
    <row r="2368" spans="1:15" x14ac:dyDescent="0.25">
      <c r="A2368" s="98" t="s">
        <v>54</v>
      </c>
      <c r="B2368" s="98" t="s">
        <v>7</v>
      </c>
      <c r="C2368" s="98">
        <v>1100000</v>
      </c>
      <c r="D2368" s="98">
        <v>3301000</v>
      </c>
      <c r="E2368" s="98">
        <v>1000</v>
      </c>
      <c r="F2368" s="98" t="s">
        <v>102</v>
      </c>
      <c r="G2368" s="98" t="s">
        <v>50</v>
      </c>
      <c r="H2368" s="98">
        <v>0</v>
      </c>
      <c r="I2368" s="98">
        <v>0</v>
      </c>
      <c r="K2368" s="98">
        <v>0.55515999999999999</v>
      </c>
      <c r="L2368" s="98">
        <v>1.1804E-7</v>
      </c>
      <c r="M2368" s="98">
        <v>0.55501</v>
      </c>
      <c r="N2368" s="98">
        <v>1.1789000000000001E-7</v>
      </c>
      <c r="O2368" s="99" t="s">
        <v>657</v>
      </c>
    </row>
    <row r="2369" spans="1:15" x14ac:dyDescent="0.25">
      <c r="A2369" s="98" t="s">
        <v>54</v>
      </c>
      <c r="B2369" s="98" t="s">
        <v>7</v>
      </c>
      <c r="C2369" s="98">
        <v>1100000</v>
      </c>
      <c r="D2369" s="98">
        <v>3301000</v>
      </c>
      <c r="E2369" s="98">
        <v>10000</v>
      </c>
      <c r="F2369" s="98" t="s">
        <v>102</v>
      </c>
      <c r="G2369" s="98" t="s">
        <v>50</v>
      </c>
      <c r="H2369" s="98">
        <v>0</v>
      </c>
      <c r="I2369" s="98">
        <v>0</v>
      </c>
      <c r="K2369" s="98">
        <v>5.7933000000000003</v>
      </c>
      <c r="L2369" s="98">
        <v>1.6590000000000002E-8</v>
      </c>
      <c r="M2369" s="98">
        <v>5.7933000000000003</v>
      </c>
      <c r="N2369" s="98">
        <v>1.6469E-8</v>
      </c>
      <c r="O2369" s="99" t="s">
        <v>658</v>
      </c>
    </row>
    <row r="2370" spans="1:15" x14ac:dyDescent="0.25">
      <c r="A2370" s="98" t="s">
        <v>54</v>
      </c>
      <c r="B2370" s="98" t="s">
        <v>7</v>
      </c>
      <c r="C2370" s="98">
        <v>3300000</v>
      </c>
      <c r="D2370" s="98">
        <v>11001000</v>
      </c>
      <c r="E2370" s="98">
        <v>100</v>
      </c>
      <c r="F2370" s="98" t="s">
        <v>102</v>
      </c>
      <c r="G2370" s="98" t="s">
        <v>50</v>
      </c>
      <c r="H2370" s="98">
        <v>0</v>
      </c>
      <c r="I2370" s="98">
        <v>0</v>
      </c>
      <c r="K2370" s="98">
        <v>0.33</v>
      </c>
      <c r="L2370" s="98">
        <v>6.8999999999999996E-7</v>
      </c>
      <c r="M2370" s="98">
        <v>0.29032999999999998</v>
      </c>
      <c r="N2370" s="98">
        <v>6.9271999999999997E-7</v>
      </c>
      <c r="O2370" s="99" t="s">
        <v>659</v>
      </c>
    </row>
    <row r="2371" spans="1:15" x14ac:dyDescent="0.25">
      <c r="A2371" s="98" t="s">
        <v>54</v>
      </c>
      <c r="B2371" s="98" t="s">
        <v>7</v>
      </c>
      <c r="C2371" s="98">
        <v>3300000</v>
      </c>
      <c r="D2371" s="98">
        <v>11001000</v>
      </c>
      <c r="E2371" s="98">
        <v>1000</v>
      </c>
      <c r="F2371" s="98" t="s">
        <v>102</v>
      </c>
      <c r="G2371" s="98" t="s">
        <v>50</v>
      </c>
      <c r="H2371" s="98">
        <v>0</v>
      </c>
      <c r="I2371" s="98">
        <v>0</v>
      </c>
      <c r="K2371" s="98">
        <v>0.37289</v>
      </c>
      <c r="L2371" s="98">
        <v>6.8714999999999996E-7</v>
      </c>
      <c r="M2371" s="98">
        <v>0.37252000000000002</v>
      </c>
      <c r="N2371" s="98">
        <v>6.8716000000000002E-7</v>
      </c>
      <c r="O2371" s="99" t="s">
        <v>660</v>
      </c>
    </row>
    <row r="2372" spans="1:15" x14ac:dyDescent="0.25">
      <c r="A2372" s="98" t="s">
        <v>54</v>
      </c>
      <c r="B2372" s="98" t="s">
        <v>7</v>
      </c>
      <c r="C2372" s="98">
        <v>3300000</v>
      </c>
      <c r="D2372" s="98">
        <v>11001000</v>
      </c>
      <c r="E2372" s="98">
        <v>10000</v>
      </c>
      <c r="F2372" s="98" t="s">
        <v>102</v>
      </c>
      <c r="G2372" s="98" t="s">
        <v>50</v>
      </c>
      <c r="H2372" s="98">
        <v>0</v>
      </c>
      <c r="I2372" s="98">
        <v>0</v>
      </c>
      <c r="K2372" s="98">
        <v>4.8625999999999996</v>
      </c>
      <c r="L2372" s="98">
        <v>4.4971999999999998E-7</v>
      </c>
      <c r="M2372" s="98">
        <v>4.8623000000000003</v>
      </c>
      <c r="N2372" s="98">
        <v>4.4966000000000002E-7</v>
      </c>
      <c r="O2372" s="99" t="s">
        <v>661</v>
      </c>
    </row>
    <row r="2373" spans="1:15" x14ac:dyDescent="0.25">
      <c r="A2373" s="98" t="s">
        <v>54</v>
      </c>
      <c r="B2373" s="98" t="s">
        <v>7</v>
      </c>
      <c r="C2373" s="98">
        <v>3300000</v>
      </c>
      <c r="D2373" s="98">
        <v>11001000</v>
      </c>
      <c r="E2373" s="98">
        <v>100000</v>
      </c>
      <c r="F2373" s="98" t="s">
        <v>102</v>
      </c>
      <c r="G2373" s="98" t="s">
        <v>50</v>
      </c>
      <c r="H2373" s="98">
        <v>0</v>
      </c>
      <c r="I2373" s="98">
        <v>0</v>
      </c>
      <c r="K2373" s="98">
        <v>57.851999999999997</v>
      </c>
      <c r="L2373" s="98">
        <v>6.2356000000000006E-8</v>
      </c>
      <c r="M2373" s="98">
        <v>57.851999999999997</v>
      </c>
      <c r="N2373" s="98">
        <v>6.2304E-8</v>
      </c>
      <c r="O2373" s="99" t="s">
        <v>662</v>
      </c>
    </row>
    <row r="2374" spans="1:15" x14ac:dyDescent="0.25">
      <c r="A2374" s="98" t="s">
        <v>54</v>
      </c>
      <c r="B2374" s="98" t="s">
        <v>7</v>
      </c>
      <c r="C2374" s="98">
        <v>11000000</v>
      </c>
      <c r="D2374" s="98">
        <v>33001000</v>
      </c>
      <c r="E2374" s="98">
        <v>100</v>
      </c>
      <c r="F2374" s="98" t="s">
        <v>102</v>
      </c>
      <c r="G2374" s="98" t="s">
        <v>50</v>
      </c>
      <c r="H2374" s="98">
        <v>0</v>
      </c>
      <c r="I2374" s="98">
        <v>0</v>
      </c>
      <c r="K2374" s="98">
        <v>2.9</v>
      </c>
      <c r="L2374" s="98">
        <v>1.1999999999999999E-6</v>
      </c>
      <c r="M2374" s="98">
        <v>2.8873000000000002</v>
      </c>
      <c r="N2374" s="98">
        <v>1.1547999999999999E-6</v>
      </c>
      <c r="O2374" s="99" t="s">
        <v>663</v>
      </c>
    </row>
    <row r="2375" spans="1:15" x14ac:dyDescent="0.25">
      <c r="A2375" s="98" t="s">
        <v>54</v>
      </c>
      <c r="B2375" s="98" t="s">
        <v>7</v>
      </c>
      <c r="C2375" s="98">
        <v>11000000</v>
      </c>
      <c r="D2375" s="98">
        <v>33001000</v>
      </c>
      <c r="E2375" s="98">
        <v>1000</v>
      </c>
      <c r="F2375" s="98" t="s">
        <v>102</v>
      </c>
      <c r="G2375" s="98" t="s">
        <v>50</v>
      </c>
      <c r="H2375" s="98">
        <v>0</v>
      </c>
      <c r="I2375" s="98">
        <v>0</v>
      </c>
      <c r="K2375" s="98">
        <v>2.9003999999999999</v>
      </c>
      <c r="L2375" s="98">
        <v>1.1544999999999999E-6</v>
      </c>
      <c r="M2375" s="98">
        <v>2.9</v>
      </c>
      <c r="N2375" s="98">
        <v>1.1544999999999999E-6</v>
      </c>
      <c r="O2375" s="99" t="s">
        <v>664</v>
      </c>
    </row>
    <row r="2376" spans="1:15" x14ac:dyDescent="0.25">
      <c r="A2376" s="98" t="s">
        <v>54</v>
      </c>
      <c r="B2376" s="98" t="s">
        <v>7</v>
      </c>
      <c r="C2376" s="98">
        <v>11000000</v>
      </c>
      <c r="D2376" s="98">
        <v>33001000</v>
      </c>
      <c r="E2376" s="98">
        <v>10000</v>
      </c>
      <c r="F2376" s="98" t="s">
        <v>102</v>
      </c>
      <c r="G2376" s="98" t="s">
        <v>50</v>
      </c>
      <c r="H2376" s="98">
        <v>0</v>
      </c>
      <c r="I2376" s="98">
        <v>0</v>
      </c>
      <c r="K2376" s="98">
        <v>4.2484000000000002</v>
      </c>
      <c r="L2376" s="98">
        <v>1.1259000000000001E-6</v>
      </c>
      <c r="M2376" s="98">
        <v>4.2477999999999998</v>
      </c>
      <c r="N2376" s="98">
        <v>1.1259000000000001E-6</v>
      </c>
      <c r="O2376" s="99" t="s">
        <v>665</v>
      </c>
    </row>
    <row r="2377" spans="1:15" x14ac:dyDescent="0.25">
      <c r="A2377" s="98" t="s">
        <v>54</v>
      </c>
      <c r="B2377" s="98" t="s">
        <v>7</v>
      </c>
      <c r="C2377" s="98">
        <v>11000000</v>
      </c>
      <c r="D2377" s="98">
        <v>33001000</v>
      </c>
      <c r="E2377" s="98">
        <v>100000</v>
      </c>
      <c r="F2377" s="98" t="s">
        <v>102</v>
      </c>
      <c r="G2377" s="98" t="s">
        <v>50</v>
      </c>
      <c r="H2377" s="98">
        <v>0</v>
      </c>
      <c r="I2377" s="98">
        <v>0</v>
      </c>
      <c r="K2377" s="98">
        <v>54.575000000000003</v>
      </c>
      <c r="L2377" s="98">
        <v>4.9851999999999999E-7</v>
      </c>
      <c r="M2377" s="98">
        <v>54.575000000000003</v>
      </c>
      <c r="N2377" s="98">
        <v>4.9846000000000003E-7</v>
      </c>
      <c r="O2377" s="99" t="s">
        <v>666</v>
      </c>
    </row>
    <row r="2378" spans="1:15" x14ac:dyDescent="0.25">
      <c r="A2378" s="98" t="s">
        <v>54</v>
      </c>
      <c r="B2378" s="98" t="s">
        <v>7</v>
      </c>
      <c r="C2378" s="98">
        <v>33000000</v>
      </c>
      <c r="D2378" s="98">
        <v>110010000</v>
      </c>
      <c r="E2378" s="98">
        <v>1000</v>
      </c>
      <c r="F2378" s="98" t="s">
        <v>102</v>
      </c>
      <c r="G2378" s="98" t="s">
        <v>50</v>
      </c>
      <c r="H2378" s="98">
        <v>0</v>
      </c>
      <c r="I2378" s="98">
        <v>0</v>
      </c>
      <c r="K2378" s="98">
        <v>3.5</v>
      </c>
      <c r="L2378" s="98">
        <v>5.8000000000000004E-6</v>
      </c>
      <c r="M2378" s="98">
        <v>3.4662999999999999</v>
      </c>
      <c r="N2378" s="98">
        <v>5.7734999999999999E-6</v>
      </c>
      <c r="O2378" s="99" t="s">
        <v>667</v>
      </c>
    </row>
    <row r="2379" spans="1:15" x14ac:dyDescent="0.25">
      <c r="A2379" s="98" t="s">
        <v>54</v>
      </c>
      <c r="B2379" s="98" t="s">
        <v>7</v>
      </c>
      <c r="C2379" s="98">
        <v>33000000</v>
      </c>
      <c r="D2379" s="98">
        <v>110010000</v>
      </c>
      <c r="E2379" s="98">
        <v>10000</v>
      </c>
      <c r="F2379" s="98" t="s">
        <v>102</v>
      </c>
      <c r="G2379" s="98" t="s">
        <v>50</v>
      </c>
      <c r="H2379" s="98">
        <v>0</v>
      </c>
      <c r="I2379" s="98">
        <v>0</v>
      </c>
      <c r="K2379" s="98">
        <v>3.5802999999999998</v>
      </c>
      <c r="L2379" s="98">
        <v>5.7726999999999998E-6</v>
      </c>
      <c r="M2379" s="98">
        <v>3.5792000000000002</v>
      </c>
      <c r="N2379" s="98">
        <v>5.7726999999999998E-6</v>
      </c>
      <c r="O2379" s="99" t="s">
        <v>668</v>
      </c>
    </row>
    <row r="2380" spans="1:15" x14ac:dyDescent="0.25">
      <c r="A2380" s="98" t="s">
        <v>54</v>
      </c>
      <c r="B2380" s="98" t="s">
        <v>7</v>
      </c>
      <c r="C2380" s="98">
        <v>33000000</v>
      </c>
      <c r="D2380" s="98">
        <v>110010000</v>
      </c>
      <c r="E2380" s="98">
        <v>100000</v>
      </c>
      <c r="F2380" s="98" t="s">
        <v>102</v>
      </c>
      <c r="G2380" s="98" t="s">
        <v>50</v>
      </c>
      <c r="H2380" s="98">
        <v>0</v>
      </c>
      <c r="I2380" s="98">
        <v>0</v>
      </c>
      <c r="K2380" s="98">
        <v>14.462999999999999</v>
      </c>
      <c r="L2380" s="98">
        <v>5.6975000000000001E-6</v>
      </c>
      <c r="M2380" s="98">
        <v>14.465</v>
      </c>
      <c r="N2380" s="98">
        <v>5.6973999999999999E-6</v>
      </c>
      <c r="O2380" s="99" t="s">
        <v>669</v>
      </c>
    </row>
    <row r="2381" spans="1:15" x14ac:dyDescent="0.25">
      <c r="A2381" s="98" t="s">
        <v>54</v>
      </c>
      <c r="B2381" s="98" t="s">
        <v>7</v>
      </c>
      <c r="C2381" s="98">
        <v>33000000</v>
      </c>
      <c r="D2381" s="98">
        <v>110010000</v>
      </c>
      <c r="E2381" s="98">
        <v>1000000</v>
      </c>
      <c r="F2381" s="98" t="s">
        <v>102</v>
      </c>
      <c r="G2381" s="98" t="s">
        <v>50</v>
      </c>
      <c r="H2381" s="98">
        <v>0</v>
      </c>
      <c r="I2381" s="98">
        <v>0</v>
      </c>
      <c r="K2381" s="98">
        <v>503.99</v>
      </c>
      <c r="L2381" s="98">
        <v>3.2606000000000002E-6</v>
      </c>
      <c r="M2381" s="98">
        <v>503.99</v>
      </c>
      <c r="N2381" s="98">
        <v>3.2605E-6</v>
      </c>
      <c r="O2381" s="99" t="s">
        <v>670</v>
      </c>
    </row>
    <row r="2382" spans="1:15" x14ac:dyDescent="0.25">
      <c r="A2382" s="98" t="s">
        <v>54</v>
      </c>
      <c r="B2382" s="98" t="s">
        <v>7</v>
      </c>
      <c r="C2382" s="98">
        <v>110000000</v>
      </c>
      <c r="D2382" s="98">
        <v>330010000</v>
      </c>
      <c r="E2382" s="98">
        <v>1000</v>
      </c>
      <c r="F2382" s="98" t="s">
        <v>102</v>
      </c>
      <c r="G2382" s="98" t="s">
        <v>50</v>
      </c>
      <c r="H2382" s="98">
        <v>0</v>
      </c>
      <c r="I2382" s="98">
        <v>0</v>
      </c>
      <c r="K2382" s="98">
        <v>120</v>
      </c>
      <c r="L2382" s="98">
        <v>5.8000000000000004E-6</v>
      </c>
      <c r="M2382" s="98">
        <v>115.47</v>
      </c>
      <c r="N2382" s="98">
        <v>5.7734999999999999E-6</v>
      </c>
      <c r="O2382" s="99" t="s">
        <v>671</v>
      </c>
    </row>
    <row r="2383" spans="1:15" x14ac:dyDescent="0.25">
      <c r="A2383" s="98" t="s">
        <v>54</v>
      </c>
      <c r="B2383" s="98" t="s">
        <v>7</v>
      </c>
      <c r="C2383" s="98">
        <v>110000000</v>
      </c>
      <c r="D2383" s="98">
        <v>330010000</v>
      </c>
      <c r="E2383" s="98">
        <v>10000</v>
      </c>
      <c r="F2383" s="98" t="s">
        <v>102</v>
      </c>
      <c r="G2383" s="98" t="s">
        <v>50</v>
      </c>
      <c r="H2383" s="98">
        <v>0</v>
      </c>
      <c r="I2383" s="98">
        <v>0</v>
      </c>
      <c r="K2383" s="98">
        <v>120</v>
      </c>
      <c r="L2383" s="98">
        <v>5.7733999999999996E-6</v>
      </c>
      <c r="M2383" s="98">
        <v>115.52</v>
      </c>
      <c r="N2383" s="98">
        <v>5.7733999999999996E-6</v>
      </c>
      <c r="O2383" s="99" t="s">
        <v>672</v>
      </c>
    </row>
    <row r="2384" spans="1:15" x14ac:dyDescent="0.25">
      <c r="A2384" s="98" t="s">
        <v>54</v>
      </c>
      <c r="B2384" s="98" t="s">
        <v>7</v>
      </c>
      <c r="C2384" s="98">
        <v>110000000</v>
      </c>
      <c r="D2384" s="98">
        <v>330010000</v>
      </c>
      <c r="E2384" s="98">
        <v>100000</v>
      </c>
      <c r="F2384" s="98" t="s">
        <v>102</v>
      </c>
      <c r="G2384" s="98" t="s">
        <v>50</v>
      </c>
      <c r="H2384" s="98">
        <v>0</v>
      </c>
      <c r="I2384" s="98">
        <v>0</v>
      </c>
      <c r="K2384" s="98">
        <v>120</v>
      </c>
      <c r="L2384" s="98">
        <v>5.7671000000000002E-6</v>
      </c>
      <c r="M2384" s="98">
        <v>118.42</v>
      </c>
      <c r="N2384" s="98">
        <v>5.7671000000000002E-6</v>
      </c>
      <c r="O2384" s="99" t="s">
        <v>673</v>
      </c>
    </row>
    <row r="2385" spans="1:15" x14ac:dyDescent="0.25">
      <c r="A2385" s="98" t="s">
        <v>54</v>
      </c>
      <c r="B2385" s="98" t="s">
        <v>7</v>
      </c>
      <c r="C2385" s="98">
        <v>110000000</v>
      </c>
      <c r="D2385" s="98">
        <v>330010000</v>
      </c>
      <c r="E2385" s="98">
        <v>1000000</v>
      </c>
      <c r="F2385" s="98" t="s">
        <v>102</v>
      </c>
      <c r="G2385" s="98" t="s">
        <v>50</v>
      </c>
      <c r="H2385" s="98">
        <v>0</v>
      </c>
      <c r="I2385" s="98">
        <v>0</v>
      </c>
      <c r="K2385" s="98">
        <v>371.66</v>
      </c>
      <c r="L2385" s="98">
        <v>5.2445000000000004E-6</v>
      </c>
      <c r="M2385" s="98">
        <v>371.67</v>
      </c>
      <c r="N2385" s="98">
        <v>5.2444000000000001E-6</v>
      </c>
      <c r="O2385" s="99" t="s">
        <v>674</v>
      </c>
    </row>
    <row r="2386" spans="1:15" x14ac:dyDescent="0.25">
      <c r="A2386" s="98" t="s">
        <v>54</v>
      </c>
      <c r="B2386" s="98" t="s">
        <v>7</v>
      </c>
      <c r="C2386" s="98">
        <v>330000000</v>
      </c>
      <c r="D2386" s="98">
        <v>1100010000</v>
      </c>
      <c r="E2386" s="98">
        <v>10000</v>
      </c>
      <c r="F2386" s="98" t="s">
        <v>102</v>
      </c>
      <c r="G2386" s="98" t="s">
        <v>50</v>
      </c>
      <c r="H2386" s="98">
        <v>0</v>
      </c>
      <c r="I2386" s="98">
        <v>0</v>
      </c>
      <c r="K2386" s="98">
        <v>930</v>
      </c>
      <c r="L2386" s="98">
        <v>1.7E-5</v>
      </c>
      <c r="M2386" s="98">
        <v>577.19000000000005</v>
      </c>
      <c r="N2386" s="98">
        <v>1.7320999999999999E-5</v>
      </c>
      <c r="O2386" s="99" t="s">
        <v>675</v>
      </c>
    </row>
    <row r="2387" spans="1:15" x14ac:dyDescent="0.25">
      <c r="A2387" s="98" t="s">
        <v>54</v>
      </c>
      <c r="B2387" s="98" t="s">
        <v>7</v>
      </c>
      <c r="C2387" s="98">
        <v>330000000</v>
      </c>
      <c r="D2387" s="98">
        <v>1100010000</v>
      </c>
      <c r="E2387" s="98">
        <v>100000</v>
      </c>
      <c r="F2387" s="98" t="s">
        <v>102</v>
      </c>
      <c r="G2387" s="98" t="s">
        <v>50</v>
      </c>
      <c r="H2387" s="98">
        <v>0</v>
      </c>
      <c r="I2387" s="98">
        <v>0</v>
      </c>
      <c r="K2387" s="98">
        <v>930</v>
      </c>
      <c r="L2387" s="98">
        <v>1.732E-5</v>
      </c>
      <c r="M2387" s="98">
        <v>578</v>
      </c>
      <c r="N2387" s="98">
        <v>1.732E-5</v>
      </c>
      <c r="O2387" s="99" t="s">
        <v>676</v>
      </c>
    </row>
    <row r="2388" spans="1:15" x14ac:dyDescent="0.25">
      <c r="A2388" s="98" t="s">
        <v>54</v>
      </c>
      <c r="B2388" s="98" t="s">
        <v>7</v>
      </c>
      <c r="C2388" s="98">
        <v>330000000</v>
      </c>
      <c r="D2388" s="98">
        <v>1100010000</v>
      </c>
      <c r="E2388" s="98">
        <v>1000000</v>
      </c>
      <c r="F2388" s="98" t="s">
        <v>102</v>
      </c>
      <c r="G2388" s="98" t="s">
        <v>50</v>
      </c>
      <c r="H2388" s="98">
        <v>0</v>
      </c>
      <c r="I2388" s="98">
        <v>0</v>
      </c>
      <c r="K2388" s="98">
        <v>930</v>
      </c>
      <c r="L2388" s="98">
        <v>1.7297000000000001E-5</v>
      </c>
      <c r="M2388" s="98">
        <v>611.79</v>
      </c>
      <c r="N2388" s="98">
        <v>1.7297000000000001E-5</v>
      </c>
      <c r="O2388" s="99" t="s">
        <v>677</v>
      </c>
    </row>
    <row r="2389" spans="1:15" x14ac:dyDescent="0.25">
      <c r="A2389" s="98" t="s">
        <v>54</v>
      </c>
      <c r="B2389" s="98" t="s">
        <v>7</v>
      </c>
      <c r="C2389" s="98">
        <v>330000000</v>
      </c>
      <c r="D2389" s="98">
        <v>1100010000</v>
      </c>
      <c r="E2389" s="98">
        <v>10000000</v>
      </c>
      <c r="F2389" s="98" t="s">
        <v>102</v>
      </c>
      <c r="G2389" s="98" t="s">
        <v>50</v>
      </c>
      <c r="H2389" s="98">
        <v>0</v>
      </c>
      <c r="I2389" s="98">
        <v>0</v>
      </c>
      <c r="K2389" s="98">
        <v>3454.2</v>
      </c>
      <c r="L2389" s="98">
        <v>1.5468000000000002E-5</v>
      </c>
      <c r="M2389" s="98">
        <v>3454.1</v>
      </c>
      <c r="N2389" s="98">
        <v>1.5468000000000002E-5</v>
      </c>
      <c r="O2389" s="99" t="s">
        <v>678</v>
      </c>
    </row>
    <row r="2390" spans="1:15" x14ac:dyDescent="0.25">
      <c r="A2390" s="98" t="s">
        <v>54</v>
      </c>
      <c r="B2390" s="98" t="s">
        <v>7</v>
      </c>
      <c r="C2390" s="98">
        <v>1100000000</v>
      </c>
      <c r="D2390" s="98">
        <v>1101000000</v>
      </c>
      <c r="E2390" s="98">
        <v>10000</v>
      </c>
      <c r="F2390" s="98" t="s">
        <v>102</v>
      </c>
      <c r="G2390" s="98" t="s">
        <v>50</v>
      </c>
      <c r="H2390" s="98">
        <v>0</v>
      </c>
      <c r="I2390" s="98">
        <v>0</v>
      </c>
      <c r="K2390" s="98">
        <v>930</v>
      </c>
      <c r="L2390" s="98">
        <v>1.7E-5</v>
      </c>
      <c r="M2390" s="98">
        <v>577.19000000000005</v>
      </c>
      <c r="N2390" s="98">
        <v>1.7320999999999999E-5</v>
      </c>
      <c r="O2390" s="99" t="s">
        <v>679</v>
      </c>
    </row>
    <row r="2391" spans="1:15" x14ac:dyDescent="0.25">
      <c r="A2391" s="98" t="s">
        <v>54</v>
      </c>
      <c r="B2391" s="98" t="s">
        <v>7</v>
      </c>
      <c r="C2391" s="98">
        <v>1100000000</v>
      </c>
      <c r="D2391" s="98">
        <v>1101000000</v>
      </c>
      <c r="E2391" s="98">
        <v>100000</v>
      </c>
      <c r="F2391" s="98" t="s">
        <v>102</v>
      </c>
      <c r="G2391" s="98" t="s">
        <v>50</v>
      </c>
      <c r="H2391" s="98">
        <v>0</v>
      </c>
      <c r="I2391" s="98">
        <v>0</v>
      </c>
      <c r="K2391" s="98">
        <v>930</v>
      </c>
      <c r="L2391" s="98">
        <v>1.732E-5</v>
      </c>
      <c r="M2391" s="98">
        <v>578</v>
      </c>
      <c r="N2391" s="98">
        <v>1.732E-5</v>
      </c>
      <c r="O2391" s="99" t="s">
        <v>680</v>
      </c>
    </row>
    <row r="2392" spans="1:15" x14ac:dyDescent="0.25">
      <c r="A2392" s="98" t="s">
        <v>54</v>
      </c>
      <c r="B2392" s="98" t="s">
        <v>7</v>
      </c>
      <c r="C2392" s="98">
        <v>1100000000</v>
      </c>
      <c r="D2392" s="98">
        <v>1101000000</v>
      </c>
      <c r="E2392" s="98">
        <v>1000000</v>
      </c>
      <c r="F2392" s="98" t="s">
        <v>102</v>
      </c>
      <c r="G2392" s="98" t="s">
        <v>50</v>
      </c>
      <c r="H2392" s="98">
        <v>0</v>
      </c>
      <c r="I2392" s="98">
        <v>0</v>
      </c>
      <c r="K2392" s="98">
        <v>930</v>
      </c>
      <c r="L2392" s="98">
        <v>1.7297000000000001E-5</v>
      </c>
      <c r="M2392" s="98">
        <v>611.79</v>
      </c>
      <c r="N2392" s="98">
        <v>1.7297000000000001E-5</v>
      </c>
      <c r="O2392" s="99" t="s">
        <v>681</v>
      </c>
    </row>
    <row r="2393" spans="1:15" x14ac:dyDescent="0.25">
      <c r="A2393" s="98" t="s">
        <v>54</v>
      </c>
      <c r="B2393" s="98" t="s">
        <v>7</v>
      </c>
      <c r="C2393" s="98">
        <v>1100000000</v>
      </c>
      <c r="D2393" s="98">
        <v>1101000000</v>
      </c>
      <c r="E2393" s="98">
        <v>10000000</v>
      </c>
      <c r="F2393" s="98" t="s">
        <v>102</v>
      </c>
      <c r="G2393" s="98" t="s">
        <v>50</v>
      </c>
      <c r="H2393" s="98">
        <v>0</v>
      </c>
      <c r="I2393" s="98">
        <v>0</v>
      </c>
      <c r="K2393" s="98">
        <v>3454.2</v>
      </c>
      <c r="L2393" s="98">
        <v>1.5468000000000002E-5</v>
      </c>
      <c r="M2393" s="98">
        <v>3454.1</v>
      </c>
      <c r="N2393" s="98">
        <v>1.5468000000000002E-5</v>
      </c>
      <c r="O2393" s="99" t="s">
        <v>682</v>
      </c>
    </row>
    <row r="2394" spans="1:15" x14ac:dyDescent="0.25">
      <c r="A2394" s="98" t="s">
        <v>68</v>
      </c>
      <c r="B2394" s="98" t="s">
        <v>47</v>
      </c>
      <c r="C2394" s="98">
        <v>1.0000000000000001E-5</v>
      </c>
      <c r="D2394" s="98">
        <v>1.0399999999999999E-4</v>
      </c>
      <c r="E2394" s="98">
        <v>1.0000000000000001E-9</v>
      </c>
      <c r="F2394" s="98" t="s">
        <v>13</v>
      </c>
      <c r="G2394" s="98" t="s">
        <v>11</v>
      </c>
      <c r="H2394" s="98">
        <v>0.01</v>
      </c>
      <c r="I2394" s="98">
        <v>2</v>
      </c>
      <c r="J2394" s="98" t="s">
        <v>10</v>
      </c>
      <c r="K2394" s="98">
        <v>0.47</v>
      </c>
      <c r="L2394" s="98">
        <v>1200</v>
      </c>
      <c r="M2394" s="98">
        <v>0.46304000000000001</v>
      </c>
      <c r="N2394" s="98">
        <v>1233.9000000000001</v>
      </c>
      <c r="O2394" s="99" t="s">
        <v>2496</v>
      </c>
    </row>
    <row r="2395" spans="1:15" x14ac:dyDescent="0.25">
      <c r="A2395" s="98" t="s">
        <v>68</v>
      </c>
      <c r="B2395" s="98" t="s">
        <v>47</v>
      </c>
      <c r="C2395" s="98">
        <v>1.0000000000000001E-5</v>
      </c>
      <c r="D2395" s="98">
        <v>1.0399999999999999E-4</v>
      </c>
      <c r="E2395" s="98">
        <v>1E-8</v>
      </c>
      <c r="F2395" s="98" t="s">
        <v>13</v>
      </c>
      <c r="G2395" s="98" t="s">
        <v>11</v>
      </c>
      <c r="H2395" s="98">
        <v>0.01</v>
      </c>
      <c r="I2395" s="98">
        <v>2</v>
      </c>
      <c r="J2395" s="98" t="s">
        <v>10</v>
      </c>
      <c r="K2395" s="98">
        <v>0.47</v>
      </c>
      <c r="L2395" s="98">
        <v>1234</v>
      </c>
      <c r="M2395" s="98">
        <v>0.46307999999999999</v>
      </c>
      <c r="N2395" s="98">
        <v>1233.9000000000001</v>
      </c>
      <c r="O2395" s="99" t="s">
        <v>2497</v>
      </c>
    </row>
    <row r="2396" spans="1:15" x14ac:dyDescent="0.25">
      <c r="A2396" s="98" t="s">
        <v>68</v>
      </c>
      <c r="B2396" s="98" t="s">
        <v>47</v>
      </c>
      <c r="C2396" s="98">
        <v>1.0000000000000001E-5</v>
      </c>
      <c r="D2396" s="98">
        <v>1.0399999999999999E-4</v>
      </c>
      <c r="E2396" s="98">
        <v>9.9999999999999995E-8</v>
      </c>
      <c r="F2396" s="98" t="s">
        <v>13</v>
      </c>
      <c r="G2396" s="98" t="s">
        <v>11</v>
      </c>
      <c r="H2396" s="98">
        <v>0.01</v>
      </c>
      <c r="I2396" s="98">
        <v>2</v>
      </c>
      <c r="J2396" s="98" t="s">
        <v>10</v>
      </c>
      <c r="K2396" s="98">
        <v>0.47</v>
      </c>
      <c r="L2396" s="98">
        <v>1227.5</v>
      </c>
      <c r="M2396" s="98">
        <v>0.46660000000000001</v>
      </c>
      <c r="N2396" s="98">
        <v>1227</v>
      </c>
      <c r="O2396" s="99" t="s">
        <v>2498</v>
      </c>
    </row>
    <row r="2397" spans="1:15" x14ac:dyDescent="0.25">
      <c r="A2397" s="98" t="s">
        <v>68</v>
      </c>
      <c r="B2397" s="98" t="s">
        <v>47</v>
      </c>
      <c r="C2397" s="98">
        <v>1.0000000000000001E-5</v>
      </c>
      <c r="D2397" s="98">
        <v>1.0399999999999999E-4</v>
      </c>
      <c r="E2397" s="98">
        <v>9.9999999999999995E-7</v>
      </c>
      <c r="F2397" s="98" t="s">
        <v>13</v>
      </c>
      <c r="G2397" s="98" t="s">
        <v>11</v>
      </c>
      <c r="H2397" s="98">
        <v>0.01</v>
      </c>
      <c r="I2397" s="98">
        <v>2</v>
      </c>
      <c r="J2397" s="98" t="s">
        <v>10</v>
      </c>
      <c r="K2397" s="98">
        <v>0.73980999999999997</v>
      </c>
      <c r="L2397" s="98">
        <v>857.29</v>
      </c>
      <c r="M2397" s="98">
        <v>0.73978999999999995</v>
      </c>
      <c r="N2397" s="98">
        <v>855.77</v>
      </c>
      <c r="O2397" s="99" t="s">
        <v>2499</v>
      </c>
    </row>
    <row r="2398" spans="1:15" x14ac:dyDescent="0.25">
      <c r="A2398" s="98" t="s">
        <v>68</v>
      </c>
      <c r="B2398" s="98" t="s">
        <v>47</v>
      </c>
      <c r="C2398" s="98">
        <v>1.0000000000000001E-5</v>
      </c>
      <c r="D2398" s="98">
        <v>1.0399999999999999E-4</v>
      </c>
      <c r="E2398" s="98">
        <v>1.0000000000000001E-5</v>
      </c>
      <c r="F2398" s="98" t="s">
        <v>13</v>
      </c>
      <c r="G2398" s="98" t="s">
        <v>11</v>
      </c>
      <c r="H2398" s="98">
        <v>0.01</v>
      </c>
      <c r="I2398" s="98">
        <v>2</v>
      </c>
      <c r="J2398" s="98" t="s">
        <v>10</v>
      </c>
      <c r="K2398" s="98">
        <v>5.8087999999999997</v>
      </c>
      <c r="L2398" s="98">
        <v>394.38</v>
      </c>
      <c r="M2398" s="98">
        <v>5.8087999999999997</v>
      </c>
      <c r="N2398" s="98">
        <v>393.5</v>
      </c>
      <c r="O2398" s="99" t="s">
        <v>2820</v>
      </c>
    </row>
    <row r="2399" spans="1:15" x14ac:dyDescent="0.25">
      <c r="A2399" s="98" t="s">
        <v>68</v>
      </c>
      <c r="B2399" s="98" t="s">
        <v>47</v>
      </c>
      <c r="C2399" s="98">
        <v>1E-4</v>
      </c>
      <c r="D2399" s="98">
        <v>1.0399999999999999E-3</v>
      </c>
      <c r="E2399" s="98">
        <v>1E-8</v>
      </c>
      <c r="F2399" s="98" t="s">
        <v>13</v>
      </c>
      <c r="G2399" s="98" t="s">
        <v>11</v>
      </c>
      <c r="H2399" s="98">
        <v>0.01</v>
      </c>
      <c r="I2399" s="98">
        <v>2</v>
      </c>
      <c r="J2399" s="98" t="s">
        <v>10</v>
      </c>
      <c r="K2399" s="98">
        <v>0.97</v>
      </c>
      <c r="L2399" s="98">
        <v>1200</v>
      </c>
      <c r="M2399" s="98">
        <v>0.96530000000000005</v>
      </c>
      <c r="N2399" s="98">
        <v>1192.0999999999999</v>
      </c>
      <c r="O2399" s="99" t="s">
        <v>2821</v>
      </c>
    </row>
    <row r="2400" spans="1:15" x14ac:dyDescent="0.25">
      <c r="A2400" s="98" t="s">
        <v>68</v>
      </c>
      <c r="B2400" s="98" t="s">
        <v>47</v>
      </c>
      <c r="C2400" s="98">
        <v>1E-4</v>
      </c>
      <c r="D2400" s="98">
        <v>1.0399999999999999E-3</v>
      </c>
      <c r="E2400" s="98">
        <v>9.9999999999999995E-8</v>
      </c>
      <c r="F2400" s="98" t="s">
        <v>13</v>
      </c>
      <c r="G2400" s="98" t="s">
        <v>11</v>
      </c>
      <c r="H2400" s="98">
        <v>0.01</v>
      </c>
      <c r="I2400" s="98">
        <v>2</v>
      </c>
      <c r="J2400" s="98" t="s">
        <v>10</v>
      </c>
      <c r="K2400" s="98">
        <v>0.97</v>
      </c>
      <c r="L2400" s="98">
        <v>1191.5</v>
      </c>
      <c r="M2400" s="98">
        <v>0.96691000000000005</v>
      </c>
      <c r="N2400" s="98">
        <v>1191.3</v>
      </c>
      <c r="O2400" s="99" t="s">
        <v>2500</v>
      </c>
    </row>
    <row r="2401" spans="1:15" x14ac:dyDescent="0.25">
      <c r="A2401" s="98" t="s">
        <v>68</v>
      </c>
      <c r="B2401" s="98" t="s">
        <v>47</v>
      </c>
      <c r="C2401" s="98">
        <v>1E-4</v>
      </c>
      <c r="D2401" s="98">
        <v>1.0399999999999999E-3</v>
      </c>
      <c r="E2401" s="98">
        <v>9.9999999999999995E-7</v>
      </c>
      <c r="F2401" s="98" t="s">
        <v>13</v>
      </c>
      <c r="G2401" s="98" t="s">
        <v>11</v>
      </c>
      <c r="H2401" s="98">
        <v>0.01</v>
      </c>
      <c r="I2401" s="98">
        <v>2</v>
      </c>
      <c r="J2401" s="98" t="s">
        <v>10</v>
      </c>
      <c r="K2401" s="98">
        <v>1.1172</v>
      </c>
      <c r="L2401" s="98">
        <v>1119.7</v>
      </c>
      <c r="M2401" s="98">
        <v>1.1168</v>
      </c>
      <c r="N2401" s="98">
        <v>1118.5999999999999</v>
      </c>
      <c r="O2401" s="99" t="s">
        <v>2822</v>
      </c>
    </row>
    <row r="2402" spans="1:15" x14ac:dyDescent="0.25">
      <c r="A2402" s="98" t="s">
        <v>68</v>
      </c>
      <c r="B2402" s="98" t="s">
        <v>47</v>
      </c>
      <c r="C2402" s="98">
        <v>1E-4</v>
      </c>
      <c r="D2402" s="98">
        <v>1.0399999999999999E-3</v>
      </c>
      <c r="E2402" s="98">
        <v>1.0000000000000001E-5</v>
      </c>
      <c r="F2402" s="98" t="s">
        <v>13</v>
      </c>
      <c r="G2402" s="98" t="s">
        <v>11</v>
      </c>
      <c r="H2402" s="98">
        <v>0.01</v>
      </c>
      <c r="I2402" s="98">
        <v>2</v>
      </c>
      <c r="J2402" s="98" t="s">
        <v>10</v>
      </c>
      <c r="K2402" s="98">
        <v>5.8400999999999996</v>
      </c>
      <c r="L2402" s="98">
        <v>353.65</v>
      </c>
      <c r="M2402" s="98">
        <v>5.8398000000000003</v>
      </c>
      <c r="N2402" s="98">
        <v>351.6</v>
      </c>
      <c r="O2402" s="99" t="s">
        <v>2501</v>
      </c>
    </row>
    <row r="2403" spans="1:15" x14ac:dyDescent="0.25">
      <c r="A2403" s="98" t="s">
        <v>68</v>
      </c>
      <c r="B2403" s="98" t="s">
        <v>47</v>
      </c>
      <c r="C2403" s="98">
        <v>1E-4</v>
      </c>
      <c r="D2403" s="98">
        <v>1.0399999999999999E-3</v>
      </c>
      <c r="E2403" s="98">
        <v>1E-4</v>
      </c>
      <c r="F2403" s="98" t="s">
        <v>13</v>
      </c>
      <c r="G2403" s="98" t="s">
        <v>11</v>
      </c>
      <c r="H2403" s="98">
        <v>0.01</v>
      </c>
      <c r="I2403" s="98">
        <v>2</v>
      </c>
      <c r="J2403" s="98" t="s">
        <v>10</v>
      </c>
      <c r="K2403" s="98">
        <v>57.911999999999999</v>
      </c>
      <c r="L2403" s="98">
        <v>316.08</v>
      </c>
      <c r="M2403" s="98">
        <v>57.911999999999999</v>
      </c>
      <c r="N2403" s="98">
        <v>315.2</v>
      </c>
      <c r="O2403" s="99" t="s">
        <v>2502</v>
      </c>
    </row>
    <row r="2404" spans="1:15" x14ac:dyDescent="0.25">
      <c r="A2404" s="98" t="s">
        <v>68</v>
      </c>
      <c r="B2404" s="98" t="s">
        <v>47</v>
      </c>
      <c r="C2404" s="98">
        <v>1E-3</v>
      </c>
      <c r="D2404" s="98">
        <v>1.04E-2</v>
      </c>
      <c r="E2404" s="98">
        <v>9.9999999999999995E-8</v>
      </c>
      <c r="F2404" s="98" t="s">
        <v>13</v>
      </c>
      <c r="G2404" s="98" t="s">
        <v>11</v>
      </c>
      <c r="H2404" s="98">
        <v>0.01</v>
      </c>
      <c r="I2404" s="98">
        <v>2</v>
      </c>
      <c r="J2404" s="98" t="s">
        <v>10</v>
      </c>
      <c r="K2404" s="98">
        <v>9.6999999999999993</v>
      </c>
      <c r="L2404" s="98">
        <v>1200</v>
      </c>
      <c r="M2404" s="98">
        <v>9.6530000000000005</v>
      </c>
      <c r="N2404" s="98">
        <v>1192.0999999999999</v>
      </c>
      <c r="O2404" s="99" t="s">
        <v>2503</v>
      </c>
    </row>
    <row r="2405" spans="1:15" x14ac:dyDescent="0.25">
      <c r="A2405" s="98" t="s">
        <v>68</v>
      </c>
      <c r="B2405" s="98" t="s">
        <v>47</v>
      </c>
      <c r="C2405" s="98">
        <v>1E-3</v>
      </c>
      <c r="D2405" s="98">
        <v>1.04E-2</v>
      </c>
      <c r="E2405" s="98">
        <v>9.9999999999999995E-7</v>
      </c>
      <c r="F2405" s="98" t="s">
        <v>13</v>
      </c>
      <c r="G2405" s="98" t="s">
        <v>11</v>
      </c>
      <c r="H2405" s="98">
        <v>0.01</v>
      </c>
      <c r="I2405" s="98">
        <v>2</v>
      </c>
      <c r="J2405" s="98" t="s">
        <v>10</v>
      </c>
      <c r="K2405" s="98">
        <v>9.6999999999999993</v>
      </c>
      <c r="L2405" s="98">
        <v>1191.5</v>
      </c>
      <c r="M2405" s="98">
        <v>9.6691000000000003</v>
      </c>
      <c r="N2405" s="98">
        <v>1191.3</v>
      </c>
      <c r="O2405" s="99" t="s">
        <v>2504</v>
      </c>
    </row>
    <row r="2406" spans="1:15" x14ac:dyDescent="0.25">
      <c r="A2406" s="98" t="s">
        <v>68</v>
      </c>
      <c r="B2406" s="98" t="s">
        <v>47</v>
      </c>
      <c r="C2406" s="98">
        <v>1E-3</v>
      </c>
      <c r="D2406" s="98">
        <v>1.04E-2</v>
      </c>
      <c r="E2406" s="98">
        <v>1.0000000000000001E-5</v>
      </c>
      <c r="F2406" s="98" t="s">
        <v>13</v>
      </c>
      <c r="G2406" s="98" t="s">
        <v>11</v>
      </c>
      <c r="H2406" s="98">
        <v>0.01</v>
      </c>
      <c r="I2406" s="98">
        <v>2</v>
      </c>
      <c r="J2406" s="98" t="s">
        <v>10</v>
      </c>
      <c r="K2406" s="98">
        <v>11.172000000000001</v>
      </c>
      <c r="L2406" s="98">
        <v>1119.7</v>
      </c>
      <c r="M2406" s="98">
        <v>11.167999999999999</v>
      </c>
      <c r="N2406" s="98">
        <v>1118.5999999999999</v>
      </c>
      <c r="O2406" s="99" t="s">
        <v>2823</v>
      </c>
    </row>
    <row r="2407" spans="1:15" x14ac:dyDescent="0.25">
      <c r="A2407" s="98" t="s">
        <v>68</v>
      </c>
      <c r="B2407" s="98" t="s">
        <v>47</v>
      </c>
      <c r="C2407" s="98">
        <v>1E-3</v>
      </c>
      <c r="D2407" s="98">
        <v>1.04E-2</v>
      </c>
      <c r="E2407" s="98">
        <v>1E-4</v>
      </c>
      <c r="F2407" s="98" t="s">
        <v>13</v>
      </c>
      <c r="G2407" s="98" t="s">
        <v>11</v>
      </c>
      <c r="H2407" s="98">
        <v>0.01</v>
      </c>
      <c r="I2407" s="98">
        <v>2</v>
      </c>
      <c r="J2407" s="98" t="s">
        <v>10</v>
      </c>
      <c r="K2407" s="98">
        <v>58.401000000000003</v>
      </c>
      <c r="L2407" s="98">
        <v>353.65</v>
      </c>
      <c r="M2407" s="98">
        <v>58.398000000000003</v>
      </c>
      <c r="N2407" s="98">
        <v>351.6</v>
      </c>
      <c r="O2407" s="99" t="s">
        <v>2505</v>
      </c>
    </row>
    <row r="2408" spans="1:15" x14ac:dyDescent="0.25">
      <c r="A2408" s="98" t="s">
        <v>68</v>
      </c>
      <c r="B2408" s="98" t="s">
        <v>47</v>
      </c>
      <c r="C2408" s="98">
        <v>1E-3</v>
      </c>
      <c r="D2408" s="98">
        <v>1.04E-2</v>
      </c>
      <c r="E2408" s="98">
        <v>1E-3</v>
      </c>
      <c r="F2408" s="98" t="s">
        <v>13</v>
      </c>
      <c r="G2408" s="98" t="s">
        <v>11</v>
      </c>
      <c r="H2408" s="98">
        <v>0.01</v>
      </c>
      <c r="I2408" s="98">
        <v>2</v>
      </c>
      <c r="J2408" s="98" t="s">
        <v>10</v>
      </c>
      <c r="K2408" s="98">
        <v>579.12</v>
      </c>
      <c r="L2408" s="98">
        <v>316.08</v>
      </c>
      <c r="M2408" s="98">
        <v>579.12</v>
      </c>
      <c r="N2408" s="98">
        <v>315.2</v>
      </c>
      <c r="O2408" s="99" t="s">
        <v>2824</v>
      </c>
    </row>
    <row r="2409" spans="1:15" x14ac:dyDescent="0.25">
      <c r="A2409" s="98" t="s">
        <v>68</v>
      </c>
      <c r="B2409" s="98" t="s">
        <v>47</v>
      </c>
      <c r="C2409" s="98">
        <v>0.01</v>
      </c>
      <c r="D2409" s="98">
        <v>0.104</v>
      </c>
      <c r="E2409" s="98">
        <v>9.9999999999999995E-7</v>
      </c>
      <c r="F2409" s="98" t="s">
        <v>13</v>
      </c>
      <c r="G2409" s="98" t="s">
        <v>11</v>
      </c>
      <c r="H2409" s="98">
        <v>0.01</v>
      </c>
      <c r="I2409" s="98">
        <v>2</v>
      </c>
      <c r="J2409" s="98" t="s">
        <v>10</v>
      </c>
      <c r="K2409" s="98">
        <v>97</v>
      </c>
      <c r="L2409" s="98">
        <v>1200</v>
      </c>
      <c r="M2409" s="98">
        <v>96.53</v>
      </c>
      <c r="N2409" s="98">
        <v>1192.0999999999999</v>
      </c>
      <c r="O2409" s="99" t="s">
        <v>2825</v>
      </c>
    </row>
    <row r="2410" spans="1:15" x14ac:dyDescent="0.25">
      <c r="A2410" s="98" t="s">
        <v>68</v>
      </c>
      <c r="B2410" s="98" t="s">
        <v>47</v>
      </c>
      <c r="C2410" s="98">
        <v>0.01</v>
      </c>
      <c r="D2410" s="98">
        <v>0.104</v>
      </c>
      <c r="E2410" s="98">
        <v>1.0000000000000001E-5</v>
      </c>
      <c r="F2410" s="98" t="s">
        <v>13</v>
      </c>
      <c r="G2410" s="98" t="s">
        <v>11</v>
      </c>
      <c r="H2410" s="98">
        <v>0.01</v>
      </c>
      <c r="I2410" s="98">
        <v>2</v>
      </c>
      <c r="J2410" s="98" t="s">
        <v>10</v>
      </c>
      <c r="K2410" s="98">
        <v>97</v>
      </c>
      <c r="L2410" s="98">
        <v>1191.5</v>
      </c>
      <c r="M2410" s="98">
        <v>96.691000000000003</v>
      </c>
      <c r="N2410" s="98">
        <v>1191.3</v>
      </c>
      <c r="O2410" s="99" t="s">
        <v>2826</v>
      </c>
    </row>
    <row r="2411" spans="1:15" x14ac:dyDescent="0.25">
      <c r="A2411" s="98" t="s">
        <v>68</v>
      </c>
      <c r="B2411" s="98" t="s">
        <v>47</v>
      </c>
      <c r="C2411" s="98">
        <v>0.01</v>
      </c>
      <c r="D2411" s="98">
        <v>0.104</v>
      </c>
      <c r="E2411" s="98">
        <v>1E-4</v>
      </c>
      <c r="F2411" s="98" t="s">
        <v>13</v>
      </c>
      <c r="G2411" s="98" t="s">
        <v>11</v>
      </c>
      <c r="H2411" s="98">
        <v>0.01</v>
      </c>
      <c r="I2411" s="98">
        <v>2</v>
      </c>
      <c r="J2411" s="98" t="s">
        <v>10</v>
      </c>
      <c r="K2411" s="98">
        <v>111.72</v>
      </c>
      <c r="L2411" s="98">
        <v>1119.7</v>
      </c>
      <c r="M2411" s="98">
        <v>111.68</v>
      </c>
      <c r="N2411" s="98">
        <v>1118.5999999999999</v>
      </c>
      <c r="O2411" s="99" t="s">
        <v>2506</v>
      </c>
    </row>
    <row r="2412" spans="1:15" x14ac:dyDescent="0.25">
      <c r="A2412" s="98" t="s">
        <v>68</v>
      </c>
      <c r="B2412" s="98" t="s">
        <v>47</v>
      </c>
      <c r="C2412" s="98">
        <v>0.01</v>
      </c>
      <c r="D2412" s="98">
        <v>0.104</v>
      </c>
      <c r="E2412" s="98">
        <v>1E-3</v>
      </c>
      <c r="F2412" s="98" t="s">
        <v>13</v>
      </c>
      <c r="G2412" s="98" t="s">
        <v>11</v>
      </c>
      <c r="H2412" s="98">
        <v>0.01</v>
      </c>
      <c r="I2412" s="98">
        <v>2</v>
      </c>
      <c r="J2412" s="98" t="s">
        <v>10</v>
      </c>
      <c r="K2412" s="98">
        <v>583.96</v>
      </c>
      <c r="L2412" s="98">
        <v>353.65</v>
      </c>
      <c r="M2412" s="98">
        <v>583.98</v>
      </c>
      <c r="N2412" s="98">
        <v>351.6</v>
      </c>
      <c r="O2412" s="99" t="s">
        <v>2507</v>
      </c>
    </row>
    <row r="2413" spans="1:15" x14ac:dyDescent="0.25">
      <c r="A2413" s="98" t="s">
        <v>68</v>
      </c>
      <c r="B2413" s="98" t="s">
        <v>47</v>
      </c>
      <c r="C2413" s="98">
        <v>0.01</v>
      </c>
      <c r="D2413" s="98">
        <v>0.104</v>
      </c>
      <c r="E2413" s="98">
        <v>0.01</v>
      </c>
      <c r="F2413" s="98" t="s">
        <v>13</v>
      </c>
      <c r="G2413" s="98" t="s">
        <v>11</v>
      </c>
      <c r="H2413" s="98">
        <v>0.01</v>
      </c>
      <c r="I2413" s="98">
        <v>2</v>
      </c>
      <c r="J2413" s="98" t="s">
        <v>10</v>
      </c>
      <c r="K2413" s="98">
        <v>5791.2</v>
      </c>
      <c r="L2413" s="98">
        <v>316.08</v>
      </c>
      <c r="M2413" s="98">
        <v>5791.2</v>
      </c>
      <c r="N2413" s="98">
        <v>315.2</v>
      </c>
      <c r="O2413" s="99" t="s">
        <v>2827</v>
      </c>
    </row>
    <row r="2414" spans="1:15" x14ac:dyDescent="0.25">
      <c r="A2414" s="98" t="s">
        <v>68</v>
      </c>
      <c r="B2414" s="98" t="s">
        <v>47</v>
      </c>
      <c r="C2414" s="98">
        <v>0.1</v>
      </c>
      <c r="D2414" s="98">
        <v>1.04</v>
      </c>
      <c r="E2414" s="98">
        <v>1.0000000000000001E-5</v>
      </c>
      <c r="F2414" s="98" t="s">
        <v>13</v>
      </c>
      <c r="G2414" s="98" t="s">
        <v>12</v>
      </c>
      <c r="H2414" s="98">
        <v>0.01</v>
      </c>
      <c r="I2414" s="98">
        <v>2</v>
      </c>
      <c r="J2414" s="98" t="s">
        <v>10</v>
      </c>
      <c r="K2414" s="98">
        <v>1</v>
      </c>
      <c r="L2414" s="98">
        <v>1.5</v>
      </c>
      <c r="M2414" s="98">
        <v>0.99589000000000005</v>
      </c>
      <c r="N2414" s="98">
        <v>1.4890000000000001</v>
      </c>
      <c r="O2414" s="99" t="s">
        <v>2508</v>
      </c>
    </row>
    <row r="2415" spans="1:15" x14ac:dyDescent="0.25">
      <c r="A2415" s="98" t="s">
        <v>68</v>
      </c>
      <c r="B2415" s="98" t="s">
        <v>47</v>
      </c>
      <c r="C2415" s="98">
        <v>0.1</v>
      </c>
      <c r="D2415" s="98">
        <v>1.04</v>
      </c>
      <c r="E2415" s="98">
        <v>1E-4</v>
      </c>
      <c r="F2415" s="98" t="s">
        <v>13</v>
      </c>
      <c r="G2415" s="98" t="s">
        <v>12</v>
      </c>
      <c r="H2415" s="98">
        <v>0.01</v>
      </c>
      <c r="I2415" s="98">
        <v>2</v>
      </c>
      <c r="J2415" s="98" t="s">
        <v>10</v>
      </c>
      <c r="K2415" s="98">
        <v>1</v>
      </c>
      <c r="L2415" s="98">
        <v>1.4883999999999999</v>
      </c>
      <c r="M2415" s="98">
        <v>0.99738000000000004</v>
      </c>
      <c r="N2415" s="98">
        <v>1.4882</v>
      </c>
      <c r="O2415" s="99" t="s">
        <v>2509</v>
      </c>
    </row>
    <row r="2416" spans="1:15" x14ac:dyDescent="0.25">
      <c r="A2416" s="98" t="s">
        <v>68</v>
      </c>
      <c r="B2416" s="98" t="s">
        <v>47</v>
      </c>
      <c r="C2416" s="98">
        <v>0.1</v>
      </c>
      <c r="D2416" s="98">
        <v>1.04</v>
      </c>
      <c r="E2416" s="98">
        <v>1E-3</v>
      </c>
      <c r="F2416" s="98" t="s">
        <v>13</v>
      </c>
      <c r="G2416" s="98" t="s">
        <v>12</v>
      </c>
      <c r="H2416" s="98">
        <v>0.01</v>
      </c>
      <c r="I2416" s="98">
        <v>2</v>
      </c>
      <c r="J2416" s="98" t="s">
        <v>10</v>
      </c>
      <c r="K2416" s="98">
        <v>1.1829000000000001</v>
      </c>
      <c r="L2416" s="98">
        <v>1.4133</v>
      </c>
      <c r="M2416" s="98">
        <v>1.1409</v>
      </c>
      <c r="N2416" s="98">
        <v>1.4124000000000001</v>
      </c>
      <c r="O2416" s="99" t="s">
        <v>2510</v>
      </c>
    </row>
    <row r="2417" spans="1:15" x14ac:dyDescent="0.25">
      <c r="A2417" s="98" t="s">
        <v>68</v>
      </c>
      <c r="B2417" s="98" t="s">
        <v>47</v>
      </c>
      <c r="C2417" s="98">
        <v>0.1</v>
      </c>
      <c r="D2417" s="98">
        <v>1.04</v>
      </c>
      <c r="E2417" s="98">
        <v>0.01</v>
      </c>
      <c r="F2417" s="98" t="s">
        <v>13</v>
      </c>
      <c r="G2417" s="98" t="s">
        <v>12</v>
      </c>
      <c r="H2417" s="98">
        <v>0.01</v>
      </c>
      <c r="I2417" s="98">
        <v>2</v>
      </c>
      <c r="J2417" s="98" t="s">
        <v>10</v>
      </c>
      <c r="K2417" s="98">
        <v>5.9116</v>
      </c>
      <c r="L2417" s="98">
        <v>0.47821000000000002</v>
      </c>
      <c r="M2417" s="98">
        <v>5.8383000000000003</v>
      </c>
      <c r="N2417" s="98">
        <v>0.47621000000000002</v>
      </c>
      <c r="O2417" s="99" t="s">
        <v>2511</v>
      </c>
    </row>
    <row r="2418" spans="1:15" x14ac:dyDescent="0.25">
      <c r="A2418" s="98" t="s">
        <v>68</v>
      </c>
      <c r="B2418" s="98" t="s">
        <v>47</v>
      </c>
      <c r="C2418" s="98">
        <v>0.1</v>
      </c>
      <c r="D2418" s="98">
        <v>1.04</v>
      </c>
      <c r="E2418" s="98">
        <v>0.1</v>
      </c>
      <c r="F2418" s="98" t="s">
        <v>13</v>
      </c>
      <c r="G2418" s="98" t="s">
        <v>12</v>
      </c>
      <c r="H2418" s="98">
        <v>0.01</v>
      </c>
      <c r="I2418" s="98">
        <v>2</v>
      </c>
      <c r="J2418" s="98" t="s">
        <v>10</v>
      </c>
      <c r="K2418" s="98">
        <v>57.947000000000003</v>
      </c>
      <c r="L2418" s="98">
        <v>0.32961000000000001</v>
      </c>
      <c r="M2418" s="98">
        <v>57.91</v>
      </c>
      <c r="N2418" s="98">
        <v>0.32873000000000002</v>
      </c>
      <c r="O2418" s="99" t="s">
        <v>2512</v>
      </c>
    </row>
    <row r="2419" spans="1:15" x14ac:dyDescent="0.25">
      <c r="A2419" s="98" t="s">
        <v>68</v>
      </c>
      <c r="B2419" s="98" t="s">
        <v>47</v>
      </c>
      <c r="C2419" s="98">
        <v>1</v>
      </c>
      <c r="D2419" s="98">
        <v>10.4</v>
      </c>
      <c r="E2419" s="98">
        <v>1E-4</v>
      </c>
      <c r="F2419" s="98" t="s">
        <v>13</v>
      </c>
      <c r="G2419" s="98" t="s">
        <v>12</v>
      </c>
      <c r="H2419" s="98">
        <v>0.01</v>
      </c>
      <c r="I2419" s="98">
        <v>2</v>
      </c>
      <c r="J2419" s="98" t="s">
        <v>10</v>
      </c>
      <c r="K2419" s="98">
        <v>18</v>
      </c>
      <c r="L2419" s="98">
        <v>1.4</v>
      </c>
      <c r="M2419" s="98">
        <v>17.128</v>
      </c>
      <c r="N2419" s="98">
        <v>1.4000999999999999</v>
      </c>
      <c r="O2419" s="99" t="s">
        <v>2513</v>
      </c>
    </row>
    <row r="2420" spans="1:15" x14ac:dyDescent="0.25">
      <c r="A2420" s="98" t="s">
        <v>68</v>
      </c>
      <c r="B2420" s="98" t="s">
        <v>47</v>
      </c>
      <c r="C2420" s="98">
        <v>1</v>
      </c>
      <c r="D2420" s="98">
        <v>10.4</v>
      </c>
      <c r="E2420" s="98">
        <v>1E-3</v>
      </c>
      <c r="F2420" s="98" t="s">
        <v>13</v>
      </c>
      <c r="G2420" s="98" t="s">
        <v>12</v>
      </c>
      <c r="H2420" s="98">
        <v>0.01</v>
      </c>
      <c r="I2420" s="98">
        <v>2</v>
      </c>
      <c r="J2420" s="98" t="s">
        <v>10</v>
      </c>
      <c r="K2420" s="98">
        <v>18</v>
      </c>
      <c r="L2420" s="98">
        <v>1.3998999999999999</v>
      </c>
      <c r="M2420" s="98">
        <v>17.138000000000002</v>
      </c>
      <c r="N2420" s="98">
        <v>1.3996999999999999</v>
      </c>
      <c r="O2420" s="99" t="s">
        <v>2514</v>
      </c>
    </row>
    <row r="2421" spans="1:15" x14ac:dyDescent="0.25">
      <c r="A2421" s="98" t="s">
        <v>68</v>
      </c>
      <c r="B2421" s="98" t="s">
        <v>47</v>
      </c>
      <c r="C2421" s="98">
        <v>1</v>
      </c>
      <c r="D2421" s="98">
        <v>10.4</v>
      </c>
      <c r="E2421" s="98">
        <v>0.01</v>
      </c>
      <c r="F2421" s="98" t="s">
        <v>13</v>
      </c>
      <c r="G2421" s="98" t="s">
        <v>12</v>
      </c>
      <c r="H2421" s="98">
        <v>0.01</v>
      </c>
      <c r="I2421" s="98">
        <v>2</v>
      </c>
      <c r="J2421" s="98" t="s">
        <v>10</v>
      </c>
      <c r="K2421" s="98">
        <v>18.047000000000001</v>
      </c>
      <c r="L2421" s="98">
        <v>1.3634999999999999</v>
      </c>
      <c r="M2421" s="98">
        <v>18.045000000000002</v>
      </c>
      <c r="N2421" s="98">
        <v>1.3626</v>
      </c>
      <c r="O2421" s="99" t="s">
        <v>2828</v>
      </c>
    </row>
    <row r="2422" spans="1:15" x14ac:dyDescent="0.25">
      <c r="A2422" s="98" t="s">
        <v>68</v>
      </c>
      <c r="B2422" s="98" t="s">
        <v>47</v>
      </c>
      <c r="C2422" s="98">
        <v>1</v>
      </c>
      <c r="D2422" s="98">
        <v>10.4</v>
      </c>
      <c r="E2422" s="98">
        <v>0.1</v>
      </c>
      <c r="F2422" s="98" t="s">
        <v>13</v>
      </c>
      <c r="G2422" s="98" t="s">
        <v>12</v>
      </c>
      <c r="H2422" s="98">
        <v>0.01</v>
      </c>
      <c r="I2422" s="98">
        <v>2</v>
      </c>
      <c r="J2422" s="98" t="s">
        <v>10</v>
      </c>
      <c r="K2422" s="98">
        <v>60.057000000000002</v>
      </c>
      <c r="L2422" s="98">
        <v>0.58243</v>
      </c>
      <c r="M2422" s="98">
        <v>60.055</v>
      </c>
      <c r="N2422" s="98">
        <v>0.58052000000000004</v>
      </c>
      <c r="O2422" s="99" t="s">
        <v>2515</v>
      </c>
    </row>
    <row r="2423" spans="1:15" x14ac:dyDescent="0.25">
      <c r="A2423" s="98" t="s">
        <v>68</v>
      </c>
      <c r="B2423" s="98" t="s">
        <v>47</v>
      </c>
      <c r="C2423" s="98">
        <v>1</v>
      </c>
      <c r="D2423" s="98">
        <v>10.4</v>
      </c>
      <c r="E2423" s="98">
        <v>1</v>
      </c>
      <c r="F2423" s="98" t="s">
        <v>13</v>
      </c>
      <c r="G2423" s="98" t="s">
        <v>12</v>
      </c>
      <c r="H2423" s="98">
        <v>0.01</v>
      </c>
      <c r="I2423" s="98">
        <v>2</v>
      </c>
      <c r="J2423" s="98" t="s">
        <v>10</v>
      </c>
      <c r="K2423" s="98">
        <v>579.27</v>
      </c>
      <c r="L2423" s="98">
        <v>0.34275</v>
      </c>
      <c r="M2423" s="98">
        <v>579.27</v>
      </c>
      <c r="N2423" s="98">
        <v>0.34186</v>
      </c>
      <c r="O2423" s="99" t="s">
        <v>2829</v>
      </c>
    </row>
    <row r="2424" spans="1:15" x14ac:dyDescent="0.25">
      <c r="A2424" s="98" t="s">
        <v>68</v>
      </c>
      <c r="B2424" s="98" t="s">
        <v>8</v>
      </c>
      <c r="C2424" s="98">
        <v>0</v>
      </c>
      <c r="D2424" s="98">
        <v>0.1</v>
      </c>
      <c r="E2424" s="98">
        <v>9.9999999999999995E-7</v>
      </c>
      <c r="F2424" s="98" t="s">
        <v>6</v>
      </c>
      <c r="G2424" s="98" t="s">
        <v>5</v>
      </c>
      <c r="H2424" s="98">
        <v>2</v>
      </c>
      <c r="I2424" s="98">
        <v>20</v>
      </c>
      <c r="J2424" s="98" t="s">
        <v>10</v>
      </c>
      <c r="K2424" s="98">
        <v>36</v>
      </c>
      <c r="L2424" s="98">
        <v>930</v>
      </c>
      <c r="M2424" s="98">
        <v>35.470999999999997</v>
      </c>
      <c r="N2424" s="98">
        <v>926.49</v>
      </c>
      <c r="O2424" s="99" t="s">
        <v>2810</v>
      </c>
    </row>
    <row r="2425" spans="1:15" x14ac:dyDescent="0.25">
      <c r="A2425" s="98" t="s">
        <v>68</v>
      </c>
      <c r="B2425" s="98" t="s">
        <v>8</v>
      </c>
      <c r="C2425" s="98">
        <v>0</v>
      </c>
      <c r="D2425" s="98">
        <v>0.1</v>
      </c>
      <c r="E2425" s="98">
        <v>9.9999999999999995E-7</v>
      </c>
      <c r="F2425" s="98" t="s">
        <v>6</v>
      </c>
      <c r="G2425" s="98" t="s">
        <v>5</v>
      </c>
      <c r="H2425" s="98">
        <v>0.01</v>
      </c>
      <c r="I2425" s="98">
        <v>2</v>
      </c>
      <c r="J2425" s="98" t="s">
        <v>10</v>
      </c>
      <c r="K2425" s="98">
        <v>35</v>
      </c>
      <c r="L2425" s="98">
        <v>940</v>
      </c>
      <c r="M2425" s="98">
        <v>34.74</v>
      </c>
      <c r="N2425" s="98">
        <v>937.4</v>
      </c>
      <c r="O2425" s="99" t="s">
        <v>2466</v>
      </c>
    </row>
    <row r="2426" spans="1:15" x14ac:dyDescent="0.25">
      <c r="A2426" s="98" t="s">
        <v>68</v>
      </c>
      <c r="B2426" s="98" t="s">
        <v>8</v>
      </c>
      <c r="C2426" s="98">
        <v>0</v>
      </c>
      <c r="D2426" s="98">
        <v>0.1</v>
      </c>
      <c r="E2426" s="98">
        <v>1.0000000000000001E-5</v>
      </c>
      <c r="F2426" s="98" t="s">
        <v>6</v>
      </c>
      <c r="G2426" s="98" t="s">
        <v>5</v>
      </c>
      <c r="H2426" s="98">
        <v>0.01</v>
      </c>
      <c r="I2426" s="98">
        <v>2</v>
      </c>
      <c r="J2426" s="98" t="s">
        <v>10</v>
      </c>
      <c r="K2426" s="98">
        <v>35.161999999999999</v>
      </c>
      <c r="L2426" s="98">
        <v>934.08</v>
      </c>
      <c r="M2426" s="98">
        <v>35.156999999999996</v>
      </c>
      <c r="N2426" s="98">
        <v>934.05</v>
      </c>
      <c r="O2426" s="99" t="s">
        <v>2811</v>
      </c>
    </row>
    <row r="2427" spans="1:15" x14ac:dyDescent="0.25">
      <c r="A2427" s="98" t="s">
        <v>68</v>
      </c>
      <c r="B2427" s="98" t="s">
        <v>8</v>
      </c>
      <c r="C2427" s="98">
        <v>0</v>
      </c>
      <c r="D2427" s="98">
        <v>0.1</v>
      </c>
      <c r="E2427" s="98">
        <v>1.0000000000000001E-5</v>
      </c>
      <c r="F2427" s="98" t="s">
        <v>6</v>
      </c>
      <c r="G2427" s="98" t="s">
        <v>5</v>
      </c>
      <c r="H2427" s="98">
        <v>2</v>
      </c>
      <c r="I2427" s="98">
        <v>20</v>
      </c>
      <c r="J2427" s="98" t="s">
        <v>10</v>
      </c>
      <c r="K2427" s="98">
        <v>36</v>
      </c>
      <c r="L2427" s="98">
        <v>923.18</v>
      </c>
      <c r="M2427" s="98">
        <v>35.865000000000002</v>
      </c>
      <c r="N2427" s="98">
        <v>923.15</v>
      </c>
      <c r="O2427" s="99" t="s">
        <v>2812</v>
      </c>
    </row>
    <row r="2428" spans="1:15" x14ac:dyDescent="0.25">
      <c r="A2428" s="98" t="s">
        <v>68</v>
      </c>
      <c r="B2428" s="98" t="s">
        <v>8</v>
      </c>
      <c r="C2428" s="98">
        <v>0</v>
      </c>
      <c r="D2428" s="98">
        <v>0.1</v>
      </c>
      <c r="E2428" s="98">
        <v>1E-4</v>
      </c>
      <c r="F2428" s="98" t="s">
        <v>6</v>
      </c>
      <c r="G2428" s="98" t="s">
        <v>5</v>
      </c>
      <c r="H2428" s="98">
        <v>0.01</v>
      </c>
      <c r="I2428" s="98">
        <v>2</v>
      </c>
      <c r="J2428" s="98" t="s">
        <v>10</v>
      </c>
      <c r="K2428" s="98">
        <v>67.116</v>
      </c>
      <c r="L2428" s="98">
        <v>737.26</v>
      </c>
      <c r="M2428" s="98">
        <v>67.105000000000004</v>
      </c>
      <c r="N2428" s="98">
        <v>737.07</v>
      </c>
      <c r="O2428" s="99" t="s">
        <v>2468</v>
      </c>
    </row>
    <row r="2429" spans="1:15" x14ac:dyDescent="0.25">
      <c r="A2429" s="98" t="s">
        <v>68</v>
      </c>
      <c r="B2429" s="98" t="s">
        <v>8</v>
      </c>
      <c r="C2429" s="98">
        <v>0</v>
      </c>
      <c r="D2429" s="98">
        <v>0.1</v>
      </c>
      <c r="E2429" s="98">
        <v>1E-4</v>
      </c>
      <c r="F2429" s="98" t="s">
        <v>6</v>
      </c>
      <c r="G2429" s="98" t="s">
        <v>5</v>
      </c>
      <c r="H2429" s="98">
        <v>2</v>
      </c>
      <c r="I2429" s="98">
        <v>20</v>
      </c>
      <c r="J2429" s="98" t="s">
        <v>10</v>
      </c>
      <c r="K2429" s="98">
        <v>67.126000000000005</v>
      </c>
      <c r="L2429" s="98">
        <v>727.32</v>
      </c>
      <c r="M2429" s="98">
        <v>67.116</v>
      </c>
      <c r="N2429" s="98">
        <v>727.12</v>
      </c>
      <c r="O2429" s="99" t="s">
        <v>2467</v>
      </c>
    </row>
    <row r="2430" spans="1:15" x14ac:dyDescent="0.25">
      <c r="A2430" s="98" t="s">
        <v>68</v>
      </c>
      <c r="B2430" s="98" t="s">
        <v>8</v>
      </c>
      <c r="C2430" s="98">
        <v>0</v>
      </c>
      <c r="D2430" s="98">
        <v>0.1</v>
      </c>
      <c r="E2430" s="98">
        <v>1E-3</v>
      </c>
      <c r="F2430" s="98" t="s">
        <v>6</v>
      </c>
      <c r="G2430" s="98" t="s">
        <v>5</v>
      </c>
      <c r="H2430" s="98">
        <v>0.01</v>
      </c>
      <c r="I2430" s="98">
        <v>2</v>
      </c>
      <c r="J2430" s="98" t="s">
        <v>10</v>
      </c>
      <c r="K2430" s="98">
        <v>578.33000000000004</v>
      </c>
      <c r="L2430" s="98">
        <v>131.69</v>
      </c>
      <c r="M2430" s="98">
        <v>578.32000000000005</v>
      </c>
      <c r="N2430" s="98">
        <v>131.46</v>
      </c>
      <c r="O2430" s="99" t="s">
        <v>2470</v>
      </c>
    </row>
    <row r="2431" spans="1:15" x14ac:dyDescent="0.25">
      <c r="A2431" s="98" t="s">
        <v>68</v>
      </c>
      <c r="B2431" s="98" t="s">
        <v>8</v>
      </c>
      <c r="C2431" s="98">
        <v>0</v>
      </c>
      <c r="D2431" s="98">
        <v>0.1</v>
      </c>
      <c r="E2431" s="98">
        <v>1E-3</v>
      </c>
      <c r="F2431" s="98" t="s">
        <v>6</v>
      </c>
      <c r="G2431" s="98" t="s">
        <v>5</v>
      </c>
      <c r="H2431" s="98">
        <v>2</v>
      </c>
      <c r="I2431" s="98">
        <v>20</v>
      </c>
      <c r="J2431" s="98" t="s">
        <v>10</v>
      </c>
      <c r="K2431" s="98">
        <v>578.33000000000004</v>
      </c>
      <c r="L2431" s="98">
        <v>129.33000000000001</v>
      </c>
      <c r="M2431" s="98">
        <v>578.32000000000005</v>
      </c>
      <c r="N2431" s="98">
        <v>129.1</v>
      </c>
      <c r="O2431" s="99" t="s">
        <v>2469</v>
      </c>
    </row>
    <row r="2432" spans="1:15" x14ac:dyDescent="0.25">
      <c r="A2432" s="98" t="s">
        <v>68</v>
      </c>
      <c r="B2432" s="98" t="s">
        <v>8</v>
      </c>
      <c r="C2432" s="98">
        <v>0</v>
      </c>
      <c r="D2432" s="98">
        <v>0.1</v>
      </c>
      <c r="E2432" s="98">
        <v>0.01</v>
      </c>
      <c r="F2432" s="98" t="s">
        <v>6</v>
      </c>
      <c r="G2432" s="98" t="s">
        <v>5</v>
      </c>
      <c r="H2432" s="98">
        <v>2</v>
      </c>
      <c r="I2432" s="98">
        <v>20</v>
      </c>
      <c r="J2432" s="98" t="s">
        <v>10</v>
      </c>
      <c r="K2432" s="98">
        <v>5773.7</v>
      </c>
      <c r="L2432" s="98">
        <v>13.173</v>
      </c>
      <c r="M2432" s="98">
        <v>5773.6</v>
      </c>
      <c r="N2432" s="98">
        <v>13.074999999999999</v>
      </c>
      <c r="O2432" s="99" t="s">
        <v>2471</v>
      </c>
    </row>
    <row r="2433" spans="1:15" x14ac:dyDescent="0.25">
      <c r="A2433" s="98" t="s">
        <v>68</v>
      </c>
      <c r="B2433" s="98" t="s">
        <v>8</v>
      </c>
      <c r="C2433" s="98">
        <v>0</v>
      </c>
      <c r="D2433" s="98">
        <v>0.1</v>
      </c>
      <c r="E2433" s="98">
        <v>0.01</v>
      </c>
      <c r="F2433" s="98" t="s">
        <v>6</v>
      </c>
      <c r="G2433" s="98" t="s">
        <v>5</v>
      </c>
      <c r="H2433" s="98">
        <v>0.01</v>
      </c>
      <c r="I2433" s="98">
        <v>2</v>
      </c>
      <c r="J2433" s="98" t="s">
        <v>10</v>
      </c>
      <c r="K2433" s="98">
        <v>5773.7</v>
      </c>
      <c r="L2433" s="98">
        <v>13.414999999999999</v>
      </c>
      <c r="M2433" s="98">
        <v>5773.6</v>
      </c>
      <c r="N2433" s="98">
        <v>13.317</v>
      </c>
      <c r="O2433" s="99" t="s">
        <v>2472</v>
      </c>
    </row>
    <row r="2434" spans="1:15" x14ac:dyDescent="0.25">
      <c r="A2434" s="98" t="s">
        <v>68</v>
      </c>
      <c r="B2434" s="98" t="s">
        <v>8</v>
      </c>
      <c r="C2434" s="98">
        <v>0.1</v>
      </c>
      <c r="D2434" s="98">
        <v>1</v>
      </c>
      <c r="E2434" s="98">
        <v>1.0000000000000001E-5</v>
      </c>
      <c r="F2434" s="98" t="s">
        <v>6</v>
      </c>
      <c r="G2434" s="98" t="s">
        <v>5</v>
      </c>
      <c r="H2434" s="98">
        <v>2</v>
      </c>
      <c r="I2434" s="98">
        <v>20</v>
      </c>
      <c r="J2434" s="98" t="s">
        <v>10</v>
      </c>
      <c r="K2434" s="98">
        <v>850</v>
      </c>
      <c r="L2434" s="98">
        <v>1700</v>
      </c>
      <c r="M2434" s="98">
        <v>808.55</v>
      </c>
      <c r="N2434" s="98">
        <v>1738.9</v>
      </c>
      <c r="O2434" s="99" t="s">
        <v>2474</v>
      </c>
    </row>
    <row r="2435" spans="1:15" x14ac:dyDescent="0.25">
      <c r="A2435" s="98" t="s">
        <v>68</v>
      </c>
      <c r="B2435" s="98" t="s">
        <v>8</v>
      </c>
      <c r="C2435" s="98">
        <v>0.1</v>
      </c>
      <c r="D2435" s="98">
        <v>1</v>
      </c>
      <c r="E2435" s="98">
        <v>1.0000000000000001E-5</v>
      </c>
      <c r="F2435" s="98" t="s">
        <v>6</v>
      </c>
      <c r="G2435" s="98" t="s">
        <v>5</v>
      </c>
      <c r="H2435" s="98">
        <v>0.01</v>
      </c>
      <c r="I2435" s="98">
        <v>2</v>
      </c>
      <c r="J2435" s="98" t="s">
        <v>10</v>
      </c>
      <c r="K2435" s="98">
        <v>350</v>
      </c>
      <c r="L2435" s="98">
        <v>940</v>
      </c>
      <c r="M2435" s="98">
        <v>347.15</v>
      </c>
      <c r="N2435" s="98">
        <v>937.18</v>
      </c>
      <c r="O2435" s="99" t="s">
        <v>2473</v>
      </c>
    </row>
    <row r="2436" spans="1:15" x14ac:dyDescent="0.25">
      <c r="A2436" s="98" t="s">
        <v>68</v>
      </c>
      <c r="B2436" s="98" t="s">
        <v>8</v>
      </c>
      <c r="C2436" s="98">
        <v>0.1</v>
      </c>
      <c r="D2436" s="98">
        <v>1</v>
      </c>
      <c r="E2436" s="98">
        <v>1E-4</v>
      </c>
      <c r="F2436" s="98" t="s">
        <v>6</v>
      </c>
      <c r="G2436" s="98" t="s">
        <v>5</v>
      </c>
      <c r="H2436" s="98">
        <v>2</v>
      </c>
      <c r="I2436" s="98">
        <v>20</v>
      </c>
      <c r="J2436" s="98" t="s">
        <v>10</v>
      </c>
      <c r="K2436" s="98">
        <v>850</v>
      </c>
      <c r="L2436" s="98">
        <v>1737.8</v>
      </c>
      <c r="M2436" s="98">
        <v>810.33</v>
      </c>
      <c r="N2436" s="98">
        <v>1737.8</v>
      </c>
      <c r="O2436" s="99" t="s">
        <v>2475</v>
      </c>
    </row>
    <row r="2437" spans="1:15" x14ac:dyDescent="0.25">
      <c r="A2437" s="98" t="s">
        <v>68</v>
      </c>
      <c r="B2437" s="98" t="s">
        <v>8</v>
      </c>
      <c r="C2437" s="98">
        <v>0.1</v>
      </c>
      <c r="D2437" s="98">
        <v>1</v>
      </c>
      <c r="E2437" s="98">
        <v>1E-4</v>
      </c>
      <c r="F2437" s="98" t="s">
        <v>6</v>
      </c>
      <c r="G2437" s="98" t="s">
        <v>5</v>
      </c>
      <c r="H2437" s="98">
        <v>0.01</v>
      </c>
      <c r="I2437" s="98">
        <v>2</v>
      </c>
      <c r="J2437" s="98" t="s">
        <v>10</v>
      </c>
      <c r="K2437" s="98">
        <v>351.19</v>
      </c>
      <c r="L2437" s="98">
        <v>934.51</v>
      </c>
      <c r="M2437" s="98">
        <v>351.16</v>
      </c>
      <c r="N2437" s="98">
        <v>934.46</v>
      </c>
      <c r="O2437" s="99" t="s">
        <v>2813</v>
      </c>
    </row>
    <row r="2438" spans="1:15" x14ac:dyDescent="0.25">
      <c r="A2438" s="98" t="s">
        <v>68</v>
      </c>
      <c r="B2438" s="98" t="s">
        <v>8</v>
      </c>
      <c r="C2438" s="98">
        <v>0.1</v>
      </c>
      <c r="D2438" s="98">
        <v>1</v>
      </c>
      <c r="E2438" s="98">
        <v>1E-3</v>
      </c>
      <c r="F2438" s="98" t="s">
        <v>6</v>
      </c>
      <c r="G2438" s="98" t="s">
        <v>5</v>
      </c>
      <c r="H2438" s="98">
        <v>2</v>
      </c>
      <c r="I2438" s="98">
        <v>20</v>
      </c>
      <c r="J2438" s="98" t="s">
        <v>10</v>
      </c>
      <c r="K2438" s="98">
        <v>976.25</v>
      </c>
      <c r="L2438" s="98">
        <v>1636.3</v>
      </c>
      <c r="M2438" s="98">
        <v>975.89</v>
      </c>
      <c r="N2438" s="98">
        <v>1636.2</v>
      </c>
      <c r="O2438" s="99" t="s">
        <v>2477</v>
      </c>
    </row>
    <row r="2439" spans="1:15" x14ac:dyDescent="0.25">
      <c r="A2439" s="98" t="s">
        <v>68</v>
      </c>
      <c r="B2439" s="98" t="s">
        <v>8</v>
      </c>
      <c r="C2439" s="98">
        <v>0.1</v>
      </c>
      <c r="D2439" s="98">
        <v>1</v>
      </c>
      <c r="E2439" s="98">
        <v>1E-3</v>
      </c>
      <c r="F2439" s="98" t="s">
        <v>6</v>
      </c>
      <c r="G2439" s="98" t="s">
        <v>5</v>
      </c>
      <c r="H2439" s="98">
        <v>0.01</v>
      </c>
      <c r="I2439" s="98">
        <v>2</v>
      </c>
      <c r="J2439" s="98" t="s">
        <v>10</v>
      </c>
      <c r="K2439" s="98">
        <v>650.74</v>
      </c>
      <c r="L2439" s="98">
        <v>757.68</v>
      </c>
      <c r="M2439" s="98">
        <v>650.66</v>
      </c>
      <c r="N2439" s="98">
        <v>757.46</v>
      </c>
      <c r="O2439" s="99" t="s">
        <v>2476</v>
      </c>
    </row>
    <row r="2440" spans="1:15" x14ac:dyDescent="0.25">
      <c r="A2440" s="98" t="s">
        <v>68</v>
      </c>
      <c r="B2440" s="98" t="s">
        <v>8</v>
      </c>
      <c r="C2440" s="98">
        <v>0.1</v>
      </c>
      <c r="D2440" s="98">
        <v>1</v>
      </c>
      <c r="E2440" s="98">
        <v>0.01</v>
      </c>
      <c r="F2440" s="98" t="s">
        <v>6</v>
      </c>
      <c r="G2440" s="98" t="s">
        <v>5</v>
      </c>
      <c r="H2440" s="98">
        <v>2</v>
      </c>
      <c r="I2440" s="98">
        <v>20</v>
      </c>
      <c r="J2440" s="98" t="s">
        <v>10</v>
      </c>
      <c r="K2440" s="98">
        <v>5806.3</v>
      </c>
      <c r="L2440" s="98">
        <v>505.05</v>
      </c>
      <c r="M2440" s="98">
        <v>5806.1</v>
      </c>
      <c r="N2440" s="98">
        <v>504.49</v>
      </c>
      <c r="O2440" s="99" t="s">
        <v>2814</v>
      </c>
    </row>
    <row r="2441" spans="1:15" x14ac:dyDescent="0.25">
      <c r="A2441" s="98" t="s">
        <v>68</v>
      </c>
      <c r="B2441" s="98" t="s">
        <v>8</v>
      </c>
      <c r="C2441" s="98">
        <v>0.1</v>
      </c>
      <c r="D2441" s="98">
        <v>1</v>
      </c>
      <c r="E2441" s="98">
        <v>0.01</v>
      </c>
      <c r="F2441" s="98" t="s">
        <v>6</v>
      </c>
      <c r="G2441" s="98" t="s">
        <v>5</v>
      </c>
      <c r="H2441" s="98">
        <v>0.01</v>
      </c>
      <c r="I2441" s="98">
        <v>2</v>
      </c>
      <c r="J2441" s="98" t="s">
        <v>10</v>
      </c>
      <c r="K2441" s="98">
        <v>5776.6</v>
      </c>
      <c r="L2441" s="98">
        <v>138.38999999999999</v>
      </c>
      <c r="M2441" s="98">
        <v>5776.5</v>
      </c>
      <c r="N2441" s="98">
        <v>138.13</v>
      </c>
      <c r="O2441" s="99" t="s">
        <v>2478</v>
      </c>
    </row>
    <row r="2442" spans="1:15" x14ac:dyDescent="0.25">
      <c r="A2442" s="98" t="s">
        <v>68</v>
      </c>
      <c r="B2442" s="98" t="s">
        <v>8</v>
      </c>
      <c r="C2442" s="98">
        <v>0.1</v>
      </c>
      <c r="D2442" s="98">
        <v>1</v>
      </c>
      <c r="E2442" s="98">
        <v>0.1</v>
      </c>
      <c r="F2442" s="98" t="s">
        <v>6</v>
      </c>
      <c r="G2442" s="98" t="s">
        <v>5</v>
      </c>
      <c r="H2442" s="98">
        <v>0.01</v>
      </c>
      <c r="I2442" s="98">
        <v>2</v>
      </c>
      <c r="J2442" s="98" t="s">
        <v>10</v>
      </c>
      <c r="K2442" s="98">
        <v>57736</v>
      </c>
      <c r="L2442" s="98">
        <v>14.108000000000001</v>
      </c>
      <c r="M2442" s="98">
        <v>57736</v>
      </c>
      <c r="N2442" s="98">
        <v>14</v>
      </c>
      <c r="O2442" s="99" t="s">
        <v>2815</v>
      </c>
    </row>
    <row r="2443" spans="1:15" x14ac:dyDescent="0.25">
      <c r="A2443" s="98" t="s">
        <v>68</v>
      </c>
      <c r="B2443" s="98" t="s">
        <v>8</v>
      </c>
      <c r="C2443" s="98">
        <v>0.1</v>
      </c>
      <c r="D2443" s="98">
        <v>1</v>
      </c>
      <c r="E2443" s="98">
        <v>0.1</v>
      </c>
      <c r="F2443" s="98" t="s">
        <v>6</v>
      </c>
      <c r="G2443" s="98" t="s">
        <v>5</v>
      </c>
      <c r="H2443" s="98">
        <v>2</v>
      </c>
      <c r="I2443" s="98">
        <v>20</v>
      </c>
      <c r="J2443" s="98" t="s">
        <v>10</v>
      </c>
      <c r="K2443" s="98">
        <v>57739</v>
      </c>
      <c r="L2443" s="98">
        <v>53.381</v>
      </c>
      <c r="M2443" s="98">
        <v>57739</v>
      </c>
      <c r="N2443" s="98">
        <v>53.128</v>
      </c>
      <c r="O2443" s="99" t="s">
        <v>2479</v>
      </c>
    </row>
    <row r="2444" spans="1:15" x14ac:dyDescent="0.25">
      <c r="A2444" s="98" t="s">
        <v>68</v>
      </c>
      <c r="B2444" s="98" t="s">
        <v>8</v>
      </c>
      <c r="C2444" s="98">
        <v>1</v>
      </c>
      <c r="D2444" s="98">
        <v>10</v>
      </c>
      <c r="E2444" s="98">
        <v>1E-4</v>
      </c>
      <c r="F2444" s="98" t="s">
        <v>6</v>
      </c>
      <c r="G2444" s="98" t="s">
        <v>4</v>
      </c>
      <c r="H2444" s="98">
        <v>0.01</v>
      </c>
      <c r="I2444" s="98">
        <v>2</v>
      </c>
      <c r="J2444" s="98" t="s">
        <v>10</v>
      </c>
      <c r="K2444" s="98">
        <v>3.5</v>
      </c>
      <c r="L2444" s="98">
        <v>0.94</v>
      </c>
      <c r="M2444" s="98">
        <v>3.4754999999999998</v>
      </c>
      <c r="N2444" s="98">
        <v>0.93718000000000001</v>
      </c>
      <c r="O2444" s="99" t="s">
        <v>2480</v>
      </c>
    </row>
    <row r="2445" spans="1:15" x14ac:dyDescent="0.25">
      <c r="A2445" s="98" t="s">
        <v>68</v>
      </c>
      <c r="B2445" s="98" t="s">
        <v>8</v>
      </c>
      <c r="C2445" s="98">
        <v>1</v>
      </c>
      <c r="D2445" s="98">
        <v>10</v>
      </c>
      <c r="E2445" s="98">
        <v>1E-4</v>
      </c>
      <c r="F2445" s="98" t="s">
        <v>6</v>
      </c>
      <c r="G2445" s="98" t="s">
        <v>4</v>
      </c>
      <c r="H2445" s="98">
        <v>2</v>
      </c>
      <c r="I2445" s="98">
        <v>20</v>
      </c>
      <c r="J2445" s="98" t="s">
        <v>10</v>
      </c>
      <c r="K2445" s="98">
        <v>8.1999999999999993</v>
      </c>
      <c r="L2445" s="98">
        <v>1.8</v>
      </c>
      <c r="M2445" s="98">
        <v>8.1347000000000005</v>
      </c>
      <c r="N2445" s="98">
        <v>1.7537</v>
      </c>
      <c r="O2445" s="99" t="s">
        <v>2481</v>
      </c>
    </row>
    <row r="2446" spans="1:15" x14ac:dyDescent="0.25">
      <c r="A2446" s="98" t="s">
        <v>68</v>
      </c>
      <c r="B2446" s="98" t="s">
        <v>8</v>
      </c>
      <c r="C2446" s="98">
        <v>1</v>
      </c>
      <c r="D2446" s="98">
        <v>10</v>
      </c>
      <c r="E2446" s="98">
        <v>1E-3</v>
      </c>
      <c r="F2446" s="98" t="s">
        <v>6</v>
      </c>
      <c r="G2446" s="98" t="s">
        <v>4</v>
      </c>
      <c r="H2446" s="98">
        <v>2</v>
      </c>
      <c r="I2446" s="98">
        <v>20</v>
      </c>
      <c r="J2446" s="98" t="s">
        <v>10</v>
      </c>
      <c r="K2446" s="98">
        <v>8.1999999999999993</v>
      </c>
      <c r="L2446" s="98">
        <v>1.7524999999999999</v>
      </c>
      <c r="M2446" s="98">
        <v>8.1524999999999999</v>
      </c>
      <c r="N2446" s="98">
        <v>1.7525999999999999</v>
      </c>
      <c r="O2446" s="99" t="s">
        <v>2816</v>
      </c>
    </row>
    <row r="2447" spans="1:15" x14ac:dyDescent="0.25">
      <c r="A2447" s="98" t="s">
        <v>68</v>
      </c>
      <c r="B2447" s="98" t="s">
        <v>8</v>
      </c>
      <c r="C2447" s="98">
        <v>1</v>
      </c>
      <c r="D2447" s="98">
        <v>10</v>
      </c>
      <c r="E2447" s="98">
        <v>1E-3</v>
      </c>
      <c r="F2447" s="98" t="s">
        <v>6</v>
      </c>
      <c r="G2447" s="98" t="s">
        <v>4</v>
      </c>
      <c r="H2447" s="98">
        <v>0.01</v>
      </c>
      <c r="I2447" s="98">
        <v>2</v>
      </c>
      <c r="J2447" s="98" t="s">
        <v>10</v>
      </c>
      <c r="K2447" s="98">
        <v>3.5127000000000002</v>
      </c>
      <c r="L2447" s="98">
        <v>0.93464999999999998</v>
      </c>
      <c r="M2447" s="98">
        <v>3.5116000000000001</v>
      </c>
      <c r="N2447" s="98">
        <v>0.93445999999999996</v>
      </c>
      <c r="O2447" s="99" t="s">
        <v>2482</v>
      </c>
    </row>
    <row r="2448" spans="1:15" x14ac:dyDescent="0.25">
      <c r="A2448" s="98" t="s">
        <v>68</v>
      </c>
      <c r="B2448" s="98" t="s">
        <v>8</v>
      </c>
      <c r="C2448" s="98">
        <v>1</v>
      </c>
      <c r="D2448" s="98">
        <v>10</v>
      </c>
      <c r="E2448" s="98">
        <v>0.01</v>
      </c>
      <c r="F2448" s="98" t="s">
        <v>6</v>
      </c>
      <c r="G2448" s="98" t="s">
        <v>4</v>
      </c>
      <c r="H2448" s="98">
        <v>2</v>
      </c>
      <c r="I2448" s="98">
        <v>20</v>
      </c>
      <c r="J2448" s="98" t="s">
        <v>10</v>
      </c>
      <c r="K2448" s="98">
        <v>9.8125999999999998</v>
      </c>
      <c r="L2448" s="98">
        <v>1.6513</v>
      </c>
      <c r="M2448" s="98">
        <v>9.7989999999999995</v>
      </c>
      <c r="N2448" s="98">
        <v>1.6514</v>
      </c>
      <c r="O2448" s="99" t="s">
        <v>2483</v>
      </c>
    </row>
    <row r="2449" spans="1:15" x14ac:dyDescent="0.25">
      <c r="A2449" s="98" t="s">
        <v>68</v>
      </c>
      <c r="B2449" s="98" t="s">
        <v>8</v>
      </c>
      <c r="C2449" s="98">
        <v>1</v>
      </c>
      <c r="D2449" s="98">
        <v>10</v>
      </c>
      <c r="E2449" s="98">
        <v>0.01</v>
      </c>
      <c r="F2449" s="98" t="s">
        <v>6</v>
      </c>
      <c r="G2449" s="98" t="s">
        <v>4</v>
      </c>
      <c r="H2449" s="98">
        <v>0.01</v>
      </c>
      <c r="I2449" s="98">
        <v>2</v>
      </c>
      <c r="J2449" s="98" t="s">
        <v>10</v>
      </c>
      <c r="K2449" s="98">
        <v>6.5091000000000001</v>
      </c>
      <c r="L2449" s="98">
        <v>0.75829999999999997</v>
      </c>
      <c r="M2449" s="98">
        <v>6.5065999999999997</v>
      </c>
      <c r="N2449" s="98">
        <v>0.75746000000000002</v>
      </c>
      <c r="O2449" s="99" t="s">
        <v>2484</v>
      </c>
    </row>
    <row r="2450" spans="1:15" x14ac:dyDescent="0.25">
      <c r="A2450" s="98" t="s">
        <v>68</v>
      </c>
      <c r="B2450" s="98" t="s">
        <v>8</v>
      </c>
      <c r="C2450" s="98">
        <v>1</v>
      </c>
      <c r="D2450" s="98">
        <v>10</v>
      </c>
      <c r="E2450" s="98">
        <v>0.1</v>
      </c>
      <c r="F2450" s="98" t="s">
        <v>6</v>
      </c>
      <c r="G2450" s="98" t="s">
        <v>4</v>
      </c>
      <c r="H2450" s="98">
        <v>2</v>
      </c>
      <c r="I2450" s="98">
        <v>20</v>
      </c>
      <c r="J2450" s="98" t="s">
        <v>10</v>
      </c>
      <c r="K2450" s="98">
        <v>58.073</v>
      </c>
      <c r="L2450" s="98">
        <v>0.51336999999999999</v>
      </c>
      <c r="M2450" s="98">
        <v>58.064</v>
      </c>
      <c r="N2450" s="98">
        <v>0.51215999999999995</v>
      </c>
      <c r="O2450" s="99" t="s">
        <v>2485</v>
      </c>
    </row>
    <row r="2451" spans="1:15" x14ac:dyDescent="0.25">
      <c r="A2451" s="98" t="s">
        <v>68</v>
      </c>
      <c r="B2451" s="98" t="s">
        <v>8</v>
      </c>
      <c r="C2451" s="98">
        <v>1</v>
      </c>
      <c r="D2451" s="98">
        <v>10</v>
      </c>
      <c r="E2451" s="98">
        <v>0.1</v>
      </c>
      <c r="F2451" s="98" t="s">
        <v>6</v>
      </c>
      <c r="G2451" s="98" t="s">
        <v>4</v>
      </c>
      <c r="H2451" s="98">
        <v>0.01</v>
      </c>
      <c r="I2451" s="98">
        <v>2</v>
      </c>
      <c r="J2451" s="98" t="s">
        <v>10</v>
      </c>
      <c r="K2451" s="98">
        <v>57.765999999999998</v>
      </c>
      <c r="L2451" s="98">
        <v>0.1391</v>
      </c>
      <c r="M2451" s="98">
        <v>57.765000000000001</v>
      </c>
      <c r="N2451" s="98">
        <v>0.13813</v>
      </c>
      <c r="O2451" s="99" t="s">
        <v>2817</v>
      </c>
    </row>
    <row r="2452" spans="1:15" x14ac:dyDescent="0.25">
      <c r="A2452" s="98" t="s">
        <v>68</v>
      </c>
      <c r="B2452" s="98" t="s">
        <v>8</v>
      </c>
      <c r="C2452" s="98">
        <v>1</v>
      </c>
      <c r="D2452" s="98">
        <v>10</v>
      </c>
      <c r="E2452" s="98">
        <v>1</v>
      </c>
      <c r="F2452" s="98" t="s">
        <v>6</v>
      </c>
      <c r="G2452" s="98" t="s">
        <v>4</v>
      </c>
      <c r="H2452" s="98">
        <v>0.01</v>
      </c>
      <c r="I2452" s="98">
        <v>2</v>
      </c>
      <c r="J2452" s="98" t="s">
        <v>10</v>
      </c>
      <c r="K2452" s="98">
        <v>577.36</v>
      </c>
      <c r="L2452" s="98">
        <v>1.4397E-2</v>
      </c>
      <c r="M2452" s="98">
        <v>577.36</v>
      </c>
      <c r="N2452" s="98">
        <v>1.4E-2</v>
      </c>
      <c r="O2452" s="99" t="s">
        <v>2487</v>
      </c>
    </row>
    <row r="2453" spans="1:15" x14ac:dyDescent="0.25">
      <c r="A2453" s="98" t="s">
        <v>68</v>
      </c>
      <c r="B2453" s="98" t="s">
        <v>8</v>
      </c>
      <c r="C2453" s="98">
        <v>1</v>
      </c>
      <c r="D2453" s="98">
        <v>10</v>
      </c>
      <c r="E2453" s="98">
        <v>1</v>
      </c>
      <c r="F2453" s="98" t="s">
        <v>6</v>
      </c>
      <c r="G2453" s="98" t="s">
        <v>4</v>
      </c>
      <c r="H2453" s="98">
        <v>2</v>
      </c>
      <c r="I2453" s="98">
        <v>20</v>
      </c>
      <c r="J2453" s="98" t="s">
        <v>10</v>
      </c>
      <c r="K2453" s="98">
        <v>577.39</v>
      </c>
      <c r="L2453" s="98">
        <v>5.4542E-2</v>
      </c>
      <c r="M2453" s="98">
        <v>577.39</v>
      </c>
      <c r="N2453" s="98">
        <v>5.3976000000000003E-2</v>
      </c>
      <c r="O2453" s="99" t="s">
        <v>2486</v>
      </c>
    </row>
    <row r="2454" spans="1:15" x14ac:dyDescent="0.25">
      <c r="A2454" s="98" t="s">
        <v>68</v>
      </c>
      <c r="B2454" s="98" t="s">
        <v>8</v>
      </c>
      <c r="C2454" s="98">
        <v>10</v>
      </c>
      <c r="D2454" s="98">
        <v>100</v>
      </c>
      <c r="E2454" s="98">
        <v>1E-3</v>
      </c>
      <c r="F2454" s="98" t="s">
        <v>6</v>
      </c>
      <c r="G2454" s="98" t="s">
        <v>4</v>
      </c>
      <c r="H2454" s="98">
        <v>0.04</v>
      </c>
      <c r="I2454" s="98">
        <v>1</v>
      </c>
      <c r="J2454" s="98" t="s">
        <v>10</v>
      </c>
      <c r="K2454" s="98">
        <v>35</v>
      </c>
      <c r="L2454" s="98">
        <v>0.95</v>
      </c>
      <c r="M2454" s="98">
        <v>34.942999999999998</v>
      </c>
      <c r="N2454" s="98">
        <v>0.94799</v>
      </c>
      <c r="O2454" s="99" t="s">
        <v>2488</v>
      </c>
    </row>
    <row r="2455" spans="1:15" x14ac:dyDescent="0.25">
      <c r="A2455" s="98" t="s">
        <v>68</v>
      </c>
      <c r="B2455" s="98" t="s">
        <v>8</v>
      </c>
      <c r="C2455" s="98">
        <v>10</v>
      </c>
      <c r="D2455" s="98">
        <v>100</v>
      </c>
      <c r="E2455" s="98">
        <v>0.01</v>
      </c>
      <c r="F2455" s="98" t="s">
        <v>6</v>
      </c>
      <c r="G2455" s="98" t="s">
        <v>4</v>
      </c>
      <c r="H2455" s="98">
        <v>0.04</v>
      </c>
      <c r="I2455" s="98">
        <v>1</v>
      </c>
      <c r="J2455" s="98" t="s">
        <v>10</v>
      </c>
      <c r="K2455" s="98">
        <v>35.348999999999997</v>
      </c>
      <c r="L2455" s="98">
        <v>0.94557000000000002</v>
      </c>
      <c r="M2455" s="98">
        <v>35.281999999999996</v>
      </c>
      <c r="N2455" s="98">
        <v>0.94527000000000005</v>
      </c>
      <c r="O2455" s="99" t="s">
        <v>2818</v>
      </c>
    </row>
    <row r="2456" spans="1:15" x14ac:dyDescent="0.25">
      <c r="A2456" s="98" t="s">
        <v>68</v>
      </c>
      <c r="B2456" s="98" t="s">
        <v>8</v>
      </c>
      <c r="C2456" s="98">
        <v>10</v>
      </c>
      <c r="D2456" s="98">
        <v>100</v>
      </c>
      <c r="E2456" s="98">
        <v>0.1</v>
      </c>
      <c r="F2456" s="98" t="s">
        <v>6</v>
      </c>
      <c r="G2456" s="98" t="s">
        <v>4</v>
      </c>
      <c r="H2456" s="98">
        <v>0.04</v>
      </c>
      <c r="I2456" s="98">
        <v>1</v>
      </c>
      <c r="J2456" s="98" t="s">
        <v>10</v>
      </c>
      <c r="K2456" s="98">
        <v>65.075999999999993</v>
      </c>
      <c r="L2456" s="98">
        <v>0.76909000000000005</v>
      </c>
      <c r="M2456" s="98">
        <v>64.997</v>
      </c>
      <c r="N2456" s="98">
        <v>0.76749999999999996</v>
      </c>
      <c r="O2456" s="99" t="s">
        <v>2489</v>
      </c>
    </row>
    <row r="2457" spans="1:15" x14ac:dyDescent="0.25">
      <c r="A2457" s="98" t="s">
        <v>68</v>
      </c>
      <c r="B2457" s="98" t="s">
        <v>8</v>
      </c>
      <c r="C2457" s="98">
        <v>10</v>
      </c>
      <c r="D2457" s="98">
        <v>100</v>
      </c>
      <c r="E2457" s="98">
        <v>1</v>
      </c>
      <c r="F2457" s="98" t="s">
        <v>6</v>
      </c>
      <c r="G2457" s="98" t="s">
        <v>4</v>
      </c>
      <c r="H2457" s="98">
        <v>0.04</v>
      </c>
      <c r="I2457" s="98">
        <v>1</v>
      </c>
      <c r="J2457" s="98" t="s">
        <v>10</v>
      </c>
      <c r="K2457" s="98">
        <v>577.66</v>
      </c>
      <c r="L2457" s="98">
        <v>0.14257</v>
      </c>
      <c r="M2457" s="98">
        <v>577.63</v>
      </c>
      <c r="N2457" s="98">
        <v>0.14057</v>
      </c>
      <c r="O2457" s="99" t="s">
        <v>2490</v>
      </c>
    </row>
    <row r="2458" spans="1:15" x14ac:dyDescent="0.25">
      <c r="A2458" s="98" t="s">
        <v>68</v>
      </c>
      <c r="B2458" s="98" t="s">
        <v>8</v>
      </c>
      <c r="C2458" s="98">
        <v>10</v>
      </c>
      <c r="D2458" s="98">
        <v>100</v>
      </c>
      <c r="E2458" s="98">
        <v>10</v>
      </c>
      <c r="F2458" s="98" t="s">
        <v>6</v>
      </c>
      <c r="G2458" s="98" t="s">
        <v>4</v>
      </c>
      <c r="H2458" s="98">
        <v>0.04</v>
      </c>
      <c r="I2458" s="98">
        <v>1</v>
      </c>
      <c r="J2458" s="98" t="s">
        <v>10</v>
      </c>
      <c r="K2458" s="98">
        <v>5773.6</v>
      </c>
      <c r="L2458" s="98">
        <v>1.5076000000000001E-2</v>
      </c>
      <c r="M2458" s="98">
        <v>5773.6</v>
      </c>
      <c r="N2458" s="98">
        <v>1.4250000000000001E-2</v>
      </c>
      <c r="O2458" s="99" t="s">
        <v>2491</v>
      </c>
    </row>
    <row r="2459" spans="1:15" x14ac:dyDescent="0.25">
      <c r="A2459" s="98" t="s">
        <v>68</v>
      </c>
      <c r="B2459" s="98" t="s">
        <v>8</v>
      </c>
      <c r="C2459" s="98">
        <v>100</v>
      </c>
      <c r="D2459" s="98">
        <v>1020</v>
      </c>
      <c r="E2459" s="98">
        <v>0.01</v>
      </c>
      <c r="F2459" s="98" t="s">
        <v>6</v>
      </c>
      <c r="G2459" s="98" t="s">
        <v>4</v>
      </c>
      <c r="H2459" s="98">
        <v>0.04</v>
      </c>
      <c r="I2459" s="98">
        <v>1</v>
      </c>
      <c r="J2459" s="98" t="s">
        <v>10</v>
      </c>
      <c r="K2459" s="98">
        <v>360</v>
      </c>
      <c r="L2459" s="98">
        <v>1.1000000000000001</v>
      </c>
      <c r="M2459" s="98">
        <v>337.15</v>
      </c>
      <c r="N2459" s="98">
        <v>1.1167</v>
      </c>
      <c r="O2459" s="99" t="s">
        <v>2492</v>
      </c>
    </row>
    <row r="2460" spans="1:15" x14ac:dyDescent="0.25">
      <c r="A2460" s="98" t="s">
        <v>68</v>
      </c>
      <c r="B2460" s="98" t="s">
        <v>8</v>
      </c>
      <c r="C2460" s="98">
        <v>100</v>
      </c>
      <c r="D2460" s="98">
        <v>1020</v>
      </c>
      <c r="E2460" s="98">
        <v>0.1</v>
      </c>
      <c r="F2460" s="98" t="s">
        <v>6</v>
      </c>
      <c r="G2460" s="98" t="s">
        <v>4</v>
      </c>
      <c r="H2460" s="98">
        <v>0.04</v>
      </c>
      <c r="I2460" s="98">
        <v>1</v>
      </c>
      <c r="J2460" s="98" t="s">
        <v>10</v>
      </c>
      <c r="K2460" s="98">
        <v>360</v>
      </c>
      <c r="L2460" s="98">
        <v>1.1141000000000001</v>
      </c>
      <c r="M2460" s="98">
        <v>341.11</v>
      </c>
      <c r="N2460" s="98">
        <v>1.1138999999999999</v>
      </c>
      <c r="O2460" s="99" t="s">
        <v>2493</v>
      </c>
    </row>
    <row r="2461" spans="1:15" x14ac:dyDescent="0.25">
      <c r="A2461" s="98" t="s">
        <v>68</v>
      </c>
      <c r="B2461" s="98" t="s">
        <v>8</v>
      </c>
      <c r="C2461" s="98">
        <v>100</v>
      </c>
      <c r="D2461" s="98">
        <v>1020</v>
      </c>
      <c r="E2461" s="98">
        <v>1</v>
      </c>
      <c r="F2461" s="98" t="s">
        <v>6</v>
      </c>
      <c r="G2461" s="98" t="s">
        <v>4</v>
      </c>
      <c r="H2461" s="98">
        <v>0.04</v>
      </c>
      <c r="I2461" s="98">
        <v>1</v>
      </c>
      <c r="J2461" s="98" t="s">
        <v>10</v>
      </c>
      <c r="K2461" s="98">
        <v>639.27</v>
      </c>
      <c r="L2461" s="98">
        <v>0.92932000000000003</v>
      </c>
      <c r="M2461" s="98">
        <v>638.46</v>
      </c>
      <c r="N2461" s="98">
        <v>0.92803000000000002</v>
      </c>
      <c r="O2461" s="99" t="s">
        <v>2819</v>
      </c>
    </row>
    <row r="2462" spans="1:15" x14ac:dyDescent="0.25">
      <c r="A2462" s="98" t="s">
        <v>68</v>
      </c>
      <c r="B2462" s="98" t="s">
        <v>8</v>
      </c>
      <c r="C2462" s="98">
        <v>100</v>
      </c>
      <c r="D2462" s="98">
        <v>1020</v>
      </c>
      <c r="E2462" s="98">
        <v>10</v>
      </c>
      <c r="F2462" s="98" t="s">
        <v>6</v>
      </c>
      <c r="G2462" s="98" t="s">
        <v>4</v>
      </c>
      <c r="H2462" s="98">
        <v>0.04</v>
      </c>
      <c r="I2462" s="98">
        <v>1</v>
      </c>
      <c r="J2462" s="98" t="s">
        <v>10</v>
      </c>
      <c r="K2462" s="98">
        <v>5773</v>
      </c>
      <c r="L2462" s="98">
        <v>0.18489</v>
      </c>
      <c r="M2462" s="98">
        <v>5772.7</v>
      </c>
      <c r="N2462" s="98">
        <v>0.18293999999999999</v>
      </c>
      <c r="O2462" s="99" t="s">
        <v>2494</v>
      </c>
    </row>
    <row r="2463" spans="1:15" x14ac:dyDescent="0.25">
      <c r="A2463" s="98" t="s">
        <v>68</v>
      </c>
      <c r="B2463" s="98" t="s">
        <v>8</v>
      </c>
      <c r="C2463" s="98">
        <v>100</v>
      </c>
      <c r="D2463" s="98">
        <v>1020</v>
      </c>
      <c r="E2463" s="98">
        <v>100</v>
      </c>
      <c r="F2463" s="98" t="s">
        <v>6</v>
      </c>
      <c r="G2463" s="98" t="s">
        <v>4</v>
      </c>
      <c r="H2463" s="98">
        <v>0.04</v>
      </c>
      <c r="I2463" s="98">
        <v>1</v>
      </c>
      <c r="J2463" s="98" t="s">
        <v>10</v>
      </c>
      <c r="K2463" s="98">
        <v>57736</v>
      </c>
      <c r="L2463" s="98">
        <v>1.9421000000000001E-2</v>
      </c>
      <c r="M2463" s="98">
        <v>57735</v>
      </c>
      <c r="N2463" s="98">
        <v>1.8613000000000001E-2</v>
      </c>
      <c r="O2463" s="99" t="s">
        <v>2495</v>
      </c>
    </row>
    <row r="2464" spans="1:15" x14ac:dyDescent="0.25">
      <c r="A2464" s="98" t="s">
        <v>68</v>
      </c>
      <c r="B2464" s="98" t="s">
        <v>14</v>
      </c>
      <c r="C2464" s="98">
        <v>1.0000000000000001E-9</v>
      </c>
      <c r="D2464" s="98">
        <v>1E-8</v>
      </c>
      <c r="E2464" s="98">
        <v>9.9999999999999998E-13</v>
      </c>
      <c r="F2464" s="98" t="s">
        <v>140</v>
      </c>
      <c r="G2464" s="98" t="s">
        <v>15</v>
      </c>
      <c r="H2464" s="98">
        <v>0</v>
      </c>
      <c r="I2464" s="98">
        <v>0</v>
      </c>
      <c r="K2464" s="98">
        <v>3.5999999999999997E-2</v>
      </c>
      <c r="L2464" s="98">
        <v>6600000</v>
      </c>
      <c r="M2464" s="98">
        <v>3.5476000000000001E-2</v>
      </c>
      <c r="N2464" s="98">
        <v>6559300</v>
      </c>
      <c r="O2464" s="99" t="s">
        <v>1453</v>
      </c>
    </row>
    <row r="2465" spans="1:15" x14ac:dyDescent="0.25">
      <c r="A2465" s="98" t="s">
        <v>68</v>
      </c>
      <c r="B2465" s="98" t="s">
        <v>14</v>
      </c>
      <c r="C2465" s="98">
        <v>1.0000000000000001E-9</v>
      </c>
      <c r="D2465" s="98">
        <v>1E-8</v>
      </c>
      <c r="E2465" s="98">
        <v>9.9999999999999994E-12</v>
      </c>
      <c r="F2465" s="98" t="s">
        <v>140</v>
      </c>
      <c r="G2465" s="98" t="s">
        <v>15</v>
      </c>
      <c r="H2465" s="98">
        <v>0</v>
      </c>
      <c r="I2465" s="98">
        <v>0</v>
      </c>
      <c r="K2465" s="98">
        <v>3.5999999999999997E-2</v>
      </c>
      <c r="L2465" s="98">
        <v>6536700</v>
      </c>
      <c r="M2465" s="98">
        <v>3.5893000000000001E-2</v>
      </c>
      <c r="N2465" s="98">
        <v>6534200</v>
      </c>
      <c r="O2465" s="99" t="s">
        <v>1454</v>
      </c>
    </row>
    <row r="2466" spans="1:15" x14ac:dyDescent="0.25">
      <c r="A2466" s="98" t="s">
        <v>68</v>
      </c>
      <c r="B2466" s="98" t="s">
        <v>14</v>
      </c>
      <c r="C2466" s="98">
        <v>1.0000000000000001E-9</v>
      </c>
      <c r="D2466" s="98">
        <v>1E-8</v>
      </c>
      <c r="E2466" s="98">
        <v>1E-10</v>
      </c>
      <c r="F2466" s="98" t="s">
        <v>140</v>
      </c>
      <c r="G2466" s="98" t="s">
        <v>15</v>
      </c>
      <c r="H2466" s="98">
        <v>0</v>
      </c>
      <c r="I2466" s="98">
        <v>0</v>
      </c>
      <c r="K2466" s="98">
        <v>6.6424999999999998E-2</v>
      </c>
      <c r="L2466" s="98">
        <v>5023200</v>
      </c>
      <c r="M2466" s="98">
        <v>6.6402000000000003E-2</v>
      </c>
      <c r="N2466" s="98">
        <v>5012600</v>
      </c>
      <c r="O2466" s="99" t="s">
        <v>1455</v>
      </c>
    </row>
    <row r="2467" spans="1:15" x14ac:dyDescent="0.25">
      <c r="A2467" s="98" t="s">
        <v>68</v>
      </c>
      <c r="B2467" s="98" t="s">
        <v>14</v>
      </c>
      <c r="C2467" s="98">
        <v>1.0000000000000001E-9</v>
      </c>
      <c r="D2467" s="98">
        <v>1E-8</v>
      </c>
      <c r="E2467" s="98">
        <v>1.0000000000000001E-9</v>
      </c>
      <c r="F2467" s="98" t="s">
        <v>140</v>
      </c>
      <c r="G2467" s="98" t="s">
        <v>15</v>
      </c>
      <c r="H2467" s="98">
        <v>0</v>
      </c>
      <c r="I2467" s="98">
        <v>0</v>
      </c>
      <c r="K2467" s="98">
        <v>0.57862999999999998</v>
      </c>
      <c r="L2467" s="98">
        <v>1104800</v>
      </c>
      <c r="M2467" s="98">
        <v>0.57862999999999998</v>
      </c>
      <c r="N2467" s="98">
        <v>1095300</v>
      </c>
      <c r="O2467" s="99" t="s">
        <v>1456</v>
      </c>
    </row>
    <row r="2468" spans="1:15" x14ac:dyDescent="0.25">
      <c r="A2468" s="98" t="s">
        <v>68</v>
      </c>
      <c r="B2468" s="98" t="s">
        <v>14</v>
      </c>
      <c r="C2468" s="98">
        <v>1.0000000000000001E-9</v>
      </c>
      <c r="D2468" s="98">
        <v>1E-8</v>
      </c>
      <c r="E2468" s="98">
        <v>1E-8</v>
      </c>
      <c r="F2468" s="98" t="s">
        <v>140</v>
      </c>
      <c r="G2468" s="98" t="s">
        <v>15</v>
      </c>
      <c r="H2468" s="98">
        <v>0</v>
      </c>
      <c r="I2468" s="98">
        <v>0</v>
      </c>
      <c r="K2468" s="98">
        <v>5.7903000000000002</v>
      </c>
      <c r="L2468" s="98">
        <v>3024400</v>
      </c>
      <c r="M2468" s="98">
        <v>5.7903000000000002</v>
      </c>
      <c r="N2468" s="98">
        <v>3020500</v>
      </c>
      <c r="O2468" s="99" t="s">
        <v>1457</v>
      </c>
    </row>
    <row r="2469" spans="1:15" x14ac:dyDescent="0.25">
      <c r="A2469" s="98" t="s">
        <v>68</v>
      </c>
      <c r="B2469" s="98" t="s">
        <v>14</v>
      </c>
      <c r="C2469" s="98">
        <v>1E-8</v>
      </c>
      <c r="D2469" s="98">
        <v>9.9999999999999995E-8</v>
      </c>
      <c r="E2469" s="98">
        <v>9.9999999999999994E-12</v>
      </c>
      <c r="F2469" s="98" t="s">
        <v>140</v>
      </c>
      <c r="G2469" s="98" t="s">
        <v>15</v>
      </c>
      <c r="H2469" s="98">
        <v>0</v>
      </c>
      <c r="I2469" s="98">
        <v>0</v>
      </c>
      <c r="K2469" s="98">
        <v>0.5</v>
      </c>
      <c r="L2469" s="98">
        <v>5800000</v>
      </c>
      <c r="M2469" s="98">
        <v>0.48988999999999999</v>
      </c>
      <c r="N2469" s="98">
        <v>5801600</v>
      </c>
      <c r="O2469" s="99" t="s">
        <v>1458</v>
      </c>
    </row>
    <row r="2470" spans="1:15" x14ac:dyDescent="0.25">
      <c r="A2470" s="98" t="s">
        <v>68</v>
      </c>
      <c r="B2470" s="98" t="s">
        <v>14</v>
      </c>
      <c r="C2470" s="98">
        <v>1E-8</v>
      </c>
      <c r="D2470" s="98">
        <v>9.9999999999999995E-8</v>
      </c>
      <c r="E2470" s="98">
        <v>1E-10</v>
      </c>
      <c r="F2470" s="98" t="s">
        <v>140</v>
      </c>
      <c r="G2470" s="98" t="s">
        <v>15</v>
      </c>
      <c r="H2470" s="98">
        <v>0</v>
      </c>
      <c r="I2470" s="98">
        <v>0</v>
      </c>
      <c r="K2470" s="98">
        <v>0.5</v>
      </c>
      <c r="L2470" s="98">
        <v>5788200</v>
      </c>
      <c r="M2470" s="98">
        <v>0.49306</v>
      </c>
      <c r="N2470" s="98">
        <v>5785500</v>
      </c>
      <c r="O2470" s="99" t="s">
        <v>1459</v>
      </c>
    </row>
    <row r="2471" spans="1:15" x14ac:dyDescent="0.25">
      <c r="A2471" s="98" t="s">
        <v>68</v>
      </c>
      <c r="B2471" s="98" t="s">
        <v>14</v>
      </c>
      <c r="C2471" s="98">
        <v>1E-8</v>
      </c>
      <c r="D2471" s="98">
        <v>9.9999999999999995E-8</v>
      </c>
      <c r="E2471" s="98">
        <v>1.0000000000000001E-9</v>
      </c>
      <c r="F2471" s="98" t="s">
        <v>140</v>
      </c>
      <c r="G2471" s="98" t="s">
        <v>15</v>
      </c>
      <c r="H2471" s="98">
        <v>0</v>
      </c>
      <c r="I2471" s="98">
        <v>0</v>
      </c>
      <c r="K2471" s="98">
        <v>0.74933000000000005</v>
      </c>
      <c r="L2471" s="98">
        <v>4690300</v>
      </c>
      <c r="M2471" s="98">
        <v>0.74914000000000003</v>
      </c>
      <c r="N2471" s="98">
        <v>4679800</v>
      </c>
      <c r="O2471" s="99" t="s">
        <v>1460</v>
      </c>
    </row>
    <row r="2472" spans="1:15" x14ac:dyDescent="0.25">
      <c r="A2472" s="98" t="s">
        <v>68</v>
      </c>
      <c r="B2472" s="98" t="s">
        <v>14</v>
      </c>
      <c r="C2472" s="98">
        <v>1E-8</v>
      </c>
      <c r="D2472" s="98">
        <v>9.9999999999999995E-8</v>
      </c>
      <c r="E2472" s="98">
        <v>1E-8</v>
      </c>
      <c r="F2472" s="98" t="s">
        <v>140</v>
      </c>
      <c r="G2472" s="98" t="s">
        <v>15</v>
      </c>
      <c r="H2472" s="98">
        <v>0</v>
      </c>
      <c r="I2472" s="98">
        <v>0</v>
      </c>
      <c r="K2472" s="98">
        <v>5.7969999999999997</v>
      </c>
      <c r="L2472" s="98">
        <v>1102800</v>
      </c>
      <c r="M2472" s="98">
        <v>5.7969999999999997</v>
      </c>
      <c r="N2472" s="98">
        <v>1093300</v>
      </c>
      <c r="O2472" s="99" t="s">
        <v>1461</v>
      </c>
    </row>
    <row r="2473" spans="1:15" x14ac:dyDescent="0.25">
      <c r="A2473" s="98" t="s">
        <v>68</v>
      </c>
      <c r="B2473" s="98" t="s">
        <v>14</v>
      </c>
      <c r="C2473" s="98">
        <v>1E-8</v>
      </c>
      <c r="D2473" s="98">
        <v>9.9999999999999995E-8</v>
      </c>
      <c r="E2473" s="98">
        <v>9.9999999999999995E-8</v>
      </c>
      <c r="F2473" s="98" t="s">
        <v>140</v>
      </c>
      <c r="G2473" s="98" t="s">
        <v>15</v>
      </c>
      <c r="H2473" s="98">
        <v>0</v>
      </c>
      <c r="I2473" s="98">
        <v>0</v>
      </c>
      <c r="K2473" s="98">
        <v>57.904000000000003</v>
      </c>
      <c r="L2473" s="98">
        <v>3024300</v>
      </c>
      <c r="M2473" s="98">
        <v>57.904000000000003</v>
      </c>
      <c r="N2473" s="98">
        <v>3020400</v>
      </c>
      <c r="O2473" s="99" t="s">
        <v>1462</v>
      </c>
    </row>
    <row r="2474" spans="1:15" x14ac:dyDescent="0.25">
      <c r="A2474" s="98" t="s">
        <v>68</v>
      </c>
      <c r="B2474" s="98" t="s">
        <v>14</v>
      </c>
      <c r="C2474" s="98">
        <v>9.9999999999999995E-8</v>
      </c>
      <c r="D2474" s="98">
        <v>9.9999999999999995E-7</v>
      </c>
      <c r="E2474" s="98">
        <v>1E-10</v>
      </c>
      <c r="F2474" s="98" t="s">
        <v>140</v>
      </c>
      <c r="G2474" s="98" t="s">
        <v>15</v>
      </c>
      <c r="H2474" s="98">
        <v>0</v>
      </c>
      <c r="I2474" s="98">
        <v>0</v>
      </c>
      <c r="K2474" s="98">
        <v>6.2</v>
      </c>
      <c r="L2474" s="98">
        <v>5200000</v>
      </c>
      <c r="M2474" s="98">
        <v>6.1439000000000004</v>
      </c>
      <c r="N2474" s="98">
        <v>5209500</v>
      </c>
      <c r="O2474" s="99" t="s">
        <v>1463</v>
      </c>
    </row>
    <row r="2475" spans="1:15" x14ac:dyDescent="0.25">
      <c r="A2475" s="98" t="s">
        <v>68</v>
      </c>
      <c r="B2475" s="98" t="s">
        <v>14</v>
      </c>
      <c r="C2475" s="98">
        <v>9.9999999999999995E-8</v>
      </c>
      <c r="D2475" s="98">
        <v>9.9999999999999995E-7</v>
      </c>
      <c r="E2475" s="98">
        <v>1.0000000000000001E-9</v>
      </c>
      <c r="F2475" s="98" t="s">
        <v>140</v>
      </c>
      <c r="G2475" s="98" t="s">
        <v>15</v>
      </c>
      <c r="H2475" s="98">
        <v>0</v>
      </c>
      <c r="I2475" s="98">
        <v>0</v>
      </c>
      <c r="K2475" s="98">
        <v>6.2</v>
      </c>
      <c r="L2475" s="98">
        <v>5201100</v>
      </c>
      <c r="M2475" s="98">
        <v>6.1698000000000004</v>
      </c>
      <c r="N2475" s="98">
        <v>5198400</v>
      </c>
      <c r="O2475" s="99" t="s">
        <v>1464</v>
      </c>
    </row>
    <row r="2476" spans="1:15" x14ac:dyDescent="0.25">
      <c r="A2476" s="98" t="s">
        <v>68</v>
      </c>
      <c r="B2476" s="98" t="s">
        <v>14</v>
      </c>
      <c r="C2476" s="98">
        <v>9.9999999999999995E-8</v>
      </c>
      <c r="D2476" s="98">
        <v>9.9999999999999995E-7</v>
      </c>
      <c r="E2476" s="98">
        <v>1E-8</v>
      </c>
      <c r="F2476" s="98" t="s">
        <v>140</v>
      </c>
      <c r="G2476" s="98" t="s">
        <v>15</v>
      </c>
      <c r="H2476" s="98">
        <v>0</v>
      </c>
      <c r="I2476" s="98">
        <v>0</v>
      </c>
      <c r="K2476" s="98">
        <v>8.3825000000000003</v>
      </c>
      <c r="L2476" s="98">
        <v>4378300</v>
      </c>
      <c r="M2476" s="98">
        <v>8.3808000000000007</v>
      </c>
      <c r="N2476" s="98">
        <v>4368200</v>
      </c>
      <c r="O2476" s="99" t="s">
        <v>1465</v>
      </c>
    </row>
    <row r="2477" spans="1:15" x14ac:dyDescent="0.25">
      <c r="A2477" s="98" t="s">
        <v>68</v>
      </c>
      <c r="B2477" s="98" t="s">
        <v>14</v>
      </c>
      <c r="C2477" s="98">
        <v>9.9999999999999995E-8</v>
      </c>
      <c r="D2477" s="98">
        <v>9.9999999999999995E-7</v>
      </c>
      <c r="E2477" s="98">
        <v>9.9999999999999995E-8</v>
      </c>
      <c r="F2477" s="98" t="s">
        <v>140</v>
      </c>
      <c r="G2477" s="98" t="s">
        <v>15</v>
      </c>
      <c r="H2477" s="98">
        <v>0</v>
      </c>
      <c r="I2477" s="98">
        <v>0</v>
      </c>
      <c r="K2477" s="98">
        <v>58.094000000000001</v>
      </c>
      <c r="L2477" s="98">
        <v>1100500</v>
      </c>
      <c r="M2477" s="98">
        <v>58.094000000000001</v>
      </c>
      <c r="N2477" s="98">
        <v>1091000</v>
      </c>
      <c r="O2477" s="99" t="s">
        <v>1466</v>
      </c>
    </row>
    <row r="2478" spans="1:15" x14ac:dyDescent="0.25">
      <c r="A2478" s="98" t="s">
        <v>68</v>
      </c>
      <c r="B2478" s="98" t="s">
        <v>14</v>
      </c>
      <c r="C2478" s="98">
        <v>9.9999999999999995E-8</v>
      </c>
      <c r="D2478" s="98">
        <v>9.9999999999999995E-7</v>
      </c>
      <c r="E2478" s="98">
        <v>9.9999999999999995E-7</v>
      </c>
      <c r="F2478" s="98" t="s">
        <v>140</v>
      </c>
      <c r="G2478" s="98" t="s">
        <v>15</v>
      </c>
      <c r="H2478" s="98">
        <v>0</v>
      </c>
      <c r="I2478" s="98">
        <v>0</v>
      </c>
      <c r="K2478" s="98">
        <v>579.04999999999995</v>
      </c>
      <c r="L2478" s="98">
        <v>3024200</v>
      </c>
      <c r="M2478" s="98">
        <v>579.04999999999995</v>
      </c>
      <c r="N2478" s="98">
        <v>3020300</v>
      </c>
      <c r="O2478" s="99" t="s">
        <v>1467</v>
      </c>
    </row>
    <row r="2479" spans="1:15" x14ac:dyDescent="0.25">
      <c r="A2479" s="98" t="s">
        <v>68</v>
      </c>
      <c r="B2479" s="98" t="s">
        <v>46</v>
      </c>
      <c r="C2479" s="98">
        <v>0</v>
      </c>
      <c r="D2479" s="98">
        <v>1E-4</v>
      </c>
      <c r="E2479" s="98">
        <v>1.0000000000000001E-9</v>
      </c>
      <c r="F2479" s="98" t="s">
        <v>13</v>
      </c>
      <c r="G2479" s="98" t="s">
        <v>70</v>
      </c>
      <c r="H2479" s="98">
        <v>0</v>
      </c>
      <c r="I2479" s="98">
        <v>0</v>
      </c>
      <c r="K2479" s="98">
        <v>35</v>
      </c>
      <c r="L2479" s="98">
        <v>350000</v>
      </c>
      <c r="M2479" s="98">
        <v>34.933</v>
      </c>
      <c r="N2479" s="98">
        <v>349170</v>
      </c>
      <c r="O2479" s="99" t="s">
        <v>1423</v>
      </c>
    </row>
    <row r="2480" spans="1:15" x14ac:dyDescent="0.25">
      <c r="A2480" s="98" t="s">
        <v>68</v>
      </c>
      <c r="B2480" s="98" t="s">
        <v>46</v>
      </c>
      <c r="C2480" s="98">
        <v>0</v>
      </c>
      <c r="D2480" s="98">
        <v>1E-4</v>
      </c>
      <c r="E2480" s="98">
        <v>1E-8</v>
      </c>
      <c r="F2480" s="98" t="s">
        <v>13</v>
      </c>
      <c r="G2480" s="98" t="s">
        <v>70</v>
      </c>
      <c r="H2480" s="98">
        <v>0</v>
      </c>
      <c r="I2480" s="98">
        <v>0</v>
      </c>
      <c r="K2480" s="98">
        <v>35.368000000000002</v>
      </c>
      <c r="L2480" s="98">
        <v>346810</v>
      </c>
      <c r="M2480" s="98">
        <v>35.366</v>
      </c>
      <c r="N2480" s="98">
        <v>346810</v>
      </c>
      <c r="O2480" s="99" t="s">
        <v>1424</v>
      </c>
    </row>
    <row r="2481" spans="1:15" x14ac:dyDescent="0.25">
      <c r="A2481" s="98" t="s">
        <v>68</v>
      </c>
      <c r="B2481" s="98" t="s">
        <v>46</v>
      </c>
      <c r="C2481" s="98">
        <v>0</v>
      </c>
      <c r="D2481" s="98">
        <v>1E-4</v>
      </c>
      <c r="E2481" s="98">
        <v>9.9999999999999995E-8</v>
      </c>
      <c r="F2481" s="98" t="s">
        <v>13</v>
      </c>
      <c r="G2481" s="98" t="s">
        <v>70</v>
      </c>
      <c r="H2481" s="98">
        <v>0</v>
      </c>
      <c r="I2481" s="98">
        <v>0</v>
      </c>
      <c r="K2481" s="98">
        <v>67.34</v>
      </c>
      <c r="L2481" s="98">
        <v>230750</v>
      </c>
      <c r="M2481" s="98">
        <v>67.335999999999999</v>
      </c>
      <c r="N2481" s="98">
        <v>230720</v>
      </c>
      <c r="O2481" s="99" t="s">
        <v>1425</v>
      </c>
    </row>
    <row r="2482" spans="1:15" x14ac:dyDescent="0.25">
      <c r="A2482" s="98" t="s">
        <v>68</v>
      </c>
      <c r="B2482" s="98" t="s">
        <v>46</v>
      </c>
      <c r="C2482" s="98">
        <v>0</v>
      </c>
      <c r="D2482" s="98">
        <v>1E-4</v>
      </c>
      <c r="E2482" s="98">
        <v>9.9999999999999995E-7</v>
      </c>
      <c r="F2482" s="98" t="s">
        <v>13</v>
      </c>
      <c r="G2482" s="98" t="s">
        <v>70</v>
      </c>
      <c r="H2482" s="98">
        <v>0</v>
      </c>
      <c r="I2482" s="98">
        <v>0</v>
      </c>
      <c r="K2482" s="98">
        <v>578.4</v>
      </c>
      <c r="L2482" s="98">
        <v>31405</v>
      </c>
      <c r="M2482" s="98">
        <v>578.39</v>
      </c>
      <c r="N2482" s="98">
        <v>31376</v>
      </c>
      <c r="O2482" s="99" t="s">
        <v>1426</v>
      </c>
    </row>
    <row r="2483" spans="1:15" x14ac:dyDescent="0.25">
      <c r="A2483" s="98" t="s">
        <v>68</v>
      </c>
      <c r="B2483" s="98" t="s">
        <v>46</v>
      </c>
      <c r="C2483" s="98">
        <v>0</v>
      </c>
      <c r="D2483" s="98">
        <v>1E-4</v>
      </c>
      <c r="E2483" s="98">
        <v>1.0000000000000001E-5</v>
      </c>
      <c r="F2483" s="98" t="s">
        <v>13</v>
      </c>
      <c r="G2483" s="98" t="s">
        <v>70</v>
      </c>
      <c r="H2483" s="98">
        <v>0</v>
      </c>
      <c r="I2483" s="98">
        <v>0</v>
      </c>
      <c r="K2483" s="98">
        <v>5773.7</v>
      </c>
      <c r="L2483" s="98">
        <v>3163.2</v>
      </c>
      <c r="M2483" s="98">
        <v>5773.7</v>
      </c>
      <c r="N2483" s="98">
        <v>3151.6</v>
      </c>
      <c r="O2483" s="99" t="s">
        <v>1427</v>
      </c>
    </row>
    <row r="2484" spans="1:15" x14ac:dyDescent="0.25">
      <c r="A2484" s="98" t="s">
        <v>68</v>
      </c>
      <c r="B2484" s="98" t="s">
        <v>46</v>
      </c>
      <c r="C2484" s="98">
        <v>1E-4</v>
      </c>
      <c r="D2484" s="98">
        <v>1E-3</v>
      </c>
      <c r="E2484" s="98">
        <v>1E-8</v>
      </c>
      <c r="F2484" s="98" t="s">
        <v>13</v>
      </c>
      <c r="G2484" s="98" t="s">
        <v>70</v>
      </c>
      <c r="H2484" s="98">
        <v>0</v>
      </c>
      <c r="I2484" s="98">
        <v>0</v>
      </c>
      <c r="K2484" s="98">
        <v>120</v>
      </c>
      <c r="L2484" s="98">
        <v>350000</v>
      </c>
      <c r="M2484" s="98">
        <v>115.86</v>
      </c>
      <c r="N2484" s="98">
        <v>347000</v>
      </c>
      <c r="O2484" s="99" t="s">
        <v>1428</v>
      </c>
    </row>
    <row r="2485" spans="1:15" x14ac:dyDescent="0.25">
      <c r="A2485" s="98" t="s">
        <v>68</v>
      </c>
      <c r="B2485" s="98" t="s">
        <v>46</v>
      </c>
      <c r="C2485" s="98">
        <v>1E-4</v>
      </c>
      <c r="D2485" s="98">
        <v>1E-3</v>
      </c>
      <c r="E2485" s="98">
        <v>9.9999999999999995E-8</v>
      </c>
      <c r="F2485" s="98" t="s">
        <v>13</v>
      </c>
      <c r="G2485" s="98" t="s">
        <v>70</v>
      </c>
      <c r="H2485" s="98">
        <v>0</v>
      </c>
      <c r="I2485" s="98">
        <v>0</v>
      </c>
      <c r="K2485" s="98">
        <v>127.29</v>
      </c>
      <c r="L2485" s="98">
        <v>339170</v>
      </c>
      <c r="M2485" s="98">
        <v>127.24</v>
      </c>
      <c r="N2485" s="98">
        <v>339180</v>
      </c>
      <c r="O2485" s="99" t="s">
        <v>1429</v>
      </c>
    </row>
    <row r="2486" spans="1:15" x14ac:dyDescent="0.25">
      <c r="A2486" s="98" t="s">
        <v>68</v>
      </c>
      <c r="B2486" s="98" t="s">
        <v>46</v>
      </c>
      <c r="C2486" s="98">
        <v>1E-4</v>
      </c>
      <c r="D2486" s="98">
        <v>1E-3</v>
      </c>
      <c r="E2486" s="98">
        <v>9.9999999999999995E-7</v>
      </c>
      <c r="F2486" s="98" t="s">
        <v>13</v>
      </c>
      <c r="G2486" s="98" t="s">
        <v>70</v>
      </c>
      <c r="H2486" s="98">
        <v>0</v>
      </c>
      <c r="I2486" s="98">
        <v>0</v>
      </c>
      <c r="K2486" s="98">
        <v>580.76</v>
      </c>
      <c r="L2486" s="98">
        <v>159300</v>
      </c>
      <c r="M2486" s="98">
        <v>580.72</v>
      </c>
      <c r="N2486" s="98">
        <v>159250</v>
      </c>
      <c r="O2486" s="99" t="s">
        <v>1430</v>
      </c>
    </row>
    <row r="2487" spans="1:15" x14ac:dyDescent="0.25">
      <c r="A2487" s="98" t="s">
        <v>68</v>
      </c>
      <c r="B2487" s="98" t="s">
        <v>46</v>
      </c>
      <c r="C2487" s="98">
        <v>1E-4</v>
      </c>
      <c r="D2487" s="98">
        <v>1E-3</v>
      </c>
      <c r="E2487" s="98">
        <v>1.0000000000000001E-5</v>
      </c>
      <c r="F2487" s="98" t="s">
        <v>13</v>
      </c>
      <c r="G2487" s="98" t="s">
        <v>70</v>
      </c>
      <c r="H2487" s="98">
        <v>0</v>
      </c>
      <c r="I2487" s="98">
        <v>0</v>
      </c>
      <c r="K2487" s="98">
        <v>5773.7</v>
      </c>
      <c r="L2487" s="98">
        <v>18430</v>
      </c>
      <c r="M2487" s="98">
        <v>5773.7</v>
      </c>
      <c r="N2487" s="98">
        <v>18401</v>
      </c>
      <c r="O2487" s="99" t="s">
        <v>1431</v>
      </c>
    </row>
    <row r="2488" spans="1:15" x14ac:dyDescent="0.25">
      <c r="A2488" s="98" t="s">
        <v>68</v>
      </c>
      <c r="B2488" s="98" t="s">
        <v>46</v>
      </c>
      <c r="C2488" s="98">
        <v>1E-4</v>
      </c>
      <c r="D2488" s="98">
        <v>1E-3</v>
      </c>
      <c r="E2488" s="98">
        <v>1E-4</v>
      </c>
      <c r="F2488" s="98" t="s">
        <v>13</v>
      </c>
      <c r="G2488" s="98" t="s">
        <v>70</v>
      </c>
      <c r="H2488" s="98">
        <v>0</v>
      </c>
      <c r="I2488" s="98">
        <v>0</v>
      </c>
      <c r="K2488" s="98">
        <v>57736</v>
      </c>
      <c r="L2488" s="98">
        <v>1854.7</v>
      </c>
      <c r="M2488" s="98">
        <v>57736</v>
      </c>
      <c r="N2488" s="98">
        <v>1843.4</v>
      </c>
      <c r="O2488" s="99" t="s">
        <v>1432</v>
      </c>
    </row>
    <row r="2489" spans="1:15" x14ac:dyDescent="0.25">
      <c r="A2489" s="98" t="s">
        <v>68</v>
      </c>
      <c r="B2489" s="98" t="s">
        <v>46</v>
      </c>
      <c r="C2489" s="98">
        <v>1E-3</v>
      </c>
      <c r="D2489" s="98">
        <v>0.01</v>
      </c>
      <c r="E2489" s="98">
        <v>9.9999999999999995E-8</v>
      </c>
      <c r="F2489" s="98" t="s">
        <v>13</v>
      </c>
      <c r="G2489" s="98" t="s">
        <v>11</v>
      </c>
      <c r="H2489" s="98">
        <v>0</v>
      </c>
      <c r="I2489" s="98">
        <v>0</v>
      </c>
      <c r="K2489" s="98">
        <v>1.2</v>
      </c>
      <c r="L2489" s="98">
        <v>350</v>
      </c>
      <c r="M2489" s="98">
        <v>1.1597</v>
      </c>
      <c r="N2489" s="98">
        <v>346.89</v>
      </c>
      <c r="O2489" s="99" t="s">
        <v>1433</v>
      </c>
    </row>
    <row r="2490" spans="1:15" x14ac:dyDescent="0.25">
      <c r="A2490" s="98" t="s">
        <v>68</v>
      </c>
      <c r="B2490" s="98" t="s">
        <v>46</v>
      </c>
      <c r="C2490" s="98">
        <v>1E-3</v>
      </c>
      <c r="D2490" s="98">
        <v>0.01</v>
      </c>
      <c r="E2490" s="98">
        <v>9.9999999999999995E-7</v>
      </c>
      <c r="F2490" s="98" t="s">
        <v>13</v>
      </c>
      <c r="G2490" s="98" t="s">
        <v>11</v>
      </c>
      <c r="H2490" s="98">
        <v>0</v>
      </c>
      <c r="I2490" s="98">
        <v>0</v>
      </c>
      <c r="K2490" s="98">
        <v>1.2739</v>
      </c>
      <c r="L2490" s="98">
        <v>339.07</v>
      </c>
      <c r="M2490" s="98">
        <v>1.2734000000000001</v>
      </c>
      <c r="N2490" s="98">
        <v>339.08</v>
      </c>
      <c r="O2490" s="99" t="s">
        <v>1434</v>
      </c>
    </row>
    <row r="2491" spans="1:15" x14ac:dyDescent="0.25">
      <c r="A2491" s="98" t="s">
        <v>68</v>
      </c>
      <c r="B2491" s="98" t="s">
        <v>46</v>
      </c>
      <c r="C2491" s="98">
        <v>1E-3</v>
      </c>
      <c r="D2491" s="98">
        <v>0.01</v>
      </c>
      <c r="E2491" s="98">
        <v>1.0000000000000001E-5</v>
      </c>
      <c r="F2491" s="98" t="s">
        <v>13</v>
      </c>
      <c r="G2491" s="98" t="s">
        <v>11</v>
      </c>
      <c r="H2491" s="98">
        <v>0</v>
      </c>
      <c r="I2491" s="98">
        <v>0</v>
      </c>
      <c r="K2491" s="98">
        <v>5.8079000000000001</v>
      </c>
      <c r="L2491" s="98">
        <v>159.28</v>
      </c>
      <c r="M2491" s="98">
        <v>5.8074000000000003</v>
      </c>
      <c r="N2491" s="98">
        <v>159.22999999999999</v>
      </c>
      <c r="O2491" s="99" t="s">
        <v>1435</v>
      </c>
    </row>
    <row r="2492" spans="1:15" x14ac:dyDescent="0.25">
      <c r="A2492" s="98" t="s">
        <v>68</v>
      </c>
      <c r="B2492" s="98" t="s">
        <v>46</v>
      </c>
      <c r="C2492" s="98">
        <v>1E-3</v>
      </c>
      <c r="D2492" s="98">
        <v>0.01</v>
      </c>
      <c r="E2492" s="98">
        <v>1E-4</v>
      </c>
      <c r="F2492" s="98" t="s">
        <v>13</v>
      </c>
      <c r="G2492" s="98" t="s">
        <v>11</v>
      </c>
      <c r="H2492" s="98">
        <v>0</v>
      </c>
      <c r="I2492" s="98">
        <v>0</v>
      </c>
      <c r="K2492" s="98">
        <v>57.737000000000002</v>
      </c>
      <c r="L2492" s="98">
        <v>18.431000000000001</v>
      </c>
      <c r="M2492" s="98">
        <v>57.737000000000002</v>
      </c>
      <c r="N2492" s="98">
        <v>18.399000000000001</v>
      </c>
      <c r="O2492" s="99" t="s">
        <v>1436</v>
      </c>
    </row>
    <row r="2493" spans="1:15" x14ac:dyDescent="0.25">
      <c r="A2493" s="98" t="s">
        <v>68</v>
      </c>
      <c r="B2493" s="98" t="s">
        <v>46</v>
      </c>
      <c r="C2493" s="98">
        <v>1E-3</v>
      </c>
      <c r="D2493" s="98">
        <v>0.01</v>
      </c>
      <c r="E2493" s="98">
        <v>1E-3</v>
      </c>
      <c r="F2493" s="98" t="s">
        <v>13</v>
      </c>
      <c r="G2493" s="98" t="s">
        <v>11</v>
      </c>
      <c r="H2493" s="98">
        <v>0</v>
      </c>
      <c r="I2493" s="98">
        <v>0</v>
      </c>
      <c r="K2493" s="98">
        <v>577.36</v>
      </c>
      <c r="L2493" s="98">
        <v>1.8560000000000001</v>
      </c>
      <c r="M2493" s="98">
        <v>577.36</v>
      </c>
      <c r="N2493" s="98">
        <v>1.8431</v>
      </c>
      <c r="O2493" s="99" t="s">
        <v>1437</v>
      </c>
    </row>
    <row r="2494" spans="1:15" x14ac:dyDescent="0.25">
      <c r="A2494" s="98" t="s">
        <v>68</v>
      </c>
      <c r="B2494" s="98" t="s">
        <v>46</v>
      </c>
      <c r="C2494" s="98">
        <v>0.01</v>
      </c>
      <c r="D2494" s="98">
        <v>0.1</v>
      </c>
      <c r="E2494" s="98">
        <v>9.9999999999999995E-7</v>
      </c>
      <c r="F2494" s="98" t="s">
        <v>13</v>
      </c>
      <c r="G2494" s="98" t="s">
        <v>11</v>
      </c>
      <c r="H2494" s="98">
        <v>0</v>
      </c>
      <c r="I2494" s="98">
        <v>0</v>
      </c>
      <c r="K2494" s="98">
        <v>12</v>
      </c>
      <c r="L2494" s="98">
        <v>350</v>
      </c>
      <c r="M2494" s="98">
        <v>11.589</v>
      </c>
      <c r="N2494" s="98">
        <v>348.45</v>
      </c>
      <c r="O2494" s="99" t="s">
        <v>1438</v>
      </c>
    </row>
    <row r="2495" spans="1:15" x14ac:dyDescent="0.25">
      <c r="A2495" s="98" t="s">
        <v>68</v>
      </c>
      <c r="B2495" s="98" t="s">
        <v>46</v>
      </c>
      <c r="C2495" s="98">
        <v>0.01</v>
      </c>
      <c r="D2495" s="98">
        <v>0.1</v>
      </c>
      <c r="E2495" s="98">
        <v>1.0000000000000001E-5</v>
      </c>
      <c r="F2495" s="98" t="s">
        <v>13</v>
      </c>
      <c r="G2495" s="98" t="s">
        <v>11</v>
      </c>
      <c r="H2495" s="98">
        <v>0</v>
      </c>
      <c r="I2495" s="98">
        <v>0</v>
      </c>
      <c r="K2495" s="98">
        <v>12.73</v>
      </c>
      <c r="L2495" s="98">
        <v>340.62</v>
      </c>
      <c r="M2495" s="98">
        <v>12.725</v>
      </c>
      <c r="N2495" s="98">
        <v>340.63</v>
      </c>
      <c r="O2495" s="99" t="s">
        <v>1439</v>
      </c>
    </row>
    <row r="2496" spans="1:15" x14ac:dyDescent="0.25">
      <c r="A2496" s="98" t="s">
        <v>68</v>
      </c>
      <c r="B2496" s="98" t="s">
        <v>46</v>
      </c>
      <c r="C2496" s="98">
        <v>0.01</v>
      </c>
      <c r="D2496" s="98">
        <v>0.1</v>
      </c>
      <c r="E2496" s="98">
        <v>1E-4</v>
      </c>
      <c r="F2496" s="98" t="s">
        <v>13</v>
      </c>
      <c r="G2496" s="98" t="s">
        <v>11</v>
      </c>
      <c r="H2496" s="98">
        <v>0</v>
      </c>
      <c r="I2496" s="98">
        <v>0</v>
      </c>
      <c r="K2496" s="98">
        <v>58.070999999999998</v>
      </c>
      <c r="L2496" s="98">
        <v>160.28</v>
      </c>
      <c r="M2496" s="98">
        <v>58.066000000000003</v>
      </c>
      <c r="N2496" s="98">
        <v>160.22999999999999</v>
      </c>
      <c r="O2496" s="99" t="s">
        <v>1440</v>
      </c>
    </row>
    <row r="2497" spans="1:15" x14ac:dyDescent="0.25">
      <c r="A2497" s="98" t="s">
        <v>68</v>
      </c>
      <c r="B2497" s="98" t="s">
        <v>46</v>
      </c>
      <c r="C2497" s="98">
        <v>0.01</v>
      </c>
      <c r="D2497" s="98">
        <v>0.1</v>
      </c>
      <c r="E2497" s="98">
        <v>1E-3</v>
      </c>
      <c r="F2497" s="98" t="s">
        <v>13</v>
      </c>
      <c r="G2497" s="98" t="s">
        <v>11</v>
      </c>
      <c r="H2497" s="98">
        <v>0</v>
      </c>
      <c r="I2497" s="98">
        <v>0</v>
      </c>
      <c r="K2497" s="98">
        <v>577.37</v>
      </c>
      <c r="L2497" s="98">
        <v>18.559999999999999</v>
      </c>
      <c r="M2497" s="98">
        <v>577.37</v>
      </c>
      <c r="N2497" s="98">
        <v>18.527999999999999</v>
      </c>
      <c r="O2497" s="99" t="s">
        <v>1441</v>
      </c>
    </row>
    <row r="2498" spans="1:15" x14ac:dyDescent="0.25">
      <c r="A2498" s="98" t="s">
        <v>68</v>
      </c>
      <c r="B2498" s="98" t="s">
        <v>46</v>
      </c>
      <c r="C2498" s="98">
        <v>0.01</v>
      </c>
      <c r="D2498" s="98">
        <v>0.1</v>
      </c>
      <c r="E2498" s="98">
        <v>0.01</v>
      </c>
      <c r="F2498" s="98" t="s">
        <v>13</v>
      </c>
      <c r="G2498" s="98" t="s">
        <v>11</v>
      </c>
      <c r="H2498" s="98">
        <v>0</v>
      </c>
      <c r="I2498" s="98">
        <v>0</v>
      </c>
      <c r="K2498" s="98">
        <v>5773.6</v>
      </c>
      <c r="L2498" s="98">
        <v>1.8689</v>
      </c>
      <c r="M2498" s="98">
        <v>5773.6</v>
      </c>
      <c r="N2498" s="98">
        <v>1.8560000000000001</v>
      </c>
      <c r="O2498" s="99" t="s">
        <v>1442</v>
      </c>
    </row>
    <row r="2499" spans="1:15" x14ac:dyDescent="0.25">
      <c r="A2499" s="98" t="s">
        <v>68</v>
      </c>
      <c r="B2499" s="98" t="s">
        <v>46</v>
      </c>
      <c r="C2499" s="98">
        <v>0.1</v>
      </c>
      <c r="D2499" s="98">
        <v>1</v>
      </c>
      <c r="E2499" s="98">
        <v>1.0000000000000001E-5</v>
      </c>
      <c r="F2499" s="98" t="s">
        <v>13</v>
      </c>
      <c r="G2499" s="98" t="s">
        <v>11</v>
      </c>
      <c r="H2499" s="98">
        <v>0</v>
      </c>
      <c r="I2499" s="98">
        <v>0</v>
      </c>
      <c r="K2499" s="98">
        <v>180</v>
      </c>
      <c r="L2499" s="98">
        <v>370</v>
      </c>
      <c r="M2499" s="98">
        <v>172.98</v>
      </c>
      <c r="N2499" s="98">
        <v>365.23</v>
      </c>
      <c r="O2499" s="99" t="s">
        <v>1443</v>
      </c>
    </row>
    <row r="2500" spans="1:15" x14ac:dyDescent="0.25">
      <c r="A2500" s="98" t="s">
        <v>68</v>
      </c>
      <c r="B2500" s="98" t="s">
        <v>46</v>
      </c>
      <c r="C2500" s="98">
        <v>0.1</v>
      </c>
      <c r="D2500" s="98">
        <v>1</v>
      </c>
      <c r="E2500" s="98">
        <v>1E-4</v>
      </c>
      <c r="F2500" s="98" t="s">
        <v>13</v>
      </c>
      <c r="G2500" s="98" t="s">
        <v>11</v>
      </c>
      <c r="H2500" s="98">
        <v>0</v>
      </c>
      <c r="I2500" s="98">
        <v>0</v>
      </c>
      <c r="K2500" s="98">
        <v>181.28</v>
      </c>
      <c r="L2500" s="98">
        <v>360.03</v>
      </c>
      <c r="M2500" s="98">
        <v>181.24</v>
      </c>
      <c r="N2500" s="98">
        <v>360.03</v>
      </c>
      <c r="O2500" s="99" t="s">
        <v>1444</v>
      </c>
    </row>
    <row r="2501" spans="1:15" x14ac:dyDescent="0.25">
      <c r="A2501" s="98" t="s">
        <v>68</v>
      </c>
      <c r="B2501" s="98" t="s">
        <v>46</v>
      </c>
      <c r="C2501" s="98">
        <v>0.1</v>
      </c>
      <c r="D2501" s="98">
        <v>1</v>
      </c>
      <c r="E2501" s="98">
        <v>1E-3</v>
      </c>
      <c r="F2501" s="98" t="s">
        <v>13</v>
      </c>
      <c r="G2501" s="98" t="s">
        <v>11</v>
      </c>
      <c r="H2501" s="98">
        <v>0</v>
      </c>
      <c r="I2501" s="98">
        <v>0</v>
      </c>
      <c r="K2501" s="98">
        <v>594.75</v>
      </c>
      <c r="L2501" s="98">
        <v>194.63</v>
      </c>
      <c r="M2501" s="98">
        <v>594.71</v>
      </c>
      <c r="N2501" s="98">
        <v>194.58</v>
      </c>
      <c r="O2501" s="99" t="s">
        <v>1445</v>
      </c>
    </row>
    <row r="2502" spans="1:15" x14ac:dyDescent="0.25">
      <c r="A2502" s="98" t="s">
        <v>68</v>
      </c>
      <c r="B2502" s="98" t="s">
        <v>46</v>
      </c>
      <c r="C2502" s="98">
        <v>0.1</v>
      </c>
      <c r="D2502" s="98">
        <v>1</v>
      </c>
      <c r="E2502" s="98">
        <v>0.01</v>
      </c>
      <c r="F2502" s="98" t="s">
        <v>13</v>
      </c>
      <c r="G2502" s="98" t="s">
        <v>11</v>
      </c>
      <c r="H2502" s="98">
        <v>0</v>
      </c>
      <c r="I2502" s="98">
        <v>0</v>
      </c>
      <c r="K2502" s="98">
        <v>5775</v>
      </c>
      <c r="L2502" s="98">
        <v>23.623000000000001</v>
      </c>
      <c r="M2502" s="98">
        <v>5775</v>
      </c>
      <c r="N2502" s="98">
        <v>23.591000000000001</v>
      </c>
      <c r="O2502" s="99" t="s">
        <v>1446</v>
      </c>
    </row>
    <row r="2503" spans="1:15" x14ac:dyDescent="0.25">
      <c r="A2503" s="98" t="s">
        <v>68</v>
      </c>
      <c r="B2503" s="98" t="s">
        <v>46</v>
      </c>
      <c r="C2503" s="98">
        <v>0.1</v>
      </c>
      <c r="D2503" s="98">
        <v>1</v>
      </c>
      <c r="E2503" s="98">
        <v>0.1</v>
      </c>
      <c r="F2503" s="98" t="s">
        <v>13</v>
      </c>
      <c r="G2503" s="98" t="s">
        <v>11</v>
      </c>
      <c r="H2503" s="98">
        <v>0</v>
      </c>
      <c r="I2503" s="98">
        <v>0</v>
      </c>
      <c r="K2503" s="98">
        <v>57736</v>
      </c>
      <c r="L2503" s="98">
        <v>2.3778000000000001</v>
      </c>
      <c r="M2503" s="98">
        <v>57736</v>
      </c>
      <c r="N2503" s="98">
        <v>2.3649</v>
      </c>
      <c r="O2503" s="99" t="s">
        <v>1447</v>
      </c>
    </row>
    <row r="2504" spans="1:15" x14ac:dyDescent="0.25">
      <c r="A2504" s="98" t="s">
        <v>68</v>
      </c>
      <c r="B2504" s="98" t="s">
        <v>46</v>
      </c>
      <c r="C2504" s="98">
        <v>1</v>
      </c>
      <c r="D2504" s="98">
        <v>10.199999999999999</v>
      </c>
      <c r="E2504" s="98">
        <v>1E-4</v>
      </c>
      <c r="F2504" s="98" t="s">
        <v>13</v>
      </c>
      <c r="G2504" s="98" t="s">
        <v>11</v>
      </c>
      <c r="H2504" s="98">
        <v>0</v>
      </c>
      <c r="I2504" s="98">
        <v>0</v>
      </c>
      <c r="K2504" s="98">
        <v>2.4</v>
      </c>
      <c r="L2504" s="98">
        <v>0.59</v>
      </c>
      <c r="M2504" s="98">
        <v>2.3094999999999999</v>
      </c>
      <c r="N2504" s="98">
        <v>0.57974999999999999</v>
      </c>
      <c r="O2504" s="99" t="s">
        <v>1448</v>
      </c>
    </row>
    <row r="2505" spans="1:15" x14ac:dyDescent="0.25">
      <c r="A2505" s="98" t="s">
        <v>68</v>
      </c>
      <c r="B2505" s="98" t="s">
        <v>46</v>
      </c>
      <c r="C2505" s="98">
        <v>1</v>
      </c>
      <c r="D2505" s="98">
        <v>10.199999999999999</v>
      </c>
      <c r="E2505" s="98">
        <v>1E-3</v>
      </c>
      <c r="F2505" s="98" t="s">
        <v>13</v>
      </c>
      <c r="G2505" s="98" t="s">
        <v>11</v>
      </c>
      <c r="H2505" s="98">
        <v>0</v>
      </c>
      <c r="I2505" s="98">
        <v>0</v>
      </c>
      <c r="K2505" s="98">
        <v>2.4</v>
      </c>
      <c r="L2505" s="98">
        <v>0.63080999999999998</v>
      </c>
      <c r="M2505" s="98">
        <v>2.3700999999999999</v>
      </c>
      <c r="N2505" s="98">
        <v>0.57577999999999996</v>
      </c>
      <c r="O2505" s="99" t="s">
        <v>1449</v>
      </c>
    </row>
    <row r="2506" spans="1:15" x14ac:dyDescent="0.25">
      <c r="A2506" s="98" t="s">
        <v>68</v>
      </c>
      <c r="B2506" s="98" t="s">
        <v>46</v>
      </c>
      <c r="C2506" s="98">
        <v>1</v>
      </c>
      <c r="D2506" s="98">
        <v>10.199999999999999</v>
      </c>
      <c r="E2506" s="98">
        <v>0.01</v>
      </c>
      <c r="F2506" s="98" t="s">
        <v>13</v>
      </c>
      <c r="G2506" s="98" t="s">
        <v>11</v>
      </c>
      <c r="H2506" s="98">
        <v>0</v>
      </c>
      <c r="I2506" s="98">
        <v>0</v>
      </c>
      <c r="K2506" s="98">
        <v>5.8935000000000004</v>
      </c>
      <c r="L2506" s="98">
        <v>0.56293000000000004</v>
      </c>
      <c r="M2506" s="98">
        <v>6.0655000000000001</v>
      </c>
      <c r="N2506" s="98">
        <v>0.39036999999999999</v>
      </c>
      <c r="O2506" s="99" t="s">
        <v>1450</v>
      </c>
    </row>
    <row r="2507" spans="1:15" x14ac:dyDescent="0.25">
      <c r="A2507" s="98" t="s">
        <v>68</v>
      </c>
      <c r="B2507" s="98" t="s">
        <v>46</v>
      </c>
      <c r="C2507" s="98">
        <v>1</v>
      </c>
      <c r="D2507" s="98">
        <v>10.199999999999999</v>
      </c>
      <c r="E2507" s="98">
        <v>0.1</v>
      </c>
      <c r="F2507" s="98" t="s">
        <v>13</v>
      </c>
      <c r="G2507" s="98" t="s">
        <v>11</v>
      </c>
      <c r="H2507" s="98">
        <v>0</v>
      </c>
      <c r="I2507" s="98">
        <v>0</v>
      </c>
      <c r="K2507" s="98">
        <v>57.625</v>
      </c>
      <c r="L2507" s="98">
        <v>0.18253</v>
      </c>
      <c r="M2507" s="98">
        <v>57.752000000000002</v>
      </c>
      <c r="N2507" s="98">
        <v>5.5476999999999999E-2</v>
      </c>
      <c r="O2507" s="99" t="s">
        <v>1451</v>
      </c>
    </row>
    <row r="2508" spans="1:15" x14ac:dyDescent="0.25">
      <c r="A2508" s="98" t="s">
        <v>68</v>
      </c>
      <c r="B2508" s="98" t="s">
        <v>46</v>
      </c>
      <c r="C2508" s="98">
        <v>1</v>
      </c>
      <c r="D2508" s="98">
        <v>10.199999999999999</v>
      </c>
      <c r="E2508" s="98">
        <v>1</v>
      </c>
      <c r="F2508" s="98" t="s">
        <v>13</v>
      </c>
      <c r="G2508" s="98" t="s">
        <v>11</v>
      </c>
      <c r="H2508" s="98">
        <v>0</v>
      </c>
      <c r="I2508" s="98">
        <v>0</v>
      </c>
      <c r="K2508" s="98">
        <v>577.30999999999995</v>
      </c>
      <c r="L2508" s="98">
        <v>5.7402000000000002E-2</v>
      </c>
      <c r="M2508" s="98">
        <v>577.36</v>
      </c>
      <c r="N2508" s="98">
        <v>5.5789000000000004E-3</v>
      </c>
      <c r="O2508" s="99" t="s">
        <v>1452</v>
      </c>
    </row>
    <row r="2509" spans="1:15" x14ac:dyDescent="0.25">
      <c r="A2509" s="98" t="s">
        <v>68</v>
      </c>
      <c r="B2509" s="98" t="s">
        <v>58</v>
      </c>
      <c r="C2509" s="98">
        <v>10</v>
      </c>
      <c r="D2509" s="98">
        <v>102</v>
      </c>
      <c r="E2509" s="98">
        <v>1E-4</v>
      </c>
      <c r="F2509" s="98" t="s">
        <v>13</v>
      </c>
      <c r="G2509" s="98" t="s">
        <v>12</v>
      </c>
      <c r="H2509" s="98">
        <v>0</v>
      </c>
      <c r="I2509" s="98">
        <v>0</v>
      </c>
      <c r="K2509" s="98">
        <v>16</v>
      </c>
      <c r="L2509" s="98">
        <v>2</v>
      </c>
      <c r="M2509" s="98">
        <v>15.052</v>
      </c>
      <c r="N2509" s="98">
        <v>2.0087999999999999</v>
      </c>
      <c r="O2509" s="99" t="s">
        <v>1417</v>
      </c>
    </row>
    <row r="2510" spans="1:15" x14ac:dyDescent="0.25">
      <c r="A2510" s="98" t="s">
        <v>68</v>
      </c>
      <c r="B2510" s="98" t="s">
        <v>58</v>
      </c>
      <c r="C2510" s="98">
        <v>10</v>
      </c>
      <c r="D2510" s="98">
        <v>102</v>
      </c>
      <c r="E2510" s="98">
        <v>1E-3</v>
      </c>
      <c r="F2510" s="98" t="s">
        <v>13</v>
      </c>
      <c r="G2510" s="98" t="s">
        <v>12</v>
      </c>
      <c r="H2510" s="98">
        <v>0</v>
      </c>
      <c r="I2510" s="98">
        <v>0</v>
      </c>
      <c r="K2510" s="98">
        <v>16</v>
      </c>
      <c r="L2510" s="98">
        <v>2.0045000000000002</v>
      </c>
      <c r="M2510" s="98">
        <v>15.566000000000001</v>
      </c>
      <c r="N2510" s="98">
        <v>2.0045000000000002</v>
      </c>
      <c r="O2510" s="99" t="s">
        <v>1418</v>
      </c>
    </row>
    <row r="2511" spans="1:15" x14ac:dyDescent="0.25">
      <c r="A2511" s="98" t="s">
        <v>68</v>
      </c>
      <c r="B2511" s="98" t="s">
        <v>58</v>
      </c>
      <c r="C2511" s="98">
        <v>10</v>
      </c>
      <c r="D2511" s="98">
        <v>102</v>
      </c>
      <c r="E2511" s="98">
        <v>0.01</v>
      </c>
      <c r="F2511" s="98" t="s">
        <v>13</v>
      </c>
      <c r="G2511" s="98" t="s">
        <v>12</v>
      </c>
      <c r="H2511" s="98">
        <v>0</v>
      </c>
      <c r="I2511" s="98">
        <v>0</v>
      </c>
      <c r="K2511" s="98">
        <v>50.243000000000002</v>
      </c>
      <c r="L2511" s="98">
        <v>1.7371000000000001</v>
      </c>
      <c r="M2511" s="98">
        <v>50.216000000000001</v>
      </c>
      <c r="N2511" s="98">
        <v>1.7371000000000001</v>
      </c>
      <c r="O2511" s="99" t="s">
        <v>1419</v>
      </c>
    </row>
    <row r="2512" spans="1:15" x14ac:dyDescent="0.25">
      <c r="A2512" s="98" t="s">
        <v>68</v>
      </c>
      <c r="B2512" s="98" t="s">
        <v>58</v>
      </c>
      <c r="C2512" s="98">
        <v>10</v>
      </c>
      <c r="D2512" s="98">
        <v>102</v>
      </c>
      <c r="E2512" s="98">
        <v>0.1</v>
      </c>
      <c r="F2512" s="98" t="s">
        <v>13</v>
      </c>
      <c r="G2512" s="98" t="s">
        <v>12</v>
      </c>
      <c r="H2512" s="98">
        <v>0</v>
      </c>
      <c r="I2512" s="98">
        <v>0</v>
      </c>
      <c r="K2512" s="98">
        <v>574.15</v>
      </c>
      <c r="L2512" s="98">
        <v>0.42863000000000001</v>
      </c>
      <c r="M2512" s="98">
        <v>574.14</v>
      </c>
      <c r="N2512" s="98">
        <v>0.42836000000000002</v>
      </c>
      <c r="O2512" s="99" t="s">
        <v>1420</v>
      </c>
    </row>
    <row r="2513" spans="1:15" x14ac:dyDescent="0.25">
      <c r="A2513" s="98" t="s">
        <v>68</v>
      </c>
      <c r="B2513" s="98" t="s">
        <v>58</v>
      </c>
      <c r="C2513" s="98">
        <v>10</v>
      </c>
      <c r="D2513" s="98">
        <v>102</v>
      </c>
      <c r="E2513" s="98">
        <v>1</v>
      </c>
      <c r="F2513" s="98" t="s">
        <v>13</v>
      </c>
      <c r="G2513" s="98" t="s">
        <v>12</v>
      </c>
      <c r="H2513" s="98">
        <v>0</v>
      </c>
      <c r="I2513" s="98">
        <v>0</v>
      </c>
      <c r="K2513" s="98">
        <v>5773.2</v>
      </c>
      <c r="L2513" s="98">
        <v>4.4478999999999998E-2</v>
      </c>
      <c r="M2513" s="98">
        <v>5773.2</v>
      </c>
      <c r="N2513" s="98">
        <v>4.4360999999999998E-2</v>
      </c>
      <c r="O2513" s="99" t="s">
        <v>1421</v>
      </c>
    </row>
    <row r="2514" spans="1:15" x14ac:dyDescent="0.25">
      <c r="A2514" s="98" t="s">
        <v>68</v>
      </c>
      <c r="B2514" s="98" t="s">
        <v>58</v>
      </c>
      <c r="C2514" s="98">
        <v>10</v>
      </c>
      <c r="D2514" s="98">
        <v>102</v>
      </c>
      <c r="E2514" s="98">
        <v>10</v>
      </c>
      <c r="F2514" s="98" t="s">
        <v>13</v>
      </c>
      <c r="G2514" s="98" t="s">
        <v>12</v>
      </c>
      <c r="H2514" s="98">
        <v>0</v>
      </c>
      <c r="I2514" s="98">
        <v>0</v>
      </c>
      <c r="K2514" s="98">
        <v>57735</v>
      </c>
      <c r="L2514" s="98">
        <v>4.4850999999999997E-3</v>
      </c>
      <c r="M2514" s="98">
        <v>57735</v>
      </c>
      <c r="N2514" s="98">
        <v>4.4377000000000002E-3</v>
      </c>
      <c r="O2514" s="99" t="s">
        <v>1422</v>
      </c>
    </row>
    <row r="2515" spans="1:15" x14ac:dyDescent="0.25">
      <c r="A2515" s="98" t="s">
        <v>68</v>
      </c>
      <c r="B2515" s="98" t="s">
        <v>59</v>
      </c>
      <c r="C2515" s="98">
        <v>20</v>
      </c>
      <c r="D2515" s="98">
        <v>204</v>
      </c>
      <c r="E2515" s="98">
        <v>1E-3</v>
      </c>
      <c r="F2515" s="98" t="s">
        <v>13</v>
      </c>
      <c r="G2515" s="98" t="s">
        <v>12</v>
      </c>
      <c r="H2515" s="98">
        <v>0</v>
      </c>
      <c r="I2515" s="98">
        <v>0</v>
      </c>
      <c r="K2515" s="98">
        <v>32</v>
      </c>
      <c r="L2515" s="98">
        <v>2</v>
      </c>
      <c r="M2515" s="98">
        <v>30.087</v>
      </c>
      <c r="N2515" s="98">
        <v>2.0089000000000001</v>
      </c>
      <c r="O2515" s="99" t="s">
        <v>1412</v>
      </c>
    </row>
    <row r="2516" spans="1:15" x14ac:dyDescent="0.25">
      <c r="A2516" s="98" t="s">
        <v>68</v>
      </c>
      <c r="B2516" s="98" t="s">
        <v>59</v>
      </c>
      <c r="C2516" s="98">
        <v>20</v>
      </c>
      <c r="D2516" s="98">
        <v>204</v>
      </c>
      <c r="E2516" s="98">
        <v>0.01</v>
      </c>
      <c r="F2516" s="98" t="s">
        <v>13</v>
      </c>
      <c r="G2516" s="98" t="s">
        <v>12</v>
      </c>
      <c r="H2516" s="98">
        <v>0</v>
      </c>
      <c r="I2516" s="98">
        <v>0</v>
      </c>
      <c r="K2516" s="98">
        <v>32</v>
      </c>
      <c r="L2516" s="98">
        <v>2.0076999999999998</v>
      </c>
      <c r="M2516" s="98">
        <v>30.344000000000001</v>
      </c>
      <c r="N2516" s="98">
        <v>2.0078</v>
      </c>
      <c r="O2516" s="99" t="s">
        <v>1413</v>
      </c>
    </row>
    <row r="2517" spans="1:15" x14ac:dyDescent="0.25">
      <c r="A2517" s="98" t="s">
        <v>68</v>
      </c>
      <c r="B2517" s="98" t="s">
        <v>59</v>
      </c>
      <c r="C2517" s="98">
        <v>20</v>
      </c>
      <c r="D2517" s="98">
        <v>204</v>
      </c>
      <c r="E2517" s="98">
        <v>0.1</v>
      </c>
      <c r="F2517" s="98" t="s">
        <v>13</v>
      </c>
      <c r="G2517" s="98" t="s">
        <v>12</v>
      </c>
      <c r="H2517" s="98">
        <v>0</v>
      </c>
      <c r="I2517" s="98">
        <v>0</v>
      </c>
      <c r="K2517" s="98">
        <v>52.695</v>
      </c>
      <c r="L2517" s="98">
        <v>1.9168000000000001</v>
      </c>
      <c r="M2517" s="98">
        <v>52.600999999999999</v>
      </c>
      <c r="N2517" s="98">
        <v>1.917</v>
      </c>
      <c r="O2517" s="99" t="s">
        <v>1414</v>
      </c>
    </row>
    <row r="2518" spans="1:15" x14ac:dyDescent="0.25">
      <c r="A2518" s="98" t="s">
        <v>68</v>
      </c>
      <c r="B2518" s="98" t="s">
        <v>59</v>
      </c>
      <c r="C2518" s="98">
        <v>20</v>
      </c>
      <c r="D2518" s="98">
        <v>204</v>
      </c>
      <c r="E2518" s="98">
        <v>1</v>
      </c>
      <c r="F2518" s="98" t="s">
        <v>13</v>
      </c>
      <c r="G2518" s="98" t="s">
        <v>12</v>
      </c>
      <c r="H2518" s="98">
        <v>0</v>
      </c>
      <c r="I2518" s="98">
        <v>0</v>
      </c>
      <c r="K2518" s="98">
        <v>565.98</v>
      </c>
      <c r="L2518" s="98">
        <v>0.78427000000000002</v>
      </c>
      <c r="M2518" s="98">
        <v>565.94000000000005</v>
      </c>
      <c r="N2518" s="98">
        <v>0.78385000000000005</v>
      </c>
      <c r="O2518" s="99" t="s">
        <v>1415</v>
      </c>
    </row>
    <row r="2519" spans="1:15" x14ac:dyDescent="0.25">
      <c r="A2519" s="98" t="s">
        <v>68</v>
      </c>
      <c r="B2519" s="98" t="s">
        <v>59</v>
      </c>
      <c r="C2519" s="98">
        <v>20</v>
      </c>
      <c r="D2519" s="98">
        <v>204</v>
      </c>
      <c r="E2519" s="98">
        <v>10</v>
      </c>
      <c r="F2519" s="98" t="s">
        <v>13</v>
      </c>
      <c r="G2519" s="98" t="s">
        <v>12</v>
      </c>
      <c r="H2519" s="98">
        <v>0</v>
      </c>
      <c r="I2519" s="98">
        <v>0</v>
      </c>
      <c r="K2519" s="98">
        <v>5772.2</v>
      </c>
      <c r="L2519" s="98">
        <v>8.8858000000000006E-2</v>
      </c>
      <c r="M2519" s="98">
        <v>5772.2</v>
      </c>
      <c r="N2519" s="98">
        <v>8.8622999999999993E-2</v>
      </c>
      <c r="O2519" s="99" t="s">
        <v>1416</v>
      </c>
    </row>
    <row r="2520" spans="1:15" x14ac:dyDescent="0.25">
      <c r="A2520" s="98" t="s">
        <v>68</v>
      </c>
      <c r="B2520" s="98" t="s">
        <v>60</v>
      </c>
      <c r="C2520" s="98">
        <v>5</v>
      </c>
      <c r="D2520" s="98">
        <v>51</v>
      </c>
      <c r="E2520" s="98">
        <v>1E-3</v>
      </c>
      <c r="F2520" s="98" t="s">
        <v>13</v>
      </c>
      <c r="G2520" s="98" t="s">
        <v>12</v>
      </c>
      <c r="H2520" s="98">
        <v>0</v>
      </c>
      <c r="I2520" s="98">
        <v>0</v>
      </c>
      <c r="K2520" s="98">
        <v>4.7</v>
      </c>
      <c r="L2520" s="98">
        <v>2</v>
      </c>
      <c r="M2520" s="98">
        <v>4.5993000000000004</v>
      </c>
      <c r="N2520" s="98">
        <v>1.98</v>
      </c>
      <c r="O2520" s="99" t="s">
        <v>1402</v>
      </c>
    </row>
    <row r="2521" spans="1:15" x14ac:dyDescent="0.25">
      <c r="A2521" s="98" t="s">
        <v>68</v>
      </c>
      <c r="B2521" s="98" t="s">
        <v>60</v>
      </c>
      <c r="C2521" s="98">
        <v>5</v>
      </c>
      <c r="D2521" s="98">
        <v>51</v>
      </c>
      <c r="E2521" s="98">
        <v>0.01</v>
      </c>
      <c r="F2521" s="98" t="s">
        <v>13</v>
      </c>
      <c r="G2521" s="98" t="s">
        <v>12</v>
      </c>
      <c r="H2521" s="98">
        <v>0</v>
      </c>
      <c r="I2521" s="98">
        <v>0</v>
      </c>
      <c r="K2521" s="98">
        <v>5.9279000000000002</v>
      </c>
      <c r="L2521" s="98">
        <v>1.9581</v>
      </c>
      <c r="M2521" s="98">
        <v>5.8000999999999996</v>
      </c>
      <c r="N2521" s="98">
        <v>1.9595</v>
      </c>
      <c r="O2521" s="99" t="s">
        <v>1403</v>
      </c>
    </row>
    <row r="2522" spans="1:15" x14ac:dyDescent="0.25">
      <c r="A2522" s="98" t="s">
        <v>68</v>
      </c>
      <c r="B2522" s="98" t="s">
        <v>60</v>
      </c>
      <c r="C2522" s="98">
        <v>5</v>
      </c>
      <c r="D2522" s="98">
        <v>51</v>
      </c>
      <c r="E2522" s="98">
        <v>0.1</v>
      </c>
      <c r="F2522" s="98" t="s">
        <v>13</v>
      </c>
      <c r="G2522" s="98" t="s">
        <v>12</v>
      </c>
      <c r="H2522" s="98">
        <v>0</v>
      </c>
      <c r="I2522" s="98">
        <v>0</v>
      </c>
      <c r="K2522" s="98">
        <v>53.039000000000001</v>
      </c>
      <c r="L2522" s="98">
        <v>1.3232999999999999</v>
      </c>
      <c r="M2522" s="98">
        <v>52.915999999999997</v>
      </c>
      <c r="N2522" s="98">
        <v>1.3219000000000001</v>
      </c>
      <c r="O2522" s="99" t="s">
        <v>1404</v>
      </c>
    </row>
    <row r="2523" spans="1:15" x14ac:dyDescent="0.25">
      <c r="A2523" s="98" t="s">
        <v>68</v>
      </c>
      <c r="B2523" s="98" t="s">
        <v>60</v>
      </c>
      <c r="C2523" s="98">
        <v>5</v>
      </c>
      <c r="D2523" s="98">
        <v>51</v>
      </c>
      <c r="E2523" s="98">
        <v>1</v>
      </c>
      <c r="F2523" s="98" t="s">
        <v>13</v>
      </c>
      <c r="G2523" s="98" t="s">
        <v>12</v>
      </c>
      <c r="H2523" s="98">
        <v>0</v>
      </c>
      <c r="I2523" s="98">
        <v>0</v>
      </c>
      <c r="K2523" s="98">
        <v>576.55999999999995</v>
      </c>
      <c r="L2523" s="98">
        <v>0.20649000000000001</v>
      </c>
      <c r="M2523" s="98">
        <v>576.52</v>
      </c>
      <c r="N2523" s="98">
        <v>0.20416999999999999</v>
      </c>
      <c r="O2523" s="99" t="s">
        <v>1405</v>
      </c>
    </row>
    <row r="2524" spans="1:15" x14ac:dyDescent="0.25">
      <c r="A2524" s="98" t="s">
        <v>68</v>
      </c>
      <c r="B2524" s="98" t="s">
        <v>60</v>
      </c>
      <c r="C2524" s="98">
        <v>5</v>
      </c>
      <c r="D2524" s="98">
        <v>51</v>
      </c>
      <c r="E2524" s="98">
        <v>10</v>
      </c>
      <c r="F2524" s="98" t="s">
        <v>13</v>
      </c>
      <c r="G2524" s="98" t="s">
        <v>12</v>
      </c>
      <c r="H2524" s="98">
        <v>0</v>
      </c>
      <c r="I2524" s="98">
        <v>0</v>
      </c>
      <c r="K2524" s="98">
        <v>5773.5</v>
      </c>
      <c r="L2524" s="98">
        <v>2.1536E-2</v>
      </c>
      <c r="M2524" s="98">
        <v>5773.5</v>
      </c>
      <c r="N2524" s="98">
        <v>2.0587999999999999E-2</v>
      </c>
      <c r="O2524" s="99" t="s">
        <v>1406</v>
      </c>
    </row>
    <row r="2525" spans="1:15" x14ac:dyDescent="0.25">
      <c r="A2525" s="98" t="s">
        <v>68</v>
      </c>
      <c r="B2525" s="98" t="s">
        <v>60</v>
      </c>
      <c r="C2525" s="98">
        <v>50</v>
      </c>
      <c r="D2525" s="98">
        <v>510</v>
      </c>
      <c r="E2525" s="98">
        <v>1E-3</v>
      </c>
      <c r="F2525" s="98" t="s">
        <v>13</v>
      </c>
      <c r="G2525" s="98" t="s">
        <v>12</v>
      </c>
      <c r="H2525" s="98">
        <v>0</v>
      </c>
      <c r="I2525" s="98">
        <v>0</v>
      </c>
      <c r="K2525" s="98">
        <v>80</v>
      </c>
      <c r="L2525" s="98">
        <v>2</v>
      </c>
      <c r="M2525" s="98">
        <v>75.207999999999998</v>
      </c>
      <c r="N2525" s="98">
        <v>2.0089000000000001</v>
      </c>
      <c r="O2525" s="99" t="s">
        <v>1407</v>
      </c>
    </row>
    <row r="2526" spans="1:15" x14ac:dyDescent="0.25">
      <c r="A2526" s="98" t="s">
        <v>68</v>
      </c>
      <c r="B2526" s="98" t="s">
        <v>60</v>
      </c>
      <c r="C2526" s="98">
        <v>50</v>
      </c>
      <c r="D2526" s="98">
        <v>510</v>
      </c>
      <c r="E2526" s="98">
        <v>0.01</v>
      </c>
      <c r="F2526" s="98" t="s">
        <v>13</v>
      </c>
      <c r="G2526" s="98" t="s">
        <v>12</v>
      </c>
      <c r="H2526" s="98">
        <v>0</v>
      </c>
      <c r="I2526" s="98">
        <v>0</v>
      </c>
      <c r="K2526" s="98">
        <v>80</v>
      </c>
      <c r="L2526" s="98">
        <v>2.0085999999999999</v>
      </c>
      <c r="M2526" s="98">
        <v>75.317999999999998</v>
      </c>
      <c r="N2526" s="98">
        <v>2.0087000000000002</v>
      </c>
      <c r="O2526" s="99" t="s">
        <v>1408</v>
      </c>
    </row>
    <row r="2527" spans="1:15" x14ac:dyDescent="0.25">
      <c r="A2527" s="98" t="s">
        <v>68</v>
      </c>
      <c r="B2527" s="98" t="s">
        <v>60</v>
      </c>
      <c r="C2527" s="98">
        <v>50</v>
      </c>
      <c r="D2527" s="98">
        <v>510</v>
      </c>
      <c r="E2527" s="98">
        <v>0.1</v>
      </c>
      <c r="F2527" s="98" t="s">
        <v>13</v>
      </c>
      <c r="G2527" s="98" t="s">
        <v>12</v>
      </c>
      <c r="H2527" s="98">
        <v>0</v>
      </c>
      <c r="I2527" s="98">
        <v>0</v>
      </c>
      <c r="K2527" s="98">
        <v>85.569000000000003</v>
      </c>
      <c r="L2527" s="98">
        <v>1.9918</v>
      </c>
      <c r="M2527" s="98">
        <v>85.292000000000002</v>
      </c>
      <c r="N2527" s="98">
        <v>1.9921</v>
      </c>
      <c r="O2527" s="99" t="s">
        <v>1409</v>
      </c>
    </row>
    <row r="2528" spans="1:15" x14ac:dyDescent="0.25">
      <c r="A2528" s="98" t="s">
        <v>68</v>
      </c>
      <c r="B2528" s="98" t="s">
        <v>60</v>
      </c>
      <c r="C2528" s="98">
        <v>50</v>
      </c>
      <c r="D2528" s="98">
        <v>510</v>
      </c>
      <c r="E2528" s="98">
        <v>1</v>
      </c>
      <c r="F2528" s="98" t="s">
        <v>13</v>
      </c>
      <c r="G2528" s="98" t="s">
        <v>12</v>
      </c>
      <c r="H2528" s="98">
        <v>0</v>
      </c>
      <c r="I2528" s="98">
        <v>0</v>
      </c>
      <c r="K2528" s="98">
        <v>534.37</v>
      </c>
      <c r="L2528" s="98">
        <v>1.3886000000000001</v>
      </c>
      <c r="M2528" s="98">
        <v>534.07000000000005</v>
      </c>
      <c r="N2528" s="98">
        <v>1.3883000000000001</v>
      </c>
      <c r="O2528" s="99" t="s">
        <v>1410</v>
      </c>
    </row>
    <row r="2529" spans="1:15" x14ac:dyDescent="0.25">
      <c r="A2529" s="98" t="s">
        <v>68</v>
      </c>
      <c r="B2529" s="98" t="s">
        <v>60</v>
      </c>
      <c r="C2529" s="98">
        <v>50</v>
      </c>
      <c r="D2529" s="98">
        <v>510</v>
      </c>
      <c r="E2529" s="98">
        <v>10</v>
      </c>
      <c r="F2529" s="98" t="s">
        <v>13</v>
      </c>
      <c r="G2529" s="98" t="s">
        <v>12</v>
      </c>
      <c r="H2529" s="98">
        <v>0</v>
      </c>
      <c r="I2529" s="98">
        <v>0</v>
      </c>
      <c r="K2529" s="98">
        <v>5765.3</v>
      </c>
      <c r="L2529" s="98">
        <v>0.22044</v>
      </c>
      <c r="M2529" s="98">
        <v>5765.2</v>
      </c>
      <c r="N2529" s="98">
        <v>0.21986</v>
      </c>
      <c r="O2529" s="99" t="s">
        <v>1411</v>
      </c>
    </row>
    <row r="2530" spans="1:15" x14ac:dyDescent="0.25">
      <c r="A2530" s="98" t="s">
        <v>68</v>
      </c>
      <c r="B2530" s="98" t="s">
        <v>3</v>
      </c>
      <c r="C2530" s="98">
        <v>0</v>
      </c>
      <c r="D2530" s="98">
        <v>0.1</v>
      </c>
      <c r="E2530" s="98">
        <v>9.9999999999999995E-7</v>
      </c>
      <c r="F2530" s="98" t="s">
        <v>6</v>
      </c>
      <c r="G2530" s="98" t="s">
        <v>5</v>
      </c>
      <c r="H2530" s="98">
        <v>0</v>
      </c>
      <c r="I2530" s="98">
        <v>0</v>
      </c>
      <c r="K2530" s="98">
        <v>12</v>
      </c>
      <c r="L2530" s="98">
        <v>92</v>
      </c>
      <c r="M2530" s="98">
        <v>11.624000000000001</v>
      </c>
      <c r="N2530" s="98">
        <v>92.067999999999998</v>
      </c>
      <c r="O2530" s="99" t="s">
        <v>1377</v>
      </c>
    </row>
    <row r="2531" spans="1:15" x14ac:dyDescent="0.25">
      <c r="A2531" s="98" t="s">
        <v>68</v>
      </c>
      <c r="B2531" s="98" t="s">
        <v>3</v>
      </c>
      <c r="C2531" s="98">
        <v>0</v>
      </c>
      <c r="D2531" s="98">
        <v>0.1</v>
      </c>
      <c r="E2531" s="98">
        <v>1.0000000000000001E-5</v>
      </c>
      <c r="F2531" s="98" t="s">
        <v>6</v>
      </c>
      <c r="G2531" s="98" t="s">
        <v>5</v>
      </c>
      <c r="H2531" s="98">
        <v>0</v>
      </c>
      <c r="I2531" s="98">
        <v>0</v>
      </c>
      <c r="K2531" s="98">
        <v>12.962999999999999</v>
      </c>
      <c r="L2531" s="98">
        <v>86.429000000000002</v>
      </c>
      <c r="M2531" s="98">
        <v>12.956</v>
      </c>
      <c r="N2531" s="98">
        <v>86.457999999999998</v>
      </c>
      <c r="O2531" s="99" t="s">
        <v>1378</v>
      </c>
    </row>
    <row r="2532" spans="1:15" x14ac:dyDescent="0.25">
      <c r="A2532" s="98" t="s">
        <v>68</v>
      </c>
      <c r="B2532" s="98" t="s">
        <v>3</v>
      </c>
      <c r="C2532" s="98">
        <v>0</v>
      </c>
      <c r="D2532" s="98">
        <v>0.1</v>
      </c>
      <c r="E2532" s="98">
        <v>1E-4</v>
      </c>
      <c r="F2532" s="98" t="s">
        <v>6</v>
      </c>
      <c r="G2532" s="98" t="s">
        <v>5</v>
      </c>
      <c r="H2532" s="98">
        <v>0</v>
      </c>
      <c r="I2532" s="98">
        <v>0</v>
      </c>
      <c r="K2532" s="98">
        <v>58.889000000000003</v>
      </c>
      <c r="L2532" s="98">
        <v>24.899000000000001</v>
      </c>
      <c r="M2532" s="98">
        <v>58.883000000000003</v>
      </c>
      <c r="N2532" s="98">
        <v>24.902000000000001</v>
      </c>
      <c r="O2532" s="99" t="s">
        <v>1379</v>
      </c>
    </row>
    <row r="2533" spans="1:15" x14ac:dyDescent="0.25">
      <c r="A2533" s="98" t="s">
        <v>68</v>
      </c>
      <c r="B2533" s="98" t="s">
        <v>3</v>
      </c>
      <c r="C2533" s="98">
        <v>0</v>
      </c>
      <c r="D2533" s="98">
        <v>0.1</v>
      </c>
      <c r="E2533" s="98">
        <v>1E-3</v>
      </c>
      <c r="F2533" s="98" t="s">
        <v>6</v>
      </c>
      <c r="G2533" s="98" t="s">
        <v>5</v>
      </c>
      <c r="H2533" s="98">
        <v>0</v>
      </c>
      <c r="I2533" s="98">
        <v>0</v>
      </c>
      <c r="K2533" s="98">
        <v>577.47</v>
      </c>
      <c r="L2533" s="98">
        <v>2.5928</v>
      </c>
      <c r="M2533" s="98">
        <v>577.47</v>
      </c>
      <c r="N2533" s="98">
        <v>2.5928</v>
      </c>
      <c r="O2533" s="99" t="s">
        <v>1380</v>
      </c>
    </row>
    <row r="2534" spans="1:15" x14ac:dyDescent="0.25">
      <c r="A2534" s="98" t="s">
        <v>68</v>
      </c>
      <c r="B2534" s="98" t="s">
        <v>3</v>
      </c>
      <c r="C2534" s="98">
        <v>0</v>
      </c>
      <c r="D2534" s="98">
        <v>0.1</v>
      </c>
      <c r="E2534" s="98">
        <v>0.01</v>
      </c>
      <c r="F2534" s="98" t="s">
        <v>6</v>
      </c>
      <c r="G2534" s="98" t="s">
        <v>5</v>
      </c>
      <c r="H2534" s="98">
        <v>0</v>
      </c>
      <c r="I2534" s="98">
        <v>0</v>
      </c>
      <c r="K2534" s="98">
        <v>5773.6</v>
      </c>
      <c r="L2534" s="98">
        <v>0.25939000000000001</v>
      </c>
      <c r="M2534" s="98">
        <v>5773.6</v>
      </c>
      <c r="N2534" s="98">
        <v>0.25939000000000001</v>
      </c>
      <c r="O2534" s="99" t="s">
        <v>1381</v>
      </c>
    </row>
    <row r="2535" spans="1:15" x14ac:dyDescent="0.25">
      <c r="A2535" s="98" t="s">
        <v>68</v>
      </c>
      <c r="B2535" s="98" t="s">
        <v>3</v>
      </c>
      <c r="C2535" s="98">
        <v>0.1</v>
      </c>
      <c r="D2535" s="98">
        <v>1</v>
      </c>
      <c r="E2535" s="98">
        <v>1.0000000000000001E-5</v>
      </c>
      <c r="F2535" s="98" t="s">
        <v>6</v>
      </c>
      <c r="G2535" s="98" t="s">
        <v>5</v>
      </c>
      <c r="H2535" s="98">
        <v>0</v>
      </c>
      <c r="I2535" s="98">
        <v>0</v>
      </c>
      <c r="K2535" s="98">
        <v>36</v>
      </c>
      <c r="L2535" s="98">
        <v>92</v>
      </c>
      <c r="M2535" s="98">
        <v>35.884999999999998</v>
      </c>
      <c r="N2535" s="98">
        <v>91.647999999999996</v>
      </c>
      <c r="O2535" s="99" t="s">
        <v>1382</v>
      </c>
    </row>
    <row r="2536" spans="1:15" x14ac:dyDescent="0.25">
      <c r="A2536" s="98" t="s">
        <v>68</v>
      </c>
      <c r="B2536" s="98" t="s">
        <v>3</v>
      </c>
      <c r="C2536" s="98">
        <v>0.1</v>
      </c>
      <c r="D2536" s="98">
        <v>1</v>
      </c>
      <c r="E2536" s="98">
        <v>1E-4</v>
      </c>
      <c r="F2536" s="98" t="s">
        <v>6</v>
      </c>
      <c r="G2536" s="98" t="s">
        <v>5</v>
      </c>
      <c r="H2536" s="98">
        <v>0</v>
      </c>
      <c r="I2536" s="98">
        <v>0</v>
      </c>
      <c r="K2536" s="98">
        <v>65.685000000000002</v>
      </c>
      <c r="L2536" s="98">
        <v>74.286000000000001</v>
      </c>
      <c r="M2536" s="98">
        <v>65.573999999999998</v>
      </c>
      <c r="N2536" s="98">
        <v>74.301000000000002</v>
      </c>
      <c r="O2536" s="99" t="s">
        <v>1383</v>
      </c>
    </row>
    <row r="2537" spans="1:15" x14ac:dyDescent="0.25">
      <c r="A2537" s="98" t="s">
        <v>68</v>
      </c>
      <c r="B2537" s="98" t="s">
        <v>3</v>
      </c>
      <c r="C2537" s="98">
        <v>0.1</v>
      </c>
      <c r="D2537" s="98">
        <v>1</v>
      </c>
      <c r="E2537" s="98">
        <v>1E-3</v>
      </c>
      <c r="F2537" s="98" t="s">
        <v>6</v>
      </c>
      <c r="G2537" s="98" t="s">
        <v>5</v>
      </c>
      <c r="H2537" s="98">
        <v>0</v>
      </c>
      <c r="I2537" s="98">
        <v>0</v>
      </c>
      <c r="K2537" s="98">
        <v>577.78</v>
      </c>
      <c r="L2537" s="98">
        <v>13.555</v>
      </c>
      <c r="M2537" s="98">
        <v>577.73</v>
      </c>
      <c r="N2537" s="98">
        <v>13.515000000000001</v>
      </c>
      <c r="O2537" s="99" t="s">
        <v>1384</v>
      </c>
    </row>
    <row r="2538" spans="1:15" x14ac:dyDescent="0.25">
      <c r="A2538" s="98" t="s">
        <v>68</v>
      </c>
      <c r="B2538" s="98" t="s">
        <v>3</v>
      </c>
      <c r="C2538" s="98">
        <v>0.1</v>
      </c>
      <c r="D2538" s="98">
        <v>1</v>
      </c>
      <c r="E2538" s="98">
        <v>0.01</v>
      </c>
      <c r="F2538" s="98" t="s">
        <v>6</v>
      </c>
      <c r="G2538" s="98" t="s">
        <v>5</v>
      </c>
      <c r="H2538" s="98">
        <v>0</v>
      </c>
      <c r="I2538" s="98">
        <v>0</v>
      </c>
      <c r="K2538" s="98">
        <v>5773.6</v>
      </c>
      <c r="L2538" s="98">
        <v>1.3866000000000001</v>
      </c>
      <c r="M2538" s="98">
        <v>5773.6</v>
      </c>
      <c r="N2538" s="98">
        <v>1.3695999999999999</v>
      </c>
      <c r="O2538" s="99" t="s">
        <v>1385</v>
      </c>
    </row>
    <row r="2539" spans="1:15" x14ac:dyDescent="0.25">
      <c r="A2539" s="98" t="s">
        <v>68</v>
      </c>
      <c r="B2539" s="98" t="s">
        <v>3</v>
      </c>
      <c r="C2539" s="98">
        <v>0.1</v>
      </c>
      <c r="D2539" s="98">
        <v>1</v>
      </c>
      <c r="E2539" s="98">
        <v>0.1</v>
      </c>
      <c r="F2539" s="98" t="s">
        <v>6</v>
      </c>
      <c r="G2539" s="98" t="s">
        <v>5</v>
      </c>
      <c r="H2539" s="98">
        <v>0</v>
      </c>
      <c r="I2539" s="98">
        <v>0</v>
      </c>
      <c r="K2539" s="98">
        <v>57736</v>
      </c>
      <c r="L2539" s="98">
        <v>0.14379</v>
      </c>
      <c r="M2539" s="98">
        <v>57736</v>
      </c>
      <c r="N2539" s="98">
        <v>0.13697999999999999</v>
      </c>
      <c r="O2539" s="99" t="s">
        <v>1386</v>
      </c>
    </row>
    <row r="2540" spans="1:15" x14ac:dyDescent="0.25">
      <c r="A2540" s="98" t="s">
        <v>68</v>
      </c>
      <c r="B2540" s="98" t="s">
        <v>3</v>
      </c>
      <c r="C2540" s="98">
        <v>1</v>
      </c>
      <c r="D2540" s="98">
        <v>10</v>
      </c>
      <c r="E2540" s="98">
        <v>1E-4</v>
      </c>
      <c r="F2540" s="98" t="s">
        <v>6</v>
      </c>
      <c r="G2540" s="98" t="s">
        <v>5</v>
      </c>
      <c r="H2540" s="98">
        <v>0</v>
      </c>
      <c r="I2540" s="98">
        <v>0</v>
      </c>
      <c r="K2540" s="98">
        <v>360</v>
      </c>
      <c r="L2540" s="98">
        <v>92</v>
      </c>
      <c r="M2540" s="98">
        <v>354.54</v>
      </c>
      <c r="N2540" s="98">
        <v>91.828999999999994</v>
      </c>
      <c r="O2540" s="99" t="s">
        <v>1387</v>
      </c>
    </row>
    <row r="2541" spans="1:15" x14ac:dyDescent="0.25">
      <c r="A2541" s="98" t="s">
        <v>68</v>
      </c>
      <c r="B2541" s="98" t="s">
        <v>3</v>
      </c>
      <c r="C2541" s="98">
        <v>1</v>
      </c>
      <c r="D2541" s="98">
        <v>10</v>
      </c>
      <c r="E2541" s="98">
        <v>1E-3</v>
      </c>
      <c r="F2541" s="98" t="s">
        <v>6</v>
      </c>
      <c r="G2541" s="98" t="s">
        <v>5</v>
      </c>
      <c r="H2541" s="98">
        <v>0</v>
      </c>
      <c r="I2541" s="98">
        <v>0</v>
      </c>
      <c r="K2541" s="98">
        <v>653.72</v>
      </c>
      <c r="L2541" s="98">
        <v>74.370999999999995</v>
      </c>
      <c r="M2541" s="98">
        <v>653.16999999999996</v>
      </c>
      <c r="N2541" s="98">
        <v>74.328999999999994</v>
      </c>
      <c r="O2541" s="99" t="s">
        <v>1388</v>
      </c>
    </row>
    <row r="2542" spans="1:15" x14ac:dyDescent="0.25">
      <c r="A2542" s="98" t="s">
        <v>68</v>
      </c>
      <c r="B2542" s="98" t="s">
        <v>3</v>
      </c>
      <c r="C2542" s="98">
        <v>1</v>
      </c>
      <c r="D2542" s="98">
        <v>10</v>
      </c>
      <c r="E2542" s="98">
        <v>0.01</v>
      </c>
      <c r="F2542" s="98" t="s">
        <v>6</v>
      </c>
      <c r="G2542" s="98" t="s">
        <v>5</v>
      </c>
      <c r="H2542" s="98">
        <v>0</v>
      </c>
      <c r="I2542" s="98">
        <v>0</v>
      </c>
      <c r="K2542" s="98">
        <v>5777.2</v>
      </c>
      <c r="L2542" s="98">
        <v>13.558999999999999</v>
      </c>
      <c r="M2542" s="98">
        <v>5777</v>
      </c>
      <c r="N2542" s="98">
        <v>13.491</v>
      </c>
      <c r="O2542" s="99" t="s">
        <v>1389</v>
      </c>
    </row>
    <row r="2543" spans="1:15" x14ac:dyDescent="0.25">
      <c r="A2543" s="98" t="s">
        <v>68</v>
      </c>
      <c r="B2543" s="98" t="s">
        <v>3</v>
      </c>
      <c r="C2543" s="98">
        <v>1</v>
      </c>
      <c r="D2543" s="98">
        <v>10</v>
      </c>
      <c r="E2543" s="98">
        <v>0.1</v>
      </c>
      <c r="F2543" s="98" t="s">
        <v>6</v>
      </c>
      <c r="G2543" s="98" t="s">
        <v>5</v>
      </c>
      <c r="H2543" s="98">
        <v>0</v>
      </c>
      <c r="I2543" s="98">
        <v>0</v>
      </c>
      <c r="K2543" s="98">
        <v>57736</v>
      </c>
      <c r="L2543" s="98">
        <v>1.3954</v>
      </c>
      <c r="M2543" s="98">
        <v>57736</v>
      </c>
      <c r="N2543" s="98">
        <v>13.496</v>
      </c>
      <c r="O2543" s="99" t="s">
        <v>1390</v>
      </c>
    </row>
    <row r="2544" spans="1:15" x14ac:dyDescent="0.25">
      <c r="A2544" s="98" t="s">
        <v>68</v>
      </c>
      <c r="B2544" s="98" t="s">
        <v>3</v>
      </c>
      <c r="C2544" s="98">
        <v>1</v>
      </c>
      <c r="D2544" s="98">
        <v>10</v>
      </c>
      <c r="E2544" s="98">
        <v>1</v>
      </c>
      <c r="F2544" s="98" t="s">
        <v>6</v>
      </c>
      <c r="G2544" s="98" t="s">
        <v>5</v>
      </c>
      <c r="H2544" s="98">
        <v>0</v>
      </c>
      <c r="I2544" s="98">
        <v>0</v>
      </c>
      <c r="K2544" s="98">
        <v>577360</v>
      </c>
      <c r="L2544" s="98">
        <v>0.14807999999999999</v>
      </c>
      <c r="M2544" s="98">
        <v>577360</v>
      </c>
      <c r="N2544" s="98">
        <v>13.497</v>
      </c>
      <c r="O2544" s="99" t="s">
        <v>1391</v>
      </c>
    </row>
    <row r="2545" spans="1:15" x14ac:dyDescent="0.25">
      <c r="A2545" s="98" t="s">
        <v>68</v>
      </c>
      <c r="B2545" s="98" t="s">
        <v>3</v>
      </c>
      <c r="C2545" s="98">
        <v>10</v>
      </c>
      <c r="D2545" s="98">
        <v>100</v>
      </c>
      <c r="E2545" s="98">
        <v>1E-3</v>
      </c>
      <c r="F2545" s="98" t="s">
        <v>6</v>
      </c>
      <c r="G2545" s="98" t="s">
        <v>4</v>
      </c>
      <c r="H2545" s="98">
        <v>0</v>
      </c>
      <c r="I2545" s="98">
        <v>0</v>
      </c>
      <c r="K2545" s="98">
        <v>6.8</v>
      </c>
      <c r="L2545" s="98">
        <v>8.2000000000000003E-2</v>
      </c>
      <c r="M2545" s="98">
        <v>6.7337999999999996</v>
      </c>
      <c r="N2545" s="98">
        <v>8.2464999999999997E-2</v>
      </c>
      <c r="O2545" s="99" t="s">
        <v>1392</v>
      </c>
    </row>
    <row r="2546" spans="1:15" x14ac:dyDescent="0.25">
      <c r="A2546" s="98" t="s">
        <v>68</v>
      </c>
      <c r="B2546" s="98" t="s">
        <v>3</v>
      </c>
      <c r="C2546" s="98">
        <v>10</v>
      </c>
      <c r="D2546" s="98">
        <v>100</v>
      </c>
      <c r="E2546" s="98">
        <v>0.01</v>
      </c>
      <c r="F2546" s="98" t="s">
        <v>6</v>
      </c>
      <c r="G2546" s="98" t="s">
        <v>4</v>
      </c>
      <c r="H2546" s="98">
        <v>0</v>
      </c>
      <c r="I2546" s="98">
        <v>0</v>
      </c>
      <c r="K2546" s="98">
        <v>8.7739999999999991</v>
      </c>
      <c r="L2546" s="98">
        <v>7.2816000000000006E-2</v>
      </c>
      <c r="M2546" s="98">
        <v>8.766</v>
      </c>
      <c r="N2546" s="98">
        <v>7.2780999999999998E-2</v>
      </c>
      <c r="O2546" s="99" t="s">
        <v>1393</v>
      </c>
    </row>
    <row r="2547" spans="1:15" x14ac:dyDescent="0.25">
      <c r="A2547" s="98" t="s">
        <v>68</v>
      </c>
      <c r="B2547" s="98" t="s">
        <v>3</v>
      </c>
      <c r="C2547" s="98">
        <v>10</v>
      </c>
      <c r="D2547" s="98">
        <v>100</v>
      </c>
      <c r="E2547" s="98">
        <v>0.1</v>
      </c>
      <c r="F2547" s="98" t="s">
        <v>6</v>
      </c>
      <c r="G2547" s="98" t="s">
        <v>4</v>
      </c>
      <c r="H2547" s="98">
        <v>0</v>
      </c>
      <c r="I2547" s="98">
        <v>0</v>
      </c>
      <c r="K2547" s="98">
        <v>58.072000000000003</v>
      </c>
      <c r="L2547" s="98">
        <v>1.5845000000000001E-2</v>
      </c>
      <c r="M2547" s="98">
        <v>58.067999999999998</v>
      </c>
      <c r="N2547" s="98">
        <v>1.5768999999999998E-2</v>
      </c>
      <c r="O2547" s="99" t="s">
        <v>1394</v>
      </c>
    </row>
    <row r="2548" spans="1:15" x14ac:dyDescent="0.25">
      <c r="A2548" s="98" t="s">
        <v>68</v>
      </c>
      <c r="B2548" s="98" t="s">
        <v>3</v>
      </c>
      <c r="C2548" s="98">
        <v>10</v>
      </c>
      <c r="D2548" s="98">
        <v>100</v>
      </c>
      <c r="E2548" s="98">
        <v>1</v>
      </c>
      <c r="F2548" s="98" t="s">
        <v>6</v>
      </c>
      <c r="G2548" s="98" t="s">
        <v>4</v>
      </c>
      <c r="H2548" s="98">
        <v>0</v>
      </c>
      <c r="I2548" s="98">
        <v>0</v>
      </c>
      <c r="K2548" s="98">
        <v>577.39</v>
      </c>
      <c r="L2548" s="98">
        <v>1.6414999999999999E-3</v>
      </c>
      <c r="M2548" s="98">
        <v>577.39</v>
      </c>
      <c r="N2548" s="98">
        <v>1.6092999999999999E-3</v>
      </c>
      <c r="O2548" s="99" t="s">
        <v>1395</v>
      </c>
    </row>
    <row r="2549" spans="1:15" x14ac:dyDescent="0.25">
      <c r="A2549" s="98" t="s">
        <v>68</v>
      </c>
      <c r="B2549" s="98" t="s">
        <v>3</v>
      </c>
      <c r="C2549" s="98">
        <v>10</v>
      </c>
      <c r="D2549" s="98">
        <v>100</v>
      </c>
      <c r="E2549" s="98">
        <v>10</v>
      </c>
      <c r="F2549" s="98" t="s">
        <v>6</v>
      </c>
      <c r="G2549" s="98" t="s">
        <v>4</v>
      </c>
      <c r="H2549" s="98">
        <v>0</v>
      </c>
      <c r="I2549" s="98">
        <v>0</v>
      </c>
      <c r="K2549" s="98">
        <v>5773.6</v>
      </c>
      <c r="L2549" s="98">
        <v>1.7383000000000001E-4</v>
      </c>
      <c r="M2549" s="98">
        <v>5773.6</v>
      </c>
      <c r="N2549" s="98">
        <v>1.6097E-4</v>
      </c>
      <c r="O2549" s="99" t="s">
        <v>1396</v>
      </c>
    </row>
    <row r="2550" spans="1:15" x14ac:dyDescent="0.25">
      <c r="A2550" s="98" t="s">
        <v>68</v>
      </c>
      <c r="B2550" s="98" t="s">
        <v>3</v>
      </c>
      <c r="C2550" s="98">
        <v>100</v>
      </c>
      <c r="D2550" s="98">
        <v>1020</v>
      </c>
      <c r="E2550" s="98">
        <v>0.01</v>
      </c>
      <c r="F2550" s="98" t="s">
        <v>6</v>
      </c>
      <c r="G2550" s="98" t="s">
        <v>4</v>
      </c>
      <c r="H2550" s="98">
        <v>0</v>
      </c>
      <c r="I2550" s="98">
        <v>0</v>
      </c>
      <c r="K2550" s="98">
        <v>36</v>
      </c>
      <c r="L2550" s="98">
        <v>9.1999999999999998E-2</v>
      </c>
      <c r="M2550" s="98">
        <v>35.843000000000004</v>
      </c>
      <c r="N2550" s="98">
        <v>9.1772000000000006E-2</v>
      </c>
      <c r="O2550" s="99" t="s">
        <v>1397</v>
      </c>
    </row>
    <row r="2551" spans="1:15" x14ac:dyDescent="0.25">
      <c r="A2551" s="98" t="s">
        <v>68</v>
      </c>
      <c r="B2551" s="98" t="s">
        <v>3</v>
      </c>
      <c r="C2551" s="98">
        <v>100</v>
      </c>
      <c r="D2551" s="98">
        <v>1020</v>
      </c>
      <c r="E2551" s="98">
        <v>0.1</v>
      </c>
      <c r="F2551" s="98" t="s">
        <v>6</v>
      </c>
      <c r="G2551" s="98" t="s">
        <v>4</v>
      </c>
      <c r="H2551" s="98">
        <v>0</v>
      </c>
      <c r="I2551" s="98">
        <v>0</v>
      </c>
      <c r="K2551" s="98">
        <v>65.632000000000005</v>
      </c>
      <c r="L2551" s="98">
        <v>7.4630000000000002E-2</v>
      </c>
      <c r="M2551" s="98">
        <v>65.525000000000006</v>
      </c>
      <c r="N2551" s="98">
        <v>7.4607999999999994E-2</v>
      </c>
      <c r="O2551" s="99" t="s">
        <v>1398</v>
      </c>
    </row>
    <row r="2552" spans="1:15" x14ac:dyDescent="0.25">
      <c r="A2552" s="98" t="s">
        <v>68</v>
      </c>
      <c r="B2552" s="98" t="s">
        <v>3</v>
      </c>
      <c r="C2552" s="98">
        <v>100</v>
      </c>
      <c r="D2552" s="98">
        <v>1020</v>
      </c>
      <c r="E2552" s="98">
        <v>1</v>
      </c>
      <c r="F2552" s="98" t="s">
        <v>6</v>
      </c>
      <c r="G2552" s="98" t="s">
        <v>4</v>
      </c>
      <c r="H2552" s="98">
        <v>0</v>
      </c>
      <c r="I2552" s="98">
        <v>0</v>
      </c>
      <c r="K2552" s="98">
        <v>577.76</v>
      </c>
      <c r="L2552" s="98">
        <v>1.3752E-2</v>
      </c>
      <c r="M2552" s="98">
        <v>577.71</v>
      </c>
      <c r="N2552" s="98">
        <v>1.3677E-2</v>
      </c>
      <c r="O2552" s="99" t="s">
        <v>1399</v>
      </c>
    </row>
    <row r="2553" spans="1:15" x14ac:dyDescent="0.25">
      <c r="A2553" s="98" t="s">
        <v>68</v>
      </c>
      <c r="B2553" s="98" t="s">
        <v>3</v>
      </c>
      <c r="C2553" s="98">
        <v>100</v>
      </c>
      <c r="D2553" s="98">
        <v>1020</v>
      </c>
      <c r="E2553" s="98">
        <v>10</v>
      </c>
      <c r="F2553" s="98" t="s">
        <v>6</v>
      </c>
      <c r="G2553" s="98" t="s">
        <v>4</v>
      </c>
      <c r="H2553" s="98">
        <v>0</v>
      </c>
      <c r="I2553" s="98">
        <v>0</v>
      </c>
      <c r="K2553" s="98">
        <v>5773.6</v>
      </c>
      <c r="L2553" s="98">
        <v>1.4178999999999999E-3</v>
      </c>
      <c r="M2553" s="98">
        <v>5773.6</v>
      </c>
      <c r="N2553" s="98">
        <v>1.3864000000000001E-3</v>
      </c>
      <c r="O2553" s="99" t="s">
        <v>1400</v>
      </c>
    </row>
    <row r="2554" spans="1:15" x14ac:dyDescent="0.25">
      <c r="A2554" s="98" t="s">
        <v>68</v>
      </c>
      <c r="B2554" s="98" t="s">
        <v>3</v>
      </c>
      <c r="C2554" s="98">
        <v>100</v>
      </c>
      <c r="D2554" s="98">
        <v>1020</v>
      </c>
      <c r="E2554" s="98">
        <v>100</v>
      </c>
      <c r="F2554" s="98" t="s">
        <v>6</v>
      </c>
      <c r="G2554" s="98" t="s">
        <v>4</v>
      </c>
      <c r="H2554" s="98">
        <v>0</v>
      </c>
      <c r="I2554" s="98">
        <v>0</v>
      </c>
      <c r="K2554" s="98">
        <v>57736</v>
      </c>
      <c r="L2554" s="98">
        <v>1.5124999999999999E-4</v>
      </c>
      <c r="M2554" s="98">
        <v>57736</v>
      </c>
      <c r="N2554" s="98">
        <v>1.3866E-4</v>
      </c>
      <c r="O2554" s="99" t="s">
        <v>1401</v>
      </c>
    </row>
    <row r="2555" spans="1:15" x14ac:dyDescent="0.25">
      <c r="A2555" s="98" t="s">
        <v>68</v>
      </c>
      <c r="B2555" s="98" t="s">
        <v>17</v>
      </c>
      <c r="C2555" s="98">
        <v>1</v>
      </c>
      <c r="D2555" s="98">
        <v>100000</v>
      </c>
      <c r="E2555" s="98">
        <v>1</v>
      </c>
      <c r="F2555" s="98" t="s">
        <v>9</v>
      </c>
      <c r="G2555" s="98" t="s">
        <v>9</v>
      </c>
      <c r="H2555" s="98">
        <v>0</v>
      </c>
      <c r="I2555" s="98">
        <v>0</v>
      </c>
      <c r="K2555" s="98">
        <v>0.87</v>
      </c>
      <c r="L2555" s="98">
        <v>1.5999999999999999E-5</v>
      </c>
      <c r="M2555" s="98">
        <v>0.81637999999999999</v>
      </c>
      <c r="N2555" s="98">
        <v>1.6364000000000001E-5</v>
      </c>
      <c r="O2555" s="99" t="s">
        <v>1372</v>
      </c>
    </row>
    <row r="2556" spans="1:15" x14ac:dyDescent="0.25">
      <c r="A2556" s="98" t="s">
        <v>68</v>
      </c>
      <c r="B2556" s="98" t="s">
        <v>17</v>
      </c>
      <c r="C2556" s="98">
        <v>1</v>
      </c>
      <c r="D2556" s="98">
        <v>100000</v>
      </c>
      <c r="E2556" s="98">
        <v>10</v>
      </c>
      <c r="F2556" s="98" t="s">
        <v>9</v>
      </c>
      <c r="G2556" s="98" t="s">
        <v>9</v>
      </c>
      <c r="H2556" s="98">
        <v>0</v>
      </c>
      <c r="I2556" s="98">
        <v>0</v>
      </c>
      <c r="K2556" s="98">
        <v>5.8379000000000003</v>
      </c>
      <c r="L2556" s="98">
        <v>4.8237000000000001E-6</v>
      </c>
      <c r="M2556" s="98">
        <v>5.8243</v>
      </c>
      <c r="N2556" s="98">
        <v>4.6825999999999999E-6</v>
      </c>
      <c r="O2556" s="99" t="s">
        <v>1373</v>
      </c>
    </row>
    <row r="2557" spans="1:15" x14ac:dyDescent="0.25">
      <c r="A2557" s="98" t="s">
        <v>68</v>
      </c>
      <c r="B2557" s="98" t="s">
        <v>17</v>
      </c>
      <c r="C2557" s="98">
        <v>1</v>
      </c>
      <c r="D2557" s="98">
        <v>100000</v>
      </c>
      <c r="E2557" s="98">
        <v>100</v>
      </c>
      <c r="F2557" s="98" t="s">
        <v>9</v>
      </c>
      <c r="G2557" s="98" t="s">
        <v>9</v>
      </c>
      <c r="H2557" s="98">
        <v>0</v>
      </c>
      <c r="I2557" s="98">
        <v>0</v>
      </c>
      <c r="K2557" s="98">
        <v>58.005000000000003</v>
      </c>
      <c r="L2557" s="98">
        <v>3.1698999999999999E-6</v>
      </c>
      <c r="M2557" s="98">
        <v>58</v>
      </c>
      <c r="N2557" s="98">
        <v>3.1064999999999998E-6</v>
      </c>
      <c r="O2557" s="99" t="s">
        <v>1374</v>
      </c>
    </row>
    <row r="2558" spans="1:15" x14ac:dyDescent="0.25">
      <c r="A2558" s="98" t="s">
        <v>68</v>
      </c>
      <c r="B2558" s="98" t="s">
        <v>17</v>
      </c>
      <c r="C2558" s="98">
        <v>1</v>
      </c>
      <c r="D2558" s="98">
        <v>100000</v>
      </c>
      <c r="E2558" s="98">
        <v>1000</v>
      </c>
      <c r="F2558" s="98" t="s">
        <v>9</v>
      </c>
      <c r="G2558" s="98" t="s">
        <v>9</v>
      </c>
      <c r="H2558" s="98">
        <v>0</v>
      </c>
      <c r="I2558" s="98">
        <v>0</v>
      </c>
      <c r="K2558" s="98">
        <v>579.98</v>
      </c>
      <c r="L2558" s="98">
        <v>2.6531000000000001E-5</v>
      </c>
      <c r="M2558" s="98">
        <v>579.97</v>
      </c>
      <c r="N2558" s="98">
        <v>2.6505000000000001E-5</v>
      </c>
      <c r="O2558" s="99" t="s">
        <v>1375</v>
      </c>
    </row>
    <row r="2559" spans="1:15" x14ac:dyDescent="0.25">
      <c r="A2559" s="98" t="s">
        <v>68</v>
      </c>
      <c r="B2559" s="98" t="s">
        <v>17</v>
      </c>
      <c r="C2559" s="98">
        <v>1</v>
      </c>
      <c r="D2559" s="98">
        <v>100000</v>
      </c>
      <c r="E2559" s="98">
        <v>10000</v>
      </c>
      <c r="F2559" s="98" t="s">
        <v>9</v>
      </c>
      <c r="G2559" s="98" t="s">
        <v>9</v>
      </c>
      <c r="H2559" s="98">
        <v>0</v>
      </c>
      <c r="I2559" s="98">
        <v>0</v>
      </c>
      <c r="K2559" s="98">
        <v>5799.7</v>
      </c>
      <c r="L2559" s="98">
        <v>2.6460999999999998E-4</v>
      </c>
      <c r="M2559" s="98">
        <v>5799.7</v>
      </c>
      <c r="N2559" s="98">
        <v>2.6459999999999998E-4</v>
      </c>
      <c r="O2559" s="99" t="s">
        <v>1376</v>
      </c>
    </row>
    <row r="2560" spans="1:15" x14ac:dyDescent="0.25">
      <c r="A2560" s="98" t="s">
        <v>68</v>
      </c>
      <c r="B2560" s="98" t="s">
        <v>72</v>
      </c>
      <c r="C2560" s="98">
        <v>1</v>
      </c>
      <c r="D2560" s="98">
        <v>100</v>
      </c>
      <c r="E2560" s="98">
        <v>1</v>
      </c>
      <c r="F2560" s="98" t="s">
        <v>6</v>
      </c>
      <c r="G2560" s="98" t="s">
        <v>6</v>
      </c>
      <c r="H2560" s="98">
        <v>0</v>
      </c>
      <c r="I2560" s="98">
        <v>0</v>
      </c>
      <c r="K2560" s="98">
        <v>1.5</v>
      </c>
      <c r="L2560" s="98">
        <v>1.0999999999999999E-2</v>
      </c>
      <c r="M2560" s="98">
        <v>1.4054</v>
      </c>
      <c r="N2560" s="98">
        <v>1.0453E-2</v>
      </c>
      <c r="O2560" s="99" t="s">
        <v>1360</v>
      </c>
    </row>
    <row r="2561" spans="1:15" x14ac:dyDescent="0.25">
      <c r="A2561" s="98" t="s">
        <v>68</v>
      </c>
      <c r="B2561" s="98" t="s">
        <v>72</v>
      </c>
      <c r="C2561" s="98">
        <v>1</v>
      </c>
      <c r="D2561" s="98">
        <v>100</v>
      </c>
      <c r="E2561" s="98">
        <v>10</v>
      </c>
      <c r="F2561" s="98" t="s">
        <v>6</v>
      </c>
      <c r="G2561" s="98" t="s">
        <v>6</v>
      </c>
      <c r="H2561" s="98">
        <v>0</v>
      </c>
      <c r="I2561" s="98">
        <v>0</v>
      </c>
      <c r="K2561" s="98">
        <v>5.9149000000000003</v>
      </c>
      <c r="L2561" s="98">
        <v>3.8256000000000002E-3</v>
      </c>
      <c r="M2561" s="98">
        <v>5.9069000000000003</v>
      </c>
      <c r="N2561" s="98">
        <v>3.6668E-3</v>
      </c>
      <c r="O2561" s="99" t="s">
        <v>1361</v>
      </c>
    </row>
    <row r="2562" spans="1:15" x14ac:dyDescent="0.25">
      <c r="A2562" s="98" t="s">
        <v>68</v>
      </c>
      <c r="B2562" s="98" t="s">
        <v>72</v>
      </c>
      <c r="C2562" s="98">
        <v>1</v>
      </c>
      <c r="D2562" s="98">
        <v>100</v>
      </c>
      <c r="E2562" s="98">
        <v>100</v>
      </c>
      <c r="F2562" s="98" t="s">
        <v>6</v>
      </c>
      <c r="G2562" s="98" t="s">
        <v>6</v>
      </c>
      <c r="H2562" s="98">
        <v>0</v>
      </c>
      <c r="I2562" s="98">
        <v>0</v>
      </c>
      <c r="K2562" s="98">
        <v>57.917999999999999</v>
      </c>
      <c r="L2562" s="98">
        <v>3.3655999999999998E-3</v>
      </c>
      <c r="M2562" s="98">
        <v>57.914999999999999</v>
      </c>
      <c r="N2562" s="98">
        <v>3.2951999999999999E-3</v>
      </c>
      <c r="O2562" s="99" t="s">
        <v>1362</v>
      </c>
    </row>
    <row r="2563" spans="1:15" x14ac:dyDescent="0.25">
      <c r="A2563" s="98" t="s">
        <v>68</v>
      </c>
      <c r="B2563" s="98" t="s">
        <v>72</v>
      </c>
      <c r="C2563" s="98">
        <v>100</v>
      </c>
      <c r="D2563" s="98">
        <v>250</v>
      </c>
      <c r="E2563" s="98">
        <v>1</v>
      </c>
      <c r="F2563" s="98" t="s">
        <v>6</v>
      </c>
      <c r="G2563" s="98" t="s">
        <v>6</v>
      </c>
      <c r="H2563" s="98">
        <v>0</v>
      </c>
      <c r="I2563" s="98">
        <v>0</v>
      </c>
      <c r="K2563" s="98">
        <v>1.4</v>
      </c>
      <c r="L2563" s="98">
        <v>1.0999999999999999E-2</v>
      </c>
      <c r="M2563" s="98">
        <v>1.3332999999999999</v>
      </c>
      <c r="N2563" s="98">
        <v>1.1162E-2</v>
      </c>
      <c r="O2563" s="99" t="s">
        <v>1363</v>
      </c>
    </row>
    <row r="2564" spans="1:15" x14ac:dyDescent="0.25">
      <c r="A2564" s="98" t="s">
        <v>68</v>
      </c>
      <c r="B2564" s="98" t="s">
        <v>72</v>
      </c>
      <c r="C2564" s="98">
        <v>100</v>
      </c>
      <c r="D2564" s="98">
        <v>250</v>
      </c>
      <c r="E2564" s="98">
        <v>10</v>
      </c>
      <c r="F2564" s="98" t="s">
        <v>6</v>
      </c>
      <c r="G2564" s="98" t="s">
        <v>6</v>
      </c>
      <c r="H2564" s="98">
        <v>0</v>
      </c>
      <c r="I2564" s="98">
        <v>0</v>
      </c>
      <c r="K2564" s="98">
        <v>5.6898999999999997</v>
      </c>
      <c r="L2564" s="98">
        <v>5.7678E-3</v>
      </c>
      <c r="M2564" s="98">
        <v>5.6798000000000002</v>
      </c>
      <c r="N2564" s="98">
        <v>5.6527000000000001E-3</v>
      </c>
      <c r="O2564" s="99" t="s">
        <v>1364</v>
      </c>
    </row>
    <row r="2565" spans="1:15" x14ac:dyDescent="0.25">
      <c r="A2565" s="98" t="s">
        <v>68</v>
      </c>
      <c r="B2565" s="98" t="s">
        <v>72</v>
      </c>
      <c r="C2565" s="98">
        <v>100</v>
      </c>
      <c r="D2565" s="98">
        <v>250</v>
      </c>
      <c r="E2565" s="98">
        <v>100</v>
      </c>
      <c r="F2565" s="98" t="s">
        <v>6</v>
      </c>
      <c r="G2565" s="98" t="s">
        <v>6</v>
      </c>
      <c r="H2565" s="98">
        <v>0</v>
      </c>
      <c r="I2565" s="98">
        <v>0</v>
      </c>
      <c r="K2565" s="98">
        <v>57.719000000000001</v>
      </c>
      <c r="L2565" s="98">
        <v>2.4580000000000001E-3</v>
      </c>
      <c r="M2565" s="98">
        <v>57.716000000000001</v>
      </c>
      <c r="N2565" s="98">
        <v>2.3936000000000001E-3</v>
      </c>
      <c r="O2565" s="99" t="s">
        <v>1365</v>
      </c>
    </row>
    <row r="2566" spans="1:15" x14ac:dyDescent="0.25">
      <c r="A2566" s="98" t="s">
        <v>68</v>
      </c>
      <c r="B2566" s="98" t="s">
        <v>72</v>
      </c>
      <c r="C2566" s="98">
        <v>250</v>
      </c>
      <c r="D2566" s="98">
        <v>500</v>
      </c>
      <c r="E2566" s="98">
        <v>1</v>
      </c>
      <c r="F2566" s="98" t="s">
        <v>6</v>
      </c>
      <c r="G2566" s="98" t="s">
        <v>6</v>
      </c>
      <c r="H2566" s="98">
        <v>0</v>
      </c>
      <c r="I2566" s="98">
        <v>0</v>
      </c>
      <c r="K2566" s="98">
        <v>1.5</v>
      </c>
      <c r="L2566" s="98">
        <v>1.0999999999999999E-2</v>
      </c>
      <c r="M2566" s="98">
        <v>1.2696000000000001</v>
      </c>
      <c r="N2566" s="98">
        <v>1.1414000000000001E-2</v>
      </c>
      <c r="O2566" s="99" t="s">
        <v>1366</v>
      </c>
    </row>
    <row r="2567" spans="1:15" x14ac:dyDescent="0.25">
      <c r="A2567" s="98" t="s">
        <v>68</v>
      </c>
      <c r="B2567" s="98" t="s">
        <v>72</v>
      </c>
      <c r="C2567" s="98">
        <v>250</v>
      </c>
      <c r="D2567" s="98">
        <v>500</v>
      </c>
      <c r="E2567" s="98">
        <v>10</v>
      </c>
      <c r="F2567" s="98" t="s">
        <v>6</v>
      </c>
      <c r="G2567" s="98" t="s">
        <v>6</v>
      </c>
      <c r="H2567" s="98">
        <v>0</v>
      </c>
      <c r="I2567" s="98">
        <v>0</v>
      </c>
      <c r="K2567" s="98">
        <v>5.1032000000000002</v>
      </c>
      <c r="L2567" s="98">
        <v>8.0275999999999993E-3</v>
      </c>
      <c r="M2567" s="98">
        <v>5.0880999999999998</v>
      </c>
      <c r="N2567" s="98">
        <v>7.9319999999999998E-3</v>
      </c>
      <c r="O2567" s="99" t="s">
        <v>1367</v>
      </c>
    </row>
    <row r="2568" spans="1:15" x14ac:dyDescent="0.25">
      <c r="A2568" s="98" t="s">
        <v>68</v>
      </c>
      <c r="B2568" s="98" t="s">
        <v>72</v>
      </c>
      <c r="C2568" s="98">
        <v>250</v>
      </c>
      <c r="D2568" s="98">
        <v>500</v>
      </c>
      <c r="E2568" s="98">
        <v>100</v>
      </c>
      <c r="F2568" s="98" t="s">
        <v>6</v>
      </c>
      <c r="G2568" s="98" t="s">
        <v>6</v>
      </c>
      <c r="H2568" s="98">
        <v>0</v>
      </c>
      <c r="I2568" s="98">
        <v>0</v>
      </c>
      <c r="K2568" s="98">
        <v>57.497</v>
      </c>
      <c r="L2568" s="98">
        <v>2.2225000000000001E-3</v>
      </c>
      <c r="M2568" s="98">
        <v>57.502000000000002</v>
      </c>
      <c r="N2568" s="98">
        <v>2.1424999999999999E-3</v>
      </c>
      <c r="O2568" s="99" t="s">
        <v>1368</v>
      </c>
    </row>
    <row r="2569" spans="1:15" x14ac:dyDescent="0.25">
      <c r="A2569" s="98" t="s">
        <v>68</v>
      </c>
      <c r="B2569" s="98" t="s">
        <v>72</v>
      </c>
      <c r="C2569" s="98">
        <v>500</v>
      </c>
      <c r="D2569" s="98">
        <v>1000</v>
      </c>
      <c r="E2569" s="98">
        <v>1</v>
      </c>
      <c r="F2569" s="98" t="s">
        <v>6</v>
      </c>
      <c r="G2569" s="98" t="s">
        <v>6</v>
      </c>
      <c r="H2569" s="98">
        <v>0</v>
      </c>
      <c r="I2569" s="98">
        <v>0</v>
      </c>
      <c r="K2569" s="98">
        <v>1.8</v>
      </c>
      <c r="L2569" s="98">
        <v>1.0999999999999999E-2</v>
      </c>
      <c r="M2569" s="98">
        <v>1.2242</v>
      </c>
      <c r="N2569" s="98">
        <v>1.1504E-2</v>
      </c>
      <c r="O2569" s="99" t="s">
        <v>1369</v>
      </c>
    </row>
    <row r="2570" spans="1:15" x14ac:dyDescent="0.25">
      <c r="A2570" s="98" t="s">
        <v>68</v>
      </c>
      <c r="B2570" s="98" t="s">
        <v>72</v>
      </c>
      <c r="C2570" s="98">
        <v>500</v>
      </c>
      <c r="D2570" s="98">
        <v>1000</v>
      </c>
      <c r="E2570" s="98">
        <v>10</v>
      </c>
      <c r="F2570" s="98" t="s">
        <v>6</v>
      </c>
      <c r="G2570" s="98" t="s">
        <v>6</v>
      </c>
      <c r="H2570" s="98">
        <v>0</v>
      </c>
      <c r="I2570" s="98">
        <v>0</v>
      </c>
      <c r="K2570" s="98">
        <v>4.1692999999999998</v>
      </c>
      <c r="L2570" s="98">
        <v>9.8749000000000007E-3</v>
      </c>
      <c r="M2570" s="98">
        <v>4.0987</v>
      </c>
      <c r="N2570" s="98">
        <v>9.8767000000000004E-3</v>
      </c>
      <c r="O2570" s="99" t="s">
        <v>1370</v>
      </c>
    </row>
    <row r="2571" spans="1:15" x14ac:dyDescent="0.25">
      <c r="A2571" s="98" t="s">
        <v>68</v>
      </c>
      <c r="B2571" s="98" t="s">
        <v>72</v>
      </c>
      <c r="C2571" s="98">
        <v>500</v>
      </c>
      <c r="D2571" s="98">
        <v>1000</v>
      </c>
      <c r="E2571" s="98">
        <v>100</v>
      </c>
      <c r="F2571" s="98" t="s">
        <v>6</v>
      </c>
      <c r="G2571" s="98" t="s">
        <v>6</v>
      </c>
      <c r="H2571" s="98">
        <v>0</v>
      </c>
      <c r="I2571" s="98">
        <v>0</v>
      </c>
      <c r="K2571" s="98">
        <v>57.066000000000003</v>
      </c>
      <c r="L2571" s="98">
        <v>2.4926000000000002E-3</v>
      </c>
      <c r="M2571" s="98">
        <v>57.040999999999997</v>
      </c>
      <c r="N2571" s="98">
        <v>2.4497E-3</v>
      </c>
      <c r="O2571" s="99" t="s">
        <v>1371</v>
      </c>
    </row>
    <row r="2572" spans="1:15" x14ac:dyDescent="0.25">
      <c r="A2572" s="98" t="s">
        <v>68</v>
      </c>
      <c r="B2572" s="98" t="s">
        <v>73</v>
      </c>
      <c r="C2572" s="98">
        <v>250000</v>
      </c>
      <c r="D2572" s="98">
        <v>100000000</v>
      </c>
      <c r="E2572" s="98">
        <v>10000</v>
      </c>
      <c r="F2572" s="98" t="s">
        <v>102</v>
      </c>
      <c r="G2572" s="98" t="s">
        <v>50</v>
      </c>
      <c r="H2572" s="98">
        <v>0</v>
      </c>
      <c r="I2572" s="98">
        <v>0</v>
      </c>
      <c r="K2572" s="98">
        <v>18</v>
      </c>
      <c r="L2572" s="98">
        <v>9.2E-6</v>
      </c>
      <c r="M2572" s="98">
        <v>13.773</v>
      </c>
      <c r="N2572" s="98">
        <v>9.2419000000000004E-6</v>
      </c>
      <c r="O2572" s="99" t="s">
        <v>1342</v>
      </c>
    </row>
    <row r="2573" spans="1:15" x14ac:dyDescent="0.25">
      <c r="A2573" s="98" t="s">
        <v>68</v>
      </c>
      <c r="B2573" s="98" t="s">
        <v>73</v>
      </c>
      <c r="C2573" s="98">
        <v>250000</v>
      </c>
      <c r="D2573" s="98">
        <v>100000000</v>
      </c>
      <c r="E2573" s="98">
        <v>100000</v>
      </c>
      <c r="F2573" s="98" t="s">
        <v>102</v>
      </c>
      <c r="G2573" s="98" t="s">
        <v>50</v>
      </c>
      <c r="H2573" s="98">
        <v>0</v>
      </c>
      <c r="I2573" s="98">
        <v>0</v>
      </c>
      <c r="K2573" s="98">
        <v>57.523000000000003</v>
      </c>
      <c r="L2573" s="98">
        <v>8.8223000000000002E-6</v>
      </c>
      <c r="M2573" s="98">
        <v>57.453000000000003</v>
      </c>
      <c r="N2573" s="98">
        <v>8.8227999999999996E-6</v>
      </c>
      <c r="O2573" s="99" t="s">
        <v>1343</v>
      </c>
    </row>
    <row r="2574" spans="1:15" x14ac:dyDescent="0.25">
      <c r="A2574" s="98" t="s">
        <v>68</v>
      </c>
      <c r="B2574" s="98" t="s">
        <v>73</v>
      </c>
      <c r="C2574" s="98">
        <v>250000</v>
      </c>
      <c r="D2574" s="98">
        <v>100000000</v>
      </c>
      <c r="E2574" s="98">
        <v>1000000</v>
      </c>
      <c r="F2574" s="98" t="s">
        <v>102</v>
      </c>
      <c r="G2574" s="98" t="s">
        <v>50</v>
      </c>
      <c r="H2574" s="98">
        <v>0</v>
      </c>
      <c r="I2574" s="98">
        <v>0</v>
      </c>
      <c r="K2574" s="98">
        <v>576.26</v>
      </c>
      <c r="L2574" s="98">
        <v>5.2658999999999998E-6</v>
      </c>
      <c r="M2574" s="98">
        <v>576.24</v>
      </c>
      <c r="N2574" s="98">
        <v>5.2654999999999998E-6</v>
      </c>
      <c r="O2574" s="99" t="s">
        <v>1344</v>
      </c>
    </row>
    <row r="2575" spans="1:15" x14ac:dyDescent="0.25">
      <c r="A2575" s="98" t="s">
        <v>68</v>
      </c>
      <c r="B2575" s="98" t="s">
        <v>73</v>
      </c>
      <c r="C2575" s="98">
        <v>250000</v>
      </c>
      <c r="D2575" s="98">
        <v>100000000</v>
      </c>
      <c r="E2575" s="98">
        <v>10000000</v>
      </c>
      <c r="F2575" s="98" t="s">
        <v>102</v>
      </c>
      <c r="G2575" s="98" t="s">
        <v>50</v>
      </c>
      <c r="H2575" s="98">
        <v>0</v>
      </c>
      <c r="I2575" s="98">
        <v>0</v>
      </c>
      <c r="K2575" s="98">
        <v>5775</v>
      </c>
      <c r="L2575" s="98">
        <v>1.0208E-6</v>
      </c>
      <c r="M2575" s="98">
        <v>5775</v>
      </c>
      <c r="N2575" s="98">
        <v>1.0204E-6</v>
      </c>
      <c r="O2575" s="99" t="s">
        <v>1345</v>
      </c>
    </row>
    <row r="2576" spans="1:15" x14ac:dyDescent="0.25">
      <c r="A2576" s="98" t="s">
        <v>68</v>
      </c>
      <c r="B2576" s="98" t="s">
        <v>73</v>
      </c>
      <c r="C2576" s="98">
        <v>100000000</v>
      </c>
      <c r="D2576" s="98">
        <v>250000000</v>
      </c>
      <c r="E2576" s="98">
        <v>10000</v>
      </c>
      <c r="F2576" s="98" t="s">
        <v>102</v>
      </c>
      <c r="G2576" s="98" t="s">
        <v>50</v>
      </c>
      <c r="H2576" s="98">
        <v>0</v>
      </c>
      <c r="I2576" s="98">
        <v>0</v>
      </c>
      <c r="K2576" s="98">
        <v>14</v>
      </c>
      <c r="L2576" s="98">
        <v>1.1E-5</v>
      </c>
      <c r="M2576" s="98">
        <v>13.510999999999999</v>
      </c>
      <c r="N2576" s="98">
        <v>1.0788000000000001E-5</v>
      </c>
      <c r="O2576" s="99" t="s">
        <v>1346</v>
      </c>
    </row>
    <row r="2577" spans="1:15" x14ac:dyDescent="0.25">
      <c r="A2577" s="98" t="s">
        <v>68</v>
      </c>
      <c r="B2577" s="98" t="s">
        <v>73</v>
      </c>
      <c r="C2577" s="98">
        <v>100000000</v>
      </c>
      <c r="D2577" s="98">
        <v>250000000</v>
      </c>
      <c r="E2577" s="98">
        <v>100000</v>
      </c>
      <c r="F2577" s="98" t="s">
        <v>102</v>
      </c>
      <c r="G2577" s="98" t="s">
        <v>50</v>
      </c>
      <c r="H2577" s="98">
        <v>0</v>
      </c>
      <c r="I2577" s="98">
        <v>0</v>
      </c>
      <c r="K2577" s="98">
        <v>57.137999999999998</v>
      </c>
      <c r="L2577" s="98">
        <v>1.0616E-5</v>
      </c>
      <c r="M2577" s="98">
        <v>57.125</v>
      </c>
      <c r="N2577" s="98">
        <v>1.0616E-5</v>
      </c>
      <c r="O2577" s="99" t="s">
        <v>1347</v>
      </c>
    </row>
    <row r="2578" spans="1:15" x14ac:dyDescent="0.25">
      <c r="A2578" s="98" t="s">
        <v>68</v>
      </c>
      <c r="B2578" s="98" t="s">
        <v>73</v>
      </c>
      <c r="C2578" s="98">
        <v>100000000</v>
      </c>
      <c r="D2578" s="98">
        <v>250000000</v>
      </c>
      <c r="E2578" s="98">
        <v>1000000</v>
      </c>
      <c r="F2578" s="98" t="s">
        <v>102</v>
      </c>
      <c r="G2578" s="98" t="s">
        <v>50</v>
      </c>
      <c r="H2578" s="98">
        <v>0</v>
      </c>
      <c r="I2578" s="98">
        <v>0</v>
      </c>
      <c r="K2578" s="98">
        <v>575.4</v>
      </c>
      <c r="L2578" s="98">
        <v>8.7861000000000005E-6</v>
      </c>
      <c r="M2578" s="98">
        <v>575.35</v>
      </c>
      <c r="N2578" s="98">
        <v>8.7861000000000005E-6</v>
      </c>
      <c r="O2578" s="99" t="s">
        <v>1348</v>
      </c>
    </row>
    <row r="2579" spans="1:15" x14ac:dyDescent="0.25">
      <c r="A2579" s="98" t="s">
        <v>68</v>
      </c>
      <c r="B2579" s="98" t="s">
        <v>73</v>
      </c>
      <c r="C2579" s="98">
        <v>100000000</v>
      </c>
      <c r="D2579" s="98">
        <v>250000000</v>
      </c>
      <c r="E2579" s="98">
        <v>10000000</v>
      </c>
      <c r="F2579" s="98" t="s">
        <v>102</v>
      </c>
      <c r="G2579" s="98" t="s">
        <v>50</v>
      </c>
      <c r="H2579" s="98">
        <v>0</v>
      </c>
      <c r="I2579" s="98">
        <v>0</v>
      </c>
      <c r="K2579" s="98">
        <v>5773</v>
      </c>
      <c r="L2579" s="98">
        <v>2.5170000000000002E-6</v>
      </c>
      <c r="M2579" s="98">
        <v>5772.9</v>
      </c>
      <c r="N2579" s="98">
        <v>2.5167E-6</v>
      </c>
      <c r="O2579" s="99" t="s">
        <v>1349</v>
      </c>
    </row>
    <row r="2580" spans="1:15" x14ac:dyDescent="0.25">
      <c r="A2580" s="98" t="s">
        <v>68</v>
      </c>
      <c r="B2580" s="98" t="s">
        <v>73</v>
      </c>
      <c r="C2580" s="98">
        <v>100000000</v>
      </c>
      <c r="D2580" s="98">
        <v>250000000</v>
      </c>
      <c r="E2580" s="98">
        <v>100000000</v>
      </c>
      <c r="F2580" s="98" t="s">
        <v>102</v>
      </c>
      <c r="G2580" s="98" t="s">
        <v>50</v>
      </c>
      <c r="H2580" s="98">
        <v>0</v>
      </c>
      <c r="I2580" s="98">
        <v>0</v>
      </c>
      <c r="K2580" s="98">
        <v>57896</v>
      </c>
      <c r="L2580" s="98">
        <v>1.3129E-6</v>
      </c>
      <c r="M2580" s="98">
        <v>57896</v>
      </c>
      <c r="N2580" s="98">
        <v>1.3127999999999999E-6</v>
      </c>
      <c r="O2580" s="99" t="s">
        <v>1350</v>
      </c>
    </row>
    <row r="2581" spans="1:15" x14ac:dyDescent="0.25">
      <c r="A2581" s="98" t="s">
        <v>68</v>
      </c>
      <c r="B2581" s="98" t="s">
        <v>73</v>
      </c>
      <c r="C2581" s="98">
        <v>250000000</v>
      </c>
      <c r="D2581" s="98">
        <v>500000000</v>
      </c>
      <c r="E2581" s="98">
        <v>10000</v>
      </c>
      <c r="F2581" s="98" t="s">
        <v>102</v>
      </c>
      <c r="G2581" s="98" t="s">
        <v>50</v>
      </c>
      <c r="H2581" s="98">
        <v>0</v>
      </c>
      <c r="I2581" s="98">
        <v>0</v>
      </c>
      <c r="K2581" s="98">
        <v>18</v>
      </c>
      <c r="L2581" s="98">
        <v>1.1E-5</v>
      </c>
      <c r="M2581" s="98">
        <v>12.763999999999999</v>
      </c>
      <c r="N2581" s="98">
        <v>1.1009000000000001E-5</v>
      </c>
      <c r="O2581" s="99" t="s">
        <v>1351</v>
      </c>
    </row>
    <row r="2582" spans="1:15" x14ac:dyDescent="0.25">
      <c r="A2582" s="98" t="s">
        <v>68</v>
      </c>
      <c r="B2582" s="98" t="s">
        <v>73</v>
      </c>
      <c r="C2582" s="98">
        <v>250000000</v>
      </c>
      <c r="D2582" s="98">
        <v>500000000</v>
      </c>
      <c r="E2582" s="98">
        <v>100000</v>
      </c>
      <c r="F2582" s="98" t="s">
        <v>102</v>
      </c>
      <c r="G2582" s="98" t="s">
        <v>50</v>
      </c>
      <c r="H2582" s="98">
        <v>0</v>
      </c>
      <c r="I2582" s="98">
        <v>0</v>
      </c>
      <c r="K2582" s="98">
        <v>55.079000000000001</v>
      </c>
      <c r="L2582" s="98">
        <v>1.0925E-5</v>
      </c>
      <c r="M2582" s="98">
        <v>54.77</v>
      </c>
      <c r="N2582" s="98">
        <v>1.0926E-5</v>
      </c>
      <c r="O2582" s="99" t="s">
        <v>1352</v>
      </c>
    </row>
    <row r="2583" spans="1:15" x14ac:dyDescent="0.25">
      <c r="A2583" s="98" t="s">
        <v>68</v>
      </c>
      <c r="B2583" s="98" t="s">
        <v>73</v>
      </c>
      <c r="C2583" s="98">
        <v>250000000</v>
      </c>
      <c r="D2583" s="98">
        <v>500000000</v>
      </c>
      <c r="E2583" s="98">
        <v>1000000</v>
      </c>
      <c r="F2583" s="98" t="s">
        <v>102</v>
      </c>
      <c r="G2583" s="98" t="s">
        <v>50</v>
      </c>
      <c r="H2583" s="98">
        <v>0</v>
      </c>
      <c r="I2583" s="98">
        <v>0</v>
      </c>
      <c r="K2583" s="98">
        <v>572.66999999999996</v>
      </c>
      <c r="L2583" s="98">
        <v>9.9500999999999998E-6</v>
      </c>
      <c r="M2583" s="98">
        <v>572.64</v>
      </c>
      <c r="N2583" s="98">
        <v>9.9500999999999998E-6</v>
      </c>
      <c r="O2583" s="99" t="s">
        <v>1353</v>
      </c>
    </row>
    <row r="2584" spans="1:15" x14ac:dyDescent="0.25">
      <c r="A2584" s="98" t="s">
        <v>68</v>
      </c>
      <c r="B2584" s="98" t="s">
        <v>73</v>
      </c>
      <c r="C2584" s="98">
        <v>250000000</v>
      </c>
      <c r="D2584" s="98">
        <v>500000000</v>
      </c>
      <c r="E2584" s="98">
        <v>10000000</v>
      </c>
      <c r="F2584" s="98" t="s">
        <v>102</v>
      </c>
      <c r="G2584" s="98" t="s">
        <v>50</v>
      </c>
      <c r="H2584" s="98">
        <v>0</v>
      </c>
      <c r="I2584" s="98">
        <v>0</v>
      </c>
      <c r="K2584" s="98">
        <v>5771.4</v>
      </c>
      <c r="L2584" s="98">
        <v>4.4676000000000002E-6</v>
      </c>
      <c r="M2584" s="98">
        <v>5771.3</v>
      </c>
      <c r="N2584" s="98">
        <v>4.4673999999999998E-6</v>
      </c>
      <c r="O2584" s="99" t="s">
        <v>1354</v>
      </c>
    </row>
    <row r="2585" spans="1:15" x14ac:dyDescent="0.25">
      <c r="A2585" s="98" t="s">
        <v>68</v>
      </c>
      <c r="B2585" s="98" t="s">
        <v>73</v>
      </c>
      <c r="C2585" s="98">
        <v>500000000</v>
      </c>
      <c r="D2585" s="98">
        <v>1000000000</v>
      </c>
      <c r="E2585" s="98">
        <v>10000</v>
      </c>
      <c r="F2585" s="98" t="s">
        <v>102</v>
      </c>
      <c r="G2585" s="98" t="s">
        <v>50</v>
      </c>
      <c r="H2585" s="98">
        <v>0</v>
      </c>
      <c r="I2585" s="98">
        <v>0</v>
      </c>
      <c r="K2585" s="98">
        <v>25</v>
      </c>
      <c r="L2585" s="98">
        <v>1.1E-5</v>
      </c>
      <c r="M2585" s="98">
        <v>-76.510000000000005</v>
      </c>
      <c r="N2585" s="98">
        <v>1.1211E-5</v>
      </c>
      <c r="O2585" s="99" t="s">
        <v>1355</v>
      </c>
    </row>
    <row r="2586" spans="1:15" x14ac:dyDescent="0.25">
      <c r="A2586" s="98" t="s">
        <v>68</v>
      </c>
      <c r="B2586" s="98" t="s">
        <v>73</v>
      </c>
      <c r="C2586" s="98">
        <v>500000000</v>
      </c>
      <c r="D2586" s="98">
        <v>1000000000</v>
      </c>
      <c r="E2586" s="98">
        <v>100000</v>
      </c>
      <c r="F2586" s="98" t="s">
        <v>102</v>
      </c>
      <c r="G2586" s="98" t="s">
        <v>50</v>
      </c>
      <c r="H2586" s="98">
        <v>0</v>
      </c>
      <c r="I2586" s="98">
        <v>0</v>
      </c>
      <c r="K2586" s="98">
        <v>25</v>
      </c>
      <c r="L2586" s="98">
        <v>1.1209000000000001E-5</v>
      </c>
      <c r="M2586" s="98">
        <v>-75.391000000000005</v>
      </c>
      <c r="N2586" s="98">
        <v>1.1209000000000001E-5</v>
      </c>
      <c r="O2586" s="99" t="s">
        <v>1356</v>
      </c>
    </row>
    <row r="2587" spans="1:15" x14ac:dyDescent="0.25">
      <c r="A2587" s="98" t="s">
        <v>68</v>
      </c>
      <c r="B2587" s="98" t="s">
        <v>73</v>
      </c>
      <c r="C2587" s="98">
        <v>500000000</v>
      </c>
      <c r="D2587" s="98">
        <v>1000000000</v>
      </c>
      <c r="E2587" s="98">
        <v>1000000</v>
      </c>
      <c r="F2587" s="98" t="s">
        <v>102</v>
      </c>
      <c r="G2587" s="98" t="s">
        <v>50</v>
      </c>
      <c r="H2587" s="98">
        <v>0</v>
      </c>
      <c r="I2587" s="98">
        <v>0</v>
      </c>
      <c r="K2587" s="98">
        <v>25</v>
      </c>
      <c r="L2587" s="98">
        <v>1.1045E-5</v>
      </c>
      <c r="M2587" s="98">
        <v>24.396000000000001</v>
      </c>
      <c r="N2587" s="98">
        <v>1.1045E-5</v>
      </c>
      <c r="O2587" s="99" t="s">
        <v>1357</v>
      </c>
    </row>
    <row r="2588" spans="1:15" x14ac:dyDescent="0.25">
      <c r="A2588" s="98" t="s">
        <v>68</v>
      </c>
      <c r="B2588" s="98" t="s">
        <v>73</v>
      </c>
      <c r="C2588" s="98">
        <v>500000000</v>
      </c>
      <c r="D2588" s="98">
        <v>1000000000</v>
      </c>
      <c r="E2588" s="98">
        <v>10000000</v>
      </c>
      <c r="F2588" s="98" t="s">
        <v>102</v>
      </c>
      <c r="G2588" s="98" t="s">
        <v>50</v>
      </c>
      <c r="H2588" s="98">
        <v>0</v>
      </c>
      <c r="I2588" s="98">
        <v>0</v>
      </c>
      <c r="K2588" s="98">
        <v>5114.5</v>
      </c>
      <c r="L2588" s="98">
        <v>7.3429999999999998E-6</v>
      </c>
      <c r="M2588" s="98">
        <v>5114.5</v>
      </c>
      <c r="N2588" s="98">
        <v>7.3428999999999996E-6</v>
      </c>
      <c r="O2588" s="99" t="s">
        <v>1358</v>
      </c>
    </row>
    <row r="2589" spans="1:15" x14ac:dyDescent="0.25">
      <c r="A2589" s="98" t="s">
        <v>68</v>
      </c>
      <c r="B2589" s="98" t="s">
        <v>73</v>
      </c>
      <c r="C2589" s="98">
        <v>500000000</v>
      </c>
      <c r="D2589" s="98">
        <v>1000000000</v>
      </c>
      <c r="E2589" s="98">
        <v>100000000</v>
      </c>
      <c r="F2589" s="98" t="s">
        <v>102</v>
      </c>
      <c r="G2589" s="98" t="s">
        <v>50</v>
      </c>
      <c r="H2589" s="98">
        <v>0</v>
      </c>
      <c r="I2589" s="98">
        <v>0</v>
      </c>
      <c r="K2589" s="98">
        <v>57638</v>
      </c>
      <c r="L2589" s="98">
        <v>1.4394999999999999E-6</v>
      </c>
      <c r="M2589" s="98">
        <v>57638</v>
      </c>
      <c r="N2589" s="98">
        <v>1.4394999999999999E-6</v>
      </c>
      <c r="O2589" s="99" t="s">
        <v>1359</v>
      </c>
    </row>
    <row r="2590" spans="1:15" x14ac:dyDescent="0.25">
      <c r="A2590" s="98" t="s">
        <v>68</v>
      </c>
      <c r="B2590" s="98" t="s">
        <v>74</v>
      </c>
      <c r="C2590" s="98">
        <v>-346</v>
      </c>
      <c r="D2590" s="98">
        <v>-148</v>
      </c>
      <c r="E2590" s="98">
        <v>0.1</v>
      </c>
      <c r="F2590" s="98" t="s">
        <v>26</v>
      </c>
      <c r="G2590" s="98" t="s">
        <v>26</v>
      </c>
      <c r="H2590" s="98">
        <v>0</v>
      </c>
      <c r="I2590" s="98">
        <v>0</v>
      </c>
      <c r="K2590" s="98">
        <v>2.416772044</v>
      </c>
      <c r="L2590" s="98">
        <v>0</v>
      </c>
      <c r="M2590" s="98">
        <v>2.4144755120000001</v>
      </c>
      <c r="N2590" s="98">
        <v>0</v>
      </c>
      <c r="O2590" s="99" t="s">
        <v>1326</v>
      </c>
    </row>
    <row r="2591" spans="1:15" x14ac:dyDescent="0.25">
      <c r="A2591" s="98" t="s">
        <v>68</v>
      </c>
      <c r="B2591" s="98" t="s">
        <v>74</v>
      </c>
      <c r="C2591" s="98">
        <v>-346</v>
      </c>
      <c r="D2591" s="98">
        <v>-148</v>
      </c>
      <c r="E2591" s="98">
        <v>1</v>
      </c>
      <c r="F2591" s="98" t="s">
        <v>26</v>
      </c>
      <c r="G2591" s="98" t="s">
        <v>26</v>
      </c>
      <c r="H2591" s="98">
        <v>0</v>
      </c>
      <c r="I2591" s="98">
        <v>0</v>
      </c>
      <c r="K2591" s="98">
        <v>2.4907975520000001</v>
      </c>
      <c r="L2591" s="98">
        <v>0</v>
      </c>
      <c r="M2591" s="98">
        <v>2.4818726799999999</v>
      </c>
      <c r="N2591" s="98">
        <v>0</v>
      </c>
      <c r="O2591" s="99" t="s">
        <v>1327</v>
      </c>
    </row>
    <row r="2592" spans="1:15" x14ac:dyDescent="0.25">
      <c r="A2592" s="98" t="s">
        <v>68</v>
      </c>
      <c r="B2592" s="98" t="s">
        <v>74</v>
      </c>
      <c r="C2592" s="98">
        <v>-210</v>
      </c>
      <c r="D2592" s="98">
        <v>-100</v>
      </c>
      <c r="E2592" s="98">
        <v>0.1</v>
      </c>
      <c r="F2592" s="98" t="s">
        <v>23</v>
      </c>
      <c r="G2592" s="98" t="s">
        <v>23</v>
      </c>
      <c r="H2592" s="98">
        <v>0</v>
      </c>
      <c r="I2592" s="98">
        <v>0</v>
      </c>
      <c r="K2592" s="98">
        <v>1.3460795590000001</v>
      </c>
      <c r="L2592" s="98">
        <v>0</v>
      </c>
      <c r="M2592" s="98">
        <v>1.344806961</v>
      </c>
      <c r="N2592" s="98">
        <v>0</v>
      </c>
      <c r="O2592" s="99" t="s">
        <v>1328</v>
      </c>
    </row>
    <row r="2593" spans="1:15" x14ac:dyDescent="0.25">
      <c r="A2593" s="98" t="s">
        <v>68</v>
      </c>
      <c r="B2593" s="98" t="s">
        <v>74</v>
      </c>
      <c r="C2593" s="98">
        <v>-210</v>
      </c>
      <c r="D2593" s="98">
        <v>-100</v>
      </c>
      <c r="E2593" s="98">
        <v>1</v>
      </c>
      <c r="F2593" s="98" t="s">
        <v>23</v>
      </c>
      <c r="G2593" s="98" t="s">
        <v>23</v>
      </c>
      <c r="H2593" s="98">
        <v>0</v>
      </c>
      <c r="I2593" s="98">
        <v>0</v>
      </c>
      <c r="K2593" s="98">
        <v>1.4670390010000001</v>
      </c>
      <c r="L2593" s="98">
        <v>0</v>
      </c>
      <c r="M2593" s="98">
        <v>1.462363074</v>
      </c>
      <c r="N2593" s="98">
        <v>0</v>
      </c>
      <c r="O2593" s="99" t="s">
        <v>1329</v>
      </c>
    </row>
    <row r="2594" spans="1:15" x14ac:dyDescent="0.25">
      <c r="A2594" s="98" t="s">
        <v>68</v>
      </c>
      <c r="B2594" s="98" t="s">
        <v>74</v>
      </c>
      <c r="C2594" s="98">
        <v>-148</v>
      </c>
      <c r="D2594" s="98">
        <v>302</v>
      </c>
      <c r="E2594" s="98">
        <v>0.1</v>
      </c>
      <c r="F2594" s="98" t="s">
        <v>26</v>
      </c>
      <c r="G2594" s="98" t="s">
        <v>26</v>
      </c>
      <c r="H2594" s="98">
        <v>0</v>
      </c>
      <c r="I2594" s="98">
        <v>0</v>
      </c>
      <c r="K2594" s="98">
        <v>1.9165327860000001</v>
      </c>
      <c r="L2594" s="98">
        <v>0</v>
      </c>
      <c r="M2594" s="98">
        <v>1.9144511769999999</v>
      </c>
      <c r="N2594" s="98">
        <v>0</v>
      </c>
      <c r="O2594" s="99" t="s">
        <v>1330</v>
      </c>
    </row>
    <row r="2595" spans="1:15" x14ac:dyDescent="0.25">
      <c r="A2595" s="98" t="s">
        <v>68</v>
      </c>
      <c r="B2595" s="98" t="s">
        <v>74</v>
      </c>
      <c r="C2595" s="98">
        <v>-148</v>
      </c>
      <c r="D2595" s="98">
        <v>302</v>
      </c>
      <c r="E2595" s="98">
        <v>1</v>
      </c>
      <c r="F2595" s="98" t="s">
        <v>26</v>
      </c>
      <c r="G2595" s="98" t="s">
        <v>26</v>
      </c>
      <c r="H2595" s="98">
        <v>0</v>
      </c>
      <c r="I2595" s="98">
        <v>0</v>
      </c>
      <c r="K2595" s="98">
        <v>2.0067440680000002</v>
      </c>
      <c r="L2595" s="98">
        <v>0</v>
      </c>
      <c r="M2595" s="98">
        <v>1.9987804549999999</v>
      </c>
      <c r="N2595" s="98">
        <v>0</v>
      </c>
      <c r="O2595" s="99" t="s">
        <v>1331</v>
      </c>
    </row>
    <row r="2596" spans="1:15" x14ac:dyDescent="0.25">
      <c r="A2596" s="98" t="s">
        <v>68</v>
      </c>
      <c r="B2596" s="98" t="s">
        <v>74</v>
      </c>
      <c r="C2596" s="98">
        <v>-100</v>
      </c>
      <c r="D2596" s="98">
        <v>150</v>
      </c>
      <c r="E2596" s="98">
        <v>0.1</v>
      </c>
      <c r="F2596" s="98" t="s">
        <v>23</v>
      </c>
      <c r="G2596" s="98" t="s">
        <v>23</v>
      </c>
      <c r="H2596" s="98">
        <v>0</v>
      </c>
      <c r="I2596" s="98">
        <v>0</v>
      </c>
      <c r="K2596" s="98">
        <v>1.06646255</v>
      </c>
      <c r="L2596" s="98">
        <v>0</v>
      </c>
      <c r="M2596" s="98">
        <v>1.0653079700000001</v>
      </c>
      <c r="N2596" s="98">
        <v>0</v>
      </c>
      <c r="O2596" s="99" t="s">
        <v>1332</v>
      </c>
    </row>
    <row r="2597" spans="1:15" x14ac:dyDescent="0.25">
      <c r="A2597" s="98" t="s">
        <v>68</v>
      </c>
      <c r="B2597" s="98" t="s">
        <v>74</v>
      </c>
      <c r="C2597" s="98">
        <v>-100</v>
      </c>
      <c r="D2597" s="98">
        <v>150</v>
      </c>
      <c r="E2597" s="98">
        <v>1</v>
      </c>
      <c r="F2597" s="98" t="s">
        <v>23</v>
      </c>
      <c r="G2597" s="98" t="s">
        <v>23</v>
      </c>
      <c r="H2597" s="98">
        <v>0</v>
      </c>
      <c r="I2597" s="98">
        <v>0</v>
      </c>
      <c r="K2597" s="98">
        <v>1.2143830819999999</v>
      </c>
      <c r="L2597" s="98">
        <v>0</v>
      </c>
      <c r="M2597" s="98">
        <v>1.210322713</v>
      </c>
      <c r="N2597" s="98">
        <v>0</v>
      </c>
      <c r="O2597" s="99" t="s">
        <v>1333</v>
      </c>
    </row>
    <row r="2598" spans="1:15" x14ac:dyDescent="0.25">
      <c r="A2598" s="98" t="s">
        <v>68</v>
      </c>
      <c r="B2598" s="98" t="s">
        <v>74</v>
      </c>
      <c r="C2598" s="98">
        <v>150</v>
      </c>
      <c r="D2598" s="98">
        <v>760</v>
      </c>
      <c r="E2598" s="98">
        <v>0.1</v>
      </c>
      <c r="F2598" s="98" t="s">
        <v>23</v>
      </c>
      <c r="G2598" s="98" t="s">
        <v>23</v>
      </c>
      <c r="H2598" s="98">
        <v>0</v>
      </c>
      <c r="I2598" s="98">
        <v>0</v>
      </c>
      <c r="K2598" s="98">
        <v>1.134193475</v>
      </c>
      <c r="L2598" s="98">
        <v>0</v>
      </c>
      <c r="M2598" s="98">
        <v>1.1338867909999999</v>
      </c>
      <c r="N2598" s="98">
        <v>0</v>
      </c>
      <c r="O2598" s="99" t="s">
        <v>1334</v>
      </c>
    </row>
    <row r="2599" spans="1:15" x14ac:dyDescent="0.25">
      <c r="A2599" s="98" t="s">
        <v>68</v>
      </c>
      <c r="B2599" s="98" t="s">
        <v>74</v>
      </c>
      <c r="C2599" s="98">
        <v>150</v>
      </c>
      <c r="D2599" s="98">
        <v>760</v>
      </c>
      <c r="E2599" s="98">
        <v>1</v>
      </c>
      <c r="F2599" s="98" t="s">
        <v>23</v>
      </c>
      <c r="G2599" s="98" t="s">
        <v>23</v>
      </c>
      <c r="H2599" s="98">
        <v>0</v>
      </c>
      <c r="I2599" s="98">
        <v>0</v>
      </c>
      <c r="K2599" s="98">
        <v>1.27219558</v>
      </c>
      <c r="L2599" s="98">
        <v>0</v>
      </c>
      <c r="M2599" s="98">
        <v>1.2711015910000001</v>
      </c>
      <c r="N2599" s="98">
        <v>0</v>
      </c>
      <c r="O2599" s="99" t="s">
        <v>1335</v>
      </c>
    </row>
    <row r="2600" spans="1:15" x14ac:dyDescent="0.25">
      <c r="A2600" s="98" t="s">
        <v>68</v>
      </c>
      <c r="B2600" s="98" t="s">
        <v>74</v>
      </c>
      <c r="C2600" s="98">
        <v>302</v>
      </c>
      <c r="D2600" s="98">
        <v>1400</v>
      </c>
      <c r="E2600" s="98">
        <v>0.1</v>
      </c>
      <c r="F2600" s="98" t="s">
        <v>26</v>
      </c>
      <c r="G2600" s="98" t="s">
        <v>26</v>
      </c>
      <c r="H2600" s="98">
        <v>0</v>
      </c>
      <c r="I2600" s="98">
        <v>0</v>
      </c>
      <c r="K2600" s="98">
        <v>2.039283008</v>
      </c>
      <c r="L2600" s="98">
        <v>0</v>
      </c>
      <c r="M2600" s="98">
        <v>2.038730363</v>
      </c>
      <c r="N2600" s="98">
        <v>0</v>
      </c>
      <c r="O2600" s="99" t="s">
        <v>1336</v>
      </c>
    </row>
    <row r="2601" spans="1:15" x14ac:dyDescent="0.25">
      <c r="A2601" s="98" t="s">
        <v>68</v>
      </c>
      <c r="B2601" s="98" t="s">
        <v>74</v>
      </c>
      <c r="C2601" s="98">
        <v>302</v>
      </c>
      <c r="D2601" s="98">
        <v>1400</v>
      </c>
      <c r="E2601" s="98">
        <v>1</v>
      </c>
      <c r="F2601" s="98" t="s">
        <v>26</v>
      </c>
      <c r="G2601" s="98" t="s">
        <v>26</v>
      </c>
      <c r="H2601" s="98">
        <v>0</v>
      </c>
      <c r="I2601" s="98">
        <v>0</v>
      </c>
      <c r="K2601" s="98">
        <v>2.1202443889999998</v>
      </c>
      <c r="L2601" s="98">
        <v>0</v>
      </c>
      <c r="M2601" s="98">
        <v>2.1181174409999999</v>
      </c>
      <c r="N2601" s="98">
        <v>0</v>
      </c>
      <c r="O2601" s="99" t="s">
        <v>1337</v>
      </c>
    </row>
    <row r="2602" spans="1:15" x14ac:dyDescent="0.25">
      <c r="A2602" s="98" t="s">
        <v>68</v>
      </c>
      <c r="B2602" s="98" t="s">
        <v>74</v>
      </c>
      <c r="C2602" s="98">
        <v>760</v>
      </c>
      <c r="D2602" s="98">
        <v>1200</v>
      </c>
      <c r="E2602" s="98">
        <v>0.1</v>
      </c>
      <c r="F2602" s="98" t="s">
        <v>23</v>
      </c>
      <c r="G2602" s="98" t="s">
        <v>23</v>
      </c>
      <c r="H2602" s="98">
        <v>0</v>
      </c>
      <c r="I2602" s="98">
        <v>0</v>
      </c>
      <c r="K2602" s="98">
        <v>1.249497729</v>
      </c>
      <c r="L2602" s="98">
        <v>0</v>
      </c>
      <c r="M2602" s="98">
        <v>1.2492193519999999</v>
      </c>
      <c r="N2602" s="98">
        <v>0</v>
      </c>
      <c r="O2602" s="99" t="s">
        <v>1338</v>
      </c>
    </row>
    <row r="2603" spans="1:15" x14ac:dyDescent="0.25">
      <c r="A2603" s="98" t="s">
        <v>68</v>
      </c>
      <c r="B2603" s="98" t="s">
        <v>74</v>
      </c>
      <c r="C2603" s="98">
        <v>760</v>
      </c>
      <c r="D2603" s="98">
        <v>1200</v>
      </c>
      <c r="E2603" s="98">
        <v>1</v>
      </c>
      <c r="F2603" s="98" t="s">
        <v>23</v>
      </c>
      <c r="G2603" s="98" t="s">
        <v>23</v>
      </c>
      <c r="H2603" s="98">
        <v>0</v>
      </c>
      <c r="I2603" s="98">
        <v>0</v>
      </c>
      <c r="K2603" s="98">
        <v>1.375983768</v>
      </c>
      <c r="L2603" s="98">
        <v>0</v>
      </c>
      <c r="M2603" s="98">
        <v>1.3749723599999999</v>
      </c>
      <c r="N2603" s="98">
        <v>0</v>
      </c>
      <c r="O2603" s="99" t="s">
        <v>1339</v>
      </c>
    </row>
    <row r="2604" spans="1:15" x14ac:dyDescent="0.25">
      <c r="A2604" s="98" t="s">
        <v>68</v>
      </c>
      <c r="B2604" s="98" t="s">
        <v>74</v>
      </c>
      <c r="C2604" s="98">
        <v>1400</v>
      </c>
      <c r="D2604" s="98">
        <v>2192</v>
      </c>
      <c r="E2604" s="98">
        <v>0.1</v>
      </c>
      <c r="F2604" s="98" t="s">
        <v>26</v>
      </c>
      <c r="G2604" s="98" t="s">
        <v>26</v>
      </c>
      <c r="H2604" s="98">
        <v>0</v>
      </c>
      <c r="I2604" s="98">
        <v>0</v>
      </c>
      <c r="K2604" s="98">
        <v>2.2469486550000002</v>
      </c>
      <c r="L2604" s="98">
        <v>0</v>
      </c>
      <c r="M2604" s="98">
        <v>2.246447098</v>
      </c>
      <c r="N2604" s="98">
        <v>0</v>
      </c>
      <c r="O2604" s="99" t="s">
        <v>1340</v>
      </c>
    </row>
    <row r="2605" spans="1:15" x14ac:dyDescent="0.25">
      <c r="A2605" s="98" t="s">
        <v>68</v>
      </c>
      <c r="B2605" s="98" t="s">
        <v>74</v>
      </c>
      <c r="C2605" s="98">
        <v>1400</v>
      </c>
      <c r="D2605" s="98">
        <v>2192</v>
      </c>
      <c r="E2605" s="98">
        <v>1</v>
      </c>
      <c r="F2605" s="98" t="s">
        <v>26</v>
      </c>
      <c r="G2605" s="98" t="s">
        <v>26</v>
      </c>
      <c r="H2605" s="98">
        <v>0</v>
      </c>
      <c r="I2605" s="98">
        <v>0</v>
      </c>
      <c r="K2605" s="98">
        <v>2.3206764830000002</v>
      </c>
      <c r="L2605" s="98">
        <v>0</v>
      </c>
      <c r="M2605" s="98">
        <v>2.3187333959999998</v>
      </c>
      <c r="N2605" s="98">
        <v>0</v>
      </c>
      <c r="O2605" s="99" t="s">
        <v>1341</v>
      </c>
    </row>
    <row r="2606" spans="1:15" x14ac:dyDescent="0.25">
      <c r="A2606" s="98" t="s">
        <v>68</v>
      </c>
      <c r="B2606" s="98" t="s">
        <v>75</v>
      </c>
      <c r="C2606" s="98">
        <v>-328</v>
      </c>
      <c r="D2606" s="98">
        <v>-148</v>
      </c>
      <c r="E2606" s="98">
        <v>0.1</v>
      </c>
      <c r="F2606" s="98" t="s">
        <v>26</v>
      </c>
      <c r="G2606" s="98" t="s">
        <v>26</v>
      </c>
      <c r="H2606" s="98">
        <v>0</v>
      </c>
      <c r="I2606" s="98">
        <v>0</v>
      </c>
      <c r="K2606" s="98">
        <v>2.584126259</v>
      </c>
      <c r="L2606" s="98">
        <v>0</v>
      </c>
      <c r="M2606" s="98">
        <v>2.5812734900000001</v>
      </c>
      <c r="N2606" s="98">
        <v>0</v>
      </c>
      <c r="O2606" s="99" t="s">
        <v>1314</v>
      </c>
    </row>
    <row r="2607" spans="1:15" x14ac:dyDescent="0.25">
      <c r="A2607" s="98" t="s">
        <v>68</v>
      </c>
      <c r="B2607" s="98" t="s">
        <v>75</v>
      </c>
      <c r="C2607" s="98">
        <v>-328</v>
      </c>
      <c r="D2607" s="98">
        <v>-148</v>
      </c>
      <c r="E2607" s="98">
        <v>1</v>
      </c>
      <c r="F2607" s="98" t="s">
        <v>26</v>
      </c>
      <c r="G2607" s="98" t="s">
        <v>26</v>
      </c>
      <c r="H2607" s="98">
        <v>0</v>
      </c>
      <c r="I2607" s="98">
        <v>0</v>
      </c>
      <c r="K2607" s="98">
        <v>2.6555443150000002</v>
      </c>
      <c r="L2607" s="98">
        <v>0</v>
      </c>
      <c r="M2607" s="98">
        <v>2.6444229670000001</v>
      </c>
      <c r="N2607" s="98">
        <v>0</v>
      </c>
      <c r="O2607" s="99" t="s">
        <v>1315</v>
      </c>
    </row>
    <row r="2608" spans="1:15" x14ac:dyDescent="0.25">
      <c r="A2608" s="98" t="s">
        <v>68</v>
      </c>
      <c r="B2608" s="98" t="s">
        <v>75</v>
      </c>
      <c r="C2608" s="98">
        <v>-200</v>
      </c>
      <c r="D2608" s="98">
        <v>-100</v>
      </c>
      <c r="E2608" s="98">
        <v>0.1</v>
      </c>
      <c r="F2608" s="98" t="s">
        <v>23</v>
      </c>
      <c r="G2608" s="98" t="s">
        <v>23</v>
      </c>
      <c r="H2608" s="98">
        <v>0</v>
      </c>
      <c r="I2608" s="98">
        <v>0</v>
      </c>
      <c r="K2608" s="98">
        <v>1.4397550640000001</v>
      </c>
      <c r="L2608" s="98">
        <v>0</v>
      </c>
      <c r="M2608" s="98">
        <v>1.438174743</v>
      </c>
      <c r="N2608" s="98">
        <v>0</v>
      </c>
      <c r="O2608" s="99" t="s">
        <v>1316</v>
      </c>
    </row>
    <row r="2609" spans="1:15" x14ac:dyDescent="0.25">
      <c r="A2609" s="98" t="s">
        <v>68</v>
      </c>
      <c r="B2609" s="98" t="s">
        <v>75</v>
      </c>
      <c r="C2609" s="98">
        <v>-200</v>
      </c>
      <c r="D2609" s="98">
        <v>-100</v>
      </c>
      <c r="E2609" s="98">
        <v>1</v>
      </c>
      <c r="F2609" s="98" t="s">
        <v>23</v>
      </c>
      <c r="G2609" s="98" t="s">
        <v>23</v>
      </c>
      <c r="H2609" s="98">
        <v>0</v>
      </c>
      <c r="I2609" s="98">
        <v>0</v>
      </c>
      <c r="K2609" s="98">
        <v>1.554522051</v>
      </c>
      <c r="L2609" s="98">
        <v>0</v>
      </c>
      <c r="M2609" s="98">
        <v>1.5486596109999999</v>
      </c>
      <c r="N2609" s="98">
        <v>0</v>
      </c>
      <c r="O2609" s="99" t="s">
        <v>1317</v>
      </c>
    </row>
    <row r="2610" spans="1:15" x14ac:dyDescent="0.25">
      <c r="A2610" s="98" t="s">
        <v>68</v>
      </c>
      <c r="B2610" s="98" t="s">
        <v>75</v>
      </c>
      <c r="C2610" s="98">
        <v>-148</v>
      </c>
      <c r="D2610" s="98">
        <v>248</v>
      </c>
      <c r="E2610" s="98">
        <v>0.1</v>
      </c>
      <c r="F2610" s="98" t="s">
        <v>26</v>
      </c>
      <c r="G2610" s="98" t="s">
        <v>26</v>
      </c>
      <c r="H2610" s="98">
        <v>0</v>
      </c>
      <c r="I2610" s="98">
        <v>0</v>
      </c>
      <c r="K2610" s="98">
        <v>2.0844413880000001</v>
      </c>
      <c r="L2610" s="98">
        <v>0</v>
      </c>
      <c r="M2610" s="98">
        <v>2.0809036999999999</v>
      </c>
      <c r="N2610" s="98">
        <v>0</v>
      </c>
      <c r="O2610" s="99" t="s">
        <v>1318</v>
      </c>
    </row>
    <row r="2611" spans="1:15" x14ac:dyDescent="0.25">
      <c r="A2611" s="98" t="s">
        <v>68</v>
      </c>
      <c r="B2611" s="98" t="s">
        <v>75</v>
      </c>
      <c r="C2611" s="98">
        <v>-148</v>
      </c>
      <c r="D2611" s="98">
        <v>248</v>
      </c>
      <c r="E2611" s="98">
        <v>1</v>
      </c>
      <c r="F2611" s="98" t="s">
        <v>26</v>
      </c>
      <c r="G2611" s="98" t="s">
        <v>26</v>
      </c>
      <c r="H2611" s="98">
        <v>0</v>
      </c>
      <c r="I2611" s="98">
        <v>0</v>
      </c>
      <c r="K2611" s="98">
        <v>2.1723496459999998</v>
      </c>
      <c r="L2611" s="98">
        <v>0</v>
      </c>
      <c r="M2611" s="98">
        <v>2.1587404220000002</v>
      </c>
      <c r="N2611" s="98">
        <v>0</v>
      </c>
      <c r="O2611" s="99" t="s">
        <v>1319</v>
      </c>
    </row>
    <row r="2612" spans="1:15" x14ac:dyDescent="0.25">
      <c r="A2612" s="98" t="s">
        <v>68</v>
      </c>
      <c r="B2612" s="98" t="s">
        <v>75</v>
      </c>
      <c r="C2612" s="98">
        <v>-100</v>
      </c>
      <c r="D2612" s="98">
        <v>120</v>
      </c>
      <c r="E2612" s="98">
        <v>0.1</v>
      </c>
      <c r="F2612" s="98" t="s">
        <v>23</v>
      </c>
      <c r="G2612" s="98" t="s">
        <v>23</v>
      </c>
      <c r="H2612" s="98">
        <v>0</v>
      </c>
      <c r="I2612" s="98">
        <v>0</v>
      </c>
      <c r="K2612" s="98">
        <v>1.1600491470000001</v>
      </c>
      <c r="L2612" s="98">
        <v>0</v>
      </c>
      <c r="M2612" s="98">
        <v>1.158087203</v>
      </c>
      <c r="N2612" s="98">
        <v>0</v>
      </c>
      <c r="O2612" s="99" t="s">
        <v>1320</v>
      </c>
    </row>
    <row r="2613" spans="1:15" x14ac:dyDescent="0.25">
      <c r="A2613" s="98" t="s">
        <v>68</v>
      </c>
      <c r="B2613" s="98" t="s">
        <v>75</v>
      </c>
      <c r="C2613" s="98">
        <v>-100</v>
      </c>
      <c r="D2613" s="98">
        <v>120</v>
      </c>
      <c r="E2613" s="98">
        <v>1</v>
      </c>
      <c r="F2613" s="98" t="s">
        <v>23</v>
      </c>
      <c r="G2613" s="98" t="s">
        <v>23</v>
      </c>
      <c r="H2613" s="98">
        <v>0</v>
      </c>
      <c r="I2613" s="98">
        <v>0</v>
      </c>
      <c r="K2613" s="98">
        <v>1.299753124</v>
      </c>
      <c r="L2613" s="98">
        <v>0</v>
      </c>
      <c r="M2613" s="98">
        <v>1.2927358470000001</v>
      </c>
      <c r="N2613" s="98">
        <v>0</v>
      </c>
      <c r="O2613" s="99" t="s">
        <v>1321</v>
      </c>
    </row>
    <row r="2614" spans="1:15" x14ac:dyDescent="0.25">
      <c r="A2614" s="98" t="s">
        <v>68</v>
      </c>
      <c r="B2614" s="98" t="s">
        <v>75</v>
      </c>
      <c r="C2614" s="98">
        <v>120</v>
      </c>
      <c r="D2614" s="98">
        <v>1370</v>
      </c>
      <c r="E2614" s="98">
        <v>0.1</v>
      </c>
      <c r="F2614" s="98" t="s">
        <v>23</v>
      </c>
      <c r="G2614" s="98" t="s">
        <v>23</v>
      </c>
      <c r="H2614" s="98">
        <v>0</v>
      </c>
      <c r="I2614" s="98">
        <v>0</v>
      </c>
      <c r="K2614" s="98">
        <v>1.412082372</v>
      </c>
      <c r="L2614" s="98">
        <v>0</v>
      </c>
      <c r="M2614" s="98">
        <v>1.4112674599999999</v>
      </c>
      <c r="N2614" s="98">
        <v>0</v>
      </c>
      <c r="O2614" s="99" t="s">
        <v>1322</v>
      </c>
    </row>
    <row r="2615" spans="1:15" x14ac:dyDescent="0.25">
      <c r="A2615" s="98" t="s">
        <v>68</v>
      </c>
      <c r="B2615" s="98" t="s">
        <v>75</v>
      </c>
      <c r="C2615" s="98">
        <v>120</v>
      </c>
      <c r="D2615" s="98">
        <v>1370</v>
      </c>
      <c r="E2615" s="98">
        <v>1</v>
      </c>
      <c r="F2615" s="98" t="s">
        <v>23</v>
      </c>
      <c r="G2615" s="98" t="s">
        <v>23</v>
      </c>
      <c r="H2615" s="98">
        <v>0</v>
      </c>
      <c r="I2615" s="98">
        <v>0</v>
      </c>
      <c r="K2615" s="98">
        <v>1.5267216400000001</v>
      </c>
      <c r="L2615" s="98">
        <v>0</v>
      </c>
      <c r="M2615" s="98">
        <v>1.523704645</v>
      </c>
      <c r="N2615" s="98">
        <v>0</v>
      </c>
      <c r="O2615" s="99" t="s">
        <v>1323</v>
      </c>
    </row>
    <row r="2616" spans="1:15" x14ac:dyDescent="0.25">
      <c r="A2616" s="98" t="s">
        <v>68</v>
      </c>
      <c r="B2616" s="98" t="s">
        <v>75</v>
      </c>
      <c r="C2616" s="98">
        <v>248</v>
      </c>
      <c r="D2616" s="98">
        <v>2500</v>
      </c>
      <c r="E2616" s="98">
        <v>0.1</v>
      </c>
      <c r="F2616" s="98" t="s">
        <v>26</v>
      </c>
      <c r="G2616" s="98" t="s">
        <v>26</v>
      </c>
      <c r="H2616" s="98">
        <v>0</v>
      </c>
      <c r="I2616" s="98">
        <v>0</v>
      </c>
      <c r="K2616" s="98">
        <v>2.5390574259999998</v>
      </c>
      <c r="L2616" s="98">
        <v>0</v>
      </c>
      <c r="M2616" s="98">
        <v>2.5375890299999999</v>
      </c>
      <c r="N2616" s="98">
        <v>0</v>
      </c>
      <c r="O2616" s="99" t="s">
        <v>1324</v>
      </c>
    </row>
    <row r="2617" spans="1:15" x14ac:dyDescent="0.25">
      <c r="A2617" s="98" t="s">
        <v>68</v>
      </c>
      <c r="B2617" s="98" t="s">
        <v>75</v>
      </c>
      <c r="C2617" s="98">
        <v>248</v>
      </c>
      <c r="D2617" s="98">
        <v>2500</v>
      </c>
      <c r="E2617" s="98">
        <v>1</v>
      </c>
      <c r="F2617" s="98" t="s">
        <v>26</v>
      </c>
      <c r="G2617" s="98" t="s">
        <v>26</v>
      </c>
      <c r="H2617" s="98">
        <v>0</v>
      </c>
      <c r="I2617" s="98">
        <v>0</v>
      </c>
      <c r="K2617" s="98">
        <v>2.607523</v>
      </c>
      <c r="L2617" s="98">
        <v>0</v>
      </c>
      <c r="M2617" s="98">
        <v>2.6017990090000001</v>
      </c>
      <c r="N2617" s="98">
        <v>0</v>
      </c>
      <c r="O2617" s="99" t="s">
        <v>1325</v>
      </c>
    </row>
    <row r="2618" spans="1:15" x14ac:dyDescent="0.25">
      <c r="A2618" s="98" t="s">
        <v>68</v>
      </c>
      <c r="B2618" s="98" t="s">
        <v>76</v>
      </c>
      <c r="C2618" s="98">
        <v>-328</v>
      </c>
      <c r="D2618" s="98">
        <v>-148</v>
      </c>
      <c r="E2618" s="98">
        <v>0.1</v>
      </c>
      <c r="F2618" s="98" t="s">
        <v>26</v>
      </c>
      <c r="G2618" s="98" t="s">
        <v>26</v>
      </c>
      <c r="H2618" s="98">
        <v>0</v>
      </c>
      <c r="I2618" s="98">
        <v>0</v>
      </c>
      <c r="K2618" s="98">
        <v>3.2049883289999999</v>
      </c>
      <c r="L2618" s="98">
        <v>0</v>
      </c>
      <c r="M2618" s="98">
        <v>3.2025262419999998</v>
      </c>
      <c r="N2618" s="98">
        <v>0</v>
      </c>
      <c r="O2618" s="99" t="s">
        <v>1302</v>
      </c>
    </row>
    <row r="2619" spans="1:15" x14ac:dyDescent="0.25">
      <c r="A2619" s="98" t="s">
        <v>68</v>
      </c>
      <c r="B2619" s="98" t="s">
        <v>76</v>
      </c>
      <c r="C2619" s="98">
        <v>-328</v>
      </c>
      <c r="D2619" s="98">
        <v>-148</v>
      </c>
      <c r="E2619" s="98">
        <v>1</v>
      </c>
      <c r="F2619" s="98" t="s">
        <v>26</v>
      </c>
      <c r="G2619" s="98" t="s">
        <v>26</v>
      </c>
      <c r="H2619" s="98">
        <v>0</v>
      </c>
      <c r="I2619" s="98">
        <v>0</v>
      </c>
      <c r="K2619" s="98">
        <v>3.2633231180000002</v>
      </c>
      <c r="L2619" s="98">
        <v>0</v>
      </c>
      <c r="M2619" s="98">
        <v>3.2536401659999998</v>
      </c>
      <c r="N2619" s="98">
        <v>0</v>
      </c>
      <c r="O2619" s="99" t="s">
        <v>1303</v>
      </c>
    </row>
    <row r="2620" spans="1:15" x14ac:dyDescent="0.25">
      <c r="A2620" s="98" t="s">
        <v>68</v>
      </c>
      <c r="B2620" s="98" t="s">
        <v>76</v>
      </c>
      <c r="C2620" s="98">
        <v>-200</v>
      </c>
      <c r="D2620" s="98">
        <v>-100</v>
      </c>
      <c r="E2620" s="98">
        <v>0.1</v>
      </c>
      <c r="F2620" s="98" t="s">
        <v>23</v>
      </c>
      <c r="G2620" s="98" t="s">
        <v>23</v>
      </c>
      <c r="H2620" s="98">
        <v>0</v>
      </c>
      <c r="I2620" s="98">
        <v>0</v>
      </c>
      <c r="K2620" s="98">
        <v>1.7820037</v>
      </c>
      <c r="L2620" s="98">
        <v>0</v>
      </c>
      <c r="M2620" s="98">
        <v>1.7806369909999999</v>
      </c>
      <c r="N2620" s="98">
        <v>0</v>
      </c>
      <c r="O2620" s="99" t="s">
        <v>1304</v>
      </c>
    </row>
    <row r="2621" spans="1:15" x14ac:dyDescent="0.25">
      <c r="A2621" s="98" t="s">
        <v>68</v>
      </c>
      <c r="B2621" s="98" t="s">
        <v>76</v>
      </c>
      <c r="C2621" s="98">
        <v>-200</v>
      </c>
      <c r="D2621" s="98">
        <v>-100</v>
      </c>
      <c r="E2621" s="98">
        <v>1</v>
      </c>
      <c r="F2621" s="98" t="s">
        <v>23</v>
      </c>
      <c r="G2621" s="98" t="s">
        <v>23</v>
      </c>
      <c r="H2621" s="98">
        <v>0</v>
      </c>
      <c r="I2621" s="98">
        <v>0</v>
      </c>
      <c r="K2621" s="98">
        <v>1.876204803</v>
      </c>
      <c r="L2621" s="98">
        <v>0</v>
      </c>
      <c r="M2621" s="98">
        <v>1.87100724</v>
      </c>
      <c r="N2621" s="98">
        <v>0</v>
      </c>
      <c r="O2621" s="99" t="s">
        <v>1305</v>
      </c>
    </row>
    <row r="2622" spans="1:15" x14ac:dyDescent="0.25">
      <c r="A2622" s="98" t="s">
        <v>68</v>
      </c>
      <c r="B2622" s="98" t="s">
        <v>76</v>
      </c>
      <c r="C2622" s="98">
        <v>-148</v>
      </c>
      <c r="D2622" s="98">
        <v>770</v>
      </c>
      <c r="E2622" s="98">
        <v>0.1</v>
      </c>
      <c r="F2622" s="98" t="s">
        <v>26</v>
      </c>
      <c r="G2622" s="98" t="s">
        <v>26</v>
      </c>
      <c r="H2622" s="98">
        <v>0</v>
      </c>
      <c r="I2622" s="98">
        <v>0</v>
      </c>
      <c r="K2622" s="98">
        <v>2.2918456639999998</v>
      </c>
      <c r="L2622" s="98">
        <v>0</v>
      </c>
      <c r="M2622" s="98">
        <v>2.2894238219999998</v>
      </c>
      <c r="N2622" s="98">
        <v>0</v>
      </c>
      <c r="O2622" s="99" t="s">
        <v>1306</v>
      </c>
    </row>
    <row r="2623" spans="1:15" x14ac:dyDescent="0.25">
      <c r="A2623" s="98" t="s">
        <v>68</v>
      </c>
      <c r="B2623" s="98" t="s">
        <v>76</v>
      </c>
      <c r="C2623" s="98">
        <v>-148</v>
      </c>
      <c r="D2623" s="98">
        <v>770</v>
      </c>
      <c r="E2623" s="98">
        <v>1</v>
      </c>
      <c r="F2623" s="98" t="s">
        <v>26</v>
      </c>
      <c r="G2623" s="98" t="s">
        <v>26</v>
      </c>
      <c r="H2623" s="98">
        <v>0</v>
      </c>
      <c r="I2623" s="98">
        <v>0</v>
      </c>
      <c r="K2623" s="98">
        <v>2.369776758</v>
      </c>
      <c r="L2623" s="98">
        <v>0</v>
      </c>
      <c r="M2623" s="98">
        <v>2.360394339</v>
      </c>
      <c r="N2623" s="98">
        <v>0</v>
      </c>
      <c r="O2623" s="99" t="s">
        <v>1307</v>
      </c>
    </row>
    <row r="2624" spans="1:15" x14ac:dyDescent="0.25">
      <c r="A2624" s="98" t="s">
        <v>68</v>
      </c>
      <c r="B2624" s="98" t="s">
        <v>76</v>
      </c>
      <c r="C2624" s="98">
        <v>-100</v>
      </c>
      <c r="D2624" s="98">
        <v>410</v>
      </c>
      <c r="E2624" s="98">
        <v>0.1</v>
      </c>
      <c r="F2624" s="98" t="s">
        <v>23</v>
      </c>
      <c r="G2624" s="98" t="s">
        <v>23</v>
      </c>
      <c r="H2624" s="98">
        <v>0</v>
      </c>
      <c r="I2624" s="98">
        <v>0</v>
      </c>
      <c r="K2624" s="98">
        <v>1.2762020279999999</v>
      </c>
      <c r="L2624" s="98">
        <v>0</v>
      </c>
      <c r="M2624" s="98">
        <v>1.2748596780000001</v>
      </c>
      <c r="N2624" s="98">
        <v>0</v>
      </c>
      <c r="O2624" s="99" t="s">
        <v>1308</v>
      </c>
    </row>
    <row r="2625" spans="1:15" x14ac:dyDescent="0.25">
      <c r="A2625" s="98" t="s">
        <v>68</v>
      </c>
      <c r="B2625" s="98" t="s">
        <v>76</v>
      </c>
      <c r="C2625" s="98">
        <v>-100</v>
      </c>
      <c r="D2625" s="98">
        <v>410</v>
      </c>
      <c r="E2625" s="98">
        <v>1</v>
      </c>
      <c r="F2625" s="98" t="s">
        <v>23</v>
      </c>
      <c r="G2625" s="98" t="s">
        <v>23</v>
      </c>
      <c r="H2625" s="98">
        <v>0</v>
      </c>
      <c r="I2625" s="98">
        <v>0</v>
      </c>
      <c r="K2625" s="98">
        <v>1.4031980850000001</v>
      </c>
      <c r="L2625" s="98">
        <v>0</v>
      </c>
      <c r="M2625" s="98">
        <v>1.3983086920000001</v>
      </c>
      <c r="N2625" s="98">
        <v>0</v>
      </c>
      <c r="O2625" s="99" t="s">
        <v>1309</v>
      </c>
    </row>
    <row r="2626" spans="1:15" x14ac:dyDescent="0.25">
      <c r="A2626" s="98" t="s">
        <v>68</v>
      </c>
      <c r="B2626" s="98" t="s">
        <v>76</v>
      </c>
      <c r="C2626" s="98">
        <v>410</v>
      </c>
      <c r="D2626" s="98">
        <v>1300</v>
      </c>
      <c r="E2626" s="98">
        <v>0.1</v>
      </c>
      <c r="F2626" s="98" t="s">
        <v>23</v>
      </c>
      <c r="G2626" s="98" t="s">
        <v>23</v>
      </c>
      <c r="H2626" s="98">
        <v>0</v>
      </c>
      <c r="I2626" s="98">
        <v>0</v>
      </c>
      <c r="K2626" s="98">
        <v>1.365791164</v>
      </c>
      <c r="L2626" s="98">
        <v>0</v>
      </c>
      <c r="M2626" s="98">
        <v>1.365066211</v>
      </c>
      <c r="N2626" s="98">
        <v>0</v>
      </c>
      <c r="O2626" s="99" t="s">
        <v>1310</v>
      </c>
    </row>
    <row r="2627" spans="1:15" x14ac:dyDescent="0.25">
      <c r="A2627" s="98" t="s">
        <v>68</v>
      </c>
      <c r="B2627" s="98" t="s">
        <v>76</v>
      </c>
      <c r="C2627" s="98">
        <v>410</v>
      </c>
      <c r="D2627" s="98">
        <v>1300</v>
      </c>
      <c r="E2627" s="98">
        <v>1</v>
      </c>
      <c r="F2627" s="98" t="s">
        <v>23</v>
      </c>
      <c r="G2627" s="98" t="s">
        <v>23</v>
      </c>
      <c r="H2627" s="98">
        <v>0</v>
      </c>
      <c r="I2627" s="98">
        <v>0</v>
      </c>
      <c r="K2627" s="98">
        <v>1.483686195</v>
      </c>
      <c r="L2627" s="98">
        <v>0</v>
      </c>
      <c r="M2627" s="98">
        <v>1.4810151119999999</v>
      </c>
      <c r="N2627" s="98">
        <v>0</v>
      </c>
      <c r="O2627" s="99" t="s">
        <v>1311</v>
      </c>
    </row>
    <row r="2628" spans="1:15" x14ac:dyDescent="0.25">
      <c r="A2628" s="98" t="s">
        <v>68</v>
      </c>
      <c r="B2628" s="98" t="s">
        <v>76</v>
      </c>
      <c r="C2628" s="98">
        <v>770</v>
      </c>
      <c r="D2628" s="98">
        <v>2372</v>
      </c>
      <c r="E2628" s="98">
        <v>0.1</v>
      </c>
      <c r="F2628" s="98" t="s">
        <v>26</v>
      </c>
      <c r="G2628" s="98" t="s">
        <v>26</v>
      </c>
      <c r="H2628" s="98">
        <v>0</v>
      </c>
      <c r="I2628" s="98">
        <v>0</v>
      </c>
      <c r="K2628" s="98">
        <v>2.4557651269999998</v>
      </c>
      <c r="L2628" s="98">
        <v>0</v>
      </c>
      <c r="M2628" s="98">
        <v>2.4544587999999998</v>
      </c>
      <c r="N2628" s="98">
        <v>0</v>
      </c>
      <c r="O2628" s="99" t="s">
        <v>1312</v>
      </c>
    </row>
    <row r="2629" spans="1:15" x14ac:dyDescent="0.25">
      <c r="A2629" s="98" t="s">
        <v>68</v>
      </c>
      <c r="B2629" s="98" t="s">
        <v>76</v>
      </c>
      <c r="C2629" s="98">
        <v>770</v>
      </c>
      <c r="D2629" s="98">
        <v>2372</v>
      </c>
      <c r="E2629" s="98">
        <v>1</v>
      </c>
      <c r="F2629" s="98" t="s">
        <v>26</v>
      </c>
      <c r="G2629" s="98" t="s">
        <v>26</v>
      </c>
      <c r="H2629" s="98">
        <v>0</v>
      </c>
      <c r="I2629" s="98">
        <v>0</v>
      </c>
      <c r="K2629" s="98">
        <v>2.5258712249999999</v>
      </c>
      <c r="L2629" s="98">
        <v>0</v>
      </c>
      <c r="M2629" s="98">
        <v>2.520787179</v>
      </c>
      <c r="N2629" s="98">
        <v>0</v>
      </c>
      <c r="O2629" s="99" t="s">
        <v>1313</v>
      </c>
    </row>
    <row r="2630" spans="1:15" x14ac:dyDescent="0.25">
      <c r="A2630" s="98" t="s">
        <v>68</v>
      </c>
      <c r="B2630" s="98" t="s">
        <v>77</v>
      </c>
      <c r="C2630" s="98">
        <v>0</v>
      </c>
      <c r="D2630" s="98">
        <v>250</v>
      </c>
      <c r="E2630" s="98">
        <v>0.1</v>
      </c>
      <c r="F2630" s="98" t="s">
        <v>23</v>
      </c>
      <c r="G2630" s="98" t="s">
        <v>23</v>
      </c>
      <c r="H2630" s="98">
        <v>0</v>
      </c>
      <c r="I2630" s="98">
        <v>0</v>
      </c>
      <c r="K2630" s="98">
        <v>2.6783637649999998</v>
      </c>
      <c r="L2630" s="98">
        <v>0</v>
      </c>
      <c r="M2630" s="98">
        <v>2.6774646350000002</v>
      </c>
      <c r="N2630" s="98">
        <v>0</v>
      </c>
      <c r="O2630" s="99" t="s">
        <v>1294</v>
      </c>
    </row>
    <row r="2631" spans="1:15" x14ac:dyDescent="0.25">
      <c r="A2631" s="98" t="s">
        <v>68</v>
      </c>
      <c r="B2631" s="98" t="s">
        <v>77</v>
      </c>
      <c r="C2631" s="98">
        <v>0</v>
      </c>
      <c r="D2631" s="98">
        <v>250</v>
      </c>
      <c r="E2631" s="98">
        <v>1</v>
      </c>
      <c r="F2631" s="98" t="s">
        <v>23</v>
      </c>
      <c r="G2631" s="98" t="s">
        <v>23</v>
      </c>
      <c r="H2631" s="98">
        <v>0</v>
      </c>
      <c r="I2631" s="98">
        <v>0</v>
      </c>
      <c r="K2631" s="98">
        <v>2.7419115989999998</v>
      </c>
      <c r="L2631" s="98">
        <v>0</v>
      </c>
      <c r="M2631" s="98">
        <v>2.73839677</v>
      </c>
      <c r="N2631" s="98">
        <v>0</v>
      </c>
      <c r="O2631" s="99" t="s">
        <v>1295</v>
      </c>
    </row>
    <row r="2632" spans="1:15" x14ac:dyDescent="0.25">
      <c r="A2632" s="98" t="s">
        <v>68</v>
      </c>
      <c r="B2632" s="98" t="s">
        <v>77</v>
      </c>
      <c r="C2632" s="98">
        <v>32</v>
      </c>
      <c r="D2632" s="98">
        <v>482</v>
      </c>
      <c r="E2632" s="98">
        <v>0.1</v>
      </c>
      <c r="F2632" s="98" t="s">
        <v>26</v>
      </c>
      <c r="G2632" s="98" t="s">
        <v>26</v>
      </c>
      <c r="H2632" s="98">
        <v>0</v>
      </c>
      <c r="I2632" s="98">
        <v>0</v>
      </c>
      <c r="K2632" s="98">
        <v>4.7943939770000004</v>
      </c>
      <c r="L2632" s="98">
        <v>0</v>
      </c>
      <c r="M2632" s="98">
        <v>4.7927665399999997</v>
      </c>
      <c r="N2632" s="98">
        <v>0</v>
      </c>
      <c r="O2632" s="99" t="s">
        <v>1296</v>
      </c>
    </row>
    <row r="2633" spans="1:15" x14ac:dyDescent="0.25">
      <c r="A2633" s="98" t="s">
        <v>68</v>
      </c>
      <c r="B2633" s="98" t="s">
        <v>77</v>
      </c>
      <c r="C2633" s="98">
        <v>32</v>
      </c>
      <c r="D2633" s="98">
        <v>482</v>
      </c>
      <c r="E2633" s="98">
        <v>1</v>
      </c>
      <c r="F2633" s="98" t="s">
        <v>26</v>
      </c>
      <c r="G2633" s="98" t="s">
        <v>26</v>
      </c>
      <c r="H2633" s="98">
        <v>0</v>
      </c>
      <c r="I2633" s="98">
        <v>0</v>
      </c>
      <c r="K2633" s="98">
        <v>4.833530916</v>
      </c>
      <c r="L2633" s="98">
        <v>0</v>
      </c>
      <c r="M2633" s="98">
        <v>4.827070655</v>
      </c>
      <c r="N2633" s="98">
        <v>0</v>
      </c>
      <c r="O2633" s="99" t="s">
        <v>1297</v>
      </c>
    </row>
    <row r="2634" spans="1:15" x14ac:dyDescent="0.25">
      <c r="A2634" s="98" t="s">
        <v>68</v>
      </c>
      <c r="B2634" s="98" t="s">
        <v>77</v>
      </c>
      <c r="C2634" s="98">
        <v>250</v>
      </c>
      <c r="D2634" s="98">
        <v>1760</v>
      </c>
      <c r="E2634" s="98">
        <v>0.1</v>
      </c>
      <c r="F2634" s="98" t="s">
        <v>23</v>
      </c>
      <c r="G2634" s="98" t="s">
        <v>23</v>
      </c>
      <c r="H2634" s="98">
        <v>0</v>
      </c>
      <c r="I2634" s="98">
        <v>0</v>
      </c>
      <c r="K2634" s="98">
        <v>1.996504472</v>
      </c>
      <c r="L2634" s="98">
        <v>0</v>
      </c>
      <c r="M2634" s="98">
        <v>1.9954858090000001</v>
      </c>
      <c r="N2634" s="98">
        <v>0</v>
      </c>
      <c r="O2634" s="99" t="s">
        <v>1298</v>
      </c>
    </row>
    <row r="2635" spans="1:15" x14ac:dyDescent="0.25">
      <c r="A2635" s="98" t="s">
        <v>68</v>
      </c>
      <c r="B2635" s="98" t="s">
        <v>77</v>
      </c>
      <c r="C2635" s="98">
        <v>250</v>
      </c>
      <c r="D2635" s="98">
        <v>1760</v>
      </c>
      <c r="E2635" s="98">
        <v>1</v>
      </c>
      <c r="F2635" s="98" t="s">
        <v>23</v>
      </c>
      <c r="G2635" s="98" t="s">
        <v>23</v>
      </c>
      <c r="H2635" s="98">
        <v>0</v>
      </c>
      <c r="I2635" s="98">
        <v>0</v>
      </c>
      <c r="K2635" s="98">
        <v>2.08043976</v>
      </c>
      <c r="L2635" s="98">
        <v>0</v>
      </c>
      <c r="M2635" s="98">
        <v>2.0765268149999998</v>
      </c>
      <c r="N2635" s="98">
        <v>0</v>
      </c>
      <c r="O2635" s="99" t="s">
        <v>1299</v>
      </c>
    </row>
    <row r="2636" spans="1:15" x14ac:dyDescent="0.25">
      <c r="A2636" s="98" t="s">
        <v>68</v>
      </c>
      <c r="B2636" s="98" t="s">
        <v>77</v>
      </c>
      <c r="C2636" s="98">
        <v>482</v>
      </c>
      <c r="D2636" s="98">
        <v>3200</v>
      </c>
      <c r="E2636" s="98">
        <v>0.1</v>
      </c>
      <c r="F2636" s="98" t="s">
        <v>26</v>
      </c>
      <c r="G2636" s="98" t="s">
        <v>26</v>
      </c>
      <c r="H2636" s="98">
        <v>0</v>
      </c>
      <c r="I2636" s="98">
        <v>0</v>
      </c>
      <c r="K2636" s="98">
        <v>3.582348573</v>
      </c>
      <c r="L2636" s="98">
        <v>0</v>
      </c>
      <c r="M2636" s="98">
        <v>3.5805091610000002</v>
      </c>
      <c r="N2636" s="98">
        <v>0</v>
      </c>
      <c r="O2636" s="99" t="s">
        <v>1300</v>
      </c>
    </row>
    <row r="2637" spans="1:15" x14ac:dyDescent="0.25">
      <c r="A2637" s="98" t="s">
        <v>68</v>
      </c>
      <c r="B2637" s="98" t="s">
        <v>77</v>
      </c>
      <c r="C2637" s="98">
        <v>482</v>
      </c>
      <c r="D2637" s="98">
        <v>3200</v>
      </c>
      <c r="E2637" s="98">
        <v>1</v>
      </c>
      <c r="F2637" s="98" t="s">
        <v>26</v>
      </c>
      <c r="G2637" s="98" t="s">
        <v>26</v>
      </c>
      <c r="H2637" s="98">
        <v>0</v>
      </c>
      <c r="I2637" s="98">
        <v>0</v>
      </c>
      <c r="K2637" s="98">
        <v>3.6335585350000001</v>
      </c>
      <c r="L2637" s="98">
        <v>0</v>
      </c>
      <c r="M2637" s="98">
        <v>3.6262991950000001</v>
      </c>
      <c r="N2637" s="98">
        <v>0</v>
      </c>
      <c r="O2637" s="99" t="s">
        <v>1301</v>
      </c>
    </row>
    <row r="2638" spans="1:15" x14ac:dyDescent="0.25">
      <c r="A2638" s="98" t="s">
        <v>68</v>
      </c>
      <c r="B2638" s="98" t="s">
        <v>78</v>
      </c>
      <c r="C2638" s="98">
        <v>0</v>
      </c>
      <c r="D2638" s="98">
        <v>250</v>
      </c>
      <c r="E2638" s="98">
        <v>0.1</v>
      </c>
      <c r="F2638" s="98" t="s">
        <v>23</v>
      </c>
      <c r="G2638" s="98" t="s">
        <v>23</v>
      </c>
      <c r="H2638" s="98">
        <v>0</v>
      </c>
      <c r="I2638" s="98">
        <v>0</v>
      </c>
      <c r="K2638" s="98">
        <v>2.6783437879999998</v>
      </c>
      <c r="L2638" s="98">
        <v>0</v>
      </c>
      <c r="M2638" s="98">
        <v>2.6774646350000002</v>
      </c>
      <c r="N2638" s="98">
        <v>0</v>
      </c>
      <c r="O2638" s="99" t="s">
        <v>1286</v>
      </c>
    </row>
    <row r="2639" spans="1:15" x14ac:dyDescent="0.25">
      <c r="A2639" s="98" t="s">
        <v>68</v>
      </c>
      <c r="B2639" s="98" t="s">
        <v>78</v>
      </c>
      <c r="C2639" s="98">
        <v>0</v>
      </c>
      <c r="D2639" s="98">
        <v>250</v>
      </c>
      <c r="E2639" s="98">
        <v>1</v>
      </c>
      <c r="F2639" s="98" t="s">
        <v>23</v>
      </c>
      <c r="G2639" s="98" t="s">
        <v>23</v>
      </c>
      <c r="H2639" s="98">
        <v>0</v>
      </c>
      <c r="I2639" s="98">
        <v>0</v>
      </c>
      <c r="K2639" s="98">
        <v>2.7418335410000001</v>
      </c>
      <c r="L2639" s="98">
        <v>0</v>
      </c>
      <c r="M2639" s="98">
        <v>2.73839677</v>
      </c>
      <c r="N2639" s="98">
        <v>0</v>
      </c>
      <c r="O2639" s="99" t="s">
        <v>1287</v>
      </c>
    </row>
    <row r="2640" spans="1:15" x14ac:dyDescent="0.25">
      <c r="A2640" s="98" t="s">
        <v>68</v>
      </c>
      <c r="B2640" s="98" t="s">
        <v>78</v>
      </c>
      <c r="C2640" s="98">
        <v>32</v>
      </c>
      <c r="D2640" s="98">
        <v>482</v>
      </c>
      <c r="E2640" s="98">
        <v>0.1</v>
      </c>
      <c r="F2640" s="98" t="s">
        <v>26</v>
      </c>
      <c r="G2640" s="98" t="s">
        <v>26</v>
      </c>
      <c r="H2640" s="98">
        <v>0</v>
      </c>
      <c r="I2640" s="98">
        <v>0</v>
      </c>
      <c r="K2640" s="98">
        <v>4.7943578179999999</v>
      </c>
      <c r="L2640" s="98">
        <v>0</v>
      </c>
      <c r="M2640" s="98">
        <v>4.7927665399999997</v>
      </c>
      <c r="N2640" s="98">
        <v>0</v>
      </c>
      <c r="O2640" s="99" t="s">
        <v>1288</v>
      </c>
    </row>
    <row r="2641" spans="1:15" x14ac:dyDescent="0.25">
      <c r="A2641" s="98" t="s">
        <v>68</v>
      </c>
      <c r="B2641" s="98" t="s">
        <v>78</v>
      </c>
      <c r="C2641" s="98">
        <v>32</v>
      </c>
      <c r="D2641" s="98">
        <v>482</v>
      </c>
      <c r="E2641" s="98">
        <v>1</v>
      </c>
      <c r="F2641" s="98" t="s">
        <v>26</v>
      </c>
      <c r="G2641" s="98" t="s">
        <v>26</v>
      </c>
      <c r="H2641" s="98">
        <v>0</v>
      </c>
      <c r="I2641" s="98">
        <v>0</v>
      </c>
      <c r="K2641" s="98">
        <v>4.8333874479999999</v>
      </c>
      <c r="L2641" s="98">
        <v>0</v>
      </c>
      <c r="M2641" s="98">
        <v>4.827070655</v>
      </c>
      <c r="N2641" s="98">
        <v>0</v>
      </c>
      <c r="O2641" s="99" t="s">
        <v>1289</v>
      </c>
    </row>
    <row r="2642" spans="1:15" x14ac:dyDescent="0.25">
      <c r="A2642" s="98" t="s">
        <v>68</v>
      </c>
      <c r="B2642" s="98" t="s">
        <v>78</v>
      </c>
      <c r="C2642" s="98">
        <v>250</v>
      </c>
      <c r="D2642" s="98">
        <v>1760</v>
      </c>
      <c r="E2642" s="98">
        <v>0.1</v>
      </c>
      <c r="F2642" s="98" t="s">
        <v>23</v>
      </c>
      <c r="G2642" s="98" t="s">
        <v>23</v>
      </c>
      <c r="H2642" s="98">
        <v>0</v>
      </c>
      <c r="I2642" s="98">
        <v>0</v>
      </c>
      <c r="K2642" s="98">
        <v>2.0005886570000002</v>
      </c>
      <c r="L2642" s="98">
        <v>0</v>
      </c>
      <c r="M2642" s="98">
        <v>1.999572074</v>
      </c>
      <c r="N2642" s="98">
        <v>0</v>
      </c>
      <c r="O2642" s="99" t="s">
        <v>1290</v>
      </c>
    </row>
    <row r="2643" spans="1:15" x14ac:dyDescent="0.25">
      <c r="A2643" s="98" t="s">
        <v>68</v>
      </c>
      <c r="B2643" s="98" t="s">
        <v>78</v>
      </c>
      <c r="C2643" s="98">
        <v>250</v>
      </c>
      <c r="D2643" s="98">
        <v>1760</v>
      </c>
      <c r="E2643" s="98">
        <v>1</v>
      </c>
      <c r="F2643" s="98" t="s">
        <v>23</v>
      </c>
      <c r="G2643" s="98" t="s">
        <v>23</v>
      </c>
      <c r="H2643" s="98">
        <v>0</v>
      </c>
      <c r="I2643" s="98">
        <v>0</v>
      </c>
      <c r="K2643" s="98">
        <v>2.0843594840000002</v>
      </c>
      <c r="L2643" s="98">
        <v>0</v>
      </c>
      <c r="M2643" s="98">
        <v>2.0804539110000002</v>
      </c>
      <c r="N2643" s="98">
        <v>0</v>
      </c>
      <c r="O2643" s="99" t="s">
        <v>1291</v>
      </c>
    </row>
    <row r="2644" spans="1:15" x14ac:dyDescent="0.25">
      <c r="A2644" s="98" t="s">
        <v>68</v>
      </c>
      <c r="B2644" s="98" t="s">
        <v>78</v>
      </c>
      <c r="C2644" s="98">
        <v>482</v>
      </c>
      <c r="D2644" s="98">
        <v>3200</v>
      </c>
      <c r="E2644" s="98">
        <v>0.1</v>
      </c>
      <c r="F2644" s="98" t="s">
        <v>26</v>
      </c>
      <c r="G2644" s="98" t="s">
        <v>26</v>
      </c>
      <c r="H2644" s="98">
        <v>0</v>
      </c>
      <c r="I2644" s="98">
        <v>0</v>
      </c>
      <c r="K2644" s="98">
        <v>3.5846263629999999</v>
      </c>
      <c r="L2644" s="98">
        <v>0</v>
      </c>
      <c r="M2644" s="98">
        <v>3.58278812</v>
      </c>
      <c r="N2644" s="98">
        <v>0</v>
      </c>
      <c r="O2644" s="99" t="s">
        <v>1292</v>
      </c>
    </row>
    <row r="2645" spans="1:15" x14ac:dyDescent="0.25">
      <c r="A2645" s="98" t="s">
        <v>68</v>
      </c>
      <c r="B2645" s="98" t="s">
        <v>78</v>
      </c>
      <c r="C2645" s="98">
        <v>482</v>
      </c>
      <c r="D2645" s="98">
        <v>3200</v>
      </c>
      <c r="E2645" s="98">
        <v>1</v>
      </c>
      <c r="F2645" s="98" t="s">
        <v>26</v>
      </c>
      <c r="G2645" s="98" t="s">
        <v>26</v>
      </c>
      <c r="H2645" s="98">
        <v>0</v>
      </c>
      <c r="I2645" s="98">
        <v>0</v>
      </c>
      <c r="K2645" s="98">
        <v>3.6358042429999999</v>
      </c>
      <c r="L2645" s="98">
        <v>0</v>
      </c>
      <c r="M2645" s="98">
        <v>3.6285493959999999</v>
      </c>
      <c r="N2645" s="98">
        <v>0</v>
      </c>
      <c r="O2645" s="99" t="s">
        <v>1293</v>
      </c>
    </row>
    <row r="2646" spans="1:15" x14ac:dyDescent="0.25">
      <c r="A2646" s="98" t="s">
        <v>68</v>
      </c>
      <c r="B2646" s="98" t="s">
        <v>79</v>
      </c>
      <c r="C2646" s="98">
        <v>-418</v>
      </c>
      <c r="D2646" s="98">
        <v>-238</v>
      </c>
      <c r="E2646" s="98">
        <v>0.1</v>
      </c>
      <c r="F2646" s="98" t="s">
        <v>26</v>
      </c>
      <c r="G2646" s="98" t="s">
        <v>26</v>
      </c>
      <c r="H2646" s="98">
        <v>0</v>
      </c>
      <c r="I2646" s="98">
        <v>0</v>
      </c>
      <c r="K2646" s="98">
        <v>3.9624103019999999</v>
      </c>
      <c r="L2646" s="98">
        <v>0</v>
      </c>
      <c r="M2646" s="98">
        <v>3.9602440140000001</v>
      </c>
      <c r="N2646" s="98">
        <v>0</v>
      </c>
      <c r="O2646" s="99" t="s">
        <v>1278</v>
      </c>
    </row>
    <row r="2647" spans="1:15" x14ac:dyDescent="0.25">
      <c r="A2647" s="98" t="s">
        <v>68</v>
      </c>
      <c r="B2647" s="98" t="s">
        <v>79</v>
      </c>
      <c r="C2647" s="98">
        <v>-418</v>
      </c>
      <c r="D2647" s="98">
        <v>-238</v>
      </c>
      <c r="E2647" s="98">
        <v>1</v>
      </c>
      <c r="F2647" s="98" t="s">
        <v>26</v>
      </c>
      <c r="G2647" s="98" t="s">
        <v>26</v>
      </c>
      <c r="H2647" s="98">
        <v>0</v>
      </c>
      <c r="I2647" s="98">
        <v>0</v>
      </c>
      <c r="K2647" s="98">
        <v>4.010259799</v>
      </c>
      <c r="L2647" s="98">
        <v>0</v>
      </c>
      <c r="M2647" s="98">
        <v>4.001691224</v>
      </c>
      <c r="N2647" s="98">
        <v>0</v>
      </c>
      <c r="O2647" s="99" t="s">
        <v>1279</v>
      </c>
    </row>
    <row r="2648" spans="1:15" x14ac:dyDescent="0.25">
      <c r="A2648" s="98" t="s">
        <v>68</v>
      </c>
      <c r="B2648" s="98" t="s">
        <v>79</v>
      </c>
      <c r="C2648" s="98">
        <v>-250</v>
      </c>
      <c r="D2648" s="98">
        <v>-150</v>
      </c>
      <c r="E2648" s="98">
        <v>0.1</v>
      </c>
      <c r="F2648" s="98" t="s">
        <v>23</v>
      </c>
      <c r="G2648" s="98" t="s">
        <v>23</v>
      </c>
      <c r="H2648" s="98">
        <v>0</v>
      </c>
      <c r="I2648" s="98">
        <v>0</v>
      </c>
      <c r="K2648" s="98">
        <v>2.2146411810000002</v>
      </c>
      <c r="L2648" s="98">
        <v>0</v>
      </c>
      <c r="M2648" s="98">
        <v>2.2134449200000001</v>
      </c>
      <c r="N2648" s="98">
        <v>0</v>
      </c>
      <c r="O2648" s="99" t="s">
        <v>1280</v>
      </c>
    </row>
    <row r="2649" spans="1:15" x14ac:dyDescent="0.25">
      <c r="A2649" s="98" t="s">
        <v>68</v>
      </c>
      <c r="B2649" s="98" t="s">
        <v>79</v>
      </c>
      <c r="C2649" s="98">
        <v>-250</v>
      </c>
      <c r="D2649" s="98">
        <v>-150</v>
      </c>
      <c r="E2649" s="98">
        <v>1</v>
      </c>
      <c r="F2649" s="98" t="s">
        <v>23</v>
      </c>
      <c r="G2649" s="98" t="s">
        <v>23</v>
      </c>
      <c r="H2649" s="98">
        <v>0</v>
      </c>
      <c r="I2649" s="98">
        <v>0</v>
      </c>
      <c r="K2649" s="98">
        <v>2.2914028439999998</v>
      </c>
      <c r="L2649" s="98">
        <v>0</v>
      </c>
      <c r="M2649" s="98">
        <v>2.2867746750000002</v>
      </c>
      <c r="N2649" s="98">
        <v>0</v>
      </c>
      <c r="O2649" s="99" t="s">
        <v>1281</v>
      </c>
    </row>
    <row r="2650" spans="1:15" x14ac:dyDescent="0.25">
      <c r="A2650" s="98" t="s">
        <v>68</v>
      </c>
      <c r="B2650" s="98" t="s">
        <v>79</v>
      </c>
      <c r="C2650" s="98">
        <v>-238</v>
      </c>
      <c r="D2650" s="98">
        <v>752</v>
      </c>
      <c r="E2650" s="98">
        <v>0.1</v>
      </c>
      <c r="F2650" s="98" t="s">
        <v>26</v>
      </c>
      <c r="G2650" s="98" t="s">
        <v>26</v>
      </c>
      <c r="H2650" s="98">
        <v>0</v>
      </c>
      <c r="I2650" s="98">
        <v>0</v>
      </c>
      <c r="K2650" s="98">
        <v>1.9193133179999999</v>
      </c>
      <c r="L2650" s="98">
        <v>0</v>
      </c>
      <c r="M2650" s="98">
        <v>1.9156064310000001</v>
      </c>
      <c r="N2650" s="98">
        <v>0</v>
      </c>
      <c r="O2650" s="99" t="s">
        <v>1282</v>
      </c>
    </row>
    <row r="2651" spans="1:15" x14ac:dyDescent="0.25">
      <c r="A2651" s="98" t="s">
        <v>68</v>
      </c>
      <c r="B2651" s="98" t="s">
        <v>79</v>
      </c>
      <c r="C2651" s="98">
        <v>-238</v>
      </c>
      <c r="D2651" s="98">
        <v>752</v>
      </c>
      <c r="E2651" s="98">
        <v>1</v>
      </c>
      <c r="F2651" s="98" t="s">
        <v>26</v>
      </c>
      <c r="G2651" s="98" t="s">
        <v>26</v>
      </c>
      <c r="H2651" s="98">
        <v>0</v>
      </c>
      <c r="I2651" s="98">
        <v>0</v>
      </c>
      <c r="K2651" s="98">
        <v>2.0140532379999998</v>
      </c>
      <c r="L2651" s="98">
        <v>0</v>
      </c>
      <c r="M2651" s="98">
        <v>1.9998869969999999</v>
      </c>
      <c r="N2651" s="98">
        <v>0</v>
      </c>
      <c r="O2651" s="99" t="s">
        <v>1283</v>
      </c>
    </row>
    <row r="2652" spans="1:15" x14ac:dyDescent="0.25">
      <c r="A2652" s="98" t="s">
        <v>68</v>
      </c>
      <c r="B2652" s="98" t="s">
        <v>79</v>
      </c>
      <c r="C2652" s="98">
        <v>-150</v>
      </c>
      <c r="D2652" s="98">
        <v>400</v>
      </c>
      <c r="E2652" s="98">
        <v>0.1</v>
      </c>
      <c r="F2652" s="98" t="s">
        <v>23</v>
      </c>
      <c r="G2652" s="98" t="s">
        <v>23</v>
      </c>
      <c r="H2652" s="98">
        <v>0</v>
      </c>
      <c r="I2652" s="98">
        <v>0</v>
      </c>
      <c r="K2652" s="98">
        <v>1.0694359710000001</v>
      </c>
      <c r="L2652" s="98">
        <v>0</v>
      </c>
      <c r="M2652" s="98">
        <v>1.0673826689999999</v>
      </c>
      <c r="N2652" s="98">
        <v>0</v>
      </c>
      <c r="O2652" s="99" t="s">
        <v>1284</v>
      </c>
    </row>
    <row r="2653" spans="1:15" x14ac:dyDescent="0.25">
      <c r="A2653" s="98" t="s">
        <v>68</v>
      </c>
      <c r="B2653" s="98" t="s">
        <v>79</v>
      </c>
      <c r="C2653" s="98">
        <v>-150</v>
      </c>
      <c r="D2653" s="98">
        <v>400</v>
      </c>
      <c r="E2653" s="98">
        <v>1</v>
      </c>
      <c r="F2653" s="98" t="s">
        <v>23</v>
      </c>
      <c r="G2653" s="98" t="s">
        <v>23</v>
      </c>
      <c r="H2653" s="98">
        <v>0</v>
      </c>
      <c r="I2653" s="98">
        <v>0</v>
      </c>
      <c r="K2653" s="98">
        <v>1.219367007</v>
      </c>
      <c r="L2653" s="98">
        <v>0</v>
      </c>
      <c r="M2653" s="98">
        <v>1.212149232</v>
      </c>
      <c r="N2653" s="98">
        <v>0</v>
      </c>
      <c r="O2653" s="99" t="s">
        <v>1285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3">
    <cfRule type="duplicateValues" dxfId="5" priority="46"/>
  </conditionalFormatting>
  <dataValidations count="6">
    <dataValidation type="decimal" operator="greaterThanOrEqual" allowBlank="1" showInputMessage="1" showErrorMessage="1" sqref="K3:K2653 L2:N2653" xr:uid="{050A0945-52D2-4883-8468-97FD5725F2BE}">
      <formula1>-9999999999999990000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J2:J2653 F2:G2653" xr:uid="{4C11C343-A5DD-4521-AE85-6BE0BDF8AF04}">
      <formula1>8</formula1>
    </dataValidation>
    <dataValidation type="decimal" operator="greaterThanOrEqual" allowBlank="1" showInputMessage="1" showErrorMessage="1" sqref="D2:D2653 I2:I2653" xr:uid="{99CF44DF-0F28-4692-8C57-97FCC17BE2FB}">
      <formula1>C2</formula1>
    </dataValidation>
    <dataValidation type="decimal" operator="lessThanOrEqual" allowBlank="1" showInputMessage="1" showErrorMessage="1" sqref="C2:C2653 H2:H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2023-08-24T15:10:43Z</dcterms:modified>
</cp:coreProperties>
</file>